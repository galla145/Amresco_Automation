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03"/>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5" documentId="13_ncr:1_{E56337A6-C2CF-4E51-BC54-DB8524827922}" xr6:coauthVersionLast="47" xr6:coauthVersionMax="47" xr10:uidLastSave="{AA35997E-BC36-4403-853D-BC0AAD624D64}"/>
  <bookViews>
    <workbookView xWindow="28680" yWindow="-120" windowWidth="29040" windowHeight="15720" tabRatio="866" firstSheet="8" activeTab="8"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Qtr'!$A$2:$K$2</definedName>
    <definedName name="_xlnm._FilterDatabase" localSheetId="2" hidden="1">'2nd Qtr'!$A$2:$K$2</definedName>
    <definedName name="_xlnm._FilterDatabase" localSheetId="3" hidden="1">'3rd Qtr'!$A$2:$K$2</definedName>
    <definedName name="_xlnm._FilterDatabase" localSheetId="4" hidden="1">'4th Qtr'!$A$2:$K$2</definedName>
    <definedName name="_xlnm._FilterDatabase" localSheetId="8" hidden="1">Apr!$A$2:$K$2</definedName>
    <definedName name="_xlnm._FilterDatabase" localSheetId="12" hidden="1">Aug!$A$2:$K$2</definedName>
    <definedName name="_xlnm._FilterDatabase" localSheetId="16" hidden="1">Dec!$A$2:$K$2</definedName>
    <definedName name="_xlnm._FilterDatabase" localSheetId="6" hidden="1">Feb!$A$2:$K$2</definedName>
    <definedName name="_xlnm._FilterDatabase" localSheetId="5" hidden="1">Jan!$A$3:$M$3</definedName>
    <definedName name="_xlnm._FilterDatabase" localSheetId="11" hidden="1">Jul!$A$2:$K$2</definedName>
    <definedName name="_xlnm._FilterDatabase" localSheetId="10" hidden="1">Jun!$A$2:$L$2</definedName>
    <definedName name="_xlnm._FilterDatabase" localSheetId="7" hidden="1">Mar!$A$2:$L$2</definedName>
    <definedName name="_xlnm._FilterDatabase" localSheetId="9" hidden="1">May!$A$2:$K$2</definedName>
    <definedName name="_xlnm._FilterDatabase" localSheetId="15" hidden="1">Nov!$A$2:$K$2</definedName>
    <definedName name="_xlnm._FilterDatabase" localSheetId="14" hidden="1">Oct!$A$2:$K$2</definedName>
    <definedName name="_xlnm._FilterDatabase" localSheetId="13" hidden="1">Sep!$A$2:$L$2</definedName>
    <definedName name="_xlnm._FilterDatabase" localSheetId="0" hidden="1">'Year to Date'!$A$2:$K$2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3" i="34" l="1"/>
  <c r="D23" i="34"/>
  <c r="E23" i="34"/>
  <c r="F23" i="34"/>
  <c r="G23" i="34"/>
  <c r="H23" i="34"/>
  <c r="I23" i="34"/>
  <c r="J23" i="34"/>
  <c r="K23" i="34"/>
  <c r="F23" i="19"/>
  <c r="E23" i="19"/>
  <c r="K23" i="19"/>
  <c r="E22" i="19"/>
  <c r="D6" i="18"/>
  <c r="D7" i="18"/>
  <c r="D8" i="18"/>
  <c r="D9" i="18"/>
  <c r="D10" i="18"/>
  <c r="D11" i="18"/>
  <c r="D12" i="18"/>
  <c r="D13" i="18"/>
  <c r="D14" i="18"/>
  <c r="D15" i="18"/>
  <c r="D16" i="18"/>
  <c r="D17" i="18"/>
  <c r="D18" i="18"/>
  <c r="D19" i="18"/>
  <c r="D20" i="18"/>
  <c r="D21" i="18"/>
  <c r="D22" i="18"/>
  <c r="D23" i="18"/>
  <c r="D5" i="18"/>
  <c r="D4" i="18"/>
  <c r="F6" i="19"/>
  <c r="F7" i="19"/>
  <c r="F8" i="19"/>
  <c r="F9" i="19"/>
  <c r="F10" i="19"/>
  <c r="F11" i="19"/>
  <c r="F12" i="19"/>
  <c r="F13" i="19"/>
  <c r="F14" i="19"/>
  <c r="F15" i="19"/>
  <c r="F16" i="19"/>
  <c r="F17" i="19"/>
  <c r="F18" i="19"/>
  <c r="F19" i="19"/>
  <c r="F20" i="19"/>
  <c r="F21" i="19"/>
  <c r="F22" i="19"/>
  <c r="F5" i="19"/>
  <c r="F4" i="19"/>
  <c r="F2" i="19"/>
  <c r="F2" i="4"/>
  <c r="E6" i="19"/>
  <c r="E7" i="19"/>
  <c r="E8" i="19"/>
  <c r="E9" i="19"/>
  <c r="E10" i="19"/>
  <c r="E11" i="19"/>
  <c r="E12" i="19"/>
  <c r="E13" i="19"/>
  <c r="E14" i="19"/>
  <c r="E15" i="19"/>
  <c r="E16" i="19"/>
  <c r="E17" i="19"/>
  <c r="E18" i="19"/>
  <c r="E19" i="19"/>
  <c r="E20" i="19"/>
  <c r="E21" i="19"/>
  <c r="E5" i="19"/>
  <c r="E4" i="19"/>
  <c r="L23" i="19"/>
  <c r="D2" i="19"/>
  <c r="H4" i="20"/>
  <c r="H23" i="19"/>
  <c r="I23" i="19" s="1"/>
  <c r="K21" i="1"/>
  <c r="K22" i="1"/>
  <c r="J6" i="20"/>
  <c r="J7" i="20"/>
  <c r="J8" i="20"/>
  <c r="J9" i="20"/>
  <c r="J10" i="20"/>
  <c r="J11" i="20"/>
  <c r="J12" i="20"/>
  <c r="J13" i="20"/>
  <c r="J14" i="20"/>
  <c r="J15" i="20"/>
  <c r="J16" i="20"/>
  <c r="J17" i="20"/>
  <c r="J18" i="20"/>
  <c r="J19" i="20"/>
  <c r="J20" i="20"/>
  <c r="J21" i="20"/>
  <c r="J22" i="20"/>
  <c r="J23" i="20"/>
  <c r="K23" i="20" s="1"/>
  <c r="J5" i="20"/>
  <c r="J4" i="20"/>
  <c r="G6" i="20"/>
  <c r="G7" i="20"/>
  <c r="G8" i="20"/>
  <c r="G9" i="20"/>
  <c r="G10" i="20"/>
  <c r="G11" i="20"/>
  <c r="G12" i="20"/>
  <c r="G13" i="20"/>
  <c r="G14" i="20"/>
  <c r="G15" i="20"/>
  <c r="G16" i="20"/>
  <c r="G17" i="20"/>
  <c r="G18" i="20"/>
  <c r="G19" i="20"/>
  <c r="G20" i="20"/>
  <c r="G21" i="20"/>
  <c r="G22" i="20"/>
  <c r="G23" i="20"/>
  <c r="H23" i="20" s="1"/>
  <c r="G5" i="20"/>
  <c r="G4" i="20"/>
  <c r="C4" i="18"/>
  <c r="F23" i="18"/>
  <c r="I23" i="18"/>
  <c r="C23" i="18"/>
  <c r="E23" i="21"/>
  <c r="J23" i="21"/>
  <c r="J6" i="21"/>
  <c r="J7" i="21"/>
  <c r="J8" i="21"/>
  <c r="J9" i="21"/>
  <c r="J10" i="21"/>
  <c r="J11" i="21"/>
  <c r="K11" i="21" s="1"/>
  <c r="J12" i="21"/>
  <c r="K12" i="21" s="1"/>
  <c r="J13" i="21"/>
  <c r="J14" i="21"/>
  <c r="J15" i="21"/>
  <c r="K15" i="21" s="1"/>
  <c r="J16" i="21"/>
  <c r="K16" i="21" s="1"/>
  <c r="J17" i="21"/>
  <c r="J18" i="21"/>
  <c r="K18" i="21" s="1"/>
  <c r="J19" i="21"/>
  <c r="K19" i="21" s="1"/>
  <c r="J20" i="21"/>
  <c r="J21" i="21"/>
  <c r="J22" i="21"/>
  <c r="K22" i="21" s="1"/>
  <c r="J5" i="21"/>
  <c r="K5" i="21" s="1"/>
  <c r="J4" i="21"/>
  <c r="G6" i="21"/>
  <c r="G7" i="21"/>
  <c r="G8" i="21"/>
  <c r="H8" i="21" s="1"/>
  <c r="G9" i="21"/>
  <c r="G10" i="21"/>
  <c r="G11" i="21"/>
  <c r="G12" i="21"/>
  <c r="H12" i="21" s="1"/>
  <c r="G13" i="21"/>
  <c r="G14" i="21"/>
  <c r="G15" i="21"/>
  <c r="H15" i="21" s="1"/>
  <c r="G16" i="21"/>
  <c r="H16" i="21" s="1"/>
  <c r="G17" i="21"/>
  <c r="H17" i="21" s="1"/>
  <c r="G18" i="21"/>
  <c r="H18" i="21" s="1"/>
  <c r="G19" i="21"/>
  <c r="H19" i="21" s="1"/>
  <c r="G20" i="21"/>
  <c r="H20" i="21" s="1"/>
  <c r="G21" i="21"/>
  <c r="H21" i="21" s="1"/>
  <c r="G22" i="21"/>
  <c r="G23" i="21"/>
  <c r="G5" i="21"/>
  <c r="G4" i="21"/>
  <c r="H4" i="4"/>
  <c r="I4" i="4" s="1"/>
  <c r="E22" i="21"/>
  <c r="E21" i="21"/>
  <c r="E20" i="21"/>
  <c r="E19" i="21"/>
  <c r="E18" i="21"/>
  <c r="E17" i="21"/>
  <c r="E16" i="21"/>
  <c r="E15" i="21"/>
  <c r="E14" i="21"/>
  <c r="E13" i="21"/>
  <c r="E12" i="21"/>
  <c r="E11" i="21"/>
  <c r="E10" i="21"/>
  <c r="E9" i="21"/>
  <c r="E8" i="21"/>
  <c r="E7" i="21"/>
  <c r="E6" i="21"/>
  <c r="E5" i="21"/>
  <c r="E4" i="21"/>
  <c r="D2" i="21"/>
  <c r="H23" i="21"/>
  <c r="L20" i="4"/>
  <c r="L16" i="4"/>
  <c r="L6" i="4"/>
  <c r="L7" i="4"/>
  <c r="L9" i="4"/>
  <c r="L10" i="4"/>
  <c r="L11" i="4"/>
  <c r="L12" i="4"/>
  <c r="L13" i="4"/>
  <c r="L15" i="4"/>
  <c r="L17" i="4"/>
  <c r="L18" i="4"/>
  <c r="L19" i="4"/>
  <c r="L21" i="4"/>
  <c r="L22" i="4"/>
  <c r="L5" i="4"/>
  <c r="L4" i="4"/>
  <c r="I6" i="4"/>
  <c r="I7" i="4"/>
  <c r="I9" i="4"/>
  <c r="I10" i="4"/>
  <c r="I11" i="4"/>
  <c r="I12" i="4"/>
  <c r="I13" i="4"/>
  <c r="I15" i="4"/>
  <c r="I17" i="4"/>
  <c r="I18" i="4"/>
  <c r="I19" i="4"/>
  <c r="I21" i="4"/>
  <c r="I22" i="4"/>
  <c r="I5" i="4"/>
  <c r="F6" i="4"/>
  <c r="F7" i="4"/>
  <c r="F8" i="4"/>
  <c r="F9" i="4"/>
  <c r="F10" i="4"/>
  <c r="F11" i="4"/>
  <c r="F12" i="4"/>
  <c r="F13" i="4"/>
  <c r="F14" i="4"/>
  <c r="F15" i="4"/>
  <c r="F16" i="4"/>
  <c r="F17" i="4"/>
  <c r="F18" i="4"/>
  <c r="F19" i="4"/>
  <c r="F20" i="4"/>
  <c r="F21" i="4"/>
  <c r="F22" i="4"/>
  <c r="F5" i="4"/>
  <c r="F4" i="4"/>
  <c r="E19" i="4"/>
  <c r="J7" i="72"/>
  <c r="D6" i="30"/>
  <c r="D8" i="30"/>
  <c r="D10" i="30"/>
  <c r="D12" i="30"/>
  <c r="D14" i="30"/>
  <c r="D16" i="30"/>
  <c r="E16" i="30" s="1"/>
  <c r="D18" i="30"/>
  <c r="D20" i="30"/>
  <c r="D22" i="30"/>
  <c r="D4" i="30"/>
  <c r="E8" i="30"/>
  <c r="D6" i="29"/>
  <c r="D8" i="29"/>
  <c r="D10" i="29"/>
  <c r="D12" i="29"/>
  <c r="E12" i="29" s="1"/>
  <c r="D14" i="29"/>
  <c r="D16" i="29"/>
  <c r="E16" i="29" s="1"/>
  <c r="D18" i="29"/>
  <c r="D2" i="29" s="1"/>
  <c r="D20" i="29"/>
  <c r="E20" i="29" s="1"/>
  <c r="D22" i="29"/>
  <c r="D4" i="29"/>
  <c r="E4" i="29" s="1"/>
  <c r="E8" i="29"/>
  <c r="D6" i="1"/>
  <c r="D7" i="1"/>
  <c r="D8" i="1"/>
  <c r="D9" i="1"/>
  <c r="D10" i="1"/>
  <c r="D11" i="1"/>
  <c r="D12" i="1"/>
  <c r="D13" i="1"/>
  <c r="D14" i="1"/>
  <c r="D15" i="1"/>
  <c r="D15" i="34" s="1"/>
  <c r="D16" i="1"/>
  <c r="D16" i="34" s="1"/>
  <c r="D17" i="1"/>
  <c r="D17" i="34" s="1"/>
  <c r="D18" i="1"/>
  <c r="D19" i="1"/>
  <c r="D20" i="1"/>
  <c r="D21" i="1"/>
  <c r="D22" i="1"/>
  <c r="D5" i="1"/>
  <c r="D4" i="1"/>
  <c r="E4" i="72"/>
  <c r="E5" i="72"/>
  <c r="E6" i="72"/>
  <c r="E7" i="72"/>
  <c r="E8" i="72"/>
  <c r="E9" i="72"/>
  <c r="E10" i="72"/>
  <c r="E11" i="72"/>
  <c r="E12" i="72"/>
  <c r="E13" i="72"/>
  <c r="E14" i="72"/>
  <c r="E15" i="72"/>
  <c r="E16" i="72"/>
  <c r="E17" i="72"/>
  <c r="E18" i="72"/>
  <c r="E19" i="72"/>
  <c r="E20" i="72"/>
  <c r="E21" i="72"/>
  <c r="E22" i="72"/>
  <c r="E22" i="33"/>
  <c r="E21" i="33"/>
  <c r="E20" i="33"/>
  <c r="E19" i="33"/>
  <c r="E18" i="33"/>
  <c r="E17" i="33"/>
  <c r="E16" i="33"/>
  <c r="E15" i="33"/>
  <c r="E14" i="33"/>
  <c r="E13" i="33"/>
  <c r="E12" i="33"/>
  <c r="E11" i="33"/>
  <c r="E10" i="33"/>
  <c r="E9" i="33"/>
  <c r="E8" i="33"/>
  <c r="E7" i="33"/>
  <c r="E6" i="33"/>
  <c r="E5" i="33"/>
  <c r="E4" i="33"/>
  <c r="D2" i="33"/>
  <c r="F22" i="30"/>
  <c r="C22" i="30"/>
  <c r="E22" i="30" s="1"/>
  <c r="E22" i="32"/>
  <c r="E21" i="32"/>
  <c r="E20" i="32"/>
  <c r="E19" i="32"/>
  <c r="E18" i="32"/>
  <c r="E17" i="32"/>
  <c r="E16" i="32"/>
  <c r="E15" i="32"/>
  <c r="E14" i="32"/>
  <c r="E13" i="32"/>
  <c r="E12" i="32"/>
  <c r="E11" i="32"/>
  <c r="E10" i="32"/>
  <c r="E9" i="32"/>
  <c r="E8" i="32"/>
  <c r="E7" i="32"/>
  <c r="E6" i="32"/>
  <c r="E5" i="32"/>
  <c r="E4" i="32"/>
  <c r="D2" i="32"/>
  <c r="K22" i="32"/>
  <c r="H22" i="32"/>
  <c r="E22" i="31"/>
  <c r="E21" i="31"/>
  <c r="E20" i="31"/>
  <c r="E19" i="31"/>
  <c r="E18" i="31"/>
  <c r="E17" i="31"/>
  <c r="E16" i="31"/>
  <c r="E15" i="31"/>
  <c r="E14" i="31"/>
  <c r="E13" i="31"/>
  <c r="E12" i="31"/>
  <c r="E11" i="31"/>
  <c r="E10" i="31"/>
  <c r="E9" i="31"/>
  <c r="E8" i="31"/>
  <c r="E7" i="31"/>
  <c r="E6" i="31"/>
  <c r="E5" i="31"/>
  <c r="E4" i="31"/>
  <c r="C2" i="31"/>
  <c r="D2" i="31"/>
  <c r="E2" i="31"/>
  <c r="K22" i="31"/>
  <c r="H22" i="31"/>
  <c r="E22" i="28"/>
  <c r="E21" i="28"/>
  <c r="E20" i="28"/>
  <c r="E19" i="28"/>
  <c r="E18" i="28"/>
  <c r="E17" i="28"/>
  <c r="E16" i="28"/>
  <c r="E15" i="28"/>
  <c r="E14" i="28"/>
  <c r="E13" i="28"/>
  <c r="E12" i="28"/>
  <c r="E11" i="28"/>
  <c r="E10" i="28"/>
  <c r="E9" i="28"/>
  <c r="E8" i="28"/>
  <c r="E7" i="28"/>
  <c r="E6" i="28"/>
  <c r="E5" i="28"/>
  <c r="E4" i="28"/>
  <c r="D2" i="28"/>
  <c r="K22" i="28"/>
  <c r="J22" i="29" s="1"/>
  <c r="H22" i="28"/>
  <c r="G22" i="29" s="1"/>
  <c r="E4" i="26"/>
  <c r="E22" i="27"/>
  <c r="E21" i="27"/>
  <c r="E20" i="27"/>
  <c r="E19" i="27"/>
  <c r="E18" i="27"/>
  <c r="E17" i="27"/>
  <c r="E16" i="27"/>
  <c r="E15" i="27"/>
  <c r="E14" i="27"/>
  <c r="E13" i="27"/>
  <c r="E12" i="27"/>
  <c r="E11" i="27"/>
  <c r="E10" i="27"/>
  <c r="E9" i="27"/>
  <c r="E8" i="27"/>
  <c r="E7" i="27"/>
  <c r="E6" i="27"/>
  <c r="E5" i="27"/>
  <c r="E4" i="27"/>
  <c r="D2" i="27"/>
  <c r="F2" i="27"/>
  <c r="G2" i="27" s="1"/>
  <c r="H2" i="27" s="1"/>
  <c r="H4" i="27"/>
  <c r="H5" i="27"/>
  <c r="H6" i="27"/>
  <c r="H7" i="27"/>
  <c r="H8" i="27"/>
  <c r="H9" i="27"/>
  <c r="H10" i="27"/>
  <c r="H11" i="27"/>
  <c r="H12" i="27"/>
  <c r="H13" i="27"/>
  <c r="H14" i="27"/>
  <c r="H15" i="27"/>
  <c r="H16" i="27"/>
  <c r="H17" i="27"/>
  <c r="H18" i="27"/>
  <c r="H19" i="27"/>
  <c r="H20" i="27"/>
  <c r="H21" i="27"/>
  <c r="H22" i="27"/>
  <c r="D2" i="20"/>
  <c r="D2" i="4"/>
  <c r="D2" i="3"/>
  <c r="D2" i="72"/>
  <c r="E5" i="4"/>
  <c r="E6" i="4"/>
  <c r="E7" i="4"/>
  <c r="E8" i="4"/>
  <c r="E9" i="4"/>
  <c r="E10" i="4"/>
  <c r="E11" i="4"/>
  <c r="E12" i="4"/>
  <c r="E13" i="4"/>
  <c r="E14" i="4"/>
  <c r="E15" i="4"/>
  <c r="E16" i="4"/>
  <c r="E17" i="4"/>
  <c r="E18" i="4"/>
  <c r="E20" i="4"/>
  <c r="E21" i="4"/>
  <c r="E22" i="4"/>
  <c r="E4" i="4"/>
  <c r="E5" i="3"/>
  <c r="E6" i="3"/>
  <c r="E7" i="3"/>
  <c r="E8" i="3"/>
  <c r="E9" i="3"/>
  <c r="E10" i="3"/>
  <c r="E11" i="3"/>
  <c r="E12" i="3"/>
  <c r="E13" i="3"/>
  <c r="E14" i="3"/>
  <c r="E15" i="3"/>
  <c r="E16" i="3"/>
  <c r="E17" i="3"/>
  <c r="E18" i="3"/>
  <c r="E19" i="3"/>
  <c r="E20" i="3"/>
  <c r="E21" i="3"/>
  <c r="E22" i="3"/>
  <c r="E4" i="3"/>
  <c r="E5" i="20"/>
  <c r="E6" i="20"/>
  <c r="E7" i="20"/>
  <c r="E8" i="20"/>
  <c r="E9" i="20"/>
  <c r="E10" i="20"/>
  <c r="E11" i="20"/>
  <c r="E12" i="20"/>
  <c r="E13" i="20"/>
  <c r="E14" i="20"/>
  <c r="E15" i="20"/>
  <c r="E16" i="20"/>
  <c r="E17" i="20"/>
  <c r="E18" i="20"/>
  <c r="E19" i="20"/>
  <c r="E20" i="20"/>
  <c r="E21" i="20"/>
  <c r="E22" i="20"/>
  <c r="E4" i="20"/>
  <c r="F22" i="29"/>
  <c r="C22" i="29"/>
  <c r="F4" i="29"/>
  <c r="C21" i="29"/>
  <c r="E21" i="29" s="1"/>
  <c r="E22" i="26"/>
  <c r="E21" i="26"/>
  <c r="E20" i="26"/>
  <c r="E19" i="26"/>
  <c r="E18" i="26"/>
  <c r="E17" i="26"/>
  <c r="E16" i="26"/>
  <c r="E15" i="26"/>
  <c r="E14" i="26"/>
  <c r="E13" i="26"/>
  <c r="E12" i="26"/>
  <c r="E11" i="26"/>
  <c r="E10" i="26"/>
  <c r="E9" i="26"/>
  <c r="E8" i="26"/>
  <c r="E7" i="26"/>
  <c r="E6" i="26"/>
  <c r="E5" i="26"/>
  <c r="D2" i="26"/>
  <c r="K22" i="27"/>
  <c r="I22" i="29" s="1"/>
  <c r="K22" i="26"/>
  <c r="H22" i="26"/>
  <c r="H22" i="19"/>
  <c r="I22" i="19" s="1"/>
  <c r="K22" i="19"/>
  <c r="L22" i="19" s="1"/>
  <c r="K22" i="20"/>
  <c r="H22" i="20"/>
  <c r="H5" i="20"/>
  <c r="K5" i="20"/>
  <c r="H6" i="20"/>
  <c r="K6" i="20"/>
  <c r="H7" i="20"/>
  <c r="K7" i="20"/>
  <c r="H8" i="20"/>
  <c r="K8" i="20"/>
  <c r="H9" i="20"/>
  <c r="K9" i="20"/>
  <c r="H10" i="20"/>
  <c r="K10" i="20"/>
  <c r="H11" i="20"/>
  <c r="K11" i="20"/>
  <c r="H12" i="20"/>
  <c r="K12" i="20"/>
  <c r="H13" i="20"/>
  <c r="K13" i="20"/>
  <c r="H14" i="20"/>
  <c r="K14" i="20"/>
  <c r="H15" i="20"/>
  <c r="K15" i="20"/>
  <c r="H16" i="20"/>
  <c r="K16" i="20"/>
  <c r="H17" i="20"/>
  <c r="K17" i="20"/>
  <c r="H18" i="20"/>
  <c r="K18" i="20"/>
  <c r="H19" i="20"/>
  <c r="K19" i="20"/>
  <c r="H20" i="20"/>
  <c r="K20" i="20"/>
  <c r="H21" i="20"/>
  <c r="K21" i="20"/>
  <c r="I5" i="18"/>
  <c r="I6" i="18"/>
  <c r="I7" i="18"/>
  <c r="I8" i="18"/>
  <c r="I9" i="18"/>
  <c r="I10" i="18"/>
  <c r="I11" i="18"/>
  <c r="I12" i="18"/>
  <c r="I13" i="18"/>
  <c r="I14" i="18"/>
  <c r="I15" i="18"/>
  <c r="I16" i="18"/>
  <c r="I17" i="18"/>
  <c r="I18" i="18"/>
  <c r="I19" i="18"/>
  <c r="I20" i="18"/>
  <c r="I21" i="18"/>
  <c r="I22" i="18"/>
  <c r="I4" i="18"/>
  <c r="F22" i="18"/>
  <c r="C22" i="18"/>
  <c r="H22" i="21"/>
  <c r="H22" i="4"/>
  <c r="K22" i="4"/>
  <c r="J22" i="3"/>
  <c r="J23" i="3"/>
  <c r="G22" i="3"/>
  <c r="H22" i="3" s="1"/>
  <c r="I22" i="1"/>
  <c r="F22" i="1"/>
  <c r="C22" i="1"/>
  <c r="G22" i="1" s="1"/>
  <c r="J22" i="72"/>
  <c r="K22" i="72" s="1"/>
  <c r="G22" i="72"/>
  <c r="H22" i="72" s="1"/>
  <c r="G21" i="72"/>
  <c r="H21" i="72" s="1"/>
  <c r="C16" i="30"/>
  <c r="F16" i="30"/>
  <c r="C17" i="30"/>
  <c r="E17" i="30" s="1"/>
  <c r="F17" i="30"/>
  <c r="C18" i="30"/>
  <c r="F18" i="30"/>
  <c r="C19" i="30"/>
  <c r="E19" i="30" s="1"/>
  <c r="F19" i="30"/>
  <c r="K19" i="31"/>
  <c r="C20" i="30"/>
  <c r="E20" i="30" s="1"/>
  <c r="F20" i="30"/>
  <c r="C21" i="30"/>
  <c r="E21" i="30" s="1"/>
  <c r="F21" i="30"/>
  <c r="C16" i="29"/>
  <c r="F16" i="29"/>
  <c r="G16" i="29" s="1"/>
  <c r="H16" i="29" s="1"/>
  <c r="C17" i="29"/>
  <c r="E17" i="29" s="1"/>
  <c r="F17" i="29"/>
  <c r="C18" i="29"/>
  <c r="F18" i="29"/>
  <c r="C19" i="29"/>
  <c r="E19" i="29" s="1"/>
  <c r="F19" i="29"/>
  <c r="C20" i="29"/>
  <c r="F20" i="29"/>
  <c r="G20" i="29" s="1"/>
  <c r="H20" i="29" s="1"/>
  <c r="F21" i="29"/>
  <c r="C16" i="18"/>
  <c r="F16" i="18"/>
  <c r="C17" i="18"/>
  <c r="F17" i="18"/>
  <c r="C18" i="18"/>
  <c r="F18" i="18"/>
  <c r="C19" i="18"/>
  <c r="F19" i="18"/>
  <c r="C20" i="18"/>
  <c r="F20" i="18"/>
  <c r="C21" i="18"/>
  <c r="E21" i="18" s="1"/>
  <c r="F21" i="18"/>
  <c r="C16" i="1"/>
  <c r="F16" i="1"/>
  <c r="G16" i="1" s="1"/>
  <c r="H16" i="1" s="1"/>
  <c r="I16" i="1"/>
  <c r="C17" i="1"/>
  <c r="F17" i="1"/>
  <c r="I17" i="1"/>
  <c r="C18" i="1"/>
  <c r="F18" i="1"/>
  <c r="I18" i="1"/>
  <c r="C19" i="1"/>
  <c r="F19" i="1"/>
  <c r="I19" i="1"/>
  <c r="C20" i="1"/>
  <c r="F20" i="1"/>
  <c r="I20" i="1"/>
  <c r="C21" i="1"/>
  <c r="F21" i="1"/>
  <c r="I21" i="1"/>
  <c r="H16" i="33"/>
  <c r="I16" i="30"/>
  <c r="H17" i="33"/>
  <c r="I17" i="30"/>
  <c r="H18" i="33"/>
  <c r="K18" i="33"/>
  <c r="H19" i="33"/>
  <c r="I19" i="30"/>
  <c r="H20" i="33"/>
  <c r="I20" i="30"/>
  <c r="G21" i="30"/>
  <c r="K21" i="33"/>
  <c r="H16" i="32"/>
  <c r="K16" i="32"/>
  <c r="H17" i="32"/>
  <c r="K17" i="32"/>
  <c r="H18" i="32"/>
  <c r="K18" i="32"/>
  <c r="H19" i="32"/>
  <c r="K19" i="32"/>
  <c r="H20" i="32"/>
  <c r="K20" i="32"/>
  <c r="H21" i="32"/>
  <c r="K21" i="32"/>
  <c r="H16" i="31"/>
  <c r="K16" i="31"/>
  <c r="H17" i="31"/>
  <c r="K17" i="31"/>
  <c r="H18" i="31"/>
  <c r="K18" i="31"/>
  <c r="H19" i="31"/>
  <c r="H20" i="31"/>
  <c r="K20" i="31"/>
  <c r="H21" i="31"/>
  <c r="K21" i="31"/>
  <c r="H16" i="28"/>
  <c r="K16" i="28"/>
  <c r="H17" i="28"/>
  <c r="K17" i="28"/>
  <c r="H18" i="28"/>
  <c r="K18" i="28"/>
  <c r="H19" i="28"/>
  <c r="K19" i="28"/>
  <c r="H20" i="28"/>
  <c r="K20" i="28"/>
  <c r="H21" i="28"/>
  <c r="G21" i="29" s="1"/>
  <c r="H21" i="29" s="1"/>
  <c r="K21" i="28"/>
  <c r="K16" i="27"/>
  <c r="I16" i="29" s="1"/>
  <c r="K17" i="27"/>
  <c r="K18" i="27"/>
  <c r="K19" i="27"/>
  <c r="K20" i="27"/>
  <c r="I20" i="29" s="1"/>
  <c r="K21" i="27"/>
  <c r="H16" i="26"/>
  <c r="H17" i="26"/>
  <c r="H18" i="26"/>
  <c r="H19" i="26"/>
  <c r="J19" i="29"/>
  <c r="H20" i="26"/>
  <c r="K20" i="26"/>
  <c r="H21" i="26"/>
  <c r="K21" i="26"/>
  <c r="H16" i="19"/>
  <c r="I16" i="19" s="1"/>
  <c r="K16" i="19"/>
  <c r="L16" i="19" s="1"/>
  <c r="H17" i="19"/>
  <c r="I17" i="19" s="1"/>
  <c r="K17" i="19"/>
  <c r="L17" i="19" s="1"/>
  <c r="H18" i="19"/>
  <c r="I18" i="19" s="1"/>
  <c r="K18" i="19"/>
  <c r="L18" i="19" s="1"/>
  <c r="H19" i="19"/>
  <c r="I19" i="19" s="1"/>
  <c r="K19" i="19"/>
  <c r="L19" i="19" s="1"/>
  <c r="H20" i="19"/>
  <c r="I20" i="19" s="1"/>
  <c r="K20" i="19"/>
  <c r="L20" i="19" s="1"/>
  <c r="H21" i="19"/>
  <c r="I21" i="19" s="1"/>
  <c r="K21" i="19"/>
  <c r="L21" i="19" s="1"/>
  <c r="H16" i="4"/>
  <c r="I16" i="4" s="1"/>
  <c r="K16" i="4"/>
  <c r="H17" i="4"/>
  <c r="K17" i="4"/>
  <c r="H18" i="4"/>
  <c r="K18" i="4"/>
  <c r="H19" i="4"/>
  <c r="K19" i="4"/>
  <c r="H20" i="4"/>
  <c r="I20" i="4" s="1"/>
  <c r="K20" i="4"/>
  <c r="H21" i="4"/>
  <c r="K21" i="4"/>
  <c r="G16" i="3"/>
  <c r="H16" i="3" s="1"/>
  <c r="J16" i="3"/>
  <c r="J16" i="1" s="1"/>
  <c r="K16" i="1" s="1"/>
  <c r="K16" i="3"/>
  <c r="G17" i="3"/>
  <c r="H17" i="3" s="1"/>
  <c r="J17" i="3"/>
  <c r="J17" i="1" s="1"/>
  <c r="K17" i="1" s="1"/>
  <c r="K17" i="3"/>
  <c r="G18" i="3"/>
  <c r="H18" i="3" s="1"/>
  <c r="J18" i="3"/>
  <c r="K18" i="3" s="1"/>
  <c r="G19" i="3"/>
  <c r="H19" i="3" s="1"/>
  <c r="J19" i="3"/>
  <c r="K19" i="3" s="1"/>
  <c r="G20" i="3"/>
  <c r="H20" i="3"/>
  <c r="J20" i="3"/>
  <c r="K20" i="3"/>
  <c r="G21" i="3"/>
  <c r="H21" i="3" s="1"/>
  <c r="J21" i="3"/>
  <c r="K21" i="3" s="1"/>
  <c r="G16" i="72"/>
  <c r="H16" i="72"/>
  <c r="J16" i="72"/>
  <c r="G17" i="72"/>
  <c r="H17" i="72" s="1"/>
  <c r="J17" i="72"/>
  <c r="G18" i="72"/>
  <c r="H18" i="72"/>
  <c r="J18" i="72"/>
  <c r="G19" i="72"/>
  <c r="H19" i="72"/>
  <c r="J19" i="72"/>
  <c r="G20" i="72"/>
  <c r="H20" i="72"/>
  <c r="J20" i="72"/>
  <c r="J21" i="72"/>
  <c r="K21" i="72"/>
  <c r="B4" i="33" a="1"/>
  <c r="A4" i="33" a="1"/>
  <c r="A4" i="33" s="1"/>
  <c r="B4" i="32" a="1"/>
  <c r="B4" i="32" s="1"/>
  <c r="A4" i="32" a="1"/>
  <c r="A4" i="32" s="1"/>
  <c r="B4" i="31" a="1"/>
  <c r="B4" i="31" s="1"/>
  <c r="A4" i="31" a="1"/>
  <c r="A4" i="31" s="1"/>
  <c r="B4" i="19" a="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G4" i="3"/>
  <c r="H4" i="3" s="1"/>
  <c r="J4" i="3"/>
  <c r="K4" i="3" s="1"/>
  <c r="G5" i="3"/>
  <c r="H5" i="3" s="1"/>
  <c r="J5" i="3"/>
  <c r="K5" i="3" s="1"/>
  <c r="G6" i="3"/>
  <c r="H6" i="3" s="1"/>
  <c r="J6" i="3"/>
  <c r="K6" i="3"/>
  <c r="G7" i="3"/>
  <c r="H7" i="3"/>
  <c r="J7" i="3"/>
  <c r="K7" i="3"/>
  <c r="G8" i="3"/>
  <c r="H8" i="3" s="1"/>
  <c r="J8" i="3"/>
  <c r="K8" i="3" s="1"/>
  <c r="G9" i="3"/>
  <c r="H9" i="3"/>
  <c r="J9" i="3"/>
  <c r="G10" i="3"/>
  <c r="H10" i="3"/>
  <c r="J10" i="3"/>
  <c r="K10" i="3"/>
  <c r="G11" i="3"/>
  <c r="H11" i="3" s="1"/>
  <c r="J11" i="3"/>
  <c r="K11" i="3" s="1"/>
  <c r="G12" i="3"/>
  <c r="H12" i="3" s="1"/>
  <c r="J12" i="3"/>
  <c r="K12" i="3"/>
  <c r="G13" i="3"/>
  <c r="H13" i="3" s="1"/>
  <c r="J13" i="3"/>
  <c r="K13" i="3"/>
  <c r="G14" i="3"/>
  <c r="H14" i="3" s="1"/>
  <c r="J14" i="3"/>
  <c r="K14" i="3" s="1"/>
  <c r="G15" i="3"/>
  <c r="H15" i="3"/>
  <c r="J15" i="3"/>
  <c r="I6" i="1"/>
  <c r="I7" i="1"/>
  <c r="I8" i="1"/>
  <c r="I9" i="1"/>
  <c r="I10" i="1"/>
  <c r="I11" i="1"/>
  <c r="I12" i="1"/>
  <c r="I13" i="1"/>
  <c r="I14" i="1"/>
  <c r="I15" i="1"/>
  <c r="I5" i="1"/>
  <c r="I4" i="1"/>
  <c r="B4" i="34" a="1"/>
  <c r="B4" i="34" s="1"/>
  <c r="A4" i="34" a="1"/>
  <c r="A4" i="34" s="1"/>
  <c r="A1" i="34" a="1"/>
  <c r="A1" i="34" s="1"/>
  <c r="F15" i="30"/>
  <c r="C15" i="30"/>
  <c r="E15" i="30" s="1"/>
  <c r="F14" i="30"/>
  <c r="C14" i="30"/>
  <c r="E14" i="30" s="1"/>
  <c r="F13" i="30"/>
  <c r="C13" i="30"/>
  <c r="E13" i="30" s="1"/>
  <c r="F12" i="30"/>
  <c r="C12" i="30"/>
  <c r="E12" i="30" s="1"/>
  <c r="F11" i="30"/>
  <c r="C11" i="30"/>
  <c r="E11" i="30" s="1"/>
  <c r="F10" i="30"/>
  <c r="C10" i="30"/>
  <c r="E10" i="30" s="1"/>
  <c r="F9" i="30"/>
  <c r="C9" i="30"/>
  <c r="E9" i="30" s="1"/>
  <c r="F8" i="30"/>
  <c r="C8" i="30"/>
  <c r="F7" i="30"/>
  <c r="C7" i="30"/>
  <c r="E7" i="30" s="1"/>
  <c r="F6" i="30"/>
  <c r="C6" i="30"/>
  <c r="E6" i="30" s="1"/>
  <c r="F5" i="30"/>
  <c r="C5" i="30"/>
  <c r="E5" i="30" s="1"/>
  <c r="F4" i="30"/>
  <c r="C4" i="30"/>
  <c r="E4" i="30" s="1"/>
  <c r="F15" i="29"/>
  <c r="C15" i="29"/>
  <c r="E15" i="29" s="1"/>
  <c r="F14" i="29"/>
  <c r="C14" i="29"/>
  <c r="E14" i="29" s="1"/>
  <c r="F13" i="29"/>
  <c r="G13" i="29" s="1"/>
  <c r="H13" i="29" s="1"/>
  <c r="C13" i="29"/>
  <c r="E13" i="29" s="1"/>
  <c r="F12" i="29"/>
  <c r="C12" i="29"/>
  <c r="F11" i="29"/>
  <c r="C11" i="29"/>
  <c r="E11" i="29" s="1"/>
  <c r="F10" i="29"/>
  <c r="C10" i="29"/>
  <c r="E10" i="29" s="1"/>
  <c r="F9" i="29"/>
  <c r="G9" i="29" s="1"/>
  <c r="H9" i="29" s="1"/>
  <c r="C9" i="29"/>
  <c r="E9" i="29" s="1"/>
  <c r="F8" i="29"/>
  <c r="C8" i="29"/>
  <c r="F7" i="29"/>
  <c r="G7" i="29" s="1"/>
  <c r="H7" i="29" s="1"/>
  <c r="C7" i="29"/>
  <c r="E7" i="29" s="1"/>
  <c r="F6" i="29"/>
  <c r="C6" i="29"/>
  <c r="E6" i="29" s="1"/>
  <c r="F5" i="29"/>
  <c r="G5" i="29" s="1"/>
  <c r="H5" i="29" s="1"/>
  <c r="C5" i="29"/>
  <c r="E5" i="29" s="1"/>
  <c r="C4" i="29"/>
  <c r="F15" i="18"/>
  <c r="C15" i="18"/>
  <c r="E15" i="18" s="1"/>
  <c r="F14" i="18"/>
  <c r="C14" i="18"/>
  <c r="F13" i="18"/>
  <c r="C13" i="18"/>
  <c r="F12" i="18"/>
  <c r="C12" i="18"/>
  <c r="F11" i="18"/>
  <c r="C11" i="18"/>
  <c r="F10" i="18"/>
  <c r="C10" i="18"/>
  <c r="F9" i="18"/>
  <c r="C9" i="18"/>
  <c r="E9" i="18" s="1"/>
  <c r="F8" i="18"/>
  <c r="C8" i="18"/>
  <c r="F7" i="18"/>
  <c r="C7" i="18"/>
  <c r="E7" i="18" s="1"/>
  <c r="F6" i="18"/>
  <c r="C6" i="18"/>
  <c r="F5" i="18"/>
  <c r="C5" i="18"/>
  <c r="E5" i="18" s="1"/>
  <c r="F4" i="18"/>
  <c r="B4" i="30" a="1"/>
  <c r="B4" i="30" s="1"/>
  <c r="A1" i="30" a="1"/>
  <c r="A1" i="30"/>
  <c r="B4" i="29" a="1"/>
  <c r="B4" i="29" s="1"/>
  <c r="A4" i="29" a="1"/>
  <c r="A4" i="29" s="1"/>
  <c r="A1" i="29" a="1"/>
  <c r="A1" i="29"/>
  <c r="B4" i="18" a="1"/>
  <c r="B4" i="18" s="1"/>
  <c r="A4" i="18" a="1"/>
  <c r="A4" i="18" s="1"/>
  <c r="A1" i="18" a="1"/>
  <c r="A1" i="18" s="1"/>
  <c r="C15" i="1"/>
  <c r="C14" i="1"/>
  <c r="C13" i="1"/>
  <c r="C12" i="1"/>
  <c r="C11" i="1"/>
  <c r="C10" i="1"/>
  <c r="C9" i="1"/>
  <c r="C8" i="1"/>
  <c r="C7" i="1"/>
  <c r="C6" i="1"/>
  <c r="C5" i="1"/>
  <c r="C4" i="1"/>
  <c r="F6" i="1"/>
  <c r="F7" i="1"/>
  <c r="F8" i="1"/>
  <c r="F9" i="1"/>
  <c r="F10" i="1"/>
  <c r="F11" i="1"/>
  <c r="F12" i="1"/>
  <c r="G12" i="1" s="1"/>
  <c r="H12" i="1" s="1"/>
  <c r="F13" i="1"/>
  <c r="F14" i="1"/>
  <c r="G14" i="1" s="1"/>
  <c r="H14" i="1" s="1"/>
  <c r="F15" i="1"/>
  <c r="F5" i="1"/>
  <c r="F4" i="1"/>
  <c r="B4" i="1" a="1"/>
  <c r="B4" i="1" s="1"/>
  <c r="A4" i="1" a="1"/>
  <c r="A4" i="1" s="1"/>
  <c r="A1" i="1" a="1"/>
  <c r="A1" i="1" s="1"/>
  <c r="I15" i="30"/>
  <c r="H15" i="33"/>
  <c r="I14" i="30"/>
  <c r="H14" i="33"/>
  <c r="I13" i="30"/>
  <c r="H13" i="33"/>
  <c r="K12" i="33"/>
  <c r="H12" i="33"/>
  <c r="K11" i="33"/>
  <c r="H11" i="33"/>
  <c r="K10" i="33"/>
  <c r="H10" i="33"/>
  <c r="K9" i="33"/>
  <c r="H9" i="33"/>
  <c r="K8" i="33"/>
  <c r="H8" i="33"/>
  <c r="K7" i="33"/>
  <c r="H7" i="33"/>
  <c r="K6" i="33"/>
  <c r="H6" i="33"/>
  <c r="K5" i="33"/>
  <c r="H5" i="33"/>
  <c r="K4" i="33"/>
  <c r="H4" i="33"/>
  <c r="I2" i="33"/>
  <c r="F2" i="33"/>
  <c r="C2" i="33"/>
  <c r="L2" i="33" s="1"/>
  <c r="A1" i="33" a="1"/>
  <c r="A1" i="33" s="1"/>
  <c r="H15" i="32"/>
  <c r="K14" i="32"/>
  <c r="H14" i="32"/>
  <c r="K13" i="32"/>
  <c r="H13" i="32"/>
  <c r="H12" i="32"/>
  <c r="K11" i="32"/>
  <c r="H11" i="32"/>
  <c r="K10" i="32"/>
  <c r="H10" i="32"/>
  <c r="K9" i="32"/>
  <c r="H9" i="32"/>
  <c r="K8" i="32"/>
  <c r="H8" i="32"/>
  <c r="K7" i="32"/>
  <c r="H7" i="32"/>
  <c r="H6" i="32"/>
  <c r="K5" i="32"/>
  <c r="H5" i="32"/>
  <c r="K4" i="32"/>
  <c r="H4" i="32"/>
  <c r="I2" i="32"/>
  <c r="F2" i="32"/>
  <c r="C2" i="32"/>
  <c r="L2" i="32" s="1"/>
  <c r="A1" i="32" a="1"/>
  <c r="A1" i="32" s="1"/>
  <c r="K15" i="31"/>
  <c r="H15" i="31"/>
  <c r="K14" i="31"/>
  <c r="H14" i="31"/>
  <c r="K13" i="31"/>
  <c r="H13" i="31"/>
  <c r="K12" i="31"/>
  <c r="H12" i="31"/>
  <c r="K11" i="31"/>
  <c r="H11" i="31"/>
  <c r="K10" i="31"/>
  <c r="H10" i="31"/>
  <c r="K9" i="31"/>
  <c r="H9" i="31"/>
  <c r="K8" i="31"/>
  <c r="H8" i="31"/>
  <c r="K7" i="31"/>
  <c r="H7" i="31"/>
  <c r="K6" i="31"/>
  <c r="H6" i="31"/>
  <c r="K5" i="31"/>
  <c r="H5" i="31"/>
  <c r="K4" i="31"/>
  <c r="H4" i="31"/>
  <c r="I2" i="31"/>
  <c r="F2" i="31"/>
  <c r="A1" i="31" a="1"/>
  <c r="A1" i="31"/>
  <c r="K15" i="28"/>
  <c r="H15" i="28"/>
  <c r="K14" i="28"/>
  <c r="I14" i="29" s="1"/>
  <c r="H14" i="28"/>
  <c r="K13" i="28"/>
  <c r="H13" i="28"/>
  <c r="K12" i="28"/>
  <c r="H12" i="28"/>
  <c r="K11" i="28"/>
  <c r="H11" i="28"/>
  <c r="K10" i="28"/>
  <c r="J10" i="29" s="1"/>
  <c r="H10" i="28"/>
  <c r="K9" i="28"/>
  <c r="J9" i="29" s="1"/>
  <c r="I9" i="29"/>
  <c r="H9" i="28"/>
  <c r="K8" i="28"/>
  <c r="J8" i="29" s="1"/>
  <c r="H8" i="28"/>
  <c r="K7" i="28"/>
  <c r="H7" i="28"/>
  <c r="K6" i="28"/>
  <c r="H6" i="28"/>
  <c r="K5" i="28"/>
  <c r="H5" i="28"/>
  <c r="K4" i="28"/>
  <c r="J4" i="29" s="1"/>
  <c r="K4" i="29" s="1"/>
  <c r="H4" i="28"/>
  <c r="B4" i="28" a="1"/>
  <c r="B4" i="28" s="1"/>
  <c r="A4" i="28" a="1"/>
  <c r="A4" i="28" s="1"/>
  <c r="J2" i="28"/>
  <c r="K2" i="28" s="1"/>
  <c r="L2" i="28" s="1"/>
  <c r="G2" i="28"/>
  <c r="C2" i="28"/>
  <c r="E2" i="28"/>
  <c r="A1" i="28" a="1"/>
  <c r="A1" i="28"/>
  <c r="K15" i="27"/>
  <c r="K14" i="27"/>
  <c r="K13" i="27"/>
  <c r="I13" i="29" s="1"/>
  <c r="J12" i="29"/>
  <c r="K11" i="27"/>
  <c r="K10" i="27"/>
  <c r="I10" i="29" s="1"/>
  <c r="K9" i="27"/>
  <c r="K8" i="27"/>
  <c r="K7" i="27"/>
  <c r="I7" i="29" s="1"/>
  <c r="K6" i="27"/>
  <c r="J5" i="29"/>
  <c r="K5" i="27"/>
  <c r="K4" i="27"/>
  <c r="I4" i="29" s="1"/>
  <c r="I2" i="27"/>
  <c r="C2" i="27"/>
  <c r="A1" i="27" a="1"/>
  <c r="A1" i="27"/>
  <c r="K15" i="26"/>
  <c r="H15" i="26"/>
  <c r="K14" i="26"/>
  <c r="H14" i="26"/>
  <c r="K13" i="26"/>
  <c r="H13" i="26"/>
  <c r="H12" i="26"/>
  <c r="K11" i="26"/>
  <c r="H11" i="26"/>
  <c r="K10" i="26"/>
  <c r="H10" i="26"/>
  <c r="H9" i="26"/>
  <c r="K8" i="26"/>
  <c r="H8" i="26"/>
  <c r="H7" i="26"/>
  <c r="H6" i="26"/>
  <c r="K5" i="26"/>
  <c r="H5" i="26"/>
  <c r="K4" i="26"/>
  <c r="H4" i="26"/>
  <c r="I2" i="26"/>
  <c r="F2" i="26"/>
  <c r="C2" i="26"/>
  <c r="E2" i="26"/>
  <c r="A1" i="26" a="1"/>
  <c r="A1" i="26"/>
  <c r="K15" i="19"/>
  <c r="L15" i="19" s="1"/>
  <c r="H15" i="19"/>
  <c r="I15" i="19" s="1"/>
  <c r="K14" i="19"/>
  <c r="L14" i="19" s="1"/>
  <c r="H14" i="19"/>
  <c r="I14" i="19" s="1"/>
  <c r="K13" i="19"/>
  <c r="L13" i="19" s="1"/>
  <c r="H13" i="19"/>
  <c r="I13" i="19" s="1"/>
  <c r="K12" i="19"/>
  <c r="L12" i="19" s="1"/>
  <c r="H12" i="19"/>
  <c r="I12" i="19" s="1"/>
  <c r="K11" i="19"/>
  <c r="L11" i="19" s="1"/>
  <c r="H11" i="19"/>
  <c r="I11" i="19" s="1"/>
  <c r="K10" i="19"/>
  <c r="H10" i="19"/>
  <c r="I10" i="19" s="1"/>
  <c r="K9" i="19"/>
  <c r="L9" i="19" s="1"/>
  <c r="H9" i="19"/>
  <c r="I9" i="19" s="1"/>
  <c r="K8" i="19"/>
  <c r="L8" i="19" s="1"/>
  <c r="H8" i="19"/>
  <c r="I8" i="19" s="1"/>
  <c r="K7" i="19"/>
  <c r="L7" i="19" s="1"/>
  <c r="H7" i="19"/>
  <c r="I7" i="19" s="1"/>
  <c r="K6" i="19"/>
  <c r="L6" i="19" s="1"/>
  <c r="H6" i="19"/>
  <c r="I6" i="19" s="1"/>
  <c r="K5" i="19"/>
  <c r="L5" i="19" s="1"/>
  <c r="H5" i="19"/>
  <c r="I5" i="19" s="1"/>
  <c r="K4" i="19"/>
  <c r="L4" i="19" s="1"/>
  <c r="H4" i="19"/>
  <c r="I4" i="19" s="1"/>
  <c r="J2" i="19"/>
  <c r="K2" i="19" s="1"/>
  <c r="L2" i="19" s="1"/>
  <c r="G2" i="19"/>
  <c r="C2" i="19"/>
  <c r="E2" i="19" s="1"/>
  <c r="A1" i="19" a="1"/>
  <c r="A1" i="19"/>
  <c r="I2" i="20"/>
  <c r="F2" i="20"/>
  <c r="C2" i="20"/>
  <c r="A1" i="20" a="1"/>
  <c r="A1" i="20"/>
  <c r="K14" i="21"/>
  <c r="H14" i="21"/>
  <c r="K13" i="21"/>
  <c r="H13" i="21"/>
  <c r="H11" i="21"/>
  <c r="K10" i="21"/>
  <c r="H10" i="21"/>
  <c r="K9" i="21"/>
  <c r="H9" i="21"/>
  <c r="K8" i="21"/>
  <c r="K7" i="21"/>
  <c r="H7" i="21"/>
  <c r="K6" i="21"/>
  <c r="I2" i="21"/>
  <c r="F2" i="21"/>
  <c r="C2" i="21"/>
  <c r="A1" i="21" a="1"/>
  <c r="A1" i="21" s="1"/>
  <c r="K15" i="4"/>
  <c r="H15" i="4"/>
  <c r="K14" i="4"/>
  <c r="L14" i="4" s="1"/>
  <c r="H14" i="4"/>
  <c r="I14" i="4" s="1"/>
  <c r="K13" i="4"/>
  <c r="H13" i="4"/>
  <c r="K12" i="4"/>
  <c r="H12" i="4"/>
  <c r="K11" i="4"/>
  <c r="H11" i="4"/>
  <c r="K10" i="4"/>
  <c r="H10" i="4"/>
  <c r="K9" i="4"/>
  <c r="H9" i="4"/>
  <c r="K8" i="4"/>
  <c r="L8" i="4" s="1"/>
  <c r="H8" i="4"/>
  <c r="I8" i="4" s="1"/>
  <c r="K7" i="4"/>
  <c r="H7" i="4"/>
  <c r="K6" i="4"/>
  <c r="H6" i="4"/>
  <c r="K5" i="4"/>
  <c r="H5" i="4"/>
  <c r="K4" i="4"/>
  <c r="J2" i="4"/>
  <c r="G2" i="4"/>
  <c r="C2" i="4"/>
  <c r="A1" i="4" a="1"/>
  <c r="A1" i="4"/>
  <c r="I2" i="3"/>
  <c r="F2" i="3"/>
  <c r="C2" i="3"/>
  <c r="L2" i="3"/>
  <c r="A1" i="3" a="1"/>
  <c r="A1" i="3"/>
  <c r="G5" i="72"/>
  <c r="H5" i="72"/>
  <c r="G6" i="72"/>
  <c r="H6" i="72"/>
  <c r="G7" i="72"/>
  <c r="H7" i="72"/>
  <c r="G8" i="72"/>
  <c r="H8" i="72"/>
  <c r="G9" i="72"/>
  <c r="H9" i="72"/>
  <c r="G10" i="72"/>
  <c r="H10" i="72"/>
  <c r="G11" i="72"/>
  <c r="H11" i="72"/>
  <c r="G12" i="72"/>
  <c r="H12" i="72"/>
  <c r="G13" i="72"/>
  <c r="H13" i="72"/>
  <c r="G14" i="72"/>
  <c r="H14" i="72"/>
  <c r="G15" i="72"/>
  <c r="H15" i="72"/>
  <c r="J6" i="72"/>
  <c r="K6" i="72"/>
  <c r="K7" i="72"/>
  <c r="J8" i="72"/>
  <c r="K8" i="72"/>
  <c r="J9" i="72"/>
  <c r="K9" i="72"/>
  <c r="J10" i="72"/>
  <c r="K10" i="72"/>
  <c r="J11" i="72"/>
  <c r="K11" i="72"/>
  <c r="J12" i="72"/>
  <c r="K12" i="72"/>
  <c r="J13" i="72"/>
  <c r="K13" i="72"/>
  <c r="J14" i="72"/>
  <c r="K14" i="72"/>
  <c r="J15" i="72"/>
  <c r="K15" i="72"/>
  <c r="J5" i="72"/>
  <c r="K5" i="72"/>
  <c r="J4" i="72"/>
  <c r="K4" i="72"/>
  <c r="I2" i="72"/>
  <c r="F2" i="72"/>
  <c r="C2" i="72"/>
  <c r="E2" i="72" s="1"/>
  <c r="L2" i="72"/>
  <c r="G4" i="72"/>
  <c r="H4" i="72"/>
  <c r="A1" i="72" a="1"/>
  <c r="A1" i="72"/>
  <c r="J18" i="29"/>
  <c r="I18" i="29"/>
  <c r="J21" i="29"/>
  <c r="I21" i="29"/>
  <c r="I8" i="29"/>
  <c r="E2" i="27"/>
  <c r="J16" i="29"/>
  <c r="J15" i="29"/>
  <c r="G18" i="29"/>
  <c r="H18" i="29" s="1"/>
  <c r="J7" i="29"/>
  <c r="J13" i="29"/>
  <c r="G8" i="29"/>
  <c r="H8" i="29" s="1"/>
  <c r="G14" i="29"/>
  <c r="H14" i="29" s="1"/>
  <c r="G19" i="29"/>
  <c r="H19" i="29" s="1"/>
  <c r="J20" i="29"/>
  <c r="K16" i="26"/>
  <c r="G12" i="29"/>
  <c r="H12" i="29"/>
  <c r="K18" i="26"/>
  <c r="G17" i="29"/>
  <c r="H17" i="29"/>
  <c r="K17" i="26"/>
  <c r="G11" i="29"/>
  <c r="H11" i="29" s="1"/>
  <c r="G12" i="18"/>
  <c r="H12" i="18" s="1"/>
  <c r="J18" i="18"/>
  <c r="K18" i="18" s="1"/>
  <c r="J16" i="18"/>
  <c r="K16" i="18" s="1"/>
  <c r="J2" i="31"/>
  <c r="K2" i="31" s="1"/>
  <c r="L2" i="31"/>
  <c r="M2" i="28"/>
  <c r="H2" i="28"/>
  <c r="I2" i="28" s="1"/>
  <c r="J2" i="27"/>
  <c r="K2" i="27" s="1"/>
  <c r="L2" i="27"/>
  <c r="J2" i="26"/>
  <c r="K2" i="26"/>
  <c r="L2" i="26"/>
  <c r="M2" i="19"/>
  <c r="K20" i="72"/>
  <c r="K18" i="72"/>
  <c r="K19" i="72"/>
  <c r="K17" i="72"/>
  <c r="K9" i="26"/>
  <c r="K12" i="26"/>
  <c r="G15" i="29"/>
  <c r="H15" i="29" s="1"/>
  <c r="K7" i="26"/>
  <c r="J7" i="18"/>
  <c r="J6" i="34"/>
  <c r="G4" i="29"/>
  <c r="H4" i="29" s="1"/>
  <c r="J10" i="1"/>
  <c r="K10" i="1" s="1"/>
  <c r="J6" i="1"/>
  <c r="G2" i="31"/>
  <c r="H2" i="31" s="1"/>
  <c r="G2" i="26"/>
  <c r="H2" i="26" s="1"/>
  <c r="J2" i="72"/>
  <c r="K2" i="72" s="1"/>
  <c r="K13" i="29"/>
  <c r="G2" i="72"/>
  <c r="H2" i="72"/>
  <c r="J8" i="18" l="1"/>
  <c r="J9" i="18"/>
  <c r="J6" i="18"/>
  <c r="B4" i="19"/>
  <c r="J10" i="18"/>
  <c r="L10" i="19"/>
  <c r="J20" i="18"/>
  <c r="J14" i="18"/>
  <c r="K14" i="18" s="1"/>
  <c r="H2" i="19"/>
  <c r="I2" i="19" s="1"/>
  <c r="D9" i="34"/>
  <c r="D11" i="34"/>
  <c r="E8" i="18"/>
  <c r="D7" i="34"/>
  <c r="D5" i="34"/>
  <c r="E14" i="18"/>
  <c r="D14" i="34"/>
  <c r="D21" i="34"/>
  <c r="E13" i="18"/>
  <c r="D13" i="34"/>
  <c r="D19" i="34"/>
  <c r="E2" i="20"/>
  <c r="J23" i="18"/>
  <c r="K23" i="18" s="1"/>
  <c r="K23" i="21"/>
  <c r="E11" i="18"/>
  <c r="G11" i="18"/>
  <c r="H11" i="18" s="1"/>
  <c r="G16" i="18"/>
  <c r="H16" i="18" s="1"/>
  <c r="G23" i="18"/>
  <c r="H23" i="18" s="1"/>
  <c r="D18" i="34"/>
  <c r="J11" i="18"/>
  <c r="E16" i="18"/>
  <c r="G2" i="21"/>
  <c r="H2" i="21" s="1"/>
  <c r="D20" i="34"/>
  <c r="E20" i="18"/>
  <c r="K20" i="21"/>
  <c r="J15" i="18"/>
  <c r="K15" i="18" s="1"/>
  <c r="J5" i="18"/>
  <c r="K5" i="18" s="1"/>
  <c r="D4" i="34"/>
  <c r="D8" i="34"/>
  <c r="E2" i="21"/>
  <c r="G8" i="18"/>
  <c r="H8" i="18" s="1"/>
  <c r="G15" i="18"/>
  <c r="H15" i="18" s="1"/>
  <c r="E10" i="18"/>
  <c r="E4" i="18"/>
  <c r="E12" i="18"/>
  <c r="G21" i="18"/>
  <c r="H21" i="18" s="1"/>
  <c r="D22" i="34"/>
  <c r="K20" i="18"/>
  <c r="G9" i="18"/>
  <c r="H9" i="18" s="1"/>
  <c r="D10" i="34"/>
  <c r="E22" i="18"/>
  <c r="G22" i="18"/>
  <c r="H22" i="18" s="1"/>
  <c r="G18" i="18"/>
  <c r="H18" i="18" s="1"/>
  <c r="D6" i="34"/>
  <c r="K10" i="18"/>
  <c r="K11" i="18"/>
  <c r="K7" i="18"/>
  <c r="D12" i="34"/>
  <c r="E6" i="18"/>
  <c r="G19" i="18"/>
  <c r="H19" i="18" s="1"/>
  <c r="G13" i="18"/>
  <c r="H13" i="18" s="1"/>
  <c r="G5" i="18"/>
  <c r="H5" i="18" s="1"/>
  <c r="G17" i="18"/>
  <c r="H17" i="18" s="1"/>
  <c r="K6" i="18"/>
  <c r="K9" i="18"/>
  <c r="G20" i="18"/>
  <c r="H20" i="18" s="1"/>
  <c r="L2" i="21"/>
  <c r="J2" i="21"/>
  <c r="K2" i="21" s="1"/>
  <c r="E16" i="1"/>
  <c r="E8" i="1"/>
  <c r="E7" i="1"/>
  <c r="E2" i="4"/>
  <c r="H2" i="4"/>
  <c r="I2" i="4" s="1"/>
  <c r="G9" i="1"/>
  <c r="H9" i="1" s="1"/>
  <c r="G11" i="1"/>
  <c r="H11" i="1" s="1"/>
  <c r="J15" i="34"/>
  <c r="J10" i="34"/>
  <c r="J9" i="34"/>
  <c r="E10" i="1"/>
  <c r="E5" i="1"/>
  <c r="E4" i="1"/>
  <c r="G15" i="1"/>
  <c r="H15" i="1" s="1"/>
  <c r="K15" i="3"/>
  <c r="G13" i="1"/>
  <c r="H13" i="1" s="1"/>
  <c r="K9" i="3"/>
  <c r="G20" i="1"/>
  <c r="H20" i="1" s="1"/>
  <c r="G17" i="1"/>
  <c r="H17" i="1" s="1"/>
  <c r="J15" i="1"/>
  <c r="J14" i="1"/>
  <c r="K14" i="1" s="1"/>
  <c r="J14" i="34"/>
  <c r="J8" i="34"/>
  <c r="K6" i="1"/>
  <c r="J5" i="1"/>
  <c r="K5" i="1"/>
  <c r="J5" i="34"/>
  <c r="G4" i="1"/>
  <c r="H4" i="1" s="1"/>
  <c r="E9" i="1"/>
  <c r="G7" i="1"/>
  <c r="H7" i="1" s="1"/>
  <c r="G18" i="1"/>
  <c r="H18" i="1" s="1"/>
  <c r="E2" i="3"/>
  <c r="E18" i="1"/>
  <c r="G5" i="1"/>
  <c r="H5" i="1" s="1"/>
  <c r="E6" i="1"/>
  <c r="J18" i="1"/>
  <c r="K18" i="1" s="1"/>
  <c r="J21" i="34"/>
  <c r="E14" i="1"/>
  <c r="E17" i="1"/>
  <c r="J21" i="1"/>
  <c r="G6" i="1"/>
  <c r="H6" i="1" s="1"/>
  <c r="E15" i="1"/>
  <c r="J22" i="1"/>
  <c r="J18" i="34"/>
  <c r="J17" i="34"/>
  <c r="J4" i="1"/>
  <c r="K4" i="1" s="1"/>
  <c r="G2" i="3"/>
  <c r="H2" i="3" s="1"/>
  <c r="K22" i="3"/>
  <c r="J2" i="3"/>
  <c r="K2" i="3" s="1"/>
  <c r="J22" i="34"/>
  <c r="E18" i="30"/>
  <c r="D2" i="30"/>
  <c r="E18" i="29"/>
  <c r="K7" i="29"/>
  <c r="C2" i="29"/>
  <c r="E2" i="29" s="1"/>
  <c r="E22" i="29"/>
  <c r="F2" i="18"/>
  <c r="D2" i="18"/>
  <c r="G6" i="18"/>
  <c r="H6" i="18" s="1"/>
  <c r="E17" i="18"/>
  <c r="E18" i="18"/>
  <c r="G7" i="18"/>
  <c r="H7" i="18" s="1"/>
  <c r="E19" i="18"/>
  <c r="E20" i="1"/>
  <c r="E11" i="1"/>
  <c r="E19" i="1"/>
  <c r="E12" i="1"/>
  <c r="E13" i="1"/>
  <c r="E21" i="1"/>
  <c r="D2" i="1"/>
  <c r="G19" i="1"/>
  <c r="H19" i="1" s="1"/>
  <c r="C9" i="34"/>
  <c r="E9" i="34" s="1"/>
  <c r="C13" i="34"/>
  <c r="E13" i="34" s="1"/>
  <c r="C20" i="34"/>
  <c r="G10" i="1"/>
  <c r="H10" i="1" s="1"/>
  <c r="E22" i="1"/>
  <c r="C22" i="34"/>
  <c r="F2" i="1"/>
  <c r="G4" i="18"/>
  <c r="H4" i="18" s="1"/>
  <c r="I15" i="29"/>
  <c r="I17" i="29"/>
  <c r="I17" i="34" s="1"/>
  <c r="K8" i="18"/>
  <c r="J19" i="34"/>
  <c r="F17" i="34"/>
  <c r="F22" i="34"/>
  <c r="K15" i="29"/>
  <c r="F20" i="34"/>
  <c r="J8" i="1"/>
  <c r="K8" i="1" s="1"/>
  <c r="K15" i="1"/>
  <c r="G10" i="18"/>
  <c r="H10" i="18" s="1"/>
  <c r="G14" i="18"/>
  <c r="H14" i="18" s="1"/>
  <c r="H22" i="29"/>
  <c r="F19" i="34"/>
  <c r="K18" i="29"/>
  <c r="K8" i="29"/>
  <c r="I5" i="29"/>
  <c r="K5" i="29" s="1"/>
  <c r="J22" i="18"/>
  <c r="K22" i="18" s="1"/>
  <c r="K22" i="29"/>
  <c r="K20" i="29"/>
  <c r="F5" i="34"/>
  <c r="J16" i="34"/>
  <c r="K16" i="72"/>
  <c r="K16" i="29"/>
  <c r="K4" i="20"/>
  <c r="I6" i="29"/>
  <c r="K12" i="27"/>
  <c r="I12" i="29" s="1"/>
  <c r="K12" i="29" s="1"/>
  <c r="G6" i="29"/>
  <c r="H6" i="29" s="1"/>
  <c r="G10" i="29"/>
  <c r="H10" i="29" s="1"/>
  <c r="C6" i="34"/>
  <c r="F9" i="34"/>
  <c r="F13" i="34"/>
  <c r="J13" i="1"/>
  <c r="K13" i="1" s="1"/>
  <c r="J13" i="34"/>
  <c r="J11" i="34"/>
  <c r="J11" i="1"/>
  <c r="K11" i="1" s="1"/>
  <c r="J9" i="1"/>
  <c r="K9" i="1" s="1"/>
  <c r="J7" i="1"/>
  <c r="K7" i="1" s="1"/>
  <c r="J7" i="34"/>
  <c r="J17" i="29"/>
  <c r="K17" i="29" s="1"/>
  <c r="J20" i="1"/>
  <c r="K20" i="1" s="1"/>
  <c r="C2" i="1"/>
  <c r="G8" i="1"/>
  <c r="H8" i="1" s="1"/>
  <c r="C2" i="18"/>
  <c r="F6" i="34"/>
  <c r="C10" i="34"/>
  <c r="C14" i="34"/>
  <c r="E14" i="34" s="1"/>
  <c r="I2" i="1"/>
  <c r="K19" i="26"/>
  <c r="I11" i="29"/>
  <c r="K21" i="29"/>
  <c r="J11" i="29"/>
  <c r="J19" i="1"/>
  <c r="K19" i="1" s="1"/>
  <c r="J13" i="18"/>
  <c r="K13" i="18" s="1"/>
  <c r="J20" i="34"/>
  <c r="K10" i="29"/>
  <c r="I15" i="34"/>
  <c r="K15" i="34" s="1"/>
  <c r="J19" i="18"/>
  <c r="K19" i="18" s="1"/>
  <c r="J17" i="18"/>
  <c r="K17" i="18" s="1"/>
  <c r="K17" i="21"/>
  <c r="I19" i="29"/>
  <c r="I19" i="34" s="1"/>
  <c r="J12" i="1"/>
  <c r="K12" i="1" s="1"/>
  <c r="J12" i="34"/>
  <c r="J21" i="18"/>
  <c r="K21" i="18" s="1"/>
  <c r="K21" i="21"/>
  <c r="K6" i="26"/>
  <c r="J6" i="29"/>
  <c r="J14" i="29"/>
  <c r="K14" i="29" s="1"/>
  <c r="G2" i="20"/>
  <c r="H2" i="20" s="1"/>
  <c r="L2" i="20"/>
  <c r="J2" i="20"/>
  <c r="K2" i="20" s="1"/>
  <c r="J12" i="18"/>
  <c r="K12" i="18" s="1"/>
  <c r="K9" i="29"/>
  <c r="H21" i="33"/>
  <c r="G21" i="1"/>
  <c r="H21" i="1" s="1"/>
  <c r="F2" i="29"/>
  <c r="G2" i="29" s="1"/>
  <c r="H2" i="29" s="1"/>
  <c r="G22" i="30"/>
  <c r="H22" i="30" s="1"/>
  <c r="F10" i="34"/>
  <c r="F14" i="34"/>
  <c r="I20" i="34"/>
  <c r="J22" i="30"/>
  <c r="C7" i="34"/>
  <c r="E7" i="34" s="1"/>
  <c r="C11" i="34"/>
  <c r="E11" i="34" s="1"/>
  <c r="I16" i="34"/>
  <c r="C19" i="34"/>
  <c r="E19" i="34" s="1"/>
  <c r="F16" i="34"/>
  <c r="E2" i="32"/>
  <c r="M2" i="4"/>
  <c r="I13" i="34"/>
  <c r="C4" i="34"/>
  <c r="E4" i="34" s="1"/>
  <c r="F7" i="34"/>
  <c r="F11" i="34"/>
  <c r="F15" i="34"/>
  <c r="G20" i="30"/>
  <c r="H20" i="30" s="1"/>
  <c r="F21" i="34"/>
  <c r="C16" i="34"/>
  <c r="E16" i="34" s="1"/>
  <c r="C12" i="34"/>
  <c r="C21" i="34"/>
  <c r="E21" i="34" s="1"/>
  <c r="F18" i="34"/>
  <c r="C17" i="34"/>
  <c r="E17" i="34" s="1"/>
  <c r="K2" i="4"/>
  <c r="L2" i="4" s="1"/>
  <c r="I14" i="34"/>
  <c r="C5" i="34"/>
  <c r="E5" i="34" s="1"/>
  <c r="F8" i="34"/>
  <c r="F12" i="34"/>
  <c r="E2" i="33"/>
  <c r="G10" i="30"/>
  <c r="H10" i="30" s="1"/>
  <c r="G19" i="30"/>
  <c r="H19" i="30" s="1"/>
  <c r="K17" i="33"/>
  <c r="H22" i="33"/>
  <c r="K15" i="33"/>
  <c r="I22" i="30"/>
  <c r="I22" i="34" s="1"/>
  <c r="K22" i="34" s="1"/>
  <c r="K22" i="33"/>
  <c r="K20" i="33"/>
  <c r="I18" i="30"/>
  <c r="I18" i="34" s="1"/>
  <c r="G17" i="30"/>
  <c r="H17" i="30" s="1"/>
  <c r="J12" i="30"/>
  <c r="I8" i="30"/>
  <c r="I8" i="34" s="1"/>
  <c r="J10" i="30"/>
  <c r="J14" i="30"/>
  <c r="K14" i="30" s="1"/>
  <c r="G8" i="30"/>
  <c r="H8" i="30" s="1"/>
  <c r="K16" i="33"/>
  <c r="J7" i="30"/>
  <c r="C8" i="34"/>
  <c r="E8" i="34" s="1"/>
  <c r="G6" i="30"/>
  <c r="H6" i="30" s="1"/>
  <c r="I7" i="30"/>
  <c r="I7" i="34" s="1"/>
  <c r="I9" i="30"/>
  <c r="I9" i="34" s="1"/>
  <c r="K9" i="34" s="1"/>
  <c r="H21" i="30"/>
  <c r="I4" i="30"/>
  <c r="I4" i="34" s="1"/>
  <c r="I21" i="30"/>
  <c r="I21" i="34" s="1"/>
  <c r="K14" i="33"/>
  <c r="J2" i="33"/>
  <c r="K2" i="33" s="1"/>
  <c r="G15" i="30"/>
  <c r="H15" i="30" s="1"/>
  <c r="K19" i="33"/>
  <c r="G18" i="30"/>
  <c r="H18" i="30" s="1"/>
  <c r="I5" i="30"/>
  <c r="I12" i="30"/>
  <c r="J6" i="30"/>
  <c r="G9" i="30"/>
  <c r="H9" i="30" s="1"/>
  <c r="G14" i="30"/>
  <c r="H14" i="30" s="1"/>
  <c r="I11" i="30"/>
  <c r="J15" i="30"/>
  <c r="K15" i="30" s="1"/>
  <c r="I10" i="30"/>
  <c r="I10" i="34" s="1"/>
  <c r="K10" i="34" s="1"/>
  <c r="J21" i="30"/>
  <c r="J4" i="30"/>
  <c r="G16" i="30"/>
  <c r="H16" i="30" s="1"/>
  <c r="C18" i="34"/>
  <c r="B4" i="33"/>
  <c r="I6" i="30"/>
  <c r="I6" i="34" s="1"/>
  <c r="K6" i="34" s="1"/>
  <c r="J9" i="30"/>
  <c r="G2" i="33"/>
  <c r="H2" i="33" s="1"/>
  <c r="K13" i="33"/>
  <c r="G13" i="30"/>
  <c r="H13" i="30" s="1"/>
  <c r="C15" i="34"/>
  <c r="E15" i="34" s="1"/>
  <c r="G12" i="30"/>
  <c r="H12" i="30" s="1"/>
  <c r="J20" i="30"/>
  <c r="K20" i="30" s="1"/>
  <c r="K12" i="32"/>
  <c r="G5" i="30"/>
  <c r="H5" i="30" s="1"/>
  <c r="K15" i="32"/>
  <c r="J8" i="30"/>
  <c r="J13" i="30"/>
  <c r="K13" i="30" s="1"/>
  <c r="G4" i="30"/>
  <c r="H4" i="30" s="1"/>
  <c r="G11" i="30"/>
  <c r="H11" i="30" s="1"/>
  <c r="J19" i="30"/>
  <c r="K19" i="30" s="1"/>
  <c r="J18" i="30"/>
  <c r="J17" i="30"/>
  <c r="K17" i="30" s="1"/>
  <c r="J16" i="30"/>
  <c r="K16" i="30" s="1"/>
  <c r="J11" i="30"/>
  <c r="F2" i="30"/>
  <c r="J2" i="32"/>
  <c r="K2" i="32" s="1"/>
  <c r="G7" i="30"/>
  <c r="H7" i="30" s="1"/>
  <c r="C2" i="30"/>
  <c r="K6" i="32"/>
  <c r="J5" i="30"/>
  <c r="G2" i="32"/>
  <c r="H2" i="32" s="1"/>
  <c r="F4" i="34"/>
  <c r="E22" i="34" l="1"/>
  <c r="D2" i="34"/>
  <c r="E18" i="34"/>
  <c r="E10" i="34"/>
  <c r="E6" i="34"/>
  <c r="G9" i="34"/>
  <c r="H9" i="34" s="1"/>
  <c r="E12" i="34"/>
  <c r="K8" i="34"/>
  <c r="K14" i="34"/>
  <c r="K18" i="34"/>
  <c r="K17" i="34"/>
  <c r="K21" i="34"/>
  <c r="G13" i="34"/>
  <c r="H13" i="34" s="1"/>
  <c r="G6" i="34"/>
  <c r="H6" i="34" s="1"/>
  <c r="G20" i="34"/>
  <c r="H20" i="34" s="1"/>
  <c r="E20" i="34"/>
  <c r="E2" i="30"/>
  <c r="K7" i="34"/>
  <c r="K19" i="29"/>
  <c r="G7" i="34"/>
  <c r="H7" i="34" s="1"/>
  <c r="E2" i="18"/>
  <c r="G17" i="34"/>
  <c r="H17" i="34" s="1"/>
  <c r="G11" i="34"/>
  <c r="H11" i="34" s="1"/>
  <c r="G22" i="34"/>
  <c r="H22" i="34" s="1"/>
  <c r="G16" i="34"/>
  <c r="H16" i="34" s="1"/>
  <c r="G19" i="34"/>
  <c r="H19" i="34" s="1"/>
  <c r="I2" i="18"/>
  <c r="J2" i="18" s="1"/>
  <c r="K2" i="18" s="1"/>
  <c r="E2" i="1"/>
  <c r="G21" i="34"/>
  <c r="H21" i="34" s="1"/>
  <c r="K19" i="34"/>
  <c r="G18" i="34"/>
  <c r="H18" i="34" s="1"/>
  <c r="G5" i="34"/>
  <c r="H5" i="34" s="1"/>
  <c r="G8" i="34"/>
  <c r="H8" i="34" s="1"/>
  <c r="I2" i="29"/>
  <c r="J2" i="29" s="1"/>
  <c r="K2" i="29" s="1"/>
  <c r="G10" i="34"/>
  <c r="H10" i="34" s="1"/>
  <c r="K13" i="34"/>
  <c r="K6" i="29"/>
  <c r="I11" i="34"/>
  <c r="K11" i="34" s="1"/>
  <c r="K16" i="34"/>
  <c r="G14" i="34"/>
  <c r="H14" i="34" s="1"/>
  <c r="K11" i="29"/>
  <c r="J2" i="1"/>
  <c r="K2" i="1" s="1"/>
  <c r="G2" i="1"/>
  <c r="H2" i="1" s="1"/>
  <c r="G15" i="34"/>
  <c r="H15" i="34" s="1"/>
  <c r="G12" i="34"/>
  <c r="H12" i="34" s="1"/>
  <c r="I12" i="34"/>
  <c r="K12" i="34" s="1"/>
  <c r="K20" i="34"/>
  <c r="G2" i="18"/>
  <c r="H2" i="18" s="1"/>
  <c r="K18" i="30"/>
  <c r="K10" i="30"/>
  <c r="K8" i="30"/>
  <c r="K22" i="30"/>
  <c r="K21" i="30"/>
  <c r="K11" i="30"/>
  <c r="K9" i="30"/>
  <c r="K7" i="30"/>
  <c r="K4" i="30"/>
  <c r="C2" i="34"/>
  <c r="E2" i="34" s="1"/>
  <c r="K5" i="30"/>
  <c r="I5" i="34"/>
  <c r="I2" i="30"/>
  <c r="J2" i="30" s="1"/>
  <c r="K2" i="30" s="1"/>
  <c r="K12" i="30"/>
  <c r="K6" i="30"/>
  <c r="G2" i="30"/>
  <c r="H2" i="30" s="1"/>
  <c r="G4" i="34"/>
  <c r="H4" i="34" s="1"/>
  <c r="F2" i="34"/>
  <c r="G2" i="34" l="1"/>
  <c r="H2" i="34" s="1"/>
  <c r="K5" i="34"/>
  <c r="I2" i="34"/>
  <c r="J2" i="34" s="1"/>
  <c r="K2" i="34" s="1"/>
  <c r="H4" i="21"/>
  <c r="H5" i="21"/>
  <c r="J4" i="18"/>
  <c r="J4" i="34" s="1"/>
  <c r="K4" i="34" s="1"/>
  <c r="K4" i="21"/>
  <c r="H6" i="21"/>
  <c r="K4" i="18"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<sst xmlns="http://schemas.openxmlformats.org/spreadsheetml/2006/main" count="519" uniqueCount="262">
  <si>
    <t>PPA Modeled Output</t>
  </si>
  <si>
    <t>Production VS Acual</t>
  </si>
  <si>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</si>
  <si>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</si>
  <si>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</si>
  <si>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</si>
  <si>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</si>
  <si>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</si>
  <si>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</si>
  <si>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</si>
  <si>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</si>
  <si>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</si>
  <si>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</si>
  <si>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</si>
  <si>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</si>
  <si>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</si>
  <si>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</si>
  <si>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</si>
  <si>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</si>
  <si>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</si>
  <si>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</si>
  <si>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</si>
  <si>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</si>
  <si>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</si>
  <si>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1.Inverter 1 tripped offline at 19:45 on 01/27 due to an arc protection fault and remained offline for through out the month.</t>
  </si>
  <si>
    <t>1.SR096073</t>
  </si>
  <si>
    <t>1.Inverter 2 tripped offline at 18:35 on 12/31/24 due to an arc protection fault. The technician cleared the fault and re-energized the inverter, bringing it back online at 12:10 on 01/03/25. Inverter 2 again tripped offline at 18:45 on 01/07/25 and was being RMA'D.</t>
  </si>
  <si>
    <t>1.SR095212,SR095408</t>
  </si>
  <si>
    <t>SR095408</t>
  </si>
  <si>
    <t>1.Inverter 5's arc board is being RMA'd to prevent recurring trips. On 01/22, the technician installed the arc board, and then Inverter 5 is producing usually.</t>
  </si>
  <si>
    <t>1.SR095363</t>
  </si>
  <si>
    <t>1.Inverters 1, 2, 3, 5 and 6 experienced multiple tripping events. On 01/29, the technician arrived and found all inverters producing. Six new strings were installed for inverters 2, 3, and 5 to prevent further insulation faults.</t>
  </si>
  <si>
    <t>1.SR093544,SR094968</t>
  </si>
  <si>
    <t>SR094968</t>
  </si>
  <si>
    <t>1.When the technician was on site to troubleshot Inverter 2 for its previous trip event on 12/17/24, he identified that it was underperforming and initiated an RMA. Inverter 2 has been in RMA since 01/03/25.</t>
  </si>
  <si>
    <t>1.SR094669,SR095487</t>
  </si>
  <si>
    <t>SR095487</t>
  </si>
  <si>
    <t>1.Inverter 9 tripped offline at 10:10 AM on 01/16/25 and self-resolved, Invereter 9  was back online at 08:30 PM on the same day.</t>
  </si>
  <si>
    <t>1.SR095637</t>
  </si>
  <si>
    <t>1.Meter current phase B is 10 amps lower than A and C and further troubleshooting will be needed.</t>
  </si>
  <si>
    <t>1.SR092732 , SR094546</t>
  </si>
  <si>
    <t>SR094546</t>
  </si>
  <si>
    <t>1.Inverter 1 has a history of multiple tripings and technician set the inverter to isolation mode and reenergized it. Then inverter 1 started producing as expected from 01/02.</t>
  </si>
  <si>
    <t>1.SR093725</t>
  </si>
  <si>
    <t>February Actual v. Expected</t>
  </si>
  <si>
    <t>February Actual v. Forecasted</t>
  </si>
  <si>
    <t>1.The site offline on 02/26 at 12:45. On 02/28, a technician checked in and reported a blown fuse and reenergized the site.</t>
  </si>
  <si>
    <t>1.SR097891</t>
  </si>
  <si>
    <t>1. Inverter 1 tripped offline at 16:45 from 01/27 due to arc protection fault and back online at 09:30 on 02/05.</t>
  </si>
  <si>
    <t>1. Inverter 2 tripped offline at 18:45 on 01/07 due to an arc protection fault and was RMA'd on 02/17.</t>
  </si>
  <si>
    <t>1.SR095408</t>
  </si>
  <si>
    <t>1. Inverter 7 tripped offline at 19:35 on 02/14 due to an isolation fault and is now under RMA'd.</t>
  </si>
  <si>
    <t>1. SR097152</t>
  </si>
  <si>
    <t>1. Inverter 1 tripped offline at 07:00 AM on 02/01 and back online at 16:55 on 02/02. It tripped offline again at 07:00 AM on 02/13 and back online at 12:40 on 02/14 due to an isolation fault.
2. Inverter 5 tripped offline at 07:00AM on 02/25 and back online at 16:55 on 
02/25.</t>
  </si>
  <si>
    <t>1. SR096910
2. SR097715</t>
  </si>
  <si>
    <t>SR097715</t>
  </si>
  <si>
    <t xml:space="preserve">1. When the technician was on site to troubleshot Inverter 2 for its previous trip event on 12/17/24, he identified that it was underperforming and initiated an RMA. Inverter 2 has been in RMA since 01/03/25. Inverter produced normally on 2/26 technician swapped with new inverter.
2.Inverter 14 has experienced multiple tripping events since 02/09 and is reporting 'PV abnormal input.' On 02/19, the technician removed the jumper bus bar and switched the input mode to 'independent' as per Chint's request, and it resumed normal operation.
3.Inverter 13 has reoccurring late starts, reporting insulation resistance low. This inverter has a history. On 02/26  technician swapped with new inverter and produced normallly.
</t>
  </si>
  <si>
    <t>1. SR094669,SR095487
2. SR096553
3.  SR92736 , SR095488</t>
  </si>
  <si>
    <t>SR096553</t>
  </si>
  <si>
    <t xml:space="preserve">SR92736 </t>
  </si>
  <si>
    <t>SR095488</t>
  </si>
  <si>
    <t>1. Inverter 5.4 tripped offline at 10:30 AM on 02/22 due to ARC protection and water in the wire box, so a new wire box is needed for replacement to get back the inverter.</t>
  </si>
  <si>
    <t>1. SR097653</t>
  </si>
  <si>
    <t>1.Meter current phase B is 10 amps lower than A and C and further troubleshooting will be needed.
2. The site was offline from 12:05 to 13:35 on 02/28 due to the technician being on site to work on the solar system.</t>
  </si>
  <si>
    <t>1. SR092732 , SR094546
2. SR094546</t>
  </si>
  <si>
    <t>1. Inverter 10 has a multiple tripings from 02/27 and technician set the inverter to
 isolation mode and reenergized it. 
2. Inverter 2 is derating by 6 kW, likely due to overheating, and is now under RMA'd.
3. Inverter 12 may have a string down (~3 kW), and inverter 8 may have several strings down (~13 kW).</t>
  </si>
  <si>
    <t>1. SR097893
2. SR097777
3. SR097778</t>
  </si>
  <si>
    <t>SR097777</t>
  </si>
  <si>
    <t>SR097778</t>
  </si>
  <si>
    <t>Q1 Production Vs PPA</t>
  </si>
  <si>
    <t>March Actual v. Expected</t>
  </si>
  <si>
    <t>March Actual v. Forecasted</t>
  </si>
  <si>
    <t>1.Site was ofline from 03:45 pm on 02/26 to 11:50 am on 03/07. On 03/07 a technician has checked in site and they replaced the blown fuse and reenergized the site.</t>
  </si>
  <si>
    <t>1.Inverter 1 is being RMA'D from 02/25 due to its communication and tripping issues.On 03/19,technician swapped the powerhead on inverter 1 .Inverter 1 is back online after technician troubleshoot the inverter.  Additionally, technician completed Preventative Maintenance Inspection for the day (PM8554).
2. The weather station has been reporting erroneous values. Its graph shows continuous fluctuations throughout the day, indicating inconsistent readings.
3. The forecasted energy values are too low for the site.</t>
  </si>
  <si>
    <t>1.SR096008
2. SR099622</t>
  </si>
  <si>
    <t>SR099622</t>
  </si>
  <si>
    <t xml:space="preserve">1. Inverter 1.4 is underperforming by 3 kW and is in independent mode </t>
  </si>
  <si>
    <t>1.SR099434</t>
  </si>
  <si>
    <t>1.Inverter 2 was being RMA'D from 02/17 due to repeated Arc Protection Faults causing it to drop offline.On 03/28, a technician has replaced Inverter 2 and it is online and producing from 01:00 pm on 03/28.</t>
  </si>
  <si>
    <t>1.Inverter 7 is being RMA'D from 02/17.On 03/25 technicians checked into the site  and mentioned that Inverter 7 required further troubleshooting, as it was only producing about 3 kW. An technician later returned to replace Inverter 7, which is back online at 12:25pm on 03/25 and  inverter 7 is underperforming by 30 kW from 03/25.</t>
  </si>
  <si>
    <t>1.SR097152,	SR099432</t>
  </si>
  <si>
    <t>SR099432</t>
  </si>
  <si>
    <t>1.Inverter 5 has experienced multiple tripping events throughout the month due to an insulation fault.
2. Inverters 1 and 2 tripped offline at 07:00 AM on 03/17 due to 'Insulation Resistance Low' and later self-resolved at 14:55 on 03/17.</t>
  </si>
  <si>
    <t>1. SR097715
2. SR098674</t>
  </si>
  <si>
    <t>SR098674</t>
  </si>
  <si>
    <t>1. The phase B and C CTs of the meter have each been 40 amps lower than the phase A CT Since 03/21. There is a 5% variance between the meter and total inverter power. After the technician swapped the phase A and B CTs, it was confirmed to be a CT issue and need to be replace. Additionally, the meter has been reporting negative values since 03/27.</t>
  </si>
  <si>
    <t>1.SR098872, 	SR099542</t>
  </si>
  <si>
    <t>SR099542</t>
  </si>
  <si>
    <t>1. Inverter 3 tripped offline at 18:20 on 03/31 and reporting Insulation Resistance Low.</t>
  </si>
  <si>
    <t>1. SR099235</t>
  </si>
  <si>
    <t>1. Inverter 5-3 was derated to a maximum of 13.8 kW on 03/17 and later self-resolved on 03/19.</t>
  </si>
  <si>
    <t>1. SR098684</t>
  </si>
  <si>
    <t>1. Inverter 5.4 tripped offline at 10:30 AM on 02/22 due to ARC protection and water in the wire box, so a new wire box is needed for replacement to get back the inverter.
2. Inverter 1.3 is underperforming by about 10 kW compared to its peers due to a string being offline for an isolated module check.</t>
  </si>
  <si>
    <t>1. SR097653
2. SR098986</t>
  </si>
  <si>
    <t>SR098986</t>
  </si>
  <si>
    <t>1 The meter's phase B CT is 25 amps lower than the phase A and C CTs. There is a 3% variance between the meter and total inverter power. After the technician arrived, it was confirmed that the meter's CTs need to be replaced.</t>
  </si>
  <si>
    <t>1. SR098874, SR092732</t>
  </si>
  <si>
    <t>SR092732</t>
  </si>
  <si>
    <t>1. Inverter 10 experienced multiple trippings from 02/27. The technician set the inverter to isolation mode and re-energized it on 03/03. After the technician confirmed that the inverter settings were modified to temporarily improve conditions, it is now under RMA.
2. Inverter 2 is derating by 6 kW, likely due to overheating, and is now under RMA. Additionally, after the technician's arrival, the inverter has been offline at 12:25 PM on 03/18 and remains offline throughout the month.</t>
  </si>
  <si>
    <t>1. SR097893
2. SR097777, 	SR099041</t>
  </si>
  <si>
    <t>SR099041</t>
  </si>
  <si>
    <t>1. Inverters 2 to 4, 7, 8 , 10, 12, 13, 15, 20, 25 and 33 had shading issue during 7:00AM to 11:00AM.</t>
  </si>
  <si>
    <t>1. SR099626</t>
  </si>
  <si>
    <t>April Actual v. Expected</t>
  </si>
  <si>
    <t>April Actual v. Forecasted</t>
  </si>
  <si>
    <r>
      <rPr>
        <sz val="11"/>
        <color rgb="FF000000"/>
        <rFont val="Calibri"/>
        <family val="2"/>
      </rPr>
      <t xml:space="preserve">1. Weather station showing erratic data with continuous fluctuations. On 04/29/25, tech checked DAS cabinet—24VDC present, connections good. Contacted AlsoEnergy; they confirmed data issues. Checked sensor terminal voltages and reported back. Sent emails with photos and readings. AlsoEnergy unable to ping sensors—recommended replacement. Tech contacting AlsoEnergy sales for irradiance and temp sensor quotes
2. Inverter 7 underperforming by ~4kW vs peers. On 04/29/25, tech found voltages and fuses OK. Called CPS—no site access. AlsoEnergy confirmed Inverter 7 producing ~2kW vs 8 &amp; 9. Tech will follow up with CPS to check settings.
</t>
    </r>
    <r>
      <rPr>
        <b/>
        <sz val="11"/>
        <color rgb="FF000000"/>
        <rFont val="Calibri"/>
        <family val="2"/>
      </rPr>
      <t xml:space="preserve">3. Forcasted values are too low compared to actual values it indicates there is an issue with forcasted values.
</t>
    </r>
  </si>
  <si>
    <t>1. SR099622, SR099968
2. SR100881, SR099968</t>
  </si>
  <si>
    <t>1. Inverter 1.4 is underperforming by 3 kW and is in independent mode, possibly relates to MPPTs being unbalanced.</t>
  </si>
  <si>
    <t>1. SR099434</t>
  </si>
  <si>
    <t>1.Inverter 7 is underperforming by 30 kW  from 03/25. On 04/03/25, tech onsite to investigate canopy damage. One module visibly damaged; Inverter 7 underperforming by 30 kW but still online with no errors. Tech isolated string with bad module. Likely due to ongoing isolations—Ameresco to verify on return visit.</t>
  </si>
  <si>
    <t>1. SR099369, SR097152 &amp; SR099432</t>
  </si>
  <si>
    <r>
      <rPr>
        <sz val="11"/>
        <color rgb="FF000000"/>
        <rFont val="Calibri"/>
        <family val="2"/>
      </rPr>
      <t xml:space="preserve">1. Weather station has been reporting erroneous values since 04/07 at 13:45, with continuous fluctuations on the graph indicating inconsistent readings throughout the day.
</t>
    </r>
    <r>
      <rPr>
        <b/>
        <sz val="11"/>
        <color rgb="FF000000"/>
        <rFont val="Calibri"/>
        <family val="2"/>
      </rPr>
      <t>2. Forcasted values are too low compared to actual values it indicates there is an issue with forcasted values.</t>
    </r>
  </si>
  <si>
    <t>1. 	SR099861</t>
  </si>
  <si>
    <t>1.Inverter 4 was offline from 04/01 to 16:45 on 04/02 and  started delayed for production at 15:15 on 04/27.This inverter has previously exhibited a pattern of delayed startups.</t>
  </si>
  <si>
    <t xml:space="preserve">1.SR098674,SR097715
</t>
  </si>
  <si>
    <t xml:space="preserve">1.Since 03/21, Phase B and C CTs have read 40A lower than Phase A, causing a 5% variance. The CT issue was confirmed after swapping, with replacement needed. The meter has reported negative values since 03/27. On 04/24, technicians found incorrect power factor values, affecting production readings. After swapping phases, the meter showed the correct value.
2.Inverters 5 and 14 are underperforming by 3 kW from 03/28  and are in independent mode
3.Weather station is currently reading inaccurately </t>
  </si>
  <si>
    <t>1.SR098872,SR099542
2.SR099433
3.SR100933</t>
  </si>
  <si>
    <t>1.Meter phase B CT is 170 amps lower than A and C phase CTs. There is a 7% variance, meter vs inv total power.Meter is being RMAD from 03/27
2.Inverters 1, 3, and 5 remained offline throughout the month. On 04/01, the technician indicated that further troubleshooting is required and the inverters will remain offline until necessary repairs are completed.Issue did not resolve</t>
  </si>
  <si>
    <t>1.SR098873
2.SR099231,SR099235,SR099339</t>
  </si>
  <si>
    <t>1.Inverter 5-3 was derated to a maximum of 13.8 kW starting from 03/17. On 04/22, a technician inspected the site and found no abnormalities. The technician has contacted the inverter manufacturer for further assistance, as the issue persisted despite inverter troubleshooting.</t>
  </si>
  <si>
    <t>1.SR098684,SR100658</t>
  </si>
  <si>
    <t>1.Inverter 5.4 remained offline throughout the month due to arc protection faults and water ingress in the wire box. A new wire box is needed, and further troubleshooting is required
2.. Inverter 1.3 is underperforming by about 10 kW compared to its peers due to a string being offline</t>
  </si>
  <si>
    <t>1.SR097653
2.SR098986</t>
  </si>
  <si>
    <t>1.The meter's phase B CT is 25 amps lower than the phase A and C CTs. There is a 3% variance between the meter and total inverter power. On 04/03, After the technician arrived, it was confirmed that the meter's CTs need to be replaced.</t>
  </si>
  <si>
    <t>1.SR098874</t>
  </si>
  <si>
    <t>1.Inverter 2 and  under RMA  for its derating issue caused by overheating and remains offline throughout the month.
2. Inverter 1 is underperforming by 3 kW and is independent mode from 03/07</t>
  </si>
  <si>
    <t>1.SR099041
2.SR099435</t>
  </si>
  <si>
    <t>1. Inverters 3 and 4 are experiencing shading from morning to midday, while Inverter 1 is experiencing shading from midday to evening.</t>
  </si>
  <si>
    <t>1. SR101090</t>
  </si>
  <si>
    <t>1.Meter 2 phase A current is about 65 amps lower than phase B and C currents. 18 % variance in total inv power and meter power
2. Inverters 2 to 4, 7, 8 , 10, 12, 13, 15, 20, 25 and 33 had shading issue during 7:00AM to 11:00AM.
3.Multiple inverters are reporting lower-than-expected production, possibly due to incorrect system drawings or the need for a firmware update</t>
  </si>
  <si>
    <t>1.SR100428
2.SR099626
3.SR100428</t>
  </si>
  <si>
    <t>1. Weather station is heavily shaded until around 10:00 each morning.Dispatch is scheduled on 05/08.</t>
  </si>
  <si>
    <t>1.SR099704</t>
  </si>
  <si>
    <t>N/A</t>
  </si>
  <si>
    <t>1.Inverter 10.1 was offline from 04/01 ,technician Opened up inverter and found wire box to be water damaged and corroded, requires further trubleshooting.on 04/16,technician replacd the wirebox for inverter.Inverter 10.1 was back online on 04/16 but production cannot be seen through DAS.
2.Inverter 1.3 was offline from 04/01 .Technician Opened combiner box and noticed visual signs of corrosion, causing the inverter to run on standby mode.Inverter 1.3 was being RMAD from 01/02.Inverter 1.3 was back online at 19:05 on 04/17 
3.Inverter 5.3 was reporting production data in Locus portal.As mentioned by the technician the comms card is not plugged in.On 04/14,technician troubleshoot the inverter 5.3 and bringed it back online onsite on  same day.it requires additional troubleshooting.Production cannot be seen through DAS
4.Inverter 6.4 was intermittently derating. The issue was resolved on 04/17 after a technician conducted troubleshooting and indicated that the derating was likely caused by nearby trees
5. 11.1, 11.2, and 11.3  were offline throughout the month.Production cannot be seen through DAS</t>
  </si>
  <si>
    <t>1.SR095613
2.SR090290,SR095613,SR098811
3.SR095613,SR098811
4.SR099818,SR100096
5.SR099875,SR095613</t>
  </si>
  <si>
    <t>May Actual v. Expected</t>
  </si>
  <si>
    <t>May Actual v. Forecasted</t>
  </si>
  <si>
    <t>1. The weather station has been reporting erroneous values, with its graph showing continuous fluctuations throughout the day,indicating inconsistent readings. We are contacting AlsoEnergy sales for a quote for a replacement irradiance sensor and temperature sensor for this site.</t>
  </si>
  <si>
    <t>1.SR099622</t>
  </si>
  <si>
    <t>1.Inverter 7 is down 5 strings.On 05/19,  technician closed in all fuses and restarted inverter.Issue was resolved since then.</t>
  </si>
  <si>
    <t>1.SR101507</t>
  </si>
  <si>
    <t>1.The weather station has been reporting erroneous values since 04/07 at 13:45. The data graph shows continuous fluctuations throughout the day, indicating inconsistent readings. The issue is currently under investigation, and we are reaching out to AlsoEnergy for a quote on a replacement reference cell</t>
  </si>
  <si>
    <t>1.SR099861</t>
  </si>
  <si>
    <t>1.Inverter 4 has a history of multiple trip events. On 05/07, a technician visited the site, performed troubleshooting on Inverter 4, and initiated an RMA request for replacement.</t>
  </si>
  <si>
    <t>1.SR098674</t>
  </si>
  <si>
    <t>1.Inverters 5 and 14 are underperforming by approximately 3 kW and are operating in independent mode. On 05/20, Chint support informed the technician that the 3 kW production loss was not significant enough to initiate the RMA process, as both inverters are online and producing. The matter is currently being followed up with CPS management for further review
2.weather station was reading inaccurately.on 05/20 ,technician checked into site site and confirmed that the weather station sensor was determined to be faulty and new one is needed.confirmed with ROC the need for replacement device</t>
  </si>
  <si>
    <t>1.SR099433
2.SR100933</t>
  </si>
  <si>
    <t>SR100933</t>
  </si>
  <si>
    <t xml:space="preserve">1. Meter phase B CT is 170 amps lower than A and C phase CTs. There is a 7% variance, meter vs inv total power.On 05/20,technician applied LOTO to the main disconnect, removed damaged CTs, and installed new ones.from then Phase B CT is  functioning properly with no further issues.
2.Inverters 1, 3, and 5 remained offline throughout the month. On 04/09, the technician indicated that further troubleshooting is required and the inverters will remain offline until necessary repairs are done.Technicain metioned that about 65 modules will need to be removed for repairs. </t>
  </si>
  <si>
    <t>1.SR098873
2.SR099231,SR099339</t>
  </si>
  <si>
    <t>SR099231</t>
  </si>
  <si>
    <t>SR099339</t>
  </si>
  <si>
    <t>1.Site has intermittent communication throughout the month</t>
  </si>
  <si>
    <t>1.SR098874,SR101694</t>
  </si>
  <si>
    <t>SR101694</t>
  </si>
  <si>
    <t xml:space="preserve">1.Inverter 2 was being RMAD  for its derating issue caused by overheating .Issue got resolved on 05/15 after technician swaped the inverter 
2. Inverter 1 was underperforming by approximately 3 kW and operating in independent mode. The issue was resolved on 05/15 after technician has troubleshoot </t>
  </si>
  <si>
    <t>SR099435</t>
  </si>
  <si>
    <t>1.Inverters 3 and 4 are experiencing shading from morning to midday, while Inverter 1 is experiencing shading from midday to evenin</t>
  </si>
  <si>
    <t>1.SR101090</t>
  </si>
  <si>
    <t>1.Inverters 2 to 4, 7, 8 , 10, 12, 13, 15, 20, 25 and 33 had shading issue during 7:00 to 11:00.
2.Meter 2 phase A current is about 65 amps lower than phase B and C currents. 18 % variance in total inv power and meter power.This requires additional troubleshooting.
3.Multiple inverters are reporting lower-than-expected production, possibly due to incorrect system drawings or the need for a firmware update.This requires additional troubleshooting.</t>
  </si>
  <si>
    <t>1.SR099626
2.SR100428
3.SR100428</t>
  </si>
  <si>
    <t>SR100428</t>
  </si>
  <si>
    <t xml:space="preserve">1. Weather station is heavily shaded until around 10am each morning.On 05/22 technician checked into site and mentioned it Requires further troubleshooting
2.Site was offline from 15:05  to 16:50 on 05/06.Issue self resolved
3.Site was offline from 10:15 on 05/09 to 10:35 on 05/12.Site was again offline from 15:40  on 05/19 to 15:50 on 05/22.site was back online after technician replaced blown fuse.Site remained offline offline from 13:45 on 05/26 for the rest of the month.Additional troubleshooting is required.
</t>
  </si>
  <si>
    <t xml:space="preserve">1.SR099704
2.SR101255
3.SR101695
</t>
  </si>
  <si>
    <t>SR101255</t>
  </si>
  <si>
    <t>SR101695</t>
  </si>
  <si>
    <t>1. Inverter 6.4 is intermittently derating in the morning.Issue resolved on 05/08 after technician adjusted few parameters 
2.Inverters 4.1,4.2,.4.3, 5.1,5.2, 8.3, 10.2, 10.3 tripped offline at 10:45 on 05/12 reporting Steady State GFCI faults.Issue got resolved  on 05/29
3.Reference  cell 4 stopped communicating on 5/27/25.Dispatch is scheduled in the month of june</t>
  </si>
  <si>
    <t>1.SR100096
2.SR101335
3.SR102064</t>
  </si>
  <si>
    <t>SR101335</t>
  </si>
  <si>
    <t>SR102064</t>
  </si>
  <si>
    <t>Q2 Production Vs PPA</t>
  </si>
  <si>
    <t>June Actual v. Expected</t>
  </si>
  <si>
    <t>June Actual v. Forecasted</t>
  </si>
  <si>
    <t xml:space="preserve">1. The weather station has been reporting erroneous values, with its graph showing continuous fluctuations throughout the day,indicating inconsistent readings. We are contacting AlsoEnergy sales for a quote for a replacement irradiance sensor and temperature sensor for this site.
</t>
  </si>
  <si>
    <t>1.SR0099434</t>
  </si>
  <si>
    <t>1. Inverter 3 tripped offline at 21:05 on 06/30 and reporting an arc protection.</t>
  </si>
  <si>
    <t>1. SR103832</t>
  </si>
  <si>
    <t>1.The weather station has been reporting erroneous values since 04/07 at 13:45. 
The data graph shows continuous fluctuations throughout the day, indicating 
inconsistent readings. The issue is currently under investigation, and we are reaching out to AlsoEnergy for a quote on a replacement reference cell and pending CT replacement.</t>
  </si>
  <si>
    <t>1. SR099861</t>
  </si>
  <si>
    <t xml:space="preserve">1.Inverter 4 has a history of multiple trip events. On 05/07, a technician visited the site, performed troubleshooting on Inverter 4, and initiated an RMA request for replacement. on 06/23, technician replaced the inverter 4 now it's producting as expected. </t>
  </si>
  <si>
    <t>1. SR098674</t>
  </si>
  <si>
    <t>1.Inverters 5 and 14 are underperforming by approximately 3 kW and are operating in independent mode. On 05/20, Chint support informed the technician that the 3 kW production loss was not significant enough to initiate the RMA process, as both inverters are online and producing. The matter is currently being followed up with CPS management for Flex Gateway to install at the site is pending replacement.
2.weather station was reading inaccurately.On 05/20 ,technician checked into site site and confirmed that the weather station sensor was determined to be faulty and new one is needed.confirmed with ROC the need for replacement device like CT's.</t>
  </si>
  <si>
    <t>1. SR099433
2. SR100933</t>
  </si>
  <si>
    <t xml:space="preserve">1. Inverters 1, 3, and 5 remained offline throughout the month. On 04/09, the technician indicated that further troubleshooting is required and the inverters will remain offline until necessary repairs are done.Technicain metioned that about 65 modules will need to be removed for repairs. </t>
  </si>
  <si>
    <t>1. SR099231,SR099339</t>
  </si>
  <si>
    <t>1. Inverter 1-1 tripped offline at 15:55 on 05/31 and reporting "Grid line voltage out of range" and back online at 16:25 on 06/03.
2. Inverter 3.4 tripped offline at 16:00 on 06/18 due to a 'Grid line voltage out of range' error. On 06/26, a technician inspected the system, reset the Inverter 3.4 breaker, and re-energized the inverter. It's back online at 12:50 on 06/26.</t>
  </si>
  <si>
    <t>1. SR102225
2. SR103154</t>
  </si>
  <si>
    <t>SR103154</t>
  </si>
  <si>
    <t>1. Inverter 5.4 has been offline since 02/22, reporting an 'ARC Protection' 
fault. Replacement parts are pending.
2.Inverter 1.3 has been underperforming by approximately 10 kW compared to its peers since 03/25, possibly due to a string being offline because of an isolated module pending replacement.
3. Inverter 1.1 tripped offline at 17:15 on 06/28 and reporting "Inverter hardware over current". later, self resolved and back online at 17:45 on 06/28.</t>
  </si>
  <si>
    <t>1. SR097653
2. SR098986
3. SR103688</t>
  </si>
  <si>
    <t>SR103688</t>
  </si>
  <si>
    <t>1.The meter's phase B CT is 25 amps lower than the phase A and C CTs. There is a 3% variance between the meter and total inverter power. On 04/03, After the technician arrived, it was confirmed that the meter's CTs need to be replaced. Pending to replace the meter's CTs.</t>
  </si>
  <si>
    <t>1.SR098874,SR101694,
SR101694</t>
  </si>
  <si>
    <t>1. Inverter 1 was underperforming by approximately 3 kW and operating in 
independent mode. and need to replace Flex gateway is pendiging to install.</t>
  </si>
  <si>
    <t>1. SR099435</t>
  </si>
  <si>
    <t>1.Meter 2 Phase A current is approximately 65 amps lower than the Phase B and C currents, resulting in an 18% variance between total inverter power and meter power. This issue requires further troubleshooting. Additionally, multiple inverters are reporting lower-than-expected production, possibly due to incorrect system drawings or the need for a firmware update. This also requires further investigation.</t>
  </si>
  <si>
    <t>1. SR100428</t>
  </si>
  <si>
    <t>1. The site tripped offline at 13:45 on 05/26. On 05/28, a technician visited the site and determined that the disconnect needed to be replaced. Later, on 06/18, after resetting the site, it was brought back online at 13:00 on 06/18.
2. Weather station is heavily shaded until around 10am each morning.On 05/22 technician checked into site and mentioned it Requires further troubleshooting.</t>
  </si>
  <si>
    <t>1. SR101695
2. SR099704</t>
  </si>
  <si>
    <t>SR099704</t>
  </si>
  <si>
    <t xml:space="preserve">1. Reference Cell 4 stopped communicating on 05/27. On 05/29, a technician visited the site and found that Meter 1 had sustained thermal damage. The breaker and feeders connected to the meter were burnt and require replacement. Additional work is needed due to ongoing construction repairs on the cabinet and feeders.
</t>
  </si>
  <si>
    <t>1. SR102064</t>
  </si>
  <si>
    <t>July Actual v. Expected</t>
  </si>
  <si>
    <t>July Actual v. Forecasted</t>
  </si>
  <si>
    <t>August Actual v. Expected</t>
  </si>
  <si>
    <t>August Actual v. Forecasted</t>
  </si>
  <si>
    <t>Q3 Production Vs PPA</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</si>
  <si>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</si>
  <si>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</si>
  <si>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</si>
  <si>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</si>
  <si>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</si>
  <si>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</si>
  <si>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</si>
  <si>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</si>
  <si>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</si>
  <si>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CITI</t>
  </si>
  <si>
    <t>Site DAS Name</t>
  </si>
  <si>
    <t>Update</t>
  </si>
  <si>
    <t>DAS</t>
  </si>
  <si>
    <t>KP6 - Antioch Deer Valley - CN5701</t>
  </si>
  <si>
    <t>CA: Antioch Deer Valley - Citi</t>
  </si>
  <si>
    <t>CA</t>
  </si>
  <si>
    <t>KP6 - Antioch MC CUP - CN5701</t>
  </si>
  <si>
    <t>CA: Antioch MC CUP - Citi</t>
  </si>
  <si>
    <t>Clovis MOB - CN2950</t>
  </si>
  <si>
    <t>CA: Clovis - Citi</t>
  </si>
  <si>
    <t>Elk Grove MOB - CN73727</t>
  </si>
  <si>
    <t>CA: Elk Grove MOB - Citi</t>
  </si>
  <si>
    <t>Elk Grove Promenade - CN 6950</t>
  </si>
  <si>
    <t>CA: Elk Grove Promenade - Citi</t>
  </si>
  <si>
    <t>Fresno Sequioa Hospital</t>
  </si>
  <si>
    <t>CA: Fresno Sequioa - Citi</t>
  </si>
  <si>
    <t>Fresno Medical Offices - CN7201</t>
  </si>
  <si>
    <t>CA: Fresno MOB - Citi</t>
  </si>
  <si>
    <t>Modesto Bangs MOB</t>
  </si>
  <si>
    <t>CA: Modesto Bangs - Citi</t>
  </si>
  <si>
    <t>KP - Napa Data Center - CN2250</t>
  </si>
  <si>
    <t>CA: Napa Data Center - Citi</t>
  </si>
  <si>
    <t>Kaiser - Petaluma Medical Office - CN2001</t>
  </si>
  <si>
    <t>CA: Petaluma MOB - Citi</t>
  </si>
  <si>
    <t>Pleasanton PTC - Bldg B - CN470B</t>
  </si>
  <si>
    <t>CA: Pleasanton Tec Ctr - Citi</t>
  </si>
  <si>
    <t>Rancho Cordova - Groundmount</t>
  </si>
  <si>
    <t>CA: Rancho Cordova - Citi</t>
  </si>
  <si>
    <t>South Sacramento Wyndham CN6014</t>
  </si>
  <si>
    <t>CA: S Sacramento Wyndham - Citi</t>
  </si>
  <si>
    <t>Sacramento Point West MOB</t>
  </si>
  <si>
    <t>CA: Sacramento Point West - Citi</t>
  </si>
  <si>
    <t>KP6 - San Jose FHC - CN6320</t>
  </si>
  <si>
    <t>CA: San Jose FHC - Citi</t>
  </si>
  <si>
    <t>KP6 - San Jose MOB - CN6310</t>
  </si>
  <si>
    <t>CA: San Jose MOB - Citi</t>
  </si>
  <si>
    <t>KP6 - Selma Medical Offices - CN8450</t>
  </si>
  <si>
    <t>CA: Selma - Citi</t>
  </si>
  <si>
    <t>Vacaville Hospital - CN6701</t>
  </si>
  <si>
    <t>CA: Vacaville Hospital</t>
  </si>
  <si>
    <t>Kaiser, KP6 - Manteca Hospital</t>
  </si>
  <si>
    <t>CA: Manteca - KP Manteca Hospital</t>
  </si>
  <si>
    <t>KP6-South Sacramento Hospital</t>
  </si>
  <si>
    <t>Sacramento - KP South Sacramento HSP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</si>
</sst>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 #,##0_-;_-* &quot;-&quot;_-;_-@_-"/>
    <numFmt numFmtId="165" formatCode="_(* #,##0_);_(* \(#,##0\);_(* &quot;-&quot;??_);_(@_)"/>
  </numFmts>
  <fonts count="41">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0"/>
      <color rgb="FF333333"/>
      <name val="Arial"/>
      <family val="2"/>
    </font>
    <font>
      <b/>
      <sz val="9"/>
      <color rgb="FF000000"/>
      <name val="Arial"/>
      <family val="2"/>
    </font>
    <font>
      <b/>
      <sz val="10"/>
      <color theme="8" tint="0.39997558519241921"/>
      <name val="Arial"/>
      <family val="2"/>
    </font>
    <font>
      <b/>
      <sz val="11"/>
      <color theme="1"/>
      <name val="Arial"/>
      <family val="2"/>
    </font>
    <font>
      <u/>
      <sz val="10"/>
      <color theme="10"/>
      <name val="Arial"/>
      <family val="2"/>
    </font>
    <font>
      <b/>
      <sz val="11"/>
      <color rgb="FF000000"/>
      <name val="Calibri"/>
      <family val="2"/>
    </font>
  </fonts>
  <fills count="54">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rgb="FF09C4DD"/>
        <bgColor indexed="64"/>
      </patternFill>
    </fill>
    <fill>
      <patternFill patternType="solid">
        <fgColor rgb="FFAEF8F8"/>
        <bgColor theme="4" tint="0.79998168889431442"/>
      </patternFill>
    </fill>
    <fill>
      <patternFill patternType="solid">
        <fgColor rgb="FF36FFFC"/>
        <bgColor indexed="64"/>
      </patternFill>
    </fill>
    <fill>
      <patternFill patternType="solid">
        <fgColor rgb="FFAEF8F8"/>
        <bgColor indexed="64"/>
      </patternFill>
    </fill>
    <fill>
      <patternFill patternType="solid">
        <fgColor rgb="FFFFFFFF"/>
        <bgColor indexed="64"/>
      </patternFill>
    </fill>
    <fill>
      <patternFill patternType="solid">
        <fgColor theme="0"/>
        <bgColor indexed="64"/>
      </patternFill>
    </fill>
    <fill>
      <patternFill patternType="solid">
        <fgColor rgb="FFD9E1F2"/>
        <bgColor rgb="FF000000"/>
      </patternFill>
    </fill>
    <fill>
      <patternFill patternType="solid">
        <fgColor rgb="FFFFFF00"/>
        <bgColor indexed="64"/>
      </patternFill>
    </fill>
  </fills>
  <borders count="17">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46">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xf numFmtId="0" fontId="39" fillId="0" borderId="0" applyNumberFormat="0" applyFill="0" applyBorder="0" applyAlignment="0" applyProtection="0"/>
  </cellStyleXfs>
  <cellXfs count="135">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22" fillId="0" borderId="0" xfId="43" applyFont="1"/>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8" fillId="0" borderId="0" xfId="0" applyNumberFormat="1" applyFont="1" applyAlignment="1">
      <alignment horizontal="center" vertical="center"/>
    </xf>
    <xf numFmtId="165" fontId="28" fillId="0" borderId="0" xfId="1" applyNumberFormat="1" applyFont="1" applyBorder="1" applyAlignment="1">
      <alignment horizontal="center" vertical="center"/>
    </xf>
    <xf numFmtId="49" fontId="27" fillId="40" borderId="0" xfId="0" applyNumberFormat="1" applyFont="1" applyFill="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49" fontId="30" fillId="38" borderId="0" xfId="2" applyNumberFormat="1" applyFont="1" applyFill="1" applyBorder="1" applyAlignment="1">
      <alignment horizontal="left" vertical="top" wrapText="1"/>
    </xf>
    <xf numFmtId="49" fontId="27" fillId="0" borderId="0" xfId="0" applyNumberFormat="1" applyFont="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5" fontId="28" fillId="44" borderId="0" xfId="1" applyNumberFormat="1" applyFont="1" applyFill="1" applyBorder="1" applyAlignment="1">
      <alignment horizontal="center" vertical="center"/>
    </xf>
    <xf numFmtId="0" fontId="5"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7" fillId="40" borderId="0" xfId="0" applyFont="1" applyFill="1" applyAlignment="1">
      <alignment horizontal="center" vertical="center"/>
    </xf>
    <xf numFmtId="0" fontId="28" fillId="40" borderId="0" xfId="0" applyFont="1" applyFill="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165" fontId="28" fillId="44" borderId="0" xfId="1" applyNumberFormat="1" applyFont="1" applyFill="1" applyAlignment="1">
      <alignment horizontal="center" vertical="center"/>
    </xf>
    <xf numFmtId="9" fontId="30" fillId="3" borderId="0" xfId="2" applyFont="1" applyFill="1" applyAlignment="1">
      <alignment horizontal="center" vertical="center"/>
    </xf>
    <xf numFmtId="3" fontId="30" fillId="4" borderId="0" xfId="1" applyNumberFormat="1" applyFont="1" applyFill="1" applyAlignment="1">
      <alignment vertical="center"/>
    </xf>
    <xf numFmtId="9" fontId="30" fillId="37" borderId="0" xfId="2" applyFont="1" applyFill="1" applyAlignment="1">
      <alignment horizontal="center" vertical="center"/>
    </xf>
    <xf numFmtId="49" fontId="30" fillId="38" borderId="0" xfId="2" applyNumberFormat="1" applyFont="1" applyFill="1" applyAlignment="1">
      <alignment horizontal="left" vertical="top" wrapText="1"/>
    </xf>
    <xf numFmtId="165" fontId="28" fillId="0" borderId="0" xfId="1" applyNumberFormat="1" applyFont="1" applyAlignment="1">
      <alignment horizontal="center" vertical="center"/>
    </xf>
    <xf numFmtId="9" fontId="30" fillId="0" borderId="0" xfId="2" applyFont="1" applyAlignment="1">
      <alignment horizontal="center" vertical="center"/>
    </xf>
    <xf numFmtId="3" fontId="30" fillId="0" borderId="0" xfId="1" applyNumberFormat="1" applyFont="1" applyAlignment="1">
      <alignment vertical="center"/>
    </xf>
    <xf numFmtId="49" fontId="30" fillId="38" borderId="0" xfId="2" applyNumberFormat="1" applyFont="1" applyFill="1" applyBorder="1" applyAlignment="1">
      <alignment wrapText="1"/>
    </xf>
    <xf numFmtId="49" fontId="28" fillId="0" borderId="0" xfId="0" applyNumberFormat="1" applyFont="1"/>
    <xf numFmtId="49" fontId="27" fillId="0" borderId="0" xfId="0" applyNumberFormat="1" applyFont="1"/>
    <xf numFmtId="49" fontId="30" fillId="38" borderId="0" xfId="2" applyNumberFormat="1" applyFont="1" applyFill="1" applyAlignment="1">
      <alignment wrapText="1"/>
    </xf>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24" fillId="42" borderId="1" xfId="0" applyFont="1" applyFill="1" applyBorder="1" applyAlignment="1">
      <alignment horizontal="center" vertical="center"/>
    </xf>
    <xf numFmtId="49" fontId="28" fillId="0" borderId="0" xfId="0" applyNumberFormat="1" applyFont="1" applyAlignment="1">
      <alignment wrapText="1"/>
    </xf>
    <xf numFmtId="0" fontId="35" fillId="0" borderId="0" xfId="0" applyFont="1"/>
    <xf numFmtId="49" fontId="28" fillId="0" borderId="0" xfId="0" applyNumberFormat="1" applyFont="1" applyAlignment="1">
      <alignment horizontal="left" vertical="top"/>
    </xf>
    <xf numFmtId="49" fontId="30" fillId="38" borderId="0" xfId="2" applyNumberFormat="1" applyFont="1" applyFill="1" applyBorder="1" applyAlignment="1">
      <alignment vertical="top" wrapText="1"/>
    </xf>
    <xf numFmtId="49" fontId="28" fillId="0" borderId="0" xfId="0" applyNumberFormat="1" applyFont="1" applyAlignment="1">
      <alignment vertical="top"/>
    </xf>
    <xf numFmtId="49" fontId="27" fillId="0" borderId="0" xfId="0" applyNumberFormat="1" applyFont="1" applyAlignment="1">
      <alignment horizontal="left" vertical="top"/>
    </xf>
    <xf numFmtId="49" fontId="28" fillId="0" borderId="0" xfId="0" applyNumberFormat="1" applyFont="1" applyAlignment="1">
      <alignment horizontal="left" vertical="center"/>
    </xf>
    <xf numFmtId="49" fontId="27" fillId="0" borderId="0" xfId="0" applyNumberFormat="1" applyFont="1" applyAlignment="1">
      <alignment horizontal="left" vertical="center"/>
    </xf>
    <xf numFmtId="0" fontId="1" fillId="0" borderId="0" xfId="43"/>
    <xf numFmtId="0" fontId="36" fillId="0" borderId="0" xfId="0" applyFont="1"/>
    <xf numFmtId="3" fontId="23" fillId="0" borderId="0" xfId="0" applyNumberFormat="1" applyFont="1"/>
    <xf numFmtId="49" fontId="28" fillId="0" borderId="0" xfId="0" applyNumberFormat="1" applyFont="1" applyAlignment="1">
      <alignment vertical="top" wrapText="1"/>
    </xf>
    <xf numFmtId="49" fontId="30" fillId="38" borderId="0" xfId="2" applyNumberFormat="1" applyFont="1" applyFill="1" applyAlignment="1">
      <alignment vertical="top" wrapText="1"/>
    </xf>
    <xf numFmtId="9" fontId="25" fillId="36" borderId="12" xfId="2" applyFont="1" applyFill="1" applyBorder="1" applyAlignment="1">
      <alignment horizontal="center" vertical="center"/>
    </xf>
    <xf numFmtId="0" fontId="37" fillId="46" borderId="1" xfId="0" applyFont="1" applyFill="1" applyBorder="1" applyAlignment="1">
      <alignment horizontal="center" vertical="center" wrapText="1"/>
    </xf>
    <xf numFmtId="9" fontId="37" fillId="46" borderId="13" xfId="2" applyFont="1" applyFill="1" applyBorder="1" applyAlignment="1">
      <alignment horizontal="center" vertical="center" wrapText="1"/>
    </xf>
    <xf numFmtId="165" fontId="28" fillId="47" borderId="0" xfId="1" applyNumberFormat="1" applyFont="1" applyFill="1" applyBorder="1" applyAlignment="1">
      <alignment horizontal="center" vertical="center"/>
    </xf>
    <xf numFmtId="165" fontId="28" fillId="47" borderId="0" xfId="1" applyNumberFormat="1" applyFont="1" applyFill="1" applyAlignment="1">
      <alignment horizontal="center" vertical="center"/>
    </xf>
    <xf numFmtId="9" fontId="32" fillId="0" borderId="0" xfId="0" applyNumberFormat="1" applyFont="1"/>
    <xf numFmtId="0" fontId="3" fillId="48" borderId="1" xfId="0" applyFont="1" applyFill="1" applyBorder="1" applyAlignment="1">
      <alignment horizontal="center" vertical="center" wrapText="1"/>
    </xf>
    <xf numFmtId="0" fontId="3" fillId="48" borderId="11" xfId="0" applyFont="1" applyFill="1" applyBorder="1" applyAlignment="1">
      <alignment horizontal="center" vertical="center" wrapText="1"/>
    </xf>
    <xf numFmtId="0" fontId="38" fillId="48" borderId="1" xfId="0" applyFont="1" applyFill="1" applyBorder="1" applyAlignment="1">
      <alignment horizontal="center" vertical="center" wrapText="1"/>
    </xf>
    <xf numFmtId="0" fontId="29" fillId="46" borderId="1" xfId="0" applyFont="1" applyFill="1" applyBorder="1" applyAlignment="1">
      <alignment horizontal="center" vertical="center" wrapText="1"/>
    </xf>
    <xf numFmtId="165" fontId="28" fillId="49" borderId="0" xfId="1" applyNumberFormat="1" applyFont="1" applyFill="1" applyBorder="1" applyAlignment="1">
      <alignment horizontal="center" vertical="center"/>
    </xf>
    <xf numFmtId="9" fontId="28" fillId="49" borderId="0" xfId="1" applyNumberFormat="1" applyFont="1" applyFill="1" applyBorder="1" applyAlignment="1">
      <alignment horizontal="center" vertical="center"/>
    </xf>
    <xf numFmtId="9" fontId="28" fillId="0" borderId="0" xfId="1" applyNumberFormat="1" applyFont="1" applyBorder="1" applyAlignment="1">
      <alignment horizontal="center" vertical="center"/>
    </xf>
    <xf numFmtId="9" fontId="28" fillId="0" borderId="0" xfId="1" applyNumberFormat="1" applyFont="1" applyFill="1" applyBorder="1" applyAlignment="1">
      <alignment horizontal="center" vertical="center"/>
    </xf>
    <xf numFmtId="9" fontId="28" fillId="47" borderId="0" xfId="1" applyNumberFormat="1" applyFont="1" applyFill="1" applyBorder="1" applyAlignment="1">
      <alignment horizontal="center" vertical="center"/>
    </xf>
    <xf numFmtId="9" fontId="29" fillId="46" borderId="1" xfId="0" applyNumberFormat="1" applyFont="1" applyFill="1" applyBorder="1" applyAlignment="1">
      <alignment horizontal="center" vertical="center" wrapText="1"/>
    </xf>
    <xf numFmtId="49" fontId="28" fillId="0" borderId="0" xfId="0" applyNumberFormat="1" applyFont="1" applyAlignment="1">
      <alignment horizontal="left" vertical="top" wrapText="1"/>
    </xf>
    <xf numFmtId="49" fontId="28" fillId="0" borderId="0" xfId="0" applyNumberFormat="1" applyFont="1" applyAlignment="1">
      <alignment horizontal="left" vertical="center" wrapText="1"/>
    </xf>
    <xf numFmtId="49" fontId="27" fillId="0" borderId="0" xfId="0" applyNumberFormat="1" applyFont="1" applyAlignment="1">
      <alignment horizontal="center" vertical="top"/>
    </xf>
    <xf numFmtId="49" fontId="27" fillId="0" borderId="0" xfId="0" applyNumberFormat="1" applyFont="1" applyAlignment="1">
      <alignment horizontal="left" vertical="top" wrapText="1"/>
    </xf>
    <xf numFmtId="0" fontId="5" fillId="0" borderId="0" xfId="0" applyFont="1" applyAlignment="1">
      <alignment horizontal="left" vertical="center"/>
    </xf>
    <xf numFmtId="0" fontId="33" fillId="0" borderId="0" xfId="0" applyFont="1" applyAlignment="1">
      <alignment horizontal="left" vertical="center"/>
    </xf>
    <xf numFmtId="0" fontId="32" fillId="0" borderId="0" xfId="0" applyFont="1" applyAlignment="1">
      <alignment horizontal="left"/>
    </xf>
    <xf numFmtId="0" fontId="0" fillId="0" borderId="0" xfId="0" applyAlignment="1">
      <alignment horizontal="left"/>
    </xf>
    <xf numFmtId="49" fontId="23" fillId="0" borderId="0" xfId="0" applyNumberFormat="1" applyFont="1" applyAlignment="1">
      <alignment vertical="top"/>
    </xf>
    <xf numFmtId="49" fontId="27" fillId="0" borderId="0" xfId="0" applyNumberFormat="1" applyFont="1" applyAlignment="1">
      <alignment vertical="top"/>
    </xf>
    <xf numFmtId="0" fontId="23" fillId="50" borderId="0" xfId="0" applyFont="1" applyFill="1" applyAlignment="1">
      <alignment horizontal="left" vertical="top" wrapText="1"/>
    </xf>
    <xf numFmtId="49" fontId="23" fillId="0" borderId="0" xfId="0" applyNumberFormat="1" applyFont="1" applyAlignment="1">
      <alignment horizontal="left" vertical="top"/>
    </xf>
    <xf numFmtId="49" fontId="23" fillId="0" borderId="0" xfId="0" applyNumberFormat="1" applyFont="1" applyAlignment="1">
      <alignment horizontal="left" vertical="top" wrapText="1"/>
    </xf>
    <xf numFmtId="49" fontId="23" fillId="0" borderId="0" xfId="0" applyNumberFormat="1" applyFont="1" applyAlignment="1">
      <alignment vertical="top" wrapText="1"/>
    </xf>
    <xf numFmtId="49" fontId="28" fillId="0" borderId="0" xfId="0" applyNumberFormat="1" applyFont="1" applyAlignment="1">
      <alignment vertical="center"/>
    </xf>
    <xf numFmtId="49" fontId="39" fillId="38" borderId="0" xfId="45" applyNumberFormat="1" applyFill="1" applyBorder="1" applyAlignment="1">
      <alignment horizontal="left" vertical="top" wrapText="1"/>
    </xf>
    <xf numFmtId="49" fontId="39" fillId="0" borderId="0" xfId="45" applyNumberFormat="1" applyAlignment="1">
      <alignment horizontal="left" vertical="top"/>
    </xf>
    <xf numFmtId="49" fontId="39" fillId="38" borderId="0" xfId="45" applyNumberFormat="1" applyFill="1" applyBorder="1" applyAlignment="1">
      <alignment vertical="top" wrapText="1"/>
    </xf>
    <xf numFmtId="49" fontId="39" fillId="0" borderId="0" xfId="45" applyNumberFormat="1" applyAlignment="1">
      <alignment vertical="top"/>
    </xf>
    <xf numFmtId="49" fontId="39" fillId="38" borderId="0" xfId="45" applyNumberFormat="1" applyFill="1" applyAlignment="1">
      <alignment vertical="top" wrapText="1"/>
    </xf>
    <xf numFmtId="0" fontId="39" fillId="0" borderId="0" xfId="45" applyAlignment="1">
      <alignment vertical="top"/>
    </xf>
    <xf numFmtId="0" fontId="39" fillId="0" borderId="0" xfId="45" applyAlignment="1">
      <alignment horizontal="left" vertical="top"/>
    </xf>
    <xf numFmtId="0" fontId="39" fillId="0" borderId="0" xfId="45"/>
    <xf numFmtId="49" fontId="39" fillId="0" borderId="0" xfId="45" applyNumberFormat="1" applyAlignment="1">
      <alignment vertical="top" wrapText="1"/>
    </xf>
    <xf numFmtId="49" fontId="39" fillId="38" borderId="0" xfId="45" applyNumberFormat="1" applyFill="1" applyAlignment="1">
      <alignment horizontal="left" vertical="top" wrapText="1"/>
    </xf>
    <xf numFmtId="49" fontId="39" fillId="0" borderId="0" xfId="45" applyNumberFormat="1" applyAlignment="1">
      <alignment horizontal="left" vertical="top" wrapText="1"/>
    </xf>
    <xf numFmtId="9" fontId="30" fillId="51" borderId="0" xfId="2" applyFont="1" applyFill="1" applyBorder="1" applyAlignment="1">
      <alignment horizontal="center" vertical="center"/>
    </xf>
    <xf numFmtId="165" fontId="28" fillId="49" borderId="0" xfId="1" applyNumberFormat="1" applyFont="1" applyFill="1" applyBorder="1" applyAlignment="1">
      <alignment vertical="center"/>
    </xf>
    <xf numFmtId="3" fontId="30" fillId="0" borderId="0" xfId="0" applyNumberFormat="1" applyFont="1" applyAlignment="1">
      <alignment vertical="center"/>
    </xf>
    <xf numFmtId="0" fontId="0" fillId="0" borderId="0" xfId="0" applyAlignment="1">
      <alignment horizontal="left" vertical="top"/>
    </xf>
    <xf numFmtId="3" fontId="30" fillId="0" borderId="0" xfId="1" applyNumberFormat="1" applyFont="1" applyFill="1" applyBorder="1" applyAlignment="1">
      <alignment horizontal="right" vertical="center"/>
    </xf>
    <xf numFmtId="165" fontId="28" fillId="0" borderId="0" xfId="1" applyNumberFormat="1" applyFont="1" applyBorder="1" applyAlignment="1">
      <alignment horizontal="right" vertical="center"/>
    </xf>
    <xf numFmtId="164" fontId="28" fillId="0" borderId="0" xfId="1" applyNumberFormat="1" applyFont="1" applyBorder="1" applyAlignment="1">
      <alignment horizontal="center" vertical="center"/>
    </xf>
    <xf numFmtId="9" fontId="28" fillId="0" borderId="0" xfId="1" applyNumberFormat="1" applyFont="1" applyAlignment="1">
      <alignment horizontal="center" vertical="center"/>
    </xf>
    <xf numFmtId="0" fontId="1" fillId="51" borderId="0" xfId="43" applyFill="1"/>
    <xf numFmtId="0" fontId="23" fillId="0" borderId="0" xfId="0" applyFont="1" applyAlignment="1">
      <alignment wrapText="1"/>
    </xf>
    <xf numFmtId="49" fontId="23" fillId="38" borderId="0" xfId="2" applyNumberFormat="1" applyFont="1" applyFill="1" applyBorder="1" applyAlignment="1">
      <alignment horizontal="left" vertical="top" wrapText="1"/>
    </xf>
    <xf numFmtId="49" fontId="23" fillId="0" borderId="0" xfId="0" applyNumberFormat="1" applyFont="1" applyAlignment="1">
      <alignment horizontal="left" vertical="center"/>
    </xf>
    <xf numFmtId="49" fontId="23" fillId="0" borderId="0" xfId="0" applyNumberFormat="1" applyFont="1" applyAlignment="1">
      <alignment vertical="center"/>
    </xf>
    <xf numFmtId="164" fontId="28" fillId="49" borderId="0" xfId="1" applyNumberFormat="1" applyFont="1" applyFill="1" applyAlignment="1">
      <alignment horizontal="center" vertical="center"/>
    </xf>
    <xf numFmtId="9" fontId="28" fillId="49" borderId="0" xfId="1" applyNumberFormat="1" applyFont="1" applyFill="1" applyAlignment="1">
      <alignment horizontal="center" vertical="center"/>
    </xf>
    <xf numFmtId="3" fontId="30" fillId="52" borderId="0" xfId="0" applyNumberFormat="1" applyFont="1" applyFill="1" applyAlignment="1">
      <alignment horizontal="center" vertical="center"/>
    </xf>
    <xf numFmtId="3" fontId="30" fillId="0" borderId="0" xfId="0" applyNumberFormat="1" applyFont="1" applyAlignment="1">
      <alignment horizontal="center" vertical="center"/>
    </xf>
    <xf numFmtId="165" fontId="28" fillId="53" borderId="0" xfId="1" applyNumberFormat="1" applyFont="1" applyFill="1" applyBorder="1" applyAlignment="1">
      <alignment horizontal="center" vertical="center"/>
    </xf>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xf numFmtId="0" fontId="3" fillId="3" borderId="14" xfId="0" applyFont="1" applyFill="1" applyBorder="1" applyAlignment="1">
      <alignment horizontal="center" vertical="center"/>
    </xf>
    <xf numFmtId="0" fontId="3" fillId="3" borderId="15" xfId="0" applyFont="1" applyFill="1" applyBorder="1" applyAlignment="1">
      <alignment horizontal="center" vertical="center"/>
    </xf>
    <xf numFmtId="0" fontId="3" fillId="3" borderId="16"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35">
    <dxf>
      <font>
        <b val="0"/>
        <i val="0"/>
        <strike val="0"/>
        <condense val="0"/>
        <extend val="0"/>
        <outline val="0"/>
        <shadow val="0"/>
        <u val="none"/>
        <vertAlign val="baseline"/>
        <sz val="10"/>
        <color theme="1"/>
        <name val="Arial"/>
        <family val="2"/>
        <scheme val="none"/>
      </font>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23" totalsRowShown="0">
  <autoFilter ref="A3:E23" xr:uid="{C9C95D9E-67ED-41E0-9F41-9C3DA4ACF4CD}"/>
  <sortState xmlns:xlrd2="http://schemas.microsoft.com/office/spreadsheetml/2017/richdata2" ref="A4:D6">
    <sortCondition ref="C3:C6"/>
  </sortState>
  <tableColumns count="5">
    <tableColumn id="3" xr3:uid="{3FB6FBC9-911C-415A-89D1-91E602B41CD0}" name="Site DAS Name"/>
    <tableColumn id="1" xr3:uid="{9A753695-C18C-437C-AD9C-C2CE5C1A806E}" name="Site"/>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hyperlink" Target="https://us3.assetplanner.com/service_request?ID=095487" TargetMode="External"/><Relationship Id="rId13" Type="http://schemas.openxmlformats.org/officeDocument/2006/relationships/printerSettings" Target="../printerSettings/printerSettings3.bin"/><Relationship Id="rId3" Type="http://schemas.openxmlformats.org/officeDocument/2006/relationships/hyperlink" Target="https://us3.assetplanner.com/service_request?ID=095408" TargetMode="External"/><Relationship Id="rId7" Type="http://schemas.openxmlformats.org/officeDocument/2006/relationships/hyperlink" Target="https://us3.assetplanner.com/service_request?ID=094669" TargetMode="External"/><Relationship Id="rId12" Type="http://schemas.openxmlformats.org/officeDocument/2006/relationships/hyperlink" Target="https://us3.assetplanner.com/service_request?ID=093725" TargetMode="External"/><Relationship Id="rId2" Type="http://schemas.openxmlformats.org/officeDocument/2006/relationships/hyperlink" Target="https://us3.assetplanner.com/service_request?ID=095212" TargetMode="External"/><Relationship Id="rId1" Type="http://schemas.openxmlformats.org/officeDocument/2006/relationships/hyperlink" Target="https://us3.assetplanner.com/service_request?ID=096073" TargetMode="External"/><Relationship Id="rId6" Type="http://schemas.openxmlformats.org/officeDocument/2006/relationships/hyperlink" Target="https://us3.assetplanner.com/service_request?ID=094968" TargetMode="External"/><Relationship Id="rId11" Type="http://schemas.openxmlformats.org/officeDocument/2006/relationships/hyperlink" Target="https://us3.assetplanner.com/service_request?ID=094546" TargetMode="External"/><Relationship Id="rId5" Type="http://schemas.openxmlformats.org/officeDocument/2006/relationships/hyperlink" Target="https://us3.assetplanner.com/service_request?ID=093544" TargetMode="External"/><Relationship Id="rId10" Type="http://schemas.openxmlformats.org/officeDocument/2006/relationships/hyperlink" Target="https://us3.assetplanner.com/service_request?ID=092732" TargetMode="External"/><Relationship Id="rId4" Type="http://schemas.openxmlformats.org/officeDocument/2006/relationships/hyperlink" Target="https://us3.assetplanner.com/service_request?ID=095363" TargetMode="External"/><Relationship Id="rId9" Type="http://schemas.openxmlformats.org/officeDocument/2006/relationships/hyperlink" Target="https://us3.assetplanner.com/service_request?ID=095637"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us3.assetplanner.com/service_request?ID=095487" TargetMode="External"/><Relationship Id="rId13" Type="http://schemas.openxmlformats.org/officeDocument/2006/relationships/hyperlink" Target="https://us3.assetplanner.com/service_request?ID=092732" TargetMode="External"/><Relationship Id="rId18" Type="http://schemas.openxmlformats.org/officeDocument/2006/relationships/hyperlink" Target="https://us3.assetplanner.com/service_request?ID=097778" TargetMode="External"/><Relationship Id="rId3" Type="http://schemas.openxmlformats.org/officeDocument/2006/relationships/hyperlink" Target="https://us3.assetplanner.com/service_request?ID=095408" TargetMode="External"/><Relationship Id="rId7" Type="http://schemas.openxmlformats.org/officeDocument/2006/relationships/hyperlink" Target="https://us3.assetplanner.com/service_request?ID=094669" TargetMode="External"/><Relationship Id="rId12" Type="http://schemas.openxmlformats.org/officeDocument/2006/relationships/hyperlink" Target="https://us3.assetplanner.com/service_request?ID=097653" TargetMode="External"/><Relationship Id="rId17" Type="http://schemas.openxmlformats.org/officeDocument/2006/relationships/hyperlink" Target="https://us3.assetplanner.com/service_request?ID=097777" TargetMode="External"/><Relationship Id="rId2" Type="http://schemas.openxmlformats.org/officeDocument/2006/relationships/hyperlink" Target="https://us3.assetplanner.com/service_request?ID=096073" TargetMode="External"/><Relationship Id="rId16" Type="http://schemas.openxmlformats.org/officeDocument/2006/relationships/hyperlink" Target="https://us3.assetplanner.com/service_request?ID=097893" TargetMode="External"/><Relationship Id="rId1" Type="http://schemas.openxmlformats.org/officeDocument/2006/relationships/hyperlink" Target="https://us3.assetplanner.com/service_request?ID=097891" TargetMode="External"/><Relationship Id="rId6" Type="http://schemas.openxmlformats.org/officeDocument/2006/relationships/hyperlink" Target="https://us3.assetplanner.com/service_request?ID=097715" TargetMode="External"/><Relationship Id="rId11" Type="http://schemas.openxmlformats.org/officeDocument/2006/relationships/hyperlink" Target="https://us3.assetplanner.com/service_request?ID=095488" TargetMode="External"/><Relationship Id="rId5" Type="http://schemas.openxmlformats.org/officeDocument/2006/relationships/hyperlink" Target="https://us3.assetplanner.com/service_request?ID=096910" TargetMode="External"/><Relationship Id="rId15" Type="http://schemas.openxmlformats.org/officeDocument/2006/relationships/hyperlink" Target="https://us3.assetplanner.com/service_request?ID=094546" TargetMode="External"/><Relationship Id="rId10" Type="http://schemas.openxmlformats.org/officeDocument/2006/relationships/hyperlink" Target="https://us3.assetplanner.com/service_request?ID=92736" TargetMode="External"/><Relationship Id="rId19" Type="http://schemas.openxmlformats.org/officeDocument/2006/relationships/printerSettings" Target="../printerSettings/printerSettings4.bin"/><Relationship Id="rId4" Type="http://schemas.openxmlformats.org/officeDocument/2006/relationships/hyperlink" Target="https://us3.assetplanner.com/service_request?ID=097152" TargetMode="External"/><Relationship Id="rId9" Type="http://schemas.openxmlformats.org/officeDocument/2006/relationships/hyperlink" Target="https://us3.assetplanner.com/service_request?ID=096553" TargetMode="External"/><Relationship Id="rId14" Type="http://schemas.openxmlformats.org/officeDocument/2006/relationships/hyperlink" Target="https://us3.assetplanner.com/service_request?ID=094546"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us3.assetplanner.com/service_request?ID=097715" TargetMode="External"/><Relationship Id="rId13" Type="http://schemas.openxmlformats.org/officeDocument/2006/relationships/hyperlink" Target="https://us3.assetplanner.com/service_request?ID=098684" TargetMode="External"/><Relationship Id="rId18" Type="http://schemas.openxmlformats.org/officeDocument/2006/relationships/hyperlink" Target="https://us3.assetplanner.com/service_request?ID=097893" TargetMode="External"/><Relationship Id="rId3" Type="http://schemas.openxmlformats.org/officeDocument/2006/relationships/hyperlink" Target="https://us3.assetplanner.com/service_request?ID=099622" TargetMode="External"/><Relationship Id="rId21" Type="http://schemas.openxmlformats.org/officeDocument/2006/relationships/hyperlink" Target="https://us3.assetplanner.com/service_request?ID=099626" TargetMode="External"/><Relationship Id="rId7" Type="http://schemas.openxmlformats.org/officeDocument/2006/relationships/hyperlink" Target="https://us3.assetplanner.com/service_request?ID=099432" TargetMode="External"/><Relationship Id="rId12" Type="http://schemas.openxmlformats.org/officeDocument/2006/relationships/hyperlink" Target="https://us3.assetplanner.com/service_request?ID=099235" TargetMode="External"/><Relationship Id="rId17" Type="http://schemas.openxmlformats.org/officeDocument/2006/relationships/hyperlink" Target="https://us3.assetplanner.com/service_request?ID=092732" TargetMode="External"/><Relationship Id="rId2" Type="http://schemas.openxmlformats.org/officeDocument/2006/relationships/hyperlink" Target="https://us3.assetplanner.com/service_request?ID=096008" TargetMode="External"/><Relationship Id="rId16" Type="http://schemas.openxmlformats.org/officeDocument/2006/relationships/hyperlink" Target="https://us3.assetplanner.com/service_request?ID=098874" TargetMode="External"/><Relationship Id="rId20" Type="http://schemas.openxmlformats.org/officeDocument/2006/relationships/hyperlink" Target="https://us3.assetplanner.com/service_request?ID=099041" TargetMode="External"/><Relationship Id="rId1" Type="http://schemas.openxmlformats.org/officeDocument/2006/relationships/hyperlink" Target="https://us3.assetplanner.com/service_request?ID=097891" TargetMode="External"/><Relationship Id="rId6" Type="http://schemas.openxmlformats.org/officeDocument/2006/relationships/hyperlink" Target="https://us3.assetplanner.com/service_request?ID=097152" TargetMode="External"/><Relationship Id="rId11" Type="http://schemas.openxmlformats.org/officeDocument/2006/relationships/hyperlink" Target="https://us3.assetplanner.com/service_request?ID=099542" TargetMode="External"/><Relationship Id="rId5" Type="http://schemas.openxmlformats.org/officeDocument/2006/relationships/hyperlink" Target="https://us3.assetplanner.com/service_request?ID=095408" TargetMode="External"/><Relationship Id="rId15" Type="http://schemas.openxmlformats.org/officeDocument/2006/relationships/hyperlink" Target="https://us3.assetplanner.com/service_request?ID=098986" TargetMode="External"/><Relationship Id="rId10" Type="http://schemas.openxmlformats.org/officeDocument/2006/relationships/hyperlink" Target="https://us3.assetplanner.com/service_request?ID=098872" TargetMode="External"/><Relationship Id="rId19" Type="http://schemas.openxmlformats.org/officeDocument/2006/relationships/hyperlink" Target="https://us3.assetplanner.com/service_request?ID=097777" TargetMode="External"/><Relationship Id="rId4" Type="http://schemas.openxmlformats.org/officeDocument/2006/relationships/hyperlink" Target="https://us3.assetplanner.com/service_request?ID=099434" TargetMode="External"/><Relationship Id="rId9" Type="http://schemas.openxmlformats.org/officeDocument/2006/relationships/hyperlink" Target="https://us3.assetplanner.com/service_request?ID=098674" TargetMode="External"/><Relationship Id="rId14" Type="http://schemas.openxmlformats.org/officeDocument/2006/relationships/hyperlink" Target="https://us3.assetplanner.com/service_request?ID=097653"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us3.assetplanner.com/service_request?ID=099231" TargetMode="External"/><Relationship Id="rId13" Type="http://schemas.openxmlformats.org/officeDocument/2006/relationships/hyperlink" Target="https://us3.assetplanner.com/service_request?ID=099435" TargetMode="External"/><Relationship Id="rId18" Type="http://schemas.openxmlformats.org/officeDocument/2006/relationships/hyperlink" Target="https://us3.assetplanner.com/service_request?ID=099704" TargetMode="External"/><Relationship Id="rId3" Type="http://schemas.openxmlformats.org/officeDocument/2006/relationships/hyperlink" Target="https://us3.assetplanner.com/service_request?ID=099861" TargetMode="External"/><Relationship Id="rId21" Type="http://schemas.openxmlformats.org/officeDocument/2006/relationships/hyperlink" Target="https://us3.assetplanner.com/service_request?ID=100096" TargetMode="External"/><Relationship Id="rId7" Type="http://schemas.openxmlformats.org/officeDocument/2006/relationships/hyperlink" Target="https://us3.assetplanner.com/service_request?ID=098873" TargetMode="External"/><Relationship Id="rId12" Type="http://schemas.openxmlformats.org/officeDocument/2006/relationships/hyperlink" Target="https://us3.assetplanner.com/service_request?ID=099041" TargetMode="External"/><Relationship Id="rId17" Type="http://schemas.openxmlformats.org/officeDocument/2006/relationships/hyperlink" Target="https://us3.assetplanner.com/service_request?ID=100428" TargetMode="External"/><Relationship Id="rId2" Type="http://schemas.openxmlformats.org/officeDocument/2006/relationships/hyperlink" Target="https://us3.assetplanner.com/service_request?ID=101507" TargetMode="External"/><Relationship Id="rId16" Type="http://schemas.openxmlformats.org/officeDocument/2006/relationships/hyperlink" Target="https://us3.assetplanner.com/service_request?ID=100428" TargetMode="External"/><Relationship Id="rId20" Type="http://schemas.openxmlformats.org/officeDocument/2006/relationships/hyperlink" Target="https://us3.assetplanner.com/service_request?ID=101695" TargetMode="External"/><Relationship Id="rId1" Type="http://schemas.openxmlformats.org/officeDocument/2006/relationships/hyperlink" Target="https://us3.assetplanner.com/service_request?ID=099622" TargetMode="External"/><Relationship Id="rId6" Type="http://schemas.openxmlformats.org/officeDocument/2006/relationships/hyperlink" Target="https://us3.assetplanner.com/service_request?ID=100933" TargetMode="External"/><Relationship Id="rId11" Type="http://schemas.openxmlformats.org/officeDocument/2006/relationships/hyperlink" Target="https://us3.assetplanner.com/service_request?ID=101694" TargetMode="External"/><Relationship Id="rId24" Type="http://schemas.openxmlformats.org/officeDocument/2006/relationships/printerSettings" Target="../printerSettings/printerSettings5.bin"/><Relationship Id="rId5" Type="http://schemas.openxmlformats.org/officeDocument/2006/relationships/hyperlink" Target="https://us3.assetplanner.com/service_request?ID=099433" TargetMode="External"/><Relationship Id="rId15" Type="http://schemas.openxmlformats.org/officeDocument/2006/relationships/hyperlink" Target="https://us3.assetplanner.com/service_request?ID=099626" TargetMode="External"/><Relationship Id="rId23" Type="http://schemas.openxmlformats.org/officeDocument/2006/relationships/hyperlink" Target="https://us3.assetplanner.com/service_request?ID=102064" TargetMode="External"/><Relationship Id="rId10" Type="http://schemas.openxmlformats.org/officeDocument/2006/relationships/hyperlink" Target="https://us3.assetplanner.com/service_request?ID=098874" TargetMode="External"/><Relationship Id="rId19" Type="http://schemas.openxmlformats.org/officeDocument/2006/relationships/hyperlink" Target="https://us3.assetplanner.com/service_request?ID=101255" TargetMode="External"/><Relationship Id="rId4" Type="http://schemas.openxmlformats.org/officeDocument/2006/relationships/hyperlink" Target="https://us3.assetplanner.com/service_request?ID=098674" TargetMode="External"/><Relationship Id="rId9" Type="http://schemas.openxmlformats.org/officeDocument/2006/relationships/hyperlink" Target="https://us3.assetplanner.com/service_request?ID=099339" TargetMode="External"/><Relationship Id="rId14" Type="http://schemas.openxmlformats.org/officeDocument/2006/relationships/hyperlink" Target="https://us3.assetplanner.com/service_request?ID=101090" TargetMode="External"/><Relationship Id="rId22" Type="http://schemas.openxmlformats.org/officeDocument/2006/relationships/hyperlink" Target="https://us3.assetplanner.com/service_request?ID=101335"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us3.assetplanner.com/service_request?ID=099231" TargetMode="External"/><Relationship Id="rId13" Type="http://schemas.openxmlformats.org/officeDocument/2006/relationships/hyperlink" Target="https://us3.assetplanner.com/service_request?ID=098986" TargetMode="External"/><Relationship Id="rId18" Type="http://schemas.openxmlformats.org/officeDocument/2006/relationships/hyperlink" Target="https://us3.assetplanner.com/service_request?ID=099435" TargetMode="External"/><Relationship Id="rId3" Type="http://schemas.openxmlformats.org/officeDocument/2006/relationships/hyperlink" Target="https://us3.assetplanner.com/service_request?ID=103832" TargetMode="External"/><Relationship Id="rId21" Type="http://schemas.openxmlformats.org/officeDocument/2006/relationships/hyperlink" Target="https://us3.assetplanner.com/service_request?ID=099704" TargetMode="External"/><Relationship Id="rId7" Type="http://schemas.openxmlformats.org/officeDocument/2006/relationships/hyperlink" Target="https://us3.assetplanner.com/service_request?ID=100933" TargetMode="External"/><Relationship Id="rId12" Type="http://schemas.openxmlformats.org/officeDocument/2006/relationships/hyperlink" Target="https://us3.assetplanner.com/service_request?ID=097653" TargetMode="External"/><Relationship Id="rId17" Type="http://schemas.openxmlformats.org/officeDocument/2006/relationships/hyperlink" Target="https://us3.assetplanner.com/service_request?ID=101694" TargetMode="External"/><Relationship Id="rId2" Type="http://schemas.openxmlformats.org/officeDocument/2006/relationships/hyperlink" Target="https://us3.assetplanner.com/service_request?ID=009943" TargetMode="External"/><Relationship Id="rId16" Type="http://schemas.openxmlformats.org/officeDocument/2006/relationships/hyperlink" Target="https://us3.assetplanner.com/service_request?ID=101694" TargetMode="External"/><Relationship Id="rId20" Type="http://schemas.openxmlformats.org/officeDocument/2006/relationships/hyperlink" Target="https://us3.assetplanner.com/service_request?ID=101695" TargetMode="External"/><Relationship Id="rId1" Type="http://schemas.openxmlformats.org/officeDocument/2006/relationships/hyperlink" Target="https://us3.assetplanner.com/service_request?ID=099622" TargetMode="External"/><Relationship Id="rId6" Type="http://schemas.openxmlformats.org/officeDocument/2006/relationships/hyperlink" Target="https://us3.assetplanner.com/service_request?ID=099433" TargetMode="External"/><Relationship Id="rId11" Type="http://schemas.openxmlformats.org/officeDocument/2006/relationships/hyperlink" Target="https://us3.assetplanner.com/service_request?ID=103154" TargetMode="External"/><Relationship Id="rId5" Type="http://schemas.openxmlformats.org/officeDocument/2006/relationships/hyperlink" Target="https://us3.assetplanner.com/service_request?ID=098674" TargetMode="External"/><Relationship Id="rId15" Type="http://schemas.openxmlformats.org/officeDocument/2006/relationships/hyperlink" Target="https://us3.assetplanner.com/service_request?ID=098874" TargetMode="External"/><Relationship Id="rId10" Type="http://schemas.openxmlformats.org/officeDocument/2006/relationships/hyperlink" Target="https://us3.assetplanner.com/service_request?ID=102225" TargetMode="External"/><Relationship Id="rId19" Type="http://schemas.openxmlformats.org/officeDocument/2006/relationships/hyperlink" Target="https://us3.assetplanner.com/service_request?ID=100428" TargetMode="External"/><Relationship Id="rId4" Type="http://schemas.openxmlformats.org/officeDocument/2006/relationships/hyperlink" Target="https://us3.assetplanner.com/service_request?ID=099861" TargetMode="External"/><Relationship Id="rId9" Type="http://schemas.openxmlformats.org/officeDocument/2006/relationships/hyperlink" Target="https://us3.assetplanner.com/service_request?ID=099339" TargetMode="External"/><Relationship Id="rId14" Type="http://schemas.openxmlformats.org/officeDocument/2006/relationships/hyperlink" Target="https://us3.assetplanner.com/service_request?ID=103688" TargetMode="External"/><Relationship Id="rId22" Type="http://schemas.openxmlformats.org/officeDocument/2006/relationships/hyperlink" Target="https://us3.assetplanner.com/service_request?ID=102064"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K342"/>
  <sheetViews>
    <sheetView workbookViewId="0">
      <pane ySplit="2" topLeftCell="A3" activePane="bottomLeft" state="frozen"/>
      <selection pane="bottomLeft" activeCell="M11" sqref="M11"/>
    </sheetView>
  </sheetViews>
  <sheetFormatPr defaultRowHeight="13.15"/>
  <cols>
    <col min="1" max="1" width="39" bestFit="1" customWidth="1"/>
    <col min="2" max="2" width="8.42578125" customWidth="1"/>
    <col min="3" max="3" width="11.7109375" customWidth="1"/>
    <col min="4" max="4" width="28.140625" customWidth="1"/>
    <col min="5" max="5" width="26.42578125" customWidth="1"/>
    <col min="6" max="7" width="13.28515625" customWidth="1"/>
    <col min="8" max="8" width="13.28515625" style="1" customWidth="1"/>
    <col min="9" max="10" width="13.28515625" customWidth="1"/>
    <col min="11" max="11" width="13.28515625" style="1" customWidth="1"/>
  </cols>
  <sheetData>
    <row r="1" spans="1:11" ht="19.5" customHeight="1">
      <c r="A1" s="129" t="str" cm="1">
        <f t="array" ref="A1">portfolio</f>
        <v>CITI</v>
      </c>
      <c r="B1" s="129"/>
      <c r="C1" s="129"/>
      <c r="D1" s="76" t="s">
        <v>0</v>
      </c>
      <c r="E1" s="76" t="s">
        <v>1</v>
      </c>
      <c r="F1" s="130" t="s">
        <v>2</v>
      </c>
      <c r="G1" s="130"/>
      <c r="H1" s="130"/>
      <c r="I1" s="128" t="s">
        <v>3</v>
      </c>
      <c r="J1" s="128"/>
      <c r="K1" s="128"/>
    </row>
    <row r="2" spans="1:11" ht="19.5" customHeight="1">
      <c r="A2" s="131" t="s">
        <v>4</v>
      </c>
      <c r="B2" s="131"/>
      <c r="C2" s="6">
        <f>SUM(C4:C100)</f>
        <v>12278528.469999999</v>
      </c>
      <c r="D2" s="6">
        <f>SUM(D4:D22)</f>
        <v>11936760.690000001</v>
      </c>
      <c r="E2" s="7">
        <f>C2/D2</f>
        <v>1.0286315348758155</v>
      </c>
      <c r="F2" s="6">
        <f>SUM(F4:F100)</f>
        <v>11653346.369000001</v>
      </c>
      <c r="G2" s="6">
        <f>C2-F2</f>
        <v>625182.10099999793</v>
      </c>
      <c r="H2" s="7">
        <f>IFERROR(G2/F2, 0)</f>
        <v>5.3648289616027793E-2</v>
      </c>
      <c r="I2" s="6">
        <f>SUM(I4:I100)</f>
        <v>13116930.807</v>
      </c>
      <c r="J2" s="8">
        <f>C2-I2</f>
        <v>-838402.33700000122</v>
      </c>
      <c r="K2" s="7">
        <f>IFERROR(J2/I2, 0)</f>
        <v>-6.3917569539406138E-2</v>
      </c>
    </row>
    <row r="3" spans="1:11" ht="14.25" customHeight="1">
      <c r="A3" s="9" t="s">
        <v>5</v>
      </c>
      <c r="B3" s="9" t="s">
        <v>6</v>
      </c>
      <c r="C3" s="25" t="s">
        <v>7</v>
      </c>
      <c r="D3" s="77"/>
      <c r="E3" s="77"/>
      <c r="F3" s="49" t="s">
        <v>8</v>
      </c>
      <c r="G3" s="49" t="s">
        <v>9</v>
      </c>
      <c r="H3" s="50" t="s">
        <v>10</v>
      </c>
      <c r="I3" s="51" t="s">
        <v>11</v>
      </c>
      <c r="J3" s="52" t="s">
        <v>9</v>
      </c>
      <c r="K3" s="53" t="s">
        <v>10</v>
      </c>
    </row>
    <row r="4" spans="1:11" ht="15.6">
      <c r="A4" s="13" t="str" cm="1">
        <f t="array" ref="A4:A23">Sites[Site]</f>
        <v>CA: Antioch Deer Valley - Citi</v>
      </c>
      <c r="B4" s="10" t="str" cm="1">
        <f t="array" ref="B4:B23">Sites[State]</f>
        <v>CA</v>
      </c>
      <c r="C4" s="26">
        <f>SUM('1st Qtr'!C4, '2nd Qtr'!C4, '3rd Qtr'!C4, '4th Qtr'!C4)</f>
        <v>345468.5</v>
      </c>
      <c r="D4" s="111">
        <f>SUM('1st Qtr'!D4,'2nd Qtr'!D4,'3rd Qtr'!D4,'4th Qtr'!D4)</f>
        <v>331745.74</v>
      </c>
      <c r="E4" s="79">
        <f>C4/D4</f>
        <v>1.0413652937939761</v>
      </c>
      <c r="F4" s="14">
        <f>SUM('1st Qtr'!F4, '2nd Qtr'!F4, '3rd Qtr'!F4, '4th Qtr'!F4)</f>
        <v>334388</v>
      </c>
      <c r="G4" s="14">
        <f>IF(AND(ISNUMBER(C4),ISNUMBER(F4)), C4-F4, "")</f>
        <v>11080.5</v>
      </c>
      <c r="H4" s="15">
        <f>IFERROR(G4/F4, "")</f>
        <v>3.3136655621613213E-2</v>
      </c>
      <c r="I4" s="16">
        <f>SUM('1st Qtr'!I4,'2nd Qtr'!I4,'3rd Qtr'!I4,'4th Qtr'!I4)</f>
        <v>347271.53200000001</v>
      </c>
      <c r="J4" s="16">
        <f>SUM('1st Qtr'!J4, '2nd Qtr'!J4, '3rd Qtr'!J4, '4th Qtr'!J4)</f>
        <v>-1803.0319999999992</v>
      </c>
      <c r="K4" s="17">
        <f>IFERROR(J4/I4, "")</f>
        <v>-5.1919948335989695E-3</v>
      </c>
    </row>
    <row r="5" spans="1:11" ht="15.6">
      <c r="A5" s="19" t="str">
        <v>CA: Antioch MC CUP - Citi</v>
      </c>
      <c r="B5" s="11" t="str">
        <v>CA</v>
      </c>
      <c r="C5" s="20">
        <f>SUM('1st Qtr'!C5, '2nd Qtr'!C5, '3rd Qtr'!C5, '4th Qtr'!C5)</f>
        <v>1167247</v>
      </c>
      <c r="D5" s="112">
        <f>SUM('1st Qtr'!D5,'2nd Qtr'!D5,'3rd Qtr'!D5,'4th Qtr'!D5)</f>
        <v>1120675.18</v>
      </c>
      <c r="E5" s="80">
        <f t="shared" ref="E5:E22" si="0">C5/D5</f>
        <v>1.0415569299928638</v>
      </c>
      <c r="F5" s="20">
        <f>SUM('1st Qtr'!F5, '2nd Qtr'!F5, '3rd Qtr'!F5, '4th Qtr'!F5)</f>
        <v>1132130</v>
      </c>
      <c r="G5" s="20">
        <f t="shared" ref="G5:G15" si="1">IF(AND(ISNUMBER(C5),ISNUMBER(F5)), C5-F5, "")</f>
        <v>35117</v>
      </c>
      <c r="H5" s="21">
        <f>IFERROR(G5/F5, "")</f>
        <v>3.1018522607827722E-2</v>
      </c>
      <c r="I5" s="22">
        <f>SUM('1st Qtr'!I5,'2nd Qtr'!I5,'3rd Qtr'!I5,'4th Qtr'!I5)</f>
        <v>1198067.9939999999</v>
      </c>
      <c r="J5" s="22">
        <f>SUM(Jan!J5, Feb!J5, Mar!K5)</f>
        <v>-18801.309999999983</v>
      </c>
      <c r="K5" s="21">
        <f>IFERROR(J5/I5, "")</f>
        <v>-1.5693024180729414E-2</v>
      </c>
    </row>
    <row r="6" spans="1:11" ht="15.6">
      <c r="A6" s="13" t="str">
        <v>CA: Clovis - Citi</v>
      </c>
      <c r="B6" s="10" t="str">
        <v>CA</v>
      </c>
      <c r="C6" s="26">
        <f>SUM('1st Qtr'!C6, '2nd Qtr'!C6, '3rd Qtr'!C6, '4th Qtr'!C6)</f>
        <v>484061.5</v>
      </c>
      <c r="D6" s="111">
        <f>SUM('1st Qtr'!D6,'2nd Qtr'!D6,'3rd Qtr'!D6,'4th Qtr'!D6)</f>
        <v>472111</v>
      </c>
      <c r="E6" s="79">
        <f t="shared" si="0"/>
        <v>1.02531290310965</v>
      </c>
      <c r="F6" s="14">
        <f>SUM('1st Qtr'!F6, '2nd Qtr'!F6, '3rd Qtr'!F6, '4th Qtr'!F6)</f>
        <v>348922</v>
      </c>
      <c r="G6" s="14">
        <f t="shared" si="1"/>
        <v>135139.5</v>
      </c>
      <c r="H6" s="15">
        <f t="shared" ref="H6:H15" si="2">IFERROR(G6/F6, "")</f>
        <v>0.38730575888020818</v>
      </c>
      <c r="I6" s="16">
        <f>SUM('1st Qtr'!I6,'2nd Qtr'!I6,'3rd Qtr'!I6,'4th Qtr'!I6)</f>
        <v>266509.67099999997</v>
      </c>
      <c r="J6" s="16">
        <f>SUM(Jan!J6, Feb!J6, Mar!K6)</f>
        <v>37638.939999999995</v>
      </c>
      <c r="K6" s="17">
        <f t="shared" ref="K6:K15" si="3">IFERROR(J6/I6, "")</f>
        <v>0.14122917137967575</v>
      </c>
    </row>
    <row r="7" spans="1:11" ht="15.6">
      <c r="A7" s="19" t="str">
        <v>CA: Elk Grove MOB - Citi</v>
      </c>
      <c r="B7" s="11" t="str">
        <v>CA</v>
      </c>
      <c r="C7" s="20">
        <f>SUM('1st Qtr'!C7, '2nd Qtr'!C7, '3rd Qtr'!C7, '4th Qtr'!C7)</f>
        <v>742488.5</v>
      </c>
      <c r="D7" s="112">
        <f>SUM('1st Qtr'!D7,'2nd Qtr'!D7,'3rd Qtr'!D7,'4th Qtr'!D7)</f>
        <v>754904</v>
      </c>
      <c r="E7" s="80">
        <f t="shared" si="0"/>
        <v>0.98355353793330014</v>
      </c>
      <c r="F7" s="20">
        <f>SUM('1st Qtr'!F7, '2nd Qtr'!F7, '3rd Qtr'!F7, '4th Qtr'!F7)</f>
        <v>755421</v>
      </c>
      <c r="G7" s="20">
        <f t="shared" si="1"/>
        <v>-12932.5</v>
      </c>
      <c r="H7" s="21">
        <f t="shared" si="2"/>
        <v>-1.7119592915738377E-2</v>
      </c>
      <c r="I7" s="22">
        <f>SUM('1st Qtr'!I7,'2nd Qtr'!I7,'3rd Qtr'!I7,'4th Qtr'!I7)</f>
        <v>792770.00300000003</v>
      </c>
      <c r="J7" s="22">
        <f>SUM(Jan!J7, Feb!J7, Mar!K7)</f>
        <v>-16876.800000000003</v>
      </c>
      <c r="K7" s="21">
        <f t="shared" si="3"/>
        <v>-2.1288393778945747E-2</v>
      </c>
    </row>
    <row r="8" spans="1:11" ht="15.6">
      <c r="A8" s="13" t="str">
        <v>CA: Elk Grove Promenade - Citi</v>
      </c>
      <c r="B8" s="10" t="str">
        <v>CA</v>
      </c>
      <c r="C8" s="26">
        <f>SUM('1st Qtr'!C8, '2nd Qtr'!C8, '3rd Qtr'!C8, '4th Qtr'!C8)</f>
        <v>403303</v>
      </c>
      <c r="D8" s="111">
        <f>SUM('1st Qtr'!D8,'2nd Qtr'!D8,'3rd Qtr'!D8,'4th Qtr'!D8)</f>
        <v>402441.5</v>
      </c>
      <c r="E8" s="79">
        <f t="shared" si="0"/>
        <v>1.0021406838012481</v>
      </c>
      <c r="F8" s="14">
        <f>SUM('1st Qtr'!F8, '2nd Qtr'!F8, '3rd Qtr'!F8, '4th Qtr'!F8)</f>
        <v>399908.98900000006</v>
      </c>
      <c r="G8" s="14">
        <f t="shared" si="1"/>
        <v>3394.0109999999404</v>
      </c>
      <c r="H8" s="15">
        <f t="shared" si="2"/>
        <v>8.486958516453702E-3</v>
      </c>
      <c r="I8" s="16">
        <f>SUM('1st Qtr'!I8,'2nd Qtr'!I8,'3rd Qtr'!I8,'4th Qtr'!I8)</f>
        <v>425575.15300000005</v>
      </c>
      <c r="J8" s="16">
        <f>SUM(Jan!J8, Feb!J8, Mar!K8)</f>
        <v>-13241.197999999997</v>
      </c>
      <c r="K8" s="17">
        <f t="shared" si="3"/>
        <v>-3.1113653855632861E-2</v>
      </c>
    </row>
    <row r="9" spans="1:11" ht="15.6">
      <c r="A9" s="19" t="str">
        <v>CA: Fresno Sequioa - Citi</v>
      </c>
      <c r="B9" s="11" t="str">
        <v>CA</v>
      </c>
      <c r="C9" s="20">
        <f>SUM('1st Qtr'!C9, '2nd Qtr'!C9, '3rd Qtr'!C9, '4th Qtr'!C9)</f>
        <v>784231</v>
      </c>
      <c r="D9" s="112">
        <f>SUM('1st Qtr'!D9,'2nd Qtr'!D9,'3rd Qtr'!D9,'4th Qtr'!D9)</f>
        <v>797143.56</v>
      </c>
      <c r="E9" s="80">
        <f t="shared" si="0"/>
        <v>0.98380146231125543</v>
      </c>
      <c r="F9" s="20">
        <f>SUM('1st Qtr'!F9, '2nd Qtr'!F9, '3rd Qtr'!F9, '4th Qtr'!F9)</f>
        <v>796871</v>
      </c>
      <c r="G9" s="20">
        <f t="shared" si="1"/>
        <v>-12640</v>
      </c>
      <c r="H9" s="21">
        <f t="shared" si="2"/>
        <v>-1.5862040405536154E-2</v>
      </c>
      <c r="I9" s="22">
        <f>SUM('1st Qtr'!I9,'2nd Qtr'!I9,'3rd Qtr'!I9,'4th Qtr'!I9)</f>
        <v>839579.10899999994</v>
      </c>
      <c r="J9" s="22">
        <f>SUM(Jan!J9, Feb!J9, Mar!K9)</f>
        <v>-32740.300000000003</v>
      </c>
      <c r="K9" s="21">
        <f t="shared" si="3"/>
        <v>-3.8996087026267355E-2</v>
      </c>
    </row>
    <row r="10" spans="1:11" ht="15.6">
      <c r="A10" s="13" t="str">
        <v>CA: Fresno MOB - Citi</v>
      </c>
      <c r="B10" s="10" t="str">
        <v>CA</v>
      </c>
      <c r="C10" s="26">
        <f>SUM('1st Qtr'!C10, '2nd Qtr'!C10, '3rd Qtr'!C10, '4th Qtr'!C10)</f>
        <v>290497.5</v>
      </c>
      <c r="D10" s="111">
        <f>SUM('1st Qtr'!D10,'2nd Qtr'!D10,'3rd Qtr'!D10,'4th Qtr'!D10)</f>
        <v>322682.88</v>
      </c>
      <c r="E10" s="79">
        <f t="shared" si="0"/>
        <v>0.90025693337062074</v>
      </c>
      <c r="F10" s="14">
        <f>SUM('1st Qtr'!F10, '2nd Qtr'!F10, '3rd Qtr'!F10, '4th Qtr'!F10)</f>
        <v>321699</v>
      </c>
      <c r="G10" s="14">
        <f t="shared" si="1"/>
        <v>-31201.5</v>
      </c>
      <c r="H10" s="15">
        <f t="shared" si="2"/>
        <v>-9.6989732638273665E-2</v>
      </c>
      <c r="I10" s="16">
        <f>SUM('1st Qtr'!I10,'2nd Qtr'!I10,'3rd Qtr'!I10,'4th Qtr'!I10)</f>
        <v>308981.72400000005</v>
      </c>
      <c r="J10" s="16">
        <f>SUM(Jan!J10, Feb!J10, Mar!K10)</f>
        <v>-6133.5459999999985</v>
      </c>
      <c r="K10" s="17">
        <f t="shared" si="3"/>
        <v>-1.9850837520733095E-2</v>
      </c>
    </row>
    <row r="11" spans="1:11" ht="15.6">
      <c r="A11" s="19" t="str">
        <v>CA: Modesto Bangs - Citi</v>
      </c>
      <c r="B11" s="11" t="str">
        <v>CA</v>
      </c>
      <c r="C11" s="20">
        <f>SUM('1st Qtr'!C11, '2nd Qtr'!C11, '3rd Qtr'!C11, '4th Qtr'!C11)</f>
        <v>199809.63</v>
      </c>
      <c r="D11" s="112">
        <f>SUM('1st Qtr'!D11,'2nd Qtr'!D11,'3rd Qtr'!D11,'4th Qtr'!D11)</f>
        <v>217096.71999999997</v>
      </c>
      <c r="E11" s="80">
        <f t="shared" si="0"/>
        <v>0.92037148235127653</v>
      </c>
      <c r="F11" s="20">
        <f>SUM('1st Qtr'!F11, '2nd Qtr'!F11, '3rd Qtr'!F11, '4th Qtr'!F11)</f>
        <v>161664</v>
      </c>
      <c r="G11" s="20">
        <f t="shared" si="1"/>
        <v>38145.630000000005</v>
      </c>
      <c r="H11" s="21">
        <f t="shared" si="2"/>
        <v>0.23595624257719719</v>
      </c>
      <c r="I11" s="22">
        <f>SUM('1st Qtr'!I11,'2nd Qtr'!I11,'3rd Qtr'!I11,'4th Qtr'!I11)</f>
        <v>132636.41500000001</v>
      </c>
      <c r="J11" s="22">
        <f>SUM(Jan!J11, Feb!J11, Mar!K11)</f>
        <v>-1666.3119999999981</v>
      </c>
      <c r="K11" s="21">
        <f t="shared" si="3"/>
        <v>-1.2563005415971157E-2</v>
      </c>
    </row>
    <row r="12" spans="1:11" ht="15.6">
      <c r="A12" s="13" t="str">
        <v>CA: Napa Data Center - Citi</v>
      </c>
      <c r="B12" s="10" t="str">
        <v>CA</v>
      </c>
      <c r="C12" s="26">
        <f>SUM('1st Qtr'!C12, '2nd Qtr'!C12, '3rd Qtr'!C12, '4th Qtr'!C12)</f>
        <v>204383.25</v>
      </c>
      <c r="D12" s="111">
        <f>SUM('1st Qtr'!D12,'2nd Qtr'!D12,'3rd Qtr'!D12,'4th Qtr'!D12)</f>
        <v>232121.29</v>
      </c>
      <c r="E12" s="79">
        <f t="shared" si="0"/>
        <v>0.88050195654177177</v>
      </c>
      <c r="F12" s="14">
        <f>SUM('1st Qtr'!F12, '2nd Qtr'!F12, '3rd Qtr'!F12, '4th Qtr'!F12)</f>
        <v>227582</v>
      </c>
      <c r="G12" s="14">
        <f t="shared" si="1"/>
        <v>-23198.75</v>
      </c>
      <c r="H12" s="15">
        <f t="shared" si="2"/>
        <v>-0.10193578578270689</v>
      </c>
      <c r="I12" s="16">
        <f>SUM('1st Qtr'!I12,'2nd Qtr'!I12,'3rd Qtr'!I12,'4th Qtr'!I12)</f>
        <v>237122.18100000001</v>
      </c>
      <c r="J12" s="16">
        <f>SUM(Jan!J12, Feb!J12, Mar!K12)</f>
        <v>-13452.904999999999</v>
      </c>
      <c r="K12" s="17">
        <f t="shared" si="3"/>
        <v>-5.6734064030897209E-2</v>
      </c>
    </row>
    <row r="13" spans="1:11" ht="15.6">
      <c r="A13" s="19" t="str">
        <v>CA: Petaluma MOB - Citi</v>
      </c>
      <c r="B13" s="11" t="str">
        <v>CA</v>
      </c>
      <c r="C13" s="20">
        <f>SUM('1st Qtr'!C13, '2nd Qtr'!C13, '3rd Qtr'!C13, '4th Qtr'!C13)</f>
        <v>453691</v>
      </c>
      <c r="D13" s="112">
        <f>SUM('1st Qtr'!D13,'2nd Qtr'!D13,'3rd Qtr'!D13,'4th Qtr'!D13)</f>
        <v>484086.5</v>
      </c>
      <c r="E13" s="80">
        <f t="shared" si="0"/>
        <v>0.93721060182426075</v>
      </c>
      <c r="F13" s="20">
        <f>SUM('1st Qtr'!F13, '2nd Qtr'!F13, '3rd Qtr'!F13, '4th Qtr'!F13)</f>
        <v>405797</v>
      </c>
      <c r="G13" s="20">
        <f t="shared" si="1"/>
        <v>47894</v>
      </c>
      <c r="H13" s="21">
        <f t="shared" si="2"/>
        <v>0.11802452950613238</v>
      </c>
      <c r="I13" s="22">
        <f>SUM('1st Qtr'!I13,'2nd Qtr'!I13,'3rd Qtr'!I13,'4th Qtr'!I13)</f>
        <v>349124.41600000003</v>
      </c>
      <c r="J13" s="22">
        <f>SUM(Jan!J13, Feb!J13, Mar!K13)</f>
        <v>-25903.39</v>
      </c>
      <c r="K13" s="21">
        <f t="shared" si="3"/>
        <v>-7.4195297758836778E-2</v>
      </c>
    </row>
    <row r="14" spans="1:11" ht="15.6">
      <c r="A14" s="13" t="str">
        <v>CA: Pleasanton Tec Ctr - Citi</v>
      </c>
      <c r="B14" s="10" t="str">
        <v>CA</v>
      </c>
      <c r="C14" s="26">
        <f>SUM('1st Qtr'!C14, '2nd Qtr'!C14, '3rd Qtr'!C14, '4th Qtr'!C14)</f>
        <v>644636</v>
      </c>
      <c r="D14" s="111">
        <f>SUM('1st Qtr'!D14,'2nd Qtr'!D14,'3rd Qtr'!D14,'4th Qtr'!D14)</f>
        <v>741855.36</v>
      </c>
      <c r="E14" s="79">
        <f t="shared" si="0"/>
        <v>0.86895105806069795</v>
      </c>
      <c r="F14" s="14">
        <f>SUM('1st Qtr'!F14, '2nd Qtr'!F14, '3rd Qtr'!F14, '4th Qtr'!F14)</f>
        <v>742953</v>
      </c>
      <c r="G14" s="14">
        <f t="shared" si="1"/>
        <v>-98317</v>
      </c>
      <c r="H14" s="15">
        <f t="shared" si="2"/>
        <v>-0.13233273168020049</v>
      </c>
      <c r="I14" s="16">
        <f>SUM('1st Qtr'!I14,'2nd Qtr'!I14,'3rd Qtr'!I14,'4th Qtr'!I14)</f>
        <v>758586.48400000005</v>
      </c>
      <c r="J14" s="16">
        <f>SUM(Jan!J14, Feb!J14, Mar!K14)</f>
        <v>-32875.356</v>
      </c>
      <c r="K14" s="17">
        <f t="shared" si="3"/>
        <v>-4.3337650608602195E-2</v>
      </c>
    </row>
    <row r="15" spans="1:11" ht="15.6">
      <c r="A15" s="19" t="str">
        <v>CA: Rancho Cordova - Citi</v>
      </c>
      <c r="B15" s="11" t="str">
        <v>CA</v>
      </c>
      <c r="C15" s="20">
        <f>SUM('1st Qtr'!C15, '2nd Qtr'!C15, '3rd Qtr'!C15, '4th Qtr'!C15)</f>
        <v>1121098</v>
      </c>
      <c r="D15" s="112">
        <f>SUM('1st Qtr'!D15,'2nd Qtr'!D15,'3rd Qtr'!D15,'4th Qtr'!D15)</f>
        <v>1056290.78</v>
      </c>
      <c r="E15" s="80">
        <f t="shared" si="0"/>
        <v>1.0613535791725834</v>
      </c>
      <c r="F15" s="20">
        <f>SUM('1st Qtr'!F15, '2nd Qtr'!F15, '3rd Qtr'!F15, '4th Qtr'!F15)</f>
        <v>1065478</v>
      </c>
      <c r="G15" s="20">
        <f t="shared" si="1"/>
        <v>55620</v>
      </c>
      <c r="H15" s="21">
        <f t="shared" si="2"/>
        <v>5.2201922517405332E-2</v>
      </c>
      <c r="I15" s="22">
        <f>SUM('1st Qtr'!I15,'2nd Qtr'!I15,'3rd Qtr'!I15,'4th Qtr'!I15)</f>
        <v>1158421.6869999999</v>
      </c>
      <c r="J15" s="22">
        <f>SUM(Jan!J15, Feb!J15, Mar!K15)</f>
        <v>-17879.210000000006</v>
      </c>
      <c r="K15" s="21">
        <f t="shared" si="3"/>
        <v>-1.5434111947871369E-2</v>
      </c>
    </row>
    <row r="16" spans="1:11" ht="15.6">
      <c r="A16" s="13" t="str">
        <v>CA: S Sacramento Wyndham - Citi</v>
      </c>
      <c r="B16" s="10" t="str">
        <v>CA</v>
      </c>
      <c r="C16" s="26">
        <f>SUM('1st Qtr'!C16, '2nd Qtr'!C16, '3rd Qtr'!C16, '4th Qtr'!C16)</f>
        <v>606514.5</v>
      </c>
      <c r="D16" s="111">
        <f>SUM('1st Qtr'!D16,'2nd Qtr'!D16,'3rd Qtr'!D16,'4th Qtr'!D16)</f>
        <v>653059.68999999994</v>
      </c>
      <c r="E16" s="79">
        <f t="shared" si="0"/>
        <v>0.92872751034442202</v>
      </c>
      <c r="F16" s="14">
        <f>SUM('1st Qtr'!F16, '2nd Qtr'!F16, '3rd Qtr'!F16, '4th Qtr'!F16)</f>
        <v>638424</v>
      </c>
      <c r="G16" s="14">
        <f t="shared" ref="G16:G22" si="4">IF(AND(ISNUMBER(C16),ISNUMBER(F16)), C16-F16, "")</f>
        <v>-31909.5</v>
      </c>
      <c r="H16" s="38">
        <f t="shared" ref="H16:H22" si="5">IFERROR(G16/F16, "")</f>
        <v>-4.9981673621292431E-2</v>
      </c>
      <c r="I16" s="39">
        <f>SUM('1st Qtr'!I16,'2nd Qtr'!I16,'3rd Qtr'!I16,'4th Qtr'!I16)</f>
        <v>646081.75699999998</v>
      </c>
      <c r="J16" s="39">
        <f>SUM(Jan!J16, Feb!J16, Mar!K16)</f>
        <v>-1200.1229999999996</v>
      </c>
      <c r="K16" s="40">
        <f t="shared" ref="K16:K22" si="6">IFERROR(J16/I16, "")</f>
        <v>-1.8575404536611915E-3</v>
      </c>
    </row>
    <row r="17" spans="1:11" ht="15.6">
      <c r="A17" s="19" t="str">
        <v>CA: Sacramento Point West - Citi</v>
      </c>
      <c r="B17" s="11" t="str">
        <v>CA</v>
      </c>
      <c r="C17" s="20">
        <f>SUM('1st Qtr'!C17, '2nd Qtr'!C17, '3rd Qtr'!C17, '4th Qtr'!C17)</f>
        <v>1207964</v>
      </c>
      <c r="D17" s="112">
        <f>SUM('1st Qtr'!D17,'2nd Qtr'!D17,'3rd Qtr'!D17,'4th Qtr'!D17)</f>
        <v>1247137.8999999999</v>
      </c>
      <c r="E17" s="80">
        <f t="shared" si="0"/>
        <v>0.96858895876710993</v>
      </c>
      <c r="F17" s="20">
        <f>SUM('1st Qtr'!F17, '2nd Qtr'!F17, '3rd Qtr'!F17, '4th Qtr'!F17)</f>
        <v>1247649</v>
      </c>
      <c r="G17" s="20">
        <f t="shared" si="4"/>
        <v>-39685</v>
      </c>
      <c r="H17" s="43">
        <f t="shared" si="5"/>
        <v>-3.1807824155671988E-2</v>
      </c>
      <c r="I17" s="44">
        <f>SUM('1st Qtr'!I17,'2nd Qtr'!I17,'3rd Qtr'!I17,'4th Qtr'!I17)</f>
        <v>1322381.561</v>
      </c>
      <c r="J17" s="44">
        <f>SUM(Jan!J17, Feb!J17, Mar!K17)</f>
        <v>-48001.260000000009</v>
      </c>
      <c r="K17" s="43">
        <f t="shared" si="6"/>
        <v>-3.6299099606093198E-2</v>
      </c>
    </row>
    <row r="18" spans="1:11" ht="12.75" customHeight="1">
      <c r="A18" s="13" t="str">
        <v>CA: San Jose FHC - Citi</v>
      </c>
      <c r="B18" s="10" t="str">
        <v>CA</v>
      </c>
      <c r="C18" s="26">
        <f>SUM('1st Qtr'!C18, '2nd Qtr'!C18, '3rd Qtr'!C18, '4th Qtr'!C18)</f>
        <v>230669</v>
      </c>
      <c r="D18" s="111">
        <f>SUM('1st Qtr'!D18,'2nd Qtr'!D18,'3rd Qtr'!D18,'4th Qtr'!D18)</f>
        <v>258008.34999999998</v>
      </c>
      <c r="E18" s="79">
        <f t="shared" si="0"/>
        <v>0.89403695655586346</v>
      </c>
      <c r="F18" s="14">
        <f>SUM('1st Qtr'!F18, '2nd Qtr'!F18, '3rd Qtr'!F18, '4th Qtr'!F18)</f>
        <v>262481</v>
      </c>
      <c r="G18" s="14">
        <f t="shared" si="4"/>
        <v>-31812</v>
      </c>
      <c r="H18" s="38">
        <f t="shared" si="5"/>
        <v>-0.12119734380774227</v>
      </c>
      <c r="I18" s="39">
        <f>SUM('1st Qtr'!I18,'2nd Qtr'!I18,'3rd Qtr'!I18,'4th Qtr'!I18)</f>
        <v>262891.87199999997</v>
      </c>
      <c r="J18" s="39">
        <f>SUM(Jan!J18, Feb!J18, Mar!K18)</f>
        <v>-13919.123999999996</v>
      </c>
      <c r="K18" s="40">
        <f t="shared" si="6"/>
        <v>-5.2946193787231269E-2</v>
      </c>
    </row>
    <row r="19" spans="1:11" ht="15.6">
      <c r="A19" s="19" t="str">
        <v>CA: San Jose MOB - Citi</v>
      </c>
      <c r="B19" s="11" t="str">
        <v>CA</v>
      </c>
      <c r="C19" s="20">
        <f>SUM('1st Qtr'!C19, '2nd Qtr'!C19, '3rd Qtr'!C19, '4th Qtr'!C19)</f>
        <v>350762.25</v>
      </c>
      <c r="D19" s="112">
        <f>SUM('1st Qtr'!D19,'2nd Qtr'!D19,'3rd Qtr'!D19,'4th Qtr'!D19)</f>
        <v>412430.84</v>
      </c>
      <c r="E19" s="80">
        <f t="shared" si="0"/>
        <v>0.85047531848006319</v>
      </c>
      <c r="F19" s="20">
        <f>SUM('1st Qtr'!F19, '2nd Qtr'!F19, '3rd Qtr'!F19, '4th Qtr'!F19)</f>
        <v>419055</v>
      </c>
      <c r="G19" s="20">
        <f t="shared" si="4"/>
        <v>-68292.75</v>
      </c>
      <c r="H19" s="43">
        <f t="shared" si="5"/>
        <v>-0.16296846475999571</v>
      </c>
      <c r="I19" s="44">
        <f>SUM('1st Qtr'!I19,'2nd Qtr'!I19,'3rd Qtr'!I19,'4th Qtr'!I19)</f>
        <v>425445.85399999999</v>
      </c>
      <c r="J19" s="44">
        <f>SUM(Jan!J19, Feb!J19, Mar!K19)</f>
        <v>-33809.864000000009</v>
      </c>
      <c r="K19" s="43">
        <f t="shared" si="6"/>
        <v>-7.9469252507981925E-2</v>
      </c>
    </row>
    <row r="20" spans="1:11" ht="15.6">
      <c r="A20" s="13" t="str">
        <v>CA: Selma - Citi</v>
      </c>
      <c r="B20" s="10" t="str">
        <v>CA</v>
      </c>
      <c r="C20" s="26">
        <f>SUM('1st Qtr'!C20, '2nd Qtr'!C20, '3rd Qtr'!C20, '4th Qtr'!C20)</f>
        <v>230390</v>
      </c>
      <c r="D20" s="111">
        <f>SUM('1st Qtr'!D20,'2nd Qtr'!D20,'3rd Qtr'!D20,'4th Qtr'!D20)</f>
        <v>239941.96000000002</v>
      </c>
      <c r="E20" s="79">
        <f t="shared" si="0"/>
        <v>0.96019053941211441</v>
      </c>
      <c r="F20" s="14">
        <f>SUM('1st Qtr'!F20, '2nd Qtr'!F20, '3rd Qtr'!F20, '4th Qtr'!F20)</f>
        <v>239757</v>
      </c>
      <c r="G20" s="14">
        <f t="shared" si="4"/>
        <v>-9367</v>
      </c>
      <c r="H20" s="38">
        <f t="shared" si="5"/>
        <v>-3.9068723749462998E-2</v>
      </c>
      <c r="I20" s="39">
        <f>SUM('1st Qtr'!I20,'2nd Qtr'!I20,'3rd Qtr'!I20,'4th Qtr'!I20)</f>
        <v>257638.359</v>
      </c>
      <c r="J20" s="39">
        <f>SUM(Jan!J20, Feb!J20, Mar!K20)</f>
        <v>-11115.291000000001</v>
      </c>
      <c r="K20" s="40">
        <f t="shared" si="6"/>
        <v>-4.3142997196314238E-2</v>
      </c>
    </row>
    <row r="21" spans="1:11" ht="15.6">
      <c r="A21" s="19" t="str">
        <v>CA: Vacaville Hospital</v>
      </c>
      <c r="B21" s="11" t="str">
        <v>CA</v>
      </c>
      <c r="C21" s="20">
        <f>SUM('1st Qtr'!C21, '2nd Qtr'!C21, '3rd Qtr'!C21, '4th Qtr'!C21)</f>
        <v>1445750.5</v>
      </c>
      <c r="D21" s="112">
        <f>SUM('1st Qtr'!D21,'2nd Qtr'!D21,'3rd Qtr'!D21,'4th Qtr'!D21)</f>
        <v>1662886.4400000002</v>
      </c>
      <c r="E21" s="80">
        <f t="shared" si="0"/>
        <v>0.86942226794512789</v>
      </c>
      <c r="F21" s="20">
        <f>SUM('1st Qtr'!F21, '2nd Qtr'!F21, '3rd Qtr'!F21, '4th Qtr'!F21)</f>
        <v>1704587</v>
      </c>
      <c r="G21" s="20">
        <f t="shared" si="4"/>
        <v>-258836.5</v>
      </c>
      <c r="H21" s="43">
        <f t="shared" si="5"/>
        <v>-0.15184704564800741</v>
      </c>
      <c r="I21" s="44">
        <f>SUM('1st Qtr'!I21,'2nd Qtr'!I21,'3rd Qtr'!I21,'4th Qtr'!I21)</f>
        <v>1755996.5180000002</v>
      </c>
      <c r="J21" s="44">
        <f>SUM(Jan!J21, Feb!J21, Mar!K21)</f>
        <v>-33523.386999999988</v>
      </c>
      <c r="K21" s="43">
        <f t="shared" si="6"/>
        <v>-1.9090804939739626E-2</v>
      </c>
    </row>
    <row r="22" spans="1:11" ht="15.6">
      <c r="A22" s="13" t="str">
        <v>CA: Manteca - KP Manteca Hospital</v>
      </c>
      <c r="B22" s="10" t="str">
        <v>CA</v>
      </c>
      <c r="C22" s="26">
        <f>SUM('1st Qtr'!C22, '2nd Qtr'!C22, '3rd Qtr'!C22, '4th Qtr'!C22)</f>
        <v>411431.75</v>
      </c>
      <c r="D22" s="111">
        <f>SUM('1st Qtr'!D22,'2nd Qtr'!D22,'3rd Qtr'!D22,'4th Qtr'!D22)</f>
        <v>530141</v>
      </c>
      <c r="E22" s="79">
        <f t="shared" si="0"/>
        <v>0.77607985422746029</v>
      </c>
      <c r="F22" s="14">
        <f>SUM('1st Qtr'!F22, '2nd Qtr'!F22, '3rd Qtr'!F22, '4th Qtr'!F22)</f>
        <v>448579.38</v>
      </c>
      <c r="G22" s="14">
        <f t="shared" si="4"/>
        <v>-37147.630000000005</v>
      </c>
      <c r="H22" s="38">
        <f t="shared" si="5"/>
        <v>-8.281171996804669E-2</v>
      </c>
      <c r="I22" s="39">
        <f>SUM('1st Qtr'!I22,'2nd Qtr'!I22,'3rd Qtr'!I22,'4th Qtr'!I22)</f>
        <v>493003.51699999999</v>
      </c>
      <c r="J22" s="39">
        <f>SUM(Jan!J22, Feb!J22, Mar!K22)</f>
        <v>-6367.1640000000116</v>
      </c>
      <c r="K22" s="40">
        <f t="shared" si="6"/>
        <v>-1.2915047825105093E-2</v>
      </c>
    </row>
    <row r="23" spans="1:11" ht="15.75">
      <c r="A23" s="19" t="str">
        <v>Sacramento - KP South Sacramento HSP</v>
      </c>
      <c r="B23" s="11" t="str">
        <v>CA</v>
      </c>
      <c r="C23" s="20">
        <f>SUM('1st Qtr'!C23, '2nd Qtr'!C23, '3rd Qtr'!C23, '4th Qtr'!C23)</f>
        <v>954131.58999999985</v>
      </c>
      <c r="D23" s="112">
        <f>SUM('1st Qtr'!D23,'2nd Qtr'!D23,'3rd Qtr'!D23,'4th Qtr'!D23)</f>
        <v>0</v>
      </c>
      <c r="E23" s="80" t="e">
        <f t="shared" ref="E23" si="7">C23/D23</f>
        <v>#DIV/0!</v>
      </c>
      <c r="F23" s="20">
        <f>SUM('1st Qtr'!F23, '2nd Qtr'!F23, '3rd Qtr'!F23, '4th Qtr'!F23)</f>
        <v>0</v>
      </c>
      <c r="G23" s="20">
        <f t="shared" ref="G23" si="8">IF(AND(ISNUMBER(C23),ISNUMBER(F23)), C23-F23, "")</f>
        <v>954131.58999999985</v>
      </c>
      <c r="H23" s="43" t="str">
        <f t="shared" ref="H23" si="9">IFERROR(G23/F23, "")</f>
        <v/>
      </c>
      <c r="I23" s="44">
        <f>SUM('1st Qtr'!I23,'2nd Qtr'!I23,'3rd Qtr'!I23,'4th Qtr'!I23)</f>
        <v>1138845</v>
      </c>
      <c r="J23" s="44">
        <f>SUM(Jan!J23, Feb!J23, Mar!K23)</f>
        <v>0</v>
      </c>
      <c r="K23" s="43">
        <f t="shared" ref="K23" si="10">IFERROR(J23/I23, "")</f>
        <v>0</v>
      </c>
    </row>
    <row r="24" spans="1:11" ht="13.9">
      <c r="A24" s="23"/>
      <c r="B24" s="23"/>
      <c r="C24" s="23"/>
      <c r="D24" s="23"/>
      <c r="E24" s="23"/>
      <c r="F24" s="23"/>
      <c r="G24" s="23"/>
      <c r="H24" s="23"/>
      <c r="I24" s="23"/>
      <c r="J24" s="23"/>
      <c r="K24" s="23"/>
    </row>
    <row r="25" spans="1:11" ht="13.9">
      <c r="A25" s="23"/>
      <c r="B25" s="23"/>
      <c r="C25" s="23"/>
      <c r="F25" s="23"/>
      <c r="G25" s="23"/>
      <c r="H25" s="23"/>
      <c r="I25" s="23"/>
      <c r="J25" s="23"/>
      <c r="K25" s="23"/>
    </row>
    <row r="26" spans="1:11" ht="13.9">
      <c r="A26" s="23"/>
      <c r="B26" s="23"/>
      <c r="C26" s="23"/>
      <c r="F26" s="23"/>
      <c r="G26" s="23"/>
      <c r="H26" s="23"/>
      <c r="I26" s="23"/>
      <c r="J26" s="23"/>
      <c r="K26" s="23"/>
    </row>
    <row r="27" spans="1:11" ht="13.9">
      <c r="A27" s="23"/>
      <c r="B27" s="23"/>
      <c r="C27" s="23"/>
      <c r="D27" s="23"/>
      <c r="E27" s="23"/>
      <c r="F27" s="23"/>
      <c r="G27" s="23"/>
      <c r="H27" s="23"/>
      <c r="I27" s="23"/>
      <c r="J27" s="23"/>
      <c r="K27" s="23"/>
    </row>
    <row r="28" spans="1:11" ht="13.9">
      <c r="A28" s="23"/>
      <c r="B28" s="23"/>
      <c r="C28" s="23"/>
      <c r="D28" s="23"/>
      <c r="E28" s="23"/>
      <c r="F28" s="23"/>
      <c r="G28" s="23"/>
      <c r="H28" s="23"/>
      <c r="I28" s="23"/>
      <c r="J28" s="23"/>
      <c r="K28" s="23"/>
    </row>
    <row r="29" spans="1:11" ht="14.45">
      <c r="A29" s="23"/>
      <c r="B29" s="23"/>
      <c r="C29" s="23"/>
      <c r="D29" s="35"/>
      <c r="E29" s="35"/>
      <c r="F29" s="23"/>
      <c r="G29" s="23"/>
      <c r="H29" s="23"/>
      <c r="I29" s="23"/>
      <c r="J29" s="23"/>
      <c r="K29" s="23"/>
    </row>
    <row r="30" spans="1:11" ht="14.45">
      <c r="A30" s="23"/>
      <c r="B30" s="23"/>
      <c r="C30" s="23"/>
      <c r="D30" s="35"/>
      <c r="E30" s="35"/>
      <c r="F30" s="23"/>
      <c r="G30" s="23"/>
      <c r="H30" s="23"/>
      <c r="I30" s="23"/>
      <c r="J30" s="23"/>
      <c r="K30" s="23"/>
    </row>
    <row r="31" spans="1:11" ht="13.9">
      <c r="A31" s="23"/>
      <c r="B31" s="23"/>
      <c r="C31" s="23"/>
      <c r="D31" s="23"/>
      <c r="E31" s="23"/>
      <c r="F31" s="23"/>
      <c r="G31" s="23"/>
      <c r="H31" s="23"/>
      <c r="I31" s="23"/>
      <c r="J31" s="23"/>
      <c r="K31" s="23"/>
    </row>
    <row r="32" spans="1:11" ht="13.9">
      <c r="A32" s="23"/>
      <c r="B32" s="23"/>
      <c r="C32" s="23"/>
      <c r="D32" s="23"/>
      <c r="E32" s="23"/>
      <c r="F32" s="23"/>
      <c r="G32" s="23"/>
      <c r="H32" s="23"/>
      <c r="I32" s="23"/>
      <c r="J32" s="23"/>
      <c r="K32" s="23"/>
    </row>
    <row r="33" spans="1:11" ht="13.9">
      <c r="A33" s="23"/>
      <c r="B33" s="23"/>
      <c r="C33" s="23"/>
      <c r="D33" s="23"/>
      <c r="E33" s="23"/>
      <c r="F33" s="23"/>
      <c r="G33" s="23"/>
      <c r="H33" s="24"/>
      <c r="I33" s="23"/>
      <c r="J33" s="23"/>
      <c r="K33" s="24"/>
    </row>
    <row r="34" spans="1:11" ht="13.9">
      <c r="A34" s="23"/>
      <c r="B34" s="23"/>
      <c r="C34" s="23"/>
      <c r="D34" s="23"/>
      <c r="E34" s="23"/>
      <c r="F34" s="23"/>
      <c r="G34" s="23"/>
      <c r="H34" s="24"/>
      <c r="I34" s="23"/>
      <c r="J34" s="23"/>
      <c r="K34" s="24"/>
    </row>
    <row r="35" spans="1:11" ht="13.9">
      <c r="A35" s="23"/>
      <c r="B35" s="23"/>
      <c r="C35" s="23"/>
      <c r="D35" s="23"/>
      <c r="E35" s="23"/>
      <c r="F35" s="23"/>
      <c r="G35" s="23"/>
      <c r="H35" s="24"/>
      <c r="I35" s="23"/>
      <c r="J35" s="23"/>
      <c r="K35" s="24"/>
    </row>
    <row r="36" spans="1:11" ht="13.9">
      <c r="A36" s="23"/>
      <c r="B36" s="23"/>
      <c r="C36" s="23"/>
      <c r="D36" s="23"/>
      <c r="E36" s="23"/>
      <c r="F36" s="23"/>
      <c r="G36" s="23"/>
      <c r="H36" s="24"/>
      <c r="I36" s="23"/>
      <c r="J36" s="23"/>
      <c r="K36" s="24"/>
    </row>
    <row r="37" spans="1:11" ht="13.9">
      <c r="A37" s="23"/>
      <c r="B37" s="23"/>
      <c r="C37" s="23"/>
      <c r="D37" s="23"/>
      <c r="E37" s="23"/>
      <c r="F37" s="23"/>
      <c r="G37" s="23"/>
      <c r="H37" s="24"/>
      <c r="I37" s="23"/>
      <c r="J37" s="23"/>
      <c r="K37" s="24"/>
    </row>
    <row r="38" spans="1:11" ht="13.9">
      <c r="A38" s="23"/>
      <c r="B38" s="23"/>
      <c r="C38" s="23"/>
      <c r="D38" s="23"/>
      <c r="E38" s="23"/>
      <c r="F38" s="23"/>
      <c r="G38" s="23"/>
      <c r="H38" s="24"/>
      <c r="I38" s="23"/>
      <c r="J38" s="23"/>
      <c r="K38" s="24"/>
    </row>
    <row r="39" spans="1:11" ht="13.9">
      <c r="A39" s="23"/>
      <c r="B39" s="23"/>
      <c r="C39" s="23"/>
      <c r="D39" s="23"/>
      <c r="E39" s="23"/>
      <c r="F39" s="23"/>
      <c r="G39" s="23"/>
      <c r="H39" s="24"/>
      <c r="I39" s="23"/>
      <c r="J39" s="23"/>
      <c r="K39" s="24"/>
    </row>
    <row r="40" spans="1:11" ht="13.9">
      <c r="A40" s="23"/>
      <c r="B40" s="23"/>
      <c r="C40" s="23"/>
      <c r="D40" s="23"/>
      <c r="E40" s="23"/>
      <c r="F40" s="23"/>
      <c r="G40" s="23"/>
      <c r="H40" s="24"/>
      <c r="I40" s="23"/>
      <c r="J40" s="23"/>
      <c r="K40" s="24"/>
    </row>
    <row r="41" spans="1:11" ht="13.9">
      <c r="A41" s="23"/>
      <c r="B41" s="23"/>
      <c r="C41" s="23"/>
      <c r="D41" s="23"/>
      <c r="E41" s="23"/>
      <c r="F41" s="23"/>
      <c r="G41" s="23"/>
      <c r="H41" s="24"/>
      <c r="I41" s="23"/>
      <c r="J41" s="23"/>
      <c r="K41" s="24"/>
    </row>
    <row r="42" spans="1:11" ht="13.9">
      <c r="A42" s="23"/>
      <c r="B42" s="23"/>
      <c r="C42" s="23"/>
      <c r="D42" s="23"/>
      <c r="E42" s="23"/>
      <c r="F42" s="23"/>
      <c r="G42" s="23"/>
      <c r="H42" s="24"/>
      <c r="I42" s="23"/>
      <c r="J42" s="23"/>
      <c r="K42" s="24"/>
    </row>
    <row r="43" spans="1:11" ht="13.9">
      <c r="A43" s="23"/>
      <c r="B43" s="23"/>
      <c r="C43" s="23"/>
      <c r="D43" s="23"/>
      <c r="E43" s="23"/>
      <c r="F43" s="23"/>
      <c r="G43" s="23"/>
      <c r="H43" s="24"/>
      <c r="I43" s="23"/>
      <c r="J43" s="23"/>
      <c r="K43" s="24"/>
    </row>
    <row r="44" spans="1:11" ht="13.9">
      <c r="A44" s="23"/>
      <c r="B44" s="23"/>
      <c r="C44" s="23"/>
      <c r="D44" s="23"/>
      <c r="E44" s="23"/>
      <c r="F44" s="23"/>
      <c r="G44" s="23"/>
      <c r="H44" s="24"/>
      <c r="I44" s="23"/>
      <c r="J44" s="23"/>
      <c r="K44" s="24"/>
    </row>
    <row r="45" spans="1:11" ht="13.9">
      <c r="A45" s="23"/>
      <c r="B45" s="23"/>
      <c r="C45" s="23"/>
      <c r="D45" s="23"/>
      <c r="E45" s="23"/>
      <c r="F45" s="23"/>
      <c r="G45" s="23"/>
      <c r="H45" s="24"/>
      <c r="I45" s="23"/>
      <c r="J45" s="23"/>
      <c r="K45" s="24"/>
    </row>
    <row r="46" spans="1:11" ht="13.9">
      <c r="A46" s="23"/>
      <c r="B46" s="23"/>
      <c r="C46" s="23"/>
      <c r="D46" s="23"/>
      <c r="E46" s="23"/>
      <c r="F46" s="23"/>
      <c r="G46" s="23"/>
      <c r="H46" s="24"/>
      <c r="I46" s="23"/>
      <c r="J46" s="23"/>
      <c r="K46" s="24"/>
    </row>
    <row r="47" spans="1:11" ht="13.9">
      <c r="A47" s="23"/>
      <c r="B47" s="23"/>
      <c r="C47" s="23"/>
      <c r="D47" s="23"/>
      <c r="E47" s="23"/>
      <c r="F47" s="23"/>
      <c r="G47" s="23"/>
      <c r="H47" s="24"/>
      <c r="I47" s="23"/>
      <c r="J47" s="23"/>
      <c r="K47" s="24"/>
    </row>
    <row r="48" spans="1:11" ht="13.9">
      <c r="A48" s="23"/>
      <c r="B48" s="23"/>
      <c r="C48" s="23"/>
      <c r="D48" s="23"/>
      <c r="E48" s="23"/>
      <c r="F48" s="23"/>
      <c r="G48" s="23"/>
      <c r="H48" s="24"/>
      <c r="I48" s="23"/>
      <c r="J48" s="23"/>
      <c r="K48" s="24"/>
    </row>
    <row r="49" spans="1:11" ht="13.9">
      <c r="A49" s="23"/>
      <c r="B49" s="23"/>
      <c r="C49" s="23"/>
      <c r="D49" s="23"/>
      <c r="E49" s="23"/>
      <c r="F49" s="23"/>
      <c r="G49" s="23"/>
      <c r="H49" s="24"/>
      <c r="I49" s="23"/>
      <c r="J49" s="23"/>
      <c r="K49" s="24"/>
    </row>
    <row r="50" spans="1:11" ht="13.9">
      <c r="A50" s="23"/>
      <c r="B50" s="23"/>
      <c r="C50" s="23"/>
      <c r="D50" s="23"/>
      <c r="E50" s="23"/>
      <c r="F50" s="23"/>
      <c r="G50" s="23"/>
      <c r="H50" s="24"/>
      <c r="I50" s="23"/>
      <c r="J50" s="23"/>
      <c r="K50" s="24"/>
    </row>
    <row r="51" spans="1:11" ht="13.9">
      <c r="A51" s="23"/>
      <c r="B51" s="23"/>
      <c r="C51" s="23"/>
      <c r="D51" s="23"/>
      <c r="E51" s="23"/>
      <c r="F51" s="23"/>
      <c r="G51" s="23"/>
      <c r="H51" s="24"/>
      <c r="I51" s="23"/>
      <c r="J51" s="23"/>
      <c r="K51" s="24"/>
    </row>
    <row r="52" spans="1:11" ht="13.9">
      <c r="A52" s="23"/>
      <c r="B52" s="23"/>
      <c r="C52" s="23"/>
      <c r="D52" s="23"/>
      <c r="E52" s="23"/>
      <c r="F52" s="23"/>
      <c r="G52" s="23"/>
      <c r="H52" s="24"/>
      <c r="I52" s="23"/>
      <c r="J52" s="23"/>
      <c r="K52" s="24"/>
    </row>
    <row r="53" spans="1:11" ht="13.9">
      <c r="A53" s="23"/>
      <c r="B53" s="23"/>
      <c r="C53" s="23"/>
      <c r="D53" s="23"/>
      <c r="E53" s="23"/>
      <c r="F53" s="23"/>
      <c r="G53" s="23"/>
      <c r="H53" s="24"/>
      <c r="I53" s="23"/>
      <c r="J53" s="23"/>
      <c r="K53" s="24"/>
    </row>
    <row r="54" spans="1:11" ht="13.9">
      <c r="A54" s="23"/>
      <c r="B54" s="23"/>
      <c r="C54" s="23"/>
      <c r="D54" s="23"/>
      <c r="E54" s="23"/>
      <c r="F54" s="23"/>
      <c r="G54" s="23"/>
      <c r="H54" s="24"/>
      <c r="I54" s="23"/>
      <c r="J54" s="23"/>
      <c r="K54" s="24"/>
    </row>
    <row r="55" spans="1:11" ht="13.9">
      <c r="A55" s="23"/>
      <c r="B55" s="23"/>
      <c r="C55" s="23"/>
      <c r="D55" s="23"/>
      <c r="E55" s="23"/>
      <c r="F55" s="23"/>
      <c r="G55" s="23"/>
      <c r="H55" s="24"/>
      <c r="I55" s="23"/>
      <c r="J55" s="23"/>
      <c r="K55" s="24"/>
    </row>
    <row r="56" spans="1:11" ht="13.9">
      <c r="A56" s="23"/>
      <c r="B56" s="23"/>
      <c r="C56" s="23"/>
      <c r="D56" s="23"/>
      <c r="E56" s="23"/>
      <c r="F56" s="23"/>
      <c r="G56" s="23"/>
      <c r="H56" s="24"/>
      <c r="I56" s="23"/>
      <c r="J56" s="23"/>
      <c r="K56" s="24"/>
    </row>
    <row r="57" spans="1:11" ht="13.9">
      <c r="A57" s="23"/>
      <c r="B57" s="23"/>
      <c r="C57" s="23"/>
      <c r="D57" s="23"/>
      <c r="E57" s="23"/>
      <c r="F57" s="23"/>
      <c r="G57" s="23"/>
      <c r="H57" s="24"/>
      <c r="I57" s="23"/>
      <c r="J57" s="23"/>
      <c r="K57" s="24"/>
    </row>
    <row r="58" spans="1:11" ht="13.9">
      <c r="A58" s="23"/>
      <c r="B58" s="23"/>
      <c r="C58" s="23"/>
      <c r="D58" s="23"/>
      <c r="E58" s="23"/>
      <c r="F58" s="23"/>
      <c r="G58" s="23"/>
      <c r="H58" s="24"/>
      <c r="I58" s="23"/>
      <c r="J58" s="23"/>
      <c r="K58" s="24"/>
    </row>
    <row r="59" spans="1:11" ht="13.9">
      <c r="A59" s="23"/>
      <c r="B59" s="23"/>
      <c r="C59" s="23"/>
      <c r="D59" s="23"/>
      <c r="E59" s="23"/>
      <c r="F59" s="23"/>
      <c r="G59" s="23"/>
      <c r="H59" s="24"/>
      <c r="I59" s="23"/>
      <c r="J59" s="23"/>
      <c r="K59" s="24"/>
    </row>
    <row r="60" spans="1:11" ht="13.9">
      <c r="A60" s="23"/>
      <c r="B60" s="23"/>
      <c r="C60" s="23"/>
      <c r="D60" s="23"/>
      <c r="E60" s="23"/>
      <c r="F60" s="23"/>
      <c r="G60" s="23"/>
      <c r="H60" s="24"/>
      <c r="I60" s="23"/>
      <c r="J60" s="23"/>
      <c r="K60" s="24"/>
    </row>
    <row r="61" spans="1:11" ht="13.9">
      <c r="A61" s="23"/>
      <c r="B61" s="23"/>
      <c r="C61" s="23"/>
      <c r="D61" s="23"/>
      <c r="E61" s="23"/>
      <c r="F61" s="23"/>
      <c r="G61" s="23"/>
      <c r="H61" s="24"/>
      <c r="I61" s="23"/>
      <c r="J61" s="23"/>
      <c r="K61" s="24"/>
    </row>
    <row r="62" spans="1:11" ht="13.9">
      <c r="A62" s="23"/>
      <c r="B62" s="23"/>
      <c r="C62" s="23"/>
      <c r="D62" s="23"/>
      <c r="E62" s="23"/>
      <c r="F62" s="23"/>
      <c r="G62" s="23"/>
      <c r="H62" s="24"/>
      <c r="I62" s="23"/>
      <c r="J62" s="23"/>
      <c r="K62" s="24"/>
    </row>
    <row r="63" spans="1:11" ht="13.9">
      <c r="A63" s="23"/>
      <c r="B63" s="23"/>
      <c r="C63" s="23"/>
      <c r="D63" s="23"/>
      <c r="E63" s="23"/>
      <c r="F63" s="23"/>
      <c r="G63" s="23"/>
      <c r="H63" s="24"/>
      <c r="I63" s="23"/>
      <c r="J63" s="23"/>
      <c r="K63" s="24"/>
    </row>
    <row r="64" spans="1:11" ht="13.9">
      <c r="A64" s="23"/>
      <c r="B64" s="23"/>
      <c r="C64" s="23"/>
      <c r="D64" s="23"/>
      <c r="E64" s="23"/>
      <c r="F64" s="23"/>
      <c r="G64" s="23"/>
      <c r="H64" s="24"/>
      <c r="I64" s="23"/>
      <c r="J64" s="23"/>
      <c r="K64" s="24"/>
    </row>
    <row r="65" spans="1:11" ht="13.9">
      <c r="A65" s="23"/>
      <c r="B65" s="23"/>
      <c r="C65" s="23"/>
      <c r="D65" s="23"/>
      <c r="E65" s="23"/>
      <c r="F65" s="23"/>
      <c r="G65" s="23"/>
      <c r="H65" s="24"/>
      <c r="I65" s="23"/>
      <c r="J65" s="23"/>
      <c r="K65" s="24"/>
    </row>
    <row r="66" spans="1:11" ht="13.9">
      <c r="A66" s="23"/>
      <c r="B66" s="23"/>
      <c r="C66" s="23"/>
      <c r="D66" s="23"/>
      <c r="E66" s="23"/>
      <c r="F66" s="23"/>
      <c r="G66" s="23"/>
      <c r="H66" s="24"/>
      <c r="I66" s="23"/>
      <c r="J66" s="23"/>
      <c r="K66" s="24"/>
    </row>
    <row r="67" spans="1:11" ht="13.9">
      <c r="A67" s="23"/>
      <c r="B67" s="23"/>
      <c r="C67" s="23"/>
      <c r="D67" s="23"/>
      <c r="E67" s="23"/>
      <c r="F67" s="23"/>
      <c r="G67" s="23"/>
      <c r="H67" s="24"/>
      <c r="I67" s="23"/>
      <c r="J67" s="23"/>
      <c r="K67" s="24"/>
    </row>
    <row r="68" spans="1:11" ht="13.9">
      <c r="A68" s="23"/>
      <c r="B68" s="23"/>
      <c r="C68" s="23"/>
      <c r="D68" s="23"/>
      <c r="E68" s="23"/>
      <c r="F68" s="23"/>
      <c r="G68" s="23"/>
      <c r="H68" s="24"/>
      <c r="I68" s="23"/>
      <c r="J68" s="23"/>
      <c r="K68" s="24"/>
    </row>
    <row r="69" spans="1:11" ht="13.9">
      <c r="A69" s="23"/>
      <c r="B69" s="23"/>
      <c r="C69" s="23"/>
      <c r="D69" s="23"/>
      <c r="E69" s="23"/>
      <c r="F69" s="23"/>
      <c r="G69" s="23"/>
      <c r="H69" s="24"/>
      <c r="I69" s="23"/>
      <c r="J69" s="23"/>
      <c r="K69" s="24"/>
    </row>
    <row r="70" spans="1:11" ht="13.9">
      <c r="A70" s="23"/>
      <c r="B70" s="23"/>
      <c r="C70" s="23"/>
      <c r="D70" s="23"/>
      <c r="E70" s="23"/>
      <c r="F70" s="23"/>
      <c r="G70" s="23"/>
      <c r="H70" s="24"/>
      <c r="I70" s="23"/>
      <c r="J70" s="23"/>
      <c r="K70" s="24"/>
    </row>
    <row r="71" spans="1:11" ht="13.9">
      <c r="A71" s="23"/>
      <c r="B71" s="23"/>
      <c r="C71" s="23"/>
      <c r="D71" s="23"/>
      <c r="E71" s="23"/>
      <c r="F71" s="23"/>
      <c r="G71" s="23"/>
      <c r="H71" s="24"/>
      <c r="I71" s="23"/>
      <c r="J71" s="23"/>
      <c r="K71" s="24"/>
    </row>
    <row r="72" spans="1:11" ht="13.9">
      <c r="A72" s="23"/>
      <c r="B72" s="23"/>
      <c r="C72" s="23"/>
      <c r="D72" s="23"/>
      <c r="E72" s="23"/>
      <c r="F72" s="23"/>
      <c r="G72" s="23"/>
      <c r="H72" s="24"/>
      <c r="I72" s="23"/>
      <c r="J72" s="23"/>
      <c r="K72" s="24"/>
    </row>
    <row r="73" spans="1:11" ht="13.9">
      <c r="A73" s="23"/>
      <c r="B73" s="23"/>
      <c r="C73" s="23"/>
      <c r="D73" s="23"/>
      <c r="E73" s="23"/>
      <c r="F73" s="23"/>
      <c r="G73" s="23"/>
      <c r="H73" s="24"/>
      <c r="I73" s="23"/>
      <c r="J73" s="23"/>
      <c r="K73" s="24"/>
    </row>
    <row r="74" spans="1:11" ht="13.9">
      <c r="A74" s="23"/>
      <c r="B74" s="23"/>
      <c r="C74" s="23"/>
      <c r="D74" s="23"/>
      <c r="E74" s="23"/>
      <c r="F74" s="23"/>
      <c r="G74" s="23"/>
      <c r="H74" s="24"/>
      <c r="I74" s="23"/>
      <c r="J74" s="23"/>
      <c r="K74" s="24"/>
    </row>
    <row r="75" spans="1:11" ht="13.9">
      <c r="A75" s="23"/>
      <c r="B75" s="23"/>
      <c r="C75" s="23"/>
      <c r="D75" s="23"/>
      <c r="E75" s="23"/>
      <c r="F75" s="23"/>
      <c r="G75" s="23"/>
      <c r="H75" s="24"/>
      <c r="I75" s="23"/>
      <c r="J75" s="23"/>
      <c r="K75" s="24"/>
    </row>
    <row r="76" spans="1:11" ht="13.9">
      <c r="A76" s="23"/>
      <c r="B76" s="23"/>
      <c r="C76" s="23"/>
      <c r="D76" s="23"/>
      <c r="E76" s="23"/>
      <c r="F76" s="23"/>
      <c r="G76" s="23"/>
      <c r="H76" s="24"/>
      <c r="I76" s="23"/>
      <c r="J76" s="23"/>
      <c r="K76" s="24"/>
    </row>
    <row r="77" spans="1:11" ht="13.9">
      <c r="A77" s="23"/>
      <c r="B77" s="23"/>
      <c r="C77" s="23"/>
      <c r="D77" s="23"/>
      <c r="E77" s="23"/>
      <c r="F77" s="23"/>
      <c r="G77" s="23"/>
      <c r="H77" s="24"/>
      <c r="I77" s="23"/>
      <c r="J77" s="23"/>
      <c r="K77" s="24"/>
    </row>
    <row r="78" spans="1:11" ht="13.9">
      <c r="A78" s="23"/>
      <c r="B78" s="23"/>
      <c r="C78" s="23"/>
      <c r="D78" s="23"/>
      <c r="E78" s="23"/>
      <c r="F78" s="23"/>
      <c r="G78" s="23"/>
      <c r="H78" s="24"/>
      <c r="I78" s="23"/>
      <c r="J78" s="23"/>
      <c r="K78" s="24"/>
    </row>
    <row r="79" spans="1:11" ht="13.9">
      <c r="A79" s="23"/>
      <c r="B79" s="23"/>
      <c r="C79" s="23"/>
      <c r="D79" s="23"/>
      <c r="E79" s="23"/>
      <c r="F79" s="23"/>
      <c r="G79" s="23"/>
      <c r="H79" s="24"/>
      <c r="I79" s="23"/>
      <c r="J79" s="23"/>
      <c r="K79" s="24"/>
    </row>
    <row r="80" spans="1:11" ht="13.9">
      <c r="A80" s="23"/>
      <c r="B80" s="23"/>
      <c r="C80" s="23"/>
      <c r="D80" s="23"/>
      <c r="E80" s="23"/>
      <c r="F80" s="23"/>
      <c r="G80" s="23"/>
      <c r="H80" s="24"/>
      <c r="I80" s="23"/>
      <c r="J80" s="23"/>
      <c r="K80" s="24"/>
    </row>
    <row r="81" spans="1:11" ht="13.9">
      <c r="A81" s="23"/>
      <c r="B81" s="23"/>
      <c r="C81" s="23"/>
      <c r="D81" s="23"/>
      <c r="E81" s="23"/>
      <c r="F81" s="23"/>
      <c r="G81" s="23"/>
      <c r="H81" s="24"/>
      <c r="I81" s="23"/>
      <c r="J81" s="23"/>
      <c r="K81" s="24"/>
    </row>
    <row r="82" spans="1:11" ht="13.9">
      <c r="A82" s="23"/>
      <c r="B82" s="23"/>
      <c r="C82" s="23"/>
      <c r="D82" s="23"/>
      <c r="E82" s="23"/>
      <c r="F82" s="23"/>
      <c r="G82" s="23"/>
      <c r="H82" s="24"/>
      <c r="I82" s="23"/>
      <c r="J82" s="23"/>
      <c r="K82" s="24"/>
    </row>
    <row r="83" spans="1:11" ht="13.9">
      <c r="A83" s="23"/>
      <c r="B83" s="23"/>
      <c r="C83" s="23"/>
      <c r="D83" s="23"/>
      <c r="E83" s="23"/>
      <c r="F83" s="23"/>
      <c r="G83" s="23"/>
      <c r="H83" s="24"/>
      <c r="I83" s="23"/>
      <c r="J83" s="23"/>
      <c r="K83" s="24"/>
    </row>
    <row r="84" spans="1:11" ht="13.9">
      <c r="A84" s="23"/>
      <c r="B84" s="23"/>
      <c r="C84" s="23"/>
      <c r="D84" s="23"/>
      <c r="E84" s="23"/>
      <c r="F84" s="23"/>
      <c r="G84" s="23"/>
      <c r="H84" s="24"/>
      <c r="I84" s="23"/>
      <c r="J84" s="23"/>
      <c r="K84" s="24"/>
    </row>
    <row r="85" spans="1:11" ht="13.9">
      <c r="A85" s="23"/>
      <c r="B85" s="23"/>
      <c r="C85" s="23"/>
      <c r="D85" s="23"/>
      <c r="E85" s="23"/>
      <c r="F85" s="23"/>
      <c r="G85" s="23"/>
      <c r="H85" s="24"/>
      <c r="I85" s="23"/>
      <c r="J85" s="23"/>
      <c r="K85" s="24"/>
    </row>
    <row r="86" spans="1:11" ht="13.9">
      <c r="A86" s="23"/>
      <c r="B86" s="23"/>
      <c r="C86" s="23"/>
      <c r="D86" s="23"/>
      <c r="E86" s="23"/>
      <c r="F86" s="23"/>
      <c r="G86" s="23"/>
      <c r="H86" s="24"/>
      <c r="I86" s="23"/>
      <c r="J86" s="23"/>
      <c r="K86" s="24"/>
    </row>
    <row r="87" spans="1:11" ht="13.9">
      <c r="A87" s="23"/>
      <c r="B87" s="23"/>
      <c r="C87" s="23"/>
      <c r="D87" s="23"/>
      <c r="E87" s="23"/>
      <c r="F87" s="23"/>
      <c r="G87" s="23"/>
      <c r="H87" s="24"/>
      <c r="I87" s="23"/>
      <c r="J87" s="23"/>
      <c r="K87" s="24"/>
    </row>
    <row r="88" spans="1:11" ht="13.9">
      <c r="A88" s="23"/>
      <c r="B88" s="23"/>
      <c r="C88" s="23"/>
      <c r="D88" s="23"/>
      <c r="E88" s="23"/>
      <c r="F88" s="23"/>
      <c r="G88" s="23"/>
      <c r="H88" s="24"/>
      <c r="I88" s="23"/>
      <c r="J88" s="23"/>
      <c r="K88" s="24"/>
    </row>
    <row r="89" spans="1:11" ht="13.9">
      <c r="A89" s="23"/>
      <c r="B89" s="23"/>
      <c r="C89" s="23"/>
      <c r="D89" s="23"/>
      <c r="E89" s="23"/>
      <c r="F89" s="23"/>
      <c r="G89" s="23"/>
      <c r="H89" s="24"/>
      <c r="I89" s="23"/>
      <c r="J89" s="23"/>
      <c r="K89" s="24"/>
    </row>
    <row r="90" spans="1:11" ht="13.9">
      <c r="A90" s="23"/>
      <c r="B90" s="23"/>
      <c r="C90" s="23"/>
      <c r="D90" s="23"/>
      <c r="E90" s="23"/>
      <c r="F90" s="23"/>
      <c r="G90" s="23"/>
      <c r="H90" s="24"/>
      <c r="I90" s="23"/>
      <c r="J90" s="23"/>
      <c r="K90" s="24"/>
    </row>
    <row r="91" spans="1:11" ht="13.9">
      <c r="A91" s="23"/>
      <c r="B91" s="23"/>
      <c r="C91" s="23"/>
      <c r="D91" s="23"/>
      <c r="E91" s="23"/>
      <c r="F91" s="23"/>
      <c r="G91" s="23"/>
      <c r="H91" s="24"/>
      <c r="I91" s="23"/>
      <c r="J91" s="23"/>
      <c r="K91" s="24"/>
    </row>
    <row r="92" spans="1:11" ht="13.9">
      <c r="A92" s="23"/>
      <c r="B92" s="23"/>
      <c r="C92" s="23"/>
      <c r="D92" s="23"/>
      <c r="E92" s="23"/>
      <c r="F92" s="23"/>
      <c r="G92" s="23"/>
      <c r="H92" s="24"/>
      <c r="I92" s="23"/>
      <c r="J92" s="23"/>
      <c r="K92" s="24"/>
    </row>
    <row r="93" spans="1:11" ht="13.9">
      <c r="A93" s="23"/>
      <c r="B93" s="23"/>
      <c r="C93" s="23"/>
      <c r="D93" s="23"/>
      <c r="E93" s="23"/>
      <c r="F93" s="23"/>
      <c r="G93" s="23"/>
      <c r="H93" s="24"/>
      <c r="I93" s="23"/>
      <c r="J93" s="23"/>
      <c r="K93" s="24"/>
    </row>
    <row r="94" spans="1:11" ht="13.9">
      <c r="A94" s="23"/>
      <c r="B94" s="23"/>
      <c r="C94" s="23"/>
      <c r="D94" s="23"/>
      <c r="E94" s="23"/>
      <c r="F94" s="23"/>
      <c r="G94" s="23"/>
      <c r="H94" s="24"/>
      <c r="I94" s="23"/>
      <c r="J94" s="23"/>
      <c r="K94" s="24"/>
    </row>
    <row r="95" spans="1:11" ht="13.9">
      <c r="A95" s="23"/>
      <c r="B95" s="23"/>
      <c r="C95" s="23"/>
      <c r="D95" s="23"/>
      <c r="E95" s="23"/>
      <c r="F95" s="23"/>
      <c r="G95" s="23"/>
      <c r="H95" s="24"/>
      <c r="I95" s="23"/>
      <c r="J95" s="23"/>
      <c r="K95" s="24"/>
    </row>
    <row r="96" spans="1:11" ht="13.9">
      <c r="A96" s="23"/>
      <c r="B96" s="23"/>
      <c r="C96" s="23"/>
      <c r="D96" s="23"/>
      <c r="E96" s="23"/>
      <c r="F96" s="23"/>
      <c r="G96" s="23"/>
      <c r="H96" s="24"/>
      <c r="I96" s="23"/>
      <c r="J96" s="23"/>
      <c r="K96" s="24"/>
    </row>
    <row r="97" spans="1:11" ht="13.9">
      <c r="A97" s="23"/>
      <c r="B97" s="23"/>
      <c r="C97" s="23"/>
      <c r="D97" s="23"/>
      <c r="E97" s="23"/>
      <c r="F97" s="23"/>
      <c r="G97" s="23"/>
      <c r="H97" s="24"/>
      <c r="I97" s="23"/>
      <c r="J97" s="23"/>
      <c r="K97" s="24"/>
    </row>
    <row r="98" spans="1:11" ht="13.9">
      <c r="A98" s="23"/>
      <c r="B98" s="23"/>
      <c r="C98" s="23"/>
      <c r="D98" s="23"/>
      <c r="E98" s="23"/>
      <c r="F98" s="23"/>
      <c r="G98" s="23"/>
      <c r="H98" s="24"/>
      <c r="I98" s="23"/>
      <c r="J98" s="23"/>
      <c r="K98" s="24"/>
    </row>
    <row r="99" spans="1:11" ht="13.9">
      <c r="A99" s="23"/>
      <c r="B99" s="23"/>
      <c r="C99" s="23"/>
      <c r="D99" s="23"/>
      <c r="E99" s="23"/>
      <c r="F99" s="23"/>
      <c r="G99" s="23"/>
      <c r="H99" s="24"/>
      <c r="I99" s="23"/>
      <c r="J99" s="23"/>
      <c r="K99" s="24"/>
    </row>
    <row r="100" spans="1:11" ht="13.9">
      <c r="A100" s="23"/>
      <c r="B100" s="23"/>
      <c r="C100" s="23"/>
      <c r="D100" s="23"/>
      <c r="E100" s="23"/>
      <c r="F100" s="23"/>
      <c r="G100" s="23"/>
      <c r="H100" s="24"/>
      <c r="I100" s="23"/>
      <c r="J100" s="23"/>
      <c r="K100" s="24"/>
    </row>
    <row r="101" spans="1:11" ht="13.9">
      <c r="A101" s="23"/>
      <c r="B101" s="23"/>
      <c r="C101" s="23"/>
      <c r="D101" s="23"/>
      <c r="E101" s="23"/>
      <c r="F101" s="23"/>
      <c r="G101" s="23"/>
      <c r="H101" s="24"/>
      <c r="I101" s="23"/>
      <c r="J101" s="23"/>
      <c r="K101" s="24"/>
    </row>
    <row r="102" spans="1:11" ht="13.9">
      <c r="A102" s="23"/>
      <c r="B102" s="23"/>
      <c r="C102" s="23"/>
      <c r="D102" s="23"/>
      <c r="E102" s="23"/>
      <c r="F102" s="23"/>
      <c r="G102" s="23"/>
      <c r="H102" s="24"/>
      <c r="I102" s="23"/>
      <c r="J102" s="23"/>
      <c r="K102" s="24"/>
    </row>
    <row r="103" spans="1:11" ht="13.9">
      <c r="A103" s="23"/>
      <c r="B103" s="23"/>
      <c r="C103" s="23"/>
      <c r="D103" s="23"/>
      <c r="E103" s="23"/>
      <c r="F103" s="23"/>
      <c r="G103" s="23"/>
      <c r="H103" s="24"/>
      <c r="I103" s="23"/>
      <c r="J103" s="23"/>
      <c r="K103" s="24"/>
    </row>
    <row r="104" spans="1:11" ht="13.9">
      <c r="A104" s="23"/>
      <c r="B104" s="23"/>
      <c r="C104" s="23"/>
      <c r="D104" s="23"/>
      <c r="E104" s="23"/>
      <c r="F104" s="23"/>
      <c r="G104" s="23"/>
      <c r="H104" s="24"/>
      <c r="I104" s="23"/>
      <c r="J104" s="23"/>
      <c r="K104" s="24"/>
    </row>
    <row r="105" spans="1:11" ht="13.9">
      <c r="A105" s="23"/>
      <c r="B105" s="23"/>
      <c r="C105" s="23"/>
      <c r="D105" s="23"/>
      <c r="E105" s="23"/>
      <c r="F105" s="23"/>
      <c r="G105" s="23"/>
      <c r="H105" s="24"/>
      <c r="I105" s="23"/>
      <c r="J105" s="23"/>
      <c r="K105" s="24"/>
    </row>
    <row r="106" spans="1:11" ht="13.9">
      <c r="A106" s="23"/>
      <c r="B106" s="23"/>
      <c r="C106" s="23"/>
      <c r="D106" s="23"/>
      <c r="E106" s="23"/>
      <c r="F106" s="23"/>
      <c r="G106" s="23"/>
      <c r="H106" s="24"/>
      <c r="I106" s="23"/>
      <c r="J106" s="23"/>
      <c r="K106" s="24"/>
    </row>
    <row r="107" spans="1:11" ht="13.9">
      <c r="A107" s="23"/>
      <c r="B107" s="23"/>
      <c r="C107" s="23"/>
      <c r="D107" s="23"/>
      <c r="E107" s="23"/>
      <c r="F107" s="23"/>
      <c r="G107" s="23"/>
      <c r="H107" s="24"/>
      <c r="I107" s="23"/>
      <c r="J107" s="23"/>
      <c r="K107" s="24"/>
    </row>
    <row r="108" spans="1:11" ht="13.9">
      <c r="A108" s="23"/>
      <c r="B108" s="23"/>
      <c r="C108" s="23"/>
      <c r="D108" s="23"/>
      <c r="E108" s="23"/>
      <c r="F108" s="23"/>
      <c r="G108" s="23"/>
      <c r="H108" s="24"/>
      <c r="I108" s="23"/>
      <c r="J108" s="23"/>
      <c r="K108" s="24"/>
    </row>
    <row r="109" spans="1:11" ht="13.9">
      <c r="A109" s="23"/>
      <c r="B109" s="23"/>
      <c r="C109" s="23"/>
      <c r="D109" s="23"/>
      <c r="E109" s="23"/>
      <c r="F109" s="23"/>
      <c r="G109" s="23"/>
      <c r="H109" s="24"/>
      <c r="I109" s="23"/>
      <c r="J109" s="23"/>
      <c r="K109" s="24"/>
    </row>
    <row r="110" spans="1:11" ht="13.9">
      <c r="A110" s="23"/>
      <c r="B110" s="23"/>
      <c r="C110" s="23"/>
      <c r="D110" s="23"/>
      <c r="E110" s="23"/>
      <c r="F110" s="23"/>
      <c r="G110" s="23"/>
      <c r="H110" s="24"/>
      <c r="I110" s="23"/>
      <c r="J110" s="23"/>
      <c r="K110" s="24"/>
    </row>
    <row r="111" spans="1:11" ht="13.9">
      <c r="A111" s="23"/>
      <c r="B111" s="23"/>
      <c r="C111" s="23"/>
      <c r="D111" s="23"/>
      <c r="E111" s="23"/>
      <c r="F111" s="23"/>
      <c r="G111" s="23"/>
      <c r="H111" s="24"/>
      <c r="I111" s="23"/>
      <c r="J111" s="23"/>
      <c r="K111" s="24"/>
    </row>
    <row r="112" spans="1:11" ht="13.9">
      <c r="A112" s="23"/>
      <c r="B112" s="23"/>
      <c r="C112" s="23"/>
      <c r="D112" s="23"/>
      <c r="E112" s="23"/>
      <c r="F112" s="23"/>
      <c r="G112" s="23"/>
      <c r="H112" s="24"/>
      <c r="I112" s="23"/>
      <c r="J112" s="23"/>
      <c r="K112" s="24"/>
    </row>
    <row r="113" spans="1:11" ht="13.9">
      <c r="A113" s="23"/>
      <c r="B113" s="23"/>
      <c r="C113" s="23"/>
      <c r="D113" s="23"/>
      <c r="E113" s="23"/>
      <c r="F113" s="23"/>
      <c r="G113" s="23"/>
      <c r="H113" s="24"/>
      <c r="I113" s="23"/>
      <c r="J113" s="23"/>
      <c r="K113" s="24"/>
    </row>
    <row r="114" spans="1:11" ht="13.9">
      <c r="A114" s="23"/>
      <c r="B114" s="23"/>
      <c r="C114" s="23"/>
      <c r="D114" s="23"/>
      <c r="E114" s="23"/>
      <c r="F114" s="23"/>
      <c r="G114" s="23"/>
      <c r="H114" s="24"/>
      <c r="I114" s="23"/>
      <c r="J114" s="23"/>
      <c r="K114" s="24"/>
    </row>
    <row r="115" spans="1:11" ht="13.9">
      <c r="A115" s="23"/>
      <c r="B115" s="23"/>
      <c r="C115" s="23"/>
      <c r="D115" s="23"/>
      <c r="E115" s="23"/>
      <c r="F115" s="23"/>
      <c r="G115" s="23"/>
      <c r="H115" s="24"/>
      <c r="I115" s="23"/>
      <c r="J115" s="23"/>
      <c r="K115" s="24"/>
    </row>
    <row r="116" spans="1:11" ht="13.9">
      <c r="A116" s="23"/>
      <c r="B116" s="23"/>
      <c r="C116" s="23"/>
      <c r="D116" s="23"/>
      <c r="E116" s="23"/>
      <c r="F116" s="23"/>
      <c r="G116" s="23"/>
      <c r="H116" s="24"/>
      <c r="I116" s="23"/>
      <c r="J116" s="23"/>
      <c r="K116" s="24"/>
    </row>
    <row r="117" spans="1:11" ht="13.9">
      <c r="A117" s="23"/>
      <c r="B117" s="23"/>
      <c r="C117" s="23"/>
      <c r="D117" s="23"/>
      <c r="E117" s="23"/>
      <c r="F117" s="23"/>
      <c r="G117" s="23"/>
      <c r="H117" s="24"/>
      <c r="I117" s="23"/>
      <c r="J117" s="23"/>
      <c r="K117" s="24"/>
    </row>
    <row r="118" spans="1:11" ht="13.9">
      <c r="A118" s="23"/>
      <c r="B118" s="23"/>
      <c r="C118" s="23"/>
      <c r="D118" s="23"/>
      <c r="E118" s="23"/>
      <c r="F118" s="23"/>
      <c r="G118" s="23"/>
      <c r="H118" s="24"/>
      <c r="I118" s="23"/>
      <c r="J118" s="23"/>
      <c r="K118" s="24"/>
    </row>
    <row r="119" spans="1:11" ht="13.9">
      <c r="A119" s="23"/>
      <c r="B119" s="23"/>
      <c r="C119" s="23"/>
      <c r="D119" s="23"/>
      <c r="E119" s="23"/>
      <c r="F119" s="23"/>
      <c r="G119" s="23"/>
      <c r="H119" s="24"/>
      <c r="I119" s="23"/>
      <c r="J119" s="23"/>
      <c r="K119" s="24"/>
    </row>
    <row r="120" spans="1:11" ht="13.9">
      <c r="A120" s="23"/>
      <c r="B120" s="23"/>
      <c r="C120" s="23"/>
      <c r="D120" s="23"/>
      <c r="E120" s="23"/>
      <c r="F120" s="23"/>
      <c r="G120" s="23"/>
      <c r="H120" s="24"/>
      <c r="I120" s="23"/>
      <c r="J120" s="23"/>
      <c r="K120" s="24"/>
    </row>
    <row r="121" spans="1:11" ht="13.9">
      <c r="A121" s="23"/>
      <c r="B121" s="23"/>
      <c r="C121" s="23"/>
      <c r="D121" s="23"/>
      <c r="E121" s="23"/>
      <c r="F121" s="23"/>
      <c r="G121" s="23"/>
      <c r="H121" s="24"/>
      <c r="I121" s="23"/>
      <c r="J121" s="23"/>
      <c r="K121" s="24"/>
    </row>
    <row r="122" spans="1:11" ht="13.9">
      <c r="A122" s="23"/>
      <c r="B122" s="23"/>
      <c r="C122" s="23"/>
      <c r="D122" s="23"/>
      <c r="E122" s="23"/>
      <c r="F122" s="23"/>
      <c r="G122" s="23"/>
      <c r="H122" s="24"/>
      <c r="I122" s="23"/>
      <c r="J122" s="23"/>
      <c r="K122" s="24"/>
    </row>
    <row r="123" spans="1:11" ht="13.9">
      <c r="A123" s="23"/>
      <c r="B123" s="23"/>
      <c r="C123" s="23"/>
      <c r="D123" s="23"/>
      <c r="E123" s="23"/>
      <c r="F123" s="23"/>
      <c r="G123" s="23"/>
      <c r="H123" s="24"/>
      <c r="I123" s="23"/>
      <c r="J123" s="23"/>
      <c r="K123" s="24"/>
    </row>
    <row r="124" spans="1:11" ht="13.9">
      <c r="A124" s="23"/>
      <c r="B124" s="23"/>
      <c r="C124" s="23"/>
      <c r="D124" s="23"/>
      <c r="E124" s="23"/>
      <c r="F124" s="23"/>
      <c r="G124" s="23"/>
      <c r="H124" s="24"/>
      <c r="I124" s="23"/>
      <c r="J124" s="23"/>
      <c r="K124" s="24"/>
    </row>
    <row r="125" spans="1:11" ht="13.9">
      <c r="A125" s="23"/>
      <c r="B125" s="23"/>
      <c r="C125" s="23"/>
      <c r="D125" s="23"/>
      <c r="E125" s="23"/>
      <c r="F125" s="23"/>
      <c r="G125" s="23"/>
      <c r="H125" s="24"/>
      <c r="I125" s="23"/>
      <c r="J125" s="23"/>
      <c r="K125" s="24"/>
    </row>
    <row r="126" spans="1:11" ht="13.9">
      <c r="A126" s="23"/>
      <c r="B126" s="23"/>
      <c r="C126" s="23"/>
      <c r="D126" s="23"/>
      <c r="E126" s="23"/>
      <c r="F126" s="23"/>
      <c r="G126" s="23"/>
      <c r="H126" s="24"/>
      <c r="I126" s="23"/>
      <c r="J126" s="23"/>
      <c r="K126" s="24"/>
    </row>
    <row r="127" spans="1:11" ht="13.9">
      <c r="A127" s="23"/>
      <c r="B127" s="23"/>
      <c r="C127" s="23"/>
      <c r="D127" s="23"/>
      <c r="E127" s="23"/>
      <c r="F127" s="23"/>
      <c r="G127" s="23"/>
      <c r="H127" s="24"/>
      <c r="I127" s="23"/>
      <c r="J127" s="23"/>
      <c r="K127" s="24"/>
    </row>
    <row r="128" spans="1:11" ht="13.9">
      <c r="A128" s="23"/>
      <c r="B128" s="23"/>
      <c r="C128" s="23"/>
      <c r="D128" s="23"/>
      <c r="E128" s="23"/>
      <c r="F128" s="23"/>
      <c r="G128" s="23"/>
      <c r="H128" s="24"/>
      <c r="I128" s="23"/>
      <c r="J128" s="23"/>
      <c r="K128" s="24"/>
    </row>
    <row r="129" spans="1:11" ht="13.9">
      <c r="A129" s="23"/>
      <c r="B129" s="23"/>
      <c r="C129" s="23"/>
      <c r="D129" s="23"/>
      <c r="E129" s="23"/>
      <c r="F129" s="23"/>
      <c r="G129" s="23"/>
      <c r="H129" s="24"/>
      <c r="I129" s="23"/>
      <c r="J129" s="23"/>
      <c r="K129" s="24"/>
    </row>
    <row r="130" spans="1:11" ht="13.9">
      <c r="A130" s="23"/>
      <c r="B130" s="23"/>
      <c r="C130" s="23"/>
      <c r="D130" s="23"/>
      <c r="E130" s="23"/>
      <c r="F130" s="23"/>
      <c r="G130" s="23"/>
      <c r="H130" s="24"/>
      <c r="I130" s="23"/>
      <c r="J130" s="23"/>
      <c r="K130" s="24"/>
    </row>
    <row r="131" spans="1:11" ht="13.9">
      <c r="A131" s="23"/>
      <c r="B131" s="23"/>
      <c r="C131" s="23"/>
      <c r="D131" s="23"/>
      <c r="E131" s="23"/>
      <c r="F131" s="23"/>
      <c r="G131" s="23"/>
      <c r="H131" s="24"/>
      <c r="I131" s="23"/>
      <c r="J131" s="23"/>
      <c r="K131" s="24"/>
    </row>
    <row r="132" spans="1:11" ht="13.9">
      <c r="A132" s="23"/>
      <c r="B132" s="23"/>
      <c r="C132" s="23"/>
      <c r="D132" s="23"/>
      <c r="E132" s="23"/>
      <c r="F132" s="23"/>
      <c r="G132" s="23"/>
      <c r="H132" s="24"/>
      <c r="I132" s="23"/>
      <c r="J132" s="23"/>
      <c r="K132" s="24"/>
    </row>
    <row r="133" spans="1:11" ht="13.9">
      <c r="A133" s="23"/>
      <c r="B133" s="23"/>
      <c r="C133" s="23"/>
      <c r="D133" s="23"/>
      <c r="E133" s="23"/>
      <c r="F133" s="23"/>
      <c r="G133" s="23"/>
      <c r="H133" s="24"/>
      <c r="I133" s="23"/>
      <c r="J133" s="23"/>
      <c r="K133" s="24"/>
    </row>
    <row r="134" spans="1:11" ht="13.9">
      <c r="A134" s="23"/>
      <c r="B134" s="23"/>
      <c r="C134" s="23"/>
      <c r="D134" s="23"/>
      <c r="E134" s="23"/>
      <c r="F134" s="23"/>
      <c r="G134" s="23"/>
      <c r="H134" s="24"/>
      <c r="I134" s="23"/>
      <c r="J134" s="23"/>
      <c r="K134" s="24"/>
    </row>
    <row r="135" spans="1:11" ht="13.9">
      <c r="A135" s="23"/>
      <c r="B135" s="23"/>
      <c r="C135" s="23"/>
      <c r="D135" s="23"/>
      <c r="E135" s="23"/>
      <c r="F135" s="23"/>
      <c r="G135" s="23"/>
      <c r="H135" s="24"/>
      <c r="I135" s="23"/>
      <c r="J135" s="23"/>
      <c r="K135" s="24"/>
    </row>
    <row r="136" spans="1:11" ht="13.9">
      <c r="A136" s="23"/>
      <c r="B136" s="23"/>
      <c r="C136" s="23"/>
      <c r="D136" s="23"/>
      <c r="E136" s="23"/>
      <c r="F136" s="23"/>
      <c r="G136" s="23"/>
      <c r="H136" s="24"/>
      <c r="I136" s="23"/>
      <c r="J136" s="23"/>
      <c r="K136" s="24"/>
    </row>
    <row r="137" spans="1:11" ht="13.9">
      <c r="A137" s="23"/>
      <c r="B137" s="23"/>
      <c r="C137" s="23"/>
      <c r="D137" s="23"/>
      <c r="E137" s="23"/>
      <c r="F137" s="23"/>
      <c r="G137" s="23"/>
      <c r="H137" s="24"/>
      <c r="I137" s="23"/>
      <c r="J137" s="23"/>
      <c r="K137" s="24"/>
    </row>
    <row r="138" spans="1:11" ht="13.9">
      <c r="A138" s="23"/>
      <c r="B138" s="23"/>
      <c r="C138" s="23"/>
      <c r="D138" s="23"/>
      <c r="E138" s="23"/>
      <c r="F138" s="23"/>
      <c r="G138" s="23"/>
      <c r="H138" s="24"/>
      <c r="I138" s="23"/>
      <c r="J138" s="23"/>
      <c r="K138" s="24"/>
    </row>
    <row r="139" spans="1:11" ht="13.9">
      <c r="A139" s="23"/>
      <c r="B139" s="23"/>
      <c r="C139" s="23"/>
      <c r="D139" s="23"/>
      <c r="E139" s="23"/>
      <c r="F139" s="23"/>
      <c r="G139" s="23"/>
      <c r="H139" s="24"/>
      <c r="I139" s="23"/>
      <c r="J139" s="23"/>
      <c r="K139" s="24"/>
    </row>
    <row r="140" spans="1:11" ht="13.9">
      <c r="A140" s="23"/>
      <c r="B140" s="23"/>
      <c r="C140" s="23"/>
      <c r="D140" s="23"/>
      <c r="E140" s="23"/>
      <c r="F140" s="23"/>
      <c r="G140" s="23"/>
      <c r="H140" s="24"/>
      <c r="I140" s="23"/>
      <c r="J140" s="23"/>
      <c r="K140" s="24"/>
    </row>
    <row r="141" spans="1:11" ht="13.9">
      <c r="A141" s="23"/>
      <c r="B141" s="23"/>
      <c r="C141" s="23"/>
      <c r="D141" s="23"/>
      <c r="E141" s="23"/>
      <c r="F141" s="23"/>
      <c r="G141" s="23"/>
      <c r="H141" s="24"/>
      <c r="I141" s="23"/>
      <c r="J141" s="23"/>
      <c r="K141" s="24"/>
    </row>
    <row r="142" spans="1:11" ht="13.9">
      <c r="A142" s="23"/>
      <c r="B142" s="23"/>
      <c r="C142" s="23"/>
      <c r="D142" s="23"/>
      <c r="E142" s="23"/>
      <c r="F142" s="23"/>
      <c r="G142" s="23"/>
      <c r="H142" s="24"/>
      <c r="I142" s="23"/>
      <c r="J142" s="23"/>
      <c r="K142" s="24"/>
    </row>
    <row r="143" spans="1:11" ht="13.9">
      <c r="A143" s="23"/>
      <c r="B143" s="23"/>
      <c r="C143" s="23"/>
      <c r="D143" s="23"/>
      <c r="E143" s="23"/>
      <c r="F143" s="23"/>
      <c r="G143" s="23"/>
      <c r="H143" s="24"/>
      <c r="I143" s="23"/>
      <c r="J143" s="23"/>
      <c r="K143" s="24"/>
    </row>
    <row r="144" spans="1:11" ht="13.9">
      <c r="A144" s="23"/>
      <c r="B144" s="23"/>
      <c r="C144" s="23"/>
      <c r="D144" s="23"/>
      <c r="E144" s="23"/>
      <c r="F144" s="23"/>
      <c r="G144" s="23"/>
      <c r="H144" s="24"/>
      <c r="I144" s="23"/>
      <c r="J144" s="23"/>
      <c r="K144" s="24"/>
    </row>
    <row r="145" spans="1:11" ht="13.9">
      <c r="A145" s="23"/>
      <c r="B145" s="23"/>
      <c r="C145" s="23"/>
      <c r="D145" s="23"/>
      <c r="E145" s="23"/>
      <c r="F145" s="23"/>
      <c r="G145" s="23"/>
      <c r="H145" s="24"/>
      <c r="I145" s="23"/>
      <c r="J145" s="23"/>
      <c r="K145" s="24"/>
    </row>
    <row r="146" spans="1:11" ht="13.9">
      <c r="A146" s="23"/>
      <c r="B146" s="23"/>
      <c r="C146" s="23"/>
      <c r="D146" s="23"/>
      <c r="E146" s="23"/>
      <c r="F146" s="23"/>
      <c r="G146" s="23"/>
      <c r="H146" s="24"/>
      <c r="I146" s="23"/>
      <c r="J146" s="23"/>
      <c r="K146" s="24"/>
    </row>
    <row r="147" spans="1:11" ht="13.9">
      <c r="A147" s="23"/>
      <c r="B147" s="23"/>
      <c r="C147" s="23"/>
      <c r="D147" s="23"/>
      <c r="E147" s="23"/>
      <c r="F147" s="23"/>
      <c r="G147" s="23"/>
      <c r="H147" s="24"/>
      <c r="I147" s="23"/>
      <c r="J147" s="23"/>
      <c r="K147" s="24"/>
    </row>
    <row r="148" spans="1:11" ht="13.9">
      <c r="A148" s="23"/>
      <c r="B148" s="23"/>
      <c r="C148" s="23"/>
      <c r="D148" s="23"/>
      <c r="E148" s="23"/>
      <c r="F148" s="23"/>
      <c r="G148" s="23"/>
      <c r="H148" s="24"/>
      <c r="I148" s="23"/>
      <c r="J148" s="23"/>
      <c r="K148" s="24"/>
    </row>
    <row r="149" spans="1:11" ht="13.9">
      <c r="A149" s="23"/>
      <c r="B149" s="23"/>
      <c r="C149" s="23"/>
      <c r="D149" s="23"/>
      <c r="E149" s="23"/>
      <c r="F149" s="23"/>
      <c r="G149" s="23"/>
      <c r="H149" s="24"/>
      <c r="I149" s="23"/>
      <c r="J149" s="23"/>
      <c r="K149" s="24"/>
    </row>
    <row r="150" spans="1:11" ht="13.9">
      <c r="A150" s="23"/>
      <c r="B150" s="23"/>
      <c r="C150" s="23"/>
      <c r="D150" s="23"/>
      <c r="E150" s="23"/>
      <c r="F150" s="23"/>
      <c r="G150" s="23"/>
      <c r="H150" s="24"/>
      <c r="I150" s="23"/>
      <c r="J150" s="23"/>
      <c r="K150" s="24"/>
    </row>
    <row r="151" spans="1:11" ht="13.9">
      <c r="A151" s="23"/>
      <c r="B151" s="23"/>
      <c r="C151" s="23"/>
      <c r="D151" s="23"/>
      <c r="E151" s="23"/>
      <c r="F151" s="23"/>
      <c r="G151" s="23"/>
      <c r="H151" s="24"/>
      <c r="I151" s="23"/>
      <c r="J151" s="23"/>
      <c r="K151" s="24"/>
    </row>
    <row r="152" spans="1:11" ht="13.9">
      <c r="A152" s="23"/>
      <c r="B152" s="23"/>
      <c r="C152" s="23"/>
      <c r="D152" s="23"/>
      <c r="E152" s="23"/>
      <c r="F152" s="23"/>
      <c r="G152" s="23"/>
      <c r="H152" s="24"/>
      <c r="I152" s="23"/>
      <c r="J152" s="23"/>
      <c r="K152" s="24"/>
    </row>
    <row r="153" spans="1:11" ht="13.9">
      <c r="A153" s="23"/>
      <c r="B153" s="23"/>
      <c r="C153" s="23"/>
      <c r="D153" s="23"/>
      <c r="E153" s="23"/>
      <c r="F153" s="23"/>
      <c r="G153" s="23"/>
      <c r="H153" s="24"/>
      <c r="I153" s="23"/>
      <c r="J153" s="23"/>
      <c r="K153" s="24"/>
    </row>
    <row r="154" spans="1:11" ht="13.9">
      <c r="A154" s="23"/>
      <c r="B154" s="23"/>
      <c r="C154" s="23"/>
      <c r="D154" s="23"/>
      <c r="E154" s="23"/>
      <c r="F154" s="23"/>
      <c r="G154" s="23"/>
      <c r="H154" s="24"/>
      <c r="I154" s="23"/>
      <c r="J154" s="23"/>
      <c r="K154" s="24"/>
    </row>
    <row r="155" spans="1:11" ht="13.9">
      <c r="A155" s="23"/>
      <c r="B155" s="23"/>
      <c r="C155" s="23"/>
      <c r="D155" s="23"/>
      <c r="E155" s="23"/>
      <c r="F155" s="23"/>
      <c r="G155" s="23"/>
      <c r="H155" s="24"/>
      <c r="I155" s="23"/>
      <c r="J155" s="23"/>
      <c r="K155" s="24"/>
    </row>
    <row r="156" spans="1:11" ht="13.9">
      <c r="A156" s="23"/>
      <c r="B156" s="23"/>
      <c r="C156" s="23"/>
      <c r="D156" s="23"/>
      <c r="E156" s="23"/>
      <c r="F156" s="23"/>
      <c r="G156" s="23"/>
      <c r="H156" s="24"/>
      <c r="I156" s="23"/>
      <c r="J156" s="23"/>
      <c r="K156" s="24"/>
    </row>
    <row r="157" spans="1:11" ht="13.9">
      <c r="A157" s="23"/>
      <c r="B157" s="23"/>
      <c r="C157" s="23"/>
      <c r="D157" s="23"/>
      <c r="E157" s="23"/>
      <c r="F157" s="23"/>
      <c r="G157" s="23"/>
      <c r="H157" s="24"/>
      <c r="I157" s="23"/>
      <c r="J157" s="23"/>
      <c r="K157" s="24"/>
    </row>
    <row r="158" spans="1:11" ht="13.9">
      <c r="A158" s="23"/>
      <c r="B158" s="23"/>
      <c r="C158" s="23"/>
      <c r="D158" s="23"/>
      <c r="E158" s="23"/>
      <c r="F158" s="23"/>
      <c r="G158" s="23"/>
      <c r="H158" s="24"/>
      <c r="I158" s="23"/>
      <c r="J158" s="23"/>
      <c r="K158" s="24"/>
    </row>
    <row r="159" spans="1:11" ht="13.9">
      <c r="A159" s="23"/>
      <c r="B159" s="23"/>
      <c r="C159" s="23"/>
      <c r="D159" s="23"/>
      <c r="E159" s="23"/>
      <c r="F159" s="23"/>
      <c r="G159" s="23"/>
      <c r="H159" s="24"/>
      <c r="I159" s="23"/>
      <c r="J159" s="23"/>
      <c r="K159" s="24"/>
    </row>
    <row r="160" spans="1:11" ht="13.9">
      <c r="A160" s="23"/>
      <c r="B160" s="23"/>
      <c r="C160" s="23"/>
      <c r="D160" s="23"/>
      <c r="E160" s="23"/>
      <c r="F160" s="23"/>
      <c r="G160" s="23"/>
      <c r="H160" s="24"/>
      <c r="I160" s="23"/>
      <c r="J160" s="23"/>
      <c r="K160" s="24"/>
    </row>
    <row r="161" spans="1:11" ht="13.9">
      <c r="A161" s="23"/>
      <c r="B161" s="23"/>
      <c r="C161" s="23"/>
      <c r="D161" s="23"/>
      <c r="E161" s="23"/>
      <c r="F161" s="23"/>
      <c r="G161" s="23"/>
      <c r="H161" s="24"/>
      <c r="I161" s="23"/>
      <c r="J161" s="23"/>
      <c r="K161" s="24"/>
    </row>
    <row r="162" spans="1:11" ht="13.9">
      <c r="A162" s="23"/>
      <c r="B162" s="23"/>
      <c r="C162" s="23"/>
      <c r="D162" s="23"/>
      <c r="E162" s="23"/>
      <c r="F162" s="23"/>
      <c r="G162" s="23"/>
      <c r="H162" s="24"/>
      <c r="I162" s="23"/>
      <c r="J162" s="23"/>
      <c r="K162" s="24"/>
    </row>
    <row r="163" spans="1:11" ht="13.9">
      <c r="A163" s="23"/>
      <c r="B163" s="23"/>
      <c r="C163" s="23"/>
      <c r="D163" s="23"/>
      <c r="E163" s="23"/>
      <c r="F163" s="23"/>
      <c r="G163" s="23"/>
      <c r="H163" s="24"/>
      <c r="I163" s="23"/>
      <c r="J163" s="23"/>
      <c r="K163" s="24"/>
    </row>
    <row r="164" spans="1:11" ht="13.9">
      <c r="A164" s="23"/>
      <c r="B164" s="23"/>
      <c r="C164" s="23"/>
      <c r="D164" s="23"/>
      <c r="E164" s="23"/>
      <c r="F164" s="23"/>
      <c r="G164" s="23"/>
      <c r="H164" s="24"/>
      <c r="I164" s="23"/>
      <c r="J164" s="23"/>
      <c r="K164" s="24"/>
    </row>
    <row r="165" spans="1:11" ht="13.9">
      <c r="A165" s="23"/>
      <c r="B165" s="23"/>
      <c r="C165" s="23"/>
      <c r="D165" s="23"/>
      <c r="E165" s="23"/>
      <c r="F165" s="23"/>
      <c r="G165" s="23"/>
      <c r="H165" s="24"/>
      <c r="I165" s="23"/>
      <c r="J165" s="23"/>
      <c r="K165" s="24"/>
    </row>
    <row r="166" spans="1:11" ht="13.9">
      <c r="A166" s="23"/>
      <c r="B166" s="23"/>
      <c r="C166" s="23"/>
      <c r="D166" s="23"/>
      <c r="E166" s="23"/>
      <c r="F166" s="23"/>
      <c r="G166" s="23"/>
      <c r="H166" s="24"/>
      <c r="I166" s="23"/>
      <c r="J166" s="23"/>
      <c r="K166" s="24"/>
    </row>
    <row r="167" spans="1:11" ht="13.9">
      <c r="A167" s="23"/>
      <c r="B167" s="23"/>
      <c r="C167" s="23"/>
      <c r="D167" s="23"/>
      <c r="E167" s="23"/>
      <c r="F167" s="23"/>
      <c r="G167" s="23"/>
      <c r="H167" s="24"/>
      <c r="I167" s="23"/>
      <c r="J167" s="23"/>
      <c r="K167" s="24"/>
    </row>
    <row r="168" spans="1:11" ht="13.9">
      <c r="A168" s="23"/>
      <c r="B168" s="23"/>
      <c r="C168" s="23"/>
      <c r="D168" s="23"/>
      <c r="E168" s="23"/>
      <c r="F168" s="23"/>
      <c r="G168" s="23"/>
      <c r="H168" s="24"/>
      <c r="I168" s="23"/>
      <c r="J168" s="23"/>
      <c r="K168" s="24"/>
    </row>
    <row r="169" spans="1:11" ht="13.9">
      <c r="A169" s="23"/>
      <c r="B169" s="23"/>
      <c r="C169" s="23"/>
      <c r="D169" s="23"/>
      <c r="E169" s="23"/>
      <c r="F169" s="23"/>
      <c r="G169" s="23"/>
      <c r="H169" s="24"/>
      <c r="I169" s="23"/>
      <c r="J169" s="23"/>
      <c r="K169" s="24"/>
    </row>
    <row r="170" spans="1:11" ht="13.9">
      <c r="A170" s="23"/>
      <c r="B170" s="23"/>
      <c r="C170" s="23"/>
      <c r="D170" s="23"/>
      <c r="E170" s="23"/>
      <c r="F170" s="23"/>
      <c r="G170" s="23"/>
      <c r="H170" s="24"/>
      <c r="I170" s="23"/>
      <c r="J170" s="23"/>
      <c r="K170" s="24"/>
    </row>
    <row r="171" spans="1:11" ht="13.9">
      <c r="A171" s="23"/>
      <c r="B171" s="23"/>
      <c r="C171" s="23"/>
      <c r="D171" s="23"/>
      <c r="E171" s="23"/>
      <c r="F171" s="23"/>
      <c r="G171" s="23"/>
      <c r="H171" s="24"/>
      <c r="I171" s="23"/>
      <c r="J171" s="23"/>
      <c r="K171" s="24"/>
    </row>
    <row r="172" spans="1:11" ht="13.9">
      <c r="A172" s="23"/>
      <c r="B172" s="23"/>
      <c r="C172" s="23"/>
      <c r="D172" s="23"/>
      <c r="E172" s="23"/>
      <c r="F172" s="23"/>
      <c r="G172" s="23"/>
      <c r="H172" s="24"/>
      <c r="I172" s="23"/>
      <c r="J172" s="23"/>
      <c r="K172" s="24"/>
    </row>
    <row r="173" spans="1:11" ht="13.9">
      <c r="A173" s="23"/>
      <c r="B173" s="23"/>
      <c r="C173" s="23"/>
      <c r="D173" s="23"/>
      <c r="E173" s="23"/>
      <c r="F173" s="23"/>
      <c r="G173" s="23"/>
      <c r="H173" s="24"/>
      <c r="I173" s="23"/>
      <c r="J173" s="23"/>
      <c r="K173" s="24"/>
    </row>
    <row r="174" spans="1:11" ht="13.9">
      <c r="A174" s="23"/>
      <c r="B174" s="23"/>
      <c r="C174" s="23"/>
      <c r="D174" s="23"/>
      <c r="E174" s="23"/>
      <c r="F174" s="23"/>
      <c r="G174" s="23"/>
      <c r="H174" s="24"/>
      <c r="I174" s="23"/>
      <c r="J174" s="23"/>
      <c r="K174" s="24"/>
    </row>
    <row r="175" spans="1:11" ht="13.9">
      <c r="A175" s="23"/>
      <c r="B175" s="23"/>
      <c r="C175" s="23"/>
      <c r="D175" s="23"/>
      <c r="E175" s="23"/>
      <c r="F175" s="23"/>
      <c r="G175" s="23"/>
      <c r="H175" s="24"/>
      <c r="I175" s="23"/>
      <c r="J175" s="23"/>
      <c r="K175" s="24"/>
    </row>
    <row r="176" spans="1:11" ht="13.9">
      <c r="A176" s="23"/>
      <c r="B176" s="23"/>
      <c r="C176" s="23"/>
      <c r="D176" s="23"/>
      <c r="E176" s="23"/>
      <c r="F176" s="23"/>
      <c r="G176" s="23"/>
      <c r="H176" s="24"/>
      <c r="I176" s="23"/>
      <c r="J176" s="23"/>
      <c r="K176" s="24"/>
    </row>
    <row r="177" spans="1:11" ht="13.9">
      <c r="A177" s="23"/>
      <c r="B177" s="23"/>
      <c r="C177" s="23"/>
      <c r="D177" s="23"/>
      <c r="E177" s="23"/>
      <c r="F177" s="23"/>
      <c r="G177" s="23"/>
      <c r="H177" s="24"/>
      <c r="I177" s="23"/>
      <c r="J177" s="23"/>
      <c r="K177" s="24"/>
    </row>
    <row r="178" spans="1:11" ht="13.9">
      <c r="A178" s="23"/>
      <c r="B178" s="23"/>
      <c r="C178" s="23"/>
      <c r="D178" s="23"/>
      <c r="E178" s="23"/>
      <c r="F178" s="23"/>
      <c r="G178" s="23"/>
      <c r="H178" s="24"/>
      <c r="I178" s="23"/>
      <c r="J178" s="23"/>
      <c r="K178" s="24"/>
    </row>
    <row r="179" spans="1:11" ht="13.9">
      <c r="A179" s="23"/>
      <c r="B179" s="23"/>
      <c r="C179" s="23"/>
      <c r="D179" s="23"/>
      <c r="E179" s="23"/>
      <c r="F179" s="23"/>
      <c r="G179" s="23"/>
      <c r="H179" s="24"/>
      <c r="I179" s="23"/>
      <c r="J179" s="23"/>
      <c r="K179" s="24"/>
    </row>
    <row r="180" spans="1:11" ht="13.9">
      <c r="A180" s="23"/>
      <c r="B180" s="23"/>
      <c r="C180" s="23"/>
      <c r="D180" s="23"/>
      <c r="E180" s="23"/>
      <c r="F180" s="23"/>
      <c r="G180" s="23"/>
      <c r="H180" s="24"/>
      <c r="I180" s="23"/>
      <c r="J180" s="23"/>
      <c r="K180" s="24"/>
    </row>
    <row r="181" spans="1:11" ht="13.9">
      <c r="A181" s="23"/>
      <c r="B181" s="23"/>
      <c r="C181" s="23"/>
      <c r="D181" s="23"/>
      <c r="E181" s="23"/>
      <c r="F181" s="23"/>
      <c r="G181" s="23"/>
      <c r="H181" s="24"/>
      <c r="I181" s="23"/>
      <c r="J181" s="23"/>
      <c r="K181" s="24"/>
    </row>
    <row r="182" spans="1:11" ht="13.9">
      <c r="A182" s="23"/>
      <c r="B182" s="23"/>
      <c r="C182" s="23"/>
      <c r="D182" s="23"/>
      <c r="E182" s="23"/>
      <c r="F182" s="23"/>
      <c r="G182" s="23"/>
      <c r="H182" s="24"/>
      <c r="I182" s="23"/>
      <c r="J182" s="23"/>
      <c r="K182" s="24"/>
    </row>
    <row r="183" spans="1:11" ht="13.9">
      <c r="A183" s="23"/>
      <c r="B183" s="23"/>
      <c r="C183" s="23"/>
      <c r="D183" s="23"/>
      <c r="E183" s="23"/>
      <c r="F183" s="23"/>
      <c r="G183" s="23"/>
      <c r="H183" s="24"/>
      <c r="I183" s="23"/>
      <c r="J183" s="23"/>
      <c r="K183" s="24"/>
    </row>
    <row r="184" spans="1:11" ht="13.9">
      <c r="A184" s="23"/>
      <c r="B184" s="23"/>
      <c r="C184" s="23"/>
      <c r="D184" s="23"/>
      <c r="E184" s="23"/>
      <c r="F184" s="23"/>
      <c r="G184" s="23"/>
      <c r="H184" s="24"/>
      <c r="I184" s="23"/>
      <c r="J184" s="23"/>
      <c r="K184" s="24"/>
    </row>
    <row r="185" spans="1:11" ht="13.9">
      <c r="A185" s="23"/>
      <c r="B185" s="23"/>
      <c r="C185" s="23"/>
      <c r="D185" s="23"/>
      <c r="E185" s="23"/>
      <c r="F185" s="23"/>
      <c r="G185" s="23"/>
      <c r="H185" s="24"/>
      <c r="I185" s="23"/>
      <c r="J185" s="23"/>
      <c r="K185" s="24"/>
    </row>
    <row r="186" spans="1:11" ht="13.9">
      <c r="A186" s="23"/>
      <c r="B186" s="23"/>
      <c r="C186" s="23"/>
      <c r="D186" s="23"/>
      <c r="E186" s="23"/>
      <c r="F186" s="23"/>
      <c r="G186" s="23"/>
      <c r="H186" s="24"/>
      <c r="I186" s="23"/>
      <c r="J186" s="23"/>
      <c r="K186" s="24"/>
    </row>
    <row r="187" spans="1:11" ht="13.9">
      <c r="A187" s="23"/>
      <c r="B187" s="23"/>
      <c r="C187" s="23"/>
      <c r="D187" s="23"/>
      <c r="E187" s="23"/>
      <c r="F187" s="23"/>
      <c r="G187" s="23"/>
      <c r="H187" s="24"/>
      <c r="I187" s="23"/>
      <c r="J187" s="23"/>
      <c r="K187" s="24"/>
    </row>
    <row r="188" spans="1:11" ht="13.9">
      <c r="A188" s="23"/>
      <c r="B188" s="23"/>
      <c r="C188" s="23"/>
      <c r="D188" s="23"/>
      <c r="E188" s="23"/>
      <c r="F188" s="23"/>
      <c r="G188" s="23"/>
      <c r="H188" s="24"/>
      <c r="I188" s="23"/>
      <c r="J188" s="23"/>
      <c r="K188" s="24"/>
    </row>
    <row r="189" spans="1:11" ht="13.9">
      <c r="A189" s="23"/>
      <c r="B189" s="23"/>
      <c r="C189" s="23"/>
      <c r="D189" s="23"/>
      <c r="E189" s="23"/>
      <c r="F189" s="23"/>
      <c r="G189" s="23"/>
      <c r="H189" s="24"/>
      <c r="I189" s="23"/>
      <c r="J189" s="23"/>
      <c r="K189" s="24"/>
    </row>
    <row r="190" spans="1:11" ht="13.9">
      <c r="A190" s="23"/>
      <c r="B190" s="23"/>
      <c r="C190" s="23"/>
      <c r="D190" s="23"/>
      <c r="E190" s="23"/>
      <c r="F190" s="23"/>
      <c r="G190" s="23"/>
      <c r="H190" s="24"/>
      <c r="I190" s="23"/>
      <c r="J190" s="23"/>
      <c r="K190" s="24"/>
    </row>
    <row r="191" spans="1:11" ht="13.9">
      <c r="A191" s="23"/>
      <c r="B191" s="23"/>
      <c r="C191" s="23"/>
      <c r="D191" s="23"/>
      <c r="E191" s="23"/>
      <c r="F191" s="23"/>
      <c r="G191" s="23"/>
      <c r="H191" s="24"/>
      <c r="I191" s="23"/>
      <c r="J191" s="23"/>
      <c r="K191" s="24"/>
    </row>
    <row r="192" spans="1:11" ht="13.9">
      <c r="A192" s="23"/>
      <c r="B192" s="23"/>
      <c r="C192" s="23"/>
      <c r="D192" s="23"/>
      <c r="E192" s="23"/>
      <c r="F192" s="23"/>
      <c r="G192" s="23"/>
      <c r="H192" s="24"/>
      <c r="I192" s="23"/>
      <c r="J192" s="23"/>
      <c r="K192" s="24"/>
    </row>
    <row r="193" spans="1:11" ht="13.9">
      <c r="A193" s="23"/>
      <c r="B193" s="23"/>
      <c r="C193" s="23"/>
      <c r="D193" s="23"/>
      <c r="E193" s="23"/>
      <c r="F193" s="23"/>
      <c r="G193" s="23"/>
      <c r="H193" s="24"/>
      <c r="I193" s="23"/>
      <c r="J193" s="23"/>
      <c r="K193" s="24"/>
    </row>
    <row r="194" spans="1:11" ht="13.9">
      <c r="A194" s="23"/>
      <c r="B194" s="23"/>
      <c r="C194" s="23"/>
      <c r="D194" s="23"/>
      <c r="E194" s="23"/>
      <c r="F194" s="23"/>
      <c r="G194" s="23"/>
      <c r="H194" s="24"/>
      <c r="I194" s="23"/>
      <c r="J194" s="23"/>
      <c r="K194" s="24"/>
    </row>
    <row r="195" spans="1:11" ht="13.9">
      <c r="A195" s="23"/>
      <c r="B195" s="23"/>
      <c r="C195" s="23"/>
      <c r="D195" s="23"/>
      <c r="E195" s="23"/>
      <c r="F195" s="23"/>
      <c r="G195" s="23"/>
      <c r="H195" s="24"/>
      <c r="I195" s="23"/>
      <c r="J195" s="23"/>
      <c r="K195" s="24"/>
    </row>
    <row r="196" spans="1:11" ht="13.9">
      <c r="A196" s="23"/>
      <c r="B196" s="23"/>
      <c r="C196" s="23"/>
      <c r="D196" s="23"/>
      <c r="E196" s="23"/>
      <c r="F196" s="23"/>
      <c r="G196" s="23"/>
      <c r="H196" s="24"/>
      <c r="I196" s="23"/>
      <c r="J196" s="23"/>
      <c r="K196" s="24"/>
    </row>
    <row r="197" spans="1:11" ht="13.9">
      <c r="A197" s="23"/>
      <c r="B197" s="23"/>
      <c r="C197" s="23"/>
      <c r="D197" s="23"/>
      <c r="E197" s="23"/>
      <c r="F197" s="23"/>
      <c r="G197" s="23"/>
      <c r="H197" s="24"/>
      <c r="I197" s="23"/>
      <c r="J197" s="23"/>
      <c r="K197" s="24"/>
    </row>
    <row r="198" spans="1:11" ht="13.9">
      <c r="A198" s="23"/>
      <c r="B198" s="23"/>
      <c r="C198" s="23"/>
      <c r="D198" s="23"/>
      <c r="E198" s="23"/>
      <c r="F198" s="23"/>
      <c r="G198" s="23"/>
      <c r="H198" s="24"/>
      <c r="I198" s="23"/>
      <c r="J198" s="23"/>
      <c r="K198" s="24"/>
    </row>
    <row r="199" spans="1:11" ht="13.9">
      <c r="A199" s="23"/>
      <c r="B199" s="23"/>
      <c r="C199" s="23"/>
      <c r="D199" s="23"/>
      <c r="E199" s="23"/>
      <c r="F199" s="23"/>
      <c r="G199" s="23"/>
      <c r="H199" s="24"/>
      <c r="I199" s="23"/>
      <c r="J199" s="23"/>
      <c r="K199" s="24"/>
    </row>
    <row r="200" spans="1:11" ht="13.9">
      <c r="A200" s="23"/>
      <c r="B200" s="23"/>
      <c r="C200" s="23"/>
      <c r="D200" s="23"/>
      <c r="E200" s="23"/>
      <c r="F200" s="23"/>
      <c r="G200" s="23"/>
      <c r="H200" s="24"/>
      <c r="I200" s="23"/>
      <c r="J200" s="23"/>
      <c r="K200" s="24"/>
    </row>
    <row r="201" spans="1:11" ht="13.9">
      <c r="A201" s="23"/>
      <c r="B201" s="23"/>
      <c r="C201" s="23"/>
      <c r="D201" s="23"/>
      <c r="E201" s="23"/>
      <c r="F201" s="23"/>
      <c r="G201" s="23"/>
      <c r="H201" s="24"/>
      <c r="I201" s="23"/>
      <c r="J201" s="23"/>
      <c r="K201" s="24"/>
    </row>
    <row r="202" spans="1:11" ht="13.9">
      <c r="A202" s="23"/>
      <c r="B202" s="23"/>
      <c r="C202" s="23"/>
      <c r="D202" s="23"/>
      <c r="E202" s="23"/>
      <c r="F202" s="23"/>
      <c r="G202" s="23"/>
      <c r="H202" s="24"/>
      <c r="I202" s="23"/>
      <c r="J202" s="23"/>
      <c r="K202" s="24"/>
    </row>
    <row r="203" spans="1:11" ht="13.9">
      <c r="A203" s="23"/>
      <c r="B203" s="23"/>
      <c r="C203" s="23"/>
      <c r="D203" s="23"/>
      <c r="E203" s="23"/>
      <c r="F203" s="23"/>
      <c r="G203" s="23"/>
      <c r="H203" s="24"/>
      <c r="I203" s="23"/>
      <c r="J203" s="23"/>
      <c r="K203" s="24"/>
    </row>
    <row r="204" spans="1:11" ht="13.9">
      <c r="A204" s="23"/>
      <c r="B204" s="23"/>
      <c r="C204" s="23"/>
      <c r="D204" s="23"/>
      <c r="E204" s="23"/>
      <c r="F204" s="23"/>
      <c r="G204" s="23"/>
      <c r="H204" s="24"/>
      <c r="I204" s="23"/>
      <c r="J204" s="23"/>
      <c r="K204" s="24"/>
    </row>
    <row r="205" spans="1:11" ht="13.9">
      <c r="A205" s="23"/>
      <c r="B205" s="23"/>
      <c r="C205" s="23"/>
      <c r="D205" s="23"/>
      <c r="E205" s="23"/>
      <c r="F205" s="23"/>
      <c r="G205" s="23"/>
      <c r="H205" s="24"/>
      <c r="I205" s="23"/>
      <c r="J205" s="23"/>
      <c r="K205" s="24"/>
    </row>
    <row r="206" spans="1:11" ht="13.9">
      <c r="A206" s="23"/>
      <c r="B206" s="23"/>
      <c r="C206" s="23"/>
      <c r="D206" s="23"/>
      <c r="E206" s="23"/>
      <c r="F206" s="23"/>
      <c r="G206" s="23"/>
      <c r="H206" s="24"/>
      <c r="I206" s="23"/>
      <c r="J206" s="23"/>
      <c r="K206" s="24"/>
    </row>
    <row r="207" spans="1:11" ht="13.9">
      <c r="A207" s="23"/>
      <c r="B207" s="23"/>
      <c r="C207" s="23"/>
      <c r="D207" s="23"/>
      <c r="E207" s="23"/>
      <c r="F207" s="23"/>
      <c r="G207" s="23"/>
      <c r="H207" s="24"/>
      <c r="I207" s="23"/>
      <c r="J207" s="23"/>
      <c r="K207" s="24"/>
    </row>
    <row r="208" spans="1:11" ht="13.9">
      <c r="A208" s="23"/>
      <c r="B208" s="23"/>
      <c r="C208" s="23"/>
      <c r="D208" s="23"/>
      <c r="E208" s="23"/>
      <c r="F208" s="23"/>
      <c r="G208" s="23"/>
      <c r="H208" s="24"/>
      <c r="I208" s="23"/>
      <c r="J208" s="23"/>
      <c r="K208" s="24"/>
    </row>
    <row r="209" spans="1:11" ht="13.9">
      <c r="A209" s="23"/>
      <c r="B209" s="23"/>
      <c r="C209" s="23"/>
      <c r="D209" s="23"/>
      <c r="E209" s="23"/>
      <c r="F209" s="23"/>
      <c r="G209" s="23"/>
      <c r="H209" s="24"/>
      <c r="I209" s="23"/>
      <c r="J209" s="23"/>
      <c r="K209" s="24"/>
    </row>
    <row r="210" spans="1:11" ht="13.9">
      <c r="A210" s="23"/>
      <c r="B210" s="23"/>
      <c r="C210" s="23"/>
      <c r="D210" s="23"/>
      <c r="E210" s="23"/>
      <c r="F210" s="23"/>
      <c r="G210" s="23"/>
      <c r="H210" s="24"/>
      <c r="I210" s="23"/>
      <c r="J210" s="23"/>
      <c r="K210" s="24"/>
    </row>
    <row r="211" spans="1:11" ht="13.9">
      <c r="A211" s="23"/>
      <c r="B211" s="23"/>
      <c r="C211" s="23"/>
      <c r="D211" s="23"/>
      <c r="E211" s="23"/>
      <c r="F211" s="23"/>
      <c r="G211" s="23"/>
      <c r="H211" s="24"/>
      <c r="I211" s="23"/>
      <c r="J211" s="23"/>
      <c r="K211" s="24"/>
    </row>
    <row r="212" spans="1:11" ht="13.9">
      <c r="A212" s="23"/>
      <c r="B212" s="23"/>
      <c r="C212" s="23"/>
      <c r="D212" s="23"/>
      <c r="E212" s="23"/>
      <c r="F212" s="23"/>
      <c r="G212" s="23"/>
      <c r="H212" s="24"/>
      <c r="I212" s="23"/>
      <c r="J212" s="23"/>
      <c r="K212" s="24"/>
    </row>
    <row r="213" spans="1:11" ht="13.9">
      <c r="A213" s="23"/>
      <c r="B213" s="23"/>
      <c r="C213" s="23"/>
      <c r="D213" s="23"/>
      <c r="E213" s="23"/>
      <c r="F213" s="23"/>
      <c r="G213" s="23"/>
      <c r="H213" s="24"/>
      <c r="I213" s="23"/>
      <c r="J213" s="23"/>
      <c r="K213" s="24"/>
    </row>
    <row r="214" spans="1:11" ht="13.9">
      <c r="A214" s="23"/>
      <c r="B214" s="23"/>
      <c r="C214" s="23"/>
      <c r="D214" s="23"/>
      <c r="E214" s="23"/>
      <c r="F214" s="23"/>
      <c r="G214" s="23"/>
      <c r="H214" s="24"/>
      <c r="I214" s="23"/>
      <c r="J214" s="23"/>
      <c r="K214" s="24"/>
    </row>
    <row r="215" spans="1:11" ht="13.9">
      <c r="A215" s="23"/>
      <c r="B215" s="23"/>
      <c r="C215" s="23"/>
      <c r="D215" s="23"/>
      <c r="E215" s="23"/>
      <c r="F215" s="23"/>
      <c r="G215" s="23"/>
      <c r="H215" s="24"/>
      <c r="I215" s="23"/>
      <c r="J215" s="23"/>
      <c r="K215" s="24"/>
    </row>
    <row r="216" spans="1:11" ht="13.9">
      <c r="A216" s="23"/>
      <c r="B216" s="23"/>
      <c r="C216" s="23"/>
      <c r="D216" s="23"/>
      <c r="E216" s="23"/>
      <c r="F216" s="23"/>
      <c r="G216" s="23"/>
      <c r="H216" s="24"/>
      <c r="I216" s="23"/>
      <c r="J216" s="23"/>
      <c r="K216" s="24"/>
    </row>
    <row r="217" spans="1:11" ht="13.9">
      <c r="A217" s="23"/>
      <c r="B217" s="23"/>
      <c r="C217" s="23"/>
      <c r="D217" s="23"/>
      <c r="E217" s="23"/>
      <c r="F217" s="23"/>
      <c r="G217" s="23"/>
      <c r="H217" s="24"/>
      <c r="I217" s="23"/>
      <c r="J217" s="23"/>
      <c r="K217" s="24"/>
    </row>
    <row r="218" spans="1:11" ht="13.9">
      <c r="A218" s="23"/>
      <c r="B218" s="23"/>
      <c r="C218" s="23"/>
      <c r="D218" s="23"/>
      <c r="E218" s="23"/>
      <c r="F218" s="23"/>
      <c r="G218" s="23"/>
      <c r="H218" s="24"/>
      <c r="I218" s="23"/>
      <c r="J218" s="23"/>
      <c r="K218" s="24"/>
    </row>
    <row r="219" spans="1:11" ht="13.9">
      <c r="A219" s="23"/>
      <c r="B219" s="23"/>
      <c r="C219" s="23"/>
      <c r="D219" s="23"/>
      <c r="E219" s="23"/>
      <c r="F219" s="23"/>
      <c r="G219" s="23"/>
      <c r="H219" s="24"/>
      <c r="I219" s="23"/>
      <c r="J219" s="23"/>
      <c r="K219" s="24"/>
    </row>
    <row r="220" spans="1:11" ht="13.9">
      <c r="A220" s="23"/>
      <c r="B220" s="23"/>
      <c r="C220" s="23"/>
      <c r="D220" s="23"/>
      <c r="E220" s="23"/>
      <c r="F220" s="23"/>
      <c r="G220" s="23"/>
      <c r="H220" s="24"/>
      <c r="I220" s="23"/>
      <c r="J220" s="23"/>
      <c r="K220" s="24"/>
    </row>
    <row r="221" spans="1:11" ht="13.9">
      <c r="A221" s="23"/>
      <c r="B221" s="23"/>
      <c r="C221" s="23"/>
      <c r="D221" s="23"/>
      <c r="E221" s="23"/>
      <c r="F221" s="23"/>
      <c r="G221" s="23"/>
      <c r="H221" s="24"/>
      <c r="I221" s="23"/>
      <c r="J221" s="23"/>
      <c r="K221" s="24"/>
    </row>
    <row r="222" spans="1:11" ht="13.9">
      <c r="A222" s="23"/>
      <c r="B222" s="23"/>
      <c r="C222" s="23"/>
      <c r="D222" s="23"/>
      <c r="E222" s="23"/>
      <c r="F222" s="23"/>
      <c r="G222" s="23"/>
      <c r="H222" s="24"/>
      <c r="I222" s="23"/>
      <c r="J222" s="23"/>
      <c r="K222" s="24"/>
    </row>
    <row r="223" spans="1:11" ht="13.9">
      <c r="A223" s="23"/>
      <c r="B223" s="23"/>
      <c r="C223" s="23"/>
      <c r="D223" s="23"/>
      <c r="E223" s="23"/>
      <c r="F223" s="23"/>
      <c r="G223" s="23"/>
      <c r="H223" s="24"/>
      <c r="I223" s="23"/>
      <c r="J223" s="23"/>
      <c r="K223" s="24"/>
    </row>
    <row r="224" spans="1:11" ht="13.9">
      <c r="A224" s="23"/>
      <c r="B224" s="23"/>
      <c r="C224" s="23"/>
      <c r="D224" s="23"/>
      <c r="E224" s="23"/>
      <c r="F224" s="23"/>
      <c r="G224" s="23"/>
      <c r="H224" s="24"/>
      <c r="I224" s="23"/>
      <c r="J224" s="23"/>
      <c r="K224" s="24"/>
    </row>
    <row r="225" spans="1:11" ht="13.9">
      <c r="A225" s="23"/>
      <c r="B225" s="23"/>
      <c r="C225" s="23"/>
      <c r="D225" s="23"/>
      <c r="E225" s="23"/>
      <c r="F225" s="23"/>
      <c r="G225" s="23"/>
      <c r="H225" s="24"/>
      <c r="I225" s="23"/>
      <c r="J225" s="23"/>
      <c r="K225" s="24"/>
    </row>
    <row r="226" spans="1:11" ht="13.9">
      <c r="A226" s="23"/>
      <c r="B226" s="23"/>
      <c r="C226" s="23"/>
      <c r="D226" s="23"/>
      <c r="E226" s="23"/>
      <c r="F226" s="23"/>
      <c r="G226" s="23"/>
      <c r="H226" s="24"/>
      <c r="I226" s="23"/>
      <c r="J226" s="23"/>
      <c r="K226" s="24"/>
    </row>
    <row r="227" spans="1:11" ht="13.9">
      <c r="A227" s="23"/>
      <c r="B227" s="23"/>
      <c r="C227" s="23"/>
      <c r="D227" s="23"/>
      <c r="E227" s="23"/>
      <c r="F227" s="23"/>
      <c r="G227" s="23"/>
      <c r="H227" s="24"/>
      <c r="I227" s="23"/>
      <c r="J227" s="23"/>
      <c r="K227" s="24"/>
    </row>
    <row r="228" spans="1:11" ht="13.9">
      <c r="A228" s="23"/>
      <c r="B228" s="23"/>
      <c r="C228" s="23"/>
      <c r="D228" s="23"/>
      <c r="E228" s="23"/>
      <c r="F228" s="23"/>
      <c r="G228" s="23"/>
      <c r="H228" s="24"/>
      <c r="I228" s="23"/>
      <c r="J228" s="23"/>
      <c r="K228" s="24"/>
    </row>
    <row r="229" spans="1:11" ht="13.9">
      <c r="A229" s="23"/>
      <c r="B229" s="23"/>
      <c r="C229" s="23"/>
      <c r="D229" s="23"/>
      <c r="E229" s="23"/>
      <c r="F229" s="23"/>
      <c r="G229" s="23"/>
      <c r="H229" s="24"/>
      <c r="I229" s="23"/>
      <c r="J229" s="23"/>
      <c r="K229" s="24"/>
    </row>
    <row r="230" spans="1:11" ht="13.9">
      <c r="A230" s="23"/>
      <c r="B230" s="23"/>
      <c r="C230" s="23"/>
      <c r="D230" s="23"/>
      <c r="E230" s="23"/>
      <c r="F230" s="23"/>
      <c r="G230" s="23"/>
      <c r="H230" s="24"/>
      <c r="I230" s="23"/>
      <c r="J230" s="23"/>
      <c r="K230" s="24"/>
    </row>
    <row r="231" spans="1:11" ht="13.9">
      <c r="A231" s="23"/>
      <c r="B231" s="23"/>
      <c r="C231" s="23"/>
      <c r="D231" s="23"/>
      <c r="E231" s="23"/>
      <c r="F231" s="23"/>
      <c r="G231" s="23"/>
      <c r="H231" s="24"/>
      <c r="I231" s="23"/>
      <c r="J231" s="23"/>
      <c r="K231" s="24"/>
    </row>
    <row r="232" spans="1:11" ht="13.9">
      <c r="A232" s="23"/>
      <c r="B232" s="23"/>
      <c r="C232" s="23"/>
      <c r="D232" s="23"/>
      <c r="E232" s="23"/>
      <c r="F232" s="23"/>
      <c r="G232" s="23"/>
      <c r="H232" s="24"/>
      <c r="I232" s="23"/>
      <c r="J232" s="23"/>
      <c r="K232" s="24"/>
    </row>
    <row r="233" spans="1:11" ht="13.9">
      <c r="A233" s="23"/>
      <c r="B233" s="23"/>
      <c r="C233" s="23"/>
      <c r="D233" s="23"/>
      <c r="E233" s="23"/>
      <c r="F233" s="23"/>
      <c r="G233" s="23"/>
      <c r="H233" s="24"/>
      <c r="I233" s="23"/>
      <c r="J233" s="23"/>
      <c r="K233" s="24"/>
    </row>
    <row r="234" spans="1:11" ht="13.9">
      <c r="A234" s="23"/>
      <c r="B234" s="23"/>
      <c r="C234" s="23"/>
      <c r="D234" s="23"/>
      <c r="E234" s="23"/>
      <c r="F234" s="23"/>
      <c r="G234" s="23"/>
      <c r="H234" s="24"/>
      <c r="I234" s="23"/>
      <c r="J234" s="23"/>
      <c r="K234" s="24"/>
    </row>
    <row r="235" spans="1:11" ht="13.9">
      <c r="A235" s="23"/>
      <c r="B235" s="23"/>
      <c r="C235" s="23"/>
      <c r="D235" s="23"/>
      <c r="E235" s="23"/>
      <c r="F235" s="23"/>
      <c r="G235" s="23"/>
      <c r="H235" s="24"/>
      <c r="I235" s="23"/>
      <c r="J235" s="23"/>
      <c r="K235" s="24"/>
    </row>
    <row r="236" spans="1:11" ht="13.9">
      <c r="A236" s="23"/>
      <c r="B236" s="23"/>
      <c r="C236" s="23"/>
      <c r="D236" s="23"/>
      <c r="E236" s="23"/>
      <c r="F236" s="23"/>
      <c r="G236" s="23"/>
      <c r="H236" s="24"/>
      <c r="I236" s="23"/>
      <c r="J236" s="23"/>
      <c r="K236" s="24"/>
    </row>
    <row r="237" spans="1:11" ht="13.9">
      <c r="A237" s="23"/>
      <c r="B237" s="23"/>
      <c r="C237" s="23"/>
      <c r="D237" s="23"/>
      <c r="E237" s="23"/>
      <c r="F237" s="23"/>
      <c r="G237" s="23"/>
      <c r="H237" s="24"/>
      <c r="I237" s="23"/>
      <c r="J237" s="23"/>
      <c r="K237" s="24"/>
    </row>
    <row r="238" spans="1:11" ht="13.9">
      <c r="A238" s="23"/>
      <c r="B238" s="23"/>
      <c r="C238" s="23"/>
      <c r="D238" s="23"/>
      <c r="E238" s="23"/>
      <c r="F238" s="23"/>
      <c r="G238" s="23"/>
      <c r="H238" s="24"/>
      <c r="I238" s="23"/>
      <c r="J238" s="23"/>
      <c r="K238" s="24"/>
    </row>
    <row r="239" spans="1:11" ht="13.9">
      <c r="A239" s="23"/>
      <c r="B239" s="23"/>
      <c r="C239" s="23"/>
      <c r="D239" s="23"/>
      <c r="E239" s="23"/>
      <c r="F239" s="23"/>
      <c r="G239" s="23"/>
      <c r="H239" s="24"/>
      <c r="I239" s="23"/>
      <c r="J239" s="23"/>
      <c r="K239" s="24"/>
    </row>
    <row r="240" spans="1:11" ht="13.9">
      <c r="A240" s="23"/>
      <c r="B240" s="23"/>
      <c r="C240" s="23"/>
      <c r="D240" s="23"/>
      <c r="E240" s="23"/>
      <c r="F240" s="23"/>
      <c r="G240" s="23"/>
      <c r="H240" s="24"/>
      <c r="I240" s="23"/>
      <c r="J240" s="23"/>
      <c r="K240" s="24"/>
    </row>
    <row r="241" spans="1:11" ht="13.9">
      <c r="A241" s="23"/>
      <c r="B241" s="23"/>
      <c r="C241" s="23"/>
      <c r="D241" s="23"/>
      <c r="E241" s="23"/>
      <c r="F241" s="23"/>
      <c r="G241" s="23"/>
      <c r="H241" s="24"/>
      <c r="I241" s="23"/>
      <c r="J241" s="23"/>
      <c r="K241" s="24"/>
    </row>
    <row r="242" spans="1:11" ht="13.9">
      <c r="A242" s="23"/>
      <c r="B242" s="23"/>
      <c r="C242" s="23"/>
      <c r="D242" s="23"/>
      <c r="E242" s="23"/>
      <c r="F242" s="23"/>
      <c r="G242" s="23"/>
      <c r="H242" s="24"/>
      <c r="I242" s="23"/>
      <c r="J242" s="23"/>
      <c r="K242" s="24"/>
    </row>
    <row r="243" spans="1:11" ht="13.9">
      <c r="A243" s="23"/>
      <c r="B243" s="23"/>
      <c r="C243" s="23"/>
      <c r="D243" s="23"/>
      <c r="E243" s="23"/>
      <c r="F243" s="23"/>
      <c r="G243" s="23"/>
      <c r="H243" s="24"/>
      <c r="I243" s="23"/>
      <c r="J243" s="23"/>
      <c r="K243" s="24"/>
    </row>
    <row r="244" spans="1:11" ht="13.9">
      <c r="A244" s="23"/>
      <c r="B244" s="23"/>
      <c r="C244" s="23"/>
      <c r="D244" s="23"/>
      <c r="E244" s="23"/>
      <c r="F244" s="23"/>
      <c r="G244" s="23"/>
      <c r="H244" s="24"/>
      <c r="I244" s="23"/>
      <c r="J244" s="23"/>
      <c r="K244" s="24"/>
    </row>
    <row r="245" spans="1:11" ht="13.9">
      <c r="A245" s="23"/>
      <c r="B245" s="23"/>
      <c r="C245" s="23"/>
      <c r="D245" s="23"/>
      <c r="E245" s="23"/>
      <c r="F245" s="23"/>
      <c r="G245" s="23"/>
      <c r="H245" s="24"/>
      <c r="I245" s="23"/>
      <c r="J245" s="23"/>
      <c r="K245" s="24"/>
    </row>
    <row r="246" spans="1:11" ht="13.9">
      <c r="A246" s="23"/>
      <c r="B246" s="23"/>
      <c r="C246" s="23"/>
      <c r="D246" s="23"/>
      <c r="E246" s="23"/>
      <c r="F246" s="23"/>
      <c r="G246" s="23"/>
      <c r="H246" s="24"/>
      <c r="I246" s="23"/>
      <c r="J246" s="23"/>
      <c r="K246" s="24"/>
    </row>
    <row r="247" spans="1:11" ht="13.9">
      <c r="A247" s="23"/>
      <c r="B247" s="23"/>
      <c r="C247" s="23"/>
      <c r="D247" s="23"/>
      <c r="E247" s="23"/>
      <c r="F247" s="23"/>
      <c r="G247" s="23"/>
      <c r="H247" s="24"/>
      <c r="I247" s="23"/>
      <c r="J247" s="23"/>
      <c r="K247" s="24"/>
    </row>
    <row r="248" spans="1:11" ht="13.9">
      <c r="A248" s="23"/>
      <c r="B248" s="23"/>
      <c r="C248" s="23"/>
      <c r="D248" s="23"/>
      <c r="E248" s="23"/>
      <c r="F248" s="23"/>
      <c r="G248" s="23"/>
      <c r="H248" s="24"/>
      <c r="I248" s="23"/>
      <c r="J248" s="23"/>
      <c r="K248" s="24"/>
    </row>
    <row r="249" spans="1:11" ht="13.9">
      <c r="A249" s="23"/>
      <c r="B249" s="23"/>
      <c r="C249" s="23"/>
      <c r="D249" s="23"/>
      <c r="E249" s="23"/>
      <c r="F249" s="23"/>
      <c r="G249" s="23"/>
      <c r="H249" s="24"/>
      <c r="I249" s="23"/>
      <c r="J249" s="23"/>
      <c r="K249" s="24"/>
    </row>
    <row r="250" spans="1:11" ht="13.9">
      <c r="A250" s="23"/>
      <c r="B250" s="23"/>
      <c r="C250" s="23"/>
      <c r="D250" s="23"/>
      <c r="E250" s="23"/>
      <c r="F250" s="23"/>
      <c r="G250" s="23"/>
      <c r="H250" s="24"/>
      <c r="I250" s="23"/>
      <c r="J250" s="23"/>
      <c r="K250" s="24"/>
    </row>
    <row r="251" spans="1:11" ht="13.9">
      <c r="A251" s="23"/>
      <c r="B251" s="23"/>
      <c r="C251" s="23"/>
      <c r="D251" s="23"/>
      <c r="E251" s="23"/>
      <c r="F251" s="23"/>
      <c r="G251" s="23"/>
      <c r="H251" s="24"/>
      <c r="I251" s="23"/>
      <c r="J251" s="23"/>
      <c r="K251" s="24"/>
    </row>
    <row r="252" spans="1:11" ht="13.9">
      <c r="A252" s="23"/>
      <c r="B252" s="23"/>
      <c r="C252" s="23"/>
      <c r="D252" s="23"/>
      <c r="E252" s="23"/>
      <c r="F252" s="23"/>
      <c r="G252" s="23"/>
      <c r="H252" s="24"/>
      <c r="I252" s="23"/>
      <c r="J252" s="23"/>
      <c r="K252" s="24"/>
    </row>
    <row r="253" spans="1:11" ht="13.9">
      <c r="A253" s="23"/>
      <c r="B253" s="23"/>
      <c r="C253" s="23"/>
      <c r="D253" s="23"/>
      <c r="E253" s="23"/>
      <c r="F253" s="23"/>
      <c r="G253" s="23"/>
      <c r="H253" s="24"/>
      <c r="I253" s="23"/>
      <c r="J253" s="23"/>
      <c r="K253" s="24"/>
    </row>
    <row r="254" spans="1:11" ht="13.9">
      <c r="A254" s="23"/>
      <c r="B254" s="23"/>
      <c r="C254" s="23"/>
      <c r="D254" s="23"/>
      <c r="E254" s="23"/>
      <c r="F254" s="23"/>
      <c r="G254" s="23"/>
      <c r="H254" s="24"/>
      <c r="I254" s="23"/>
      <c r="J254" s="23"/>
      <c r="K254" s="24"/>
    </row>
    <row r="255" spans="1:11" ht="13.9">
      <c r="A255" s="23"/>
      <c r="B255" s="23"/>
      <c r="C255" s="23"/>
      <c r="D255" s="23"/>
      <c r="E255" s="23"/>
      <c r="F255" s="23"/>
      <c r="G255" s="23"/>
      <c r="H255" s="24"/>
      <c r="I255" s="23"/>
      <c r="J255" s="23"/>
      <c r="K255" s="24"/>
    </row>
    <row r="256" spans="1:11" ht="13.9">
      <c r="A256" s="23"/>
      <c r="B256" s="23"/>
      <c r="C256" s="23"/>
      <c r="D256" s="23"/>
      <c r="E256" s="23"/>
      <c r="F256" s="23"/>
      <c r="G256" s="23"/>
      <c r="H256" s="24"/>
      <c r="I256" s="23"/>
      <c r="J256" s="23"/>
      <c r="K256" s="24"/>
    </row>
    <row r="257" spans="1:11" ht="13.9">
      <c r="A257" s="23"/>
      <c r="B257" s="23"/>
      <c r="C257" s="23"/>
      <c r="D257" s="23"/>
      <c r="E257" s="23"/>
      <c r="F257" s="23"/>
      <c r="G257" s="23"/>
      <c r="H257" s="24"/>
      <c r="I257" s="23"/>
      <c r="J257" s="23"/>
      <c r="K257" s="24"/>
    </row>
    <row r="258" spans="1:11" ht="13.9">
      <c r="A258" s="23"/>
      <c r="B258" s="23"/>
      <c r="C258" s="23"/>
      <c r="D258" s="23"/>
      <c r="E258" s="23"/>
      <c r="F258" s="23"/>
      <c r="G258" s="23"/>
      <c r="H258" s="24"/>
      <c r="I258" s="23"/>
      <c r="J258" s="23"/>
      <c r="K258" s="24"/>
    </row>
    <row r="259" spans="1:11" ht="13.9">
      <c r="A259" s="23"/>
      <c r="B259" s="23"/>
      <c r="C259" s="23"/>
      <c r="D259" s="23"/>
      <c r="E259" s="23"/>
      <c r="F259" s="23"/>
      <c r="G259" s="23"/>
      <c r="H259" s="24"/>
      <c r="I259" s="23"/>
      <c r="J259" s="23"/>
      <c r="K259" s="24"/>
    </row>
    <row r="260" spans="1:11" ht="13.9">
      <c r="A260" s="23"/>
      <c r="B260" s="23"/>
      <c r="C260" s="23"/>
      <c r="D260" s="23"/>
      <c r="E260" s="23"/>
      <c r="F260" s="23"/>
      <c r="G260" s="23"/>
      <c r="H260" s="24"/>
      <c r="I260" s="23"/>
      <c r="J260" s="23"/>
      <c r="K260" s="24"/>
    </row>
    <row r="261" spans="1:11" ht="13.9">
      <c r="A261" s="23"/>
      <c r="B261" s="23"/>
      <c r="C261" s="23"/>
      <c r="D261" s="23"/>
      <c r="E261" s="23"/>
      <c r="F261" s="23"/>
      <c r="G261" s="23"/>
      <c r="H261" s="24"/>
      <c r="I261" s="23"/>
      <c r="J261" s="23"/>
      <c r="K261" s="24"/>
    </row>
    <row r="262" spans="1:11" ht="13.9">
      <c r="A262" s="23"/>
      <c r="B262" s="23"/>
      <c r="C262" s="23"/>
      <c r="D262" s="23"/>
      <c r="E262" s="23"/>
      <c r="F262" s="23"/>
      <c r="G262" s="23"/>
      <c r="H262" s="24"/>
      <c r="I262" s="23"/>
      <c r="J262" s="23"/>
      <c r="K262" s="24"/>
    </row>
    <row r="263" spans="1:11" ht="13.9">
      <c r="A263" s="23"/>
      <c r="B263" s="23"/>
      <c r="C263" s="23"/>
      <c r="D263" s="23"/>
      <c r="E263" s="23"/>
      <c r="F263" s="23"/>
      <c r="G263" s="23"/>
      <c r="H263" s="24"/>
      <c r="I263" s="23"/>
      <c r="J263" s="23"/>
      <c r="K263" s="24"/>
    </row>
    <row r="264" spans="1:11" ht="13.9">
      <c r="A264" s="23"/>
      <c r="B264" s="23"/>
      <c r="C264" s="23"/>
      <c r="D264" s="23"/>
      <c r="E264" s="23"/>
      <c r="F264" s="23"/>
      <c r="G264" s="23"/>
      <c r="H264" s="24"/>
      <c r="I264" s="23"/>
      <c r="J264" s="23"/>
      <c r="K264" s="24"/>
    </row>
    <row r="265" spans="1:11" ht="13.9">
      <c r="A265" s="23"/>
      <c r="B265" s="23"/>
      <c r="C265" s="23"/>
      <c r="D265" s="23"/>
      <c r="E265" s="23"/>
      <c r="F265" s="23"/>
      <c r="G265" s="23"/>
      <c r="H265" s="24"/>
      <c r="I265" s="23"/>
      <c r="J265" s="23"/>
      <c r="K265" s="24"/>
    </row>
    <row r="266" spans="1:11" ht="13.9">
      <c r="A266" s="23"/>
      <c r="B266" s="23"/>
      <c r="C266" s="23"/>
      <c r="D266" s="23"/>
      <c r="E266" s="23"/>
      <c r="F266" s="23"/>
      <c r="G266" s="23"/>
      <c r="H266" s="24"/>
      <c r="I266" s="23"/>
      <c r="J266" s="23"/>
      <c r="K266" s="24"/>
    </row>
    <row r="267" spans="1:11" ht="13.9">
      <c r="A267" s="23"/>
      <c r="B267" s="23"/>
      <c r="C267" s="23"/>
      <c r="D267" s="23"/>
      <c r="E267" s="23"/>
      <c r="F267" s="23"/>
      <c r="G267" s="23"/>
      <c r="H267" s="24"/>
      <c r="I267" s="23"/>
      <c r="J267" s="23"/>
      <c r="K267" s="24"/>
    </row>
    <row r="268" spans="1:11" ht="13.9">
      <c r="A268" s="23"/>
      <c r="B268" s="23"/>
      <c r="C268" s="23"/>
      <c r="D268" s="23"/>
      <c r="E268" s="23"/>
      <c r="F268" s="23"/>
      <c r="G268" s="23"/>
      <c r="H268" s="24"/>
      <c r="I268" s="23"/>
      <c r="J268" s="23"/>
      <c r="K268" s="24"/>
    </row>
    <row r="269" spans="1:11" ht="13.9">
      <c r="A269" s="23"/>
      <c r="B269" s="23"/>
      <c r="C269" s="23"/>
      <c r="D269" s="23"/>
      <c r="E269" s="23"/>
      <c r="F269" s="23"/>
      <c r="G269" s="23"/>
      <c r="H269" s="24"/>
      <c r="I269" s="23"/>
      <c r="J269" s="23"/>
      <c r="K269" s="24"/>
    </row>
    <row r="270" spans="1:11" ht="13.9">
      <c r="A270" s="23"/>
      <c r="B270" s="23"/>
      <c r="C270" s="23"/>
      <c r="D270" s="23"/>
      <c r="E270" s="23"/>
      <c r="F270" s="23"/>
      <c r="G270" s="23"/>
      <c r="H270" s="24"/>
      <c r="I270" s="23"/>
      <c r="J270" s="23"/>
      <c r="K270" s="24"/>
    </row>
    <row r="271" spans="1:11" ht="13.9">
      <c r="A271" s="23"/>
      <c r="B271" s="23"/>
      <c r="C271" s="23"/>
      <c r="D271" s="23"/>
      <c r="E271" s="23"/>
      <c r="F271" s="23"/>
      <c r="G271" s="23"/>
      <c r="H271" s="24"/>
      <c r="I271" s="23"/>
      <c r="J271" s="23"/>
      <c r="K271" s="24"/>
    </row>
    <row r="272" spans="1:11" ht="13.9">
      <c r="A272" s="23"/>
      <c r="B272" s="23"/>
      <c r="C272" s="23"/>
      <c r="D272" s="23"/>
      <c r="E272" s="23"/>
      <c r="F272" s="23"/>
      <c r="G272" s="23"/>
      <c r="H272" s="24"/>
      <c r="I272" s="23"/>
      <c r="J272" s="23"/>
      <c r="K272" s="24"/>
    </row>
    <row r="273" spans="1:11" ht="13.9">
      <c r="A273" s="23"/>
      <c r="B273" s="23"/>
      <c r="C273" s="23"/>
      <c r="D273" s="23"/>
      <c r="E273" s="23"/>
      <c r="F273" s="23"/>
      <c r="G273" s="23"/>
      <c r="H273" s="24"/>
      <c r="I273" s="23"/>
      <c r="J273" s="23"/>
      <c r="K273" s="24"/>
    </row>
    <row r="274" spans="1:11" ht="13.9">
      <c r="A274" s="23"/>
      <c r="B274" s="23"/>
      <c r="C274" s="23"/>
      <c r="D274" s="23"/>
      <c r="E274" s="23"/>
      <c r="F274" s="23"/>
      <c r="G274" s="23"/>
      <c r="H274" s="24"/>
      <c r="I274" s="23"/>
      <c r="J274" s="23"/>
      <c r="K274" s="24"/>
    </row>
    <row r="275" spans="1:11" ht="13.9">
      <c r="A275" s="23"/>
      <c r="B275" s="23"/>
      <c r="C275" s="23"/>
      <c r="D275" s="23"/>
      <c r="E275" s="23"/>
      <c r="F275" s="23"/>
      <c r="G275" s="23"/>
      <c r="H275" s="24"/>
      <c r="I275" s="23"/>
      <c r="J275" s="23"/>
      <c r="K275" s="24"/>
    </row>
    <row r="276" spans="1:11" ht="13.9">
      <c r="A276" s="23"/>
      <c r="B276" s="23"/>
      <c r="C276" s="23"/>
      <c r="D276" s="23"/>
      <c r="E276" s="23"/>
      <c r="F276" s="23"/>
      <c r="G276" s="23"/>
      <c r="H276" s="24"/>
      <c r="I276" s="23"/>
      <c r="J276" s="23"/>
      <c r="K276" s="24"/>
    </row>
    <row r="277" spans="1:11" ht="13.9">
      <c r="A277" s="23"/>
      <c r="B277" s="23"/>
      <c r="C277" s="23"/>
      <c r="D277" s="23"/>
      <c r="E277" s="23"/>
      <c r="F277" s="23"/>
      <c r="G277" s="23"/>
      <c r="H277" s="24"/>
      <c r="I277" s="23"/>
      <c r="J277" s="23"/>
      <c r="K277" s="24"/>
    </row>
    <row r="278" spans="1:11" ht="13.9">
      <c r="A278" s="23"/>
      <c r="B278" s="23"/>
      <c r="C278" s="23"/>
      <c r="D278" s="23"/>
      <c r="E278" s="23"/>
      <c r="F278" s="23"/>
      <c r="G278" s="23"/>
      <c r="H278" s="24"/>
      <c r="I278" s="23"/>
      <c r="J278" s="23"/>
      <c r="K278" s="24"/>
    </row>
    <row r="279" spans="1:11" ht="13.9">
      <c r="A279" s="23"/>
      <c r="B279" s="23"/>
      <c r="C279" s="23"/>
      <c r="D279" s="23"/>
      <c r="E279" s="23"/>
      <c r="F279" s="23"/>
      <c r="G279" s="23"/>
      <c r="H279" s="24"/>
      <c r="I279" s="23"/>
      <c r="J279" s="23"/>
      <c r="K279" s="24"/>
    </row>
    <row r="280" spans="1:11" ht="13.9">
      <c r="A280" s="23"/>
      <c r="B280" s="23"/>
      <c r="C280" s="23"/>
      <c r="D280" s="23"/>
      <c r="E280" s="23"/>
      <c r="F280" s="23"/>
      <c r="G280" s="23"/>
      <c r="H280" s="24"/>
      <c r="I280" s="23"/>
      <c r="J280" s="23"/>
      <c r="K280" s="24"/>
    </row>
    <row r="281" spans="1:11" ht="13.9">
      <c r="A281" s="23"/>
      <c r="B281" s="23"/>
      <c r="C281" s="23"/>
      <c r="D281" s="23"/>
      <c r="E281" s="23"/>
      <c r="F281" s="23"/>
      <c r="G281" s="23"/>
      <c r="H281" s="24"/>
      <c r="I281" s="23"/>
      <c r="J281" s="23"/>
      <c r="K281" s="24"/>
    </row>
    <row r="282" spans="1:11" ht="13.9">
      <c r="A282" s="23"/>
      <c r="B282" s="23"/>
      <c r="C282" s="23"/>
      <c r="D282" s="23"/>
      <c r="E282" s="23"/>
      <c r="F282" s="23"/>
      <c r="G282" s="23"/>
      <c r="H282" s="24"/>
      <c r="I282" s="23"/>
      <c r="J282" s="23"/>
      <c r="K282" s="24"/>
    </row>
    <row r="283" spans="1:11" ht="13.9">
      <c r="A283" s="23"/>
      <c r="B283" s="23"/>
      <c r="C283" s="23"/>
      <c r="D283" s="23"/>
      <c r="E283" s="23"/>
      <c r="F283" s="23"/>
      <c r="G283" s="23"/>
      <c r="H283" s="24"/>
      <c r="I283" s="23"/>
      <c r="J283" s="23"/>
      <c r="K283" s="24"/>
    </row>
    <row r="284" spans="1:11" ht="13.9">
      <c r="A284" s="23"/>
      <c r="B284" s="23"/>
      <c r="C284" s="23"/>
      <c r="D284" s="23"/>
      <c r="E284" s="23"/>
      <c r="F284" s="23"/>
      <c r="G284" s="23"/>
      <c r="H284" s="24"/>
      <c r="I284" s="23"/>
      <c r="J284" s="23"/>
      <c r="K284" s="24"/>
    </row>
    <row r="285" spans="1:11" ht="13.9">
      <c r="A285" s="23"/>
      <c r="B285" s="23"/>
      <c r="C285" s="23"/>
      <c r="D285" s="23"/>
      <c r="E285" s="23"/>
      <c r="F285" s="23"/>
      <c r="G285" s="23"/>
      <c r="H285" s="24"/>
      <c r="I285" s="23"/>
      <c r="J285" s="23"/>
      <c r="K285" s="24"/>
    </row>
    <row r="286" spans="1:11" ht="13.9">
      <c r="A286" s="23"/>
      <c r="B286" s="23"/>
      <c r="C286" s="23"/>
      <c r="D286" s="23"/>
      <c r="E286" s="23"/>
      <c r="F286" s="23"/>
      <c r="G286" s="23"/>
      <c r="H286" s="24"/>
      <c r="I286" s="23"/>
      <c r="J286" s="23"/>
      <c r="K286" s="24"/>
    </row>
    <row r="287" spans="1:11" ht="13.9">
      <c r="A287" s="23"/>
      <c r="B287" s="23"/>
      <c r="C287" s="23"/>
      <c r="D287" s="23"/>
      <c r="E287" s="23"/>
      <c r="F287" s="23"/>
      <c r="G287" s="23"/>
      <c r="H287" s="24"/>
      <c r="I287" s="23"/>
      <c r="J287" s="23"/>
      <c r="K287" s="24"/>
    </row>
    <row r="288" spans="1:11" ht="13.9">
      <c r="A288" s="23"/>
      <c r="B288" s="23"/>
      <c r="C288" s="23"/>
      <c r="D288" s="23"/>
      <c r="E288" s="23"/>
      <c r="F288" s="23"/>
      <c r="G288" s="23"/>
      <c r="H288" s="24"/>
      <c r="I288" s="23"/>
      <c r="J288" s="23"/>
      <c r="K288" s="24"/>
    </row>
    <row r="289" spans="1:11" ht="13.9">
      <c r="A289" s="23"/>
      <c r="B289" s="23"/>
      <c r="C289" s="23"/>
      <c r="D289" s="23"/>
      <c r="E289" s="23"/>
      <c r="F289" s="23"/>
      <c r="G289" s="23"/>
      <c r="H289" s="24"/>
      <c r="I289" s="23"/>
      <c r="J289" s="23"/>
      <c r="K289" s="24"/>
    </row>
    <row r="290" spans="1:11" ht="13.9">
      <c r="A290" s="23"/>
      <c r="B290" s="23"/>
      <c r="C290" s="23"/>
      <c r="D290" s="23"/>
      <c r="E290" s="23"/>
      <c r="F290" s="23"/>
      <c r="G290" s="23"/>
      <c r="H290" s="24"/>
      <c r="I290" s="23"/>
      <c r="J290" s="23"/>
      <c r="K290" s="24"/>
    </row>
    <row r="291" spans="1:11" ht="13.9">
      <c r="A291" s="23"/>
      <c r="B291" s="23"/>
      <c r="C291" s="23"/>
      <c r="D291" s="23"/>
      <c r="E291" s="23"/>
      <c r="F291" s="23"/>
      <c r="G291" s="23"/>
      <c r="H291" s="24"/>
      <c r="I291" s="23"/>
      <c r="J291" s="23"/>
      <c r="K291" s="24"/>
    </row>
    <row r="292" spans="1:11" ht="13.9">
      <c r="A292" s="23"/>
      <c r="B292" s="23"/>
      <c r="C292" s="23"/>
      <c r="D292" s="23"/>
      <c r="E292" s="23"/>
      <c r="F292" s="23"/>
      <c r="G292" s="23"/>
      <c r="H292" s="24"/>
      <c r="I292" s="23"/>
      <c r="J292" s="23"/>
      <c r="K292" s="24"/>
    </row>
    <row r="293" spans="1:11" ht="13.9">
      <c r="A293" s="23"/>
      <c r="B293" s="23"/>
      <c r="C293" s="23"/>
      <c r="D293" s="23"/>
      <c r="E293" s="23"/>
      <c r="F293" s="23"/>
      <c r="G293" s="23"/>
      <c r="H293" s="24"/>
      <c r="I293" s="23"/>
      <c r="J293" s="23"/>
      <c r="K293" s="24"/>
    </row>
    <row r="294" spans="1:11" ht="13.9">
      <c r="A294" s="23"/>
      <c r="B294" s="23"/>
      <c r="C294" s="23"/>
      <c r="D294" s="23"/>
      <c r="E294" s="23"/>
      <c r="F294" s="23"/>
      <c r="G294" s="23"/>
      <c r="H294" s="24"/>
      <c r="I294" s="23"/>
      <c r="J294" s="23"/>
      <c r="K294" s="24"/>
    </row>
    <row r="295" spans="1:11" ht="13.9">
      <c r="A295" s="23"/>
      <c r="B295" s="23"/>
      <c r="C295" s="23"/>
      <c r="D295" s="23"/>
      <c r="E295" s="23"/>
      <c r="F295" s="23"/>
      <c r="G295" s="23"/>
      <c r="H295" s="24"/>
      <c r="I295" s="23"/>
      <c r="J295" s="23"/>
      <c r="K295" s="24"/>
    </row>
    <row r="296" spans="1:11" ht="13.9">
      <c r="A296" s="23"/>
      <c r="B296" s="23"/>
      <c r="C296" s="23"/>
      <c r="D296" s="23"/>
      <c r="E296" s="23"/>
      <c r="F296" s="23"/>
      <c r="G296" s="23"/>
      <c r="H296" s="24"/>
      <c r="I296" s="23"/>
      <c r="J296" s="23"/>
      <c r="K296" s="24"/>
    </row>
    <row r="297" spans="1:11" ht="13.9">
      <c r="A297" s="23"/>
      <c r="B297" s="23"/>
      <c r="C297" s="23"/>
      <c r="D297" s="23"/>
      <c r="E297" s="23"/>
      <c r="F297" s="23"/>
      <c r="G297" s="23"/>
      <c r="H297" s="24"/>
      <c r="I297" s="23"/>
      <c r="J297" s="23"/>
      <c r="K297" s="24"/>
    </row>
    <row r="298" spans="1:11" ht="13.9">
      <c r="A298" s="23"/>
      <c r="B298" s="23"/>
      <c r="C298" s="23"/>
      <c r="D298" s="23"/>
      <c r="E298" s="23"/>
      <c r="F298" s="23"/>
      <c r="G298" s="23"/>
      <c r="H298" s="24"/>
      <c r="I298" s="23"/>
      <c r="J298" s="23"/>
      <c r="K298" s="24"/>
    </row>
    <row r="299" spans="1:11" ht="13.9">
      <c r="A299" s="23"/>
      <c r="B299" s="23"/>
      <c r="C299" s="23"/>
      <c r="D299" s="23"/>
      <c r="E299" s="23"/>
      <c r="F299" s="23"/>
      <c r="G299" s="23"/>
      <c r="H299" s="24"/>
      <c r="I299" s="23"/>
      <c r="J299" s="23"/>
      <c r="K299" s="24"/>
    </row>
    <row r="300" spans="1:11" ht="13.9">
      <c r="A300" s="23"/>
      <c r="B300" s="23"/>
      <c r="C300" s="23"/>
      <c r="D300" s="23"/>
      <c r="E300" s="23"/>
      <c r="F300" s="23"/>
      <c r="G300" s="23"/>
      <c r="H300" s="24"/>
      <c r="I300" s="23"/>
      <c r="J300" s="23"/>
      <c r="K300" s="24"/>
    </row>
    <row r="301" spans="1:11" ht="13.9">
      <c r="A301" s="23"/>
      <c r="B301" s="23"/>
      <c r="C301" s="23"/>
      <c r="D301" s="23"/>
      <c r="E301" s="23"/>
      <c r="F301" s="23"/>
      <c r="G301" s="23"/>
      <c r="H301" s="24"/>
      <c r="I301" s="23"/>
      <c r="J301" s="23"/>
      <c r="K301" s="24"/>
    </row>
    <row r="302" spans="1:11" ht="13.9">
      <c r="A302" s="23"/>
      <c r="B302" s="23"/>
      <c r="C302" s="23"/>
      <c r="D302" s="23"/>
      <c r="E302" s="23"/>
      <c r="F302" s="23"/>
      <c r="G302" s="23"/>
      <c r="H302" s="24"/>
      <c r="I302" s="23"/>
      <c r="J302" s="23"/>
      <c r="K302" s="24"/>
    </row>
    <row r="303" spans="1:11" ht="13.9">
      <c r="A303" s="23"/>
      <c r="B303" s="23"/>
      <c r="C303" s="23"/>
      <c r="D303" s="23"/>
      <c r="E303" s="23"/>
      <c r="F303" s="23"/>
      <c r="G303" s="23"/>
      <c r="H303" s="24"/>
      <c r="I303" s="23"/>
      <c r="J303" s="23"/>
      <c r="K303" s="24"/>
    </row>
    <row r="304" spans="1:11" ht="13.9">
      <c r="A304" s="23"/>
      <c r="B304" s="23"/>
      <c r="C304" s="23"/>
      <c r="D304" s="23"/>
      <c r="E304" s="23"/>
      <c r="F304" s="23"/>
      <c r="G304" s="23"/>
      <c r="H304" s="24"/>
      <c r="I304" s="23"/>
      <c r="J304" s="23"/>
      <c r="K304" s="24"/>
    </row>
    <row r="305" spans="1:11" ht="13.9">
      <c r="A305" s="23"/>
      <c r="B305" s="23"/>
      <c r="C305" s="23"/>
      <c r="D305" s="23"/>
      <c r="E305" s="23"/>
      <c r="F305" s="23"/>
      <c r="G305" s="23"/>
      <c r="H305" s="24"/>
      <c r="I305" s="23"/>
      <c r="J305" s="23"/>
      <c r="K305" s="24"/>
    </row>
    <row r="306" spans="1:11" ht="13.9">
      <c r="A306" s="23"/>
      <c r="B306" s="23"/>
      <c r="C306" s="23"/>
      <c r="D306" s="23"/>
      <c r="E306" s="23"/>
      <c r="F306" s="23"/>
      <c r="G306" s="23"/>
      <c r="H306" s="24"/>
      <c r="I306" s="23"/>
      <c r="J306" s="23"/>
      <c r="K306" s="24"/>
    </row>
    <row r="307" spans="1:11" ht="13.9">
      <c r="A307" s="23"/>
      <c r="B307" s="23"/>
      <c r="C307" s="23"/>
      <c r="D307" s="23"/>
      <c r="E307" s="23"/>
      <c r="F307" s="23"/>
      <c r="G307" s="23"/>
      <c r="H307" s="24"/>
      <c r="I307" s="23"/>
      <c r="J307" s="23"/>
      <c r="K307" s="24"/>
    </row>
    <row r="308" spans="1:11" ht="13.9">
      <c r="A308" s="23"/>
      <c r="B308" s="23"/>
      <c r="C308" s="23"/>
      <c r="D308" s="23"/>
      <c r="E308" s="23"/>
      <c r="F308" s="23"/>
      <c r="G308" s="23"/>
      <c r="H308" s="24"/>
      <c r="I308" s="23"/>
      <c r="J308" s="23"/>
      <c r="K308" s="24"/>
    </row>
    <row r="309" spans="1:11" ht="13.9">
      <c r="A309" s="23"/>
      <c r="B309" s="23"/>
      <c r="C309" s="23"/>
      <c r="D309" s="23"/>
      <c r="E309" s="23"/>
      <c r="F309" s="23"/>
      <c r="G309" s="23"/>
      <c r="H309" s="24"/>
      <c r="I309" s="23"/>
      <c r="J309" s="23"/>
      <c r="K309" s="24"/>
    </row>
    <row r="310" spans="1:11" ht="13.9">
      <c r="A310" s="23"/>
      <c r="B310" s="23"/>
      <c r="C310" s="23"/>
      <c r="D310" s="23"/>
      <c r="E310" s="23"/>
      <c r="F310" s="23"/>
      <c r="G310" s="23"/>
      <c r="H310" s="24"/>
      <c r="I310" s="23"/>
      <c r="J310" s="23"/>
      <c r="K310" s="24"/>
    </row>
    <row r="311" spans="1:11" ht="13.9">
      <c r="A311" s="23"/>
      <c r="B311" s="23"/>
      <c r="C311" s="23"/>
      <c r="D311" s="23"/>
      <c r="E311" s="23"/>
      <c r="F311" s="23"/>
      <c r="G311" s="23"/>
      <c r="H311" s="24"/>
      <c r="I311" s="23"/>
      <c r="J311" s="23"/>
      <c r="K311" s="24"/>
    </row>
    <row r="312" spans="1:11" ht="13.9">
      <c r="A312" s="23"/>
      <c r="B312" s="23"/>
      <c r="C312" s="23"/>
      <c r="D312" s="23"/>
      <c r="E312" s="23"/>
      <c r="F312" s="23"/>
      <c r="G312" s="23"/>
      <c r="H312" s="24"/>
      <c r="I312" s="23"/>
      <c r="J312" s="23"/>
      <c r="K312" s="24"/>
    </row>
    <row r="313" spans="1:11" ht="13.9">
      <c r="A313" s="23"/>
      <c r="B313" s="23"/>
      <c r="C313" s="23"/>
      <c r="D313" s="23"/>
      <c r="E313" s="23"/>
      <c r="F313" s="23"/>
      <c r="G313" s="23"/>
      <c r="H313" s="24"/>
      <c r="I313" s="23"/>
      <c r="J313" s="23"/>
      <c r="K313" s="24"/>
    </row>
    <row r="314" spans="1:11" ht="13.9">
      <c r="A314" s="23"/>
      <c r="B314" s="23"/>
      <c r="C314" s="23"/>
      <c r="D314" s="23"/>
      <c r="E314" s="23"/>
      <c r="F314" s="23"/>
      <c r="G314" s="23"/>
      <c r="H314" s="24"/>
      <c r="I314" s="23"/>
      <c r="J314" s="23"/>
      <c r="K314" s="24"/>
    </row>
    <row r="315" spans="1:11" ht="13.9">
      <c r="A315" s="23"/>
      <c r="B315" s="23"/>
      <c r="C315" s="23"/>
      <c r="D315" s="23"/>
      <c r="E315" s="23"/>
      <c r="F315" s="23"/>
      <c r="G315" s="23"/>
      <c r="H315" s="24"/>
      <c r="I315" s="23"/>
      <c r="J315" s="23"/>
      <c r="K315" s="24"/>
    </row>
    <row r="316" spans="1:11" ht="13.9">
      <c r="A316" s="23"/>
      <c r="B316" s="23"/>
      <c r="C316" s="23"/>
      <c r="D316" s="23"/>
      <c r="E316" s="23"/>
      <c r="F316" s="23"/>
      <c r="G316" s="23"/>
      <c r="H316" s="24"/>
      <c r="I316" s="23"/>
      <c r="J316" s="23"/>
      <c r="K316" s="24"/>
    </row>
    <row r="317" spans="1:11" ht="13.9">
      <c r="A317" s="23"/>
      <c r="B317" s="23"/>
      <c r="C317" s="23"/>
      <c r="D317" s="23"/>
      <c r="E317" s="23"/>
      <c r="F317" s="23"/>
      <c r="G317" s="23"/>
      <c r="H317" s="24"/>
      <c r="I317" s="23"/>
      <c r="J317" s="23"/>
      <c r="K317" s="24"/>
    </row>
    <row r="318" spans="1:11" ht="13.9">
      <c r="A318" s="23"/>
      <c r="B318" s="23"/>
      <c r="C318" s="23"/>
      <c r="D318" s="23"/>
      <c r="E318" s="23"/>
      <c r="F318" s="23"/>
      <c r="G318" s="23"/>
      <c r="H318" s="24"/>
      <c r="I318" s="23"/>
      <c r="J318" s="23"/>
      <c r="K318" s="24"/>
    </row>
    <row r="319" spans="1:11" ht="13.9">
      <c r="A319" s="23"/>
      <c r="B319" s="23"/>
      <c r="C319" s="23"/>
      <c r="D319" s="23"/>
      <c r="E319" s="23"/>
      <c r="F319" s="23"/>
      <c r="G319" s="23"/>
      <c r="H319" s="24"/>
      <c r="I319" s="23"/>
      <c r="J319" s="23"/>
      <c r="K319" s="24"/>
    </row>
    <row r="320" spans="1:11" ht="13.9">
      <c r="A320" s="23"/>
      <c r="B320" s="23"/>
      <c r="C320" s="23"/>
      <c r="D320" s="23"/>
      <c r="E320" s="23"/>
      <c r="F320" s="23"/>
      <c r="G320" s="23"/>
      <c r="H320" s="24"/>
      <c r="I320" s="23"/>
      <c r="J320" s="23"/>
      <c r="K320" s="24"/>
    </row>
    <row r="321" spans="1:11" ht="13.9">
      <c r="A321" s="23"/>
      <c r="B321" s="23"/>
      <c r="C321" s="23"/>
      <c r="D321" s="23"/>
      <c r="E321" s="23"/>
      <c r="F321" s="23"/>
      <c r="G321" s="23"/>
      <c r="H321" s="24"/>
      <c r="I321" s="23"/>
      <c r="J321" s="23"/>
      <c r="K321" s="24"/>
    </row>
    <row r="322" spans="1:11" ht="13.9">
      <c r="A322" s="23"/>
      <c r="B322" s="23"/>
      <c r="C322" s="23"/>
      <c r="D322" s="23"/>
      <c r="E322" s="23"/>
      <c r="F322" s="23"/>
      <c r="G322" s="23"/>
      <c r="H322" s="24"/>
      <c r="I322" s="23"/>
      <c r="J322" s="23"/>
      <c r="K322" s="24"/>
    </row>
    <row r="323" spans="1:11" ht="13.9">
      <c r="A323" s="23"/>
      <c r="B323" s="23"/>
      <c r="C323" s="23"/>
      <c r="D323" s="23"/>
      <c r="E323" s="23"/>
      <c r="F323" s="23"/>
      <c r="G323" s="23"/>
      <c r="H323" s="24"/>
      <c r="I323" s="23"/>
      <c r="J323" s="23"/>
      <c r="K323" s="24"/>
    </row>
    <row r="324" spans="1:11" ht="13.9">
      <c r="A324" s="23"/>
      <c r="B324" s="23"/>
      <c r="C324" s="23"/>
      <c r="D324" s="23"/>
      <c r="E324" s="23"/>
      <c r="F324" s="23"/>
      <c r="G324" s="23"/>
      <c r="H324" s="24"/>
      <c r="I324" s="23"/>
      <c r="J324" s="23"/>
      <c r="K324" s="24"/>
    </row>
    <row r="325" spans="1:11" ht="13.9">
      <c r="A325" s="23"/>
      <c r="B325" s="23"/>
      <c r="C325" s="23"/>
      <c r="D325" s="23"/>
      <c r="E325" s="23"/>
      <c r="F325" s="23"/>
      <c r="G325" s="23"/>
      <c r="H325" s="24"/>
      <c r="I325" s="23"/>
      <c r="J325" s="23"/>
      <c r="K325" s="24"/>
    </row>
    <row r="326" spans="1:11" ht="13.9">
      <c r="A326" s="23"/>
      <c r="B326" s="23"/>
      <c r="C326" s="23"/>
      <c r="D326" s="23"/>
      <c r="E326" s="23"/>
      <c r="F326" s="23"/>
      <c r="G326" s="23"/>
      <c r="H326" s="24"/>
      <c r="I326" s="23"/>
      <c r="J326" s="23"/>
      <c r="K326" s="24"/>
    </row>
    <row r="327" spans="1:11" ht="13.9">
      <c r="A327" s="23"/>
      <c r="B327" s="23"/>
      <c r="C327" s="23"/>
      <c r="D327" s="23"/>
      <c r="E327" s="23"/>
      <c r="F327" s="23"/>
      <c r="G327" s="23"/>
      <c r="H327" s="24"/>
      <c r="I327" s="23"/>
      <c r="J327" s="23"/>
      <c r="K327" s="24"/>
    </row>
    <row r="328" spans="1:11" ht="13.9">
      <c r="A328" s="23"/>
      <c r="B328" s="23"/>
      <c r="C328" s="23"/>
      <c r="D328" s="23"/>
      <c r="E328" s="23"/>
      <c r="F328" s="23"/>
      <c r="G328" s="23"/>
      <c r="H328" s="24"/>
      <c r="I328" s="23"/>
      <c r="J328" s="23"/>
      <c r="K328" s="24"/>
    </row>
    <row r="329" spans="1:11" ht="13.9">
      <c r="A329" s="23"/>
      <c r="B329" s="23"/>
      <c r="C329" s="23"/>
      <c r="D329" s="23"/>
      <c r="E329" s="23"/>
      <c r="F329" s="23"/>
      <c r="G329" s="23"/>
      <c r="H329" s="24"/>
      <c r="I329" s="23"/>
      <c r="J329" s="23"/>
      <c r="K329" s="24"/>
    </row>
    <row r="330" spans="1:11" ht="13.9">
      <c r="A330" s="23"/>
      <c r="B330" s="23"/>
      <c r="C330" s="23"/>
      <c r="D330" s="23"/>
      <c r="E330" s="23"/>
      <c r="F330" s="23"/>
      <c r="G330" s="23"/>
      <c r="H330" s="24"/>
      <c r="I330" s="23"/>
      <c r="J330" s="23"/>
      <c r="K330" s="24"/>
    </row>
    <row r="331" spans="1:11" ht="13.9">
      <c r="A331" s="23"/>
      <c r="B331" s="23"/>
      <c r="C331" s="23"/>
      <c r="D331" s="23"/>
      <c r="E331" s="23"/>
      <c r="F331" s="23"/>
      <c r="G331" s="23"/>
      <c r="H331" s="24"/>
      <c r="I331" s="23"/>
      <c r="J331" s="23"/>
      <c r="K331" s="24"/>
    </row>
    <row r="332" spans="1:11" ht="13.9">
      <c r="A332" s="23"/>
      <c r="B332" s="23"/>
      <c r="C332" s="23"/>
      <c r="D332" s="23"/>
      <c r="E332" s="23"/>
      <c r="F332" s="23"/>
      <c r="G332" s="23"/>
      <c r="H332" s="24"/>
      <c r="I332" s="23"/>
      <c r="J332" s="23"/>
      <c r="K332" s="24"/>
    </row>
    <row r="333" spans="1:11" ht="13.9">
      <c r="A333" s="23"/>
      <c r="B333" s="23"/>
      <c r="C333" s="23"/>
      <c r="D333" s="23"/>
      <c r="E333" s="23"/>
      <c r="F333" s="23"/>
      <c r="G333" s="23"/>
      <c r="H333" s="24"/>
      <c r="I333" s="23"/>
      <c r="J333" s="23"/>
      <c r="K333" s="24"/>
    </row>
    <row r="334" spans="1:11" ht="13.9">
      <c r="A334" s="23"/>
      <c r="B334" s="23"/>
      <c r="C334" s="23"/>
      <c r="D334" s="23"/>
      <c r="E334" s="23"/>
      <c r="F334" s="23"/>
      <c r="G334" s="23"/>
      <c r="H334" s="24"/>
      <c r="I334" s="23"/>
      <c r="J334" s="23"/>
      <c r="K334" s="24"/>
    </row>
    <row r="335" spans="1:11" ht="13.9">
      <c r="A335" s="23"/>
      <c r="B335" s="23"/>
      <c r="C335" s="23"/>
      <c r="D335" s="23"/>
      <c r="E335" s="23"/>
      <c r="F335" s="23"/>
      <c r="G335" s="23"/>
      <c r="H335" s="24"/>
      <c r="I335" s="23"/>
      <c r="J335" s="23"/>
      <c r="K335" s="24"/>
    </row>
    <row r="336" spans="1:11" ht="13.9">
      <c r="A336" s="23"/>
      <c r="B336" s="23"/>
      <c r="C336" s="23"/>
      <c r="D336" s="23"/>
      <c r="E336" s="23"/>
      <c r="F336" s="23"/>
      <c r="G336" s="23"/>
      <c r="H336" s="24"/>
      <c r="I336" s="23"/>
      <c r="J336" s="23"/>
      <c r="K336" s="24"/>
    </row>
    <row r="337" spans="1:11" ht="13.9">
      <c r="A337" s="23"/>
      <c r="B337" s="23"/>
      <c r="C337" s="23"/>
      <c r="D337" s="23"/>
      <c r="E337" s="23"/>
      <c r="F337" s="23"/>
      <c r="G337" s="23"/>
      <c r="H337" s="24"/>
      <c r="I337" s="23"/>
      <c r="J337" s="23"/>
      <c r="K337" s="24"/>
    </row>
    <row r="338" spans="1:11" ht="13.9">
      <c r="A338" s="23"/>
      <c r="B338" s="23"/>
      <c r="C338" s="23"/>
      <c r="D338" s="23"/>
      <c r="E338" s="23"/>
      <c r="F338" s="23"/>
      <c r="G338" s="23"/>
      <c r="H338" s="24"/>
      <c r="I338" s="23"/>
      <c r="J338" s="23"/>
      <c r="K338" s="24"/>
    </row>
    <row r="339" spans="1:11" ht="13.9">
      <c r="A339" s="23"/>
      <c r="B339" s="23"/>
      <c r="C339" s="23"/>
      <c r="D339" s="23"/>
      <c r="E339" s="23"/>
      <c r="F339" s="23"/>
      <c r="G339" s="23"/>
      <c r="H339" s="24"/>
      <c r="I339" s="23"/>
      <c r="J339" s="23"/>
      <c r="K339" s="24"/>
    </row>
    <row r="340" spans="1:11" ht="13.9">
      <c r="A340" s="23"/>
      <c r="B340" s="23"/>
      <c r="C340" s="23"/>
      <c r="D340" s="23"/>
      <c r="E340" s="23"/>
      <c r="F340" s="23"/>
      <c r="G340" s="23"/>
      <c r="H340" s="24"/>
      <c r="I340" s="23"/>
      <c r="J340" s="23"/>
      <c r="K340" s="24"/>
    </row>
    <row r="341" spans="1:11" ht="13.9">
      <c r="A341" s="23"/>
      <c r="B341" s="23"/>
      <c r="C341" s="23"/>
      <c r="D341" s="23"/>
      <c r="E341" s="23"/>
      <c r="F341" s="23"/>
      <c r="G341" s="23"/>
      <c r="H341" s="24"/>
      <c r="I341" s="23"/>
      <c r="J341" s="23"/>
      <c r="K341" s="24"/>
    </row>
    <row r="342" spans="1:11" ht="13.9">
      <c r="A342" s="23"/>
      <c r="B342" s="23"/>
      <c r="C342" s="23"/>
      <c r="F342" s="23"/>
      <c r="G342" s="23"/>
      <c r="H342" s="24"/>
      <c r="I342" s="23"/>
      <c r="J342" s="23"/>
      <c r="K342" s="24"/>
    </row>
  </sheetData>
  <autoFilter ref="A2:K2" xr:uid="{D5C25034-9971-4A61-864F-C938F31EB1B8}"/>
  <mergeCells count="4">
    <mergeCell ref="I1:K1"/>
    <mergeCell ref="A1:C1"/>
    <mergeCell ref="F1:H1"/>
    <mergeCell ref="A2:B2"/>
  </mergeCells>
  <conditionalFormatting sqref="H2 K2 H4:H100 K4:K100">
    <cfRule type="cellIs" dxfId="34" priority="1" stopIfTrue="1" operator="lessThanOrEqual">
      <formula>-0.1</formula>
    </cfRule>
    <cfRule type="expression" dxfId="33" priority="2">
      <formula>AND(ISNUMBER(H2), H2&gt;=0.1)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K342"/>
  <sheetViews>
    <sheetView zoomScale="80" zoomScaleNormal="80" workbookViewId="0">
      <pane ySplit="2" topLeftCell="A3" activePane="bottomLeft" state="frozen"/>
      <selection pane="bottomLeft" activeCell="D4" sqref="D4"/>
    </sheetView>
  </sheetViews>
  <sheetFormatPr defaultRowHeight="13.15"/>
  <cols>
    <col min="1" max="1" width="35.85546875" bestFit="1" customWidth="1"/>
    <col min="2" max="2" width="8.42578125" customWidth="1"/>
    <col min="3" max="3" width="11.7109375" customWidth="1"/>
    <col min="4" max="4" width="28.140625" customWidth="1"/>
    <col min="5" max="5" width="26.42578125" customWidth="1"/>
    <col min="6" max="7" width="13.28515625" customWidth="1"/>
    <col min="8" max="8" width="13.28515625" style="1" customWidth="1"/>
    <col min="9" max="10" width="13.28515625" customWidth="1"/>
    <col min="11" max="11" width="13.28515625" style="1" customWidth="1"/>
  </cols>
  <sheetData>
    <row r="1" spans="1:11" ht="19.5" customHeight="1">
      <c r="A1" s="129" t="str" cm="1">
        <f t="array" ref="A1">portfolio</f>
        <v>CITI</v>
      </c>
      <c r="B1" s="129"/>
      <c r="C1" s="129"/>
      <c r="D1" s="76" t="s">
        <v>0</v>
      </c>
      <c r="E1" s="76" t="s">
        <v>1</v>
      </c>
      <c r="F1" s="130" t="s">
        <v>12</v>
      </c>
      <c r="G1" s="130"/>
      <c r="H1" s="130"/>
      <c r="I1" s="128" t="s">
        <v>13</v>
      </c>
      <c r="J1" s="128"/>
      <c r="K1" s="128"/>
    </row>
    <row r="2" spans="1:11" ht="19.5" customHeight="1">
      <c r="A2" s="131" t="s">
        <v>4</v>
      </c>
      <c r="B2" s="131"/>
      <c r="C2" s="6">
        <f>SUM(C4:C100)</f>
        <v>3997407.76</v>
      </c>
      <c r="D2" s="6">
        <f>SUM(D4:D22)</f>
        <v>3960868.1399999997</v>
      </c>
      <c r="E2" s="7">
        <f>C2/D2</f>
        <v>1.0092251543622455</v>
      </c>
      <c r="F2" s="6">
        <f>SUM(F4:F100)</f>
        <v>3987723.821</v>
      </c>
      <c r="G2" s="6">
        <f>C2-F2</f>
        <v>9683.9389999997802</v>
      </c>
      <c r="H2" s="7">
        <f>IFERROR(G2/F2, 0)</f>
        <v>2.4284377340784203E-3</v>
      </c>
      <c r="I2" s="6">
        <f>SUM(I4:I100)</f>
        <v>4290441.3270000005</v>
      </c>
      <c r="J2" s="8">
        <f>C2-I2</f>
        <v>-293033.56700000074</v>
      </c>
      <c r="K2" s="7">
        <f>IFERROR(J2/I2, 0)</f>
        <v>-6.8299166604592218E-2</v>
      </c>
    </row>
    <row r="3" spans="1:11" ht="14.25" customHeight="1">
      <c r="A3" s="9" t="s">
        <v>5</v>
      </c>
      <c r="B3" s="9" t="s">
        <v>6</v>
      </c>
      <c r="C3" s="25" t="s">
        <v>7</v>
      </c>
      <c r="D3" s="77"/>
      <c r="E3" s="77"/>
      <c r="F3" s="49" t="s">
        <v>8</v>
      </c>
      <c r="G3" s="49" t="s">
        <v>9</v>
      </c>
      <c r="H3" s="50" t="s">
        <v>10</v>
      </c>
      <c r="I3" s="51" t="s">
        <v>11</v>
      </c>
      <c r="J3" s="52" t="s">
        <v>9</v>
      </c>
      <c r="K3" s="53" t="s">
        <v>10</v>
      </c>
    </row>
    <row r="4" spans="1:11" ht="15.6">
      <c r="A4" s="13" t="str" cm="1">
        <f t="array" ref="A4:A23">Sites[Site]</f>
        <v>CA: Antioch Deer Valley - Citi</v>
      </c>
      <c r="B4" s="10" t="str" cm="1">
        <f t="array" ref="B4:B23">Sites[State]</f>
        <v>CA</v>
      </c>
      <c r="C4" s="26">
        <f>SUM(Jan!C4, Feb!C4, Mar!C4)</f>
        <v>114367.75</v>
      </c>
      <c r="D4" s="78">
        <f>SUM(Jan!D4,Feb!D4,Mar!D4)</f>
        <v>115399.63</v>
      </c>
      <c r="E4" s="79">
        <f>C4/D4</f>
        <v>0.99105820356616392</v>
      </c>
      <c r="F4" s="14">
        <f>SUM(Jan!F4, Feb!F4, Mar!G4)</f>
        <v>114257</v>
      </c>
      <c r="G4" s="14">
        <f>IF(AND(ISNUMBER(C4),ISNUMBER(F4)), C4-F4, "")</f>
        <v>110.75</v>
      </c>
      <c r="H4" s="15">
        <f>IFERROR(G4/F4, "")</f>
        <v>9.6930603814208321E-4</v>
      </c>
      <c r="I4" s="16">
        <f>SUM(Jan!I4, Feb!I4, Mar!J4)</f>
        <v>117533.717</v>
      </c>
      <c r="J4" s="16">
        <f>SUM(Jan!J4, Feb!J4, Mar!K4)</f>
        <v>-3165.9669999999969</v>
      </c>
      <c r="K4" s="17">
        <f>IFERROR(J4/I4, "")</f>
        <v>-2.6936670436450136E-2</v>
      </c>
    </row>
    <row r="5" spans="1:11" ht="15.6">
      <c r="A5" s="19" t="str">
        <v>CA: Antioch MC CUP - Citi</v>
      </c>
      <c r="B5" s="11" t="str">
        <v>CA</v>
      </c>
      <c r="C5" s="12">
        <f>SUM(Jan!C5, Feb!C5, Mar!C5)</f>
        <v>407599</v>
      </c>
      <c r="D5" s="12">
        <f>SUM(Jan!D5,Feb!D5,Mar!D5)</f>
        <v>382684.3</v>
      </c>
      <c r="E5" s="80">
        <f t="shared" ref="E5:E22" si="0">C5/D5</f>
        <v>1.0651051009931685</v>
      </c>
      <c r="F5" s="20">
        <f>SUM(Jan!F5, Feb!F5, Mar!G5)</f>
        <v>378862</v>
      </c>
      <c r="G5" s="20">
        <f t="shared" ref="G5:G15" si="1">IF(AND(ISNUMBER(C5),ISNUMBER(F5)), C5-F5, "")</f>
        <v>28737</v>
      </c>
      <c r="H5" s="21">
        <f>IFERROR(G5/F5, "")</f>
        <v>7.5850837508116414E-2</v>
      </c>
      <c r="I5" s="22">
        <f>SUM(Jan!I5, Feb!I5, Mar!J5)</f>
        <v>426400.31</v>
      </c>
      <c r="J5" s="22">
        <f>SUM(Jan!J5, Feb!J5, Mar!K5)</f>
        <v>-18801.309999999983</v>
      </c>
      <c r="K5" s="21">
        <f>IFERROR(J5/I5, "")</f>
        <v>-4.4093096461397939E-2</v>
      </c>
    </row>
    <row r="6" spans="1:11" ht="15.6">
      <c r="A6" s="13" t="str">
        <v>CA: Clovis - Citi</v>
      </c>
      <c r="B6" s="10" t="str">
        <v>CA</v>
      </c>
      <c r="C6" s="26">
        <f>SUM(Jan!C6, Feb!C6, Mar!C6)</f>
        <v>169263.25</v>
      </c>
      <c r="D6" s="78">
        <f>SUM(Jan!D6,Feb!D6,Mar!D6)</f>
        <v>152182.5</v>
      </c>
      <c r="E6" s="79">
        <f t="shared" si="0"/>
        <v>1.1122385951078475</v>
      </c>
      <c r="F6" s="14">
        <f>SUM(Jan!F6, Feb!F6, Mar!G6)</f>
        <v>146927</v>
      </c>
      <c r="G6" s="14">
        <f t="shared" si="1"/>
        <v>22336.25</v>
      </c>
      <c r="H6" s="15">
        <f t="shared" ref="H6:H15" si="2">IFERROR(G6/F6, "")</f>
        <v>0.15202277321390895</v>
      </c>
      <c r="I6" s="16">
        <f>SUM(Jan!I6, Feb!I6, Mar!J6)</f>
        <v>131624.31</v>
      </c>
      <c r="J6" s="16">
        <f>SUM(Jan!J6, Feb!J6, Mar!K6)</f>
        <v>37638.939999999995</v>
      </c>
      <c r="K6" s="17">
        <f t="shared" ref="K6:K15" si="3">IFERROR(J6/I6, "")</f>
        <v>0.28595735848491816</v>
      </c>
    </row>
    <row r="7" spans="1:11" ht="15.6">
      <c r="A7" s="19" t="str">
        <v>CA: Elk Grove MOB - Citi</v>
      </c>
      <c r="B7" s="11" t="str">
        <v>CA</v>
      </c>
      <c r="C7" s="12">
        <f>SUM(Jan!C7, Feb!C7, Mar!C7)</f>
        <v>253724</v>
      </c>
      <c r="D7" s="12">
        <f>SUM(Jan!D7,Feb!D7,Mar!D7)</f>
        <v>246151.5</v>
      </c>
      <c r="E7" s="80">
        <f t="shared" si="0"/>
        <v>1.0307635744653192</v>
      </c>
      <c r="F7" s="20">
        <f>SUM(Jan!F7, Feb!F7, Mar!G7)</f>
        <v>243714</v>
      </c>
      <c r="G7" s="20">
        <f t="shared" si="1"/>
        <v>10010</v>
      </c>
      <c r="H7" s="21">
        <f t="shared" si="2"/>
        <v>4.1072732793356145E-2</v>
      </c>
      <c r="I7" s="22">
        <f>SUM(Jan!I7, Feb!I7, Mar!J7)</f>
        <v>270600.8</v>
      </c>
      <c r="J7" s="22">
        <f>SUM(Jan!J7, Feb!J7, Mar!K7)</f>
        <v>-16876.800000000003</v>
      </c>
      <c r="K7" s="21">
        <f t="shared" si="3"/>
        <v>-6.2367886569441047E-2</v>
      </c>
    </row>
    <row r="8" spans="1:11" ht="15.6">
      <c r="A8" s="13" t="str">
        <v>CA: Elk Grove Promenade - Citi</v>
      </c>
      <c r="B8" s="10" t="str">
        <v>CA</v>
      </c>
      <c r="C8" s="26">
        <f>SUM(Jan!C8, Feb!C8, Mar!C8)</f>
        <v>138337</v>
      </c>
      <c r="D8" s="78">
        <f>SUM(Jan!D8,Feb!D8,Mar!D8)</f>
        <v>134028.5</v>
      </c>
      <c r="E8" s="79">
        <f t="shared" si="0"/>
        <v>1.0321461480207568</v>
      </c>
      <c r="F8" s="14">
        <f>SUM(Jan!F8, Feb!F8, Mar!G8)</f>
        <v>132731.356</v>
      </c>
      <c r="G8" s="14">
        <f t="shared" si="1"/>
        <v>5605.6440000000002</v>
      </c>
      <c r="H8" s="15">
        <f t="shared" si="2"/>
        <v>4.223300483722927E-2</v>
      </c>
      <c r="I8" s="16">
        <f>SUM(Jan!I8, Feb!I8, Mar!J8)</f>
        <v>151578.198</v>
      </c>
      <c r="J8" s="16">
        <f>SUM(Jan!J8, Feb!J8, Mar!K8)</f>
        <v>-13241.197999999997</v>
      </c>
      <c r="K8" s="17">
        <f t="shared" si="3"/>
        <v>-8.7355557558482094E-2</v>
      </c>
    </row>
    <row r="9" spans="1:11" ht="15.6">
      <c r="A9" s="19" t="str">
        <v>CA: Fresno Sequioa - Citi</v>
      </c>
      <c r="B9" s="11" t="str">
        <v>CA</v>
      </c>
      <c r="C9" s="12">
        <f>SUM(Jan!C9, Feb!C9, Mar!C9)</f>
        <v>267893</v>
      </c>
      <c r="D9" s="12">
        <f>SUM(Jan!D9,Feb!D9,Mar!D9)</f>
        <v>267133.21000000002</v>
      </c>
      <c r="E9" s="80">
        <f t="shared" si="0"/>
        <v>1.0028442364017562</v>
      </c>
      <c r="F9" s="20">
        <f>SUM(Jan!F9, Feb!F9, Mar!G9)</f>
        <v>264542</v>
      </c>
      <c r="G9" s="20">
        <f t="shared" si="1"/>
        <v>3351</v>
      </c>
      <c r="H9" s="21">
        <f t="shared" si="2"/>
        <v>1.2667175722569573E-2</v>
      </c>
      <c r="I9" s="22">
        <f>SUM(Jan!I9, Feb!I9, Mar!J9)</f>
        <v>300633.3</v>
      </c>
      <c r="J9" s="22">
        <f>SUM(Jan!J9, Feb!J9, Mar!K9)</f>
        <v>-32740.300000000003</v>
      </c>
      <c r="K9" s="21">
        <f t="shared" si="3"/>
        <v>-0.10890443606879213</v>
      </c>
    </row>
    <row r="10" spans="1:11" ht="15.6">
      <c r="A10" s="13" t="str">
        <v>CA: Fresno MOB - Citi</v>
      </c>
      <c r="B10" s="10" t="str">
        <v>CA</v>
      </c>
      <c r="C10" s="26">
        <f>SUM(Jan!C10, Feb!C10, Mar!C10)</f>
        <v>102206.13</v>
      </c>
      <c r="D10" s="78">
        <f>SUM(Jan!D10,Feb!D10,Mar!D10)</f>
        <v>107787.70999999999</v>
      </c>
      <c r="E10" s="79">
        <f t="shared" si="0"/>
        <v>0.94821691638128325</v>
      </c>
      <c r="F10" s="14">
        <f>SUM(Jan!F10, Feb!F10, Mar!G10)</f>
        <v>107041</v>
      </c>
      <c r="G10" s="14">
        <f t="shared" si="1"/>
        <v>-4834.8699999999953</v>
      </c>
      <c r="H10" s="15">
        <f t="shared" si="2"/>
        <v>-4.516839341934395E-2</v>
      </c>
      <c r="I10" s="16">
        <f>SUM(Jan!I10, Feb!I10, Mar!J10)</f>
        <v>108339.67600000001</v>
      </c>
      <c r="J10" s="16">
        <f>SUM(Jan!J10, Feb!J10, Mar!K10)</f>
        <v>-6133.5459999999985</v>
      </c>
      <c r="K10" s="17">
        <f t="shared" si="3"/>
        <v>-5.6614033071319118E-2</v>
      </c>
    </row>
    <row r="11" spans="1:11" ht="15.6">
      <c r="A11" s="19" t="str">
        <v>CA: Modesto Bangs - Citi</v>
      </c>
      <c r="B11" s="11" t="str">
        <v>CA</v>
      </c>
      <c r="C11" s="12">
        <f>SUM(Jan!C11, Feb!C11, Mar!C11)</f>
        <v>68432.75</v>
      </c>
      <c r="D11" s="12">
        <f>SUM(Jan!D11,Feb!D11,Mar!D11)</f>
        <v>63424.509999999995</v>
      </c>
      <c r="E11" s="80">
        <f t="shared" si="0"/>
        <v>1.0789637949114625</v>
      </c>
      <c r="F11" s="20">
        <f>SUM(Jan!F11, Feb!F11, Mar!G11)</f>
        <v>63171</v>
      </c>
      <c r="G11" s="20">
        <f t="shared" si="1"/>
        <v>5261.75</v>
      </c>
      <c r="H11" s="21">
        <f t="shared" si="2"/>
        <v>8.329375821183771E-2</v>
      </c>
      <c r="I11" s="22">
        <f>SUM(Jan!I11, Feb!I11, Mar!J11)</f>
        <v>70099.062000000005</v>
      </c>
      <c r="J11" s="22">
        <f>SUM(Jan!J11, Feb!J11, Mar!K11)</f>
        <v>-1666.3119999999981</v>
      </c>
      <c r="K11" s="21">
        <f t="shared" si="3"/>
        <v>-2.377081736129362E-2</v>
      </c>
    </row>
    <row r="12" spans="1:11" ht="15.6">
      <c r="A12" s="13" t="str">
        <v>CA: Napa Data Center - Citi</v>
      </c>
      <c r="B12" s="10" t="str">
        <v>CA</v>
      </c>
      <c r="C12" s="26">
        <f>SUM(Jan!C12, Feb!C12, Mar!C12)</f>
        <v>69031.88</v>
      </c>
      <c r="D12" s="78">
        <f>SUM(Jan!D12,Feb!D12,Mar!D12)</f>
        <v>78540.47</v>
      </c>
      <c r="E12" s="79">
        <f t="shared" si="0"/>
        <v>0.87893387956552849</v>
      </c>
      <c r="F12" s="14">
        <f>SUM(Jan!F12, Feb!F12, Mar!G12)</f>
        <v>75905</v>
      </c>
      <c r="G12" s="14">
        <f t="shared" si="1"/>
        <v>-6873.1199999999953</v>
      </c>
      <c r="H12" s="15">
        <f t="shared" si="2"/>
        <v>-9.0548975693300782E-2</v>
      </c>
      <c r="I12" s="16">
        <f>SUM(Jan!I12, Feb!I12, Mar!J12)</f>
        <v>82484.785000000003</v>
      </c>
      <c r="J12" s="16">
        <f>SUM(Jan!J12, Feb!J12, Mar!K12)</f>
        <v>-13452.904999999999</v>
      </c>
      <c r="K12" s="17">
        <f t="shared" si="3"/>
        <v>-0.16309559393286893</v>
      </c>
    </row>
    <row r="13" spans="1:11" ht="15.6">
      <c r="A13" s="19" t="str">
        <v>CA: Petaluma MOB - Citi</v>
      </c>
      <c r="B13" s="11" t="str">
        <v>CA</v>
      </c>
      <c r="C13" s="12">
        <f>SUM(Jan!C13, Feb!C13, Mar!C13)</f>
        <v>148819.5</v>
      </c>
      <c r="D13" s="12">
        <f>SUM(Jan!D13,Feb!D13,Mar!D13)</f>
        <v>130900.23000000001</v>
      </c>
      <c r="E13" s="80">
        <f t="shared" si="0"/>
        <v>1.1368925784164015</v>
      </c>
      <c r="F13" s="20">
        <f>SUM(Jan!F13, Feb!F13, Mar!G13)</f>
        <v>174082</v>
      </c>
      <c r="G13" s="20">
        <f t="shared" si="1"/>
        <v>-25262.5</v>
      </c>
      <c r="H13" s="21">
        <f t="shared" si="2"/>
        <v>-0.14511839248170402</v>
      </c>
      <c r="I13" s="22">
        <f>SUM(Jan!I13, Feb!I13, Mar!J13)</f>
        <v>174722.89</v>
      </c>
      <c r="J13" s="22">
        <f>SUM(Jan!J13, Feb!J13, Mar!K13)</f>
        <v>-25903.39</v>
      </c>
      <c r="K13" s="21">
        <f t="shared" si="3"/>
        <v>-0.14825412972507493</v>
      </c>
    </row>
    <row r="14" spans="1:11" ht="15.6">
      <c r="A14" s="13" t="str">
        <v>CA: Pleasanton Tec Ctr - Citi</v>
      </c>
      <c r="B14" s="10" t="str">
        <v>CA</v>
      </c>
      <c r="C14" s="26">
        <f>SUM(Jan!C14, Feb!C14, Mar!C14)</f>
        <v>229990.5</v>
      </c>
      <c r="D14" s="78">
        <f>SUM(Jan!D14,Feb!D14,Mar!D14)</f>
        <v>252333.64</v>
      </c>
      <c r="E14" s="79">
        <f t="shared" si="0"/>
        <v>0.91145397815368567</v>
      </c>
      <c r="F14" s="14">
        <f>SUM(Jan!F14, Feb!F14, Mar!G14)</f>
        <v>249546</v>
      </c>
      <c r="G14" s="14">
        <f t="shared" si="1"/>
        <v>-19555.5</v>
      </c>
      <c r="H14" s="15">
        <f t="shared" si="2"/>
        <v>-7.8364309586208561E-2</v>
      </c>
      <c r="I14" s="16">
        <f>SUM(Jan!I14, Feb!I14, Mar!J14)</f>
        <v>262865.85600000003</v>
      </c>
      <c r="J14" s="16">
        <f>SUM(Jan!J14, Feb!J14, Mar!K14)</f>
        <v>-32875.356</v>
      </c>
      <c r="K14" s="17">
        <f t="shared" si="3"/>
        <v>-0.12506514349280873</v>
      </c>
    </row>
    <row r="15" spans="1:11" ht="15.6">
      <c r="A15" s="19" t="str">
        <v>CA: Rancho Cordova - Citi</v>
      </c>
      <c r="B15" s="11" t="str">
        <v>CA</v>
      </c>
      <c r="C15" s="12">
        <f>SUM(Jan!C15, Feb!C15, Mar!C15)</f>
        <v>427880</v>
      </c>
      <c r="D15" s="12">
        <f>SUM(Jan!D15,Feb!D15,Mar!D15)</f>
        <v>377789.61</v>
      </c>
      <c r="E15" s="80">
        <f t="shared" si="0"/>
        <v>1.1325880560876198</v>
      </c>
      <c r="F15" s="20">
        <f>SUM(Jan!F15, Feb!F15, Mar!G15)</f>
        <v>373634</v>
      </c>
      <c r="G15" s="20">
        <f t="shared" si="1"/>
        <v>54246</v>
      </c>
      <c r="H15" s="21">
        <f t="shared" si="2"/>
        <v>0.14518486005020956</v>
      </c>
      <c r="I15" s="22">
        <f>SUM(Jan!I15, Feb!I15, Mar!J15)</f>
        <v>445759.21</v>
      </c>
      <c r="J15" s="22">
        <f>SUM(Jan!J15, Feb!J15, Mar!K15)</f>
        <v>-17879.210000000006</v>
      </c>
      <c r="K15" s="21">
        <f t="shared" si="3"/>
        <v>-4.0109569469131114E-2</v>
      </c>
    </row>
    <row r="16" spans="1:11" ht="15.6">
      <c r="A16" s="13" t="str">
        <v>CA: S Sacramento Wyndham - Citi</v>
      </c>
      <c r="B16" s="10" t="str">
        <v>CA</v>
      </c>
      <c r="C16" s="37">
        <f>SUM(Jan!C16, Feb!C16, Mar!C16)</f>
        <v>212055</v>
      </c>
      <c r="D16" s="78">
        <f>SUM(Jan!D16,Feb!D16,Mar!D16)</f>
        <v>211985.13</v>
      </c>
      <c r="E16" s="79">
        <f t="shared" si="0"/>
        <v>1.0003295985902407</v>
      </c>
      <c r="F16" s="14">
        <f>SUM(Jan!F16, Feb!F16, Mar!G16)</f>
        <v>209458</v>
      </c>
      <c r="G16" s="14">
        <f t="shared" ref="G16:G22" si="4">IF(AND(ISNUMBER(C16),ISNUMBER(F16)), C16-F16, "")</f>
        <v>2597</v>
      </c>
      <c r="H16" s="38">
        <f t="shared" ref="H16:H21" si="5">IFERROR(G16/F16, "")</f>
        <v>1.2398667035873541E-2</v>
      </c>
      <c r="I16" s="39">
        <f>SUM(Jan!I16, Feb!I16, Mar!J16)</f>
        <v>213255.12299999999</v>
      </c>
      <c r="J16" s="39">
        <f>SUM(Jan!J16, Feb!J16, Mar!K16)</f>
        <v>-1200.1229999999996</v>
      </c>
      <c r="K16" s="40">
        <f t="shared" ref="K16:K20" si="6">IFERROR(J16/I16, "")</f>
        <v>-5.6276397167724767E-3</v>
      </c>
    </row>
    <row r="17" spans="1:11" ht="15.6">
      <c r="A17" s="19" t="str">
        <v>CA: Sacramento Point West - Citi</v>
      </c>
      <c r="B17" s="11" t="str">
        <v>CA</v>
      </c>
      <c r="C17" s="42">
        <f>SUM(Jan!C17, Feb!C17, Mar!C17)</f>
        <v>405840</v>
      </c>
      <c r="D17" s="12">
        <f>SUM(Jan!D17,Feb!D17,Mar!D17)</f>
        <v>404736.4</v>
      </c>
      <c r="E17" s="80">
        <f t="shared" si="0"/>
        <v>1.0027267129914679</v>
      </c>
      <c r="F17" s="20">
        <f>SUM(Jan!F17, Feb!F17, Mar!G17)</f>
        <v>402651</v>
      </c>
      <c r="G17" s="20">
        <f t="shared" si="4"/>
        <v>3189</v>
      </c>
      <c r="H17" s="43">
        <f t="shared" si="5"/>
        <v>7.920010132844572E-3</v>
      </c>
      <c r="I17" s="44">
        <f>SUM(Jan!I17, Feb!I17, Mar!J17)</f>
        <v>453841.26</v>
      </c>
      <c r="J17" s="44">
        <f>SUM(Jan!J17, Feb!J17, Mar!K17)</f>
        <v>-48001.260000000009</v>
      </c>
      <c r="K17" s="43">
        <f t="shared" si="6"/>
        <v>-0.10576662862252764</v>
      </c>
    </row>
    <row r="18" spans="1:11" ht="12.75" customHeight="1">
      <c r="A18" s="13" t="str">
        <v>CA: San Jose FHC - Citi</v>
      </c>
      <c r="B18" s="10" t="str">
        <v>CA</v>
      </c>
      <c r="C18" s="37">
        <f>SUM(Jan!C18, Feb!C18, Mar!C18)</f>
        <v>78955.5</v>
      </c>
      <c r="D18" s="78">
        <f>SUM(Jan!D18,Feb!D18,Mar!D18)</f>
        <v>90592.39</v>
      </c>
      <c r="E18" s="79">
        <f t="shared" si="0"/>
        <v>0.87154671601003131</v>
      </c>
      <c r="F18" s="14">
        <f>SUM(Jan!F18, Feb!F18, Mar!G18)</f>
        <v>92852</v>
      </c>
      <c r="G18" s="14">
        <f t="shared" si="4"/>
        <v>-13896.5</v>
      </c>
      <c r="H18" s="38">
        <f t="shared" si="5"/>
        <v>-0.14966290440701333</v>
      </c>
      <c r="I18" s="39">
        <f>SUM(Jan!I18, Feb!I18, Mar!J18)</f>
        <v>92874.623999999996</v>
      </c>
      <c r="J18" s="39">
        <f>SUM(Jan!J18, Feb!J18, Mar!K18)</f>
        <v>-13919.123999999996</v>
      </c>
      <c r="K18" s="40">
        <f t="shared" si="6"/>
        <v>-0.14987004415759461</v>
      </c>
    </row>
    <row r="19" spans="1:11" ht="15.6">
      <c r="A19" s="19" t="str">
        <v>CA: San Jose MOB - Citi</v>
      </c>
      <c r="B19" s="11" t="str">
        <v>CA</v>
      </c>
      <c r="C19" s="42">
        <f>SUM(Jan!C19, Feb!C19, Mar!C19)</f>
        <v>115879.25</v>
      </c>
      <c r="D19" s="12">
        <f>SUM(Jan!D19,Feb!D19,Mar!D19)</f>
        <v>146703.06</v>
      </c>
      <c r="E19" s="80">
        <f t="shared" si="0"/>
        <v>0.78988979507312251</v>
      </c>
      <c r="F19" s="20">
        <f>SUM(Jan!F19, Feb!F19, Mar!G19)</f>
        <v>147955</v>
      </c>
      <c r="G19" s="20">
        <f t="shared" si="4"/>
        <v>-32075.75</v>
      </c>
      <c r="H19" s="43">
        <f t="shared" si="5"/>
        <v>-0.21679395762225001</v>
      </c>
      <c r="I19" s="44">
        <f>SUM(Jan!I19, Feb!I19, Mar!J19)</f>
        <v>149689.114</v>
      </c>
      <c r="J19" s="44">
        <f>SUM(Jan!J19, Feb!J19, Mar!K19)</f>
        <v>-33809.864000000009</v>
      </c>
      <c r="K19" s="43">
        <f t="shared" si="6"/>
        <v>-0.22586721970977802</v>
      </c>
    </row>
    <row r="20" spans="1:11" ht="15.6">
      <c r="A20" s="13" t="str">
        <v>CA: Selma - Citi</v>
      </c>
      <c r="B20" s="10" t="str">
        <v>CA</v>
      </c>
      <c r="C20" s="37">
        <f>SUM(Jan!C20, Feb!C20, Mar!C20)</f>
        <v>82293.5</v>
      </c>
      <c r="D20" s="78">
        <f>SUM(Jan!D20,Feb!D20,Mar!D20)</f>
        <v>77199.570000000007</v>
      </c>
      <c r="E20" s="79">
        <f t="shared" si="0"/>
        <v>1.0659839167497953</v>
      </c>
      <c r="F20" s="14">
        <f>SUM(Jan!F20, Feb!F20, Mar!G20)</f>
        <v>76362</v>
      </c>
      <c r="G20" s="14">
        <f t="shared" si="4"/>
        <v>5931.5</v>
      </c>
      <c r="H20" s="38">
        <f t="shared" si="5"/>
        <v>7.7676069249102961E-2</v>
      </c>
      <c r="I20" s="39">
        <f>SUM(Jan!I20, Feb!I20, Mar!J20)</f>
        <v>93408.790999999997</v>
      </c>
      <c r="J20" s="39">
        <f>SUM(Jan!J20, Feb!J20, Mar!K20)</f>
        <v>-11115.291000000001</v>
      </c>
      <c r="K20" s="40">
        <f t="shared" si="6"/>
        <v>-0.1189961981201534</v>
      </c>
    </row>
    <row r="21" spans="1:11" ht="15.6">
      <c r="A21" s="19" t="str">
        <v>CA: Vacaville Hospital</v>
      </c>
      <c r="B21" s="11" t="str">
        <v>CA</v>
      </c>
      <c r="C21" s="42">
        <f>SUM(Jan!C21, Feb!C21, Mar!C21)</f>
        <v>519252.25</v>
      </c>
      <c r="D21" s="12">
        <f>SUM(Jan!D21,Feb!D21,Mar!D21)</f>
        <v>553199.78</v>
      </c>
      <c r="E21" s="80">
        <f t="shared" si="0"/>
        <v>0.93863423083790809</v>
      </c>
      <c r="F21" s="20">
        <f>SUM(Jan!F21, Feb!F21, Mar!G21)</f>
        <v>551443</v>
      </c>
      <c r="G21" s="20">
        <f t="shared" si="4"/>
        <v>-32190.75</v>
      </c>
      <c r="H21" s="43">
        <f t="shared" si="5"/>
        <v>-5.8375480330696013E-2</v>
      </c>
      <c r="I21" s="44">
        <f>SUM(Jan!I21, Feb!I21, Mar!J21)</f>
        <v>552775.63699999999</v>
      </c>
      <c r="J21" s="44">
        <f>SUM(Jan!J21, Feb!J21, Mar!K21)</f>
        <v>-33523.386999999988</v>
      </c>
      <c r="K21" s="40">
        <f>IFERROR(J21/I21, "")</f>
        <v>-6.064555808200351E-2</v>
      </c>
    </row>
    <row r="22" spans="1:11" ht="15.6">
      <c r="A22" s="13" t="str">
        <v>CA: Manteca - KP Manteca Hospital</v>
      </c>
      <c r="B22" s="10" t="str">
        <v>CA</v>
      </c>
      <c r="C22" s="37">
        <f>SUM(Jan!C22, Feb!C22, Mar!C22)</f>
        <v>185587.5</v>
      </c>
      <c r="D22" s="78">
        <f>SUM(Jan!D22,Feb!D22,Mar!D22)</f>
        <v>168096</v>
      </c>
      <c r="E22" s="79">
        <f t="shared" si="0"/>
        <v>1.104056610508281</v>
      </c>
      <c r="F22" s="14">
        <f>SUM(Jan!F22, Feb!F22, Mar!G22)</f>
        <v>182590.465</v>
      </c>
      <c r="G22" s="14">
        <f t="shared" si="4"/>
        <v>2997.0350000000035</v>
      </c>
      <c r="H22" s="38"/>
      <c r="I22" s="39">
        <f>SUM(Jan!I22, Feb!I22, Mar!J22)</f>
        <v>191954.66399999999</v>
      </c>
      <c r="J22" s="39">
        <f>SUM(Jan!J22, Feb!J22, Mar!K22)</f>
        <v>-6367.1640000000116</v>
      </c>
      <c r="K22" s="40">
        <f>IFERROR(J22/I22, "")</f>
        <v>-3.3170144800441066E-2</v>
      </c>
    </row>
    <row r="23" spans="1:11" ht="15.6">
      <c r="A23" s="19" t="str">
        <v>Sacramento - KP South Sacramento HSP</v>
      </c>
      <c r="B23" s="11" t="str">
        <v>CA</v>
      </c>
      <c r="C23" s="42"/>
      <c r="D23" s="42"/>
      <c r="E23" s="117"/>
      <c r="F23" s="20"/>
      <c r="G23" s="20"/>
      <c r="H23" s="43"/>
      <c r="I23" s="44"/>
      <c r="J23" s="44"/>
      <c r="K23" s="43"/>
    </row>
    <row r="24" spans="1:11" ht="13.9">
      <c r="A24" s="23"/>
      <c r="B24" s="23"/>
      <c r="C24" s="23"/>
      <c r="D24" s="23"/>
      <c r="E24" s="23"/>
      <c r="F24" s="23"/>
      <c r="G24" s="23"/>
      <c r="H24" s="23"/>
      <c r="I24" s="23"/>
      <c r="J24" s="23"/>
      <c r="K24" s="23"/>
    </row>
    <row r="25" spans="1:11" ht="13.9">
      <c r="A25" s="23"/>
      <c r="B25" s="23"/>
      <c r="C25" s="23"/>
      <c r="F25" s="23"/>
      <c r="G25" s="23"/>
      <c r="H25" s="23"/>
      <c r="I25" s="23"/>
      <c r="J25" s="23"/>
      <c r="K25" s="23"/>
    </row>
    <row r="26" spans="1:11" ht="13.9">
      <c r="A26" s="23"/>
      <c r="B26" s="23"/>
      <c r="C26" s="23"/>
      <c r="F26" s="23"/>
      <c r="G26" s="23"/>
      <c r="H26" s="23"/>
      <c r="I26" s="23"/>
      <c r="J26" s="23"/>
      <c r="K26" s="23"/>
    </row>
    <row r="27" spans="1:11" ht="13.9">
      <c r="A27" s="23"/>
      <c r="B27" s="23"/>
      <c r="C27" s="23"/>
      <c r="D27" s="23"/>
      <c r="E27" s="23"/>
      <c r="F27" s="23"/>
      <c r="G27" s="23"/>
      <c r="H27" s="23"/>
      <c r="I27" s="23"/>
      <c r="J27" s="23"/>
      <c r="K27" s="23"/>
    </row>
    <row r="28" spans="1:11" ht="13.9">
      <c r="A28" s="23"/>
      <c r="B28" s="23"/>
      <c r="C28" s="23"/>
      <c r="D28" s="23"/>
      <c r="E28" s="23"/>
      <c r="F28" s="23"/>
      <c r="G28" s="23"/>
      <c r="H28" s="23"/>
      <c r="I28" s="23"/>
      <c r="J28" s="23"/>
      <c r="K28" s="23"/>
    </row>
    <row r="29" spans="1:11" ht="14.45">
      <c r="A29" s="23"/>
      <c r="B29" s="23"/>
      <c r="C29" s="23"/>
      <c r="D29" s="35"/>
      <c r="E29" s="35"/>
      <c r="F29" s="23"/>
      <c r="G29" s="23"/>
      <c r="H29" s="23"/>
      <c r="I29" s="23"/>
      <c r="J29" s="23"/>
      <c r="K29" s="23"/>
    </row>
    <row r="30" spans="1:11" ht="14.45">
      <c r="A30" s="23"/>
      <c r="B30" s="23"/>
      <c r="C30" s="23"/>
      <c r="D30" s="35"/>
      <c r="E30" s="35"/>
      <c r="F30" s="23"/>
      <c r="G30" s="23"/>
      <c r="H30" s="23"/>
      <c r="I30" s="23"/>
      <c r="J30" s="23"/>
      <c r="K30" s="23"/>
    </row>
    <row r="31" spans="1:11" ht="13.9">
      <c r="A31" s="23"/>
      <c r="B31" s="23"/>
      <c r="C31" s="23"/>
      <c r="D31" s="23"/>
      <c r="E31" s="23"/>
      <c r="F31" s="23"/>
      <c r="G31" s="23"/>
      <c r="H31" s="23"/>
      <c r="I31" s="23"/>
      <c r="J31" s="23"/>
      <c r="K31" s="23"/>
    </row>
    <row r="32" spans="1:11" ht="13.9">
      <c r="A32" s="23"/>
      <c r="B32" s="23"/>
      <c r="C32" s="23"/>
      <c r="D32" s="23"/>
      <c r="E32" s="23"/>
      <c r="F32" s="23"/>
      <c r="G32" s="23"/>
      <c r="H32" s="23"/>
      <c r="I32" s="23"/>
      <c r="J32" s="23"/>
      <c r="K32" s="23"/>
    </row>
    <row r="33" spans="1:11" ht="13.9">
      <c r="A33" s="23"/>
      <c r="B33" s="23"/>
      <c r="C33" s="23"/>
      <c r="D33" s="23"/>
      <c r="E33" s="23"/>
      <c r="F33" s="23"/>
      <c r="G33" s="23"/>
      <c r="H33" s="24"/>
      <c r="I33" s="23"/>
      <c r="J33" s="23"/>
      <c r="K33" s="24"/>
    </row>
    <row r="34" spans="1:11" ht="13.9">
      <c r="A34" s="23"/>
      <c r="B34" s="23"/>
      <c r="C34" s="23"/>
      <c r="D34" s="23"/>
      <c r="E34" s="23"/>
      <c r="F34" s="23"/>
      <c r="G34" s="23"/>
      <c r="H34" s="24"/>
      <c r="I34" s="23"/>
      <c r="J34" s="23"/>
      <c r="K34" s="24"/>
    </row>
    <row r="35" spans="1:11" ht="13.9">
      <c r="A35" s="23"/>
      <c r="B35" s="23"/>
      <c r="C35" s="23"/>
      <c r="D35" s="23"/>
      <c r="E35" s="23"/>
      <c r="F35" s="23"/>
      <c r="G35" s="23"/>
      <c r="H35" s="24"/>
      <c r="I35" s="23"/>
      <c r="J35" s="23"/>
      <c r="K35" s="24"/>
    </row>
    <row r="36" spans="1:11" ht="13.9">
      <c r="A36" s="23"/>
      <c r="B36" s="23"/>
      <c r="C36" s="23"/>
      <c r="D36" s="23"/>
      <c r="E36" s="23"/>
      <c r="F36" s="23"/>
      <c r="G36" s="23"/>
      <c r="H36" s="24"/>
      <c r="I36" s="23"/>
      <c r="J36" s="23"/>
      <c r="K36" s="24"/>
    </row>
    <row r="37" spans="1:11" ht="13.9">
      <c r="A37" s="23"/>
      <c r="B37" s="23"/>
      <c r="C37" s="23"/>
      <c r="D37" s="23"/>
      <c r="E37" s="23"/>
      <c r="F37" s="23"/>
      <c r="G37" s="23"/>
      <c r="H37" s="24"/>
      <c r="I37" s="23"/>
      <c r="J37" s="23"/>
      <c r="K37" s="24"/>
    </row>
    <row r="38" spans="1:11" ht="13.9">
      <c r="A38" s="23"/>
      <c r="B38" s="23"/>
      <c r="C38" s="23"/>
      <c r="D38" s="23"/>
      <c r="E38" s="23"/>
      <c r="F38" s="23"/>
      <c r="G38" s="23"/>
      <c r="H38" s="24"/>
      <c r="I38" s="23"/>
      <c r="J38" s="23"/>
      <c r="K38" s="24"/>
    </row>
    <row r="39" spans="1:11" ht="13.9">
      <c r="A39" s="23"/>
      <c r="B39" s="23"/>
      <c r="C39" s="23"/>
      <c r="D39" s="23"/>
      <c r="E39" s="23"/>
      <c r="F39" s="23"/>
      <c r="G39" s="23"/>
      <c r="H39" s="24"/>
      <c r="I39" s="23"/>
      <c r="J39" s="23"/>
      <c r="K39" s="24"/>
    </row>
    <row r="40" spans="1:11" ht="13.9">
      <c r="A40" s="23"/>
      <c r="B40" s="23"/>
      <c r="C40" s="23"/>
      <c r="D40" s="23"/>
      <c r="E40" s="23"/>
      <c r="F40" s="23"/>
      <c r="G40" s="23"/>
      <c r="H40" s="24"/>
      <c r="I40" s="23"/>
      <c r="J40" s="23"/>
      <c r="K40" s="24"/>
    </row>
    <row r="41" spans="1:11" ht="13.9">
      <c r="A41" s="23"/>
      <c r="B41" s="23"/>
      <c r="C41" s="23"/>
      <c r="D41" s="23"/>
      <c r="E41" s="23"/>
      <c r="F41" s="23"/>
      <c r="G41" s="23"/>
      <c r="H41" s="24"/>
      <c r="I41" s="23"/>
      <c r="J41" s="23"/>
      <c r="K41" s="24"/>
    </row>
    <row r="42" spans="1:11" ht="13.9">
      <c r="A42" s="23"/>
      <c r="B42" s="23"/>
      <c r="C42" s="23"/>
      <c r="D42" s="23"/>
      <c r="E42" s="23"/>
      <c r="F42" s="23"/>
      <c r="G42" s="23"/>
      <c r="H42" s="24"/>
      <c r="I42" s="23"/>
      <c r="J42" s="23"/>
      <c r="K42" s="24"/>
    </row>
    <row r="43" spans="1:11" ht="13.9">
      <c r="A43" s="23"/>
      <c r="B43" s="23"/>
      <c r="C43" s="23"/>
      <c r="D43" s="23"/>
      <c r="E43" s="23"/>
      <c r="F43" s="23"/>
      <c r="G43" s="23"/>
      <c r="H43" s="24"/>
      <c r="I43" s="23"/>
      <c r="J43" s="23"/>
      <c r="K43" s="24"/>
    </row>
    <row r="44" spans="1:11" ht="13.9">
      <c r="A44" s="23"/>
      <c r="B44" s="23"/>
      <c r="C44" s="23"/>
      <c r="D44" s="23"/>
      <c r="E44" s="23"/>
      <c r="F44" s="23"/>
      <c r="G44" s="23"/>
      <c r="H44" s="24"/>
      <c r="I44" s="23"/>
      <c r="J44" s="23"/>
      <c r="K44" s="24"/>
    </row>
    <row r="45" spans="1:11" ht="13.9">
      <c r="A45" s="23"/>
      <c r="B45" s="23"/>
      <c r="C45" s="23"/>
      <c r="D45" s="23"/>
      <c r="E45" s="23"/>
      <c r="F45" s="23"/>
      <c r="G45" s="23"/>
      <c r="H45" s="24"/>
      <c r="I45" s="23"/>
      <c r="J45" s="23"/>
      <c r="K45" s="24"/>
    </row>
    <row r="46" spans="1:11" ht="13.9">
      <c r="A46" s="23"/>
      <c r="B46" s="23"/>
      <c r="C46" s="23"/>
      <c r="D46" s="23"/>
      <c r="E46" s="23"/>
      <c r="F46" s="23"/>
      <c r="G46" s="23"/>
      <c r="H46" s="24"/>
      <c r="I46" s="23"/>
      <c r="J46" s="23"/>
      <c r="K46" s="24"/>
    </row>
    <row r="47" spans="1:11" ht="13.9">
      <c r="A47" s="23"/>
      <c r="B47" s="23"/>
      <c r="C47" s="23"/>
      <c r="D47" s="23"/>
      <c r="E47" s="23"/>
      <c r="F47" s="23"/>
      <c r="G47" s="23"/>
      <c r="H47" s="24"/>
      <c r="I47" s="23"/>
      <c r="J47" s="23"/>
      <c r="K47" s="24"/>
    </row>
    <row r="48" spans="1:11" ht="13.9">
      <c r="A48" s="23"/>
      <c r="B48" s="23"/>
      <c r="C48" s="23"/>
      <c r="D48" s="23"/>
      <c r="E48" s="23"/>
      <c r="F48" s="23"/>
      <c r="G48" s="23"/>
      <c r="H48" s="24"/>
      <c r="I48" s="23"/>
      <c r="J48" s="23"/>
      <c r="K48" s="24"/>
    </row>
    <row r="49" spans="1:11" ht="13.9">
      <c r="A49" s="23"/>
      <c r="B49" s="23"/>
      <c r="C49" s="23"/>
      <c r="D49" s="23"/>
      <c r="E49" s="23"/>
      <c r="F49" s="23"/>
      <c r="G49" s="23"/>
      <c r="H49" s="24"/>
      <c r="I49" s="23"/>
      <c r="J49" s="23"/>
      <c r="K49" s="24"/>
    </row>
    <row r="50" spans="1:11" ht="13.9">
      <c r="A50" s="23"/>
      <c r="B50" s="23"/>
      <c r="C50" s="23"/>
      <c r="D50" s="23"/>
      <c r="E50" s="23"/>
      <c r="F50" s="23"/>
      <c r="G50" s="23"/>
      <c r="H50" s="24"/>
      <c r="I50" s="23"/>
      <c r="J50" s="23"/>
      <c r="K50" s="24"/>
    </row>
    <row r="51" spans="1:11" ht="13.9">
      <c r="A51" s="23"/>
      <c r="B51" s="23"/>
      <c r="C51" s="23"/>
      <c r="D51" s="23"/>
      <c r="E51" s="23"/>
      <c r="F51" s="23"/>
      <c r="G51" s="23"/>
      <c r="H51" s="24"/>
      <c r="I51" s="23"/>
      <c r="J51" s="23"/>
      <c r="K51" s="24"/>
    </row>
    <row r="52" spans="1:11" ht="13.9">
      <c r="A52" s="23"/>
      <c r="B52" s="23"/>
      <c r="C52" s="23"/>
      <c r="D52" s="23"/>
      <c r="E52" s="23"/>
      <c r="F52" s="23"/>
      <c r="G52" s="23"/>
      <c r="H52" s="24"/>
      <c r="I52" s="23"/>
      <c r="J52" s="23"/>
      <c r="K52" s="24"/>
    </row>
    <row r="53" spans="1:11" ht="13.9">
      <c r="A53" s="23"/>
      <c r="B53" s="23"/>
      <c r="C53" s="23"/>
      <c r="D53" s="23"/>
      <c r="E53" s="23"/>
      <c r="F53" s="23"/>
      <c r="G53" s="23"/>
      <c r="H53" s="24"/>
      <c r="I53" s="23"/>
      <c r="J53" s="23"/>
      <c r="K53" s="24"/>
    </row>
    <row r="54" spans="1:11" ht="13.9">
      <c r="A54" s="23"/>
      <c r="B54" s="23"/>
      <c r="C54" s="23"/>
      <c r="D54" s="23"/>
      <c r="E54" s="23"/>
      <c r="F54" s="23"/>
      <c r="G54" s="23"/>
      <c r="H54" s="24"/>
      <c r="I54" s="23"/>
      <c r="J54" s="23"/>
      <c r="K54" s="24"/>
    </row>
    <row r="55" spans="1:11" ht="13.9">
      <c r="A55" s="23"/>
      <c r="B55" s="23"/>
      <c r="C55" s="23"/>
      <c r="D55" s="23"/>
      <c r="E55" s="23"/>
      <c r="F55" s="23"/>
      <c r="G55" s="23"/>
      <c r="H55" s="24"/>
      <c r="I55" s="23"/>
      <c r="J55" s="23"/>
      <c r="K55" s="24"/>
    </row>
    <row r="56" spans="1:11" ht="13.9">
      <c r="A56" s="23"/>
      <c r="B56" s="23"/>
      <c r="C56" s="23"/>
      <c r="D56" s="23"/>
      <c r="E56" s="23"/>
      <c r="F56" s="23"/>
      <c r="G56" s="23"/>
      <c r="H56" s="24"/>
      <c r="I56" s="23"/>
      <c r="J56" s="23"/>
      <c r="K56" s="24"/>
    </row>
    <row r="57" spans="1:11" ht="13.9">
      <c r="A57" s="23"/>
      <c r="B57" s="23"/>
      <c r="C57" s="23"/>
      <c r="D57" s="23"/>
      <c r="E57" s="23"/>
      <c r="F57" s="23"/>
      <c r="G57" s="23"/>
      <c r="H57" s="24"/>
      <c r="I57" s="23"/>
      <c r="J57" s="23"/>
      <c r="K57" s="24"/>
    </row>
    <row r="58" spans="1:11" ht="13.9">
      <c r="A58" s="23"/>
      <c r="B58" s="23"/>
      <c r="C58" s="23"/>
      <c r="D58" s="23"/>
      <c r="E58" s="23"/>
      <c r="F58" s="23"/>
      <c r="G58" s="23"/>
      <c r="H58" s="24"/>
      <c r="I58" s="23"/>
      <c r="J58" s="23"/>
      <c r="K58" s="24"/>
    </row>
    <row r="59" spans="1:11" ht="13.9">
      <c r="A59" s="23"/>
      <c r="B59" s="23"/>
      <c r="C59" s="23"/>
      <c r="D59" s="23"/>
      <c r="E59" s="23"/>
      <c r="F59" s="23"/>
      <c r="G59" s="23"/>
      <c r="H59" s="24"/>
      <c r="I59" s="23"/>
      <c r="J59" s="23"/>
      <c r="K59" s="24"/>
    </row>
    <row r="60" spans="1:11" ht="13.9">
      <c r="A60" s="23"/>
      <c r="B60" s="23"/>
      <c r="C60" s="23"/>
      <c r="D60" s="23"/>
      <c r="E60" s="23"/>
      <c r="F60" s="23"/>
      <c r="G60" s="23"/>
      <c r="H60" s="24"/>
      <c r="I60" s="23"/>
      <c r="J60" s="23"/>
      <c r="K60" s="24"/>
    </row>
    <row r="61" spans="1:11" ht="13.9">
      <c r="A61" s="23"/>
      <c r="B61" s="23"/>
      <c r="C61" s="23"/>
      <c r="D61" s="23"/>
      <c r="E61" s="23"/>
      <c r="F61" s="23"/>
      <c r="G61" s="23"/>
      <c r="H61" s="24"/>
      <c r="I61" s="23"/>
      <c r="J61" s="23"/>
      <c r="K61" s="24"/>
    </row>
    <row r="62" spans="1:11" ht="13.9">
      <c r="A62" s="23"/>
      <c r="B62" s="23"/>
      <c r="C62" s="23"/>
      <c r="D62" s="23"/>
      <c r="E62" s="23"/>
      <c r="F62" s="23"/>
      <c r="G62" s="23"/>
      <c r="H62" s="24"/>
      <c r="I62" s="23"/>
      <c r="J62" s="23"/>
      <c r="K62" s="24"/>
    </row>
    <row r="63" spans="1:11" ht="13.9">
      <c r="A63" s="23"/>
      <c r="B63" s="23"/>
      <c r="C63" s="23"/>
      <c r="D63" s="23"/>
      <c r="E63" s="23"/>
      <c r="F63" s="23"/>
      <c r="G63" s="23"/>
      <c r="H63" s="24"/>
      <c r="I63" s="23"/>
      <c r="J63" s="23"/>
      <c r="K63" s="24"/>
    </row>
    <row r="64" spans="1:11" ht="13.9">
      <c r="A64" s="23"/>
      <c r="B64" s="23"/>
      <c r="C64" s="23"/>
      <c r="D64" s="23"/>
      <c r="E64" s="23"/>
      <c r="F64" s="23"/>
      <c r="G64" s="23"/>
      <c r="H64" s="24"/>
      <c r="I64" s="23"/>
      <c r="J64" s="23"/>
      <c r="K64" s="24"/>
    </row>
    <row r="65" spans="1:11" ht="13.9">
      <c r="A65" s="23"/>
      <c r="B65" s="23"/>
      <c r="C65" s="23"/>
      <c r="D65" s="23"/>
      <c r="E65" s="23"/>
      <c r="F65" s="23"/>
      <c r="G65" s="23"/>
      <c r="H65" s="24"/>
      <c r="I65" s="23"/>
      <c r="J65" s="23"/>
      <c r="K65" s="24"/>
    </row>
    <row r="66" spans="1:11" ht="13.9">
      <c r="A66" s="23"/>
      <c r="B66" s="23"/>
      <c r="C66" s="23"/>
      <c r="D66" s="23"/>
      <c r="E66" s="23"/>
      <c r="F66" s="23"/>
      <c r="G66" s="23"/>
      <c r="H66" s="24"/>
      <c r="I66" s="23"/>
      <c r="J66" s="23"/>
      <c r="K66" s="24"/>
    </row>
    <row r="67" spans="1:11" ht="13.9">
      <c r="A67" s="23"/>
      <c r="B67" s="23"/>
      <c r="C67" s="23"/>
      <c r="D67" s="23"/>
      <c r="E67" s="23"/>
      <c r="F67" s="23"/>
      <c r="G67" s="23"/>
      <c r="H67" s="24"/>
      <c r="I67" s="23"/>
      <c r="J67" s="23"/>
      <c r="K67" s="24"/>
    </row>
    <row r="68" spans="1:11" ht="13.9">
      <c r="A68" s="23"/>
      <c r="B68" s="23"/>
      <c r="C68" s="23"/>
      <c r="D68" s="23"/>
      <c r="E68" s="23"/>
      <c r="F68" s="23"/>
      <c r="G68" s="23"/>
      <c r="H68" s="24"/>
      <c r="I68" s="23"/>
      <c r="J68" s="23"/>
      <c r="K68" s="24"/>
    </row>
    <row r="69" spans="1:11" ht="13.9">
      <c r="A69" s="23"/>
      <c r="B69" s="23"/>
      <c r="C69" s="23"/>
      <c r="D69" s="23"/>
      <c r="E69" s="23"/>
      <c r="F69" s="23"/>
      <c r="G69" s="23"/>
      <c r="H69" s="24"/>
      <c r="I69" s="23"/>
      <c r="J69" s="23"/>
      <c r="K69" s="24"/>
    </row>
    <row r="70" spans="1:11" ht="13.9">
      <c r="A70" s="23"/>
      <c r="B70" s="23"/>
      <c r="C70" s="23"/>
      <c r="D70" s="23"/>
      <c r="E70" s="23"/>
      <c r="F70" s="23"/>
      <c r="G70" s="23"/>
      <c r="H70" s="24"/>
      <c r="I70" s="23"/>
      <c r="J70" s="23"/>
      <c r="K70" s="24"/>
    </row>
    <row r="71" spans="1:11" ht="13.9">
      <c r="A71" s="23"/>
      <c r="B71" s="23"/>
      <c r="C71" s="23"/>
      <c r="D71" s="23"/>
      <c r="E71" s="23"/>
      <c r="F71" s="23"/>
      <c r="G71" s="23"/>
      <c r="H71" s="24"/>
      <c r="I71" s="23"/>
      <c r="J71" s="23"/>
      <c r="K71" s="24"/>
    </row>
    <row r="72" spans="1:11" ht="13.9">
      <c r="A72" s="23"/>
      <c r="B72" s="23"/>
      <c r="C72" s="23"/>
      <c r="D72" s="23"/>
      <c r="E72" s="23"/>
      <c r="F72" s="23"/>
      <c r="G72" s="23"/>
      <c r="H72" s="24"/>
      <c r="I72" s="23"/>
      <c r="J72" s="23"/>
      <c r="K72" s="24"/>
    </row>
    <row r="73" spans="1:11" ht="13.9">
      <c r="A73" s="23"/>
      <c r="B73" s="23"/>
      <c r="C73" s="23"/>
      <c r="D73" s="23"/>
      <c r="E73" s="23"/>
      <c r="F73" s="23"/>
      <c r="G73" s="23"/>
      <c r="H73" s="24"/>
      <c r="I73" s="23"/>
      <c r="J73" s="23"/>
      <c r="K73" s="24"/>
    </row>
    <row r="74" spans="1:11" ht="13.9">
      <c r="A74" s="23"/>
      <c r="B74" s="23"/>
      <c r="C74" s="23"/>
      <c r="D74" s="23"/>
      <c r="E74" s="23"/>
      <c r="F74" s="23"/>
      <c r="G74" s="23"/>
      <c r="H74" s="24"/>
      <c r="I74" s="23"/>
      <c r="J74" s="23"/>
      <c r="K74" s="24"/>
    </row>
    <row r="75" spans="1:11" ht="13.9">
      <c r="A75" s="23"/>
      <c r="B75" s="23"/>
      <c r="C75" s="23"/>
      <c r="D75" s="23"/>
      <c r="E75" s="23"/>
      <c r="F75" s="23"/>
      <c r="G75" s="23"/>
      <c r="H75" s="24"/>
      <c r="I75" s="23"/>
      <c r="J75" s="23"/>
      <c r="K75" s="24"/>
    </row>
    <row r="76" spans="1:11" ht="13.9">
      <c r="A76" s="23"/>
      <c r="B76" s="23"/>
      <c r="C76" s="23"/>
      <c r="D76" s="23"/>
      <c r="E76" s="23"/>
      <c r="F76" s="23"/>
      <c r="G76" s="23"/>
      <c r="H76" s="24"/>
      <c r="I76" s="23"/>
      <c r="J76" s="23"/>
      <c r="K76" s="24"/>
    </row>
    <row r="77" spans="1:11" ht="13.9">
      <c r="A77" s="23"/>
      <c r="B77" s="23"/>
      <c r="C77" s="23"/>
      <c r="D77" s="23"/>
      <c r="E77" s="23"/>
      <c r="F77" s="23"/>
      <c r="G77" s="23"/>
      <c r="H77" s="24"/>
      <c r="I77" s="23"/>
      <c r="J77" s="23"/>
      <c r="K77" s="24"/>
    </row>
    <row r="78" spans="1:11" ht="13.9">
      <c r="A78" s="23"/>
      <c r="B78" s="23"/>
      <c r="C78" s="23"/>
      <c r="D78" s="23"/>
      <c r="E78" s="23"/>
      <c r="F78" s="23"/>
      <c r="G78" s="23"/>
      <c r="H78" s="24"/>
      <c r="I78" s="23"/>
      <c r="J78" s="23"/>
      <c r="K78" s="24"/>
    </row>
    <row r="79" spans="1:11" ht="13.9">
      <c r="A79" s="23"/>
      <c r="B79" s="23"/>
      <c r="C79" s="23"/>
      <c r="D79" s="23"/>
      <c r="E79" s="23"/>
      <c r="F79" s="23"/>
      <c r="G79" s="23"/>
      <c r="H79" s="24"/>
      <c r="I79" s="23"/>
      <c r="J79" s="23"/>
      <c r="K79" s="24"/>
    </row>
    <row r="80" spans="1:11" ht="13.9">
      <c r="A80" s="23"/>
      <c r="B80" s="23"/>
      <c r="C80" s="23"/>
      <c r="D80" s="23"/>
      <c r="E80" s="23"/>
      <c r="F80" s="23"/>
      <c r="G80" s="23"/>
      <c r="H80" s="24"/>
      <c r="I80" s="23"/>
      <c r="J80" s="23"/>
      <c r="K80" s="24"/>
    </row>
    <row r="81" spans="1:11" ht="13.9">
      <c r="A81" s="23"/>
      <c r="B81" s="23"/>
      <c r="C81" s="23"/>
      <c r="D81" s="23"/>
      <c r="E81" s="23"/>
      <c r="F81" s="23"/>
      <c r="G81" s="23"/>
      <c r="H81" s="24"/>
      <c r="I81" s="23"/>
      <c r="J81" s="23"/>
      <c r="K81" s="24"/>
    </row>
    <row r="82" spans="1:11" ht="13.9">
      <c r="A82" s="23"/>
      <c r="B82" s="23"/>
      <c r="C82" s="23"/>
      <c r="D82" s="23"/>
      <c r="E82" s="23"/>
      <c r="F82" s="23"/>
      <c r="G82" s="23"/>
      <c r="H82" s="24"/>
      <c r="I82" s="23"/>
      <c r="J82" s="23"/>
      <c r="K82" s="24"/>
    </row>
    <row r="83" spans="1:11" ht="13.9">
      <c r="A83" s="23"/>
      <c r="B83" s="23"/>
      <c r="C83" s="23"/>
      <c r="D83" s="23"/>
      <c r="E83" s="23"/>
      <c r="F83" s="23"/>
      <c r="G83" s="23"/>
      <c r="H83" s="24"/>
      <c r="I83" s="23"/>
      <c r="J83" s="23"/>
      <c r="K83" s="24"/>
    </row>
    <row r="84" spans="1:11" ht="13.9">
      <c r="A84" s="23"/>
      <c r="B84" s="23"/>
      <c r="C84" s="23"/>
      <c r="D84" s="23"/>
      <c r="E84" s="23"/>
      <c r="F84" s="23"/>
      <c r="G84" s="23"/>
      <c r="H84" s="24"/>
      <c r="I84" s="23"/>
      <c r="J84" s="23"/>
      <c r="K84" s="24"/>
    </row>
    <row r="85" spans="1:11" ht="13.9">
      <c r="A85" s="23"/>
      <c r="B85" s="23"/>
      <c r="C85" s="23"/>
      <c r="D85" s="23"/>
      <c r="E85" s="23"/>
      <c r="F85" s="23"/>
      <c r="G85" s="23"/>
      <c r="H85" s="24"/>
      <c r="I85" s="23"/>
      <c r="J85" s="23"/>
      <c r="K85" s="24"/>
    </row>
    <row r="86" spans="1:11" ht="13.9">
      <c r="A86" s="23"/>
      <c r="B86" s="23"/>
      <c r="C86" s="23"/>
      <c r="D86" s="23"/>
      <c r="E86" s="23"/>
      <c r="F86" s="23"/>
      <c r="G86" s="23"/>
      <c r="H86" s="24"/>
      <c r="I86" s="23"/>
      <c r="J86" s="23"/>
      <c r="K86" s="24"/>
    </row>
    <row r="87" spans="1:11" ht="13.9">
      <c r="A87" s="23"/>
      <c r="B87" s="23"/>
      <c r="C87" s="23"/>
      <c r="D87" s="23"/>
      <c r="E87" s="23"/>
      <c r="F87" s="23"/>
      <c r="G87" s="23"/>
      <c r="H87" s="24"/>
      <c r="I87" s="23"/>
      <c r="J87" s="23"/>
      <c r="K87" s="24"/>
    </row>
    <row r="88" spans="1:11" ht="13.9">
      <c r="A88" s="23"/>
      <c r="B88" s="23"/>
      <c r="C88" s="23"/>
      <c r="D88" s="23"/>
      <c r="E88" s="23"/>
      <c r="F88" s="23"/>
      <c r="G88" s="23"/>
      <c r="H88" s="24"/>
      <c r="I88" s="23"/>
      <c r="J88" s="23"/>
      <c r="K88" s="24"/>
    </row>
    <row r="89" spans="1:11" ht="13.9">
      <c r="A89" s="23"/>
      <c r="B89" s="23"/>
      <c r="C89" s="23"/>
      <c r="D89" s="23"/>
      <c r="E89" s="23"/>
      <c r="F89" s="23"/>
      <c r="G89" s="23"/>
      <c r="H89" s="24"/>
      <c r="I89" s="23"/>
      <c r="J89" s="23"/>
      <c r="K89" s="24"/>
    </row>
    <row r="90" spans="1:11" ht="13.9">
      <c r="A90" s="23"/>
      <c r="B90" s="23"/>
      <c r="C90" s="23"/>
      <c r="D90" s="23"/>
      <c r="E90" s="23"/>
      <c r="F90" s="23"/>
      <c r="G90" s="23"/>
      <c r="H90" s="24"/>
      <c r="I90" s="23"/>
      <c r="J90" s="23"/>
      <c r="K90" s="24"/>
    </row>
    <row r="91" spans="1:11" ht="13.9">
      <c r="A91" s="23"/>
      <c r="B91" s="23"/>
      <c r="C91" s="23"/>
      <c r="D91" s="23"/>
      <c r="E91" s="23"/>
      <c r="F91" s="23"/>
      <c r="G91" s="23"/>
      <c r="H91" s="24"/>
      <c r="I91" s="23"/>
      <c r="J91" s="23"/>
      <c r="K91" s="24"/>
    </row>
    <row r="92" spans="1:11" ht="13.9">
      <c r="A92" s="23"/>
      <c r="B92" s="23"/>
      <c r="C92" s="23"/>
      <c r="D92" s="23"/>
      <c r="E92" s="23"/>
      <c r="F92" s="23"/>
      <c r="G92" s="23"/>
      <c r="H92" s="24"/>
      <c r="I92" s="23"/>
      <c r="J92" s="23"/>
      <c r="K92" s="24"/>
    </row>
    <row r="93" spans="1:11" ht="13.9">
      <c r="A93" s="23"/>
      <c r="B93" s="23"/>
      <c r="C93" s="23"/>
      <c r="D93" s="23"/>
      <c r="E93" s="23"/>
      <c r="F93" s="23"/>
      <c r="G93" s="23"/>
      <c r="H93" s="24"/>
      <c r="I93" s="23"/>
      <c r="J93" s="23"/>
      <c r="K93" s="24"/>
    </row>
    <row r="94" spans="1:11" ht="13.9">
      <c r="A94" s="23"/>
      <c r="B94" s="23"/>
      <c r="C94" s="23"/>
      <c r="D94" s="23"/>
      <c r="E94" s="23"/>
      <c r="F94" s="23"/>
      <c r="G94" s="23"/>
      <c r="H94" s="24"/>
      <c r="I94" s="23"/>
      <c r="J94" s="23"/>
      <c r="K94" s="24"/>
    </row>
    <row r="95" spans="1:11" ht="13.9">
      <c r="A95" s="23"/>
      <c r="B95" s="23"/>
      <c r="C95" s="23"/>
      <c r="D95" s="23"/>
      <c r="E95" s="23"/>
      <c r="F95" s="23"/>
      <c r="G95" s="23"/>
      <c r="H95" s="24"/>
      <c r="I95" s="23"/>
      <c r="J95" s="23"/>
      <c r="K95" s="24"/>
    </row>
    <row r="96" spans="1:11" ht="13.9">
      <c r="A96" s="23"/>
      <c r="B96" s="23"/>
      <c r="C96" s="23"/>
      <c r="D96" s="23"/>
      <c r="E96" s="23"/>
      <c r="F96" s="23"/>
      <c r="G96" s="23"/>
      <c r="H96" s="24"/>
      <c r="I96" s="23"/>
      <c r="J96" s="23"/>
      <c r="K96" s="24"/>
    </row>
    <row r="97" spans="1:11" ht="13.9">
      <c r="A97" s="23"/>
      <c r="B97" s="23"/>
      <c r="C97" s="23"/>
      <c r="D97" s="23"/>
      <c r="E97" s="23"/>
      <c r="F97" s="23"/>
      <c r="G97" s="23"/>
      <c r="H97" s="24"/>
      <c r="I97" s="23"/>
      <c r="J97" s="23"/>
      <c r="K97" s="24"/>
    </row>
    <row r="98" spans="1:11" ht="13.9">
      <c r="A98" s="23"/>
      <c r="B98" s="23"/>
      <c r="C98" s="23"/>
      <c r="D98" s="23"/>
      <c r="E98" s="23"/>
      <c r="F98" s="23"/>
      <c r="G98" s="23"/>
      <c r="H98" s="24"/>
      <c r="I98" s="23"/>
      <c r="J98" s="23"/>
      <c r="K98" s="24"/>
    </row>
    <row r="99" spans="1:11" ht="13.9">
      <c r="A99" s="23"/>
      <c r="B99" s="23"/>
      <c r="C99" s="23"/>
      <c r="D99" s="23"/>
      <c r="E99" s="23"/>
      <c r="F99" s="23"/>
      <c r="G99" s="23"/>
      <c r="H99" s="24"/>
      <c r="I99" s="23"/>
      <c r="J99" s="23"/>
      <c r="K99" s="24"/>
    </row>
    <row r="100" spans="1:11" ht="13.9">
      <c r="A100" s="23"/>
      <c r="B100" s="23"/>
      <c r="C100" s="23"/>
      <c r="D100" s="23"/>
      <c r="E100" s="23"/>
      <c r="F100" s="23"/>
      <c r="G100" s="23"/>
      <c r="H100" s="24"/>
      <c r="I100" s="23"/>
      <c r="J100" s="23"/>
      <c r="K100" s="24"/>
    </row>
    <row r="101" spans="1:11" ht="13.9">
      <c r="A101" s="23"/>
      <c r="B101" s="23"/>
      <c r="C101" s="23"/>
      <c r="D101" s="23"/>
      <c r="E101" s="23"/>
      <c r="F101" s="23"/>
      <c r="G101" s="23"/>
      <c r="H101" s="24"/>
      <c r="I101" s="23"/>
      <c r="J101" s="23"/>
      <c r="K101" s="24"/>
    </row>
    <row r="102" spans="1:11" ht="13.9">
      <c r="A102" s="23"/>
      <c r="B102" s="23"/>
      <c r="C102" s="23"/>
      <c r="D102" s="23"/>
      <c r="E102" s="23"/>
      <c r="F102" s="23"/>
      <c r="G102" s="23"/>
      <c r="H102" s="24"/>
      <c r="I102" s="23"/>
      <c r="J102" s="23"/>
      <c r="K102" s="24"/>
    </row>
    <row r="103" spans="1:11" ht="13.9">
      <c r="A103" s="23"/>
      <c r="B103" s="23"/>
      <c r="C103" s="23"/>
      <c r="D103" s="23"/>
      <c r="E103" s="23"/>
      <c r="F103" s="23"/>
      <c r="G103" s="23"/>
      <c r="H103" s="24"/>
      <c r="I103" s="23"/>
      <c r="J103" s="23"/>
      <c r="K103" s="24"/>
    </row>
    <row r="104" spans="1:11" ht="13.9">
      <c r="A104" s="23"/>
      <c r="B104" s="23"/>
      <c r="C104" s="23"/>
      <c r="D104" s="23"/>
      <c r="E104" s="23"/>
      <c r="F104" s="23"/>
      <c r="G104" s="23"/>
      <c r="H104" s="24"/>
      <c r="I104" s="23"/>
      <c r="J104" s="23"/>
      <c r="K104" s="24"/>
    </row>
    <row r="105" spans="1:11" ht="13.9">
      <c r="A105" s="23"/>
      <c r="B105" s="23"/>
      <c r="C105" s="23"/>
      <c r="D105" s="23"/>
      <c r="E105" s="23"/>
      <c r="F105" s="23"/>
      <c r="G105" s="23"/>
      <c r="H105" s="24"/>
      <c r="I105" s="23"/>
      <c r="J105" s="23"/>
      <c r="K105" s="24"/>
    </row>
    <row r="106" spans="1:11" ht="13.9">
      <c r="A106" s="23"/>
      <c r="B106" s="23"/>
      <c r="C106" s="23"/>
      <c r="D106" s="23"/>
      <c r="E106" s="23"/>
      <c r="F106" s="23"/>
      <c r="G106" s="23"/>
      <c r="H106" s="24"/>
      <c r="I106" s="23"/>
      <c r="J106" s="23"/>
      <c r="K106" s="24"/>
    </row>
    <row r="107" spans="1:11" ht="13.9">
      <c r="A107" s="23"/>
      <c r="B107" s="23"/>
      <c r="C107" s="23"/>
      <c r="D107" s="23"/>
      <c r="E107" s="23"/>
      <c r="F107" s="23"/>
      <c r="G107" s="23"/>
      <c r="H107" s="24"/>
      <c r="I107" s="23"/>
      <c r="J107" s="23"/>
      <c r="K107" s="24"/>
    </row>
    <row r="108" spans="1:11" ht="13.9">
      <c r="A108" s="23"/>
      <c r="B108" s="23"/>
      <c r="C108" s="23"/>
      <c r="D108" s="23"/>
      <c r="E108" s="23"/>
      <c r="F108" s="23"/>
      <c r="G108" s="23"/>
      <c r="H108" s="24"/>
      <c r="I108" s="23"/>
      <c r="J108" s="23"/>
      <c r="K108" s="24"/>
    </row>
    <row r="109" spans="1:11" ht="13.9">
      <c r="A109" s="23"/>
      <c r="B109" s="23"/>
      <c r="C109" s="23"/>
      <c r="D109" s="23"/>
      <c r="E109" s="23"/>
      <c r="F109" s="23"/>
      <c r="G109" s="23"/>
      <c r="H109" s="24"/>
      <c r="I109" s="23"/>
      <c r="J109" s="23"/>
      <c r="K109" s="24"/>
    </row>
    <row r="110" spans="1:11" ht="13.9">
      <c r="A110" s="23"/>
      <c r="B110" s="23"/>
      <c r="C110" s="23"/>
      <c r="D110" s="23"/>
      <c r="E110" s="23"/>
      <c r="F110" s="23"/>
      <c r="G110" s="23"/>
      <c r="H110" s="24"/>
      <c r="I110" s="23"/>
      <c r="J110" s="23"/>
      <c r="K110" s="24"/>
    </row>
    <row r="111" spans="1:11" ht="13.9">
      <c r="A111" s="23"/>
      <c r="B111" s="23"/>
      <c r="C111" s="23"/>
      <c r="D111" s="23"/>
      <c r="E111" s="23"/>
      <c r="F111" s="23"/>
      <c r="G111" s="23"/>
      <c r="H111" s="24"/>
      <c r="I111" s="23"/>
      <c r="J111" s="23"/>
      <c r="K111" s="24"/>
    </row>
    <row r="112" spans="1:11" ht="13.9">
      <c r="A112" s="23"/>
      <c r="B112" s="23"/>
      <c r="C112" s="23"/>
      <c r="D112" s="23"/>
      <c r="E112" s="23"/>
      <c r="F112" s="23"/>
      <c r="G112" s="23"/>
      <c r="H112" s="24"/>
      <c r="I112" s="23"/>
      <c r="J112" s="23"/>
      <c r="K112" s="24"/>
    </row>
    <row r="113" spans="1:11" ht="13.9">
      <c r="A113" s="23"/>
      <c r="B113" s="23"/>
      <c r="C113" s="23"/>
      <c r="D113" s="23"/>
      <c r="E113" s="23"/>
      <c r="F113" s="23"/>
      <c r="G113" s="23"/>
      <c r="H113" s="24"/>
      <c r="I113" s="23"/>
      <c r="J113" s="23"/>
      <c r="K113" s="24"/>
    </row>
    <row r="114" spans="1:11" ht="13.9">
      <c r="A114" s="23"/>
      <c r="B114" s="23"/>
      <c r="C114" s="23"/>
      <c r="D114" s="23"/>
      <c r="E114" s="23"/>
      <c r="F114" s="23"/>
      <c r="G114" s="23"/>
      <c r="H114" s="24"/>
      <c r="I114" s="23"/>
      <c r="J114" s="23"/>
      <c r="K114" s="24"/>
    </row>
    <row r="115" spans="1:11" ht="13.9">
      <c r="A115" s="23"/>
      <c r="B115" s="23"/>
      <c r="C115" s="23"/>
      <c r="D115" s="23"/>
      <c r="E115" s="23"/>
      <c r="F115" s="23"/>
      <c r="G115" s="23"/>
      <c r="H115" s="24"/>
      <c r="I115" s="23"/>
      <c r="J115" s="23"/>
      <c r="K115" s="24"/>
    </row>
    <row r="116" spans="1:11" ht="13.9">
      <c r="A116" s="23"/>
      <c r="B116" s="23"/>
      <c r="C116" s="23"/>
      <c r="D116" s="23"/>
      <c r="E116" s="23"/>
      <c r="F116" s="23"/>
      <c r="G116" s="23"/>
      <c r="H116" s="24"/>
      <c r="I116" s="23"/>
      <c r="J116" s="23"/>
      <c r="K116" s="24"/>
    </row>
    <row r="117" spans="1:11" ht="13.9">
      <c r="A117" s="23"/>
      <c r="B117" s="23"/>
      <c r="C117" s="23"/>
      <c r="D117" s="23"/>
      <c r="E117" s="23"/>
      <c r="F117" s="23"/>
      <c r="G117" s="23"/>
      <c r="H117" s="24"/>
      <c r="I117" s="23"/>
      <c r="J117" s="23"/>
      <c r="K117" s="24"/>
    </row>
    <row r="118" spans="1:11" ht="13.9">
      <c r="A118" s="23"/>
      <c r="B118" s="23"/>
      <c r="C118" s="23"/>
      <c r="D118" s="23"/>
      <c r="E118" s="23"/>
      <c r="F118" s="23"/>
      <c r="G118" s="23"/>
      <c r="H118" s="24"/>
      <c r="I118" s="23"/>
      <c r="J118" s="23"/>
      <c r="K118" s="24"/>
    </row>
    <row r="119" spans="1:11" ht="13.9">
      <c r="A119" s="23"/>
      <c r="B119" s="23"/>
      <c r="C119" s="23"/>
      <c r="D119" s="23"/>
      <c r="E119" s="23"/>
      <c r="F119" s="23"/>
      <c r="G119" s="23"/>
      <c r="H119" s="24"/>
      <c r="I119" s="23"/>
      <c r="J119" s="23"/>
      <c r="K119" s="24"/>
    </row>
    <row r="120" spans="1:11" ht="13.9">
      <c r="A120" s="23"/>
      <c r="B120" s="23"/>
      <c r="C120" s="23"/>
      <c r="D120" s="23"/>
      <c r="E120" s="23"/>
      <c r="F120" s="23"/>
      <c r="G120" s="23"/>
      <c r="H120" s="24"/>
      <c r="I120" s="23"/>
      <c r="J120" s="23"/>
      <c r="K120" s="24"/>
    </row>
    <row r="121" spans="1:11" ht="13.9">
      <c r="A121" s="23"/>
      <c r="B121" s="23"/>
      <c r="C121" s="23"/>
      <c r="D121" s="23"/>
      <c r="E121" s="23"/>
      <c r="F121" s="23"/>
      <c r="G121" s="23"/>
      <c r="H121" s="24"/>
      <c r="I121" s="23"/>
      <c r="J121" s="23"/>
      <c r="K121" s="24"/>
    </row>
    <row r="122" spans="1:11" ht="13.9">
      <c r="A122" s="23"/>
      <c r="B122" s="23"/>
      <c r="C122" s="23"/>
      <c r="D122" s="23"/>
      <c r="E122" s="23"/>
      <c r="F122" s="23"/>
      <c r="G122" s="23"/>
      <c r="H122" s="24"/>
      <c r="I122" s="23"/>
      <c r="J122" s="23"/>
      <c r="K122" s="24"/>
    </row>
    <row r="123" spans="1:11" ht="13.9">
      <c r="A123" s="23"/>
      <c r="B123" s="23"/>
      <c r="C123" s="23"/>
      <c r="D123" s="23"/>
      <c r="E123" s="23"/>
      <c r="F123" s="23"/>
      <c r="G123" s="23"/>
      <c r="H123" s="24"/>
      <c r="I123" s="23"/>
      <c r="J123" s="23"/>
      <c r="K123" s="24"/>
    </row>
    <row r="124" spans="1:11" ht="13.9">
      <c r="A124" s="23"/>
      <c r="B124" s="23"/>
      <c r="C124" s="23"/>
      <c r="D124" s="23"/>
      <c r="E124" s="23"/>
      <c r="F124" s="23"/>
      <c r="G124" s="23"/>
      <c r="H124" s="24"/>
      <c r="I124" s="23"/>
      <c r="J124" s="23"/>
      <c r="K124" s="24"/>
    </row>
    <row r="125" spans="1:11" ht="13.9">
      <c r="A125" s="23"/>
      <c r="B125" s="23"/>
      <c r="C125" s="23"/>
      <c r="D125" s="23"/>
      <c r="E125" s="23"/>
      <c r="F125" s="23"/>
      <c r="G125" s="23"/>
      <c r="H125" s="24"/>
      <c r="I125" s="23"/>
      <c r="J125" s="23"/>
      <c r="K125" s="24"/>
    </row>
    <row r="126" spans="1:11" ht="13.9">
      <c r="A126" s="23"/>
      <c r="B126" s="23"/>
      <c r="C126" s="23"/>
      <c r="D126" s="23"/>
      <c r="E126" s="23"/>
      <c r="F126" s="23"/>
      <c r="G126" s="23"/>
      <c r="H126" s="24"/>
      <c r="I126" s="23"/>
      <c r="J126" s="23"/>
      <c r="K126" s="24"/>
    </row>
    <row r="127" spans="1:11" ht="13.9">
      <c r="A127" s="23"/>
      <c r="B127" s="23"/>
      <c r="C127" s="23"/>
      <c r="D127" s="23"/>
      <c r="E127" s="23"/>
      <c r="F127" s="23"/>
      <c r="G127" s="23"/>
      <c r="H127" s="24"/>
      <c r="I127" s="23"/>
      <c r="J127" s="23"/>
      <c r="K127" s="24"/>
    </row>
    <row r="128" spans="1:11" ht="13.9">
      <c r="A128" s="23"/>
      <c r="B128" s="23"/>
      <c r="C128" s="23"/>
      <c r="D128" s="23"/>
      <c r="E128" s="23"/>
      <c r="F128" s="23"/>
      <c r="G128" s="23"/>
      <c r="H128" s="24"/>
      <c r="I128" s="23"/>
      <c r="J128" s="23"/>
      <c r="K128" s="24"/>
    </row>
    <row r="129" spans="1:11" ht="13.9">
      <c r="A129" s="23"/>
      <c r="B129" s="23"/>
      <c r="C129" s="23"/>
      <c r="D129" s="23"/>
      <c r="E129" s="23"/>
      <c r="F129" s="23"/>
      <c r="G129" s="23"/>
      <c r="H129" s="24"/>
      <c r="I129" s="23"/>
      <c r="J129" s="23"/>
      <c r="K129" s="24"/>
    </row>
    <row r="130" spans="1:11" ht="13.9">
      <c r="A130" s="23"/>
      <c r="B130" s="23"/>
      <c r="C130" s="23"/>
      <c r="D130" s="23"/>
      <c r="E130" s="23"/>
      <c r="F130" s="23"/>
      <c r="G130" s="23"/>
      <c r="H130" s="24"/>
      <c r="I130" s="23"/>
      <c r="J130" s="23"/>
      <c r="K130" s="24"/>
    </row>
    <row r="131" spans="1:11" ht="13.9">
      <c r="A131" s="23"/>
      <c r="B131" s="23"/>
      <c r="C131" s="23"/>
      <c r="D131" s="23"/>
      <c r="E131" s="23"/>
      <c r="F131" s="23"/>
      <c r="G131" s="23"/>
      <c r="H131" s="24"/>
      <c r="I131" s="23"/>
      <c r="J131" s="23"/>
      <c r="K131" s="24"/>
    </row>
    <row r="132" spans="1:11" ht="13.9">
      <c r="A132" s="23"/>
      <c r="B132" s="23"/>
      <c r="C132" s="23"/>
      <c r="D132" s="23"/>
      <c r="E132" s="23"/>
      <c r="F132" s="23"/>
      <c r="G132" s="23"/>
      <c r="H132" s="24"/>
      <c r="I132" s="23"/>
      <c r="J132" s="23"/>
      <c r="K132" s="24"/>
    </row>
    <row r="133" spans="1:11" ht="13.9">
      <c r="A133" s="23"/>
      <c r="B133" s="23"/>
      <c r="C133" s="23"/>
      <c r="D133" s="23"/>
      <c r="E133" s="23"/>
      <c r="F133" s="23"/>
      <c r="G133" s="23"/>
      <c r="H133" s="24"/>
      <c r="I133" s="23"/>
      <c r="J133" s="23"/>
      <c r="K133" s="24"/>
    </row>
    <row r="134" spans="1:11" ht="13.9">
      <c r="A134" s="23"/>
      <c r="B134" s="23"/>
      <c r="C134" s="23"/>
      <c r="D134" s="23"/>
      <c r="E134" s="23"/>
      <c r="F134" s="23"/>
      <c r="G134" s="23"/>
      <c r="H134" s="24"/>
      <c r="I134" s="23"/>
      <c r="J134" s="23"/>
      <c r="K134" s="24"/>
    </row>
    <row r="135" spans="1:11" ht="13.9">
      <c r="A135" s="23"/>
      <c r="B135" s="23"/>
      <c r="C135" s="23"/>
      <c r="D135" s="23"/>
      <c r="E135" s="23"/>
      <c r="F135" s="23"/>
      <c r="G135" s="23"/>
      <c r="H135" s="24"/>
      <c r="I135" s="23"/>
      <c r="J135" s="23"/>
      <c r="K135" s="24"/>
    </row>
    <row r="136" spans="1:11" ht="13.9">
      <c r="A136" s="23"/>
      <c r="B136" s="23"/>
      <c r="C136" s="23"/>
      <c r="D136" s="23"/>
      <c r="E136" s="23"/>
      <c r="F136" s="23"/>
      <c r="G136" s="23"/>
      <c r="H136" s="24"/>
      <c r="I136" s="23"/>
      <c r="J136" s="23"/>
      <c r="K136" s="24"/>
    </row>
    <row r="137" spans="1:11" ht="13.9">
      <c r="A137" s="23"/>
      <c r="B137" s="23"/>
      <c r="C137" s="23"/>
      <c r="D137" s="23"/>
      <c r="E137" s="23"/>
      <c r="F137" s="23"/>
      <c r="G137" s="23"/>
      <c r="H137" s="24"/>
      <c r="I137" s="23"/>
      <c r="J137" s="23"/>
      <c r="K137" s="24"/>
    </row>
    <row r="138" spans="1:11" ht="13.9">
      <c r="A138" s="23"/>
      <c r="B138" s="23"/>
      <c r="C138" s="23"/>
      <c r="D138" s="23"/>
      <c r="E138" s="23"/>
      <c r="F138" s="23"/>
      <c r="G138" s="23"/>
      <c r="H138" s="24"/>
      <c r="I138" s="23"/>
      <c r="J138" s="23"/>
      <c r="K138" s="24"/>
    </row>
    <row r="139" spans="1:11" ht="13.9">
      <c r="A139" s="23"/>
      <c r="B139" s="23"/>
      <c r="C139" s="23"/>
      <c r="D139" s="23"/>
      <c r="E139" s="23"/>
      <c r="F139" s="23"/>
      <c r="G139" s="23"/>
      <c r="H139" s="24"/>
      <c r="I139" s="23"/>
      <c r="J139" s="23"/>
      <c r="K139" s="24"/>
    </row>
    <row r="140" spans="1:11" ht="13.9">
      <c r="A140" s="23"/>
      <c r="B140" s="23"/>
      <c r="C140" s="23"/>
      <c r="D140" s="23"/>
      <c r="E140" s="23"/>
      <c r="F140" s="23"/>
      <c r="G140" s="23"/>
      <c r="H140" s="24"/>
      <c r="I140" s="23"/>
      <c r="J140" s="23"/>
      <c r="K140" s="24"/>
    </row>
    <row r="141" spans="1:11" ht="13.9">
      <c r="A141" s="23"/>
      <c r="B141" s="23"/>
      <c r="C141" s="23"/>
      <c r="D141" s="23"/>
      <c r="E141" s="23"/>
      <c r="F141" s="23"/>
      <c r="G141" s="23"/>
      <c r="H141" s="24"/>
      <c r="I141" s="23"/>
      <c r="J141" s="23"/>
      <c r="K141" s="24"/>
    </row>
    <row r="142" spans="1:11" ht="13.9">
      <c r="A142" s="23"/>
      <c r="B142" s="23"/>
      <c r="C142" s="23"/>
      <c r="D142" s="23"/>
      <c r="E142" s="23"/>
      <c r="F142" s="23"/>
      <c r="G142" s="23"/>
      <c r="H142" s="24"/>
      <c r="I142" s="23"/>
      <c r="J142" s="23"/>
      <c r="K142" s="24"/>
    </row>
    <row r="143" spans="1:11" ht="13.9">
      <c r="A143" s="23"/>
      <c r="B143" s="23"/>
      <c r="C143" s="23"/>
      <c r="D143" s="23"/>
      <c r="E143" s="23"/>
      <c r="F143" s="23"/>
      <c r="G143" s="23"/>
      <c r="H143" s="24"/>
      <c r="I143" s="23"/>
      <c r="J143" s="23"/>
      <c r="K143" s="24"/>
    </row>
    <row r="144" spans="1:11" ht="13.9">
      <c r="A144" s="23"/>
      <c r="B144" s="23"/>
      <c r="C144" s="23"/>
      <c r="D144" s="23"/>
      <c r="E144" s="23"/>
      <c r="F144" s="23"/>
      <c r="G144" s="23"/>
      <c r="H144" s="24"/>
      <c r="I144" s="23"/>
      <c r="J144" s="23"/>
      <c r="K144" s="24"/>
    </row>
    <row r="145" spans="1:11" ht="13.9">
      <c r="A145" s="23"/>
      <c r="B145" s="23"/>
      <c r="C145" s="23"/>
      <c r="D145" s="23"/>
      <c r="E145" s="23"/>
      <c r="F145" s="23"/>
      <c r="G145" s="23"/>
      <c r="H145" s="24"/>
      <c r="I145" s="23"/>
      <c r="J145" s="23"/>
      <c r="K145" s="24"/>
    </row>
    <row r="146" spans="1:11" ht="13.9">
      <c r="A146" s="23"/>
      <c r="B146" s="23"/>
      <c r="C146" s="23"/>
      <c r="D146" s="23"/>
      <c r="E146" s="23"/>
      <c r="F146" s="23"/>
      <c r="G146" s="23"/>
      <c r="H146" s="24"/>
      <c r="I146" s="23"/>
      <c r="J146" s="23"/>
      <c r="K146" s="24"/>
    </row>
    <row r="147" spans="1:11" ht="13.9">
      <c r="A147" s="23"/>
      <c r="B147" s="23"/>
      <c r="C147" s="23"/>
      <c r="D147" s="23"/>
      <c r="E147" s="23"/>
      <c r="F147" s="23"/>
      <c r="G147" s="23"/>
      <c r="H147" s="24"/>
      <c r="I147" s="23"/>
      <c r="J147" s="23"/>
      <c r="K147" s="24"/>
    </row>
    <row r="148" spans="1:11" ht="13.9">
      <c r="A148" s="23"/>
      <c r="B148" s="23"/>
      <c r="C148" s="23"/>
      <c r="D148" s="23"/>
      <c r="E148" s="23"/>
      <c r="F148" s="23"/>
      <c r="G148" s="23"/>
      <c r="H148" s="24"/>
      <c r="I148" s="23"/>
      <c r="J148" s="23"/>
      <c r="K148" s="24"/>
    </row>
    <row r="149" spans="1:11" ht="13.9">
      <c r="A149" s="23"/>
      <c r="B149" s="23"/>
      <c r="C149" s="23"/>
      <c r="D149" s="23"/>
      <c r="E149" s="23"/>
      <c r="F149" s="23"/>
      <c r="G149" s="23"/>
      <c r="H149" s="24"/>
      <c r="I149" s="23"/>
      <c r="J149" s="23"/>
      <c r="K149" s="24"/>
    </row>
    <row r="150" spans="1:11" ht="13.9">
      <c r="A150" s="23"/>
      <c r="B150" s="23"/>
      <c r="C150" s="23"/>
      <c r="D150" s="23"/>
      <c r="E150" s="23"/>
      <c r="F150" s="23"/>
      <c r="G150" s="23"/>
      <c r="H150" s="24"/>
      <c r="I150" s="23"/>
      <c r="J150" s="23"/>
      <c r="K150" s="24"/>
    </row>
    <row r="151" spans="1:11" ht="13.9">
      <c r="A151" s="23"/>
      <c r="B151" s="23"/>
      <c r="C151" s="23"/>
      <c r="D151" s="23"/>
      <c r="E151" s="23"/>
      <c r="F151" s="23"/>
      <c r="G151" s="23"/>
      <c r="H151" s="24"/>
      <c r="I151" s="23"/>
      <c r="J151" s="23"/>
      <c r="K151" s="24"/>
    </row>
    <row r="152" spans="1:11" ht="13.9">
      <c r="A152" s="23"/>
      <c r="B152" s="23"/>
      <c r="C152" s="23"/>
      <c r="D152" s="23"/>
      <c r="E152" s="23"/>
      <c r="F152" s="23"/>
      <c r="G152" s="23"/>
      <c r="H152" s="24"/>
      <c r="I152" s="23"/>
      <c r="J152" s="23"/>
      <c r="K152" s="24"/>
    </row>
    <row r="153" spans="1:11" ht="13.9">
      <c r="A153" s="23"/>
      <c r="B153" s="23"/>
      <c r="C153" s="23"/>
      <c r="D153" s="23"/>
      <c r="E153" s="23"/>
      <c r="F153" s="23"/>
      <c r="G153" s="23"/>
      <c r="H153" s="24"/>
      <c r="I153" s="23"/>
      <c r="J153" s="23"/>
      <c r="K153" s="24"/>
    </row>
    <row r="154" spans="1:11" ht="13.9">
      <c r="A154" s="23"/>
      <c r="B154" s="23"/>
      <c r="C154" s="23"/>
      <c r="D154" s="23"/>
      <c r="E154" s="23"/>
      <c r="F154" s="23"/>
      <c r="G154" s="23"/>
      <c r="H154" s="24"/>
      <c r="I154" s="23"/>
      <c r="J154" s="23"/>
      <c r="K154" s="24"/>
    </row>
    <row r="155" spans="1:11" ht="13.9">
      <c r="A155" s="23"/>
      <c r="B155" s="23"/>
      <c r="C155" s="23"/>
      <c r="D155" s="23"/>
      <c r="E155" s="23"/>
      <c r="F155" s="23"/>
      <c r="G155" s="23"/>
      <c r="H155" s="24"/>
      <c r="I155" s="23"/>
      <c r="J155" s="23"/>
      <c r="K155" s="24"/>
    </row>
    <row r="156" spans="1:11" ht="13.9">
      <c r="A156" s="23"/>
      <c r="B156" s="23"/>
      <c r="C156" s="23"/>
      <c r="D156" s="23"/>
      <c r="E156" s="23"/>
      <c r="F156" s="23"/>
      <c r="G156" s="23"/>
      <c r="H156" s="24"/>
      <c r="I156" s="23"/>
      <c r="J156" s="23"/>
      <c r="K156" s="24"/>
    </row>
    <row r="157" spans="1:11" ht="13.9">
      <c r="A157" s="23"/>
      <c r="B157" s="23"/>
      <c r="C157" s="23"/>
      <c r="D157" s="23"/>
      <c r="E157" s="23"/>
      <c r="F157" s="23"/>
      <c r="G157" s="23"/>
      <c r="H157" s="24"/>
      <c r="I157" s="23"/>
      <c r="J157" s="23"/>
      <c r="K157" s="24"/>
    </row>
    <row r="158" spans="1:11" ht="13.9">
      <c r="A158" s="23"/>
      <c r="B158" s="23"/>
      <c r="C158" s="23"/>
      <c r="D158" s="23"/>
      <c r="E158" s="23"/>
      <c r="F158" s="23"/>
      <c r="G158" s="23"/>
      <c r="H158" s="24"/>
      <c r="I158" s="23"/>
      <c r="J158" s="23"/>
      <c r="K158" s="24"/>
    </row>
    <row r="159" spans="1:11" ht="13.9">
      <c r="A159" s="23"/>
      <c r="B159" s="23"/>
      <c r="C159" s="23"/>
      <c r="D159" s="23"/>
      <c r="E159" s="23"/>
      <c r="F159" s="23"/>
      <c r="G159" s="23"/>
      <c r="H159" s="24"/>
      <c r="I159" s="23"/>
      <c r="J159" s="23"/>
      <c r="K159" s="24"/>
    </row>
    <row r="160" spans="1:11" ht="13.9">
      <c r="A160" s="23"/>
      <c r="B160" s="23"/>
      <c r="C160" s="23"/>
      <c r="D160" s="23"/>
      <c r="E160" s="23"/>
      <c r="F160" s="23"/>
      <c r="G160" s="23"/>
      <c r="H160" s="24"/>
      <c r="I160" s="23"/>
      <c r="J160" s="23"/>
      <c r="K160" s="24"/>
    </row>
    <row r="161" spans="1:11" ht="13.9">
      <c r="A161" s="23"/>
      <c r="B161" s="23"/>
      <c r="C161" s="23"/>
      <c r="D161" s="23"/>
      <c r="E161" s="23"/>
      <c r="F161" s="23"/>
      <c r="G161" s="23"/>
      <c r="H161" s="24"/>
      <c r="I161" s="23"/>
      <c r="J161" s="23"/>
      <c r="K161" s="24"/>
    </row>
    <row r="162" spans="1:11" ht="13.9">
      <c r="A162" s="23"/>
      <c r="B162" s="23"/>
      <c r="C162" s="23"/>
      <c r="D162" s="23"/>
      <c r="E162" s="23"/>
      <c r="F162" s="23"/>
      <c r="G162" s="23"/>
      <c r="H162" s="24"/>
      <c r="I162" s="23"/>
      <c r="J162" s="23"/>
      <c r="K162" s="24"/>
    </row>
    <row r="163" spans="1:11" ht="13.9">
      <c r="A163" s="23"/>
      <c r="B163" s="23"/>
      <c r="C163" s="23"/>
      <c r="D163" s="23"/>
      <c r="E163" s="23"/>
      <c r="F163" s="23"/>
      <c r="G163" s="23"/>
      <c r="H163" s="24"/>
      <c r="I163" s="23"/>
      <c r="J163" s="23"/>
      <c r="K163" s="24"/>
    </row>
    <row r="164" spans="1:11" ht="13.9">
      <c r="A164" s="23"/>
      <c r="B164" s="23"/>
      <c r="C164" s="23"/>
      <c r="D164" s="23"/>
      <c r="E164" s="23"/>
      <c r="F164" s="23"/>
      <c r="G164" s="23"/>
      <c r="H164" s="24"/>
      <c r="I164" s="23"/>
      <c r="J164" s="23"/>
      <c r="K164" s="24"/>
    </row>
    <row r="165" spans="1:11" ht="13.9">
      <c r="A165" s="23"/>
      <c r="B165" s="23"/>
      <c r="C165" s="23"/>
      <c r="D165" s="23"/>
      <c r="E165" s="23"/>
      <c r="F165" s="23"/>
      <c r="G165" s="23"/>
      <c r="H165" s="24"/>
      <c r="I165" s="23"/>
      <c r="J165" s="23"/>
      <c r="K165" s="24"/>
    </row>
    <row r="166" spans="1:11" ht="13.9">
      <c r="A166" s="23"/>
      <c r="B166" s="23"/>
      <c r="C166" s="23"/>
      <c r="D166" s="23"/>
      <c r="E166" s="23"/>
      <c r="F166" s="23"/>
      <c r="G166" s="23"/>
      <c r="H166" s="24"/>
      <c r="I166" s="23"/>
      <c r="J166" s="23"/>
      <c r="K166" s="24"/>
    </row>
    <row r="167" spans="1:11" ht="13.9">
      <c r="A167" s="23"/>
      <c r="B167" s="23"/>
      <c r="C167" s="23"/>
      <c r="D167" s="23"/>
      <c r="E167" s="23"/>
      <c r="F167" s="23"/>
      <c r="G167" s="23"/>
      <c r="H167" s="24"/>
      <c r="I167" s="23"/>
      <c r="J167" s="23"/>
      <c r="K167" s="24"/>
    </row>
    <row r="168" spans="1:11" ht="13.9">
      <c r="A168" s="23"/>
      <c r="B168" s="23"/>
      <c r="C168" s="23"/>
      <c r="D168" s="23"/>
      <c r="E168" s="23"/>
      <c r="F168" s="23"/>
      <c r="G168" s="23"/>
      <c r="H168" s="24"/>
      <c r="I168" s="23"/>
      <c r="J168" s="23"/>
      <c r="K168" s="24"/>
    </row>
    <row r="169" spans="1:11" ht="13.9">
      <c r="A169" s="23"/>
      <c r="B169" s="23"/>
      <c r="C169" s="23"/>
      <c r="D169" s="23"/>
      <c r="E169" s="23"/>
      <c r="F169" s="23"/>
      <c r="G169" s="23"/>
      <c r="H169" s="24"/>
      <c r="I169" s="23"/>
      <c r="J169" s="23"/>
      <c r="K169" s="24"/>
    </row>
    <row r="170" spans="1:11" ht="13.9">
      <c r="A170" s="23"/>
      <c r="B170" s="23"/>
      <c r="C170" s="23"/>
      <c r="D170" s="23"/>
      <c r="E170" s="23"/>
      <c r="F170" s="23"/>
      <c r="G170" s="23"/>
      <c r="H170" s="24"/>
      <c r="I170" s="23"/>
      <c r="J170" s="23"/>
      <c r="K170" s="24"/>
    </row>
    <row r="171" spans="1:11" ht="13.9">
      <c r="A171" s="23"/>
      <c r="B171" s="23"/>
      <c r="C171" s="23"/>
      <c r="D171" s="23"/>
      <c r="E171" s="23"/>
      <c r="F171" s="23"/>
      <c r="G171" s="23"/>
      <c r="H171" s="24"/>
      <c r="I171" s="23"/>
      <c r="J171" s="23"/>
      <c r="K171" s="24"/>
    </row>
    <row r="172" spans="1:11" ht="13.9">
      <c r="A172" s="23"/>
      <c r="B172" s="23"/>
      <c r="C172" s="23"/>
      <c r="D172" s="23"/>
      <c r="E172" s="23"/>
      <c r="F172" s="23"/>
      <c r="G172" s="23"/>
      <c r="H172" s="24"/>
      <c r="I172" s="23"/>
      <c r="J172" s="23"/>
      <c r="K172" s="24"/>
    </row>
    <row r="173" spans="1:11" ht="13.9">
      <c r="A173" s="23"/>
      <c r="B173" s="23"/>
      <c r="C173" s="23"/>
      <c r="D173" s="23"/>
      <c r="E173" s="23"/>
      <c r="F173" s="23"/>
      <c r="G173" s="23"/>
      <c r="H173" s="24"/>
      <c r="I173" s="23"/>
      <c r="J173" s="23"/>
      <c r="K173" s="24"/>
    </row>
    <row r="174" spans="1:11" ht="13.9">
      <c r="A174" s="23"/>
      <c r="B174" s="23"/>
      <c r="C174" s="23"/>
      <c r="D174" s="23"/>
      <c r="E174" s="23"/>
      <c r="F174" s="23"/>
      <c r="G174" s="23"/>
      <c r="H174" s="24"/>
      <c r="I174" s="23"/>
      <c r="J174" s="23"/>
      <c r="K174" s="24"/>
    </row>
    <row r="175" spans="1:11" ht="13.9">
      <c r="A175" s="23"/>
      <c r="B175" s="23"/>
      <c r="C175" s="23"/>
      <c r="D175" s="23"/>
      <c r="E175" s="23"/>
      <c r="F175" s="23"/>
      <c r="G175" s="23"/>
      <c r="H175" s="24"/>
      <c r="I175" s="23"/>
      <c r="J175" s="23"/>
      <c r="K175" s="24"/>
    </row>
    <row r="176" spans="1:11" ht="13.9">
      <c r="A176" s="23"/>
      <c r="B176" s="23"/>
      <c r="C176" s="23"/>
      <c r="D176" s="23"/>
      <c r="E176" s="23"/>
      <c r="F176" s="23"/>
      <c r="G176" s="23"/>
      <c r="H176" s="24"/>
      <c r="I176" s="23"/>
      <c r="J176" s="23"/>
      <c r="K176" s="24"/>
    </row>
    <row r="177" spans="1:11" ht="13.9">
      <c r="A177" s="23"/>
      <c r="B177" s="23"/>
      <c r="C177" s="23"/>
      <c r="D177" s="23"/>
      <c r="E177" s="23"/>
      <c r="F177" s="23"/>
      <c r="G177" s="23"/>
      <c r="H177" s="24"/>
      <c r="I177" s="23"/>
      <c r="J177" s="23"/>
      <c r="K177" s="24"/>
    </row>
    <row r="178" spans="1:11" ht="13.9">
      <c r="A178" s="23"/>
      <c r="B178" s="23"/>
      <c r="C178" s="23"/>
      <c r="D178" s="23"/>
      <c r="E178" s="23"/>
      <c r="F178" s="23"/>
      <c r="G178" s="23"/>
      <c r="H178" s="24"/>
      <c r="I178" s="23"/>
      <c r="J178" s="23"/>
      <c r="K178" s="24"/>
    </row>
    <row r="179" spans="1:11" ht="13.9">
      <c r="A179" s="23"/>
      <c r="B179" s="23"/>
      <c r="C179" s="23"/>
      <c r="D179" s="23"/>
      <c r="E179" s="23"/>
      <c r="F179" s="23"/>
      <c r="G179" s="23"/>
      <c r="H179" s="24"/>
      <c r="I179" s="23"/>
      <c r="J179" s="23"/>
      <c r="K179" s="24"/>
    </row>
    <row r="180" spans="1:11" ht="13.9">
      <c r="A180" s="23"/>
      <c r="B180" s="23"/>
      <c r="C180" s="23"/>
      <c r="D180" s="23"/>
      <c r="E180" s="23"/>
      <c r="F180" s="23"/>
      <c r="G180" s="23"/>
      <c r="H180" s="24"/>
      <c r="I180" s="23"/>
      <c r="J180" s="23"/>
      <c r="K180" s="24"/>
    </row>
    <row r="181" spans="1:11" ht="13.9">
      <c r="A181" s="23"/>
      <c r="B181" s="23"/>
      <c r="C181" s="23"/>
      <c r="D181" s="23"/>
      <c r="E181" s="23"/>
      <c r="F181" s="23"/>
      <c r="G181" s="23"/>
      <c r="H181" s="24"/>
      <c r="I181" s="23"/>
      <c r="J181" s="23"/>
      <c r="K181" s="24"/>
    </row>
    <row r="182" spans="1:11" ht="13.9">
      <c r="A182" s="23"/>
      <c r="B182" s="23"/>
      <c r="C182" s="23"/>
      <c r="D182" s="23"/>
      <c r="E182" s="23"/>
      <c r="F182" s="23"/>
      <c r="G182" s="23"/>
      <c r="H182" s="24"/>
      <c r="I182" s="23"/>
      <c r="J182" s="23"/>
      <c r="K182" s="24"/>
    </row>
    <row r="183" spans="1:11" ht="13.9">
      <c r="A183" s="23"/>
      <c r="B183" s="23"/>
      <c r="C183" s="23"/>
      <c r="D183" s="23"/>
      <c r="E183" s="23"/>
      <c r="F183" s="23"/>
      <c r="G183" s="23"/>
      <c r="H183" s="24"/>
      <c r="I183" s="23"/>
      <c r="J183" s="23"/>
      <c r="K183" s="24"/>
    </row>
    <row r="184" spans="1:11" ht="13.9">
      <c r="A184" s="23"/>
      <c r="B184" s="23"/>
      <c r="C184" s="23"/>
      <c r="D184" s="23"/>
      <c r="E184" s="23"/>
      <c r="F184" s="23"/>
      <c r="G184" s="23"/>
      <c r="H184" s="24"/>
      <c r="I184" s="23"/>
      <c r="J184" s="23"/>
      <c r="K184" s="24"/>
    </row>
    <row r="185" spans="1:11" ht="13.9">
      <c r="A185" s="23"/>
      <c r="B185" s="23"/>
      <c r="C185" s="23"/>
      <c r="D185" s="23"/>
      <c r="E185" s="23"/>
      <c r="F185" s="23"/>
      <c r="G185" s="23"/>
      <c r="H185" s="24"/>
      <c r="I185" s="23"/>
      <c r="J185" s="23"/>
      <c r="K185" s="24"/>
    </row>
    <row r="186" spans="1:11" ht="13.9">
      <c r="A186" s="23"/>
      <c r="B186" s="23"/>
      <c r="C186" s="23"/>
      <c r="D186" s="23"/>
      <c r="E186" s="23"/>
      <c r="F186" s="23"/>
      <c r="G186" s="23"/>
      <c r="H186" s="24"/>
      <c r="I186" s="23"/>
      <c r="J186" s="23"/>
      <c r="K186" s="24"/>
    </row>
    <row r="187" spans="1:11" ht="13.9">
      <c r="A187" s="23"/>
      <c r="B187" s="23"/>
      <c r="C187" s="23"/>
      <c r="D187" s="23"/>
      <c r="E187" s="23"/>
      <c r="F187" s="23"/>
      <c r="G187" s="23"/>
      <c r="H187" s="24"/>
      <c r="I187" s="23"/>
      <c r="J187" s="23"/>
      <c r="K187" s="24"/>
    </row>
    <row r="188" spans="1:11" ht="13.9">
      <c r="A188" s="23"/>
      <c r="B188" s="23"/>
      <c r="C188" s="23"/>
      <c r="D188" s="23"/>
      <c r="E188" s="23"/>
      <c r="F188" s="23"/>
      <c r="G188" s="23"/>
      <c r="H188" s="24"/>
      <c r="I188" s="23"/>
      <c r="J188" s="23"/>
      <c r="K188" s="24"/>
    </row>
    <row r="189" spans="1:11" ht="13.9">
      <c r="A189" s="23"/>
      <c r="B189" s="23"/>
      <c r="C189" s="23"/>
      <c r="D189" s="23"/>
      <c r="E189" s="23"/>
      <c r="F189" s="23"/>
      <c r="G189" s="23"/>
      <c r="H189" s="24"/>
      <c r="I189" s="23"/>
      <c r="J189" s="23"/>
      <c r="K189" s="24"/>
    </row>
    <row r="190" spans="1:11" ht="13.9">
      <c r="A190" s="23"/>
      <c r="B190" s="23"/>
      <c r="C190" s="23"/>
      <c r="D190" s="23"/>
      <c r="E190" s="23"/>
      <c r="F190" s="23"/>
      <c r="G190" s="23"/>
      <c r="H190" s="24"/>
      <c r="I190" s="23"/>
      <c r="J190" s="23"/>
      <c r="K190" s="24"/>
    </row>
    <row r="191" spans="1:11" ht="13.9">
      <c r="A191" s="23"/>
      <c r="B191" s="23"/>
      <c r="C191" s="23"/>
      <c r="D191" s="23"/>
      <c r="E191" s="23"/>
      <c r="F191" s="23"/>
      <c r="G191" s="23"/>
      <c r="H191" s="24"/>
      <c r="I191" s="23"/>
      <c r="J191" s="23"/>
      <c r="K191" s="24"/>
    </row>
    <row r="192" spans="1:11" ht="13.9">
      <c r="A192" s="23"/>
      <c r="B192" s="23"/>
      <c r="C192" s="23"/>
      <c r="D192" s="23"/>
      <c r="E192" s="23"/>
      <c r="F192" s="23"/>
      <c r="G192" s="23"/>
      <c r="H192" s="24"/>
      <c r="I192" s="23"/>
      <c r="J192" s="23"/>
      <c r="K192" s="24"/>
    </row>
    <row r="193" spans="1:11" ht="13.9">
      <c r="A193" s="23"/>
      <c r="B193" s="23"/>
      <c r="C193" s="23"/>
      <c r="D193" s="23"/>
      <c r="E193" s="23"/>
      <c r="F193" s="23"/>
      <c r="G193" s="23"/>
      <c r="H193" s="24"/>
      <c r="I193" s="23"/>
      <c r="J193" s="23"/>
      <c r="K193" s="24"/>
    </row>
    <row r="194" spans="1:11" ht="13.9">
      <c r="A194" s="23"/>
      <c r="B194" s="23"/>
      <c r="C194" s="23"/>
      <c r="D194" s="23"/>
      <c r="E194" s="23"/>
      <c r="F194" s="23"/>
      <c r="G194" s="23"/>
      <c r="H194" s="24"/>
      <c r="I194" s="23"/>
      <c r="J194" s="23"/>
      <c r="K194" s="24"/>
    </row>
    <row r="195" spans="1:11" ht="13.9">
      <c r="A195" s="23"/>
      <c r="B195" s="23"/>
      <c r="C195" s="23"/>
      <c r="D195" s="23"/>
      <c r="E195" s="23"/>
      <c r="F195" s="23"/>
      <c r="G195" s="23"/>
      <c r="H195" s="24"/>
      <c r="I195" s="23"/>
      <c r="J195" s="23"/>
      <c r="K195" s="24"/>
    </row>
    <row r="196" spans="1:11" ht="13.9">
      <c r="A196" s="23"/>
      <c r="B196" s="23"/>
      <c r="C196" s="23"/>
      <c r="D196" s="23"/>
      <c r="E196" s="23"/>
      <c r="F196" s="23"/>
      <c r="G196" s="23"/>
      <c r="H196" s="24"/>
      <c r="I196" s="23"/>
      <c r="J196" s="23"/>
      <c r="K196" s="24"/>
    </row>
    <row r="197" spans="1:11" ht="13.9">
      <c r="A197" s="23"/>
      <c r="B197" s="23"/>
      <c r="C197" s="23"/>
      <c r="D197" s="23"/>
      <c r="E197" s="23"/>
      <c r="F197" s="23"/>
      <c r="G197" s="23"/>
      <c r="H197" s="24"/>
      <c r="I197" s="23"/>
      <c r="J197" s="23"/>
      <c r="K197" s="24"/>
    </row>
    <row r="198" spans="1:11" ht="13.9">
      <c r="A198" s="23"/>
      <c r="B198" s="23"/>
      <c r="C198" s="23"/>
      <c r="D198" s="23"/>
      <c r="E198" s="23"/>
      <c r="F198" s="23"/>
      <c r="G198" s="23"/>
      <c r="H198" s="24"/>
      <c r="I198" s="23"/>
      <c r="J198" s="23"/>
      <c r="K198" s="24"/>
    </row>
    <row r="199" spans="1:11" ht="13.9">
      <c r="A199" s="23"/>
      <c r="B199" s="23"/>
      <c r="C199" s="23"/>
      <c r="D199" s="23"/>
      <c r="E199" s="23"/>
      <c r="F199" s="23"/>
      <c r="G199" s="23"/>
      <c r="H199" s="24"/>
      <c r="I199" s="23"/>
      <c r="J199" s="23"/>
      <c r="K199" s="24"/>
    </row>
    <row r="200" spans="1:11" ht="13.9">
      <c r="A200" s="23"/>
      <c r="B200" s="23"/>
      <c r="C200" s="23"/>
      <c r="D200" s="23"/>
      <c r="E200" s="23"/>
      <c r="F200" s="23"/>
      <c r="G200" s="23"/>
      <c r="H200" s="24"/>
      <c r="I200" s="23"/>
      <c r="J200" s="23"/>
      <c r="K200" s="24"/>
    </row>
    <row r="201" spans="1:11" ht="13.9">
      <c r="A201" s="23"/>
      <c r="B201" s="23"/>
      <c r="C201" s="23"/>
      <c r="D201" s="23"/>
      <c r="E201" s="23"/>
      <c r="F201" s="23"/>
      <c r="G201" s="23"/>
      <c r="H201" s="24"/>
      <c r="I201" s="23"/>
      <c r="J201" s="23"/>
      <c r="K201" s="24"/>
    </row>
    <row r="202" spans="1:11" ht="13.9">
      <c r="A202" s="23"/>
      <c r="B202" s="23"/>
      <c r="C202" s="23"/>
      <c r="D202" s="23"/>
      <c r="E202" s="23"/>
      <c r="F202" s="23"/>
      <c r="G202" s="23"/>
      <c r="H202" s="24"/>
      <c r="I202" s="23"/>
      <c r="J202" s="23"/>
      <c r="K202" s="24"/>
    </row>
    <row r="203" spans="1:11" ht="13.9">
      <c r="A203" s="23"/>
      <c r="B203" s="23"/>
      <c r="C203" s="23"/>
      <c r="D203" s="23"/>
      <c r="E203" s="23"/>
      <c r="F203" s="23"/>
      <c r="G203" s="23"/>
      <c r="H203" s="24"/>
      <c r="I203" s="23"/>
      <c r="J203" s="23"/>
      <c r="K203" s="24"/>
    </row>
    <row r="204" spans="1:11" ht="13.9">
      <c r="A204" s="23"/>
      <c r="B204" s="23"/>
      <c r="C204" s="23"/>
      <c r="D204" s="23"/>
      <c r="E204" s="23"/>
      <c r="F204" s="23"/>
      <c r="G204" s="23"/>
      <c r="H204" s="24"/>
      <c r="I204" s="23"/>
      <c r="J204" s="23"/>
      <c r="K204" s="24"/>
    </row>
    <row r="205" spans="1:11" ht="13.9">
      <c r="A205" s="23"/>
      <c r="B205" s="23"/>
      <c r="C205" s="23"/>
      <c r="D205" s="23"/>
      <c r="E205" s="23"/>
      <c r="F205" s="23"/>
      <c r="G205" s="23"/>
      <c r="H205" s="24"/>
      <c r="I205" s="23"/>
      <c r="J205" s="23"/>
      <c r="K205" s="24"/>
    </row>
    <row r="206" spans="1:11" ht="13.9">
      <c r="A206" s="23"/>
      <c r="B206" s="23"/>
      <c r="C206" s="23"/>
      <c r="D206" s="23"/>
      <c r="E206" s="23"/>
      <c r="F206" s="23"/>
      <c r="G206" s="23"/>
      <c r="H206" s="24"/>
      <c r="I206" s="23"/>
      <c r="J206" s="23"/>
      <c r="K206" s="24"/>
    </row>
    <row r="207" spans="1:11" ht="13.9">
      <c r="A207" s="23"/>
      <c r="B207" s="23"/>
      <c r="C207" s="23"/>
      <c r="D207" s="23"/>
      <c r="E207" s="23"/>
      <c r="F207" s="23"/>
      <c r="G207" s="23"/>
      <c r="H207" s="24"/>
      <c r="I207" s="23"/>
      <c r="J207" s="23"/>
      <c r="K207" s="24"/>
    </row>
    <row r="208" spans="1:11" ht="13.9">
      <c r="A208" s="23"/>
      <c r="B208" s="23"/>
      <c r="C208" s="23"/>
      <c r="D208" s="23"/>
      <c r="E208" s="23"/>
      <c r="F208" s="23"/>
      <c r="G208" s="23"/>
      <c r="H208" s="24"/>
      <c r="I208" s="23"/>
      <c r="J208" s="23"/>
      <c r="K208" s="24"/>
    </row>
    <row r="209" spans="1:11" ht="13.9">
      <c r="A209" s="23"/>
      <c r="B209" s="23"/>
      <c r="C209" s="23"/>
      <c r="D209" s="23"/>
      <c r="E209" s="23"/>
      <c r="F209" s="23"/>
      <c r="G209" s="23"/>
      <c r="H209" s="24"/>
      <c r="I209" s="23"/>
      <c r="J209" s="23"/>
      <c r="K209" s="24"/>
    </row>
    <row r="210" spans="1:11" ht="13.9">
      <c r="A210" s="23"/>
      <c r="B210" s="23"/>
      <c r="C210" s="23"/>
      <c r="D210" s="23"/>
      <c r="E210" s="23"/>
      <c r="F210" s="23"/>
      <c r="G210" s="23"/>
      <c r="H210" s="24"/>
      <c r="I210" s="23"/>
      <c r="J210" s="23"/>
      <c r="K210" s="24"/>
    </row>
    <row r="211" spans="1:11" ht="13.9">
      <c r="A211" s="23"/>
      <c r="B211" s="23"/>
      <c r="C211" s="23"/>
      <c r="D211" s="23"/>
      <c r="E211" s="23"/>
      <c r="F211" s="23"/>
      <c r="G211" s="23"/>
      <c r="H211" s="24"/>
      <c r="I211" s="23"/>
      <c r="J211" s="23"/>
      <c r="K211" s="24"/>
    </row>
    <row r="212" spans="1:11" ht="13.9">
      <c r="A212" s="23"/>
      <c r="B212" s="23"/>
      <c r="C212" s="23"/>
      <c r="D212" s="23"/>
      <c r="E212" s="23"/>
      <c r="F212" s="23"/>
      <c r="G212" s="23"/>
      <c r="H212" s="24"/>
      <c r="I212" s="23"/>
      <c r="J212" s="23"/>
      <c r="K212" s="24"/>
    </row>
    <row r="213" spans="1:11" ht="13.9">
      <c r="A213" s="23"/>
      <c r="B213" s="23"/>
      <c r="C213" s="23"/>
      <c r="D213" s="23"/>
      <c r="E213" s="23"/>
      <c r="F213" s="23"/>
      <c r="G213" s="23"/>
      <c r="H213" s="24"/>
      <c r="I213" s="23"/>
      <c r="J213" s="23"/>
      <c r="K213" s="24"/>
    </row>
    <row r="214" spans="1:11" ht="13.9">
      <c r="A214" s="23"/>
      <c r="B214" s="23"/>
      <c r="C214" s="23"/>
      <c r="D214" s="23"/>
      <c r="E214" s="23"/>
      <c r="F214" s="23"/>
      <c r="G214" s="23"/>
      <c r="H214" s="24"/>
      <c r="I214" s="23"/>
      <c r="J214" s="23"/>
      <c r="K214" s="24"/>
    </row>
    <row r="215" spans="1:11" ht="13.9">
      <c r="A215" s="23"/>
      <c r="B215" s="23"/>
      <c r="C215" s="23"/>
      <c r="D215" s="23"/>
      <c r="E215" s="23"/>
      <c r="F215" s="23"/>
      <c r="G215" s="23"/>
      <c r="H215" s="24"/>
      <c r="I215" s="23"/>
      <c r="J215" s="23"/>
      <c r="K215" s="24"/>
    </row>
    <row r="216" spans="1:11" ht="13.9">
      <c r="A216" s="23"/>
      <c r="B216" s="23"/>
      <c r="C216" s="23"/>
      <c r="D216" s="23"/>
      <c r="E216" s="23"/>
      <c r="F216" s="23"/>
      <c r="G216" s="23"/>
      <c r="H216" s="24"/>
      <c r="I216" s="23"/>
      <c r="J216" s="23"/>
      <c r="K216" s="24"/>
    </row>
    <row r="217" spans="1:11" ht="13.9">
      <c r="A217" s="23"/>
      <c r="B217" s="23"/>
      <c r="C217" s="23"/>
      <c r="D217" s="23"/>
      <c r="E217" s="23"/>
      <c r="F217" s="23"/>
      <c r="G217" s="23"/>
      <c r="H217" s="24"/>
      <c r="I217" s="23"/>
      <c r="J217" s="23"/>
      <c r="K217" s="24"/>
    </row>
    <row r="218" spans="1:11" ht="13.9">
      <c r="A218" s="23"/>
      <c r="B218" s="23"/>
      <c r="C218" s="23"/>
      <c r="D218" s="23"/>
      <c r="E218" s="23"/>
      <c r="F218" s="23"/>
      <c r="G218" s="23"/>
      <c r="H218" s="24"/>
      <c r="I218" s="23"/>
      <c r="J218" s="23"/>
      <c r="K218" s="24"/>
    </row>
    <row r="219" spans="1:11" ht="13.9">
      <c r="A219" s="23"/>
      <c r="B219" s="23"/>
      <c r="C219" s="23"/>
      <c r="D219" s="23"/>
      <c r="E219" s="23"/>
      <c r="F219" s="23"/>
      <c r="G219" s="23"/>
      <c r="H219" s="24"/>
      <c r="I219" s="23"/>
      <c r="J219" s="23"/>
      <c r="K219" s="24"/>
    </row>
    <row r="220" spans="1:11" ht="13.9">
      <c r="A220" s="23"/>
      <c r="B220" s="23"/>
      <c r="C220" s="23"/>
      <c r="D220" s="23"/>
      <c r="E220" s="23"/>
      <c r="F220" s="23"/>
      <c r="G220" s="23"/>
      <c r="H220" s="24"/>
      <c r="I220" s="23"/>
      <c r="J220" s="23"/>
      <c r="K220" s="24"/>
    </row>
    <row r="221" spans="1:11" ht="13.9">
      <c r="A221" s="23"/>
      <c r="B221" s="23"/>
      <c r="C221" s="23"/>
      <c r="D221" s="23"/>
      <c r="E221" s="23"/>
      <c r="F221" s="23"/>
      <c r="G221" s="23"/>
      <c r="H221" s="24"/>
      <c r="I221" s="23"/>
      <c r="J221" s="23"/>
      <c r="K221" s="24"/>
    </row>
    <row r="222" spans="1:11" ht="13.9">
      <c r="A222" s="23"/>
      <c r="B222" s="23"/>
      <c r="C222" s="23"/>
      <c r="D222" s="23"/>
      <c r="E222" s="23"/>
      <c r="F222" s="23"/>
      <c r="G222" s="23"/>
      <c r="H222" s="24"/>
      <c r="I222" s="23"/>
      <c r="J222" s="23"/>
      <c r="K222" s="24"/>
    </row>
    <row r="223" spans="1:11" ht="13.9">
      <c r="A223" s="23"/>
      <c r="B223" s="23"/>
      <c r="C223" s="23"/>
      <c r="D223" s="23"/>
      <c r="E223" s="23"/>
      <c r="F223" s="23"/>
      <c r="G223" s="23"/>
      <c r="H223" s="24"/>
      <c r="I223" s="23"/>
      <c r="J223" s="23"/>
      <c r="K223" s="24"/>
    </row>
    <row r="224" spans="1:11" ht="13.9">
      <c r="A224" s="23"/>
      <c r="B224" s="23"/>
      <c r="C224" s="23"/>
      <c r="D224" s="23"/>
      <c r="E224" s="23"/>
      <c r="F224" s="23"/>
      <c r="G224" s="23"/>
      <c r="H224" s="24"/>
      <c r="I224" s="23"/>
      <c r="J224" s="23"/>
      <c r="K224" s="24"/>
    </row>
    <row r="225" spans="1:11" ht="13.9">
      <c r="A225" s="23"/>
      <c r="B225" s="23"/>
      <c r="C225" s="23"/>
      <c r="D225" s="23"/>
      <c r="E225" s="23"/>
      <c r="F225" s="23"/>
      <c r="G225" s="23"/>
      <c r="H225" s="24"/>
      <c r="I225" s="23"/>
      <c r="J225" s="23"/>
      <c r="K225" s="24"/>
    </row>
    <row r="226" spans="1:11" ht="13.9">
      <c r="A226" s="23"/>
      <c r="B226" s="23"/>
      <c r="C226" s="23"/>
      <c r="D226" s="23"/>
      <c r="E226" s="23"/>
      <c r="F226" s="23"/>
      <c r="G226" s="23"/>
      <c r="H226" s="24"/>
      <c r="I226" s="23"/>
      <c r="J226" s="23"/>
      <c r="K226" s="24"/>
    </row>
    <row r="227" spans="1:11" ht="13.9">
      <c r="A227" s="23"/>
      <c r="B227" s="23"/>
      <c r="C227" s="23"/>
      <c r="D227" s="23"/>
      <c r="E227" s="23"/>
      <c r="F227" s="23"/>
      <c r="G227" s="23"/>
      <c r="H227" s="24"/>
      <c r="I227" s="23"/>
      <c r="J227" s="23"/>
      <c r="K227" s="24"/>
    </row>
    <row r="228" spans="1:11" ht="13.9">
      <c r="A228" s="23"/>
      <c r="B228" s="23"/>
      <c r="C228" s="23"/>
      <c r="D228" s="23"/>
      <c r="E228" s="23"/>
      <c r="F228" s="23"/>
      <c r="G228" s="23"/>
      <c r="H228" s="24"/>
      <c r="I228" s="23"/>
      <c r="J228" s="23"/>
      <c r="K228" s="24"/>
    </row>
    <row r="229" spans="1:11" ht="13.9">
      <c r="A229" s="23"/>
      <c r="B229" s="23"/>
      <c r="C229" s="23"/>
      <c r="D229" s="23"/>
      <c r="E229" s="23"/>
      <c r="F229" s="23"/>
      <c r="G229" s="23"/>
      <c r="H229" s="24"/>
      <c r="I229" s="23"/>
      <c r="J229" s="23"/>
      <c r="K229" s="24"/>
    </row>
    <row r="230" spans="1:11" ht="13.9">
      <c r="A230" s="23"/>
      <c r="B230" s="23"/>
      <c r="C230" s="23"/>
      <c r="D230" s="23"/>
      <c r="E230" s="23"/>
      <c r="F230" s="23"/>
      <c r="G230" s="23"/>
      <c r="H230" s="24"/>
      <c r="I230" s="23"/>
      <c r="J230" s="23"/>
      <c r="K230" s="24"/>
    </row>
    <row r="231" spans="1:11" ht="13.9">
      <c r="A231" s="23"/>
      <c r="B231" s="23"/>
      <c r="C231" s="23"/>
      <c r="D231" s="23"/>
      <c r="E231" s="23"/>
      <c r="F231" s="23"/>
      <c r="G231" s="23"/>
      <c r="H231" s="24"/>
      <c r="I231" s="23"/>
      <c r="J231" s="23"/>
      <c r="K231" s="24"/>
    </row>
    <row r="232" spans="1:11" ht="13.9">
      <c r="A232" s="23"/>
      <c r="B232" s="23"/>
      <c r="C232" s="23"/>
      <c r="D232" s="23"/>
      <c r="E232" s="23"/>
      <c r="F232" s="23"/>
      <c r="G232" s="23"/>
      <c r="H232" s="24"/>
      <c r="I232" s="23"/>
      <c r="J232" s="23"/>
      <c r="K232" s="24"/>
    </row>
    <row r="233" spans="1:11" ht="13.9">
      <c r="A233" s="23"/>
      <c r="B233" s="23"/>
      <c r="C233" s="23"/>
      <c r="D233" s="23"/>
      <c r="E233" s="23"/>
      <c r="F233" s="23"/>
      <c r="G233" s="23"/>
      <c r="H233" s="24"/>
      <c r="I233" s="23"/>
      <c r="J233" s="23"/>
      <c r="K233" s="24"/>
    </row>
    <row r="234" spans="1:11" ht="13.9">
      <c r="A234" s="23"/>
      <c r="B234" s="23"/>
      <c r="C234" s="23"/>
      <c r="D234" s="23"/>
      <c r="E234" s="23"/>
      <c r="F234" s="23"/>
      <c r="G234" s="23"/>
      <c r="H234" s="24"/>
      <c r="I234" s="23"/>
      <c r="J234" s="23"/>
      <c r="K234" s="24"/>
    </row>
    <row r="235" spans="1:11" ht="13.9">
      <c r="A235" s="23"/>
      <c r="B235" s="23"/>
      <c r="C235" s="23"/>
      <c r="D235" s="23"/>
      <c r="E235" s="23"/>
      <c r="F235" s="23"/>
      <c r="G235" s="23"/>
      <c r="H235" s="24"/>
      <c r="I235" s="23"/>
      <c r="J235" s="23"/>
      <c r="K235" s="24"/>
    </row>
    <row r="236" spans="1:11" ht="13.9">
      <c r="A236" s="23"/>
      <c r="B236" s="23"/>
      <c r="C236" s="23"/>
      <c r="D236" s="23"/>
      <c r="E236" s="23"/>
      <c r="F236" s="23"/>
      <c r="G236" s="23"/>
      <c r="H236" s="24"/>
      <c r="I236" s="23"/>
      <c r="J236" s="23"/>
      <c r="K236" s="24"/>
    </row>
    <row r="237" spans="1:11" ht="13.9">
      <c r="A237" s="23"/>
      <c r="B237" s="23"/>
      <c r="C237" s="23"/>
      <c r="D237" s="23"/>
      <c r="E237" s="23"/>
      <c r="F237" s="23"/>
      <c r="G237" s="23"/>
      <c r="H237" s="24"/>
      <c r="I237" s="23"/>
      <c r="J237" s="23"/>
      <c r="K237" s="24"/>
    </row>
    <row r="238" spans="1:11" ht="13.9">
      <c r="A238" s="23"/>
      <c r="B238" s="23"/>
      <c r="C238" s="23"/>
      <c r="D238" s="23"/>
      <c r="E238" s="23"/>
      <c r="F238" s="23"/>
      <c r="G238" s="23"/>
      <c r="H238" s="24"/>
      <c r="I238" s="23"/>
      <c r="J238" s="23"/>
      <c r="K238" s="24"/>
    </row>
    <row r="239" spans="1:11" ht="13.9">
      <c r="A239" s="23"/>
      <c r="B239" s="23"/>
      <c r="C239" s="23"/>
      <c r="D239" s="23"/>
      <c r="E239" s="23"/>
      <c r="F239" s="23"/>
      <c r="G239" s="23"/>
      <c r="H239" s="24"/>
      <c r="I239" s="23"/>
      <c r="J239" s="23"/>
      <c r="K239" s="24"/>
    </row>
    <row r="240" spans="1:11" ht="13.9">
      <c r="A240" s="23"/>
      <c r="B240" s="23"/>
      <c r="C240" s="23"/>
      <c r="D240" s="23"/>
      <c r="E240" s="23"/>
      <c r="F240" s="23"/>
      <c r="G240" s="23"/>
      <c r="H240" s="24"/>
      <c r="I240" s="23"/>
      <c r="J240" s="23"/>
      <c r="K240" s="24"/>
    </row>
    <row r="241" spans="1:11" ht="13.9">
      <c r="A241" s="23"/>
      <c r="B241" s="23"/>
      <c r="C241" s="23"/>
      <c r="D241" s="23"/>
      <c r="E241" s="23"/>
      <c r="F241" s="23"/>
      <c r="G241" s="23"/>
      <c r="H241" s="24"/>
      <c r="I241" s="23"/>
      <c r="J241" s="23"/>
      <c r="K241" s="24"/>
    </row>
    <row r="242" spans="1:11" ht="13.9">
      <c r="A242" s="23"/>
      <c r="B242" s="23"/>
      <c r="C242" s="23"/>
      <c r="D242" s="23"/>
      <c r="E242" s="23"/>
      <c r="F242" s="23"/>
      <c r="G242" s="23"/>
      <c r="H242" s="24"/>
      <c r="I242" s="23"/>
      <c r="J242" s="23"/>
      <c r="K242" s="24"/>
    </row>
    <row r="243" spans="1:11" ht="13.9">
      <c r="A243" s="23"/>
      <c r="B243" s="23"/>
      <c r="C243" s="23"/>
      <c r="D243" s="23"/>
      <c r="E243" s="23"/>
      <c r="F243" s="23"/>
      <c r="G243" s="23"/>
      <c r="H243" s="24"/>
      <c r="I243" s="23"/>
      <c r="J243" s="23"/>
      <c r="K243" s="24"/>
    </row>
    <row r="244" spans="1:11" ht="13.9">
      <c r="A244" s="23"/>
      <c r="B244" s="23"/>
      <c r="C244" s="23"/>
      <c r="D244" s="23"/>
      <c r="E244" s="23"/>
      <c r="F244" s="23"/>
      <c r="G244" s="23"/>
      <c r="H244" s="24"/>
      <c r="I244" s="23"/>
      <c r="J244" s="23"/>
      <c r="K244" s="24"/>
    </row>
    <row r="245" spans="1:11" ht="13.9">
      <c r="A245" s="23"/>
      <c r="B245" s="23"/>
      <c r="C245" s="23"/>
      <c r="D245" s="23"/>
      <c r="E245" s="23"/>
      <c r="F245" s="23"/>
      <c r="G245" s="23"/>
      <c r="H245" s="24"/>
      <c r="I245" s="23"/>
      <c r="J245" s="23"/>
      <c r="K245" s="24"/>
    </row>
    <row r="246" spans="1:11" ht="13.9">
      <c r="A246" s="23"/>
      <c r="B246" s="23"/>
      <c r="C246" s="23"/>
      <c r="D246" s="23"/>
      <c r="E246" s="23"/>
      <c r="F246" s="23"/>
      <c r="G246" s="23"/>
      <c r="H246" s="24"/>
      <c r="I246" s="23"/>
      <c r="J246" s="23"/>
      <c r="K246" s="24"/>
    </row>
    <row r="247" spans="1:11" ht="13.9">
      <c r="A247" s="23"/>
      <c r="B247" s="23"/>
      <c r="C247" s="23"/>
      <c r="D247" s="23"/>
      <c r="E247" s="23"/>
      <c r="F247" s="23"/>
      <c r="G247" s="23"/>
      <c r="H247" s="24"/>
      <c r="I247" s="23"/>
      <c r="J247" s="23"/>
      <c r="K247" s="24"/>
    </row>
    <row r="248" spans="1:11" ht="13.9">
      <c r="A248" s="23"/>
      <c r="B248" s="23"/>
      <c r="C248" s="23"/>
      <c r="D248" s="23"/>
      <c r="E248" s="23"/>
      <c r="F248" s="23"/>
      <c r="G248" s="23"/>
      <c r="H248" s="24"/>
      <c r="I248" s="23"/>
      <c r="J248" s="23"/>
      <c r="K248" s="24"/>
    </row>
    <row r="249" spans="1:11" ht="13.9">
      <c r="A249" s="23"/>
      <c r="B249" s="23"/>
      <c r="C249" s="23"/>
      <c r="D249" s="23"/>
      <c r="E249" s="23"/>
      <c r="F249" s="23"/>
      <c r="G249" s="23"/>
      <c r="H249" s="24"/>
      <c r="I249" s="23"/>
      <c r="J249" s="23"/>
      <c r="K249" s="24"/>
    </row>
    <row r="250" spans="1:11" ht="13.9">
      <c r="A250" s="23"/>
      <c r="B250" s="23"/>
      <c r="C250" s="23"/>
      <c r="D250" s="23"/>
      <c r="E250" s="23"/>
      <c r="F250" s="23"/>
      <c r="G250" s="23"/>
      <c r="H250" s="24"/>
      <c r="I250" s="23"/>
      <c r="J250" s="23"/>
      <c r="K250" s="24"/>
    </row>
    <row r="251" spans="1:11" ht="13.9">
      <c r="A251" s="23"/>
      <c r="B251" s="23"/>
      <c r="C251" s="23"/>
      <c r="D251" s="23"/>
      <c r="E251" s="23"/>
      <c r="F251" s="23"/>
      <c r="G251" s="23"/>
      <c r="H251" s="24"/>
      <c r="I251" s="23"/>
      <c r="J251" s="23"/>
      <c r="K251" s="24"/>
    </row>
    <row r="252" spans="1:11" ht="13.9">
      <c r="A252" s="23"/>
      <c r="B252" s="23"/>
      <c r="C252" s="23"/>
      <c r="D252" s="23"/>
      <c r="E252" s="23"/>
      <c r="F252" s="23"/>
      <c r="G252" s="23"/>
      <c r="H252" s="24"/>
      <c r="I252" s="23"/>
      <c r="J252" s="23"/>
      <c r="K252" s="24"/>
    </row>
    <row r="253" spans="1:11" ht="13.9">
      <c r="A253" s="23"/>
      <c r="B253" s="23"/>
      <c r="C253" s="23"/>
      <c r="D253" s="23"/>
      <c r="E253" s="23"/>
      <c r="F253" s="23"/>
      <c r="G253" s="23"/>
      <c r="H253" s="24"/>
      <c r="I253" s="23"/>
      <c r="J253" s="23"/>
      <c r="K253" s="24"/>
    </row>
    <row r="254" spans="1:11" ht="13.9">
      <c r="A254" s="23"/>
      <c r="B254" s="23"/>
      <c r="C254" s="23"/>
      <c r="D254" s="23"/>
      <c r="E254" s="23"/>
      <c r="F254" s="23"/>
      <c r="G254" s="23"/>
      <c r="H254" s="24"/>
      <c r="I254" s="23"/>
      <c r="J254" s="23"/>
      <c r="K254" s="24"/>
    </row>
    <row r="255" spans="1:11" ht="13.9">
      <c r="A255" s="23"/>
      <c r="B255" s="23"/>
      <c r="C255" s="23"/>
      <c r="D255" s="23"/>
      <c r="E255" s="23"/>
      <c r="F255" s="23"/>
      <c r="G255" s="23"/>
      <c r="H255" s="24"/>
      <c r="I255" s="23"/>
      <c r="J255" s="23"/>
      <c r="K255" s="24"/>
    </row>
    <row r="256" spans="1:11" ht="13.9">
      <c r="A256" s="23"/>
      <c r="B256" s="23"/>
      <c r="C256" s="23"/>
      <c r="D256" s="23"/>
      <c r="E256" s="23"/>
      <c r="F256" s="23"/>
      <c r="G256" s="23"/>
      <c r="H256" s="24"/>
      <c r="I256" s="23"/>
      <c r="J256" s="23"/>
      <c r="K256" s="24"/>
    </row>
    <row r="257" spans="1:11" ht="13.9">
      <c r="A257" s="23"/>
      <c r="B257" s="23"/>
      <c r="C257" s="23"/>
      <c r="D257" s="23"/>
      <c r="E257" s="23"/>
      <c r="F257" s="23"/>
      <c r="G257" s="23"/>
      <c r="H257" s="24"/>
      <c r="I257" s="23"/>
      <c r="J257" s="23"/>
      <c r="K257" s="24"/>
    </row>
    <row r="258" spans="1:11" ht="13.9">
      <c r="A258" s="23"/>
      <c r="B258" s="23"/>
      <c r="C258" s="23"/>
      <c r="D258" s="23"/>
      <c r="E258" s="23"/>
      <c r="F258" s="23"/>
      <c r="G258" s="23"/>
      <c r="H258" s="24"/>
      <c r="I258" s="23"/>
      <c r="J258" s="23"/>
      <c r="K258" s="24"/>
    </row>
    <row r="259" spans="1:11" ht="13.9">
      <c r="A259" s="23"/>
      <c r="B259" s="23"/>
      <c r="C259" s="23"/>
      <c r="D259" s="23"/>
      <c r="E259" s="23"/>
      <c r="F259" s="23"/>
      <c r="G259" s="23"/>
      <c r="H259" s="24"/>
      <c r="I259" s="23"/>
      <c r="J259" s="23"/>
      <c r="K259" s="24"/>
    </row>
    <row r="260" spans="1:11" ht="13.9">
      <c r="A260" s="23"/>
      <c r="B260" s="23"/>
      <c r="C260" s="23"/>
      <c r="D260" s="23"/>
      <c r="E260" s="23"/>
      <c r="F260" s="23"/>
      <c r="G260" s="23"/>
      <c r="H260" s="24"/>
      <c r="I260" s="23"/>
      <c r="J260" s="23"/>
      <c r="K260" s="24"/>
    </row>
    <row r="261" spans="1:11" ht="13.9">
      <c r="A261" s="23"/>
      <c r="B261" s="23"/>
      <c r="C261" s="23"/>
      <c r="D261" s="23"/>
      <c r="E261" s="23"/>
      <c r="F261" s="23"/>
      <c r="G261" s="23"/>
      <c r="H261" s="24"/>
      <c r="I261" s="23"/>
      <c r="J261" s="23"/>
      <c r="K261" s="24"/>
    </row>
    <row r="262" spans="1:11" ht="13.9">
      <c r="A262" s="23"/>
      <c r="B262" s="23"/>
      <c r="C262" s="23"/>
      <c r="D262" s="23"/>
      <c r="E262" s="23"/>
      <c r="F262" s="23"/>
      <c r="G262" s="23"/>
      <c r="H262" s="24"/>
      <c r="I262" s="23"/>
      <c r="J262" s="23"/>
      <c r="K262" s="24"/>
    </row>
    <row r="263" spans="1:11" ht="13.9">
      <c r="A263" s="23"/>
      <c r="B263" s="23"/>
      <c r="C263" s="23"/>
      <c r="D263" s="23"/>
      <c r="E263" s="23"/>
      <c r="F263" s="23"/>
      <c r="G263" s="23"/>
      <c r="H263" s="24"/>
      <c r="I263" s="23"/>
      <c r="J263" s="23"/>
      <c r="K263" s="24"/>
    </row>
    <row r="264" spans="1:11" ht="13.9">
      <c r="A264" s="23"/>
      <c r="B264" s="23"/>
      <c r="C264" s="23"/>
      <c r="D264" s="23"/>
      <c r="E264" s="23"/>
      <c r="F264" s="23"/>
      <c r="G264" s="23"/>
      <c r="H264" s="24"/>
      <c r="I264" s="23"/>
      <c r="J264" s="23"/>
      <c r="K264" s="24"/>
    </row>
    <row r="265" spans="1:11" ht="13.9">
      <c r="A265" s="23"/>
      <c r="B265" s="23"/>
      <c r="C265" s="23"/>
      <c r="D265" s="23"/>
      <c r="E265" s="23"/>
      <c r="F265" s="23"/>
      <c r="G265" s="23"/>
      <c r="H265" s="24"/>
      <c r="I265" s="23"/>
      <c r="J265" s="23"/>
      <c r="K265" s="24"/>
    </row>
    <row r="266" spans="1:11" ht="13.9">
      <c r="A266" s="23"/>
      <c r="B266" s="23"/>
      <c r="C266" s="23"/>
      <c r="D266" s="23"/>
      <c r="E266" s="23"/>
      <c r="F266" s="23"/>
      <c r="G266" s="23"/>
      <c r="H266" s="24"/>
      <c r="I266" s="23"/>
      <c r="J266" s="23"/>
      <c r="K266" s="24"/>
    </row>
    <row r="267" spans="1:11" ht="13.9">
      <c r="A267" s="23"/>
      <c r="B267" s="23"/>
      <c r="C267" s="23"/>
      <c r="D267" s="23"/>
      <c r="E267" s="23"/>
      <c r="F267" s="23"/>
      <c r="G267" s="23"/>
      <c r="H267" s="24"/>
      <c r="I267" s="23"/>
      <c r="J267" s="23"/>
      <c r="K267" s="24"/>
    </row>
    <row r="268" spans="1:11" ht="13.9">
      <c r="A268" s="23"/>
      <c r="B268" s="23"/>
      <c r="C268" s="23"/>
      <c r="D268" s="23"/>
      <c r="E268" s="23"/>
      <c r="F268" s="23"/>
      <c r="G268" s="23"/>
      <c r="H268" s="24"/>
      <c r="I268" s="23"/>
      <c r="J268" s="23"/>
      <c r="K268" s="24"/>
    </row>
    <row r="269" spans="1:11" ht="13.9">
      <c r="A269" s="23"/>
      <c r="B269" s="23"/>
      <c r="C269" s="23"/>
      <c r="D269" s="23"/>
      <c r="E269" s="23"/>
      <c r="F269" s="23"/>
      <c r="G269" s="23"/>
      <c r="H269" s="24"/>
      <c r="I269" s="23"/>
      <c r="J269" s="23"/>
      <c r="K269" s="24"/>
    </row>
    <row r="270" spans="1:11" ht="13.9">
      <c r="A270" s="23"/>
      <c r="B270" s="23"/>
      <c r="C270" s="23"/>
      <c r="D270" s="23"/>
      <c r="E270" s="23"/>
      <c r="F270" s="23"/>
      <c r="G270" s="23"/>
      <c r="H270" s="24"/>
      <c r="I270" s="23"/>
      <c r="J270" s="23"/>
      <c r="K270" s="24"/>
    </row>
    <row r="271" spans="1:11" ht="13.9">
      <c r="A271" s="23"/>
      <c r="B271" s="23"/>
      <c r="C271" s="23"/>
      <c r="D271" s="23"/>
      <c r="E271" s="23"/>
      <c r="F271" s="23"/>
      <c r="G271" s="23"/>
      <c r="H271" s="24"/>
      <c r="I271" s="23"/>
      <c r="J271" s="23"/>
      <c r="K271" s="24"/>
    </row>
    <row r="272" spans="1:11" ht="13.9">
      <c r="A272" s="23"/>
      <c r="B272" s="23"/>
      <c r="C272" s="23"/>
      <c r="D272" s="23"/>
      <c r="E272" s="23"/>
      <c r="F272" s="23"/>
      <c r="G272" s="23"/>
      <c r="H272" s="24"/>
      <c r="I272" s="23"/>
      <c r="J272" s="23"/>
      <c r="K272" s="24"/>
    </row>
    <row r="273" spans="1:11" ht="13.9">
      <c r="A273" s="23"/>
      <c r="B273" s="23"/>
      <c r="C273" s="23"/>
      <c r="D273" s="23"/>
      <c r="E273" s="23"/>
      <c r="F273" s="23"/>
      <c r="G273" s="23"/>
      <c r="H273" s="24"/>
      <c r="I273" s="23"/>
      <c r="J273" s="23"/>
      <c r="K273" s="24"/>
    </row>
    <row r="274" spans="1:11" ht="13.9">
      <c r="A274" s="23"/>
      <c r="B274" s="23"/>
      <c r="C274" s="23"/>
      <c r="D274" s="23"/>
      <c r="E274" s="23"/>
      <c r="F274" s="23"/>
      <c r="G274" s="23"/>
      <c r="H274" s="24"/>
      <c r="I274" s="23"/>
      <c r="J274" s="23"/>
      <c r="K274" s="24"/>
    </row>
    <row r="275" spans="1:11" ht="13.9">
      <c r="A275" s="23"/>
      <c r="B275" s="23"/>
      <c r="C275" s="23"/>
      <c r="D275" s="23"/>
      <c r="E275" s="23"/>
      <c r="F275" s="23"/>
      <c r="G275" s="23"/>
      <c r="H275" s="24"/>
      <c r="I275" s="23"/>
      <c r="J275" s="23"/>
      <c r="K275" s="24"/>
    </row>
    <row r="276" spans="1:11" ht="13.9">
      <c r="A276" s="23"/>
      <c r="B276" s="23"/>
      <c r="C276" s="23"/>
      <c r="D276" s="23"/>
      <c r="E276" s="23"/>
      <c r="F276" s="23"/>
      <c r="G276" s="23"/>
      <c r="H276" s="24"/>
      <c r="I276" s="23"/>
      <c r="J276" s="23"/>
      <c r="K276" s="24"/>
    </row>
    <row r="277" spans="1:11" ht="13.9">
      <c r="A277" s="23"/>
      <c r="B277" s="23"/>
      <c r="C277" s="23"/>
      <c r="D277" s="23"/>
      <c r="E277" s="23"/>
      <c r="F277" s="23"/>
      <c r="G277" s="23"/>
      <c r="H277" s="24"/>
      <c r="I277" s="23"/>
      <c r="J277" s="23"/>
      <c r="K277" s="24"/>
    </row>
    <row r="278" spans="1:11" ht="13.9">
      <c r="A278" s="23"/>
      <c r="B278" s="23"/>
      <c r="C278" s="23"/>
      <c r="D278" s="23"/>
      <c r="E278" s="23"/>
      <c r="F278" s="23"/>
      <c r="G278" s="23"/>
      <c r="H278" s="24"/>
      <c r="I278" s="23"/>
      <c r="J278" s="23"/>
      <c r="K278" s="24"/>
    </row>
    <row r="279" spans="1:11" ht="13.9">
      <c r="A279" s="23"/>
      <c r="B279" s="23"/>
      <c r="C279" s="23"/>
      <c r="D279" s="23"/>
      <c r="E279" s="23"/>
      <c r="F279" s="23"/>
      <c r="G279" s="23"/>
      <c r="H279" s="24"/>
      <c r="I279" s="23"/>
      <c r="J279" s="23"/>
      <c r="K279" s="24"/>
    </row>
    <row r="280" spans="1:11" ht="13.9">
      <c r="A280" s="23"/>
      <c r="B280" s="23"/>
      <c r="C280" s="23"/>
      <c r="D280" s="23"/>
      <c r="E280" s="23"/>
      <c r="F280" s="23"/>
      <c r="G280" s="23"/>
      <c r="H280" s="24"/>
      <c r="I280" s="23"/>
      <c r="J280" s="23"/>
      <c r="K280" s="24"/>
    </row>
    <row r="281" spans="1:11" ht="13.9">
      <c r="A281" s="23"/>
      <c r="B281" s="23"/>
      <c r="C281" s="23"/>
      <c r="D281" s="23"/>
      <c r="E281" s="23"/>
      <c r="F281" s="23"/>
      <c r="G281" s="23"/>
      <c r="H281" s="24"/>
      <c r="I281" s="23"/>
      <c r="J281" s="23"/>
      <c r="K281" s="24"/>
    </row>
    <row r="282" spans="1:11" ht="13.9">
      <c r="A282" s="23"/>
      <c r="B282" s="23"/>
      <c r="C282" s="23"/>
      <c r="D282" s="23"/>
      <c r="E282" s="23"/>
      <c r="F282" s="23"/>
      <c r="G282" s="23"/>
      <c r="H282" s="24"/>
      <c r="I282" s="23"/>
      <c r="J282" s="23"/>
      <c r="K282" s="24"/>
    </row>
    <row r="283" spans="1:11" ht="13.9">
      <c r="A283" s="23"/>
      <c r="B283" s="23"/>
      <c r="C283" s="23"/>
      <c r="D283" s="23"/>
      <c r="E283" s="23"/>
      <c r="F283" s="23"/>
      <c r="G283" s="23"/>
      <c r="H283" s="24"/>
      <c r="I283" s="23"/>
      <c r="J283" s="23"/>
      <c r="K283" s="24"/>
    </row>
    <row r="284" spans="1:11" ht="13.9">
      <c r="A284" s="23"/>
      <c r="B284" s="23"/>
      <c r="C284" s="23"/>
      <c r="D284" s="23"/>
      <c r="E284" s="23"/>
      <c r="F284" s="23"/>
      <c r="G284" s="23"/>
      <c r="H284" s="24"/>
      <c r="I284" s="23"/>
      <c r="J284" s="23"/>
      <c r="K284" s="24"/>
    </row>
    <row r="285" spans="1:11" ht="13.9">
      <c r="A285" s="23"/>
      <c r="B285" s="23"/>
      <c r="C285" s="23"/>
      <c r="D285" s="23"/>
      <c r="E285" s="23"/>
      <c r="F285" s="23"/>
      <c r="G285" s="23"/>
      <c r="H285" s="24"/>
      <c r="I285" s="23"/>
      <c r="J285" s="23"/>
      <c r="K285" s="24"/>
    </row>
    <row r="286" spans="1:11" ht="13.9">
      <c r="A286" s="23"/>
      <c r="B286" s="23"/>
      <c r="C286" s="23"/>
      <c r="D286" s="23"/>
      <c r="E286" s="23"/>
      <c r="F286" s="23"/>
      <c r="G286" s="23"/>
      <c r="H286" s="24"/>
      <c r="I286" s="23"/>
      <c r="J286" s="23"/>
      <c r="K286" s="24"/>
    </row>
    <row r="287" spans="1:11" ht="13.9">
      <c r="A287" s="23"/>
      <c r="B287" s="23"/>
      <c r="C287" s="23"/>
      <c r="D287" s="23"/>
      <c r="E287" s="23"/>
      <c r="F287" s="23"/>
      <c r="G287" s="23"/>
      <c r="H287" s="24"/>
      <c r="I287" s="23"/>
      <c r="J287" s="23"/>
      <c r="K287" s="24"/>
    </row>
    <row r="288" spans="1:11" ht="13.9">
      <c r="A288" s="23"/>
      <c r="B288" s="23"/>
      <c r="C288" s="23"/>
      <c r="D288" s="23"/>
      <c r="E288" s="23"/>
      <c r="F288" s="23"/>
      <c r="G288" s="23"/>
      <c r="H288" s="24"/>
      <c r="I288" s="23"/>
      <c r="J288" s="23"/>
      <c r="K288" s="24"/>
    </row>
    <row r="289" spans="1:11" ht="13.9">
      <c r="A289" s="23"/>
      <c r="B289" s="23"/>
      <c r="C289" s="23"/>
      <c r="D289" s="23"/>
      <c r="E289" s="23"/>
      <c r="F289" s="23"/>
      <c r="G289" s="23"/>
      <c r="H289" s="24"/>
      <c r="I289" s="23"/>
      <c r="J289" s="23"/>
      <c r="K289" s="24"/>
    </row>
    <row r="290" spans="1:11" ht="13.9">
      <c r="A290" s="23"/>
      <c r="B290" s="23"/>
      <c r="C290" s="23"/>
      <c r="D290" s="23"/>
      <c r="E290" s="23"/>
      <c r="F290" s="23"/>
      <c r="G290" s="23"/>
      <c r="H290" s="24"/>
      <c r="I290" s="23"/>
      <c r="J290" s="23"/>
      <c r="K290" s="24"/>
    </row>
    <row r="291" spans="1:11" ht="13.9">
      <c r="A291" s="23"/>
      <c r="B291" s="23"/>
      <c r="C291" s="23"/>
      <c r="D291" s="23"/>
      <c r="E291" s="23"/>
      <c r="F291" s="23"/>
      <c r="G291" s="23"/>
      <c r="H291" s="24"/>
      <c r="I291" s="23"/>
      <c r="J291" s="23"/>
      <c r="K291" s="24"/>
    </row>
    <row r="292" spans="1:11" ht="13.9">
      <c r="A292" s="23"/>
      <c r="B292" s="23"/>
      <c r="C292" s="23"/>
      <c r="D292" s="23"/>
      <c r="E292" s="23"/>
      <c r="F292" s="23"/>
      <c r="G292" s="23"/>
      <c r="H292" s="24"/>
      <c r="I292" s="23"/>
      <c r="J292" s="23"/>
      <c r="K292" s="24"/>
    </row>
    <row r="293" spans="1:11" ht="13.9">
      <c r="A293" s="23"/>
      <c r="B293" s="23"/>
      <c r="C293" s="23"/>
      <c r="D293" s="23"/>
      <c r="E293" s="23"/>
      <c r="F293" s="23"/>
      <c r="G293" s="23"/>
      <c r="H293" s="24"/>
      <c r="I293" s="23"/>
      <c r="J293" s="23"/>
      <c r="K293" s="24"/>
    </row>
    <row r="294" spans="1:11" ht="13.9">
      <c r="A294" s="23"/>
      <c r="B294" s="23"/>
      <c r="C294" s="23"/>
      <c r="D294" s="23"/>
      <c r="E294" s="23"/>
      <c r="F294" s="23"/>
      <c r="G294" s="23"/>
      <c r="H294" s="24"/>
      <c r="I294" s="23"/>
      <c r="J294" s="23"/>
      <c r="K294" s="24"/>
    </row>
    <row r="295" spans="1:11" ht="13.9">
      <c r="A295" s="23"/>
      <c r="B295" s="23"/>
      <c r="C295" s="23"/>
      <c r="D295" s="23"/>
      <c r="E295" s="23"/>
      <c r="F295" s="23"/>
      <c r="G295" s="23"/>
      <c r="H295" s="24"/>
      <c r="I295" s="23"/>
      <c r="J295" s="23"/>
      <c r="K295" s="24"/>
    </row>
    <row r="296" spans="1:11" ht="13.9">
      <c r="A296" s="23"/>
      <c r="B296" s="23"/>
      <c r="C296" s="23"/>
      <c r="D296" s="23"/>
      <c r="E296" s="23"/>
      <c r="F296" s="23"/>
      <c r="G296" s="23"/>
      <c r="H296" s="24"/>
      <c r="I296" s="23"/>
      <c r="J296" s="23"/>
      <c r="K296" s="24"/>
    </row>
    <row r="297" spans="1:11" ht="13.9">
      <c r="A297" s="23"/>
      <c r="B297" s="23"/>
      <c r="C297" s="23"/>
      <c r="D297" s="23"/>
      <c r="E297" s="23"/>
      <c r="F297" s="23"/>
      <c r="G297" s="23"/>
      <c r="H297" s="24"/>
      <c r="I297" s="23"/>
      <c r="J297" s="23"/>
      <c r="K297" s="24"/>
    </row>
    <row r="298" spans="1:11" ht="13.9">
      <c r="A298" s="23"/>
      <c r="B298" s="23"/>
      <c r="C298" s="23"/>
      <c r="D298" s="23"/>
      <c r="E298" s="23"/>
      <c r="F298" s="23"/>
      <c r="G298" s="23"/>
      <c r="H298" s="24"/>
      <c r="I298" s="23"/>
      <c r="J298" s="23"/>
      <c r="K298" s="24"/>
    </row>
    <row r="299" spans="1:11" ht="13.9">
      <c r="A299" s="23"/>
      <c r="B299" s="23"/>
      <c r="C299" s="23"/>
      <c r="D299" s="23"/>
      <c r="E299" s="23"/>
      <c r="F299" s="23"/>
      <c r="G299" s="23"/>
      <c r="H299" s="24"/>
      <c r="I299" s="23"/>
      <c r="J299" s="23"/>
      <c r="K299" s="24"/>
    </row>
    <row r="300" spans="1:11" ht="13.9">
      <c r="A300" s="23"/>
      <c r="B300" s="23"/>
      <c r="C300" s="23"/>
      <c r="D300" s="23"/>
      <c r="E300" s="23"/>
      <c r="F300" s="23"/>
      <c r="G300" s="23"/>
      <c r="H300" s="24"/>
      <c r="I300" s="23"/>
      <c r="J300" s="23"/>
      <c r="K300" s="24"/>
    </row>
    <row r="301" spans="1:11" ht="13.9">
      <c r="A301" s="23"/>
      <c r="B301" s="23"/>
      <c r="C301" s="23"/>
      <c r="D301" s="23"/>
      <c r="E301" s="23"/>
      <c r="F301" s="23"/>
      <c r="G301" s="23"/>
      <c r="H301" s="24"/>
      <c r="I301" s="23"/>
      <c r="J301" s="23"/>
      <c r="K301" s="24"/>
    </row>
    <row r="302" spans="1:11" ht="13.9">
      <c r="A302" s="23"/>
      <c r="B302" s="23"/>
      <c r="C302" s="23"/>
      <c r="D302" s="23"/>
      <c r="E302" s="23"/>
      <c r="F302" s="23"/>
      <c r="G302" s="23"/>
      <c r="H302" s="24"/>
      <c r="I302" s="23"/>
      <c r="J302" s="23"/>
      <c r="K302" s="24"/>
    </row>
    <row r="303" spans="1:11" ht="13.9">
      <c r="A303" s="23"/>
      <c r="B303" s="23"/>
      <c r="C303" s="23"/>
      <c r="D303" s="23"/>
      <c r="E303" s="23"/>
      <c r="F303" s="23"/>
      <c r="G303" s="23"/>
      <c r="H303" s="24"/>
      <c r="I303" s="23"/>
      <c r="J303" s="23"/>
      <c r="K303" s="24"/>
    </row>
    <row r="304" spans="1:11" ht="13.9">
      <c r="A304" s="23"/>
      <c r="B304" s="23"/>
      <c r="C304" s="23"/>
      <c r="D304" s="23"/>
      <c r="E304" s="23"/>
      <c r="F304" s="23"/>
      <c r="G304" s="23"/>
      <c r="H304" s="24"/>
      <c r="I304" s="23"/>
      <c r="J304" s="23"/>
      <c r="K304" s="24"/>
    </row>
    <row r="305" spans="1:11" ht="13.9">
      <c r="A305" s="23"/>
      <c r="B305" s="23"/>
      <c r="C305" s="23"/>
      <c r="D305" s="23"/>
      <c r="E305" s="23"/>
      <c r="F305" s="23"/>
      <c r="G305" s="23"/>
      <c r="H305" s="24"/>
      <c r="I305" s="23"/>
      <c r="J305" s="23"/>
      <c r="K305" s="24"/>
    </row>
    <row r="306" spans="1:11" ht="13.9">
      <c r="A306" s="23"/>
      <c r="B306" s="23"/>
      <c r="C306" s="23"/>
      <c r="D306" s="23"/>
      <c r="E306" s="23"/>
      <c r="F306" s="23"/>
      <c r="G306" s="23"/>
      <c r="H306" s="24"/>
      <c r="I306" s="23"/>
      <c r="J306" s="23"/>
      <c r="K306" s="24"/>
    </row>
    <row r="307" spans="1:11" ht="13.9">
      <c r="A307" s="23"/>
      <c r="B307" s="23"/>
      <c r="C307" s="23"/>
      <c r="D307" s="23"/>
      <c r="E307" s="23"/>
      <c r="F307" s="23"/>
      <c r="G307" s="23"/>
      <c r="H307" s="24"/>
      <c r="I307" s="23"/>
      <c r="J307" s="23"/>
      <c r="K307" s="24"/>
    </row>
    <row r="308" spans="1:11" ht="13.9">
      <c r="A308" s="23"/>
      <c r="B308" s="23"/>
      <c r="C308" s="23"/>
      <c r="D308" s="23"/>
      <c r="E308" s="23"/>
      <c r="F308" s="23"/>
      <c r="G308" s="23"/>
      <c r="H308" s="24"/>
      <c r="I308" s="23"/>
      <c r="J308" s="23"/>
      <c r="K308" s="24"/>
    </row>
    <row r="309" spans="1:11" ht="13.9">
      <c r="A309" s="23"/>
      <c r="B309" s="23"/>
      <c r="C309" s="23"/>
      <c r="D309" s="23"/>
      <c r="E309" s="23"/>
      <c r="F309" s="23"/>
      <c r="G309" s="23"/>
      <c r="H309" s="24"/>
      <c r="I309" s="23"/>
      <c r="J309" s="23"/>
      <c r="K309" s="24"/>
    </row>
    <row r="310" spans="1:11" ht="13.9">
      <c r="A310" s="23"/>
      <c r="B310" s="23"/>
      <c r="C310" s="23"/>
      <c r="D310" s="23"/>
      <c r="E310" s="23"/>
      <c r="F310" s="23"/>
      <c r="G310" s="23"/>
      <c r="H310" s="24"/>
      <c r="I310" s="23"/>
      <c r="J310" s="23"/>
      <c r="K310" s="24"/>
    </row>
    <row r="311" spans="1:11" ht="13.9">
      <c r="A311" s="23"/>
      <c r="B311" s="23"/>
      <c r="C311" s="23"/>
      <c r="D311" s="23"/>
      <c r="E311" s="23"/>
      <c r="F311" s="23"/>
      <c r="G311" s="23"/>
      <c r="H311" s="24"/>
      <c r="I311" s="23"/>
      <c r="J311" s="23"/>
      <c r="K311" s="24"/>
    </row>
    <row r="312" spans="1:11" ht="13.9">
      <c r="A312" s="23"/>
      <c r="B312" s="23"/>
      <c r="C312" s="23"/>
      <c r="D312" s="23"/>
      <c r="E312" s="23"/>
      <c r="F312" s="23"/>
      <c r="G312" s="23"/>
      <c r="H312" s="24"/>
      <c r="I312" s="23"/>
      <c r="J312" s="23"/>
      <c r="K312" s="24"/>
    </row>
    <row r="313" spans="1:11" ht="13.9">
      <c r="A313" s="23"/>
      <c r="B313" s="23"/>
      <c r="C313" s="23"/>
      <c r="D313" s="23"/>
      <c r="E313" s="23"/>
      <c r="F313" s="23"/>
      <c r="G313" s="23"/>
      <c r="H313" s="24"/>
      <c r="I313" s="23"/>
      <c r="J313" s="23"/>
      <c r="K313" s="24"/>
    </row>
    <row r="314" spans="1:11" ht="13.9">
      <c r="A314" s="23"/>
      <c r="B314" s="23"/>
      <c r="C314" s="23"/>
      <c r="D314" s="23"/>
      <c r="E314" s="23"/>
      <c r="F314" s="23"/>
      <c r="G314" s="23"/>
      <c r="H314" s="24"/>
      <c r="I314" s="23"/>
      <c r="J314" s="23"/>
      <c r="K314" s="24"/>
    </row>
    <row r="315" spans="1:11" ht="13.9">
      <c r="A315" s="23"/>
      <c r="B315" s="23"/>
      <c r="C315" s="23"/>
      <c r="D315" s="23"/>
      <c r="E315" s="23"/>
      <c r="F315" s="23"/>
      <c r="G315" s="23"/>
      <c r="H315" s="24"/>
      <c r="I315" s="23"/>
      <c r="J315" s="23"/>
      <c r="K315" s="24"/>
    </row>
    <row r="316" spans="1:11" ht="13.9">
      <c r="A316" s="23"/>
      <c r="B316" s="23"/>
      <c r="C316" s="23"/>
      <c r="D316" s="23"/>
      <c r="E316" s="23"/>
      <c r="F316" s="23"/>
      <c r="G316" s="23"/>
      <c r="H316" s="24"/>
      <c r="I316" s="23"/>
      <c r="J316" s="23"/>
      <c r="K316" s="24"/>
    </row>
    <row r="317" spans="1:11" ht="13.9">
      <c r="A317" s="23"/>
      <c r="B317" s="23"/>
      <c r="C317" s="23"/>
      <c r="D317" s="23"/>
      <c r="E317" s="23"/>
      <c r="F317" s="23"/>
      <c r="G317" s="23"/>
      <c r="H317" s="24"/>
      <c r="I317" s="23"/>
      <c r="J317" s="23"/>
      <c r="K317" s="24"/>
    </row>
    <row r="318" spans="1:11" ht="13.9">
      <c r="A318" s="23"/>
      <c r="B318" s="23"/>
      <c r="C318" s="23"/>
      <c r="D318" s="23"/>
      <c r="E318" s="23"/>
      <c r="F318" s="23"/>
      <c r="G318" s="23"/>
      <c r="H318" s="24"/>
      <c r="I318" s="23"/>
      <c r="J318" s="23"/>
      <c r="K318" s="24"/>
    </row>
    <row r="319" spans="1:11" ht="13.9">
      <c r="A319" s="23"/>
      <c r="B319" s="23"/>
      <c r="C319" s="23"/>
      <c r="D319" s="23"/>
      <c r="E319" s="23"/>
      <c r="F319" s="23"/>
      <c r="G319" s="23"/>
      <c r="H319" s="24"/>
      <c r="I319" s="23"/>
      <c r="J319" s="23"/>
      <c r="K319" s="24"/>
    </row>
    <row r="320" spans="1:11" ht="13.9">
      <c r="A320" s="23"/>
      <c r="B320" s="23"/>
      <c r="C320" s="23"/>
      <c r="D320" s="23"/>
      <c r="E320" s="23"/>
      <c r="F320" s="23"/>
      <c r="G320" s="23"/>
      <c r="H320" s="24"/>
      <c r="I320" s="23"/>
      <c r="J320" s="23"/>
      <c r="K320" s="24"/>
    </row>
    <row r="321" spans="1:11" ht="13.9">
      <c r="A321" s="23"/>
      <c r="B321" s="23"/>
      <c r="C321" s="23"/>
      <c r="D321" s="23"/>
      <c r="E321" s="23"/>
      <c r="F321" s="23"/>
      <c r="G321" s="23"/>
      <c r="H321" s="24"/>
      <c r="I321" s="23"/>
      <c r="J321" s="23"/>
      <c r="K321" s="24"/>
    </row>
    <row r="322" spans="1:11" ht="13.9">
      <c r="A322" s="23"/>
      <c r="B322" s="23"/>
      <c r="C322" s="23"/>
      <c r="D322" s="23"/>
      <c r="E322" s="23"/>
      <c r="F322" s="23"/>
      <c r="G322" s="23"/>
      <c r="H322" s="24"/>
      <c r="I322" s="23"/>
      <c r="J322" s="23"/>
      <c r="K322" s="24"/>
    </row>
    <row r="323" spans="1:11" ht="13.9">
      <c r="A323" s="23"/>
      <c r="B323" s="23"/>
      <c r="C323" s="23"/>
      <c r="D323" s="23"/>
      <c r="E323" s="23"/>
      <c r="F323" s="23"/>
      <c r="G323" s="23"/>
      <c r="H323" s="24"/>
      <c r="I323" s="23"/>
      <c r="J323" s="23"/>
      <c r="K323" s="24"/>
    </row>
    <row r="324" spans="1:11" ht="13.9">
      <c r="A324" s="23"/>
      <c r="B324" s="23"/>
      <c r="C324" s="23"/>
      <c r="D324" s="23"/>
      <c r="E324" s="23"/>
      <c r="F324" s="23"/>
      <c r="G324" s="23"/>
      <c r="H324" s="24"/>
      <c r="I324" s="23"/>
      <c r="J324" s="23"/>
      <c r="K324" s="24"/>
    </row>
    <row r="325" spans="1:11" ht="13.9">
      <c r="A325" s="23"/>
      <c r="B325" s="23"/>
      <c r="C325" s="23"/>
      <c r="D325" s="23"/>
      <c r="E325" s="23"/>
      <c r="F325" s="23"/>
      <c r="G325" s="23"/>
      <c r="H325" s="24"/>
      <c r="I325" s="23"/>
      <c r="J325" s="23"/>
      <c r="K325" s="24"/>
    </row>
    <row r="326" spans="1:11" ht="13.9">
      <c r="A326" s="23"/>
      <c r="B326" s="23"/>
      <c r="C326" s="23"/>
      <c r="D326" s="23"/>
      <c r="E326" s="23"/>
      <c r="F326" s="23"/>
      <c r="G326" s="23"/>
      <c r="H326" s="24"/>
      <c r="I326" s="23"/>
      <c r="J326" s="23"/>
      <c r="K326" s="24"/>
    </row>
    <row r="327" spans="1:11" ht="13.9">
      <c r="A327" s="23"/>
      <c r="B327" s="23"/>
      <c r="C327" s="23"/>
      <c r="D327" s="23"/>
      <c r="E327" s="23"/>
      <c r="F327" s="23"/>
      <c r="G327" s="23"/>
      <c r="H327" s="24"/>
      <c r="I327" s="23"/>
      <c r="J327" s="23"/>
      <c r="K327" s="24"/>
    </row>
    <row r="328" spans="1:11" ht="13.9">
      <c r="A328" s="23"/>
      <c r="B328" s="23"/>
      <c r="C328" s="23"/>
      <c r="D328" s="23"/>
      <c r="E328" s="23"/>
      <c r="F328" s="23"/>
      <c r="G328" s="23"/>
      <c r="H328" s="24"/>
      <c r="I328" s="23"/>
      <c r="J328" s="23"/>
      <c r="K328" s="24"/>
    </row>
    <row r="329" spans="1:11" ht="13.9">
      <c r="A329" s="23"/>
      <c r="B329" s="23"/>
      <c r="C329" s="23"/>
      <c r="D329" s="23"/>
      <c r="E329" s="23"/>
      <c r="F329" s="23"/>
      <c r="G329" s="23"/>
      <c r="H329" s="24"/>
      <c r="I329" s="23"/>
      <c r="J329" s="23"/>
      <c r="K329" s="24"/>
    </row>
    <row r="330" spans="1:11" ht="13.9">
      <c r="A330" s="23"/>
      <c r="B330" s="23"/>
      <c r="C330" s="23"/>
      <c r="D330" s="23"/>
      <c r="E330" s="23"/>
      <c r="F330" s="23"/>
      <c r="G330" s="23"/>
      <c r="H330" s="24"/>
      <c r="I330" s="23"/>
      <c r="J330" s="23"/>
      <c r="K330" s="24"/>
    </row>
    <row r="331" spans="1:11" ht="13.9">
      <c r="A331" s="23"/>
      <c r="B331" s="23"/>
      <c r="C331" s="23"/>
      <c r="D331" s="23"/>
      <c r="E331" s="23"/>
      <c r="F331" s="23"/>
      <c r="G331" s="23"/>
      <c r="H331" s="24"/>
      <c r="I331" s="23"/>
      <c r="J331" s="23"/>
      <c r="K331" s="24"/>
    </row>
    <row r="332" spans="1:11" ht="13.9">
      <c r="A332" s="23"/>
      <c r="B332" s="23"/>
      <c r="C332" s="23"/>
      <c r="D332" s="23"/>
      <c r="E332" s="23"/>
      <c r="F332" s="23"/>
      <c r="G332" s="23"/>
      <c r="H332" s="24"/>
      <c r="I332" s="23"/>
      <c r="J332" s="23"/>
      <c r="K332" s="24"/>
    </row>
    <row r="333" spans="1:11" ht="13.9">
      <c r="A333" s="23"/>
      <c r="B333" s="23"/>
      <c r="C333" s="23"/>
      <c r="D333" s="23"/>
      <c r="E333" s="23"/>
      <c r="F333" s="23"/>
      <c r="G333" s="23"/>
      <c r="H333" s="24"/>
      <c r="I333" s="23"/>
      <c r="J333" s="23"/>
      <c r="K333" s="24"/>
    </row>
    <row r="334" spans="1:11" ht="13.9">
      <c r="A334" s="23"/>
      <c r="B334" s="23"/>
      <c r="C334" s="23"/>
      <c r="D334" s="23"/>
      <c r="E334" s="23"/>
      <c r="F334" s="23"/>
      <c r="G334" s="23"/>
      <c r="H334" s="24"/>
      <c r="I334" s="23"/>
      <c r="J334" s="23"/>
      <c r="K334" s="24"/>
    </row>
    <row r="335" spans="1:11" ht="13.9">
      <c r="A335" s="23"/>
      <c r="B335" s="23"/>
      <c r="C335" s="23"/>
      <c r="D335" s="23"/>
      <c r="E335" s="23"/>
      <c r="F335" s="23"/>
      <c r="G335" s="23"/>
      <c r="H335" s="24"/>
      <c r="I335" s="23"/>
      <c r="J335" s="23"/>
      <c r="K335" s="24"/>
    </row>
    <row r="336" spans="1:11" ht="13.9">
      <c r="A336" s="23"/>
      <c r="B336" s="23"/>
      <c r="C336" s="23"/>
      <c r="D336" s="23"/>
      <c r="E336" s="23"/>
      <c r="F336" s="23"/>
      <c r="G336" s="23"/>
      <c r="H336" s="24"/>
      <c r="I336" s="23"/>
      <c r="J336" s="23"/>
      <c r="K336" s="24"/>
    </row>
    <row r="337" spans="1:11" ht="13.9">
      <c r="A337" s="23"/>
      <c r="B337" s="23"/>
      <c r="C337" s="23"/>
      <c r="D337" s="23"/>
      <c r="E337" s="23"/>
      <c r="F337" s="23"/>
      <c r="G337" s="23"/>
      <c r="H337" s="24"/>
      <c r="I337" s="23"/>
      <c r="J337" s="23"/>
      <c r="K337" s="24"/>
    </row>
    <row r="338" spans="1:11" ht="13.9">
      <c r="A338" s="23"/>
      <c r="B338" s="23"/>
      <c r="C338" s="23"/>
      <c r="D338" s="23"/>
      <c r="E338" s="23"/>
      <c r="F338" s="23"/>
      <c r="G338" s="23"/>
      <c r="H338" s="24"/>
      <c r="I338" s="23"/>
      <c r="J338" s="23"/>
      <c r="K338" s="24"/>
    </row>
    <row r="339" spans="1:11" ht="13.9">
      <c r="A339" s="23"/>
      <c r="B339" s="23"/>
      <c r="C339" s="23"/>
      <c r="D339" s="23"/>
      <c r="E339" s="23"/>
      <c r="F339" s="23"/>
      <c r="G339" s="23"/>
      <c r="H339" s="24"/>
      <c r="I339" s="23"/>
      <c r="J339" s="23"/>
      <c r="K339" s="24"/>
    </row>
    <row r="340" spans="1:11" ht="13.9">
      <c r="A340" s="23"/>
      <c r="B340" s="23"/>
      <c r="C340" s="23"/>
      <c r="D340" s="23"/>
      <c r="E340" s="23"/>
      <c r="F340" s="23"/>
      <c r="G340" s="23"/>
      <c r="H340" s="24"/>
      <c r="I340" s="23"/>
      <c r="J340" s="23"/>
      <c r="K340" s="24"/>
    </row>
    <row r="341" spans="1:11" ht="13.9">
      <c r="A341" s="23"/>
      <c r="B341" s="23"/>
      <c r="C341" s="23"/>
      <c r="D341" s="23"/>
      <c r="E341" s="23"/>
      <c r="F341" s="23"/>
      <c r="G341" s="23"/>
      <c r="H341" s="24"/>
      <c r="I341" s="23"/>
      <c r="J341" s="23"/>
      <c r="K341" s="24"/>
    </row>
    <row r="342" spans="1:11" ht="13.9">
      <c r="A342" s="23"/>
      <c r="B342" s="23"/>
      <c r="C342" s="23"/>
      <c r="F342" s="23"/>
      <c r="G342" s="23"/>
      <c r="H342" s="24"/>
      <c r="I342" s="23"/>
      <c r="J342" s="23"/>
      <c r="K342" s="24"/>
    </row>
  </sheetData>
  <sortState xmlns:xlrd2="http://schemas.microsoft.com/office/spreadsheetml/2017/richdata2" ref="A3:K3">
    <sortCondition ref="A3"/>
  </sortState>
  <mergeCells count="4">
    <mergeCell ref="I1:K1"/>
    <mergeCell ref="A1:C1"/>
    <mergeCell ref="F1:H1"/>
    <mergeCell ref="A2:B2"/>
  </mergeCells>
  <conditionalFormatting sqref="H2 K2 H4:H100 K4:K100">
    <cfRule type="cellIs" dxfId="32" priority="1" stopIfTrue="1" operator="lessThanOrEqual">
      <formula>-0.1</formula>
    </cfRule>
    <cfRule type="expression" dxfId="31" priority="2">
      <formula>AND(ISNUMBER(H2), H2&gt;=0.1)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N341"/>
  <sheetViews>
    <sheetView workbookViewId="0">
      <pane ySplit="2" topLeftCell="A7" activePane="bottomLeft" state="frozen"/>
      <selection pane="bottomLeft" activeCell="D27" sqref="D2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 min="10" max="10" width="10.7109375" bestFit="1" customWidth="1"/>
  </cols>
  <sheetData>
    <row r="1" spans="1:14" ht="19.5" customHeight="1">
      <c r="A1" s="129" t="str" cm="1">
        <f t="array" ref="A1">portfolio</f>
        <v>CITI</v>
      </c>
      <c r="B1" s="129"/>
      <c r="C1" s="129"/>
      <c r="D1" s="76" t="s">
        <v>0</v>
      </c>
      <c r="E1" s="76" t="s">
        <v>1</v>
      </c>
      <c r="F1" s="130" t="s">
        <v>14</v>
      </c>
      <c r="G1" s="130"/>
      <c r="H1" s="130"/>
      <c r="I1" s="128" t="s">
        <v>15</v>
      </c>
      <c r="J1" s="128"/>
      <c r="K1" s="128"/>
    </row>
    <row r="2" spans="1:14" ht="19.5" customHeight="1">
      <c r="A2" s="131" t="s">
        <v>4</v>
      </c>
      <c r="B2" s="131"/>
      <c r="C2" s="6">
        <f>SUM(C4:C99)</f>
        <v>8281120.71</v>
      </c>
      <c r="D2" s="6">
        <f>SUM(D4:D22)</f>
        <v>7975892.5499999989</v>
      </c>
      <c r="E2" s="7">
        <f>C2/D2</f>
        <v>1.0382688405199241</v>
      </c>
      <c r="F2" s="6">
        <f>SUM(D4:D99)</f>
        <v>7975892.5499999989</v>
      </c>
      <c r="G2" s="6">
        <f>C2-F2</f>
        <v>305228.16000000108</v>
      </c>
      <c r="H2" s="7">
        <f>IFERROR(G2/F2, 0)</f>
        <v>3.8268840519924144E-2</v>
      </c>
      <c r="I2" s="6">
        <f>SUM(G4:G99)</f>
        <v>615498.16199999978</v>
      </c>
      <c r="J2" s="8">
        <f>C2-I2</f>
        <v>7665622.5480000004</v>
      </c>
      <c r="K2" s="7">
        <f>IFERROR(J2/I2, 0)</f>
        <v>12.454338649999093</v>
      </c>
    </row>
    <row r="3" spans="1:14" ht="14.25" customHeight="1">
      <c r="A3" s="9" t="s">
        <v>5</v>
      </c>
      <c r="B3" s="9" t="s">
        <v>6</v>
      </c>
      <c r="C3" s="25" t="s">
        <v>7</v>
      </c>
      <c r="D3" s="77"/>
      <c r="E3" s="77"/>
      <c r="F3" s="49" t="s">
        <v>8</v>
      </c>
      <c r="G3" s="49" t="s">
        <v>9</v>
      </c>
      <c r="H3" s="50" t="s">
        <v>10</v>
      </c>
      <c r="I3" s="51" t="s">
        <v>11</v>
      </c>
      <c r="J3" s="52" t="s">
        <v>9</v>
      </c>
      <c r="K3" s="53" t="s">
        <v>10</v>
      </c>
    </row>
    <row r="4" spans="1:14" ht="15.6">
      <c r="A4" s="13" t="str" cm="1">
        <f t="array" ref="A4:A23">Sites[Site]</f>
        <v>CA: Antioch Deer Valley - Citi</v>
      </c>
      <c r="B4" s="10" t="str" cm="1">
        <f t="array" ref="B4:B23">Sites[State]</f>
        <v>CA</v>
      </c>
      <c r="C4" s="26">
        <f>SUM(Apr!C4, May!C4, Jun!C4)</f>
        <v>231100.75</v>
      </c>
      <c r="D4" s="123">
        <f>SUM(Apr!D4,May!D4,Jun!D4)</f>
        <v>216346.11</v>
      </c>
      <c r="E4" s="79">
        <f>C4/D4</f>
        <v>1.0681992387106014</v>
      </c>
      <c r="F4" s="14">
        <f>SUM(Apr!F4, May!F4, Jun!G4)</f>
        <v>220131</v>
      </c>
      <c r="G4" s="14">
        <f t="shared" ref="G4:G22" si="0">IF(AND(ISNUMBER(C4),ISNUMBER(F4)), C4-F4, "")</f>
        <v>10969.75</v>
      </c>
      <c r="H4" s="15">
        <f>IFERROR(G4/F4, "")</f>
        <v>4.9832826816759108E-2</v>
      </c>
      <c r="I4" s="16">
        <f>SUM(Apr!I4+May!I4+Jun!J4)</f>
        <v>229737.815</v>
      </c>
      <c r="J4" s="16">
        <f>SUM(Apr!J4, May!J4, Jun!K4)</f>
        <v>1362.9349999999977</v>
      </c>
      <c r="K4" s="17">
        <f>IFERROR(J4/I4, "")</f>
        <v>5.9325670873991623E-3</v>
      </c>
    </row>
    <row r="5" spans="1:14" ht="15.6">
      <c r="A5" s="19" t="str">
        <v>CA: Antioch MC CUP - Citi</v>
      </c>
      <c r="B5" s="11" t="str">
        <v>CA</v>
      </c>
      <c r="C5" s="12">
        <f>SUM(Apr!C5, May!C5, Jun!C5)</f>
        <v>759648</v>
      </c>
      <c r="D5" s="12">
        <f>SUM(Apr!D5,May!D5,Jun!D5)</f>
        <v>737990.88</v>
      </c>
      <c r="E5" s="80">
        <f t="shared" ref="E5:E22" si="1">C5/D5</f>
        <v>1.0293460537073305</v>
      </c>
      <c r="F5" s="20">
        <f>SUM(Apr!F5, May!F5, Jun!G5)</f>
        <v>753268</v>
      </c>
      <c r="G5" s="20">
        <f t="shared" si="0"/>
        <v>6380</v>
      </c>
      <c r="H5" s="21">
        <f>IFERROR(G5/F5, "")</f>
        <v>8.469761094324995E-3</v>
      </c>
      <c r="I5" s="22">
        <f>SUM(Apr!I5+May!I5+Jun!J5)</f>
        <v>771667.68400000001</v>
      </c>
      <c r="J5" s="22">
        <f>SUM(Apr!J5, May!J5, Jun!K5)</f>
        <v>-12019.683999999979</v>
      </c>
      <c r="K5" s="21">
        <f>IFERROR(J5/I5, "")</f>
        <v>-1.5576243827777008E-2</v>
      </c>
    </row>
    <row r="6" spans="1:14" ht="15.6">
      <c r="A6" s="13" t="str">
        <v>CA: Clovis - Citi</v>
      </c>
      <c r="B6" s="10" t="str">
        <v>CA</v>
      </c>
      <c r="C6" s="26">
        <f>SUM(Apr!C6, May!C6, Jun!C6)</f>
        <v>314798.25</v>
      </c>
      <c r="D6" s="123">
        <f>SUM(Apr!D6,May!D6,Jun!D6)</f>
        <v>319928.5</v>
      </c>
      <c r="E6" s="79">
        <f t="shared" si="1"/>
        <v>0.98396438579245049</v>
      </c>
      <c r="F6" s="14">
        <f>SUM(Apr!F6, May!F6, Jun!G6)</f>
        <v>201995</v>
      </c>
      <c r="G6" s="14">
        <f t="shared" si="0"/>
        <v>112803.25</v>
      </c>
      <c r="H6" s="15">
        <f t="shared" ref="H6:H15" si="2">IFERROR(G6/F6, "")</f>
        <v>0.55844575360776261</v>
      </c>
      <c r="I6" s="16">
        <f>SUM(Apr!I6+May!I6+Jun!J6)</f>
        <v>134885.361</v>
      </c>
      <c r="J6" s="16">
        <f>SUM(Apr!J6, May!J6, Jun!K6)</f>
        <v>179912.889</v>
      </c>
      <c r="K6" s="17">
        <f t="shared" ref="K6:K15" si="3">IFERROR(J6/I6, "")</f>
        <v>1.3338207175795749</v>
      </c>
    </row>
    <row r="7" spans="1:14" ht="15.6">
      <c r="A7" s="19" t="str">
        <v>CA: Elk Grove MOB - Citi</v>
      </c>
      <c r="B7" s="11" t="str">
        <v>CA</v>
      </c>
      <c r="C7" s="12">
        <f>SUM(Apr!C7, May!C7, Jun!C7)</f>
        <v>488764.5</v>
      </c>
      <c r="D7" s="12">
        <f>SUM(Apr!D7,May!D7,Jun!D7)</f>
        <v>508752.5</v>
      </c>
      <c r="E7" s="80">
        <f t="shared" si="1"/>
        <v>0.96071174097424583</v>
      </c>
      <c r="F7" s="20">
        <f>SUM(Apr!F7, May!F7, Jun!G7)</f>
        <v>511707</v>
      </c>
      <c r="G7" s="20">
        <f t="shared" si="0"/>
        <v>-22942.5</v>
      </c>
      <c r="H7" s="21">
        <f t="shared" si="2"/>
        <v>-4.4835227972257564E-2</v>
      </c>
      <c r="I7" s="22">
        <f>SUM(Apr!I7+May!I7+Jun!J7)</f>
        <v>522169.20299999998</v>
      </c>
      <c r="J7" s="22">
        <f>SUM(Apr!J7, May!J7, Jun!K7)</f>
        <v>-33404.703000000009</v>
      </c>
      <c r="K7" s="21">
        <f t="shared" si="3"/>
        <v>-6.3972947481546527E-2</v>
      </c>
      <c r="N7" s="116"/>
    </row>
    <row r="8" spans="1:14" ht="15.6">
      <c r="A8" s="13" t="str">
        <v>CA: Elk Grove Promenade - Citi</v>
      </c>
      <c r="B8" s="10" t="str">
        <v>CA</v>
      </c>
      <c r="C8" s="26">
        <f>SUM(Apr!C8, May!C8, Jun!C8)</f>
        <v>264966</v>
      </c>
      <c r="D8" s="123">
        <f>SUM(Apr!D8,May!D8,Jun!D8)</f>
        <v>268413</v>
      </c>
      <c r="E8" s="79">
        <f t="shared" si="1"/>
        <v>0.98715785002961853</v>
      </c>
      <c r="F8" s="14">
        <f>SUM(Apr!F8, May!F8, Jun!G8)</f>
        <v>267177.63300000003</v>
      </c>
      <c r="G8" s="14">
        <f t="shared" si="0"/>
        <v>-2211.6330000000307</v>
      </c>
      <c r="H8" s="15">
        <f t="shared" si="2"/>
        <v>-8.2777625326145108E-3</v>
      </c>
      <c r="I8" s="16">
        <f>SUM(Apr!I8+May!I8+Jun!J8)</f>
        <v>273996.95500000002</v>
      </c>
      <c r="J8" s="16">
        <f>SUM(Apr!J8, May!J8, Jun!K8)</f>
        <v>-9030.9550000000017</v>
      </c>
      <c r="K8" s="17">
        <f t="shared" si="3"/>
        <v>-3.2960056070696117E-2</v>
      </c>
    </row>
    <row r="9" spans="1:14" ht="15.6">
      <c r="A9" s="19" t="str">
        <v>CA: Fresno Sequioa - Citi</v>
      </c>
      <c r="B9" s="11" t="str">
        <v>CA</v>
      </c>
      <c r="C9" s="12">
        <f>SUM(Apr!C9, May!C9, Jun!C9)</f>
        <v>516338</v>
      </c>
      <c r="D9" s="12">
        <f>SUM(Apr!D9,May!D9,Jun!D9)</f>
        <v>530010.35</v>
      </c>
      <c r="E9" s="80">
        <f t="shared" si="1"/>
        <v>0.97420361696710267</v>
      </c>
      <c r="F9" s="20">
        <f>SUM(Apr!F9, May!F9, Jun!G9)</f>
        <v>532329</v>
      </c>
      <c r="G9" s="20">
        <f t="shared" si="0"/>
        <v>-15991</v>
      </c>
      <c r="H9" s="21">
        <f t="shared" si="2"/>
        <v>-3.0039693497818078E-2</v>
      </c>
      <c r="I9" s="22">
        <f>SUM(Apr!I9+May!I9+Jun!J9)</f>
        <v>538945.80900000001</v>
      </c>
      <c r="J9" s="22">
        <f>SUM(Apr!J9, May!J9, Jun!K9)</f>
        <v>-22607.808999999979</v>
      </c>
      <c r="K9" s="21">
        <f t="shared" si="3"/>
        <v>-4.1948204480795913E-2</v>
      </c>
    </row>
    <row r="10" spans="1:14" ht="15.6">
      <c r="A10" s="13" t="str">
        <v>CA: Fresno MOB - Citi</v>
      </c>
      <c r="B10" s="10" t="str">
        <v>CA</v>
      </c>
      <c r="C10" s="26">
        <f>SUM(Apr!C10, May!C10, Jun!C10)</f>
        <v>188291.37</v>
      </c>
      <c r="D10" s="123">
        <f>SUM(Apr!D10,May!D10,Jun!D10)</f>
        <v>214895.16999999998</v>
      </c>
      <c r="E10" s="79">
        <f t="shared" si="1"/>
        <v>0.87620103327589915</v>
      </c>
      <c r="F10" s="14">
        <f>SUM(Apr!F10, May!F10, Jun!G10)</f>
        <v>214658</v>
      </c>
      <c r="G10" s="14">
        <f t="shared" si="0"/>
        <v>-26366.630000000005</v>
      </c>
      <c r="H10" s="15">
        <f t="shared" si="2"/>
        <v>-0.12283087515955615</v>
      </c>
      <c r="I10" s="16">
        <f>SUM(Apr!I10+May!I10+Jun!J10)</f>
        <v>200642.04800000001</v>
      </c>
      <c r="J10" s="16">
        <f>SUM(Apr!J10, May!J10, Jun!K10)</f>
        <v>-12350.678</v>
      </c>
      <c r="K10" s="17">
        <f t="shared" si="3"/>
        <v>-6.1555781169059832E-2</v>
      </c>
    </row>
    <row r="11" spans="1:14" ht="15.6">
      <c r="A11" s="19" t="str">
        <v>CA: Modesto Bangs - Citi</v>
      </c>
      <c r="B11" s="11" t="str">
        <v>CA</v>
      </c>
      <c r="C11" s="12">
        <f>SUM(Apr!C11, May!C11, Jun!C11)</f>
        <v>131376.88</v>
      </c>
      <c r="D11" s="12">
        <f>SUM(Apr!D11,May!D11,Jun!D11)</f>
        <v>153672.21</v>
      </c>
      <c r="E11" s="80">
        <f t="shared" si="1"/>
        <v>0.85491631831155424</v>
      </c>
      <c r="F11" s="20">
        <f>SUM(Apr!F11, May!F11, Jun!G11)</f>
        <v>98493</v>
      </c>
      <c r="G11" s="20">
        <f>IF(AND(ISNUMBER(C11),ISNUMBER(F11)), C11-F11, "")</f>
        <v>32883.880000000005</v>
      </c>
      <c r="H11" s="21">
        <f t="shared" si="2"/>
        <v>0.3338702242798981</v>
      </c>
      <c r="I11" s="22">
        <f>SUM(Apr!I11+May!I11+Jun!J11)</f>
        <v>62537.353000000003</v>
      </c>
      <c r="J11" s="22">
        <f>SUM(Apr!J11, May!J11, Jun!K11)</f>
        <v>68839.527000000002</v>
      </c>
      <c r="K11" s="21">
        <f t="shared" si="3"/>
        <v>1.1007745562879836</v>
      </c>
    </row>
    <row r="12" spans="1:14" ht="15.6">
      <c r="A12" s="13" t="str">
        <v>CA: Napa Data Center - Citi</v>
      </c>
      <c r="B12" s="10" t="str">
        <v>CA</v>
      </c>
      <c r="C12" s="26">
        <f>SUM(Apr!C12, May!C12, Jun!C12)</f>
        <v>135351.37</v>
      </c>
      <c r="D12" s="123">
        <f>SUM(Apr!D12,May!D12,Jun!D12)</f>
        <v>153580.82</v>
      </c>
      <c r="E12" s="79">
        <f t="shared" si="1"/>
        <v>0.88130386333397615</v>
      </c>
      <c r="F12" s="14">
        <f>SUM(Apr!F12, May!F12, Jun!G12)</f>
        <v>151677</v>
      </c>
      <c r="G12" s="14">
        <f t="shared" si="0"/>
        <v>-16325.630000000005</v>
      </c>
      <c r="H12" s="15">
        <f t="shared" si="2"/>
        <v>-0.1076341831655426</v>
      </c>
      <c r="I12" s="16">
        <f>SUM(Apr!I12+May!I12+Jun!J12)</f>
        <v>154637.39600000001</v>
      </c>
      <c r="J12" s="16">
        <f>SUM(Apr!J12, May!J12, Jun!K12)</f>
        <v>-19286.025999999998</v>
      </c>
      <c r="K12" s="17">
        <f t="shared" si="3"/>
        <v>-0.12471773645231324</v>
      </c>
    </row>
    <row r="13" spans="1:14" ht="15.6">
      <c r="A13" s="19" t="str">
        <v>CA: Petaluma MOB - Citi</v>
      </c>
      <c r="B13" s="11" t="str">
        <v>CA</v>
      </c>
      <c r="C13" s="12">
        <f>SUM(Apr!C13, May!C13, Jun!C13)</f>
        <v>304871.5</v>
      </c>
      <c r="D13" s="12">
        <f>SUM(Apr!D13,May!D13,Jun!D13)</f>
        <v>353186.27</v>
      </c>
      <c r="E13" s="80">
        <f t="shared" si="1"/>
        <v>0.86320314773278128</v>
      </c>
      <c r="F13" s="20">
        <f>SUM(Apr!F13, May!F13, Jun!G13)</f>
        <v>231715</v>
      </c>
      <c r="G13" s="20">
        <f t="shared" si="0"/>
        <v>73156.5</v>
      </c>
      <c r="H13" s="21">
        <f t="shared" si="2"/>
        <v>0.31571758410115874</v>
      </c>
      <c r="I13" s="22">
        <f>SUM(Apr!I13+May!I13+Jun!J13)</f>
        <v>174401.52600000001</v>
      </c>
      <c r="J13" s="22">
        <f>SUM(Apr!J13, May!J13, Jun!K13)</f>
        <v>130469.97399999999</v>
      </c>
      <c r="K13" s="21">
        <f t="shared" si="3"/>
        <v>0.74810110319791567</v>
      </c>
    </row>
    <row r="14" spans="1:14" ht="15.6">
      <c r="A14" s="13" t="str">
        <v>CA: Pleasanton Tec Ctr - Citi</v>
      </c>
      <c r="B14" s="10" t="str">
        <v>CA</v>
      </c>
      <c r="C14" s="26">
        <f>SUM(Apr!C14, May!C14, Jun!C14)</f>
        <v>414645.5</v>
      </c>
      <c r="D14" s="123">
        <f>SUM(Apr!D14,May!D14,Jun!D14)</f>
        <v>489521.72</v>
      </c>
      <c r="E14" s="79">
        <f t="shared" si="1"/>
        <v>0.84704208834696859</v>
      </c>
      <c r="F14" s="14">
        <f>SUM(Apr!F14, May!F14, Jun!G14)</f>
        <v>493407</v>
      </c>
      <c r="G14" s="14">
        <f t="shared" si="0"/>
        <v>-78761.5</v>
      </c>
      <c r="H14" s="15">
        <f t="shared" si="2"/>
        <v>-0.15962785286791634</v>
      </c>
      <c r="I14" s="16">
        <f>SUM(Apr!I14+May!I14+Jun!J14)</f>
        <v>495720.62800000003</v>
      </c>
      <c r="J14" s="16">
        <f>SUM(Apr!J14, May!J14, Jun!K14)</f>
        <v>-81075.127999999997</v>
      </c>
      <c r="K14" s="17">
        <f t="shared" si="3"/>
        <v>-0.16355003891425715</v>
      </c>
    </row>
    <row r="15" spans="1:14" ht="15.6">
      <c r="A15" s="19" t="str">
        <v>CA: Rancho Cordova - Citi</v>
      </c>
      <c r="B15" s="11" t="str">
        <v>CA</v>
      </c>
      <c r="C15" s="12">
        <f>SUM(Apr!C15, May!C15, Jun!C15)</f>
        <v>693218</v>
      </c>
      <c r="D15" s="12">
        <f>SUM(Apr!D15,May!D15,Jun!D15)</f>
        <v>678501.17</v>
      </c>
      <c r="E15" s="80">
        <f t="shared" si="1"/>
        <v>1.0216902057810746</v>
      </c>
      <c r="F15" s="20">
        <f>SUM(Apr!F15, May!F15, Jun!G15)</f>
        <v>691844</v>
      </c>
      <c r="G15" s="20">
        <f t="shared" si="0"/>
        <v>1374</v>
      </c>
      <c r="H15" s="21">
        <f t="shared" si="2"/>
        <v>1.9859968432189914E-3</v>
      </c>
      <c r="I15" s="22">
        <f>SUM(Apr!I15+May!I15+Jun!J15)</f>
        <v>712662.47699999996</v>
      </c>
      <c r="J15" s="22">
        <f>SUM(Apr!J15, May!J15, Jun!K15)</f>
        <v>-19444.477000000014</v>
      </c>
      <c r="K15" s="21">
        <f t="shared" si="3"/>
        <v>-2.7284272187098765E-2</v>
      </c>
    </row>
    <row r="16" spans="1:14" ht="15.6">
      <c r="A16" s="13" t="str">
        <v>CA: S Sacramento Wyndham - Citi</v>
      </c>
      <c r="B16" s="10" t="str">
        <v>CA</v>
      </c>
      <c r="C16" s="37">
        <f>SUM(Apr!C16, May!C16, Jun!C16)</f>
        <v>394459.5</v>
      </c>
      <c r="D16" s="123">
        <f>SUM(Apr!D16,May!D16,Jun!D16)</f>
        <v>441074.56</v>
      </c>
      <c r="E16" s="79">
        <f t="shared" si="1"/>
        <v>0.89431478433034084</v>
      </c>
      <c r="F16" s="14">
        <f>SUM(Apr!F16, May!F16, Jun!G16)</f>
        <v>428966</v>
      </c>
      <c r="G16" s="14">
        <f t="shared" si="0"/>
        <v>-34506.5</v>
      </c>
      <c r="H16" s="38">
        <f t="shared" ref="H16:H22" si="4">IFERROR(G16/F16, "")</f>
        <v>-8.0441107220618882E-2</v>
      </c>
      <c r="I16" s="16">
        <f>SUM(Apr!I16+May!I16+Jun!J16)</f>
        <v>432826.63399999996</v>
      </c>
      <c r="J16" s="39">
        <f>SUM(Apr!J16, May!J16, Jun!K16)</f>
        <v>-38367.133999999991</v>
      </c>
      <c r="K16" s="40">
        <f t="shared" ref="K16:K21" si="5">IFERROR(J16/I16, "")</f>
        <v>-8.8643191028766485E-2</v>
      </c>
    </row>
    <row r="17" spans="1:11" ht="15.6">
      <c r="A17" s="19" t="str">
        <v>CA: Sacramento Point West - Citi</v>
      </c>
      <c r="B17" s="11" t="str">
        <v>CA</v>
      </c>
      <c r="C17" s="42">
        <f>SUM(Apr!C17, May!C17, Jun!C17)</f>
        <v>802124</v>
      </c>
      <c r="D17" s="12">
        <f>SUM(Apr!D17,May!D17,Jun!D17)</f>
        <v>842401.5</v>
      </c>
      <c r="E17" s="80">
        <f t="shared" si="1"/>
        <v>0.95218728836546473</v>
      </c>
      <c r="F17" s="20">
        <f>SUM(Apr!F17, May!F17, Jun!G17)</f>
        <v>844998</v>
      </c>
      <c r="G17" s="20">
        <f t="shared" si="0"/>
        <v>-42874</v>
      </c>
      <c r="H17" s="43">
        <f t="shared" si="4"/>
        <v>-5.0738581629779005E-2</v>
      </c>
      <c r="I17" s="22">
        <f>SUM(Apr!I17+May!I17+Jun!J17)</f>
        <v>868540.30099999998</v>
      </c>
      <c r="J17" s="44">
        <f>SUM(Apr!J17, May!J17, Jun!K17)</f>
        <v>-66416.301000000007</v>
      </c>
      <c r="K17" s="43">
        <f t="shared" si="5"/>
        <v>-7.6468876485675019E-2</v>
      </c>
    </row>
    <row r="18" spans="1:11" ht="12.75" customHeight="1">
      <c r="A18" s="13" t="str">
        <v>CA: San Jose FHC - Citi</v>
      </c>
      <c r="B18" s="10" t="str">
        <v>CA</v>
      </c>
      <c r="C18" s="37">
        <f>SUM(Apr!C18, May!C18, Jun!C18)</f>
        <v>151713.5</v>
      </c>
      <c r="D18" s="123">
        <f>SUM(Apr!D18,May!D18,Jun!D18)</f>
        <v>167415.96</v>
      </c>
      <c r="E18" s="79">
        <f t="shared" si="1"/>
        <v>0.90620691121682784</v>
      </c>
      <c r="F18" s="14">
        <f>SUM(Apr!F18, May!F18, Jun!G18)</f>
        <v>169629</v>
      </c>
      <c r="G18" s="14">
        <f t="shared" si="0"/>
        <v>-17915.5</v>
      </c>
      <c r="H18" s="38">
        <f t="shared" si="4"/>
        <v>-0.10561578503675668</v>
      </c>
      <c r="I18" s="16">
        <f>SUM(Apr!I18+May!I18+Jun!J18)</f>
        <v>170017.24799999999</v>
      </c>
      <c r="J18" s="39">
        <f>SUM(Apr!J18, May!J18, Jun!K18)</f>
        <v>-18303.748</v>
      </c>
      <c r="K18" s="40">
        <f t="shared" si="5"/>
        <v>-0.10765818300976146</v>
      </c>
    </row>
    <row r="19" spans="1:11" ht="15.6">
      <c r="A19" s="19" t="str">
        <v>CA: San Jose MOB - Citi</v>
      </c>
      <c r="B19" s="11" t="str">
        <v>CA</v>
      </c>
      <c r="C19" s="42">
        <f>SUM(Apr!C19, May!C19, Jun!C19)</f>
        <v>234883</v>
      </c>
      <c r="D19" s="12">
        <f>SUM(Apr!D19,May!D19,Jun!D19)</f>
        <v>265727.78000000003</v>
      </c>
      <c r="E19" s="80">
        <f t="shared" si="1"/>
        <v>0.88392338956807592</v>
      </c>
      <c r="F19" s="20">
        <f>SUM(Apr!F19, May!F19, Jun!G19)</f>
        <v>271100</v>
      </c>
      <c r="G19" s="20">
        <f t="shared" si="0"/>
        <v>-36217</v>
      </c>
      <c r="H19" s="43">
        <f t="shared" si="4"/>
        <v>-0.13359277019549981</v>
      </c>
      <c r="I19" s="22">
        <f>SUM(Apr!I19+May!I19+Jun!J19)</f>
        <v>275756.74</v>
      </c>
      <c r="J19" s="44">
        <f>SUM(Apr!J19, May!J19, Jun!K19)</f>
        <v>-40873.739999999991</v>
      </c>
      <c r="K19" s="43">
        <f t="shared" si="5"/>
        <v>-0.14822390197969409</v>
      </c>
    </row>
    <row r="20" spans="1:11" ht="15.6">
      <c r="A20" s="13" t="str">
        <v>CA: Selma - Citi</v>
      </c>
      <c r="B20" s="10" t="str">
        <v>CA</v>
      </c>
      <c r="C20" s="37">
        <f>SUM(Apr!C20, May!C20, Jun!C20)</f>
        <v>148096.5</v>
      </c>
      <c r="D20" s="123">
        <f>SUM(Apr!D20,May!D20,Jun!D20)</f>
        <v>162742.39000000001</v>
      </c>
      <c r="E20" s="79">
        <f t="shared" si="1"/>
        <v>0.91000568444398533</v>
      </c>
      <c r="F20" s="14">
        <f>SUM(Apr!F20, May!F20, Jun!G20)</f>
        <v>163395</v>
      </c>
      <c r="G20" s="14">
        <f t="shared" si="0"/>
        <v>-15298.5</v>
      </c>
      <c r="H20" s="38">
        <f t="shared" si="4"/>
        <v>-9.3628936013953917E-2</v>
      </c>
      <c r="I20" s="16">
        <f>SUM(Apr!I20+May!I20+Jun!J20)</f>
        <v>164229.568</v>
      </c>
      <c r="J20" s="39">
        <f>SUM(Apr!J20, May!J20, Jun!K20)</f>
        <v>-16133.067999999999</v>
      </c>
      <c r="K20" s="40">
        <f t="shared" si="5"/>
        <v>-9.8234856222723543E-2</v>
      </c>
    </row>
    <row r="21" spans="1:11" ht="15.6">
      <c r="A21" s="19" t="str">
        <v>CA: Vacaville Hospital</v>
      </c>
      <c r="B21" s="11" t="str">
        <v>CA</v>
      </c>
      <c r="C21" s="42">
        <f>SUM(Apr!C21, May!C21, Jun!C21)</f>
        <v>926498.25</v>
      </c>
      <c r="D21" s="12">
        <f>SUM(Apr!D21,May!D21,Jun!D21)</f>
        <v>1109686.6600000001</v>
      </c>
      <c r="E21" s="80">
        <f t="shared" si="1"/>
        <v>0.83491879590586393</v>
      </c>
      <c r="F21" s="20">
        <f>SUM(Apr!F21, May!F21, Jun!G21)</f>
        <v>1153144</v>
      </c>
      <c r="G21" s="20">
        <f t="shared" si="0"/>
        <v>-226645.75</v>
      </c>
      <c r="H21" s="43">
        <f t="shared" si="4"/>
        <v>-0.1965459214113762</v>
      </c>
      <c r="I21" s="22">
        <f>SUM(Apr!I21+May!I21+Jun!J21)</f>
        <v>1203220.8810000001</v>
      </c>
      <c r="J21" s="44">
        <f>SUM(Apr!J21, May!J21, Jun!K21)</f>
        <v>-276722.63099999999</v>
      </c>
      <c r="K21" s="43">
        <f t="shared" si="5"/>
        <v>-0.2299848975110996</v>
      </c>
    </row>
    <row r="22" spans="1:11" ht="15.6">
      <c r="A22" s="13" t="str">
        <v>CA: Manteca - KP Manteca Hospital</v>
      </c>
      <c r="B22" s="10" t="str">
        <v>CA</v>
      </c>
      <c r="C22" s="37">
        <f>SUM(Apr!C22, May!C22, Jun!C22)</f>
        <v>225844.25</v>
      </c>
      <c r="D22" s="123">
        <f>SUM(Apr!D22,May!D22,Jun!D22)</f>
        <v>362045</v>
      </c>
      <c r="E22" s="79">
        <f t="shared" si="1"/>
        <v>0.62380159924871215</v>
      </c>
      <c r="F22" s="14">
        <f>SUM(Apr!F22, May!F22, Jun!G22)</f>
        <v>265988.91499999998</v>
      </c>
      <c r="G22" s="14">
        <f t="shared" si="0"/>
        <v>-40144.664999999979</v>
      </c>
      <c r="H22" s="38">
        <f t="shared" si="4"/>
        <v>-0.15092608276551669</v>
      </c>
      <c r="I22" s="16">
        <f>SUM(Apr!I22+May!I22+Jun!J22)</f>
        <v>301048.853</v>
      </c>
      <c r="J22" s="39">
        <f>SUM(Apr!J22, May!J22, Jun!K22)</f>
        <v>-75204.603000000003</v>
      </c>
      <c r="K22" s="40">
        <f>IFERROR(J22/I22, "")</f>
        <v>-0.24980863487960209</v>
      </c>
    </row>
    <row r="23" spans="1:11" ht="15.6">
      <c r="A23" s="19" t="str">
        <v>Sacramento - KP South Sacramento HSP</v>
      </c>
      <c r="B23" s="11" t="str">
        <v>CA</v>
      </c>
      <c r="C23" s="42">
        <f>SUM(Apr!C23, May!C23, Jun!C23)</f>
        <v>954131.58999999985</v>
      </c>
      <c r="D23" s="12">
        <f>SUM(Apr!D23,May!D23,Jun!D23)</f>
        <v>0</v>
      </c>
      <c r="E23" s="80">
        <v>0</v>
      </c>
      <c r="F23" s="20">
        <f>SUM(Apr!F23, May!F23, Jun!G23)</f>
        <v>0</v>
      </c>
      <c r="G23" s="20">
        <f t="shared" ref="G23" si="6">IF(AND(ISNUMBER(C23),ISNUMBER(F23)), C23-F23, "")</f>
        <v>954131.58999999985</v>
      </c>
      <c r="H23" s="43" t="str">
        <f t="shared" ref="H23" si="7">IFERROR(G23/F23, "")</f>
        <v/>
      </c>
      <c r="I23" s="22">
        <f>SUM(Apr!I23+May!I23+Jun!J23)</f>
        <v>1138845</v>
      </c>
      <c r="J23" s="44">
        <f>SUM(Apr!J23, May!J23, Jun!K23)</f>
        <v>-184713.41000000003</v>
      </c>
      <c r="K23" s="43">
        <f>IFERROR(J23/I23, "")</f>
        <v>-0.1621936347790964</v>
      </c>
    </row>
    <row r="24" spans="1:11" ht="13.9">
      <c r="A24" s="23"/>
      <c r="B24" s="23"/>
      <c r="C24" s="23"/>
      <c r="D24" s="23"/>
      <c r="E24" s="23"/>
      <c r="F24" s="23"/>
      <c r="G24" s="23"/>
      <c r="H24" s="23"/>
      <c r="I24" s="23"/>
    </row>
    <row r="25" spans="1:11" ht="13.9">
      <c r="A25" s="23"/>
      <c r="B25" s="23"/>
      <c r="C25" s="23"/>
      <c r="D25" s="23"/>
      <c r="E25" s="23"/>
      <c r="F25" s="23"/>
      <c r="G25" s="23"/>
      <c r="H25" s="23"/>
      <c r="I25" s="23"/>
    </row>
    <row r="26" spans="1:11" ht="13.9">
      <c r="A26" s="23"/>
      <c r="B26" s="23"/>
      <c r="C26" s="23"/>
      <c r="D26" s="23"/>
      <c r="E26" s="23"/>
      <c r="F26" s="23"/>
      <c r="G26" s="23"/>
      <c r="H26" s="23"/>
      <c r="I26" s="23"/>
    </row>
    <row r="27" spans="1:11" ht="13.9">
      <c r="A27" s="23"/>
      <c r="B27" s="23"/>
      <c r="C27" s="23"/>
      <c r="D27" s="23"/>
      <c r="E27" s="23"/>
      <c r="F27" s="23"/>
      <c r="G27" s="23"/>
      <c r="H27" s="23"/>
      <c r="I27" s="23"/>
    </row>
    <row r="28" spans="1:11" ht="13.9">
      <c r="A28" s="23"/>
      <c r="B28" s="23"/>
      <c r="C28" s="23"/>
      <c r="D28" s="23"/>
      <c r="E28" s="23"/>
      <c r="F28" s="23"/>
      <c r="G28" s="23"/>
      <c r="H28" s="23"/>
      <c r="I28" s="23"/>
    </row>
    <row r="29" spans="1:11" ht="13.9">
      <c r="A29" s="23"/>
      <c r="B29" s="23"/>
      <c r="C29" s="23"/>
      <c r="D29" s="23"/>
      <c r="E29" s="23"/>
      <c r="F29" s="23"/>
      <c r="G29" s="23"/>
      <c r="H29" s="23"/>
      <c r="I29" s="23"/>
    </row>
    <row r="30" spans="1:11" ht="13.9">
      <c r="A30" s="23"/>
      <c r="B30" s="23"/>
      <c r="C30" s="23"/>
      <c r="D30" s="23"/>
      <c r="E30" s="23"/>
      <c r="F30" s="23"/>
      <c r="G30" s="23"/>
      <c r="H30" s="23"/>
      <c r="I30" s="23"/>
    </row>
    <row r="31" spans="1:11" ht="13.9">
      <c r="A31" s="23"/>
      <c r="B31" s="23"/>
      <c r="C31" s="23"/>
      <c r="D31" s="23"/>
      <c r="E31" s="23"/>
      <c r="F31" s="23"/>
      <c r="G31" s="23"/>
      <c r="H31" s="23"/>
      <c r="I31" s="23"/>
    </row>
    <row r="32" spans="1:11"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row r="332" spans="1:9" ht="13.9">
      <c r="A332" s="23"/>
      <c r="B332" s="23"/>
      <c r="C332" s="23"/>
      <c r="D332" s="23"/>
      <c r="E332" s="23"/>
      <c r="F332" s="24"/>
      <c r="G332" s="23"/>
      <c r="H332" s="23"/>
      <c r="I332" s="24"/>
    </row>
    <row r="333" spans="1:9" ht="13.9">
      <c r="A333" s="23"/>
      <c r="B333" s="23"/>
      <c r="C333" s="23"/>
      <c r="D333" s="23"/>
      <c r="E333" s="23"/>
      <c r="F333" s="24"/>
      <c r="G333" s="23"/>
      <c r="H333" s="23"/>
      <c r="I333" s="24"/>
    </row>
    <row r="334" spans="1:9" ht="13.9">
      <c r="A334" s="23"/>
      <c r="B334" s="23"/>
      <c r="C334" s="23"/>
      <c r="D334" s="23"/>
      <c r="E334" s="23"/>
      <c r="F334" s="24"/>
      <c r="G334" s="23"/>
      <c r="H334" s="23"/>
      <c r="I334" s="24"/>
    </row>
    <row r="335" spans="1:9" ht="13.9">
      <c r="A335" s="23"/>
      <c r="B335" s="23"/>
      <c r="C335" s="23"/>
      <c r="D335" s="23"/>
      <c r="E335" s="23"/>
      <c r="F335" s="24"/>
      <c r="G335" s="23"/>
      <c r="H335" s="23"/>
      <c r="I335" s="24"/>
    </row>
    <row r="336" spans="1:9" ht="13.9">
      <c r="A336" s="23"/>
      <c r="B336" s="23"/>
      <c r="C336" s="23"/>
      <c r="D336" s="23"/>
      <c r="E336" s="23"/>
      <c r="F336" s="24"/>
      <c r="G336" s="23"/>
      <c r="H336" s="23"/>
      <c r="I336" s="24"/>
    </row>
    <row r="337" spans="1:9" ht="13.9">
      <c r="A337" s="23"/>
      <c r="B337" s="23"/>
      <c r="C337" s="23"/>
      <c r="D337" s="23"/>
      <c r="E337" s="23"/>
      <c r="F337" s="24"/>
      <c r="G337" s="23"/>
      <c r="H337" s="23"/>
      <c r="I337" s="24"/>
    </row>
    <row r="338" spans="1:9" ht="13.9">
      <c r="A338" s="23"/>
      <c r="B338" s="23"/>
      <c r="C338" s="23"/>
      <c r="D338" s="23"/>
      <c r="E338" s="23"/>
      <c r="F338" s="24"/>
      <c r="G338" s="23"/>
      <c r="H338" s="23"/>
      <c r="I338" s="24"/>
    </row>
    <row r="339" spans="1:9" ht="13.9">
      <c r="A339" s="23"/>
      <c r="B339" s="23"/>
      <c r="C339" s="23"/>
      <c r="D339" s="23"/>
      <c r="E339" s="23"/>
      <c r="F339" s="24"/>
      <c r="G339" s="23"/>
      <c r="H339" s="23"/>
      <c r="I339" s="24"/>
    </row>
    <row r="340" spans="1:9" ht="13.9">
      <c r="A340" s="23"/>
      <c r="B340" s="23"/>
      <c r="C340" s="23"/>
      <c r="D340" s="23"/>
      <c r="E340" s="23"/>
      <c r="F340" s="24"/>
      <c r="G340" s="23"/>
      <c r="H340" s="23"/>
      <c r="I340" s="24"/>
    </row>
    <row r="341" spans="1:9" ht="13.9">
      <c r="A341" s="23"/>
      <c r="B341" s="23"/>
      <c r="C341" s="23"/>
      <c r="D341" s="23"/>
      <c r="E341" s="23"/>
      <c r="F341" s="24"/>
      <c r="G341" s="23"/>
      <c r="H341" s="23"/>
      <c r="I341" s="24"/>
    </row>
  </sheetData>
  <sortState xmlns:xlrd2="http://schemas.microsoft.com/office/spreadsheetml/2017/richdata2" ref="A3:K4">
    <sortCondition ref="A3:A4"/>
  </sortState>
  <mergeCells count="4">
    <mergeCell ref="I1:K1"/>
    <mergeCell ref="A1:C1"/>
    <mergeCell ref="F1:H1"/>
    <mergeCell ref="A2:B2"/>
  </mergeCells>
  <conditionalFormatting sqref="H2 K2 H4:H23 K4:K23 F24:F99 I24:I99">
    <cfRule type="cellIs" dxfId="30" priority="1" stopIfTrue="1" operator="lessThanOrEqual">
      <formula>-0.1</formula>
    </cfRule>
    <cfRule type="expression" dxfId="29"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M342"/>
  <sheetViews>
    <sheetView workbookViewId="0">
      <pane ySplit="2" topLeftCell="A3" activePane="bottomLeft" state="frozen"/>
      <selection pane="bottomLeft" activeCell="G17" sqref="G1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13" ht="19.5" customHeight="1" thickBot="1">
      <c r="A1" s="129" t="str" cm="1">
        <f t="array" ref="A1">portfolio</f>
        <v>CITI</v>
      </c>
      <c r="B1" s="129"/>
      <c r="C1" s="129"/>
      <c r="D1" s="74" t="s">
        <v>0</v>
      </c>
      <c r="E1" s="75" t="s">
        <v>1</v>
      </c>
      <c r="F1" s="130" t="s">
        <v>16</v>
      </c>
      <c r="G1" s="130"/>
      <c r="H1" s="130"/>
      <c r="I1" s="128" t="s">
        <v>17</v>
      </c>
      <c r="J1" s="128"/>
      <c r="K1" s="128"/>
    </row>
    <row r="2" spans="1:13" ht="19.5" customHeight="1">
      <c r="A2" s="131" t="s">
        <v>4</v>
      </c>
      <c r="B2" s="131"/>
      <c r="C2" s="6">
        <f>SUM(C4:C100)</f>
        <v>0</v>
      </c>
      <c r="D2" s="6">
        <f>SUM(D3:D22)</f>
        <v>0</v>
      </c>
      <c r="E2" s="68" t="e">
        <f>C2/D2</f>
        <v>#DIV/0!</v>
      </c>
      <c r="F2" s="6">
        <f>SUM(D4:D100)</f>
        <v>0</v>
      </c>
      <c r="G2" s="6">
        <f>C2-F2</f>
        <v>0</v>
      </c>
      <c r="H2" s="7">
        <f>IFERROR(G2/F2, 0)</f>
        <v>0</v>
      </c>
      <c r="I2" s="6">
        <f>SUM(G4:G100)</f>
        <v>0</v>
      </c>
      <c r="J2" s="8">
        <f>C2-I2</f>
        <v>0</v>
      </c>
      <c r="K2" s="7">
        <f>IFERROR(J2/I2, 0)</f>
        <v>0</v>
      </c>
    </row>
    <row r="3" spans="1:13" ht="14.25" customHeight="1">
      <c r="A3" s="9" t="s">
        <v>5</v>
      </c>
      <c r="B3" s="9" t="s">
        <v>6</v>
      </c>
      <c r="C3" s="25" t="s">
        <v>7</v>
      </c>
      <c r="D3" s="69"/>
      <c r="E3" s="70"/>
      <c r="F3" s="49" t="s">
        <v>8</v>
      </c>
      <c r="G3" s="49" t="s">
        <v>9</v>
      </c>
      <c r="H3" s="50" t="s">
        <v>10</v>
      </c>
      <c r="I3" s="51" t="s">
        <v>11</v>
      </c>
      <c r="J3" s="52" t="s">
        <v>9</v>
      </c>
      <c r="K3" s="53" t="s">
        <v>10</v>
      </c>
    </row>
    <row r="4" spans="1:13" ht="15.6">
      <c r="A4" s="13" t="str" cm="1">
        <f t="array" ref="A4:A23">Sites[Site]</f>
        <v>CA: Antioch Deer Valley - Citi</v>
      </c>
      <c r="B4" s="10" t="str" cm="1">
        <f t="array" ref="B4:B23">Sites[State]</f>
        <v>CA</v>
      </c>
      <c r="C4" s="26">
        <f>SUM(Jul!C4, Aug!C4, Sep!C4)</f>
        <v>0</v>
      </c>
      <c r="D4" s="71">
        <f>SUM(Jul!D4,Aug!D4,Sep!D4)</f>
        <v>0</v>
      </c>
      <c r="E4" s="82" t="e">
        <f>C4/D4</f>
        <v>#DIV/0!</v>
      </c>
      <c r="F4" s="14">
        <f>SUM(Jul!F4, Aug!F4, Sep!G4)</f>
        <v>0</v>
      </c>
      <c r="G4" s="14">
        <f t="shared" ref="G4:G20" si="0">IF(AND(ISNUMBER(C4),ISNUMBER(F4)), C4-F4, "")</f>
        <v>0</v>
      </c>
      <c r="H4" s="15" t="str">
        <f>IFERROR(G4/F4, "")</f>
        <v/>
      </c>
      <c r="I4" s="16">
        <f>SUM(Jul!I4, Aug!K4, Sep!L4)</f>
        <v>0</v>
      </c>
      <c r="J4" s="16">
        <f>SUM(Jul!J4, Aug!J4, Sep!K4)</f>
        <v>0</v>
      </c>
      <c r="K4" s="17" t="str">
        <f>IFERROR(J4/I4, "")</f>
        <v/>
      </c>
    </row>
    <row r="5" spans="1:13" ht="15.6">
      <c r="A5" s="19" t="str">
        <v>CA: Antioch MC CUP - Citi</v>
      </c>
      <c r="B5" s="11" t="str">
        <v>CA</v>
      </c>
      <c r="C5" s="12">
        <f>SUM(Jul!C5, Aug!C5, Sep!C5)</f>
        <v>0</v>
      </c>
      <c r="D5" s="12"/>
      <c r="E5" s="80" t="e">
        <f t="shared" ref="E5:E22" si="1">C5/D5</f>
        <v>#DIV/0!</v>
      </c>
      <c r="F5" s="20">
        <f>SUM(Jul!F5, Aug!F5, Sep!G5)</f>
        <v>0</v>
      </c>
      <c r="G5" s="20">
        <f t="shared" si="0"/>
        <v>0</v>
      </c>
      <c r="H5" s="21" t="str">
        <f>IFERROR(G5/F5, "")</f>
        <v/>
      </c>
      <c r="I5" s="22">
        <f>SUM(Jul!I5, Aug!K5, Sep!L5)</f>
        <v>0</v>
      </c>
      <c r="J5" s="22">
        <f>SUM(Jul!J5, Aug!J5, Sep!K5)</f>
        <v>0</v>
      </c>
      <c r="K5" s="21" t="str">
        <f>IFERROR(J5/I5, "")</f>
        <v/>
      </c>
    </row>
    <row r="6" spans="1:13" ht="15.6">
      <c r="A6" s="13" t="str">
        <v>CA: Clovis - Citi</v>
      </c>
      <c r="B6" s="10" t="str">
        <v>CA</v>
      </c>
      <c r="C6" s="26">
        <f>SUM(Jul!C6, Aug!C6, Sep!C6)</f>
        <v>0</v>
      </c>
      <c r="D6" s="71">
        <f>SUM(Jul!D6,Aug!D6,Sep!D6)</f>
        <v>0</v>
      </c>
      <c r="E6" s="82" t="e">
        <f t="shared" si="1"/>
        <v>#DIV/0!</v>
      </c>
      <c r="F6" s="14">
        <f>SUM(Jul!F6, Aug!F6, Sep!G6)</f>
        <v>0</v>
      </c>
      <c r="G6" s="14">
        <f t="shared" si="0"/>
        <v>0</v>
      </c>
      <c r="H6" s="15" t="str">
        <f t="shared" ref="H6:H15" si="2">IFERROR(G6/F6, "")</f>
        <v/>
      </c>
      <c r="I6" s="16">
        <f>SUM(Jul!I6, Aug!K6, Sep!L6)</f>
        <v>0</v>
      </c>
      <c r="J6" s="16">
        <f>SUM(Jul!J6, Aug!J6, Sep!K6)</f>
        <v>0</v>
      </c>
      <c r="K6" s="17" t="str">
        <f t="shared" ref="K6:K15" si="3">IFERROR(J6/I6, "")</f>
        <v/>
      </c>
    </row>
    <row r="7" spans="1:13" ht="15.6">
      <c r="A7" s="19" t="str">
        <v>CA: Elk Grove MOB - Citi</v>
      </c>
      <c r="B7" s="11" t="str">
        <v>CA</v>
      </c>
      <c r="C7" s="12">
        <f>SUM(Jul!C7, Aug!C7, Sep!C7)</f>
        <v>0</v>
      </c>
      <c r="D7" s="12"/>
      <c r="E7" s="80" t="e">
        <f t="shared" si="1"/>
        <v>#DIV/0!</v>
      </c>
      <c r="F7" s="20">
        <f>SUM(Jul!F7, Aug!F7, Sep!G7)</f>
        <v>0</v>
      </c>
      <c r="G7" s="20">
        <f t="shared" si="0"/>
        <v>0</v>
      </c>
      <c r="H7" s="21" t="str">
        <f t="shared" si="2"/>
        <v/>
      </c>
      <c r="I7" s="22">
        <f>SUM(Jul!I7, Aug!K7, Sep!L7)</f>
        <v>0</v>
      </c>
      <c r="J7" s="22">
        <f>SUM(Jul!J7, Aug!J7, Sep!K7)</f>
        <v>0</v>
      </c>
      <c r="K7" s="21" t="str">
        <f t="shared" si="3"/>
        <v/>
      </c>
    </row>
    <row r="8" spans="1:13" ht="15.6">
      <c r="A8" s="13" t="str">
        <v>CA: Elk Grove Promenade - Citi</v>
      </c>
      <c r="B8" s="10" t="str">
        <v>CA</v>
      </c>
      <c r="C8" s="26">
        <f>SUM(Jul!C8, Aug!C8, Sep!C8)</f>
        <v>0</v>
      </c>
      <c r="D8" s="71">
        <f>SUM(Jul!D8,Aug!D8,Sep!D8)</f>
        <v>0</v>
      </c>
      <c r="E8" s="82" t="e">
        <f t="shared" si="1"/>
        <v>#DIV/0!</v>
      </c>
      <c r="F8" s="14">
        <f>SUM(Jul!F8, Aug!F8, Sep!G8)</f>
        <v>0</v>
      </c>
      <c r="G8" s="14">
        <f t="shared" si="0"/>
        <v>0</v>
      </c>
      <c r="H8" s="15" t="str">
        <f t="shared" si="2"/>
        <v/>
      </c>
      <c r="I8" s="16">
        <f>SUM(Jul!I8, Aug!K8, Sep!L8)</f>
        <v>0</v>
      </c>
      <c r="J8" s="16">
        <f>SUM(Jul!J8, Aug!J8, Sep!K8)</f>
        <v>0</v>
      </c>
      <c r="K8" s="17" t="str">
        <f t="shared" si="3"/>
        <v/>
      </c>
    </row>
    <row r="9" spans="1:13" ht="15.6">
      <c r="A9" s="19" t="str">
        <v>CA: Fresno Sequioa - Citi</v>
      </c>
      <c r="B9" s="11" t="str">
        <v>CA</v>
      </c>
      <c r="C9" s="12">
        <f>SUM(Jul!C9, Aug!C9, Sep!C9)</f>
        <v>0</v>
      </c>
      <c r="D9" s="12"/>
      <c r="E9" s="80" t="e">
        <f t="shared" si="1"/>
        <v>#DIV/0!</v>
      </c>
      <c r="F9" s="20">
        <f>SUM(Jul!F9, Aug!F9, Sep!G9)</f>
        <v>0</v>
      </c>
      <c r="G9" s="20">
        <f t="shared" si="0"/>
        <v>0</v>
      </c>
      <c r="H9" s="21" t="str">
        <f t="shared" si="2"/>
        <v/>
      </c>
      <c r="I9" s="22">
        <f>SUM(Jul!I9, Aug!K9, Sep!L9)</f>
        <v>0</v>
      </c>
      <c r="J9" s="22">
        <f>SUM(Jul!J9, Aug!J9, Sep!K9)</f>
        <v>0</v>
      </c>
      <c r="K9" s="21" t="str">
        <f t="shared" si="3"/>
        <v/>
      </c>
    </row>
    <row r="10" spans="1:13" ht="15.6">
      <c r="A10" s="13" t="str">
        <v>CA: Fresno MOB - Citi</v>
      </c>
      <c r="B10" s="10" t="str">
        <v>CA</v>
      </c>
      <c r="C10" s="26">
        <f>SUM(Jul!C10, Aug!C10, Sep!C10)</f>
        <v>0</v>
      </c>
      <c r="D10" s="71">
        <f>SUM(Jul!D10,Aug!D10,Sep!D10)</f>
        <v>0</v>
      </c>
      <c r="E10" s="82" t="e">
        <f t="shared" si="1"/>
        <v>#DIV/0!</v>
      </c>
      <c r="F10" s="14">
        <f>SUM(Jul!F10, Aug!F10, Sep!G10)</f>
        <v>0</v>
      </c>
      <c r="G10" s="14">
        <f t="shared" si="0"/>
        <v>0</v>
      </c>
      <c r="H10" s="15" t="str">
        <f t="shared" si="2"/>
        <v/>
      </c>
      <c r="I10" s="16">
        <f>SUM(Jul!I10, Aug!K10, Sep!L10)</f>
        <v>0</v>
      </c>
      <c r="J10" s="16">
        <f>SUM(Jul!J10, Aug!J10, Sep!K10)</f>
        <v>0</v>
      </c>
      <c r="K10" s="17" t="str">
        <f t="shared" si="3"/>
        <v/>
      </c>
    </row>
    <row r="11" spans="1:13" ht="15.6">
      <c r="A11" s="19" t="str">
        <v>CA: Modesto Bangs - Citi</v>
      </c>
      <c r="B11" s="11" t="str">
        <v>CA</v>
      </c>
      <c r="C11" s="12">
        <f>SUM(Jul!C11, Aug!C11, Sep!C11)</f>
        <v>0</v>
      </c>
      <c r="D11" s="12"/>
      <c r="E11" s="80" t="e">
        <f t="shared" si="1"/>
        <v>#DIV/0!</v>
      </c>
      <c r="F11" s="20">
        <f>SUM(Jul!F11, Aug!F11, Sep!G11)</f>
        <v>0</v>
      </c>
      <c r="G11" s="20">
        <f t="shared" si="0"/>
        <v>0</v>
      </c>
      <c r="H11" s="21" t="str">
        <f t="shared" si="2"/>
        <v/>
      </c>
      <c r="I11" s="22">
        <f>SUM(Jul!I11, Aug!K11, Sep!L11)</f>
        <v>0</v>
      </c>
      <c r="J11" s="22">
        <f>SUM(Jul!J11, Aug!J11, Sep!K11)</f>
        <v>0</v>
      </c>
      <c r="K11" s="21" t="str">
        <f t="shared" si="3"/>
        <v/>
      </c>
      <c r="M11" s="20"/>
    </row>
    <row r="12" spans="1:13" ht="15.6">
      <c r="A12" s="13" t="str">
        <v>CA: Napa Data Center - Citi</v>
      </c>
      <c r="B12" s="10" t="str">
        <v>CA</v>
      </c>
      <c r="C12" s="26">
        <f>SUM(Jul!C12, Aug!C12, Sep!C12)</f>
        <v>0</v>
      </c>
      <c r="D12" s="71">
        <f>SUM(Jul!D12,Aug!D12,Sep!D12)</f>
        <v>0</v>
      </c>
      <c r="E12" s="82" t="e">
        <f t="shared" si="1"/>
        <v>#DIV/0!</v>
      </c>
      <c r="F12" s="14">
        <f>SUM(Jul!F12, Aug!F12, Sep!G12)</f>
        <v>0</v>
      </c>
      <c r="G12" s="14">
        <f t="shared" si="0"/>
        <v>0</v>
      </c>
      <c r="H12" s="15" t="str">
        <f t="shared" si="2"/>
        <v/>
      </c>
      <c r="I12" s="16">
        <f>SUM(Jul!I12, Aug!K12, Sep!L12)</f>
        <v>0</v>
      </c>
      <c r="J12" s="16">
        <f>SUM(Jul!J12, Aug!J12, Sep!K12)</f>
        <v>0</v>
      </c>
      <c r="K12" s="17" t="str">
        <f t="shared" si="3"/>
        <v/>
      </c>
    </row>
    <row r="13" spans="1:13" ht="15.6">
      <c r="A13" s="19" t="str">
        <v>CA: Petaluma MOB - Citi</v>
      </c>
      <c r="B13" s="11" t="str">
        <v>CA</v>
      </c>
      <c r="C13" s="12">
        <f>SUM(Jul!C13, Aug!C13, Sep!C13)</f>
        <v>0</v>
      </c>
      <c r="D13" s="12"/>
      <c r="E13" s="80" t="e">
        <f t="shared" si="1"/>
        <v>#DIV/0!</v>
      </c>
      <c r="F13" s="20">
        <f>SUM(Jul!F13, Aug!F13, Sep!G13)</f>
        <v>0</v>
      </c>
      <c r="G13" s="20">
        <f t="shared" si="0"/>
        <v>0</v>
      </c>
      <c r="H13" s="21" t="str">
        <f t="shared" si="2"/>
        <v/>
      </c>
      <c r="I13" s="22">
        <f>SUM(Jul!I13, Aug!K13, Sep!L13)</f>
        <v>0</v>
      </c>
      <c r="J13" s="22">
        <f>SUM(Jul!J13, Aug!J13, Sep!K13)</f>
        <v>0</v>
      </c>
      <c r="K13" s="21" t="str">
        <f t="shared" si="3"/>
        <v/>
      </c>
    </row>
    <row r="14" spans="1:13" ht="15.6">
      <c r="A14" s="13" t="str">
        <v>CA: Pleasanton Tec Ctr - Citi</v>
      </c>
      <c r="B14" s="10" t="str">
        <v>CA</v>
      </c>
      <c r="C14" s="26">
        <f>SUM(Jul!C14, Aug!C14, Sep!C14)</f>
        <v>0</v>
      </c>
      <c r="D14" s="71">
        <f>SUM(Jul!D14,Aug!D14,Sep!D14)</f>
        <v>0</v>
      </c>
      <c r="E14" s="82" t="e">
        <f t="shared" si="1"/>
        <v>#DIV/0!</v>
      </c>
      <c r="F14" s="14">
        <f>SUM(Jul!F14, Aug!F14, Sep!G14)</f>
        <v>0</v>
      </c>
      <c r="G14" s="14">
        <f t="shared" si="0"/>
        <v>0</v>
      </c>
      <c r="H14" s="15" t="str">
        <f t="shared" si="2"/>
        <v/>
      </c>
      <c r="I14" s="16">
        <f>SUM(Jul!I14, Aug!K14, Sep!L14)</f>
        <v>0</v>
      </c>
      <c r="J14" s="16">
        <f>SUM(Jul!J14, Aug!J14, Sep!K14)</f>
        <v>0</v>
      </c>
      <c r="K14" s="17" t="str">
        <f t="shared" si="3"/>
        <v/>
      </c>
    </row>
    <row r="15" spans="1:13" ht="15.6">
      <c r="A15" s="19" t="str">
        <v>CA: Rancho Cordova - Citi</v>
      </c>
      <c r="B15" s="11" t="str">
        <v>CA</v>
      </c>
      <c r="C15" s="12">
        <f>SUM(Jul!C15, Aug!C15, Sep!C15)</f>
        <v>0</v>
      </c>
      <c r="D15" s="12"/>
      <c r="E15" s="80" t="e">
        <f t="shared" si="1"/>
        <v>#DIV/0!</v>
      </c>
      <c r="F15" s="20">
        <f>SUM(Jul!F15, Aug!F15, Sep!G15)</f>
        <v>0</v>
      </c>
      <c r="G15" s="20">
        <f t="shared" si="0"/>
        <v>0</v>
      </c>
      <c r="H15" s="21" t="str">
        <f t="shared" si="2"/>
        <v/>
      </c>
      <c r="I15" s="22">
        <f>SUM(Jul!I15, Aug!K15, Sep!L15)</f>
        <v>0</v>
      </c>
      <c r="J15" s="22">
        <f>SUM(Jul!J15, Aug!J15, Sep!K15)</f>
        <v>0</v>
      </c>
      <c r="K15" s="21" t="str">
        <f t="shared" si="3"/>
        <v/>
      </c>
    </row>
    <row r="16" spans="1:13" ht="15.6">
      <c r="A16" s="13" t="str">
        <v>CA: S Sacramento Wyndham - Citi</v>
      </c>
      <c r="B16" s="10" t="str">
        <v>CA</v>
      </c>
      <c r="C16" s="37">
        <f>SUM(Jul!C16, Aug!C16, Sep!C16)</f>
        <v>0</v>
      </c>
      <c r="D16" s="71">
        <f>SUM(Jul!D16,Aug!D16,Sep!D16)</f>
        <v>0</v>
      </c>
      <c r="E16" s="82" t="e">
        <f t="shared" si="1"/>
        <v>#DIV/0!</v>
      </c>
      <c r="F16" s="14">
        <f>SUM(Jul!F16, Aug!F16, Sep!G16)</f>
        <v>0</v>
      </c>
      <c r="G16" s="14">
        <f t="shared" si="0"/>
        <v>0</v>
      </c>
      <c r="H16" s="15" t="str">
        <f t="shared" ref="H16:H22" si="4">IFERROR(G16/F16, "")</f>
        <v/>
      </c>
      <c r="I16" s="16">
        <f>SUM(Jul!I16, Aug!K16, Sep!L16)</f>
        <v>0</v>
      </c>
      <c r="J16" s="16">
        <f>SUM(Jul!J16, Aug!J16, Sep!K16)</f>
        <v>0</v>
      </c>
      <c r="K16" s="17" t="str">
        <f t="shared" ref="K16:K22" si="5">IFERROR(J16/I16, "")</f>
        <v/>
      </c>
    </row>
    <row r="17" spans="1:11" ht="15.6">
      <c r="A17" s="19" t="str">
        <v>CA: Sacramento Point West - Citi</v>
      </c>
      <c r="B17" s="11" t="str">
        <v>CA</v>
      </c>
      <c r="C17" s="42">
        <f>SUM(Jul!C17, Aug!C17, Sep!C17)</f>
        <v>0</v>
      </c>
      <c r="D17" s="12"/>
      <c r="E17" s="80" t="e">
        <f t="shared" si="1"/>
        <v>#DIV/0!</v>
      </c>
      <c r="F17" s="20">
        <f>SUM(Jul!F17, Aug!F17, Sep!G17)</f>
        <v>0</v>
      </c>
      <c r="G17" s="20">
        <f t="shared" si="0"/>
        <v>0</v>
      </c>
      <c r="H17" s="21" t="str">
        <f t="shared" si="4"/>
        <v/>
      </c>
      <c r="I17" s="22">
        <f>SUM(Jul!I17, Aug!K17, Sep!L17)</f>
        <v>0</v>
      </c>
      <c r="J17" s="22">
        <f>SUM(Jul!J17, Aug!J17, Sep!K17)</f>
        <v>0</v>
      </c>
      <c r="K17" s="21" t="str">
        <f t="shared" si="5"/>
        <v/>
      </c>
    </row>
    <row r="18" spans="1:11" ht="12.75" customHeight="1">
      <c r="A18" s="13" t="str">
        <v>CA: San Jose FHC - Citi</v>
      </c>
      <c r="B18" s="10" t="str">
        <v>CA</v>
      </c>
      <c r="C18" s="37">
        <f>SUM(Jul!C18, Aug!C18, Sep!C18)</f>
        <v>0</v>
      </c>
      <c r="D18" s="71">
        <f>SUM(Jul!D18,Aug!D18,Sep!D18)</f>
        <v>0</v>
      </c>
      <c r="E18" s="82" t="e">
        <f t="shared" si="1"/>
        <v>#DIV/0!</v>
      </c>
      <c r="F18" s="14">
        <f>SUM(Jul!F18, Aug!F18, Sep!G18)</f>
        <v>0</v>
      </c>
      <c r="G18" s="14">
        <f t="shared" si="0"/>
        <v>0</v>
      </c>
      <c r="H18" s="15" t="str">
        <f t="shared" si="4"/>
        <v/>
      </c>
      <c r="I18" s="16">
        <f>SUM(Jul!I18, Aug!K18, Sep!L18)</f>
        <v>0</v>
      </c>
      <c r="J18" s="16">
        <f>SUM(Jul!J18, Aug!J18, Sep!K18)</f>
        <v>0</v>
      </c>
      <c r="K18" s="17" t="str">
        <f t="shared" si="5"/>
        <v/>
      </c>
    </row>
    <row r="19" spans="1:11" ht="15.6">
      <c r="A19" s="19" t="str">
        <v>CA: San Jose MOB - Citi</v>
      </c>
      <c r="B19" s="11" t="str">
        <v>CA</v>
      </c>
      <c r="C19" s="42">
        <f>SUM(Jul!C19, Aug!C19, Sep!C19)</f>
        <v>0</v>
      </c>
      <c r="D19" s="12"/>
      <c r="E19" s="80" t="e">
        <f t="shared" si="1"/>
        <v>#DIV/0!</v>
      </c>
      <c r="F19" s="20">
        <f>SUM(Jul!F19, Aug!F19, Sep!G19)</f>
        <v>0</v>
      </c>
      <c r="G19" s="20">
        <f t="shared" si="0"/>
        <v>0</v>
      </c>
      <c r="H19" s="21" t="str">
        <f t="shared" si="4"/>
        <v/>
      </c>
      <c r="I19" s="22">
        <f>SUM(Jul!I19, Aug!K19, Sep!L19)</f>
        <v>0</v>
      </c>
      <c r="J19" s="22">
        <f>SUM(Jul!J19, Aug!J19, Sep!K19)</f>
        <v>0</v>
      </c>
      <c r="K19" s="21" t="str">
        <f t="shared" si="5"/>
        <v/>
      </c>
    </row>
    <row r="20" spans="1:11" ht="15.6">
      <c r="A20" s="13" t="str">
        <v>CA: Selma - Citi</v>
      </c>
      <c r="B20" s="10" t="str">
        <v>CA</v>
      </c>
      <c r="C20" s="37">
        <f>SUM(Jul!C20, Aug!C20, Sep!C20)</f>
        <v>0</v>
      </c>
      <c r="D20" s="71">
        <f>SUM(Jul!D20,Aug!D20,Sep!D20)</f>
        <v>0</v>
      </c>
      <c r="E20" s="82" t="e">
        <f t="shared" si="1"/>
        <v>#DIV/0!</v>
      </c>
      <c r="F20" s="14">
        <f>SUM(Jul!F20, Aug!F20, Sep!G20)</f>
        <v>0</v>
      </c>
      <c r="G20" s="14">
        <f t="shared" si="0"/>
        <v>0</v>
      </c>
      <c r="H20" s="15" t="str">
        <f t="shared" si="4"/>
        <v/>
      </c>
      <c r="I20" s="16">
        <f>SUM(Jul!I20, Aug!K20, Sep!L20)</f>
        <v>0</v>
      </c>
      <c r="J20" s="16">
        <f>SUM(Jul!J20, Aug!J20, Sep!K20)</f>
        <v>0</v>
      </c>
      <c r="K20" s="17" t="str">
        <f t="shared" si="5"/>
        <v/>
      </c>
    </row>
    <row r="21" spans="1:11" ht="15.6">
      <c r="A21" s="19" t="str">
        <v>CA: Vacaville Hospital</v>
      </c>
      <c r="B21" s="11" t="str">
        <v>CA</v>
      </c>
      <c r="C21" s="42">
        <f>SUM(Jul!C21, Aug!C21, Sep!C21)</f>
        <v>0</v>
      </c>
      <c r="D21" s="12"/>
      <c r="E21" s="80" t="e">
        <f t="shared" si="1"/>
        <v>#DIV/0!</v>
      </c>
      <c r="F21" s="20">
        <f>SUM(Jul!F21, Aug!F21, Sep!G21)</f>
        <v>0</v>
      </c>
      <c r="G21" s="20">
        <f>SUM(Jul!G21, Aug!G21, Sep!H21)</f>
        <v>0</v>
      </c>
      <c r="H21" s="21" t="str">
        <f t="shared" si="4"/>
        <v/>
      </c>
      <c r="I21" s="22">
        <f>SUM(Jul!I21, Aug!K21, Sep!L21)</f>
        <v>0</v>
      </c>
      <c r="J21" s="22">
        <f>SUM(Jul!J21, Aug!J21, Sep!K21)</f>
        <v>0</v>
      </c>
      <c r="K21" s="21" t="str">
        <f t="shared" si="5"/>
        <v/>
      </c>
    </row>
    <row r="22" spans="1:11" ht="15.6">
      <c r="A22" s="13" t="str">
        <v>CA: Manteca - KP Manteca Hospital</v>
      </c>
      <c r="B22" s="10" t="str">
        <v>CA</v>
      </c>
      <c r="C22" s="37">
        <f>SUM(Jul!C22, Aug!C22, Sep!C22)</f>
        <v>0</v>
      </c>
      <c r="D22" s="71">
        <f>SUM(Jul!D22,Aug!D22,Sep!D22)</f>
        <v>0</v>
      </c>
      <c r="E22" s="82" t="e">
        <f t="shared" si="1"/>
        <v>#DIV/0!</v>
      </c>
      <c r="F22" s="14">
        <f>SUM(Jul!F22, Aug!F22, Sep!G22)</f>
        <v>0</v>
      </c>
      <c r="G22" s="14">
        <f>SUM(Jul!G22, Aug!G22, Sep!H22)</f>
        <v>0</v>
      </c>
      <c r="H22" s="15" t="str">
        <f t="shared" si="4"/>
        <v/>
      </c>
      <c r="I22" s="16">
        <f>SUM(Jul!I22, Aug!K22, Sep!L22)</f>
        <v>0</v>
      </c>
      <c r="J22" s="16">
        <f>SUM(Jul!J22, Aug!J22, Sep!K22)</f>
        <v>0</v>
      </c>
      <c r="K22" s="17" t="str">
        <f t="shared" si="5"/>
        <v/>
      </c>
    </row>
    <row r="23" spans="1:11" ht="13.9">
      <c r="A23" s="23" t="str">
        <v>Sacramento - KP South Sacramento HSP</v>
      </c>
      <c r="B23" s="23" t="str">
        <v>CA</v>
      </c>
      <c r="C23" s="23"/>
      <c r="D23" s="23"/>
      <c r="E23" s="23"/>
      <c r="F23" s="23"/>
      <c r="G23" s="23"/>
      <c r="H23" s="23"/>
      <c r="I23" s="23"/>
    </row>
    <row r="24" spans="1:11" ht="13.9">
      <c r="A24" s="23"/>
      <c r="B24" s="23"/>
      <c r="C24" s="23"/>
      <c r="D24" s="23"/>
      <c r="E24" s="23"/>
      <c r="F24" s="23"/>
      <c r="G24" s="23"/>
      <c r="H24" s="23"/>
      <c r="I24" s="23"/>
    </row>
    <row r="25" spans="1:11" ht="13.9">
      <c r="A25" s="23"/>
      <c r="B25" s="23"/>
      <c r="C25" s="23"/>
      <c r="D25" s="23"/>
      <c r="E25" s="23"/>
      <c r="F25" s="23"/>
      <c r="G25" s="23"/>
      <c r="H25" s="23"/>
      <c r="I25" s="23"/>
    </row>
    <row r="26" spans="1:11" ht="13.9">
      <c r="A26" s="23"/>
      <c r="B26" s="23"/>
      <c r="C26" s="23"/>
      <c r="D26" s="23"/>
      <c r="E26" s="23"/>
      <c r="F26" s="23"/>
      <c r="G26" s="23"/>
      <c r="H26" s="23"/>
      <c r="I26" s="23"/>
    </row>
    <row r="27" spans="1:11" ht="13.9">
      <c r="A27" s="23"/>
      <c r="B27" s="23"/>
      <c r="C27" s="23"/>
      <c r="D27" s="23"/>
      <c r="E27" s="23"/>
      <c r="F27" s="23"/>
      <c r="G27" s="23"/>
      <c r="H27" s="23"/>
      <c r="I27" s="23"/>
    </row>
    <row r="28" spans="1:11" ht="13.9">
      <c r="A28" s="23"/>
      <c r="B28" s="23"/>
      <c r="C28" s="23"/>
      <c r="D28" s="23"/>
      <c r="E28" s="23"/>
      <c r="F28" s="23"/>
      <c r="G28" s="23"/>
      <c r="H28" s="23"/>
      <c r="I28" s="23"/>
    </row>
    <row r="29" spans="1:11" ht="13.9">
      <c r="A29" s="23"/>
      <c r="B29" s="23"/>
      <c r="C29" s="23"/>
      <c r="D29" s="23"/>
      <c r="E29" s="23"/>
      <c r="F29" s="23"/>
      <c r="G29" s="23"/>
      <c r="H29" s="23"/>
      <c r="I29" s="23"/>
    </row>
    <row r="30" spans="1:11" ht="13.9">
      <c r="A30" s="23"/>
      <c r="B30" s="23"/>
      <c r="C30" s="23"/>
      <c r="D30" s="23"/>
      <c r="E30" s="23"/>
      <c r="F30" s="23"/>
      <c r="G30" s="23"/>
      <c r="H30" s="23"/>
      <c r="I30" s="23"/>
    </row>
    <row r="31" spans="1:11" ht="13.9">
      <c r="A31" s="23"/>
      <c r="B31" s="23"/>
      <c r="C31" s="23"/>
      <c r="D31" s="23"/>
      <c r="E31" s="23"/>
      <c r="F31" s="23"/>
      <c r="G31" s="23"/>
      <c r="H31" s="23"/>
      <c r="I31" s="23"/>
    </row>
    <row r="32" spans="1:11" ht="13.9">
      <c r="A32" s="23"/>
      <c r="B32" s="23"/>
      <c r="C32" s="23"/>
      <c r="D32" s="23"/>
      <c r="E32" s="23"/>
      <c r="F32" s="23"/>
      <c r="G32" s="23"/>
      <c r="H32" s="23"/>
      <c r="I32" s="23"/>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row r="332" spans="1:9" ht="13.9">
      <c r="A332" s="23"/>
      <c r="B332" s="23"/>
      <c r="C332" s="23"/>
      <c r="D332" s="23"/>
      <c r="E332" s="23"/>
      <c r="F332" s="24"/>
      <c r="G332" s="23"/>
      <c r="H332" s="23"/>
      <c r="I332" s="24"/>
    </row>
    <row r="333" spans="1:9" ht="13.9">
      <c r="A333" s="23"/>
      <c r="B333" s="23"/>
      <c r="C333" s="23"/>
      <c r="D333" s="23"/>
      <c r="E333" s="23"/>
      <c r="F333" s="24"/>
      <c r="G333" s="23"/>
      <c r="H333" s="23"/>
      <c r="I333" s="24"/>
    </row>
    <row r="334" spans="1:9" ht="13.9">
      <c r="A334" s="23"/>
      <c r="B334" s="23"/>
      <c r="C334" s="23"/>
      <c r="D334" s="23"/>
      <c r="E334" s="23"/>
      <c r="F334" s="24"/>
      <c r="G334" s="23"/>
      <c r="H334" s="23"/>
      <c r="I334" s="24"/>
    </row>
    <row r="335" spans="1:9" ht="13.9">
      <c r="A335" s="23"/>
      <c r="B335" s="23"/>
      <c r="C335" s="23"/>
      <c r="D335" s="23"/>
      <c r="E335" s="23"/>
      <c r="F335" s="24"/>
      <c r="G335" s="23"/>
      <c r="H335" s="23"/>
      <c r="I335" s="24"/>
    </row>
    <row r="336" spans="1:9" ht="13.9">
      <c r="A336" s="23"/>
      <c r="B336" s="23"/>
      <c r="C336" s="23"/>
      <c r="D336" s="23"/>
      <c r="E336" s="23"/>
      <c r="F336" s="24"/>
      <c r="G336" s="23"/>
      <c r="H336" s="23"/>
      <c r="I336" s="24"/>
    </row>
    <row r="337" spans="1:9" ht="13.9">
      <c r="A337" s="23"/>
      <c r="B337" s="23"/>
      <c r="C337" s="23"/>
      <c r="D337" s="23"/>
      <c r="E337" s="23"/>
      <c r="F337" s="24"/>
      <c r="G337" s="23"/>
      <c r="H337" s="23"/>
      <c r="I337" s="24"/>
    </row>
    <row r="338" spans="1:9" ht="13.9">
      <c r="A338" s="23"/>
      <c r="B338" s="23"/>
      <c r="C338" s="23"/>
      <c r="D338" s="23"/>
      <c r="E338" s="23"/>
      <c r="F338" s="24"/>
      <c r="G338" s="23"/>
      <c r="H338" s="23"/>
      <c r="I338" s="24"/>
    </row>
    <row r="339" spans="1:9" ht="13.9">
      <c r="A339" s="23"/>
      <c r="B339" s="23"/>
      <c r="C339" s="23"/>
      <c r="D339" s="23"/>
      <c r="E339" s="23"/>
      <c r="F339" s="24"/>
      <c r="G339" s="23"/>
      <c r="H339" s="23"/>
      <c r="I339" s="24"/>
    </row>
    <row r="340" spans="1:9" ht="13.9">
      <c r="A340" s="23"/>
      <c r="B340" s="23"/>
      <c r="C340" s="23"/>
      <c r="D340" s="23"/>
      <c r="E340" s="23"/>
      <c r="F340" s="24"/>
      <c r="G340" s="23"/>
      <c r="H340" s="23"/>
      <c r="I340" s="24"/>
    </row>
    <row r="341" spans="1:9" ht="13.9">
      <c r="A341" s="23"/>
      <c r="B341" s="23"/>
      <c r="C341" s="23"/>
      <c r="D341" s="23"/>
      <c r="E341" s="23"/>
      <c r="F341" s="24"/>
      <c r="G341" s="23"/>
      <c r="H341" s="23"/>
      <c r="I341" s="24"/>
    </row>
    <row r="342" spans="1:9" ht="13.9">
      <c r="A342" s="23"/>
      <c r="B342" s="23"/>
      <c r="C342" s="23"/>
      <c r="D342" s="23"/>
      <c r="E342" s="23"/>
      <c r="F342" s="24"/>
      <c r="G342" s="23"/>
      <c r="H342" s="23"/>
      <c r="I342" s="24"/>
    </row>
  </sheetData>
  <mergeCells count="4">
    <mergeCell ref="I1:K1"/>
    <mergeCell ref="A1:C1"/>
    <mergeCell ref="F1:H1"/>
    <mergeCell ref="A2:B2"/>
  </mergeCells>
  <conditionalFormatting sqref="H2 K2 H4:H22 K4:K22 F23:F100 I23:I100">
    <cfRule type="cellIs" dxfId="28" priority="7" stopIfTrue="1" operator="lessThanOrEqual">
      <formula>-0.1</formula>
    </cfRule>
    <cfRule type="expression" dxfId="27" priority="8">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K342"/>
  <sheetViews>
    <sheetView workbookViewId="0">
      <pane ySplit="2" topLeftCell="A3" activePane="bottomLeft" state="frozen"/>
      <selection pane="bottomLeft" activeCell="N17" sqref="N1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11" ht="19.5" customHeight="1" thickBot="1">
      <c r="A1" s="129" t="str" cm="1">
        <f t="array" ref="A1">portfolio</f>
        <v>CITI</v>
      </c>
      <c r="B1" s="129"/>
      <c r="C1" s="129"/>
      <c r="D1" s="74" t="s">
        <v>0</v>
      </c>
      <c r="E1" s="75" t="s">
        <v>1</v>
      </c>
      <c r="F1" s="130" t="s">
        <v>18</v>
      </c>
      <c r="G1" s="130"/>
      <c r="H1" s="130"/>
      <c r="I1" s="128" t="s">
        <v>19</v>
      </c>
      <c r="J1" s="128"/>
      <c r="K1" s="128"/>
    </row>
    <row r="2" spans="1:11" ht="19.5" customHeight="1">
      <c r="A2" s="131" t="s">
        <v>4</v>
      </c>
      <c r="B2" s="131"/>
      <c r="C2" s="6">
        <f>SUM(C4:C100)</f>
        <v>0</v>
      </c>
      <c r="D2" s="6">
        <f>SUM(D3:D22)</f>
        <v>0</v>
      </c>
      <c r="E2" s="68" t="e">
        <f>C2/D2</f>
        <v>#DIV/0!</v>
      </c>
      <c r="F2" s="6">
        <f>SUM(D4:D100)</f>
        <v>0</v>
      </c>
      <c r="G2" s="6">
        <f>C2-F2</f>
        <v>0</v>
      </c>
      <c r="H2" s="7">
        <f>IFERROR(G2/F2, 0)</f>
        <v>0</v>
      </c>
      <c r="I2" s="6">
        <f>SUM(G4:G100)</f>
        <v>0</v>
      </c>
      <c r="J2" s="8">
        <f>C2-I2</f>
        <v>0</v>
      </c>
      <c r="K2" s="7">
        <f>IFERROR(J2/I2, 0)</f>
        <v>0</v>
      </c>
    </row>
    <row r="3" spans="1:11" ht="14.25" customHeight="1">
      <c r="A3" s="9" t="s">
        <v>5</v>
      </c>
      <c r="B3" s="9" t="s">
        <v>6</v>
      </c>
      <c r="C3" s="25" t="s">
        <v>7</v>
      </c>
      <c r="D3" s="69"/>
      <c r="E3" s="70"/>
      <c r="F3" s="49" t="s">
        <v>8</v>
      </c>
      <c r="G3" s="49" t="s">
        <v>9</v>
      </c>
      <c r="H3" s="50" t="s">
        <v>10</v>
      </c>
      <c r="I3" s="51" t="s">
        <v>11</v>
      </c>
      <c r="J3" s="52" t="s">
        <v>9</v>
      </c>
      <c r="K3" s="53" t="s">
        <v>10</v>
      </c>
    </row>
    <row r="4" spans="1:11" ht="15.6">
      <c r="A4" s="13" t="str" cm="1">
        <f t="array" ref="A4:A23">Sites[Site]</f>
        <v>CA: Antioch Deer Valley - Citi</v>
      </c>
      <c r="B4" s="10" t="str" cm="1">
        <f t="array" ref="B4:B23">Sites[State]</f>
        <v>CA</v>
      </c>
      <c r="C4" s="26">
        <f>SUM(Oct!C4, Nov!C4, Dec!C4)</f>
        <v>0</v>
      </c>
      <c r="D4" s="71">
        <f>SUM(Oct!D4,Nov!D4,Dec!D4)</f>
        <v>0</v>
      </c>
      <c r="E4" s="82" t="e">
        <f t="shared" ref="E4:E22" si="0">C4/D4</f>
        <v>#DIV/0!</v>
      </c>
      <c r="F4" s="14">
        <f>SUM(Oct!F4, Nov!F4, Dec!F4)</f>
        <v>0</v>
      </c>
      <c r="G4" s="14">
        <f t="shared" ref="G4:G19" si="1">IF(AND(ISNUMBER(C4),ISNUMBER(F4)), C4-F4, "")</f>
        <v>0</v>
      </c>
      <c r="H4" s="15" t="str">
        <f>IFERROR(G4/F4, "")</f>
        <v/>
      </c>
      <c r="I4" s="16">
        <f>SUM(Oct!I4,Nov!I4,Dec!J4)</f>
        <v>0</v>
      </c>
      <c r="J4" s="16">
        <f>SUM(Oct!J4, Nov!J4, Dec!J4)</f>
        <v>0</v>
      </c>
      <c r="K4" s="17" t="str">
        <f>IFERROR(J4/I4, "")</f>
        <v/>
      </c>
    </row>
    <row r="5" spans="1:11" ht="15.6">
      <c r="A5" s="19" t="str">
        <v>CA: Antioch MC CUP - Citi</v>
      </c>
      <c r="B5" s="11" t="str">
        <v>CA</v>
      </c>
      <c r="C5" s="12">
        <f>SUM(Oct!C5, Nov!C5, Dec!C5)</f>
        <v>0</v>
      </c>
      <c r="D5" s="12"/>
      <c r="E5" s="80" t="e">
        <f t="shared" si="0"/>
        <v>#DIV/0!</v>
      </c>
      <c r="F5" s="20">
        <f>SUM(Oct!F5, Nov!F5, Dec!F5)</f>
        <v>0</v>
      </c>
      <c r="G5" s="20">
        <f t="shared" si="1"/>
        <v>0</v>
      </c>
      <c r="H5" s="21" t="str">
        <f>IFERROR(G5/F5, "")</f>
        <v/>
      </c>
      <c r="I5" s="44">
        <f>SUM(Oct!I5,Nov!I5,Dec!J5)</f>
        <v>0</v>
      </c>
      <c r="J5" s="22">
        <f>SUM(Oct!J5, Nov!J5, Dec!J5)</f>
        <v>0</v>
      </c>
      <c r="K5" s="21" t="str">
        <f>IFERROR(J5/I5, "")</f>
        <v/>
      </c>
    </row>
    <row r="6" spans="1:11" ht="15.6">
      <c r="A6" s="13" t="str">
        <v>CA: Clovis - Citi</v>
      </c>
      <c r="B6" s="10" t="str">
        <v>CA</v>
      </c>
      <c r="C6" s="26">
        <f>SUM(Oct!C6, Nov!C6, Dec!C6)</f>
        <v>0</v>
      </c>
      <c r="D6" s="71">
        <f>SUM(Oct!D6,Nov!D6,Dec!D6)</f>
        <v>0</v>
      </c>
      <c r="E6" s="82" t="e">
        <f t="shared" si="0"/>
        <v>#DIV/0!</v>
      </c>
      <c r="F6" s="14">
        <f>SUM(Oct!F6, Nov!F6, Dec!F6)</f>
        <v>0</v>
      </c>
      <c r="G6" s="14">
        <f t="shared" si="1"/>
        <v>0</v>
      </c>
      <c r="H6" s="15" t="str">
        <f t="shared" ref="H6:H15" si="2">IFERROR(G6/F6, "")</f>
        <v/>
      </c>
      <c r="I6" s="16">
        <f>SUM(Oct!I6,Nov!I6,Dec!J6)</f>
        <v>0</v>
      </c>
      <c r="J6" s="16">
        <f>SUM(Oct!J6, Nov!J6, Dec!J6)</f>
        <v>0</v>
      </c>
      <c r="K6" s="17" t="str">
        <f t="shared" ref="K6:K15" si="3">IFERROR(J6/I6, "")</f>
        <v/>
      </c>
    </row>
    <row r="7" spans="1:11" ht="15.6">
      <c r="A7" s="19" t="str">
        <v>CA: Elk Grove MOB - Citi</v>
      </c>
      <c r="B7" s="11" t="str">
        <v>CA</v>
      </c>
      <c r="C7" s="12">
        <f>SUM(Oct!C7, Nov!C7, Dec!C7)</f>
        <v>0</v>
      </c>
      <c r="D7" s="12"/>
      <c r="E7" s="80" t="e">
        <f t="shared" si="0"/>
        <v>#DIV/0!</v>
      </c>
      <c r="F7" s="20">
        <f>SUM(Oct!F7, Nov!F7, Dec!F7)</f>
        <v>0</v>
      </c>
      <c r="G7" s="20">
        <f t="shared" si="1"/>
        <v>0</v>
      </c>
      <c r="H7" s="21" t="str">
        <f t="shared" si="2"/>
        <v/>
      </c>
      <c r="I7" s="22">
        <f>SUM(Oct!I7,Nov!I7,Dec!J7)</f>
        <v>0</v>
      </c>
      <c r="J7" s="22">
        <f>SUM(Oct!J7, Nov!J7, Dec!J7)</f>
        <v>0</v>
      </c>
      <c r="K7" s="21" t="str">
        <f t="shared" si="3"/>
        <v/>
      </c>
    </row>
    <row r="8" spans="1:11" ht="15.6">
      <c r="A8" s="13" t="str">
        <v>CA: Elk Grove Promenade - Citi</v>
      </c>
      <c r="B8" s="10" t="str">
        <v>CA</v>
      </c>
      <c r="C8" s="26">
        <f>SUM(Oct!C8, Nov!C8, Dec!C8)</f>
        <v>0</v>
      </c>
      <c r="D8" s="71">
        <f>SUM(Oct!D8,Nov!D8,Dec!D8)</f>
        <v>0</v>
      </c>
      <c r="E8" s="82" t="e">
        <f t="shared" si="0"/>
        <v>#DIV/0!</v>
      </c>
      <c r="F8" s="14">
        <f>SUM(Oct!F8, Nov!F8, Dec!F8)</f>
        <v>0</v>
      </c>
      <c r="G8" s="14">
        <f t="shared" si="1"/>
        <v>0</v>
      </c>
      <c r="H8" s="15" t="str">
        <f t="shared" si="2"/>
        <v/>
      </c>
      <c r="I8" s="16">
        <f>SUM(Oct!I8,Nov!I8,Dec!J8)</f>
        <v>0</v>
      </c>
      <c r="J8" s="16">
        <f>SUM(Oct!J8, Nov!J8, Dec!J8)</f>
        <v>0</v>
      </c>
      <c r="K8" s="17" t="str">
        <f t="shared" si="3"/>
        <v/>
      </c>
    </row>
    <row r="9" spans="1:11" ht="15.6">
      <c r="A9" s="19" t="str">
        <v>CA: Fresno Sequioa - Citi</v>
      </c>
      <c r="B9" s="11" t="str">
        <v>CA</v>
      </c>
      <c r="C9" s="12">
        <f>SUM(Oct!C9, Nov!C9, Dec!C9)</f>
        <v>0</v>
      </c>
      <c r="D9" s="12"/>
      <c r="E9" s="80" t="e">
        <f t="shared" si="0"/>
        <v>#DIV/0!</v>
      </c>
      <c r="F9" s="20">
        <f>SUM(Oct!F9, Nov!F9, Dec!F9)</f>
        <v>0</v>
      </c>
      <c r="G9" s="20">
        <f t="shared" si="1"/>
        <v>0</v>
      </c>
      <c r="H9" s="21" t="str">
        <f t="shared" si="2"/>
        <v/>
      </c>
      <c r="I9" s="22">
        <f>SUM(Oct!I9,Nov!I9,Dec!J9)</f>
        <v>0</v>
      </c>
      <c r="J9" s="22">
        <f>SUM(Oct!J9, Nov!J9, Dec!J9)</f>
        <v>0</v>
      </c>
      <c r="K9" s="21" t="str">
        <f t="shared" si="3"/>
        <v/>
      </c>
    </row>
    <row r="10" spans="1:11" ht="15.6">
      <c r="A10" s="13" t="str">
        <v>CA: Fresno MOB - Citi</v>
      </c>
      <c r="B10" s="10" t="str">
        <v>CA</v>
      </c>
      <c r="C10" s="26">
        <f>SUM(Oct!C10, Nov!C10, Dec!C10)</f>
        <v>0</v>
      </c>
      <c r="D10" s="71">
        <f>SUM(Oct!D10,Nov!D10,Dec!D10)</f>
        <v>0</v>
      </c>
      <c r="E10" s="82" t="e">
        <f t="shared" si="0"/>
        <v>#DIV/0!</v>
      </c>
      <c r="F10" s="14">
        <f>SUM(Oct!F10, Nov!F10, Dec!F10)</f>
        <v>0</v>
      </c>
      <c r="G10" s="14">
        <f t="shared" si="1"/>
        <v>0</v>
      </c>
      <c r="H10" s="15" t="str">
        <f t="shared" si="2"/>
        <v/>
      </c>
      <c r="I10" s="16">
        <f>SUM(Oct!I10,Nov!I10,Dec!J10)</f>
        <v>0</v>
      </c>
      <c r="J10" s="16">
        <f>SUM(Oct!J10, Nov!J10, Dec!J10)</f>
        <v>0</v>
      </c>
      <c r="K10" s="17" t="str">
        <f t="shared" si="3"/>
        <v/>
      </c>
    </row>
    <row r="11" spans="1:11" ht="15.6">
      <c r="A11" s="19" t="str">
        <v>CA: Modesto Bangs - Citi</v>
      </c>
      <c r="B11" s="11" t="str">
        <v>CA</v>
      </c>
      <c r="C11" s="12">
        <f>SUM(Oct!C11, Nov!C11, Dec!C11)</f>
        <v>0</v>
      </c>
      <c r="D11" s="12"/>
      <c r="E11" s="80" t="e">
        <f t="shared" si="0"/>
        <v>#DIV/0!</v>
      </c>
      <c r="F11" s="20">
        <f>SUM(Oct!F11, Nov!F11, Dec!F11)</f>
        <v>0</v>
      </c>
      <c r="G11" s="20">
        <f t="shared" si="1"/>
        <v>0</v>
      </c>
      <c r="H11" s="21" t="str">
        <f t="shared" si="2"/>
        <v/>
      </c>
      <c r="I11" s="22">
        <f>SUM(Oct!I11,Nov!I11,Dec!J11)</f>
        <v>0</v>
      </c>
      <c r="J11" s="22">
        <f>SUM(Oct!J11, Nov!J11, Dec!J11)</f>
        <v>0</v>
      </c>
      <c r="K11" s="21" t="str">
        <f t="shared" si="3"/>
        <v/>
      </c>
    </row>
    <row r="12" spans="1:11" ht="15.6">
      <c r="A12" s="13" t="str">
        <v>CA: Napa Data Center - Citi</v>
      </c>
      <c r="B12" s="10" t="str">
        <v>CA</v>
      </c>
      <c r="C12" s="26">
        <f>SUM(Oct!C12, Nov!C12, Dec!C12)</f>
        <v>0</v>
      </c>
      <c r="D12" s="71">
        <f>SUM(Oct!D12,Nov!D12,Dec!D12)</f>
        <v>0</v>
      </c>
      <c r="E12" s="82" t="e">
        <f t="shared" si="0"/>
        <v>#DIV/0!</v>
      </c>
      <c r="F12" s="14">
        <f>SUM(Oct!F12, Nov!F12, Dec!F12)</f>
        <v>0</v>
      </c>
      <c r="G12" s="14">
        <f t="shared" si="1"/>
        <v>0</v>
      </c>
      <c r="H12" s="15" t="str">
        <f t="shared" si="2"/>
        <v/>
      </c>
      <c r="I12" s="16">
        <f>SUM(Oct!I12,Nov!I12,Dec!J12)</f>
        <v>0</v>
      </c>
      <c r="J12" s="16">
        <f>SUM(Oct!J12, Nov!J12, Dec!J12)</f>
        <v>0</v>
      </c>
      <c r="K12" s="17" t="str">
        <f t="shared" si="3"/>
        <v/>
      </c>
    </row>
    <row r="13" spans="1:11" ht="15.6">
      <c r="A13" s="19" t="str">
        <v>CA: Petaluma MOB - Citi</v>
      </c>
      <c r="B13" s="11" t="str">
        <v>CA</v>
      </c>
      <c r="C13" s="12">
        <f>SUM(Oct!C13, Nov!C13, Dec!C13)</f>
        <v>0</v>
      </c>
      <c r="D13" s="12"/>
      <c r="E13" s="80" t="e">
        <f t="shared" si="0"/>
        <v>#DIV/0!</v>
      </c>
      <c r="F13" s="20">
        <f>SUM(Oct!F13, Nov!F13, Dec!F13)</f>
        <v>0</v>
      </c>
      <c r="G13" s="20">
        <f t="shared" si="1"/>
        <v>0</v>
      </c>
      <c r="H13" s="21" t="str">
        <f t="shared" si="2"/>
        <v/>
      </c>
      <c r="I13" s="22">
        <f>SUM(Oct!I13,Nov!I13,Dec!J13)</f>
        <v>0</v>
      </c>
      <c r="J13" s="22">
        <f>SUM(Oct!J13, Nov!J13, Dec!J13)</f>
        <v>0</v>
      </c>
      <c r="K13" s="21" t="str">
        <f t="shared" si="3"/>
        <v/>
      </c>
    </row>
    <row r="14" spans="1:11" ht="15.6">
      <c r="A14" s="13" t="str">
        <v>CA: Pleasanton Tec Ctr - Citi</v>
      </c>
      <c r="B14" s="10" t="str">
        <v>CA</v>
      </c>
      <c r="C14" s="26">
        <f>SUM(Oct!C14, Nov!C14, Dec!C14)</f>
        <v>0</v>
      </c>
      <c r="D14" s="71">
        <f>SUM(Oct!D14,Nov!D14,Dec!D14)</f>
        <v>0</v>
      </c>
      <c r="E14" s="82" t="e">
        <f t="shared" si="0"/>
        <v>#DIV/0!</v>
      </c>
      <c r="F14" s="14">
        <f>SUM(Oct!F14, Nov!F14, Dec!F14)</f>
        <v>0</v>
      </c>
      <c r="G14" s="14">
        <f t="shared" si="1"/>
        <v>0</v>
      </c>
      <c r="H14" s="15" t="str">
        <f t="shared" si="2"/>
        <v/>
      </c>
      <c r="I14" s="16">
        <f>SUM(Oct!I14,Nov!I14,Dec!J14)</f>
        <v>0</v>
      </c>
      <c r="J14" s="16">
        <f>SUM(Oct!J14, Nov!J14, Dec!J14)</f>
        <v>0</v>
      </c>
      <c r="K14" s="17" t="str">
        <f t="shared" si="3"/>
        <v/>
      </c>
    </row>
    <row r="15" spans="1:11" ht="15.6">
      <c r="A15" s="19" t="str">
        <v>CA: Rancho Cordova - Citi</v>
      </c>
      <c r="B15" s="11" t="str">
        <v>CA</v>
      </c>
      <c r="C15" s="12">
        <f>SUM(Oct!C15, Nov!C15, Dec!C15)</f>
        <v>0</v>
      </c>
      <c r="D15" s="12"/>
      <c r="E15" s="80" t="e">
        <f t="shared" si="0"/>
        <v>#DIV/0!</v>
      </c>
      <c r="F15" s="20">
        <f>SUM(Oct!F15, Nov!F15, Dec!F15)</f>
        <v>0</v>
      </c>
      <c r="G15" s="20">
        <f t="shared" si="1"/>
        <v>0</v>
      </c>
      <c r="H15" s="21" t="str">
        <f t="shared" si="2"/>
        <v/>
      </c>
      <c r="I15" s="22">
        <f>SUM(Oct!I15,Nov!I15,Dec!J15)</f>
        <v>0</v>
      </c>
      <c r="J15" s="22">
        <f>SUM(Oct!J15, Nov!J15, Dec!J15)</f>
        <v>0</v>
      </c>
      <c r="K15" s="21" t="str">
        <f t="shared" si="3"/>
        <v/>
      </c>
    </row>
    <row r="16" spans="1:11" ht="15.6">
      <c r="A16" s="13" t="str">
        <v>CA: S Sacramento Wyndham - Citi</v>
      </c>
      <c r="B16" s="10" t="str">
        <v>CA</v>
      </c>
      <c r="C16" s="37">
        <f>SUM(Oct!C16, Nov!C16, Dec!C16)</f>
        <v>0</v>
      </c>
      <c r="D16" s="71">
        <f>SUM(Oct!D16,Nov!D16,Dec!D16)</f>
        <v>0</v>
      </c>
      <c r="E16" s="82" t="e">
        <f t="shared" si="0"/>
        <v>#DIV/0!</v>
      </c>
      <c r="F16" s="14">
        <f>SUM(Oct!F16, Nov!F16, Dec!F16)</f>
        <v>0</v>
      </c>
      <c r="G16" s="14">
        <f t="shared" si="1"/>
        <v>0</v>
      </c>
      <c r="H16" s="38" t="str">
        <f t="shared" ref="H16:H21" si="4">IFERROR(G16/F16, "")</f>
        <v/>
      </c>
      <c r="I16" s="39">
        <f>SUM(Oct!I16,Nov!I16,Dec!J16)</f>
        <v>0</v>
      </c>
      <c r="J16" s="39">
        <f>SUM(Oct!J16, Nov!J16, Dec!J16)</f>
        <v>0</v>
      </c>
      <c r="K16" s="40" t="str">
        <f t="shared" ref="K16:K21" si="5">IFERROR(J16/I16, "")</f>
        <v/>
      </c>
    </row>
    <row r="17" spans="1:11" ht="15.6">
      <c r="A17" s="19" t="str">
        <v>CA: Sacramento Point West - Citi</v>
      </c>
      <c r="B17" s="11" t="str">
        <v>CA</v>
      </c>
      <c r="C17" s="42">
        <f>SUM(Oct!C17, Nov!C17, Dec!C17)</f>
        <v>0</v>
      </c>
      <c r="D17" s="12"/>
      <c r="E17" s="80" t="e">
        <f t="shared" si="0"/>
        <v>#DIV/0!</v>
      </c>
      <c r="F17" s="20">
        <f>SUM(Oct!F17, Nov!F17, Dec!F17)</f>
        <v>0</v>
      </c>
      <c r="G17" s="20">
        <f t="shared" si="1"/>
        <v>0</v>
      </c>
      <c r="H17" s="43" t="str">
        <f t="shared" si="4"/>
        <v/>
      </c>
      <c r="I17" s="44">
        <f>SUM(Oct!I17,Nov!I17,Dec!J17)</f>
        <v>0</v>
      </c>
      <c r="J17" s="44">
        <f>SUM(Oct!J17, Nov!J17, Dec!J17)</f>
        <v>0</v>
      </c>
      <c r="K17" s="43" t="str">
        <f t="shared" si="5"/>
        <v/>
      </c>
    </row>
    <row r="18" spans="1:11" ht="12.75" customHeight="1">
      <c r="A18" s="13" t="str">
        <v>CA: San Jose FHC - Citi</v>
      </c>
      <c r="B18" s="10" t="str">
        <v>CA</v>
      </c>
      <c r="C18" s="37">
        <f>SUM(Oct!C18, Nov!C18, Dec!C18)</f>
        <v>0</v>
      </c>
      <c r="D18" s="71">
        <f>SUM(Oct!D18,Nov!D18,Dec!D18)</f>
        <v>0</v>
      </c>
      <c r="E18" s="82" t="e">
        <f t="shared" si="0"/>
        <v>#DIV/0!</v>
      </c>
      <c r="F18" s="14">
        <f>SUM(Oct!F18, Nov!F18, Dec!F18)</f>
        <v>0</v>
      </c>
      <c r="G18" s="14">
        <f t="shared" si="1"/>
        <v>0</v>
      </c>
      <c r="H18" s="38" t="str">
        <f t="shared" si="4"/>
        <v/>
      </c>
      <c r="I18" s="39">
        <f>SUM(Oct!I18,Nov!I18,Dec!J18)</f>
        <v>0</v>
      </c>
      <c r="J18" s="39">
        <f>SUM(Oct!J18, Nov!J18, Dec!J18)</f>
        <v>0</v>
      </c>
      <c r="K18" s="40" t="str">
        <f t="shared" si="5"/>
        <v/>
      </c>
    </row>
    <row r="19" spans="1:11" ht="15.6">
      <c r="A19" s="19" t="str">
        <v>CA: San Jose MOB - Citi</v>
      </c>
      <c r="B19" s="11" t="str">
        <v>CA</v>
      </c>
      <c r="C19" s="42">
        <f>SUM(Oct!C19, Nov!C19, Dec!C19)</f>
        <v>0</v>
      </c>
      <c r="D19" s="12"/>
      <c r="E19" s="80" t="e">
        <f t="shared" si="0"/>
        <v>#DIV/0!</v>
      </c>
      <c r="F19" s="20">
        <f>SUM(Oct!F19, Nov!F19, Dec!F19)</f>
        <v>0</v>
      </c>
      <c r="G19" s="20">
        <f t="shared" si="1"/>
        <v>0</v>
      </c>
      <c r="H19" s="43" t="str">
        <f t="shared" si="4"/>
        <v/>
      </c>
      <c r="I19" s="44">
        <f>SUM(Oct!I19,Nov!I19,Dec!J19)</f>
        <v>0</v>
      </c>
      <c r="J19" s="44">
        <f>SUM(Oct!J19, Nov!J19, Dec!J19)</f>
        <v>0</v>
      </c>
      <c r="K19" s="43" t="str">
        <f t="shared" si="5"/>
        <v/>
      </c>
    </row>
    <row r="20" spans="1:11" ht="15.6">
      <c r="A20" s="13" t="str">
        <v>CA: Selma - Citi</v>
      </c>
      <c r="B20" s="10" t="str">
        <v>CA</v>
      </c>
      <c r="C20" s="37">
        <f>SUM(Oct!C20, Nov!C20, Dec!C20)</f>
        <v>0</v>
      </c>
      <c r="D20" s="71">
        <f>SUM(Oct!D20,Nov!D20,Dec!D20)</f>
        <v>0</v>
      </c>
      <c r="E20" s="82" t="e">
        <f t="shared" si="0"/>
        <v>#DIV/0!</v>
      </c>
      <c r="F20" s="14">
        <f>SUM(Oct!F20, Nov!F20, Dec!F20)</f>
        <v>0</v>
      </c>
      <c r="G20" s="14">
        <f>SUM(Oct!G20, Nov!G20, Dec!G20)</f>
        <v>0</v>
      </c>
      <c r="H20" s="38" t="str">
        <f t="shared" si="4"/>
        <v/>
      </c>
      <c r="I20" s="39">
        <f>SUM(Oct!I20,Nov!I20,Dec!J20)</f>
        <v>0</v>
      </c>
      <c r="J20" s="39">
        <f>SUM(Oct!J20, Nov!J20, Dec!J20)</f>
        <v>0</v>
      </c>
      <c r="K20" s="40" t="str">
        <f t="shared" si="5"/>
        <v/>
      </c>
    </row>
    <row r="21" spans="1:11" ht="15.6">
      <c r="A21" s="19" t="str">
        <v>CA: Vacaville Hospital</v>
      </c>
      <c r="B21" s="11" t="str">
        <v>CA</v>
      </c>
      <c r="C21" s="42">
        <f>SUM(Oct!C21, Nov!C21, Dec!C21)</f>
        <v>0</v>
      </c>
      <c r="D21" s="12"/>
      <c r="E21" s="80" t="e">
        <f t="shared" si="0"/>
        <v>#DIV/0!</v>
      </c>
      <c r="F21" s="20">
        <f>SUM(Oct!F21, Nov!F21, Dec!F21)</f>
        <v>0</v>
      </c>
      <c r="G21" s="20">
        <f>SUM(Oct!G21, Nov!G21, Dec!G21)</f>
        <v>0</v>
      </c>
      <c r="H21" s="43" t="str">
        <f t="shared" si="4"/>
        <v/>
      </c>
      <c r="I21" s="44">
        <f>SUM(Oct!I21,Nov!I21,Dec!J21)</f>
        <v>0</v>
      </c>
      <c r="J21" s="44">
        <f>SUM(Oct!J21, Nov!J21, Dec!J21)</f>
        <v>0</v>
      </c>
      <c r="K21" s="43" t="str">
        <f t="shared" si="5"/>
        <v/>
      </c>
    </row>
    <row r="22" spans="1:11" ht="15.6">
      <c r="A22" s="13" t="str">
        <v>CA: Manteca - KP Manteca Hospital</v>
      </c>
      <c r="B22" s="10" t="str">
        <v>CA</v>
      </c>
      <c r="C22" s="37">
        <f>SUM(Oct!C22, Nov!C22, Dec!C22)</f>
        <v>0</v>
      </c>
      <c r="D22" s="71">
        <f>SUM(Oct!D22,Nov!D22,Dec!D22)</f>
        <v>0</v>
      </c>
      <c r="E22" s="82" t="e">
        <f t="shared" si="0"/>
        <v>#DIV/0!</v>
      </c>
      <c r="F22" s="14">
        <f>SUM(Oct!F22, Nov!F22, Dec!F22)</f>
        <v>0</v>
      </c>
      <c r="G22" s="14">
        <f>SUM(Oct!G22, Nov!G22, Dec!G22)</f>
        <v>0</v>
      </c>
      <c r="H22" s="38" t="str">
        <f>IFERROR(G22/F22, "")</f>
        <v/>
      </c>
      <c r="I22" s="39">
        <f>SUM(Oct!I22,Nov!I22,Dec!J22)</f>
        <v>0</v>
      </c>
      <c r="J22" s="39">
        <f>SUM(Oct!J22, Nov!J22, Dec!J22)</f>
        <v>0</v>
      </c>
      <c r="K22" s="40" t="str">
        <f>IFERROR(J22/I22, "")</f>
        <v/>
      </c>
    </row>
    <row r="23" spans="1:11" ht="13.9">
      <c r="A23" s="23" t="str">
        <v>Sacramento - KP South Sacramento HSP</v>
      </c>
      <c r="B23" s="23" t="str">
        <v>CA</v>
      </c>
      <c r="C23" s="23"/>
      <c r="D23" s="23"/>
      <c r="E23" s="23"/>
      <c r="F23" s="23"/>
      <c r="G23" s="23"/>
      <c r="H23" s="23"/>
      <c r="I23" s="23"/>
    </row>
    <row r="24" spans="1:11" ht="13.9">
      <c r="A24" s="23"/>
      <c r="B24" s="23"/>
      <c r="C24" s="23"/>
      <c r="D24" s="23"/>
      <c r="E24" s="23"/>
      <c r="F24" s="23"/>
      <c r="G24" s="23"/>
      <c r="H24" s="23"/>
      <c r="I24" s="23"/>
    </row>
    <row r="25" spans="1:11" ht="13.9">
      <c r="A25" s="23"/>
      <c r="B25" s="23"/>
      <c r="C25" s="23"/>
      <c r="D25" s="23"/>
      <c r="E25" s="23"/>
      <c r="F25" s="23"/>
      <c r="G25" s="23"/>
      <c r="H25" s="23"/>
      <c r="I25" s="23"/>
    </row>
    <row r="26" spans="1:11" ht="13.9">
      <c r="A26" s="23"/>
      <c r="B26" s="23"/>
      <c r="C26" s="23"/>
      <c r="D26" s="23"/>
      <c r="E26" s="23"/>
      <c r="F26" s="23"/>
      <c r="G26" s="23"/>
      <c r="H26" s="23"/>
      <c r="I26" s="23"/>
    </row>
    <row r="27" spans="1:11" ht="13.9">
      <c r="A27" s="23"/>
      <c r="B27" s="23"/>
      <c r="C27" s="23"/>
      <c r="D27" s="23"/>
      <c r="E27" s="23"/>
      <c r="F27" s="23"/>
      <c r="G27" s="23"/>
      <c r="H27" s="23"/>
      <c r="I27" s="23"/>
    </row>
    <row r="28" spans="1:11" ht="13.9">
      <c r="A28" s="23"/>
      <c r="B28" s="23"/>
      <c r="C28" s="23"/>
      <c r="D28" s="23"/>
      <c r="E28" s="23"/>
      <c r="F28" s="23"/>
      <c r="G28" s="23"/>
      <c r="H28" s="23"/>
      <c r="I28" s="23"/>
    </row>
    <row r="29" spans="1:11" ht="13.9">
      <c r="A29" s="23"/>
      <c r="B29" s="23"/>
      <c r="C29" s="23"/>
      <c r="D29" s="23"/>
      <c r="E29" s="23"/>
      <c r="F29" s="23"/>
      <c r="G29" s="23"/>
      <c r="H29" s="23"/>
      <c r="I29" s="23"/>
    </row>
    <row r="30" spans="1:11" ht="13.9">
      <c r="A30" s="23"/>
      <c r="B30" s="23"/>
      <c r="C30" s="23"/>
      <c r="D30" s="23"/>
      <c r="E30" s="23"/>
      <c r="F30" s="23"/>
      <c r="G30" s="23"/>
      <c r="H30" s="23"/>
      <c r="I30" s="23"/>
    </row>
    <row r="31" spans="1:11" ht="13.9">
      <c r="A31" s="23"/>
      <c r="B31" s="23"/>
      <c r="C31" s="23"/>
      <c r="D31" s="23"/>
      <c r="E31" s="23"/>
      <c r="F31" s="23"/>
      <c r="G31" s="23"/>
      <c r="H31" s="23"/>
      <c r="I31" s="23"/>
    </row>
    <row r="32" spans="1:11" ht="13.9">
      <c r="A32" s="23"/>
      <c r="B32" s="23"/>
      <c r="C32" s="23"/>
      <c r="D32" s="23"/>
      <c r="E32" s="23"/>
      <c r="F32" s="23"/>
      <c r="G32" s="23"/>
      <c r="H32" s="23"/>
      <c r="I32" s="23"/>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row r="332" spans="1:9" ht="13.9">
      <c r="A332" s="23"/>
      <c r="B332" s="23"/>
      <c r="C332" s="23"/>
      <c r="D332" s="23"/>
      <c r="E332" s="23"/>
      <c r="F332" s="24"/>
      <c r="G332" s="23"/>
      <c r="H332" s="23"/>
      <c r="I332" s="24"/>
    </row>
    <row r="333" spans="1:9" ht="13.9">
      <c r="A333" s="23"/>
      <c r="B333" s="23"/>
      <c r="C333" s="23"/>
      <c r="D333" s="23"/>
      <c r="E333" s="23"/>
      <c r="F333" s="24"/>
      <c r="G333" s="23"/>
      <c r="H333" s="23"/>
      <c r="I333" s="24"/>
    </row>
    <row r="334" spans="1:9" ht="13.9">
      <c r="A334" s="23"/>
      <c r="B334" s="23"/>
      <c r="C334" s="23"/>
      <c r="D334" s="23"/>
      <c r="E334" s="23"/>
      <c r="F334" s="24"/>
      <c r="G334" s="23"/>
      <c r="H334" s="23"/>
      <c r="I334" s="24"/>
    </row>
    <row r="335" spans="1:9" ht="13.9">
      <c r="A335" s="23"/>
      <c r="B335" s="23"/>
      <c r="C335" s="23"/>
      <c r="D335" s="23"/>
      <c r="E335" s="23"/>
      <c r="F335" s="24"/>
      <c r="G335" s="23"/>
      <c r="H335" s="23"/>
      <c r="I335" s="24"/>
    </row>
    <row r="336" spans="1:9" ht="13.9">
      <c r="A336" s="23"/>
      <c r="B336" s="23"/>
      <c r="C336" s="23"/>
      <c r="D336" s="23"/>
      <c r="E336" s="23"/>
      <c r="F336" s="24"/>
      <c r="G336" s="23"/>
      <c r="H336" s="23"/>
      <c r="I336" s="24"/>
    </row>
    <row r="337" spans="1:9" ht="13.9">
      <c r="A337" s="23"/>
      <c r="B337" s="23"/>
      <c r="C337" s="23"/>
      <c r="D337" s="23"/>
      <c r="E337" s="23"/>
      <c r="F337" s="24"/>
      <c r="G337" s="23"/>
      <c r="H337" s="23"/>
      <c r="I337" s="24"/>
    </row>
    <row r="338" spans="1:9" ht="13.9">
      <c r="A338" s="23"/>
      <c r="B338" s="23"/>
      <c r="C338" s="23"/>
      <c r="D338" s="23"/>
      <c r="E338" s="23"/>
      <c r="F338" s="24"/>
      <c r="G338" s="23"/>
      <c r="H338" s="23"/>
      <c r="I338" s="24"/>
    </row>
    <row r="339" spans="1:9" ht="13.9">
      <c r="A339" s="23"/>
      <c r="B339" s="23"/>
      <c r="C339" s="23"/>
      <c r="D339" s="23"/>
      <c r="E339" s="23"/>
      <c r="F339" s="24"/>
      <c r="G339" s="23"/>
      <c r="H339" s="23"/>
      <c r="I339" s="24"/>
    </row>
    <row r="340" spans="1:9" ht="13.9">
      <c r="A340" s="23"/>
      <c r="B340" s="23"/>
      <c r="C340" s="23"/>
      <c r="D340" s="23"/>
      <c r="E340" s="23"/>
      <c r="F340" s="24"/>
      <c r="G340" s="23"/>
      <c r="H340" s="23"/>
      <c r="I340" s="24"/>
    </row>
    <row r="341" spans="1:9" ht="13.9">
      <c r="A341" s="23"/>
      <c r="B341" s="23"/>
      <c r="C341" s="23"/>
      <c r="D341" s="23"/>
      <c r="E341" s="23"/>
      <c r="F341" s="24"/>
      <c r="G341" s="23"/>
      <c r="H341" s="23"/>
      <c r="I341" s="24"/>
    </row>
    <row r="342" spans="1:9" ht="13.9">
      <c r="A342" s="23"/>
      <c r="B342" s="23"/>
      <c r="C342" s="23"/>
      <c r="D342" s="23"/>
      <c r="E342" s="23"/>
      <c r="F342" s="24"/>
      <c r="G342" s="23"/>
      <c r="H342" s="23"/>
      <c r="I342" s="24"/>
    </row>
  </sheetData>
  <mergeCells count="4">
    <mergeCell ref="I1:K1"/>
    <mergeCell ref="A1:C1"/>
    <mergeCell ref="F1:H1"/>
    <mergeCell ref="A2:B2"/>
  </mergeCells>
  <conditionalFormatting sqref="H2 K2 H4:H22 K4:K22 F23:F100 I23:I100">
    <cfRule type="cellIs" dxfId="26" priority="1" stopIfTrue="1" operator="lessThanOrEqual">
      <formula>-0.1</formula>
    </cfRule>
    <cfRule type="expression" dxfId="25"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N341"/>
  <sheetViews>
    <sheetView zoomScale="60" zoomScaleNormal="60" workbookViewId="0">
      <pane ySplit="3" topLeftCell="A6" activePane="bottomLeft" state="frozen"/>
      <selection pane="bottomLeft" activeCell="L6" sqref="L6"/>
      <selection activeCell="I47" sqref="I46:J47"/>
    </sheetView>
  </sheetViews>
  <sheetFormatPr defaultRowHeight="14.25" customHeight="1"/>
  <cols>
    <col min="1" max="1" width="35.85546875" bestFit="1" customWidth="1"/>
    <col min="2" max="2" width="8.42578125" style="36" customWidth="1"/>
    <col min="3" max="3" width="11.7109375" customWidth="1"/>
    <col min="4" max="4" width="20.85546875" customWidth="1"/>
    <col min="5" max="5" width="26.42578125" customWidth="1"/>
    <col min="6" max="7" width="13.28515625" customWidth="1"/>
    <col min="8" max="8" width="13.28515625" style="1" customWidth="1"/>
    <col min="9" max="10" width="13.28515625" customWidth="1"/>
    <col min="11" max="11" width="13.28515625" style="1" customWidth="1"/>
    <col min="12" max="12" width="71.5703125" customWidth="1"/>
    <col min="13" max="13" width="20.5703125" bestFit="1" customWidth="1"/>
  </cols>
  <sheetData>
    <row r="1" spans="1:14" ht="19.5" customHeight="1">
      <c r="A1" s="129" t="str" cm="1">
        <f t="array" ref="A1">portfolio</f>
        <v>CITI</v>
      </c>
      <c r="B1" s="129"/>
      <c r="C1" s="129"/>
      <c r="D1" s="76" t="s">
        <v>0</v>
      </c>
      <c r="E1" s="76" t="s">
        <v>1</v>
      </c>
      <c r="F1" s="130" t="s">
        <v>20</v>
      </c>
      <c r="G1" s="130"/>
      <c r="H1" s="130"/>
      <c r="I1" s="128" t="s">
        <v>21</v>
      </c>
      <c r="J1" s="128"/>
      <c r="K1" s="128"/>
      <c r="L1" s="5"/>
      <c r="M1" s="5"/>
    </row>
    <row r="2" spans="1:14" ht="19.5" customHeight="1">
      <c r="A2" s="131" t="s">
        <v>4</v>
      </c>
      <c r="B2" s="131"/>
      <c r="C2" s="6">
        <f>SUM(C4:C99)</f>
        <v>1141760.8799999999</v>
      </c>
      <c r="D2" s="6">
        <f>SUM(D4:D22)</f>
        <v>909254.01000000013</v>
      </c>
      <c r="E2" s="7">
        <f>C2/D2</f>
        <v>1.2557116795118668</v>
      </c>
      <c r="F2" s="6">
        <f>SUM(F4:F99)</f>
        <v>911851.348</v>
      </c>
      <c r="G2" s="6">
        <f>C2-F2</f>
        <v>229909.53199999989</v>
      </c>
      <c r="H2" s="7">
        <f>IFERROR(G2/F2, 0)</f>
        <v>0.25213488196762518</v>
      </c>
      <c r="I2" s="6">
        <f>SUM(I4:I99)</f>
        <v>1228093.936</v>
      </c>
      <c r="J2" s="8">
        <f>C2-I2</f>
        <v>-86333.056000000099</v>
      </c>
      <c r="K2" s="7">
        <f>IFERROR(J2/I2, 0)</f>
        <v>-7.0298414045747798E-2</v>
      </c>
      <c r="L2" s="28" t="str">
        <f ca="1">IF(AND(TODAY()&gt;DATE(2024, 1, 1), COUNTA(Sites[Site])&lt;&gt;(COUNT(C:C)-1)), "Some sites are missing actual data; if new sites were added, make sure they are aligned correctly (including prior months!)", "")</f>
        <v>Some sites are missing actual data; if new sites were added, make sure they are aligned correctly (including prior months!)</v>
      </c>
      <c r="M2" s="5"/>
    </row>
    <row r="3" spans="1:14" ht="14.25" customHeight="1">
      <c r="A3" s="29" t="s">
        <v>5</v>
      </c>
      <c r="B3" s="9" t="s">
        <v>6</v>
      </c>
      <c r="C3" s="25" t="s">
        <v>7</v>
      </c>
      <c r="D3" s="77"/>
      <c r="E3" s="77"/>
      <c r="F3" s="49" t="s">
        <v>8</v>
      </c>
      <c r="G3" s="49" t="s">
        <v>9</v>
      </c>
      <c r="H3" s="50" t="s">
        <v>10</v>
      </c>
      <c r="I3" s="54" t="s">
        <v>11</v>
      </c>
      <c r="J3" s="52" t="s">
        <v>9</v>
      </c>
      <c r="K3" s="53" t="s">
        <v>10</v>
      </c>
      <c r="L3" s="27" t="s">
        <v>22</v>
      </c>
      <c r="M3" s="27" t="s">
        <v>23</v>
      </c>
    </row>
    <row r="4" spans="1:14" ht="15.6">
      <c r="A4" s="34" t="str" cm="1">
        <f t="array" ref="A4:A23">Sites[Site]</f>
        <v>CA: Antioch Deer Valley - Citi</v>
      </c>
      <c r="B4" s="31" t="str" cm="1">
        <f t="array" ref="B4:B23">Sites[State]</f>
        <v>CA</v>
      </c>
      <c r="C4" s="26">
        <v>35199.75</v>
      </c>
      <c r="D4" s="78">
        <v>26934.83</v>
      </c>
      <c r="E4" s="79">
        <f>C4/D4</f>
        <v>1.3068487902095538</v>
      </c>
      <c r="F4" s="14">
        <v>26668</v>
      </c>
      <c r="G4" s="14">
        <f>IF(AND(ISNUMBER(C4),ISNUMBER(F4)), C4-F4, "")</f>
        <v>8531.75</v>
      </c>
      <c r="H4" s="15">
        <f>IFERROR(G4/F4, "")</f>
        <v>0.31992462876856159</v>
      </c>
      <c r="I4" s="16">
        <v>36723.826999999997</v>
      </c>
      <c r="J4" s="16">
        <f>IF(AND(ISNUMBER(C4),ISNUMBER(I4)), C4-I4, "")</f>
        <v>-1524.0769999999975</v>
      </c>
      <c r="K4" s="17">
        <f>IFERROR(J4/I4, "")</f>
        <v>-4.1501039638379672E-2</v>
      </c>
      <c r="L4" s="18"/>
      <c r="M4" s="18"/>
    </row>
    <row r="5" spans="1:14" ht="15.6">
      <c r="A5" s="32" t="str">
        <v>CA: Antioch MC CUP - Citi</v>
      </c>
      <c r="B5" s="33" t="str">
        <v>CA</v>
      </c>
      <c r="C5" s="12">
        <v>107451</v>
      </c>
      <c r="D5" s="12">
        <v>88103.5</v>
      </c>
      <c r="E5" s="80">
        <f t="shared" ref="E5:E22" si="0">C5/D5</f>
        <v>1.2195996753817953</v>
      </c>
      <c r="F5" s="20">
        <v>87223</v>
      </c>
      <c r="G5" s="20">
        <f t="shared" ref="G5:G6" si="1">IF(AND(ISNUMBER(C5),ISNUMBER(F5)), C5-F5, "")</f>
        <v>20228</v>
      </c>
      <c r="H5" s="21">
        <f>IFERROR(G5/F5, "")</f>
        <v>0.2319113077972553</v>
      </c>
      <c r="I5" s="22">
        <v>116934.996</v>
      </c>
      <c r="J5" s="22">
        <f t="shared" ref="J5:J7" si="2">IF(AND(ISNUMBER(C5),ISNUMBER(I5)), C5-I5, "")</f>
        <v>-9483.9959999999992</v>
      </c>
      <c r="K5" s="21">
        <f t="shared" ref="K5:K6" si="3">IFERROR(J5/I5, "")</f>
        <v>-8.110485589788706E-2</v>
      </c>
      <c r="L5" s="11"/>
      <c r="M5" s="19"/>
    </row>
    <row r="6" spans="1:14" ht="28.9">
      <c r="A6" s="30" t="str">
        <v>CA: Clovis - Citi</v>
      </c>
      <c r="B6" s="31" t="str">
        <v>CA</v>
      </c>
      <c r="C6" s="26">
        <v>47404.25</v>
      </c>
      <c r="D6" s="78">
        <v>30338</v>
      </c>
      <c r="E6" s="79">
        <f t="shared" si="0"/>
        <v>1.5625370822071329</v>
      </c>
      <c r="F6" s="14">
        <v>29290</v>
      </c>
      <c r="G6" s="14">
        <f t="shared" si="1"/>
        <v>18114.25</v>
      </c>
      <c r="H6" s="15">
        <f t="shared" ref="H6:H15" si="4">IFERROR(G6/F6, "")</f>
        <v>0.61844486172755209</v>
      </c>
      <c r="I6" s="16">
        <v>48625.771000000001</v>
      </c>
      <c r="J6" s="16">
        <f t="shared" si="2"/>
        <v>-1221.5210000000006</v>
      </c>
      <c r="K6" s="17">
        <f t="shared" si="3"/>
        <v>-2.5120856181385806E-2</v>
      </c>
      <c r="L6" s="18" t="s">
        <v>24</v>
      </c>
      <c r="M6" s="99" t="s">
        <v>25</v>
      </c>
    </row>
    <row r="7" spans="1:14" ht="15.6">
      <c r="A7" s="32" t="str">
        <v>CA: Elk Grove MOB - Citi</v>
      </c>
      <c r="B7" s="33" t="str">
        <v>CA</v>
      </c>
      <c r="C7" s="12">
        <v>70088</v>
      </c>
      <c r="D7" s="12">
        <v>55258.5</v>
      </c>
      <c r="E7" s="80">
        <f t="shared" si="0"/>
        <v>1.2683659527493507</v>
      </c>
      <c r="F7" s="20">
        <v>54711</v>
      </c>
      <c r="G7" s="20">
        <f t="shared" ref="G7:G15" si="5">IF(AND(ISNUMBER(C7),ISNUMBER(F7)), C7-F7, "")</f>
        <v>15377</v>
      </c>
      <c r="H7" s="21">
        <f t="shared" si="4"/>
        <v>0.28105865365283034</v>
      </c>
      <c r="I7" s="22">
        <v>76608</v>
      </c>
      <c r="J7" s="22">
        <f t="shared" si="2"/>
        <v>-6520</v>
      </c>
      <c r="K7" s="21">
        <f t="shared" ref="K7:K15" si="6">IFERROR(J7/I7, "")</f>
        <v>-8.5108604845446953E-2</v>
      </c>
      <c r="L7" s="11"/>
      <c r="M7" s="19"/>
    </row>
    <row r="8" spans="1:14" ht="15.6">
      <c r="A8" s="30" t="str">
        <v>CA: Elk Grove Promenade - Citi</v>
      </c>
      <c r="B8" s="31" t="str">
        <v>CA</v>
      </c>
      <c r="C8" s="26">
        <v>39878</v>
      </c>
      <c r="D8" s="78">
        <v>30505</v>
      </c>
      <c r="E8" s="79">
        <f t="shared" si="0"/>
        <v>1.3072611047369285</v>
      </c>
      <c r="F8" s="14">
        <v>30232.710999999999</v>
      </c>
      <c r="G8" s="14">
        <f t="shared" si="5"/>
        <v>9645.2890000000007</v>
      </c>
      <c r="H8" s="15">
        <f t="shared" si="4"/>
        <v>0.31903486921831126</v>
      </c>
      <c r="I8" s="16">
        <v>44081.56</v>
      </c>
      <c r="J8" s="16">
        <f t="shared" ref="J8:J15" si="7">IF(AND(ISNUMBER(C8),ISNUMBER(I8)), C8-I8, "")</f>
        <v>-4203.5599999999977</v>
      </c>
      <c r="K8" s="17">
        <f t="shared" si="6"/>
        <v>-9.5358694202292246E-2</v>
      </c>
      <c r="L8" s="18"/>
      <c r="M8" s="18"/>
    </row>
    <row r="9" spans="1:14" ht="57.6">
      <c r="A9" s="32" t="str">
        <v>CA: Fresno Sequioa - Citi</v>
      </c>
      <c r="B9" s="33" t="str">
        <v>CA</v>
      </c>
      <c r="C9" s="12">
        <v>72064.5</v>
      </c>
      <c r="D9" s="12">
        <v>54436.21</v>
      </c>
      <c r="E9" s="80">
        <f t="shared" si="0"/>
        <v>1.3238338965919927</v>
      </c>
      <c r="F9" s="20">
        <v>53908</v>
      </c>
      <c r="G9" s="20">
        <f t="shared" si="5"/>
        <v>18156.5</v>
      </c>
      <c r="H9" s="21">
        <f t="shared" si="4"/>
        <v>0.33680529791496622</v>
      </c>
      <c r="I9" s="22">
        <v>83519.138000000006</v>
      </c>
      <c r="J9" s="22">
        <f t="shared" si="7"/>
        <v>-11454.638000000006</v>
      </c>
      <c r="K9" s="21">
        <f t="shared" si="6"/>
        <v>-0.13714985899399496</v>
      </c>
      <c r="L9" s="85" t="s">
        <v>26</v>
      </c>
      <c r="M9" s="100" t="s">
        <v>27</v>
      </c>
      <c r="N9" s="105" t="s">
        <v>28</v>
      </c>
    </row>
    <row r="10" spans="1:14" ht="28.9">
      <c r="A10" s="30" t="str">
        <v>CA: Fresno MOB - Citi</v>
      </c>
      <c r="B10" s="31" t="str">
        <v>CA</v>
      </c>
      <c r="C10" s="26">
        <v>30119.5</v>
      </c>
      <c r="D10" s="78">
        <v>21917.91</v>
      </c>
      <c r="E10" s="79">
        <f t="shared" si="0"/>
        <v>1.3741958060782256</v>
      </c>
      <c r="F10" s="14">
        <v>21759</v>
      </c>
      <c r="G10" s="14">
        <f t="shared" si="5"/>
        <v>8360.5</v>
      </c>
      <c r="H10" s="15">
        <f t="shared" si="4"/>
        <v>0.38423181212371893</v>
      </c>
      <c r="I10" s="16">
        <v>33751.72</v>
      </c>
      <c r="J10" s="16">
        <f t="shared" si="7"/>
        <v>-3632.2200000000012</v>
      </c>
      <c r="K10" s="17">
        <f t="shared" si="6"/>
        <v>-0.10761584891081109</v>
      </c>
      <c r="L10" s="18" t="s">
        <v>29</v>
      </c>
      <c r="M10" s="99" t="s">
        <v>30</v>
      </c>
    </row>
    <row r="11" spans="1:14" ht="15.6">
      <c r="A11" s="32" t="str">
        <v>CA: Modesto Bangs - Citi</v>
      </c>
      <c r="B11" s="33" t="str">
        <v>CA</v>
      </c>
      <c r="C11" s="12">
        <v>18323.25</v>
      </c>
      <c r="D11" s="12">
        <v>12108.41</v>
      </c>
      <c r="E11" s="80">
        <f t="shared" si="0"/>
        <v>1.5132663991391109</v>
      </c>
      <c r="F11" s="20">
        <v>12105</v>
      </c>
      <c r="G11" s="20">
        <f t="shared" si="5"/>
        <v>6218.25</v>
      </c>
      <c r="H11" s="21">
        <f t="shared" si="4"/>
        <v>0.51369268897149933</v>
      </c>
      <c r="I11" s="22">
        <v>18407</v>
      </c>
      <c r="J11" s="22">
        <f t="shared" si="7"/>
        <v>-83.75</v>
      </c>
      <c r="K11" s="21">
        <f t="shared" si="6"/>
        <v>-4.5498994947574291E-3</v>
      </c>
      <c r="L11" s="46"/>
      <c r="M11" s="47"/>
    </row>
    <row r="12" spans="1:14" ht="43.15">
      <c r="A12" s="30" t="str">
        <v>CA: Napa Data Center - Citi</v>
      </c>
      <c r="B12" s="31" t="str">
        <v>CA</v>
      </c>
      <c r="C12" s="26">
        <v>18167.75</v>
      </c>
      <c r="D12" s="78">
        <v>18607.37</v>
      </c>
      <c r="E12" s="79">
        <f t="shared" si="0"/>
        <v>0.9763738776624532</v>
      </c>
      <c r="F12" s="14">
        <v>18005</v>
      </c>
      <c r="G12" s="14">
        <f t="shared" si="5"/>
        <v>162.75</v>
      </c>
      <c r="H12" s="15">
        <f t="shared" si="4"/>
        <v>9.0391557900583175E-3</v>
      </c>
      <c r="I12" s="16">
        <v>22393.512999999999</v>
      </c>
      <c r="J12" s="16">
        <f t="shared" si="7"/>
        <v>-4225.762999999999</v>
      </c>
      <c r="K12" s="17">
        <f t="shared" si="6"/>
        <v>-0.18870478249660957</v>
      </c>
      <c r="L12" s="45" t="s">
        <v>31</v>
      </c>
      <c r="M12" s="101" t="s">
        <v>32</v>
      </c>
      <c r="N12" s="105" t="s">
        <v>33</v>
      </c>
    </row>
    <row r="13" spans="1:14" ht="43.15">
      <c r="A13" s="32" t="str">
        <v>CA: Petaluma MOB - Citi</v>
      </c>
      <c r="B13" s="33" t="str">
        <v>CA</v>
      </c>
      <c r="C13" s="12">
        <v>42798.5</v>
      </c>
      <c r="D13" s="12">
        <v>45402.400000000001</v>
      </c>
      <c r="E13" s="80">
        <f t="shared" si="0"/>
        <v>0.94264840625165192</v>
      </c>
      <c r="F13" s="20">
        <v>43691</v>
      </c>
      <c r="G13" s="20">
        <f t="shared" si="5"/>
        <v>-892.5</v>
      </c>
      <c r="H13" s="21">
        <f t="shared" si="4"/>
        <v>-2.0427548007598818E-2</v>
      </c>
      <c r="I13" s="22">
        <v>42214.46</v>
      </c>
      <c r="J13" s="22">
        <f t="shared" si="7"/>
        <v>584.04000000000087</v>
      </c>
      <c r="K13" s="21">
        <f t="shared" si="6"/>
        <v>1.3835069784145075E-2</v>
      </c>
      <c r="L13" s="66" t="s">
        <v>34</v>
      </c>
      <c r="M13" s="102" t="s">
        <v>35</v>
      </c>
      <c r="N13" s="105" t="s">
        <v>36</v>
      </c>
    </row>
    <row r="14" spans="1:14" ht="28.9">
      <c r="A14" s="30" t="str">
        <v>CA: Pleasanton Tec Ctr - Citi</v>
      </c>
      <c r="B14" s="31" t="str">
        <v>CA</v>
      </c>
      <c r="C14" s="26">
        <v>60053.5</v>
      </c>
      <c r="D14" s="78">
        <v>61177.84</v>
      </c>
      <c r="E14" s="79">
        <f t="shared" si="0"/>
        <v>0.98162177677407381</v>
      </c>
      <c r="F14" s="14">
        <v>60279</v>
      </c>
      <c r="G14" s="14">
        <f t="shared" si="5"/>
        <v>-225.5</v>
      </c>
      <c r="H14" s="15">
        <f t="shared" si="4"/>
        <v>-3.7409379717646277E-3</v>
      </c>
      <c r="I14" s="16">
        <v>72294.92</v>
      </c>
      <c r="J14" s="16">
        <f t="shared" si="7"/>
        <v>-12241.419999999998</v>
      </c>
      <c r="K14" s="17">
        <f t="shared" si="6"/>
        <v>-0.16932614352433059</v>
      </c>
      <c r="L14" s="45" t="s">
        <v>37</v>
      </c>
      <c r="M14" s="101" t="s">
        <v>38</v>
      </c>
    </row>
    <row r="15" spans="1:14" ht="15.6">
      <c r="A15" s="32" t="str">
        <v>CA: Rancho Cordova - Citi</v>
      </c>
      <c r="B15" s="33" t="str">
        <v>CA</v>
      </c>
      <c r="C15" s="12">
        <v>138722</v>
      </c>
      <c r="D15" s="12">
        <v>89789.61</v>
      </c>
      <c r="E15" s="80">
        <f t="shared" si="0"/>
        <v>1.5449671738188862</v>
      </c>
      <c r="F15" s="20">
        <v>88802</v>
      </c>
      <c r="G15" s="20">
        <f t="shared" si="5"/>
        <v>49920</v>
      </c>
      <c r="H15" s="21">
        <f t="shared" si="4"/>
        <v>0.56214950113736173</v>
      </c>
      <c r="I15" s="22">
        <v>146135.82500000001</v>
      </c>
      <c r="J15" s="22">
        <f t="shared" si="7"/>
        <v>-7413.8250000000116</v>
      </c>
      <c r="K15" s="21">
        <f t="shared" si="6"/>
        <v>-5.0732426494324794E-2</v>
      </c>
      <c r="L15" s="46"/>
      <c r="M15" s="47"/>
    </row>
    <row r="16" spans="1:14" ht="15.6">
      <c r="A16" s="30" t="str">
        <v>CA: S Sacramento Wyndham - Citi</v>
      </c>
      <c r="B16" s="31" t="str">
        <v>CA</v>
      </c>
      <c r="C16" s="37">
        <v>61514</v>
      </c>
      <c r="D16" s="78">
        <v>47416.43</v>
      </c>
      <c r="E16" s="79">
        <f t="shared" si="0"/>
        <v>1.2973140322879644</v>
      </c>
      <c r="F16" s="14">
        <v>46851</v>
      </c>
      <c r="G16" s="14">
        <f t="shared" ref="G16:G21" si="8">IF(AND(ISNUMBER(C16),ISNUMBER(F16)), C16-F16, "")</f>
        <v>14663</v>
      </c>
      <c r="H16" s="38">
        <f t="shared" ref="H16:H22" si="9">IFERROR(G16/F16, "")</f>
        <v>0.31297090777144565</v>
      </c>
      <c r="I16" s="39">
        <v>56726.752999999997</v>
      </c>
      <c r="J16" s="39">
        <f t="shared" ref="J16:J21" si="10">IF(AND(ISNUMBER(C16),ISNUMBER(I16)), C16-I16, "")</f>
        <v>4787.247000000003</v>
      </c>
      <c r="K16" s="40">
        <f t="shared" ref="K16:K22" si="11">IFERROR(J16/I16, "")</f>
        <v>8.439134529698894E-2</v>
      </c>
      <c r="L16" s="48"/>
      <c r="M16" s="48"/>
    </row>
    <row r="17" spans="1:14" ht="15.6">
      <c r="A17" s="32" t="str">
        <v>CA: Sacramento Point West - Citi</v>
      </c>
      <c r="B17" s="33" t="str">
        <v>CA</v>
      </c>
      <c r="C17" s="42">
        <v>116857</v>
      </c>
      <c r="D17" s="12">
        <v>90698.8</v>
      </c>
      <c r="E17" s="80">
        <f t="shared" si="0"/>
        <v>1.288407343867835</v>
      </c>
      <c r="F17" s="20">
        <v>90230</v>
      </c>
      <c r="G17" s="20">
        <f t="shared" si="8"/>
        <v>26627</v>
      </c>
      <c r="H17" s="43">
        <f t="shared" si="9"/>
        <v>0.29510140751413055</v>
      </c>
      <c r="I17" s="44">
        <v>132201.52600000001</v>
      </c>
      <c r="J17" s="44">
        <f t="shared" si="10"/>
        <v>-15344.526000000013</v>
      </c>
      <c r="K17" s="43">
        <f t="shared" si="11"/>
        <v>-0.1160692048289973</v>
      </c>
      <c r="L17" s="55"/>
      <c r="M17" s="47"/>
    </row>
    <row r="18" spans="1:14" ht="28.9">
      <c r="A18" s="30" t="str">
        <v>CA: San Jose FHC - Citi</v>
      </c>
      <c r="B18" s="31" t="str">
        <v>CA</v>
      </c>
      <c r="C18" s="37">
        <v>20174.5</v>
      </c>
      <c r="D18" s="78">
        <v>22811.79</v>
      </c>
      <c r="E18" s="79">
        <f t="shared" si="0"/>
        <v>0.88438916893413444</v>
      </c>
      <c r="F18" s="14">
        <v>23381</v>
      </c>
      <c r="G18" s="14">
        <f t="shared" si="8"/>
        <v>-3206.5</v>
      </c>
      <c r="H18" s="38">
        <f t="shared" si="9"/>
        <v>-0.13714126855138789</v>
      </c>
      <c r="I18" s="39">
        <v>25499.26</v>
      </c>
      <c r="J18" s="39">
        <f t="shared" si="10"/>
        <v>-5324.7599999999984</v>
      </c>
      <c r="K18" s="40">
        <f t="shared" si="11"/>
        <v>-0.20882017752672033</v>
      </c>
      <c r="L18" s="48" t="s">
        <v>39</v>
      </c>
      <c r="M18" s="103" t="s">
        <v>40</v>
      </c>
      <c r="N18" s="104" t="s">
        <v>41</v>
      </c>
    </row>
    <row r="19" spans="1:14" ht="43.15">
      <c r="A19" s="32" t="str">
        <v>CA: San Jose MOB - Citi</v>
      </c>
      <c r="B19" s="33" t="str">
        <v>CA</v>
      </c>
      <c r="C19" s="42">
        <v>30984.25</v>
      </c>
      <c r="D19" s="12">
        <v>37719.660000000003</v>
      </c>
      <c r="E19" s="80">
        <f t="shared" si="0"/>
        <v>0.82143502884172326</v>
      </c>
      <c r="F19" s="20">
        <v>38042</v>
      </c>
      <c r="G19" s="20">
        <f t="shared" si="8"/>
        <v>-7057.75</v>
      </c>
      <c r="H19" s="43">
        <f t="shared" si="9"/>
        <v>-0.18552520897954891</v>
      </c>
      <c r="I19" s="44">
        <v>41140.370000000003</v>
      </c>
      <c r="J19" s="44">
        <f t="shared" si="10"/>
        <v>-10156.120000000003</v>
      </c>
      <c r="K19" s="43">
        <f t="shared" si="11"/>
        <v>-0.24686506222476856</v>
      </c>
      <c r="L19" s="66" t="s">
        <v>42</v>
      </c>
      <c r="M19" s="102" t="s">
        <v>43</v>
      </c>
    </row>
    <row r="20" spans="1:14" ht="15.6">
      <c r="A20" s="30" t="str">
        <v>CA: Selma - Citi</v>
      </c>
      <c r="B20" s="31" t="str">
        <v>CA</v>
      </c>
      <c r="C20" s="37">
        <v>22758.75</v>
      </c>
      <c r="D20" s="78">
        <v>15404.17</v>
      </c>
      <c r="E20" s="79">
        <f t="shared" si="0"/>
        <v>1.4774408488091211</v>
      </c>
      <c r="F20" s="14">
        <v>15194</v>
      </c>
      <c r="G20" s="14">
        <f t="shared" si="8"/>
        <v>7564.75</v>
      </c>
      <c r="H20" s="38">
        <f t="shared" si="9"/>
        <v>0.49787745162564168</v>
      </c>
      <c r="I20" s="39">
        <v>26945.833999999999</v>
      </c>
      <c r="J20" s="39">
        <f t="shared" si="10"/>
        <v>-4187.0839999999989</v>
      </c>
      <c r="K20" s="40">
        <f t="shared" si="11"/>
        <v>-0.15538891837602797</v>
      </c>
      <c r="L20" s="48"/>
      <c r="M20" s="48"/>
    </row>
    <row r="21" spans="1:14" ht="15.6">
      <c r="A21" s="32" t="str">
        <v>CA: Vacaville Hospital</v>
      </c>
      <c r="B21" s="33" t="str">
        <v>CA</v>
      </c>
      <c r="C21" s="42">
        <v>158667</v>
      </c>
      <c r="D21" s="12">
        <v>130650.58</v>
      </c>
      <c r="E21" s="80">
        <f t="shared" si="0"/>
        <v>1.2144377774671953</v>
      </c>
      <c r="F21" s="20">
        <v>130413</v>
      </c>
      <c r="G21" s="20">
        <f t="shared" si="8"/>
        <v>28254</v>
      </c>
      <c r="H21" s="43">
        <f t="shared" si="9"/>
        <v>0.21665018058015689</v>
      </c>
      <c r="I21" s="44">
        <v>151623.242</v>
      </c>
      <c r="J21" s="44">
        <f t="shared" si="10"/>
        <v>7043.7580000000016</v>
      </c>
      <c r="K21" s="43">
        <f t="shared" si="11"/>
        <v>4.645566146118945E-2</v>
      </c>
      <c r="L21" s="11"/>
      <c r="M21" s="19"/>
    </row>
    <row r="22" spans="1:14" ht="15.6">
      <c r="A22" s="30" t="str">
        <v>CA: Manteca - KP Manteca Hospital</v>
      </c>
      <c r="B22" s="31" t="str">
        <v>CA</v>
      </c>
      <c r="C22" s="37">
        <v>50535.38</v>
      </c>
      <c r="D22" s="78">
        <v>29973</v>
      </c>
      <c r="E22" s="79">
        <f t="shared" si="0"/>
        <v>1.6860300937510426</v>
      </c>
      <c r="F22" s="14">
        <v>41066.637000000002</v>
      </c>
      <c r="G22" s="14">
        <f>IF(AND(ISNUMBER(C22),ISNUMBER(F22)), C22-F22, "")</f>
        <v>9468.7429999999949</v>
      </c>
      <c r="H22" s="38">
        <f t="shared" si="9"/>
        <v>0.23057020714893198</v>
      </c>
      <c r="I22" s="39">
        <v>52266.220999999998</v>
      </c>
      <c r="J22" s="39">
        <f>IF(AND(ISNUMBER(C22),ISNUMBER(I22)), C22-I22, "")</f>
        <v>-1730.8410000000003</v>
      </c>
      <c r="K22" s="40">
        <f t="shared" si="11"/>
        <v>-3.31158627290081E-2</v>
      </c>
      <c r="L22" s="48"/>
      <c r="M22" s="48"/>
    </row>
    <row r="23" spans="1:14" ht="14.45">
      <c r="A23" s="23" t="str">
        <v>Sacramento - KP South Sacramento HSP</v>
      </c>
      <c r="B23" s="35" t="str">
        <v>CA</v>
      </c>
      <c r="C23" s="23"/>
      <c r="D23" s="23"/>
      <c r="E23" s="23"/>
      <c r="F23" s="23"/>
      <c r="G23" s="23"/>
      <c r="H23" s="23"/>
      <c r="I23" s="23"/>
      <c r="J23" s="23"/>
      <c r="K23" s="23"/>
      <c r="L23" s="23"/>
      <c r="M23" s="23"/>
    </row>
    <row r="24" spans="1:14" ht="14.45">
      <c r="A24" s="23"/>
      <c r="B24" s="35"/>
      <c r="C24" s="23"/>
      <c r="D24" s="23"/>
      <c r="E24" s="23"/>
      <c r="F24" s="23"/>
      <c r="G24" s="23"/>
      <c r="H24" s="23"/>
      <c r="I24" s="23"/>
      <c r="J24" s="23"/>
      <c r="K24" s="23"/>
      <c r="L24" s="23"/>
      <c r="M24" s="23"/>
    </row>
    <row r="25" spans="1:14" ht="14.45">
      <c r="A25" s="23"/>
      <c r="M25" s="23"/>
    </row>
    <row r="26" spans="1:14" ht="14.45">
      <c r="A26" s="23"/>
      <c r="M26" s="23"/>
    </row>
    <row r="27" spans="1:14" ht="14.45">
      <c r="A27" s="23"/>
      <c r="B27" s="35"/>
      <c r="C27" s="23"/>
      <c r="D27" s="23"/>
      <c r="E27" s="23"/>
      <c r="F27" s="23"/>
      <c r="G27" s="23"/>
      <c r="H27" s="23"/>
      <c r="I27" s="23"/>
      <c r="J27" s="23"/>
      <c r="K27" s="23"/>
      <c r="L27" s="23"/>
      <c r="M27" s="23"/>
    </row>
    <row r="28" spans="1:14" ht="14.45">
      <c r="A28" s="23"/>
      <c r="B28" s="35"/>
      <c r="C28" s="23"/>
      <c r="D28" s="23"/>
      <c r="E28" s="23"/>
      <c r="F28" s="23"/>
      <c r="G28" s="23"/>
      <c r="H28" s="23"/>
      <c r="I28" s="23"/>
      <c r="J28" s="23"/>
      <c r="K28" s="23"/>
      <c r="L28" s="23"/>
      <c r="M28" s="23"/>
    </row>
    <row r="29" spans="1:14" ht="14.45">
      <c r="A29" s="23"/>
      <c r="B29" s="35"/>
      <c r="C29" s="35"/>
      <c r="D29" s="35"/>
      <c r="E29" s="35"/>
      <c r="F29" s="23"/>
      <c r="G29" s="23"/>
      <c r="H29" s="23"/>
      <c r="I29" s="23"/>
      <c r="J29" s="23"/>
      <c r="K29" s="23"/>
      <c r="L29" s="23"/>
      <c r="M29" s="23"/>
    </row>
    <row r="30" spans="1:14" ht="14.45">
      <c r="A30" s="23"/>
      <c r="B30" s="35"/>
      <c r="C30" s="35"/>
      <c r="D30" s="35"/>
      <c r="E30" s="35"/>
      <c r="F30" s="23"/>
      <c r="G30" s="23"/>
      <c r="H30" s="23"/>
      <c r="I30" s="23"/>
      <c r="J30" s="23"/>
      <c r="K30" s="23"/>
      <c r="L30" s="23"/>
      <c r="M30" s="23"/>
    </row>
    <row r="31" spans="1:14" ht="14.45">
      <c r="A31" s="23"/>
      <c r="B31" s="35"/>
      <c r="C31" s="23"/>
      <c r="D31" s="23"/>
      <c r="E31" s="23"/>
      <c r="F31" s="23"/>
      <c r="G31" s="23"/>
      <c r="H31" s="23"/>
      <c r="I31" s="23"/>
      <c r="J31" s="23"/>
      <c r="K31" s="23"/>
      <c r="L31" s="23"/>
      <c r="M31" s="23"/>
    </row>
    <row r="32" spans="1:14" ht="14.45">
      <c r="A32" s="23"/>
      <c r="B32" s="35"/>
      <c r="C32" s="23"/>
      <c r="D32" s="23"/>
      <c r="E32" s="23"/>
      <c r="F32" s="23"/>
      <c r="G32" s="23"/>
      <c r="H32" s="24"/>
      <c r="I32" s="23"/>
      <c r="J32" s="23"/>
      <c r="K32" s="24"/>
      <c r="L32" s="23"/>
      <c r="M32" s="23"/>
    </row>
    <row r="33" spans="1:13" ht="14.45">
      <c r="A33" s="23"/>
      <c r="B33" s="35"/>
      <c r="C33" s="23"/>
      <c r="D33" s="23"/>
      <c r="E33" s="23"/>
      <c r="F33" s="23"/>
      <c r="G33" s="23"/>
      <c r="H33" s="24"/>
      <c r="I33" s="23"/>
      <c r="J33" s="23"/>
      <c r="K33" s="24"/>
      <c r="L33" s="23"/>
      <c r="M33" s="23"/>
    </row>
    <row r="34" spans="1:13" ht="14.45">
      <c r="A34" s="23"/>
      <c r="B34" s="35"/>
      <c r="C34" s="23"/>
      <c r="D34" s="23"/>
      <c r="E34" s="23"/>
      <c r="F34" s="23"/>
      <c r="G34" s="23"/>
      <c r="H34" s="24"/>
      <c r="I34" s="23"/>
      <c r="J34" s="23"/>
      <c r="K34" s="24"/>
      <c r="L34" s="23"/>
      <c r="M34" s="23"/>
    </row>
    <row r="35" spans="1:13" ht="14.45">
      <c r="A35" s="23"/>
      <c r="B35" s="35"/>
      <c r="C35" s="23"/>
      <c r="D35" s="23"/>
      <c r="E35" s="23"/>
      <c r="F35" s="23"/>
      <c r="G35" s="23"/>
      <c r="H35" s="24"/>
      <c r="I35" s="23"/>
      <c r="J35" s="23"/>
      <c r="K35" s="24"/>
      <c r="L35" s="23"/>
      <c r="M35" s="23"/>
    </row>
    <row r="36" spans="1:13" ht="14.45">
      <c r="A36" s="23"/>
      <c r="B36" s="35"/>
      <c r="C36" s="23"/>
      <c r="D36" s="23"/>
      <c r="E36" s="23"/>
      <c r="F36" s="23"/>
      <c r="G36" s="23"/>
      <c r="H36" s="24"/>
      <c r="I36" s="23"/>
      <c r="J36" s="23"/>
      <c r="K36" s="24"/>
      <c r="L36" s="23"/>
      <c r="M36" s="23"/>
    </row>
    <row r="37" spans="1:13" ht="14.45">
      <c r="A37" s="23"/>
      <c r="B37" s="35"/>
      <c r="C37" s="23"/>
      <c r="D37" s="23"/>
      <c r="E37" s="23"/>
      <c r="F37" s="23"/>
      <c r="G37" s="23"/>
      <c r="H37" s="24"/>
      <c r="I37" s="23"/>
      <c r="J37" s="23"/>
      <c r="K37" s="24"/>
      <c r="L37" s="23"/>
      <c r="M37" s="23"/>
    </row>
    <row r="38" spans="1:13" ht="14.45">
      <c r="A38" s="23"/>
      <c r="B38" s="35"/>
      <c r="C38" s="23"/>
      <c r="D38" s="23"/>
      <c r="E38" s="23"/>
      <c r="F38" s="23"/>
      <c r="G38" s="23"/>
      <c r="H38" s="24"/>
      <c r="I38" s="23"/>
      <c r="J38" s="23"/>
      <c r="K38" s="24"/>
      <c r="L38" s="23"/>
      <c r="M38" s="23"/>
    </row>
    <row r="39" spans="1:13" ht="14.45">
      <c r="A39" s="23"/>
      <c r="B39" s="35"/>
      <c r="C39" s="23"/>
      <c r="D39" s="23"/>
      <c r="E39" s="23"/>
      <c r="F39" s="23"/>
      <c r="G39" s="23"/>
      <c r="H39" s="24"/>
      <c r="I39" s="23"/>
      <c r="J39" s="23"/>
      <c r="K39" s="24"/>
      <c r="L39" s="23"/>
      <c r="M39" s="23"/>
    </row>
    <row r="40" spans="1:13" ht="14.45">
      <c r="A40" s="23"/>
      <c r="B40" s="35"/>
      <c r="C40" s="23"/>
      <c r="D40" s="23"/>
      <c r="E40" s="23"/>
      <c r="F40" s="23"/>
      <c r="G40" s="23"/>
      <c r="H40" s="24"/>
      <c r="I40" s="23"/>
      <c r="J40" s="23"/>
      <c r="K40" s="24"/>
      <c r="L40" s="23"/>
      <c r="M40" s="23"/>
    </row>
    <row r="41" spans="1:13" ht="14.45">
      <c r="A41" s="23"/>
      <c r="B41" s="35"/>
      <c r="C41" s="23"/>
      <c r="D41" s="23"/>
      <c r="E41" s="23"/>
      <c r="F41" s="23"/>
      <c r="G41" s="23"/>
      <c r="H41" s="24"/>
      <c r="I41" s="23"/>
      <c r="J41" s="23"/>
      <c r="K41" s="24"/>
      <c r="L41" s="23"/>
      <c r="M41" s="23"/>
    </row>
    <row r="42" spans="1:13" ht="14.45">
      <c r="A42" s="23"/>
      <c r="B42" s="35"/>
      <c r="C42" s="23"/>
      <c r="D42" s="23"/>
      <c r="E42" s="23"/>
      <c r="F42" s="23"/>
      <c r="G42" s="23"/>
      <c r="H42" s="24"/>
      <c r="I42" s="23"/>
      <c r="J42" s="23"/>
      <c r="K42" s="24"/>
      <c r="L42" s="23"/>
      <c r="M42" s="23"/>
    </row>
    <row r="43" spans="1:13" ht="14.45">
      <c r="A43" s="23"/>
      <c r="B43" s="35"/>
      <c r="C43" s="23"/>
      <c r="D43" s="23"/>
      <c r="E43" s="23"/>
      <c r="F43" s="23"/>
      <c r="G43" s="23"/>
      <c r="H43" s="24"/>
      <c r="I43" s="23"/>
      <c r="J43" s="23"/>
      <c r="K43" s="24"/>
      <c r="L43" s="23"/>
      <c r="M43" s="23"/>
    </row>
    <row r="44" spans="1:13" ht="14.45">
      <c r="A44" s="23"/>
      <c r="B44" s="35"/>
      <c r="C44" s="23"/>
      <c r="D44" s="23"/>
      <c r="E44" s="23"/>
      <c r="F44" s="23"/>
      <c r="G44" s="23"/>
      <c r="H44" s="24"/>
      <c r="I44" s="23"/>
      <c r="J44" s="23"/>
      <c r="K44" s="24"/>
      <c r="L44" s="23"/>
      <c r="M44" s="23"/>
    </row>
    <row r="45" spans="1:13" ht="14.45">
      <c r="A45" s="23"/>
      <c r="B45" s="35"/>
      <c r="C45" s="23"/>
      <c r="D45" s="23"/>
      <c r="E45" s="23"/>
      <c r="F45" s="23"/>
      <c r="G45" s="23"/>
      <c r="H45" s="24"/>
      <c r="I45" s="23"/>
      <c r="J45" s="23"/>
      <c r="K45" s="24"/>
      <c r="L45" s="23"/>
      <c r="M45" s="23"/>
    </row>
    <row r="46" spans="1:13" ht="14.45">
      <c r="A46" s="23"/>
      <c r="B46" s="35"/>
      <c r="C46" s="23"/>
      <c r="D46" s="23"/>
      <c r="E46" s="23"/>
      <c r="F46" s="23"/>
      <c r="G46" s="23"/>
      <c r="H46" s="24"/>
      <c r="I46" s="23"/>
      <c r="J46" s="23"/>
      <c r="K46" s="24"/>
      <c r="L46" s="23"/>
      <c r="M46" s="23"/>
    </row>
    <row r="47" spans="1:13" ht="14.45">
      <c r="A47" s="23"/>
      <c r="B47" s="35"/>
      <c r="C47" s="23"/>
      <c r="D47" s="23"/>
      <c r="E47" s="23"/>
      <c r="F47" s="23"/>
      <c r="G47" s="23"/>
      <c r="H47" s="24"/>
      <c r="I47" s="23"/>
      <c r="J47" s="23"/>
      <c r="K47" s="24"/>
      <c r="L47" s="23"/>
      <c r="M47" s="23"/>
    </row>
    <row r="48" spans="1:13" ht="14.45">
      <c r="A48" s="23"/>
      <c r="B48" s="35"/>
      <c r="C48" s="23"/>
      <c r="D48" s="23"/>
      <c r="E48" s="23"/>
      <c r="F48" s="23"/>
      <c r="G48" s="23"/>
      <c r="H48" s="24"/>
      <c r="I48" s="23"/>
      <c r="J48" s="23"/>
      <c r="K48" s="24"/>
      <c r="L48" s="23"/>
      <c r="M48" s="23"/>
    </row>
    <row r="49" spans="1:13" ht="14.45">
      <c r="A49" s="23"/>
      <c r="B49" s="35"/>
      <c r="C49" s="23"/>
      <c r="D49" s="23"/>
      <c r="E49" s="23"/>
      <c r="F49" s="23"/>
      <c r="G49" s="23"/>
      <c r="H49" s="24"/>
      <c r="I49" s="23"/>
      <c r="J49" s="23"/>
      <c r="K49" s="24"/>
      <c r="L49" s="23"/>
      <c r="M49" s="23"/>
    </row>
    <row r="50" spans="1:13" ht="14.45">
      <c r="A50" s="23"/>
      <c r="B50" s="35"/>
      <c r="C50" s="23"/>
      <c r="D50" s="23"/>
      <c r="E50" s="23"/>
      <c r="F50" s="23"/>
      <c r="G50" s="23"/>
      <c r="H50" s="24"/>
      <c r="I50" s="23"/>
      <c r="J50" s="23"/>
      <c r="K50" s="24"/>
      <c r="L50" s="23"/>
      <c r="M50" s="23"/>
    </row>
    <row r="51" spans="1:13" ht="14.45">
      <c r="A51" s="23"/>
      <c r="B51" s="35"/>
      <c r="C51" s="23"/>
      <c r="D51" s="23"/>
      <c r="E51" s="23"/>
      <c r="F51" s="23"/>
      <c r="G51" s="23"/>
      <c r="H51" s="24"/>
      <c r="I51" s="23"/>
      <c r="J51" s="23"/>
      <c r="K51" s="24"/>
      <c r="L51" s="23"/>
      <c r="M51" s="23"/>
    </row>
    <row r="52" spans="1:13" ht="14.45">
      <c r="A52" s="23"/>
      <c r="B52" s="35"/>
      <c r="C52" s="23"/>
      <c r="D52" s="23"/>
      <c r="E52" s="23"/>
      <c r="F52" s="23"/>
      <c r="G52" s="23"/>
      <c r="H52" s="24"/>
      <c r="I52" s="23"/>
      <c r="J52" s="23"/>
      <c r="K52" s="24"/>
      <c r="L52" s="23"/>
      <c r="M52" s="23"/>
    </row>
    <row r="53" spans="1:13" ht="14.45">
      <c r="A53" s="23"/>
      <c r="B53" s="35"/>
      <c r="C53" s="23"/>
      <c r="D53" s="23"/>
      <c r="E53" s="23"/>
      <c r="F53" s="23"/>
      <c r="G53" s="23"/>
      <c r="H53" s="24"/>
      <c r="I53" s="23"/>
      <c r="J53" s="23"/>
      <c r="K53" s="24"/>
      <c r="L53" s="23"/>
      <c r="M53" s="23"/>
    </row>
    <row r="54" spans="1:13" ht="14.45">
      <c r="A54" s="23"/>
      <c r="B54" s="35"/>
      <c r="C54" s="23"/>
      <c r="D54" s="23"/>
      <c r="E54" s="23"/>
      <c r="F54" s="23"/>
      <c r="G54" s="23"/>
      <c r="H54" s="24"/>
      <c r="I54" s="23"/>
      <c r="J54" s="23"/>
      <c r="K54" s="24"/>
      <c r="L54" s="23"/>
      <c r="M54" s="23"/>
    </row>
    <row r="55" spans="1:13" ht="14.45">
      <c r="A55" s="23"/>
      <c r="B55" s="35"/>
      <c r="C55" s="23"/>
      <c r="D55" s="23"/>
      <c r="E55" s="23"/>
      <c r="F55" s="23"/>
      <c r="G55" s="23"/>
      <c r="H55" s="24"/>
      <c r="I55" s="23"/>
      <c r="J55" s="23"/>
      <c r="K55" s="24"/>
      <c r="L55" s="23"/>
      <c r="M55" s="23"/>
    </row>
    <row r="56" spans="1:13" ht="14.45">
      <c r="A56" s="23"/>
      <c r="B56" s="35"/>
      <c r="C56" s="23"/>
      <c r="D56" s="23"/>
      <c r="E56" s="23"/>
      <c r="F56" s="23"/>
      <c r="G56" s="23"/>
      <c r="H56" s="24"/>
      <c r="I56" s="23"/>
      <c r="J56" s="23"/>
      <c r="K56" s="24"/>
      <c r="L56" s="23"/>
      <c r="M56" s="23"/>
    </row>
    <row r="57" spans="1:13" ht="14.45">
      <c r="A57" s="23"/>
      <c r="B57" s="35"/>
      <c r="C57" s="23"/>
      <c r="D57" s="23"/>
      <c r="E57" s="23"/>
      <c r="F57" s="23"/>
      <c r="G57" s="23"/>
      <c r="H57" s="24"/>
      <c r="I57" s="23"/>
      <c r="J57" s="23"/>
      <c r="K57" s="24"/>
      <c r="L57" s="23"/>
      <c r="M57" s="23"/>
    </row>
    <row r="58" spans="1:13" ht="14.45">
      <c r="A58" s="23"/>
      <c r="B58" s="35"/>
      <c r="C58" s="23"/>
      <c r="D58" s="23"/>
      <c r="E58" s="23"/>
      <c r="F58" s="23"/>
      <c r="G58" s="23"/>
      <c r="H58" s="24"/>
      <c r="I58" s="23"/>
      <c r="J58" s="23"/>
      <c r="K58" s="24"/>
      <c r="L58" s="23"/>
      <c r="M58" s="23"/>
    </row>
    <row r="59" spans="1:13" ht="14.45">
      <c r="A59" s="23"/>
      <c r="B59" s="35"/>
      <c r="C59" s="23"/>
      <c r="D59" s="23"/>
      <c r="E59" s="23"/>
      <c r="F59" s="23"/>
      <c r="G59" s="23"/>
      <c r="H59" s="24"/>
      <c r="I59" s="23"/>
      <c r="J59" s="23"/>
      <c r="K59" s="24"/>
      <c r="L59" s="23"/>
      <c r="M59" s="23"/>
    </row>
    <row r="60" spans="1:13" ht="14.45">
      <c r="A60" s="23"/>
      <c r="B60" s="35"/>
      <c r="C60" s="23"/>
      <c r="D60" s="23"/>
      <c r="E60" s="23"/>
      <c r="F60" s="23"/>
      <c r="G60" s="23"/>
      <c r="H60" s="24"/>
      <c r="I60" s="23"/>
      <c r="J60" s="23"/>
      <c r="K60" s="24"/>
      <c r="L60" s="23"/>
      <c r="M60" s="23"/>
    </row>
    <row r="61" spans="1:13" ht="14.45">
      <c r="A61" s="23"/>
      <c r="B61" s="35"/>
      <c r="C61" s="23"/>
      <c r="D61" s="23"/>
      <c r="E61" s="23"/>
      <c r="F61" s="23"/>
      <c r="G61" s="23"/>
      <c r="H61" s="24"/>
      <c r="I61" s="23"/>
      <c r="J61" s="23"/>
      <c r="K61" s="24"/>
      <c r="L61" s="23"/>
      <c r="M61" s="23"/>
    </row>
    <row r="62" spans="1:13" ht="14.45">
      <c r="A62" s="23"/>
      <c r="B62" s="35"/>
      <c r="C62" s="23"/>
      <c r="D62" s="23"/>
      <c r="E62" s="23"/>
      <c r="F62" s="23"/>
      <c r="G62" s="23"/>
      <c r="H62" s="24"/>
      <c r="I62" s="23"/>
      <c r="J62" s="23"/>
      <c r="K62" s="24"/>
      <c r="L62" s="23"/>
      <c r="M62" s="23"/>
    </row>
    <row r="63" spans="1:13" ht="14.45">
      <c r="A63" s="23"/>
      <c r="B63" s="35"/>
      <c r="C63" s="23"/>
      <c r="D63" s="23"/>
      <c r="E63" s="23"/>
      <c r="F63" s="23"/>
      <c r="G63" s="23"/>
      <c r="H63" s="24"/>
      <c r="I63" s="23"/>
      <c r="J63" s="23"/>
      <c r="K63" s="24"/>
      <c r="L63" s="23"/>
      <c r="M63" s="23"/>
    </row>
    <row r="64" spans="1:13" ht="14.45">
      <c r="A64" s="23"/>
      <c r="B64" s="35"/>
      <c r="C64" s="23"/>
      <c r="D64" s="23"/>
      <c r="E64" s="23"/>
      <c r="F64" s="23"/>
      <c r="G64" s="23"/>
      <c r="H64" s="24"/>
      <c r="I64" s="23"/>
      <c r="J64" s="23"/>
      <c r="K64" s="24"/>
      <c r="L64" s="23"/>
      <c r="M64" s="23"/>
    </row>
    <row r="65" spans="1:13" ht="14.45">
      <c r="A65" s="23"/>
      <c r="B65" s="35"/>
      <c r="C65" s="23"/>
      <c r="D65" s="23"/>
      <c r="E65" s="23"/>
      <c r="F65" s="23"/>
      <c r="G65" s="23"/>
      <c r="H65" s="24"/>
      <c r="I65" s="23"/>
      <c r="J65" s="23"/>
      <c r="K65" s="24"/>
      <c r="L65" s="23"/>
      <c r="M65" s="23"/>
    </row>
    <row r="66" spans="1:13" ht="14.45">
      <c r="A66" s="23"/>
      <c r="B66" s="35"/>
      <c r="C66" s="23"/>
      <c r="D66" s="23"/>
      <c r="E66" s="23"/>
      <c r="F66" s="23"/>
      <c r="G66" s="23"/>
      <c r="H66" s="24"/>
      <c r="I66" s="23"/>
      <c r="J66" s="23"/>
      <c r="K66" s="24"/>
      <c r="L66" s="23"/>
      <c r="M66" s="23"/>
    </row>
    <row r="67" spans="1:13" ht="14.45">
      <c r="A67" s="23"/>
      <c r="B67" s="35"/>
      <c r="C67" s="23"/>
      <c r="D67" s="23"/>
      <c r="E67" s="23"/>
      <c r="F67" s="23"/>
      <c r="G67" s="23"/>
      <c r="H67" s="24"/>
      <c r="I67" s="23"/>
      <c r="J67" s="23"/>
      <c r="K67" s="24"/>
      <c r="L67" s="23"/>
      <c r="M67" s="23"/>
    </row>
    <row r="68" spans="1:13" ht="14.45">
      <c r="A68" s="23"/>
      <c r="B68" s="35"/>
      <c r="C68" s="23"/>
      <c r="D68" s="23"/>
      <c r="E68" s="23"/>
      <c r="F68" s="23"/>
      <c r="G68" s="23"/>
      <c r="H68" s="24"/>
      <c r="I68" s="23"/>
      <c r="J68" s="23"/>
      <c r="K68" s="24"/>
      <c r="L68" s="23"/>
      <c r="M68" s="23"/>
    </row>
    <row r="69" spans="1:13" ht="14.45">
      <c r="A69" s="23"/>
      <c r="B69" s="35"/>
      <c r="C69" s="23"/>
      <c r="D69" s="23"/>
      <c r="E69" s="23"/>
      <c r="F69" s="23"/>
      <c r="G69" s="23"/>
      <c r="H69" s="24"/>
      <c r="I69" s="23"/>
      <c r="J69" s="23"/>
      <c r="K69" s="24"/>
      <c r="L69" s="23"/>
      <c r="M69" s="23"/>
    </row>
    <row r="70" spans="1:13" ht="14.45">
      <c r="A70" s="23"/>
      <c r="B70" s="35"/>
      <c r="C70" s="23"/>
      <c r="D70" s="23"/>
      <c r="E70" s="23"/>
      <c r="F70" s="23"/>
      <c r="G70" s="23"/>
      <c r="H70" s="24"/>
      <c r="I70" s="23"/>
      <c r="J70" s="23"/>
      <c r="K70" s="24"/>
      <c r="L70" s="23"/>
      <c r="M70" s="23"/>
    </row>
    <row r="71" spans="1:13" ht="14.45">
      <c r="A71" s="23"/>
      <c r="B71" s="35"/>
      <c r="C71" s="23"/>
      <c r="D71" s="23"/>
      <c r="E71" s="23"/>
      <c r="F71" s="23"/>
      <c r="G71" s="23"/>
      <c r="H71" s="24"/>
      <c r="I71" s="23"/>
      <c r="J71" s="23"/>
      <c r="K71" s="24"/>
      <c r="L71" s="23"/>
      <c r="M71" s="23"/>
    </row>
    <row r="72" spans="1:13" ht="14.45">
      <c r="A72" s="23"/>
      <c r="B72" s="35"/>
      <c r="C72" s="23"/>
      <c r="D72" s="23"/>
      <c r="E72" s="23"/>
      <c r="F72" s="23"/>
      <c r="G72" s="23"/>
      <c r="H72" s="24"/>
      <c r="I72" s="23"/>
      <c r="J72" s="23"/>
      <c r="K72" s="24"/>
      <c r="L72" s="23"/>
      <c r="M72" s="23"/>
    </row>
    <row r="73" spans="1:13" ht="14.45">
      <c r="A73" s="23"/>
      <c r="B73" s="35"/>
      <c r="C73" s="23"/>
      <c r="D73" s="23"/>
      <c r="E73" s="23"/>
      <c r="F73" s="23"/>
      <c r="G73" s="23"/>
      <c r="H73" s="24"/>
      <c r="I73" s="23"/>
      <c r="J73" s="23"/>
      <c r="K73" s="24"/>
      <c r="L73" s="23"/>
      <c r="M73" s="23"/>
    </row>
    <row r="74" spans="1:13" ht="14.45">
      <c r="A74" s="23"/>
      <c r="B74" s="35"/>
      <c r="C74" s="23"/>
      <c r="D74" s="23"/>
      <c r="E74" s="23"/>
      <c r="F74" s="23"/>
      <c r="G74" s="23"/>
      <c r="H74" s="24"/>
      <c r="I74" s="23"/>
      <c r="J74" s="23"/>
      <c r="K74" s="24"/>
      <c r="L74" s="23"/>
      <c r="M74" s="23"/>
    </row>
    <row r="75" spans="1:13" ht="14.45">
      <c r="A75" s="23"/>
      <c r="B75" s="35"/>
      <c r="C75" s="23"/>
      <c r="D75" s="23"/>
      <c r="E75" s="23"/>
      <c r="F75" s="23"/>
      <c r="G75" s="23"/>
      <c r="H75" s="24"/>
      <c r="I75" s="23"/>
      <c r="J75" s="23"/>
      <c r="K75" s="24"/>
      <c r="L75" s="23"/>
      <c r="M75" s="23"/>
    </row>
    <row r="76" spans="1:13" ht="14.45">
      <c r="A76" s="23"/>
      <c r="B76" s="35"/>
      <c r="C76" s="23"/>
      <c r="D76" s="23"/>
      <c r="E76" s="23"/>
      <c r="F76" s="23"/>
      <c r="G76" s="23"/>
      <c r="H76" s="24"/>
      <c r="I76" s="23"/>
      <c r="J76" s="23"/>
      <c r="K76" s="24"/>
      <c r="L76" s="23"/>
      <c r="M76" s="23"/>
    </row>
    <row r="77" spans="1:13" ht="14.45">
      <c r="A77" s="23"/>
      <c r="B77" s="35"/>
      <c r="C77" s="23"/>
      <c r="D77" s="23"/>
      <c r="E77" s="23"/>
      <c r="F77" s="23"/>
      <c r="G77" s="23"/>
      <c r="H77" s="24"/>
      <c r="I77" s="23"/>
      <c r="J77" s="23"/>
      <c r="K77" s="24"/>
      <c r="L77" s="23"/>
      <c r="M77" s="23"/>
    </row>
    <row r="78" spans="1:13" ht="14.45">
      <c r="A78" s="23"/>
      <c r="B78" s="35"/>
      <c r="C78" s="23"/>
      <c r="D78" s="23"/>
      <c r="E78" s="23"/>
      <c r="F78" s="23"/>
      <c r="G78" s="23"/>
      <c r="H78" s="24"/>
      <c r="I78" s="23"/>
      <c r="J78" s="23"/>
      <c r="K78" s="24"/>
      <c r="L78" s="23"/>
      <c r="M78" s="23"/>
    </row>
    <row r="79" spans="1:13" ht="14.45">
      <c r="A79" s="23"/>
      <c r="B79" s="35"/>
      <c r="C79" s="23"/>
      <c r="D79" s="23"/>
      <c r="E79" s="23"/>
      <c r="F79" s="23"/>
      <c r="G79" s="23"/>
      <c r="H79" s="24"/>
      <c r="I79" s="23"/>
      <c r="J79" s="23"/>
      <c r="K79" s="24"/>
      <c r="L79" s="23"/>
      <c r="M79" s="23"/>
    </row>
    <row r="80" spans="1:13" ht="14.45">
      <c r="A80" s="23"/>
      <c r="B80" s="35"/>
      <c r="C80" s="23"/>
      <c r="D80" s="23"/>
      <c r="E80" s="23"/>
      <c r="F80" s="23"/>
      <c r="G80" s="23"/>
      <c r="H80" s="24"/>
      <c r="I80" s="23"/>
      <c r="J80" s="23"/>
      <c r="K80" s="24"/>
      <c r="L80" s="23"/>
      <c r="M80" s="23"/>
    </row>
    <row r="81" spans="1:13" ht="14.45">
      <c r="A81" s="23"/>
      <c r="B81" s="35"/>
      <c r="C81" s="23"/>
      <c r="D81" s="23"/>
      <c r="E81" s="23"/>
      <c r="F81" s="23"/>
      <c r="G81" s="23"/>
      <c r="H81" s="24"/>
      <c r="I81" s="23"/>
      <c r="J81" s="23"/>
      <c r="K81" s="24"/>
      <c r="L81" s="23"/>
      <c r="M81" s="23"/>
    </row>
    <row r="82" spans="1:13" ht="14.45">
      <c r="A82" s="23"/>
      <c r="B82" s="35"/>
      <c r="C82" s="23"/>
      <c r="D82" s="23"/>
      <c r="E82" s="23"/>
      <c r="F82" s="23"/>
      <c r="G82" s="23"/>
      <c r="H82" s="24"/>
      <c r="I82" s="23"/>
      <c r="J82" s="23"/>
      <c r="K82" s="24"/>
      <c r="L82" s="23"/>
      <c r="M82" s="23"/>
    </row>
    <row r="83" spans="1:13" ht="14.45">
      <c r="A83" s="23"/>
      <c r="B83" s="35"/>
      <c r="C83" s="23"/>
      <c r="D83" s="23"/>
      <c r="E83" s="23"/>
      <c r="F83" s="23"/>
      <c r="G83" s="23"/>
      <c r="H83" s="24"/>
      <c r="I83" s="23"/>
      <c r="J83" s="23"/>
      <c r="K83" s="24"/>
      <c r="L83" s="23"/>
      <c r="M83" s="23"/>
    </row>
    <row r="84" spans="1:13" ht="14.45">
      <c r="A84" s="23"/>
      <c r="B84" s="35"/>
      <c r="C84" s="23"/>
      <c r="D84" s="23"/>
      <c r="E84" s="23"/>
      <c r="F84" s="23"/>
      <c r="G84" s="23"/>
      <c r="H84" s="24"/>
      <c r="I84" s="23"/>
      <c r="J84" s="23"/>
      <c r="K84" s="24"/>
      <c r="L84" s="23"/>
      <c r="M84" s="23"/>
    </row>
    <row r="85" spans="1:13" ht="14.45">
      <c r="A85" s="23"/>
      <c r="B85" s="35"/>
      <c r="C85" s="23"/>
      <c r="D85" s="23"/>
      <c r="E85" s="23"/>
      <c r="F85" s="23"/>
      <c r="G85" s="23"/>
      <c r="H85" s="24"/>
      <c r="I85" s="23"/>
      <c r="J85" s="23"/>
      <c r="K85" s="24"/>
      <c r="L85" s="23"/>
      <c r="M85" s="23"/>
    </row>
    <row r="86" spans="1:13" ht="14.45">
      <c r="A86" s="23"/>
      <c r="B86" s="35"/>
      <c r="C86" s="23"/>
      <c r="D86" s="23"/>
      <c r="E86" s="23"/>
      <c r="F86" s="23"/>
      <c r="G86" s="23"/>
      <c r="H86" s="24"/>
      <c r="I86" s="23"/>
      <c r="J86" s="23"/>
      <c r="K86" s="24"/>
      <c r="L86" s="23"/>
      <c r="M86" s="23"/>
    </row>
    <row r="87" spans="1:13" ht="14.45">
      <c r="A87" s="23"/>
      <c r="B87" s="35"/>
      <c r="C87" s="23"/>
      <c r="D87" s="23"/>
      <c r="E87" s="23"/>
      <c r="F87" s="23"/>
      <c r="G87" s="23"/>
      <c r="H87" s="24"/>
      <c r="I87" s="23"/>
      <c r="J87" s="23"/>
      <c r="K87" s="24"/>
      <c r="L87" s="23"/>
      <c r="M87" s="23"/>
    </row>
    <row r="88" spans="1:13" ht="14.45">
      <c r="A88" s="23"/>
      <c r="B88" s="35"/>
      <c r="C88" s="23"/>
      <c r="D88" s="23"/>
      <c r="E88" s="23"/>
      <c r="F88" s="23"/>
      <c r="G88" s="23"/>
      <c r="H88" s="24"/>
      <c r="I88" s="23"/>
      <c r="J88" s="23"/>
      <c r="K88" s="24"/>
      <c r="L88" s="23"/>
      <c r="M88" s="23"/>
    </row>
    <row r="89" spans="1:13" ht="14.45">
      <c r="A89" s="23"/>
      <c r="B89" s="35"/>
      <c r="C89" s="23"/>
      <c r="D89" s="23"/>
      <c r="E89" s="23"/>
      <c r="F89" s="23"/>
      <c r="G89" s="23"/>
      <c r="H89" s="24"/>
      <c r="I89" s="23"/>
      <c r="J89" s="23"/>
      <c r="K89" s="24"/>
      <c r="L89" s="23"/>
      <c r="M89" s="23"/>
    </row>
    <row r="90" spans="1:13" ht="14.45">
      <c r="A90" s="23"/>
      <c r="B90" s="35"/>
      <c r="C90" s="23"/>
      <c r="D90" s="23"/>
      <c r="E90" s="23"/>
      <c r="F90" s="23"/>
      <c r="G90" s="23"/>
      <c r="H90" s="24"/>
      <c r="I90" s="23"/>
      <c r="J90" s="23"/>
      <c r="K90" s="24"/>
      <c r="L90" s="23"/>
      <c r="M90" s="23"/>
    </row>
    <row r="91" spans="1:13" ht="14.45">
      <c r="A91" s="23"/>
      <c r="B91" s="35"/>
      <c r="C91" s="23"/>
      <c r="D91" s="23"/>
      <c r="E91" s="23"/>
      <c r="F91" s="23"/>
      <c r="G91" s="23"/>
      <c r="H91" s="24"/>
      <c r="I91" s="23"/>
      <c r="J91" s="23"/>
      <c r="K91" s="24"/>
      <c r="L91" s="23"/>
      <c r="M91" s="23"/>
    </row>
    <row r="92" spans="1:13" ht="14.45">
      <c r="A92" s="23"/>
      <c r="B92" s="35"/>
      <c r="C92" s="23"/>
      <c r="D92" s="23"/>
      <c r="E92" s="23"/>
      <c r="F92" s="23"/>
      <c r="G92" s="23"/>
      <c r="H92" s="24"/>
      <c r="I92" s="23"/>
      <c r="J92" s="23"/>
      <c r="K92" s="24"/>
      <c r="L92" s="23"/>
      <c r="M92" s="23"/>
    </row>
    <row r="93" spans="1:13" ht="14.45">
      <c r="A93" s="23"/>
      <c r="B93" s="35"/>
      <c r="C93" s="23"/>
      <c r="D93" s="23"/>
      <c r="E93" s="23"/>
      <c r="F93" s="23"/>
      <c r="G93" s="23"/>
      <c r="H93" s="24"/>
      <c r="I93" s="23"/>
      <c r="J93" s="23"/>
      <c r="K93" s="24"/>
      <c r="L93" s="23"/>
      <c r="M93" s="23"/>
    </row>
    <row r="94" spans="1:13" ht="14.45">
      <c r="A94" s="23"/>
      <c r="B94" s="35"/>
      <c r="C94" s="23"/>
      <c r="D94" s="23"/>
      <c r="E94" s="23"/>
      <c r="F94" s="23"/>
      <c r="G94" s="23"/>
      <c r="H94" s="24"/>
      <c r="I94" s="23"/>
      <c r="J94" s="23"/>
      <c r="K94" s="24"/>
      <c r="L94" s="23"/>
      <c r="M94" s="23"/>
    </row>
    <row r="95" spans="1:13" ht="14.45">
      <c r="A95" s="23"/>
      <c r="B95" s="35"/>
      <c r="C95" s="23"/>
      <c r="D95" s="23"/>
      <c r="E95" s="23"/>
      <c r="F95" s="23"/>
      <c r="G95" s="23"/>
      <c r="H95" s="24"/>
      <c r="I95" s="23"/>
      <c r="J95" s="23"/>
      <c r="K95" s="24"/>
      <c r="L95" s="23"/>
      <c r="M95" s="23"/>
    </row>
    <row r="96" spans="1:13" ht="14.45">
      <c r="A96" s="23"/>
      <c r="B96" s="35"/>
      <c r="C96" s="23"/>
      <c r="D96" s="23"/>
      <c r="E96" s="23"/>
      <c r="F96" s="23"/>
      <c r="G96" s="23"/>
      <c r="H96" s="24"/>
      <c r="I96" s="23"/>
      <c r="J96" s="23"/>
      <c r="K96" s="24"/>
      <c r="L96" s="23"/>
      <c r="M96" s="23"/>
    </row>
    <row r="97" spans="1:13" ht="14.45">
      <c r="A97" s="23"/>
      <c r="B97" s="35"/>
      <c r="C97" s="23"/>
      <c r="D97" s="23"/>
      <c r="E97" s="23"/>
      <c r="F97" s="23"/>
      <c r="G97" s="23"/>
      <c r="H97" s="24"/>
      <c r="I97" s="23"/>
      <c r="J97" s="23"/>
      <c r="K97" s="24"/>
      <c r="L97" s="23"/>
      <c r="M97" s="23"/>
    </row>
    <row r="98" spans="1:13" ht="14.45">
      <c r="A98" s="23"/>
      <c r="B98" s="35"/>
      <c r="C98" s="23"/>
      <c r="D98" s="23"/>
      <c r="E98" s="23"/>
      <c r="F98" s="23"/>
      <c r="G98" s="23"/>
      <c r="H98" s="24"/>
      <c r="I98" s="23"/>
      <c r="J98" s="23"/>
      <c r="K98" s="24"/>
      <c r="L98" s="23"/>
      <c r="M98" s="23"/>
    </row>
    <row r="99" spans="1:13" ht="14.45">
      <c r="A99" s="23"/>
      <c r="B99" s="35"/>
      <c r="C99" s="23"/>
      <c r="D99" s="23"/>
      <c r="E99" s="23"/>
      <c r="F99" s="23"/>
      <c r="G99" s="23"/>
      <c r="H99" s="24"/>
      <c r="I99" s="23"/>
      <c r="J99" s="23"/>
      <c r="K99" s="24"/>
      <c r="L99" s="23"/>
      <c r="M99" s="23"/>
    </row>
    <row r="100" spans="1:13" ht="14.45">
      <c r="A100" s="23"/>
      <c r="B100" s="35"/>
      <c r="C100" s="23"/>
      <c r="D100" s="23"/>
      <c r="E100" s="23"/>
      <c r="F100" s="23"/>
      <c r="G100" s="23"/>
      <c r="H100" s="24"/>
      <c r="I100" s="23"/>
      <c r="J100" s="23"/>
      <c r="K100" s="24"/>
      <c r="L100" s="23"/>
      <c r="M100" s="23"/>
    </row>
    <row r="101" spans="1:13" ht="14.45">
      <c r="A101" s="23"/>
      <c r="B101" s="35"/>
      <c r="C101" s="23"/>
      <c r="D101" s="23"/>
      <c r="E101" s="23"/>
      <c r="F101" s="23"/>
      <c r="G101" s="23"/>
      <c r="H101" s="24"/>
      <c r="I101" s="23"/>
      <c r="J101" s="23"/>
      <c r="K101" s="24"/>
      <c r="L101" s="23"/>
      <c r="M101" s="23"/>
    </row>
    <row r="102" spans="1:13" ht="14.45">
      <c r="A102" s="23"/>
      <c r="B102" s="35"/>
      <c r="C102" s="23"/>
      <c r="D102" s="23"/>
      <c r="E102" s="23"/>
      <c r="F102" s="23"/>
      <c r="G102" s="23"/>
      <c r="H102" s="24"/>
      <c r="I102" s="23"/>
      <c r="J102" s="23"/>
      <c r="K102" s="24"/>
      <c r="L102" s="23"/>
      <c r="M102" s="23"/>
    </row>
    <row r="103" spans="1:13" ht="14.45">
      <c r="A103" s="23"/>
      <c r="B103" s="35"/>
      <c r="C103" s="23"/>
      <c r="D103" s="23"/>
      <c r="E103" s="23"/>
      <c r="F103" s="23"/>
      <c r="G103" s="23"/>
      <c r="H103" s="24"/>
      <c r="I103" s="23"/>
      <c r="J103" s="23"/>
      <c r="K103" s="24"/>
      <c r="L103" s="23"/>
      <c r="M103" s="23"/>
    </row>
    <row r="104" spans="1:13" ht="14.45">
      <c r="A104" s="23"/>
      <c r="B104" s="35"/>
      <c r="C104" s="23"/>
      <c r="D104" s="23"/>
      <c r="E104" s="23"/>
      <c r="F104" s="23"/>
      <c r="G104" s="23"/>
      <c r="H104" s="24"/>
      <c r="I104" s="23"/>
      <c r="J104" s="23"/>
      <c r="K104" s="24"/>
      <c r="L104" s="23"/>
      <c r="M104" s="23"/>
    </row>
    <row r="105" spans="1:13" ht="14.45">
      <c r="A105" s="23"/>
      <c r="B105" s="35"/>
      <c r="C105" s="23"/>
      <c r="D105" s="23"/>
      <c r="E105" s="23"/>
      <c r="F105" s="23"/>
      <c r="G105" s="23"/>
      <c r="H105" s="24"/>
      <c r="I105" s="23"/>
      <c r="J105" s="23"/>
      <c r="K105" s="24"/>
      <c r="L105" s="23"/>
      <c r="M105" s="23"/>
    </row>
    <row r="106" spans="1:13" ht="14.45">
      <c r="A106" s="23"/>
      <c r="B106" s="35"/>
      <c r="C106" s="23"/>
      <c r="D106" s="23"/>
      <c r="E106" s="23"/>
      <c r="F106" s="23"/>
      <c r="G106" s="23"/>
      <c r="H106" s="24"/>
      <c r="I106" s="23"/>
      <c r="J106" s="23"/>
      <c r="K106" s="24"/>
      <c r="L106" s="23"/>
      <c r="M106" s="23"/>
    </row>
    <row r="107" spans="1:13" ht="14.45">
      <c r="A107" s="23"/>
      <c r="B107" s="35"/>
      <c r="C107" s="23"/>
      <c r="D107" s="23"/>
      <c r="E107" s="23"/>
      <c r="F107" s="23"/>
      <c r="G107" s="23"/>
      <c r="H107" s="24"/>
      <c r="I107" s="23"/>
      <c r="J107" s="23"/>
      <c r="K107" s="24"/>
      <c r="L107" s="23"/>
      <c r="M107" s="23"/>
    </row>
    <row r="108" spans="1:13" ht="14.45">
      <c r="A108" s="23"/>
      <c r="B108" s="35"/>
      <c r="C108" s="23"/>
      <c r="D108" s="23"/>
      <c r="E108" s="23"/>
      <c r="F108" s="23"/>
      <c r="G108" s="23"/>
      <c r="H108" s="24"/>
      <c r="I108" s="23"/>
      <c r="J108" s="23"/>
      <c r="K108" s="24"/>
      <c r="L108" s="23"/>
      <c r="M108" s="23"/>
    </row>
    <row r="109" spans="1:13" ht="14.45">
      <c r="A109" s="23"/>
      <c r="B109" s="35"/>
      <c r="C109" s="23"/>
      <c r="D109" s="23"/>
      <c r="E109" s="23"/>
      <c r="F109" s="23"/>
      <c r="G109" s="23"/>
      <c r="H109" s="24"/>
      <c r="I109" s="23"/>
      <c r="J109" s="23"/>
      <c r="K109" s="24"/>
      <c r="L109" s="23"/>
      <c r="M109" s="23"/>
    </row>
    <row r="110" spans="1:13" ht="14.45">
      <c r="A110" s="23"/>
      <c r="B110" s="35"/>
      <c r="C110" s="23"/>
      <c r="D110" s="23"/>
      <c r="E110" s="23"/>
      <c r="F110" s="23"/>
      <c r="G110" s="23"/>
      <c r="H110" s="24"/>
      <c r="I110" s="23"/>
      <c r="J110" s="23"/>
      <c r="K110" s="24"/>
      <c r="L110" s="23"/>
      <c r="M110" s="23"/>
    </row>
    <row r="111" spans="1:13" ht="14.45">
      <c r="A111" s="23"/>
      <c r="B111" s="35"/>
      <c r="C111" s="23"/>
      <c r="D111" s="23"/>
      <c r="E111" s="23"/>
      <c r="F111" s="23"/>
      <c r="G111" s="23"/>
      <c r="H111" s="24"/>
      <c r="I111" s="23"/>
      <c r="J111" s="23"/>
      <c r="K111" s="24"/>
      <c r="L111" s="23"/>
      <c r="M111" s="23"/>
    </row>
    <row r="112" spans="1:13" ht="14.45">
      <c r="A112" s="23"/>
      <c r="B112" s="35"/>
      <c r="C112" s="23"/>
      <c r="D112" s="23"/>
      <c r="E112" s="23"/>
      <c r="F112" s="23"/>
      <c r="G112" s="23"/>
      <c r="H112" s="24"/>
      <c r="I112" s="23"/>
      <c r="J112" s="23"/>
      <c r="K112" s="24"/>
      <c r="L112" s="23"/>
      <c r="M112" s="23"/>
    </row>
    <row r="113" spans="1:13" ht="14.45">
      <c r="A113" s="23"/>
      <c r="B113" s="35"/>
      <c r="C113" s="23"/>
      <c r="D113" s="23"/>
      <c r="E113" s="23"/>
      <c r="F113" s="23"/>
      <c r="G113" s="23"/>
      <c r="H113" s="24"/>
      <c r="I113" s="23"/>
      <c r="J113" s="23"/>
      <c r="K113" s="24"/>
      <c r="L113" s="23"/>
      <c r="M113" s="23"/>
    </row>
    <row r="114" spans="1:13" ht="14.45">
      <c r="A114" s="23"/>
      <c r="B114" s="35"/>
      <c r="C114" s="23"/>
      <c r="D114" s="23"/>
      <c r="E114" s="23"/>
      <c r="F114" s="23"/>
      <c r="G114" s="23"/>
      <c r="H114" s="24"/>
      <c r="I114" s="23"/>
      <c r="J114" s="23"/>
      <c r="K114" s="24"/>
      <c r="L114" s="23"/>
      <c r="M114" s="23"/>
    </row>
    <row r="115" spans="1:13" ht="14.45">
      <c r="A115" s="23"/>
      <c r="B115" s="35"/>
      <c r="C115" s="23"/>
      <c r="D115" s="23"/>
      <c r="E115" s="23"/>
      <c r="F115" s="23"/>
      <c r="G115" s="23"/>
      <c r="H115" s="24"/>
      <c r="I115" s="23"/>
      <c r="J115" s="23"/>
      <c r="K115" s="24"/>
      <c r="L115" s="23"/>
      <c r="M115" s="23"/>
    </row>
    <row r="116" spans="1:13" ht="14.45">
      <c r="A116" s="23"/>
      <c r="B116" s="35"/>
      <c r="C116" s="23"/>
      <c r="D116" s="23"/>
      <c r="E116" s="23"/>
      <c r="F116" s="23"/>
      <c r="G116" s="23"/>
      <c r="H116" s="24"/>
      <c r="I116" s="23"/>
      <c r="J116" s="23"/>
      <c r="K116" s="24"/>
      <c r="L116" s="23"/>
      <c r="M116" s="23"/>
    </row>
    <row r="117" spans="1:13" ht="14.45">
      <c r="A117" s="23"/>
      <c r="B117" s="35"/>
      <c r="C117" s="23"/>
      <c r="D117" s="23"/>
      <c r="E117" s="23"/>
      <c r="F117" s="23"/>
      <c r="G117" s="23"/>
      <c r="H117" s="24"/>
      <c r="I117" s="23"/>
      <c r="J117" s="23"/>
      <c r="K117" s="24"/>
      <c r="L117" s="23"/>
      <c r="M117" s="23"/>
    </row>
    <row r="118" spans="1:13" ht="14.45">
      <c r="A118" s="23"/>
      <c r="B118" s="35"/>
      <c r="C118" s="23"/>
      <c r="D118" s="23"/>
      <c r="E118" s="23"/>
      <c r="F118" s="23"/>
      <c r="G118" s="23"/>
      <c r="H118" s="24"/>
      <c r="I118" s="23"/>
      <c r="J118" s="23"/>
      <c r="K118" s="24"/>
      <c r="L118" s="23"/>
      <c r="M118" s="23"/>
    </row>
    <row r="119" spans="1:13" ht="14.45">
      <c r="A119" s="23"/>
      <c r="B119" s="35"/>
      <c r="C119" s="23"/>
      <c r="D119" s="23"/>
      <c r="E119" s="23"/>
      <c r="F119" s="23"/>
      <c r="G119" s="23"/>
      <c r="H119" s="24"/>
      <c r="I119" s="23"/>
      <c r="J119" s="23"/>
      <c r="K119" s="24"/>
      <c r="L119" s="23"/>
      <c r="M119" s="23"/>
    </row>
    <row r="120" spans="1:13" ht="14.45">
      <c r="A120" s="23"/>
      <c r="B120" s="35"/>
      <c r="C120" s="23"/>
      <c r="D120" s="23"/>
      <c r="E120" s="23"/>
      <c r="F120" s="23"/>
      <c r="G120" s="23"/>
      <c r="H120" s="24"/>
      <c r="I120" s="23"/>
      <c r="J120" s="23"/>
      <c r="K120" s="24"/>
      <c r="L120" s="23"/>
      <c r="M120" s="23"/>
    </row>
    <row r="121" spans="1:13" ht="14.45">
      <c r="A121" s="23"/>
      <c r="B121" s="35"/>
      <c r="C121" s="23"/>
      <c r="D121" s="23"/>
      <c r="E121" s="23"/>
      <c r="F121" s="23"/>
      <c r="G121" s="23"/>
      <c r="H121" s="24"/>
      <c r="I121" s="23"/>
      <c r="J121" s="23"/>
      <c r="K121" s="24"/>
      <c r="L121" s="23"/>
      <c r="M121" s="23"/>
    </row>
    <row r="122" spans="1:13" ht="14.45">
      <c r="A122" s="23"/>
      <c r="B122" s="35"/>
      <c r="C122" s="23"/>
      <c r="D122" s="23"/>
      <c r="E122" s="23"/>
      <c r="F122" s="23"/>
      <c r="G122" s="23"/>
      <c r="H122" s="24"/>
      <c r="I122" s="23"/>
      <c r="J122" s="23"/>
      <c r="K122" s="24"/>
      <c r="L122" s="23"/>
      <c r="M122" s="23"/>
    </row>
    <row r="123" spans="1:13" ht="14.45">
      <c r="A123" s="23"/>
      <c r="B123" s="35"/>
      <c r="C123" s="23"/>
      <c r="D123" s="23"/>
      <c r="E123" s="23"/>
      <c r="F123" s="23"/>
      <c r="G123" s="23"/>
      <c r="H123" s="24"/>
      <c r="I123" s="23"/>
      <c r="J123" s="23"/>
      <c r="K123" s="24"/>
      <c r="L123" s="23"/>
      <c r="M123" s="23"/>
    </row>
    <row r="124" spans="1:13" ht="14.45">
      <c r="A124" s="23"/>
      <c r="B124" s="35"/>
      <c r="C124" s="23"/>
      <c r="D124" s="23"/>
      <c r="E124" s="23"/>
      <c r="F124" s="23"/>
      <c r="G124" s="23"/>
      <c r="H124" s="24"/>
      <c r="I124" s="23"/>
      <c r="J124" s="23"/>
      <c r="K124" s="24"/>
      <c r="L124" s="23"/>
      <c r="M124" s="23"/>
    </row>
    <row r="125" spans="1:13" ht="14.45">
      <c r="A125" s="23"/>
      <c r="B125" s="35"/>
      <c r="C125" s="23"/>
      <c r="D125" s="23"/>
      <c r="E125" s="23"/>
      <c r="F125" s="23"/>
      <c r="G125" s="23"/>
      <c r="H125" s="24"/>
      <c r="I125" s="23"/>
      <c r="J125" s="23"/>
      <c r="K125" s="24"/>
      <c r="L125" s="23"/>
      <c r="M125" s="23"/>
    </row>
    <row r="126" spans="1:13" ht="14.45">
      <c r="A126" s="23"/>
      <c r="B126" s="35"/>
      <c r="C126" s="23"/>
      <c r="D126" s="23"/>
      <c r="E126" s="23"/>
      <c r="F126" s="23"/>
      <c r="G126" s="23"/>
      <c r="H126" s="24"/>
      <c r="I126" s="23"/>
      <c r="J126" s="23"/>
      <c r="K126" s="24"/>
      <c r="L126" s="23"/>
      <c r="M126" s="23"/>
    </row>
    <row r="127" spans="1:13" ht="14.45">
      <c r="A127" s="23"/>
      <c r="B127" s="35"/>
      <c r="C127" s="23"/>
      <c r="D127" s="23"/>
      <c r="E127" s="23"/>
      <c r="F127" s="23"/>
      <c r="G127" s="23"/>
      <c r="H127" s="24"/>
      <c r="I127" s="23"/>
      <c r="J127" s="23"/>
      <c r="K127" s="24"/>
      <c r="L127" s="23"/>
      <c r="M127" s="23"/>
    </row>
    <row r="128" spans="1:13" ht="14.45">
      <c r="A128" s="23"/>
      <c r="B128" s="35"/>
      <c r="C128" s="23"/>
      <c r="D128" s="23"/>
      <c r="E128" s="23"/>
      <c r="F128" s="23"/>
      <c r="G128" s="23"/>
      <c r="H128" s="24"/>
      <c r="I128" s="23"/>
      <c r="J128" s="23"/>
      <c r="K128" s="24"/>
      <c r="L128" s="23"/>
      <c r="M128" s="23"/>
    </row>
    <row r="129" spans="1:13" ht="14.45">
      <c r="A129" s="23"/>
      <c r="B129" s="35"/>
      <c r="C129" s="23"/>
      <c r="D129" s="23"/>
      <c r="E129" s="23"/>
      <c r="F129" s="23"/>
      <c r="G129" s="23"/>
      <c r="H129" s="24"/>
      <c r="I129" s="23"/>
      <c r="J129" s="23"/>
      <c r="K129" s="24"/>
      <c r="L129" s="23"/>
      <c r="M129" s="23"/>
    </row>
    <row r="130" spans="1:13" ht="14.45">
      <c r="A130" s="23"/>
      <c r="B130" s="35"/>
      <c r="C130" s="23"/>
      <c r="D130" s="23"/>
      <c r="E130" s="23"/>
      <c r="F130" s="23"/>
      <c r="G130" s="23"/>
      <c r="H130" s="24"/>
      <c r="I130" s="23"/>
      <c r="J130" s="23"/>
      <c r="K130" s="24"/>
      <c r="L130" s="23"/>
      <c r="M130" s="23"/>
    </row>
    <row r="131" spans="1:13" ht="14.45">
      <c r="A131" s="23"/>
      <c r="B131" s="35"/>
      <c r="C131" s="23"/>
      <c r="D131" s="23"/>
      <c r="E131" s="23"/>
      <c r="F131" s="23"/>
      <c r="G131" s="23"/>
      <c r="H131" s="24"/>
      <c r="I131" s="23"/>
      <c r="J131" s="23"/>
      <c r="K131" s="24"/>
      <c r="L131" s="23"/>
      <c r="M131" s="23"/>
    </row>
    <row r="132" spans="1:13" ht="14.45">
      <c r="A132" s="23"/>
      <c r="B132" s="35"/>
      <c r="C132" s="23"/>
      <c r="D132" s="23"/>
      <c r="E132" s="23"/>
      <c r="F132" s="23"/>
      <c r="G132" s="23"/>
      <c r="H132" s="24"/>
      <c r="I132" s="23"/>
      <c r="J132" s="23"/>
      <c r="K132" s="24"/>
      <c r="L132" s="23"/>
      <c r="M132" s="23"/>
    </row>
    <row r="133" spans="1:13" ht="14.45">
      <c r="A133" s="23"/>
      <c r="B133" s="35"/>
      <c r="C133" s="23"/>
      <c r="D133" s="23"/>
      <c r="E133" s="23"/>
      <c r="F133" s="23"/>
      <c r="G133" s="23"/>
      <c r="H133" s="24"/>
      <c r="I133" s="23"/>
      <c r="J133" s="23"/>
      <c r="K133" s="24"/>
      <c r="L133" s="23"/>
      <c r="M133" s="23"/>
    </row>
    <row r="134" spans="1:13" ht="14.45">
      <c r="A134" s="23"/>
      <c r="B134" s="35"/>
      <c r="C134" s="23"/>
      <c r="D134" s="23"/>
      <c r="E134" s="23"/>
      <c r="F134" s="23"/>
      <c r="G134" s="23"/>
      <c r="H134" s="24"/>
      <c r="I134" s="23"/>
      <c r="J134" s="23"/>
      <c r="K134" s="24"/>
      <c r="L134" s="23"/>
      <c r="M134" s="23"/>
    </row>
    <row r="135" spans="1:13" ht="14.45">
      <c r="A135" s="23"/>
      <c r="B135" s="35"/>
      <c r="C135" s="23"/>
      <c r="D135" s="23"/>
      <c r="E135" s="23"/>
      <c r="F135" s="23"/>
      <c r="G135" s="23"/>
      <c r="H135" s="24"/>
      <c r="I135" s="23"/>
      <c r="J135" s="23"/>
      <c r="K135" s="24"/>
      <c r="L135" s="23"/>
      <c r="M135" s="23"/>
    </row>
    <row r="136" spans="1:13" ht="14.45">
      <c r="A136" s="23"/>
      <c r="B136" s="35"/>
      <c r="C136" s="23"/>
      <c r="D136" s="23"/>
      <c r="E136" s="23"/>
      <c r="F136" s="23"/>
      <c r="G136" s="23"/>
      <c r="H136" s="24"/>
      <c r="I136" s="23"/>
      <c r="J136" s="23"/>
      <c r="K136" s="24"/>
      <c r="L136" s="23"/>
      <c r="M136" s="23"/>
    </row>
    <row r="137" spans="1:13" ht="14.45">
      <c r="A137" s="23"/>
      <c r="B137" s="35"/>
      <c r="C137" s="23"/>
      <c r="D137" s="23"/>
      <c r="E137" s="23"/>
      <c r="F137" s="23"/>
      <c r="G137" s="23"/>
      <c r="H137" s="24"/>
      <c r="I137" s="23"/>
      <c r="J137" s="23"/>
      <c r="K137" s="24"/>
      <c r="L137" s="23"/>
      <c r="M137" s="23"/>
    </row>
    <row r="138" spans="1:13" ht="14.45">
      <c r="A138" s="23"/>
      <c r="B138" s="35"/>
      <c r="C138" s="23"/>
      <c r="D138" s="23"/>
      <c r="E138" s="23"/>
      <c r="F138" s="23"/>
      <c r="G138" s="23"/>
      <c r="H138" s="24"/>
      <c r="I138" s="23"/>
      <c r="J138" s="23"/>
      <c r="K138" s="24"/>
      <c r="L138" s="23"/>
      <c r="M138" s="23"/>
    </row>
    <row r="139" spans="1:13" ht="14.45">
      <c r="A139" s="23"/>
      <c r="B139" s="35"/>
      <c r="C139" s="23"/>
      <c r="D139" s="23"/>
      <c r="E139" s="23"/>
      <c r="F139" s="23"/>
      <c r="G139" s="23"/>
      <c r="H139" s="24"/>
      <c r="I139" s="23"/>
      <c r="J139" s="23"/>
      <c r="K139" s="24"/>
      <c r="L139" s="23"/>
      <c r="M139" s="23"/>
    </row>
    <row r="140" spans="1:13" ht="14.45">
      <c r="A140" s="23"/>
      <c r="B140" s="35"/>
      <c r="C140" s="23"/>
      <c r="D140" s="23"/>
      <c r="E140" s="23"/>
      <c r="F140" s="23"/>
      <c r="G140" s="23"/>
      <c r="H140" s="24"/>
      <c r="I140" s="23"/>
      <c r="J140" s="23"/>
      <c r="K140" s="24"/>
      <c r="L140" s="23"/>
      <c r="M140" s="23"/>
    </row>
    <row r="141" spans="1:13" ht="14.45">
      <c r="A141" s="23"/>
      <c r="B141" s="35"/>
      <c r="C141" s="23"/>
      <c r="D141" s="23"/>
      <c r="E141" s="23"/>
      <c r="F141" s="23"/>
      <c r="G141" s="23"/>
      <c r="H141" s="24"/>
      <c r="I141" s="23"/>
      <c r="J141" s="23"/>
      <c r="K141" s="24"/>
      <c r="L141" s="23"/>
      <c r="M141" s="23"/>
    </row>
    <row r="142" spans="1:13" ht="14.45">
      <c r="A142" s="23"/>
      <c r="B142" s="35"/>
      <c r="C142" s="23"/>
      <c r="D142" s="23"/>
      <c r="E142" s="23"/>
      <c r="F142" s="23"/>
      <c r="G142" s="23"/>
      <c r="H142" s="24"/>
      <c r="I142" s="23"/>
      <c r="J142" s="23"/>
      <c r="K142" s="24"/>
      <c r="L142" s="23"/>
      <c r="M142" s="23"/>
    </row>
    <row r="143" spans="1:13" ht="14.45">
      <c r="A143" s="23"/>
      <c r="B143" s="35"/>
      <c r="C143" s="23"/>
      <c r="D143" s="23"/>
      <c r="E143" s="23"/>
      <c r="F143" s="23"/>
      <c r="G143" s="23"/>
      <c r="H143" s="24"/>
      <c r="I143" s="23"/>
      <c r="J143" s="23"/>
      <c r="K143" s="24"/>
      <c r="L143" s="23"/>
      <c r="M143" s="23"/>
    </row>
    <row r="144" spans="1:13" ht="14.45">
      <c r="A144" s="23"/>
      <c r="B144" s="35"/>
      <c r="C144" s="23"/>
      <c r="D144" s="23"/>
      <c r="E144" s="23"/>
      <c r="F144" s="23"/>
      <c r="G144" s="23"/>
      <c r="H144" s="24"/>
      <c r="I144" s="23"/>
      <c r="J144" s="23"/>
      <c r="K144" s="24"/>
      <c r="L144" s="23"/>
      <c r="M144" s="23"/>
    </row>
    <row r="145" spans="1:13" ht="14.45">
      <c r="A145" s="23"/>
      <c r="B145" s="35"/>
      <c r="C145" s="23"/>
      <c r="D145" s="23"/>
      <c r="E145" s="23"/>
      <c r="F145" s="23"/>
      <c r="G145" s="23"/>
      <c r="H145" s="24"/>
      <c r="I145" s="23"/>
      <c r="J145" s="23"/>
      <c r="K145" s="24"/>
      <c r="L145" s="23"/>
      <c r="M145" s="23"/>
    </row>
    <row r="146" spans="1:13" ht="14.45">
      <c r="A146" s="23"/>
      <c r="B146" s="35"/>
      <c r="C146" s="23"/>
      <c r="D146" s="23"/>
      <c r="E146" s="23"/>
      <c r="F146" s="23"/>
      <c r="G146" s="23"/>
      <c r="H146" s="24"/>
      <c r="I146" s="23"/>
      <c r="J146" s="23"/>
      <c r="K146" s="24"/>
      <c r="L146" s="23"/>
      <c r="M146" s="23"/>
    </row>
    <row r="147" spans="1:13" ht="14.45">
      <c r="A147" s="23"/>
      <c r="B147" s="35"/>
      <c r="C147" s="23"/>
      <c r="D147" s="23"/>
      <c r="E147" s="23"/>
      <c r="F147" s="23"/>
      <c r="G147" s="23"/>
      <c r="H147" s="24"/>
      <c r="I147" s="23"/>
      <c r="J147" s="23"/>
      <c r="K147" s="24"/>
      <c r="L147" s="23"/>
      <c r="M147" s="23"/>
    </row>
    <row r="148" spans="1:13" ht="14.45">
      <c r="A148" s="23"/>
      <c r="B148" s="35"/>
      <c r="C148" s="23"/>
      <c r="D148" s="23"/>
      <c r="E148" s="23"/>
      <c r="F148" s="23"/>
      <c r="G148" s="23"/>
      <c r="H148" s="24"/>
      <c r="I148" s="23"/>
      <c r="J148" s="23"/>
      <c r="K148" s="24"/>
      <c r="L148" s="23"/>
      <c r="M148" s="23"/>
    </row>
    <row r="149" spans="1:13" ht="14.45">
      <c r="A149" s="23"/>
      <c r="B149" s="35"/>
      <c r="C149" s="23"/>
      <c r="D149" s="23"/>
      <c r="E149" s="23"/>
      <c r="F149" s="23"/>
      <c r="G149" s="23"/>
      <c r="H149" s="24"/>
      <c r="I149" s="23"/>
      <c r="J149" s="23"/>
      <c r="K149" s="24"/>
      <c r="L149" s="23"/>
      <c r="M149" s="23"/>
    </row>
    <row r="150" spans="1:13" ht="14.45">
      <c r="A150" s="23"/>
      <c r="B150" s="35"/>
      <c r="C150" s="23"/>
      <c r="D150" s="23"/>
      <c r="E150" s="23"/>
      <c r="F150" s="23"/>
      <c r="G150" s="23"/>
      <c r="H150" s="24"/>
      <c r="I150" s="23"/>
      <c r="J150" s="23"/>
      <c r="K150" s="24"/>
      <c r="L150" s="23"/>
      <c r="M150" s="23"/>
    </row>
    <row r="151" spans="1:13" ht="14.45">
      <c r="A151" s="23"/>
      <c r="B151" s="35"/>
      <c r="C151" s="23"/>
      <c r="D151" s="23"/>
      <c r="E151" s="23"/>
      <c r="F151" s="23"/>
      <c r="G151" s="23"/>
      <c r="H151" s="24"/>
      <c r="I151" s="23"/>
      <c r="J151" s="23"/>
      <c r="K151" s="24"/>
      <c r="L151" s="23"/>
      <c r="M151" s="23"/>
    </row>
    <row r="152" spans="1:13" ht="14.45">
      <c r="A152" s="23"/>
      <c r="B152" s="35"/>
      <c r="C152" s="23"/>
      <c r="D152" s="23"/>
      <c r="E152" s="23"/>
      <c r="F152" s="23"/>
      <c r="G152" s="23"/>
      <c r="H152" s="24"/>
      <c r="I152" s="23"/>
      <c r="J152" s="23"/>
      <c r="K152" s="24"/>
      <c r="L152" s="23"/>
      <c r="M152" s="23"/>
    </row>
    <row r="153" spans="1:13" ht="14.45">
      <c r="A153" s="23"/>
      <c r="B153" s="35"/>
      <c r="C153" s="23"/>
      <c r="D153" s="23"/>
      <c r="E153" s="23"/>
      <c r="F153" s="23"/>
      <c r="G153" s="23"/>
      <c r="H153" s="24"/>
      <c r="I153" s="23"/>
      <c r="J153" s="23"/>
      <c r="K153" s="24"/>
      <c r="L153" s="23"/>
      <c r="M153" s="23"/>
    </row>
    <row r="154" spans="1:13" ht="14.45">
      <c r="A154" s="23"/>
      <c r="B154" s="35"/>
      <c r="C154" s="23"/>
      <c r="D154" s="23"/>
      <c r="E154" s="23"/>
      <c r="F154" s="23"/>
      <c r="G154" s="23"/>
      <c r="H154" s="24"/>
      <c r="I154" s="23"/>
      <c r="J154" s="23"/>
      <c r="K154" s="24"/>
      <c r="L154" s="23"/>
      <c r="M154" s="23"/>
    </row>
    <row r="155" spans="1:13" ht="14.45">
      <c r="A155" s="23"/>
      <c r="B155" s="35"/>
      <c r="C155" s="23"/>
      <c r="D155" s="23"/>
      <c r="E155" s="23"/>
      <c r="F155" s="23"/>
      <c r="G155" s="23"/>
      <c r="H155" s="24"/>
      <c r="I155" s="23"/>
      <c r="J155" s="23"/>
      <c r="K155" s="24"/>
      <c r="L155" s="23"/>
      <c r="M155" s="23"/>
    </row>
    <row r="156" spans="1:13" ht="14.45">
      <c r="A156" s="23"/>
      <c r="B156" s="35"/>
      <c r="C156" s="23"/>
      <c r="D156" s="23"/>
      <c r="E156" s="23"/>
      <c r="F156" s="23"/>
      <c r="G156" s="23"/>
      <c r="H156" s="24"/>
      <c r="I156" s="23"/>
      <c r="J156" s="23"/>
      <c r="K156" s="24"/>
      <c r="L156" s="23"/>
      <c r="M156" s="23"/>
    </row>
    <row r="157" spans="1:13" ht="14.45">
      <c r="A157" s="23"/>
      <c r="B157" s="35"/>
      <c r="C157" s="23"/>
      <c r="D157" s="23"/>
      <c r="E157" s="23"/>
      <c r="F157" s="23"/>
      <c r="G157" s="23"/>
      <c r="H157" s="24"/>
      <c r="I157" s="23"/>
      <c r="J157" s="23"/>
      <c r="K157" s="24"/>
      <c r="L157" s="23"/>
      <c r="M157" s="23"/>
    </row>
    <row r="158" spans="1:13" ht="14.45">
      <c r="A158" s="23"/>
      <c r="B158" s="35"/>
      <c r="C158" s="23"/>
      <c r="D158" s="23"/>
      <c r="E158" s="23"/>
      <c r="F158" s="23"/>
      <c r="G158" s="23"/>
      <c r="H158" s="24"/>
      <c r="I158" s="23"/>
      <c r="J158" s="23"/>
      <c r="K158" s="24"/>
      <c r="L158" s="23"/>
      <c r="M158" s="23"/>
    </row>
    <row r="159" spans="1:13" ht="14.45">
      <c r="A159" s="23"/>
      <c r="B159" s="35"/>
      <c r="C159" s="23"/>
      <c r="D159" s="23"/>
      <c r="E159" s="23"/>
      <c r="F159" s="23"/>
      <c r="G159" s="23"/>
      <c r="H159" s="24"/>
      <c r="I159" s="23"/>
      <c r="J159" s="23"/>
      <c r="K159" s="24"/>
      <c r="L159" s="23"/>
      <c r="M159" s="23"/>
    </row>
    <row r="160" spans="1:13" ht="14.45">
      <c r="A160" s="23"/>
      <c r="B160" s="35"/>
      <c r="C160" s="23"/>
      <c r="D160" s="23"/>
      <c r="E160" s="23"/>
      <c r="F160" s="23"/>
      <c r="G160" s="23"/>
      <c r="H160" s="24"/>
      <c r="I160" s="23"/>
      <c r="J160" s="23"/>
      <c r="K160" s="24"/>
      <c r="L160" s="23"/>
      <c r="M160" s="23"/>
    </row>
    <row r="161" spans="1:13" ht="14.45">
      <c r="A161" s="23"/>
      <c r="B161" s="35"/>
      <c r="C161" s="23"/>
      <c r="D161" s="23"/>
      <c r="E161" s="23"/>
      <c r="F161" s="23"/>
      <c r="G161" s="23"/>
      <c r="H161" s="24"/>
      <c r="I161" s="23"/>
      <c r="J161" s="23"/>
      <c r="K161" s="24"/>
      <c r="L161" s="23"/>
      <c r="M161" s="23"/>
    </row>
    <row r="162" spans="1:13" ht="14.45">
      <c r="A162" s="23"/>
      <c r="B162" s="35"/>
      <c r="C162" s="23"/>
      <c r="D162" s="23"/>
      <c r="E162" s="23"/>
      <c r="F162" s="23"/>
      <c r="G162" s="23"/>
      <c r="H162" s="24"/>
      <c r="I162" s="23"/>
      <c r="J162" s="23"/>
      <c r="K162" s="24"/>
      <c r="L162" s="23"/>
      <c r="M162" s="23"/>
    </row>
    <row r="163" spans="1:13" ht="14.45">
      <c r="A163" s="23"/>
      <c r="B163" s="35"/>
      <c r="C163" s="23"/>
      <c r="D163" s="23"/>
      <c r="E163" s="23"/>
      <c r="F163" s="23"/>
      <c r="G163" s="23"/>
      <c r="H163" s="24"/>
      <c r="I163" s="23"/>
      <c r="J163" s="23"/>
      <c r="K163" s="24"/>
      <c r="L163" s="23"/>
      <c r="M163" s="23"/>
    </row>
    <row r="164" spans="1:13" ht="14.45">
      <c r="A164" s="23"/>
      <c r="B164" s="35"/>
      <c r="C164" s="23"/>
      <c r="D164" s="23"/>
      <c r="E164" s="23"/>
      <c r="F164" s="23"/>
      <c r="G164" s="23"/>
      <c r="H164" s="24"/>
      <c r="I164" s="23"/>
      <c r="J164" s="23"/>
      <c r="K164" s="24"/>
      <c r="L164" s="23"/>
      <c r="M164" s="23"/>
    </row>
    <row r="165" spans="1:13" ht="14.45">
      <c r="A165" s="23"/>
      <c r="B165" s="35"/>
      <c r="C165" s="23"/>
      <c r="D165" s="23"/>
      <c r="E165" s="23"/>
      <c r="F165" s="23"/>
      <c r="G165" s="23"/>
      <c r="H165" s="24"/>
      <c r="I165" s="23"/>
      <c r="J165" s="23"/>
      <c r="K165" s="24"/>
      <c r="L165" s="23"/>
      <c r="M165" s="23"/>
    </row>
    <row r="166" spans="1:13" ht="14.45">
      <c r="A166" s="23"/>
      <c r="B166" s="35"/>
      <c r="C166" s="23"/>
      <c r="D166" s="23"/>
      <c r="E166" s="23"/>
      <c r="F166" s="23"/>
      <c r="G166" s="23"/>
      <c r="H166" s="24"/>
      <c r="I166" s="23"/>
      <c r="J166" s="23"/>
      <c r="K166" s="24"/>
      <c r="L166" s="23"/>
      <c r="M166" s="23"/>
    </row>
    <row r="167" spans="1:13" ht="14.45">
      <c r="A167" s="23"/>
      <c r="B167" s="35"/>
      <c r="C167" s="23"/>
      <c r="D167" s="23"/>
      <c r="E167" s="23"/>
      <c r="F167" s="23"/>
      <c r="G167" s="23"/>
      <c r="H167" s="24"/>
      <c r="I167" s="23"/>
      <c r="J167" s="23"/>
      <c r="K167" s="24"/>
      <c r="L167" s="23"/>
      <c r="M167" s="23"/>
    </row>
    <row r="168" spans="1:13" ht="14.45">
      <c r="A168" s="23"/>
      <c r="B168" s="35"/>
      <c r="C168" s="23"/>
      <c r="D168" s="23"/>
      <c r="E168" s="23"/>
      <c r="F168" s="23"/>
      <c r="G168" s="23"/>
      <c r="H168" s="24"/>
      <c r="I168" s="23"/>
      <c r="J168" s="23"/>
      <c r="K168" s="24"/>
      <c r="L168" s="23"/>
      <c r="M168" s="23"/>
    </row>
    <row r="169" spans="1:13" ht="14.45">
      <c r="A169" s="23"/>
      <c r="B169" s="35"/>
      <c r="C169" s="23"/>
      <c r="D169" s="23"/>
      <c r="E169" s="23"/>
      <c r="F169" s="23"/>
      <c r="G169" s="23"/>
      <c r="H169" s="24"/>
      <c r="I169" s="23"/>
      <c r="J169" s="23"/>
      <c r="K169" s="24"/>
      <c r="L169" s="23"/>
      <c r="M169" s="23"/>
    </row>
    <row r="170" spans="1:13" ht="14.45">
      <c r="A170" s="23"/>
      <c r="B170" s="35"/>
      <c r="C170" s="23"/>
      <c r="D170" s="23"/>
      <c r="E170" s="23"/>
      <c r="F170" s="23"/>
      <c r="G170" s="23"/>
      <c r="H170" s="24"/>
      <c r="I170" s="23"/>
      <c r="J170" s="23"/>
      <c r="K170" s="24"/>
      <c r="L170" s="23"/>
      <c r="M170" s="23"/>
    </row>
    <row r="171" spans="1:13" ht="14.45">
      <c r="A171" s="23"/>
      <c r="B171" s="35"/>
      <c r="C171" s="23"/>
      <c r="D171" s="23"/>
      <c r="E171" s="23"/>
      <c r="F171" s="23"/>
      <c r="G171" s="23"/>
      <c r="H171" s="24"/>
      <c r="I171" s="23"/>
      <c r="J171" s="23"/>
      <c r="K171" s="24"/>
      <c r="L171" s="23"/>
      <c r="M171" s="23"/>
    </row>
    <row r="172" spans="1:13" ht="14.45">
      <c r="A172" s="23"/>
      <c r="B172" s="35"/>
      <c r="C172" s="23"/>
      <c r="D172" s="23"/>
      <c r="E172" s="23"/>
      <c r="F172" s="23"/>
      <c r="G172" s="23"/>
      <c r="H172" s="24"/>
      <c r="I172" s="23"/>
      <c r="J172" s="23"/>
      <c r="K172" s="24"/>
      <c r="L172" s="23"/>
      <c r="M172" s="23"/>
    </row>
    <row r="173" spans="1:13" ht="14.45">
      <c r="A173" s="23"/>
      <c r="B173" s="35"/>
      <c r="C173" s="23"/>
      <c r="D173" s="23"/>
      <c r="E173" s="23"/>
      <c r="F173" s="23"/>
      <c r="G173" s="23"/>
      <c r="H173" s="24"/>
      <c r="I173" s="23"/>
      <c r="J173" s="23"/>
      <c r="K173" s="24"/>
      <c r="L173" s="23"/>
      <c r="M173" s="23"/>
    </row>
    <row r="174" spans="1:13" ht="14.45">
      <c r="A174" s="23"/>
      <c r="B174" s="35"/>
      <c r="C174" s="23"/>
      <c r="D174" s="23"/>
      <c r="E174" s="23"/>
      <c r="F174" s="23"/>
      <c r="G174" s="23"/>
      <c r="H174" s="24"/>
      <c r="I174" s="23"/>
      <c r="J174" s="23"/>
      <c r="K174" s="24"/>
      <c r="L174" s="23"/>
      <c r="M174" s="23"/>
    </row>
    <row r="175" spans="1:13" ht="14.45">
      <c r="A175" s="23"/>
      <c r="B175" s="35"/>
      <c r="C175" s="23"/>
      <c r="D175" s="23"/>
      <c r="E175" s="23"/>
      <c r="F175" s="23"/>
      <c r="G175" s="23"/>
      <c r="H175" s="24"/>
      <c r="I175" s="23"/>
      <c r="J175" s="23"/>
      <c r="K175" s="24"/>
      <c r="L175" s="23"/>
      <c r="M175" s="23"/>
    </row>
    <row r="176" spans="1:13" ht="14.45">
      <c r="A176" s="23"/>
      <c r="B176" s="35"/>
      <c r="C176" s="23"/>
      <c r="D176" s="23"/>
      <c r="E176" s="23"/>
      <c r="F176" s="23"/>
      <c r="G176" s="23"/>
      <c r="H176" s="24"/>
      <c r="I176" s="23"/>
      <c r="J176" s="23"/>
      <c r="K176" s="24"/>
      <c r="L176" s="23"/>
      <c r="M176" s="23"/>
    </row>
    <row r="177" spans="1:13" ht="14.45">
      <c r="A177" s="23"/>
      <c r="B177" s="35"/>
      <c r="C177" s="23"/>
      <c r="D177" s="23"/>
      <c r="E177" s="23"/>
      <c r="F177" s="23"/>
      <c r="G177" s="23"/>
      <c r="H177" s="24"/>
      <c r="I177" s="23"/>
      <c r="J177" s="23"/>
      <c r="K177" s="24"/>
      <c r="L177" s="23"/>
      <c r="M177" s="23"/>
    </row>
    <row r="178" spans="1:13" ht="14.45">
      <c r="A178" s="23"/>
      <c r="B178" s="35"/>
      <c r="C178" s="23"/>
      <c r="D178" s="23"/>
      <c r="E178" s="23"/>
      <c r="F178" s="23"/>
      <c r="G178" s="23"/>
      <c r="H178" s="24"/>
      <c r="I178" s="23"/>
      <c r="J178" s="23"/>
      <c r="K178" s="24"/>
      <c r="L178" s="23"/>
      <c r="M178" s="23"/>
    </row>
    <row r="179" spans="1:13" ht="14.45">
      <c r="A179" s="23"/>
      <c r="B179" s="35"/>
      <c r="C179" s="23"/>
      <c r="D179" s="23"/>
      <c r="E179" s="23"/>
      <c r="F179" s="23"/>
      <c r="G179" s="23"/>
      <c r="H179" s="24"/>
      <c r="I179" s="23"/>
      <c r="J179" s="23"/>
      <c r="K179" s="24"/>
      <c r="L179" s="23"/>
      <c r="M179" s="23"/>
    </row>
    <row r="180" spans="1:13" ht="14.45">
      <c r="A180" s="23"/>
      <c r="B180" s="35"/>
      <c r="C180" s="23"/>
      <c r="D180" s="23"/>
      <c r="E180" s="23"/>
      <c r="F180" s="23"/>
      <c r="G180" s="23"/>
      <c r="H180" s="24"/>
      <c r="I180" s="23"/>
      <c r="J180" s="23"/>
      <c r="K180" s="24"/>
      <c r="L180" s="23"/>
      <c r="M180" s="23"/>
    </row>
    <row r="181" spans="1:13" ht="14.45">
      <c r="A181" s="23"/>
      <c r="B181" s="35"/>
      <c r="C181" s="23"/>
      <c r="D181" s="23"/>
      <c r="E181" s="23"/>
      <c r="F181" s="23"/>
      <c r="G181" s="23"/>
      <c r="H181" s="24"/>
      <c r="I181" s="23"/>
      <c r="J181" s="23"/>
      <c r="K181" s="24"/>
      <c r="L181" s="23"/>
      <c r="M181" s="23"/>
    </row>
    <row r="182" spans="1:13" ht="14.45">
      <c r="A182" s="23"/>
      <c r="B182" s="35"/>
      <c r="C182" s="23"/>
      <c r="D182" s="23"/>
      <c r="E182" s="23"/>
      <c r="F182" s="23"/>
      <c r="G182" s="23"/>
      <c r="H182" s="24"/>
      <c r="I182" s="23"/>
      <c r="J182" s="23"/>
      <c r="K182" s="24"/>
      <c r="L182" s="23"/>
      <c r="M182" s="23"/>
    </row>
    <row r="183" spans="1:13" ht="14.45">
      <c r="A183" s="23"/>
      <c r="B183" s="35"/>
      <c r="C183" s="23"/>
      <c r="D183" s="23"/>
      <c r="E183" s="23"/>
      <c r="F183" s="23"/>
      <c r="G183" s="23"/>
      <c r="H183" s="24"/>
      <c r="I183" s="23"/>
      <c r="J183" s="23"/>
      <c r="K183" s="24"/>
      <c r="L183" s="23"/>
      <c r="M183" s="23"/>
    </row>
    <row r="184" spans="1:13" ht="14.45">
      <c r="A184" s="23"/>
      <c r="B184" s="35"/>
      <c r="C184" s="23"/>
      <c r="D184" s="23"/>
      <c r="E184" s="23"/>
      <c r="F184" s="23"/>
      <c r="G184" s="23"/>
      <c r="H184" s="24"/>
      <c r="I184" s="23"/>
      <c r="J184" s="23"/>
      <c r="K184" s="24"/>
      <c r="L184" s="23"/>
      <c r="M184" s="23"/>
    </row>
    <row r="185" spans="1:13" ht="14.45">
      <c r="A185" s="23"/>
      <c r="B185" s="35"/>
      <c r="C185" s="23"/>
      <c r="D185" s="23"/>
      <c r="E185" s="23"/>
      <c r="F185" s="23"/>
      <c r="G185" s="23"/>
      <c r="H185" s="24"/>
      <c r="I185" s="23"/>
      <c r="J185" s="23"/>
      <c r="K185" s="24"/>
      <c r="L185" s="23"/>
      <c r="M185" s="23"/>
    </row>
    <row r="186" spans="1:13" ht="14.45">
      <c r="A186" s="23"/>
      <c r="B186" s="35"/>
      <c r="C186" s="23"/>
      <c r="D186" s="23"/>
      <c r="E186" s="23"/>
      <c r="F186" s="23"/>
      <c r="G186" s="23"/>
      <c r="H186" s="24"/>
      <c r="I186" s="23"/>
      <c r="J186" s="23"/>
      <c r="K186" s="24"/>
      <c r="L186" s="23"/>
      <c r="M186" s="23"/>
    </row>
    <row r="187" spans="1:13" ht="14.45">
      <c r="A187" s="23"/>
      <c r="B187" s="35"/>
      <c r="C187" s="23"/>
      <c r="D187" s="23"/>
      <c r="E187" s="23"/>
      <c r="F187" s="23"/>
      <c r="G187" s="23"/>
      <c r="H187" s="24"/>
      <c r="I187" s="23"/>
      <c r="J187" s="23"/>
      <c r="K187" s="24"/>
      <c r="L187" s="23"/>
      <c r="M187" s="23"/>
    </row>
    <row r="188" spans="1:13" ht="14.45">
      <c r="A188" s="23"/>
      <c r="B188" s="35"/>
      <c r="C188" s="23"/>
      <c r="D188" s="23"/>
      <c r="E188" s="23"/>
      <c r="F188" s="23"/>
      <c r="G188" s="23"/>
      <c r="H188" s="24"/>
      <c r="I188" s="23"/>
      <c r="J188" s="23"/>
      <c r="K188" s="24"/>
      <c r="L188" s="23"/>
      <c r="M188" s="23"/>
    </row>
    <row r="189" spans="1:13" ht="14.45">
      <c r="A189" s="23"/>
      <c r="B189" s="35"/>
      <c r="C189" s="23"/>
      <c r="D189" s="23"/>
      <c r="E189" s="23"/>
      <c r="F189" s="23"/>
      <c r="G189" s="23"/>
      <c r="H189" s="24"/>
      <c r="I189" s="23"/>
      <c r="J189" s="23"/>
      <c r="K189" s="24"/>
      <c r="L189" s="23"/>
      <c r="M189" s="23"/>
    </row>
    <row r="190" spans="1:13" ht="14.45">
      <c r="A190" s="23"/>
      <c r="B190" s="35"/>
      <c r="C190" s="23"/>
      <c r="D190" s="23"/>
      <c r="E190" s="23"/>
      <c r="F190" s="23"/>
      <c r="G190" s="23"/>
      <c r="H190" s="24"/>
      <c r="I190" s="23"/>
      <c r="J190" s="23"/>
      <c r="K190" s="24"/>
      <c r="L190" s="23"/>
      <c r="M190" s="23"/>
    </row>
    <row r="191" spans="1:13" ht="14.45">
      <c r="A191" s="23"/>
      <c r="B191" s="35"/>
      <c r="C191" s="23"/>
      <c r="D191" s="23"/>
      <c r="E191" s="23"/>
      <c r="F191" s="23"/>
      <c r="G191" s="23"/>
      <c r="H191" s="24"/>
      <c r="I191" s="23"/>
      <c r="J191" s="23"/>
      <c r="K191" s="24"/>
      <c r="L191" s="23"/>
      <c r="M191" s="23"/>
    </row>
    <row r="192" spans="1:13" ht="14.45">
      <c r="A192" s="23"/>
      <c r="B192" s="35"/>
      <c r="C192" s="23"/>
      <c r="D192" s="23"/>
      <c r="E192" s="23"/>
      <c r="F192" s="23"/>
      <c r="G192" s="23"/>
      <c r="H192" s="24"/>
      <c r="I192" s="23"/>
      <c r="J192" s="23"/>
      <c r="K192" s="24"/>
      <c r="L192" s="23"/>
      <c r="M192" s="23"/>
    </row>
    <row r="193" spans="1:13" ht="14.45">
      <c r="A193" s="23"/>
      <c r="B193" s="35"/>
      <c r="C193" s="23"/>
      <c r="D193" s="23"/>
      <c r="E193" s="23"/>
      <c r="F193" s="23"/>
      <c r="G193" s="23"/>
      <c r="H193" s="24"/>
      <c r="I193" s="23"/>
      <c r="J193" s="23"/>
      <c r="K193" s="24"/>
      <c r="L193" s="23"/>
      <c r="M193" s="23"/>
    </row>
    <row r="194" spans="1:13" ht="14.45">
      <c r="A194" s="23"/>
      <c r="B194" s="35"/>
      <c r="C194" s="23"/>
      <c r="D194" s="23"/>
      <c r="E194" s="23"/>
      <c r="F194" s="23"/>
      <c r="G194" s="23"/>
      <c r="H194" s="24"/>
      <c r="I194" s="23"/>
      <c r="J194" s="23"/>
      <c r="K194" s="24"/>
      <c r="L194" s="23"/>
      <c r="M194" s="23"/>
    </row>
    <row r="195" spans="1:13" ht="14.45">
      <c r="A195" s="23"/>
      <c r="B195" s="35"/>
      <c r="C195" s="23"/>
      <c r="D195" s="23"/>
      <c r="E195" s="23"/>
      <c r="F195" s="23"/>
      <c r="G195" s="23"/>
      <c r="H195" s="24"/>
      <c r="I195" s="23"/>
      <c r="J195" s="23"/>
      <c r="K195" s="24"/>
      <c r="L195" s="23"/>
      <c r="M195" s="23"/>
    </row>
    <row r="196" spans="1:13" ht="14.45">
      <c r="A196" s="23"/>
      <c r="B196" s="35"/>
      <c r="C196" s="23"/>
      <c r="D196" s="23"/>
      <c r="E196" s="23"/>
      <c r="F196" s="23"/>
      <c r="G196" s="23"/>
      <c r="H196" s="24"/>
      <c r="I196" s="23"/>
      <c r="J196" s="23"/>
      <c r="K196" s="24"/>
      <c r="L196" s="23"/>
      <c r="M196" s="23"/>
    </row>
    <row r="197" spans="1:13" ht="14.45">
      <c r="A197" s="23"/>
      <c r="B197" s="35"/>
      <c r="C197" s="23"/>
      <c r="D197" s="23"/>
      <c r="E197" s="23"/>
      <c r="F197" s="23"/>
      <c r="G197" s="23"/>
      <c r="H197" s="24"/>
      <c r="I197" s="23"/>
      <c r="J197" s="23"/>
      <c r="K197" s="24"/>
      <c r="L197" s="23"/>
      <c r="M197" s="23"/>
    </row>
    <row r="198" spans="1:13" ht="14.45">
      <c r="A198" s="23"/>
      <c r="B198" s="35"/>
      <c r="C198" s="23"/>
      <c r="D198" s="23"/>
      <c r="E198" s="23"/>
      <c r="F198" s="23"/>
      <c r="G198" s="23"/>
      <c r="H198" s="24"/>
      <c r="I198" s="23"/>
      <c r="J198" s="23"/>
      <c r="K198" s="24"/>
      <c r="L198" s="23"/>
      <c r="M198" s="23"/>
    </row>
    <row r="199" spans="1:13" ht="14.45">
      <c r="A199" s="23"/>
      <c r="B199" s="35"/>
      <c r="C199" s="23"/>
      <c r="D199" s="23"/>
      <c r="E199" s="23"/>
      <c r="F199" s="23"/>
      <c r="G199" s="23"/>
      <c r="H199" s="24"/>
      <c r="I199" s="23"/>
      <c r="J199" s="23"/>
      <c r="K199" s="24"/>
      <c r="L199" s="23"/>
      <c r="M199" s="23"/>
    </row>
    <row r="200" spans="1:13" ht="14.45">
      <c r="A200" s="23"/>
      <c r="B200" s="35"/>
      <c r="C200" s="23"/>
      <c r="D200" s="23"/>
      <c r="E200" s="23"/>
      <c r="F200" s="23"/>
      <c r="G200" s="23"/>
      <c r="H200" s="24"/>
      <c r="I200" s="23"/>
      <c r="J200" s="23"/>
      <c r="K200" s="24"/>
      <c r="L200" s="23"/>
      <c r="M200" s="23"/>
    </row>
    <row r="201" spans="1:13" ht="14.45">
      <c r="A201" s="23"/>
      <c r="B201" s="35"/>
      <c r="C201" s="23"/>
      <c r="D201" s="23"/>
      <c r="E201" s="23"/>
      <c r="F201" s="23"/>
      <c r="G201" s="23"/>
      <c r="H201" s="24"/>
      <c r="I201" s="23"/>
      <c r="J201" s="23"/>
      <c r="K201" s="24"/>
      <c r="L201" s="23"/>
      <c r="M201" s="23"/>
    </row>
    <row r="202" spans="1:13" ht="14.45">
      <c r="A202" s="23"/>
      <c r="B202" s="35"/>
      <c r="C202" s="23"/>
      <c r="D202" s="23"/>
      <c r="E202" s="23"/>
      <c r="F202" s="23"/>
      <c r="G202" s="23"/>
      <c r="H202" s="24"/>
      <c r="I202" s="23"/>
      <c r="J202" s="23"/>
      <c r="K202" s="24"/>
      <c r="L202" s="23"/>
      <c r="M202" s="23"/>
    </row>
    <row r="203" spans="1:13" ht="14.45">
      <c r="A203" s="23"/>
      <c r="B203" s="35"/>
      <c r="C203" s="23"/>
      <c r="D203" s="23"/>
      <c r="E203" s="23"/>
      <c r="F203" s="23"/>
      <c r="G203" s="23"/>
      <c r="H203" s="24"/>
      <c r="I203" s="23"/>
      <c r="J203" s="23"/>
      <c r="K203" s="24"/>
      <c r="L203" s="23"/>
      <c r="M203" s="23"/>
    </row>
    <row r="204" spans="1:13" ht="14.45">
      <c r="A204" s="23"/>
      <c r="B204" s="35"/>
      <c r="C204" s="23"/>
      <c r="D204" s="23"/>
      <c r="E204" s="23"/>
      <c r="F204" s="23"/>
      <c r="G204" s="23"/>
      <c r="H204" s="24"/>
      <c r="I204" s="23"/>
      <c r="J204" s="23"/>
      <c r="K204" s="24"/>
      <c r="L204" s="23"/>
      <c r="M204" s="23"/>
    </row>
    <row r="205" spans="1:13" ht="14.45">
      <c r="A205" s="23"/>
      <c r="B205" s="35"/>
      <c r="C205" s="23"/>
      <c r="D205" s="23"/>
      <c r="E205" s="23"/>
      <c r="F205" s="23"/>
      <c r="G205" s="23"/>
      <c r="H205" s="24"/>
      <c r="I205" s="23"/>
      <c r="J205" s="23"/>
      <c r="K205" s="24"/>
      <c r="L205" s="23"/>
      <c r="M205" s="23"/>
    </row>
    <row r="206" spans="1:13" ht="14.45">
      <c r="A206" s="23"/>
      <c r="B206" s="35"/>
      <c r="C206" s="23"/>
      <c r="D206" s="23"/>
      <c r="E206" s="23"/>
      <c r="F206" s="23"/>
      <c r="G206" s="23"/>
      <c r="H206" s="24"/>
      <c r="I206" s="23"/>
      <c r="J206" s="23"/>
      <c r="K206" s="24"/>
      <c r="L206" s="23"/>
      <c r="M206" s="23"/>
    </row>
    <row r="207" spans="1:13" ht="14.45">
      <c r="A207" s="23"/>
      <c r="B207" s="35"/>
      <c r="C207" s="23"/>
      <c r="D207" s="23"/>
      <c r="E207" s="23"/>
      <c r="F207" s="23"/>
      <c r="G207" s="23"/>
      <c r="H207" s="24"/>
      <c r="I207" s="23"/>
      <c r="J207" s="23"/>
      <c r="K207" s="24"/>
      <c r="L207" s="23"/>
      <c r="M207" s="23"/>
    </row>
    <row r="208" spans="1:13" ht="14.45">
      <c r="A208" s="23"/>
      <c r="B208" s="35"/>
      <c r="C208" s="23"/>
      <c r="D208" s="23"/>
      <c r="E208" s="23"/>
      <c r="F208" s="23"/>
      <c r="G208" s="23"/>
      <c r="H208" s="24"/>
      <c r="I208" s="23"/>
      <c r="J208" s="23"/>
      <c r="K208" s="24"/>
      <c r="L208" s="23"/>
      <c r="M208" s="23"/>
    </row>
    <row r="209" spans="1:13" ht="14.45">
      <c r="A209" s="23"/>
      <c r="B209" s="35"/>
      <c r="C209" s="23"/>
      <c r="D209" s="23"/>
      <c r="E209" s="23"/>
      <c r="F209" s="23"/>
      <c r="G209" s="23"/>
      <c r="H209" s="24"/>
      <c r="I209" s="23"/>
      <c r="J209" s="23"/>
      <c r="K209" s="24"/>
      <c r="L209" s="23"/>
      <c r="M209" s="23"/>
    </row>
    <row r="210" spans="1:13" ht="14.45">
      <c r="A210" s="23"/>
      <c r="B210" s="35"/>
      <c r="C210" s="23"/>
      <c r="D210" s="23"/>
      <c r="E210" s="23"/>
      <c r="F210" s="23"/>
      <c r="G210" s="23"/>
      <c r="H210" s="24"/>
      <c r="I210" s="23"/>
      <c r="J210" s="23"/>
      <c r="K210" s="24"/>
      <c r="L210" s="23"/>
      <c r="M210" s="23"/>
    </row>
    <row r="211" spans="1:13" ht="14.45">
      <c r="A211" s="23"/>
      <c r="B211" s="35"/>
      <c r="C211" s="23"/>
      <c r="D211" s="23"/>
      <c r="E211" s="23"/>
      <c r="F211" s="23"/>
      <c r="G211" s="23"/>
      <c r="H211" s="24"/>
      <c r="I211" s="23"/>
      <c r="J211" s="23"/>
      <c r="K211" s="24"/>
      <c r="L211" s="23"/>
      <c r="M211" s="23"/>
    </row>
    <row r="212" spans="1:13" ht="14.45">
      <c r="A212" s="23"/>
      <c r="B212" s="35"/>
      <c r="C212" s="23"/>
      <c r="D212" s="23"/>
      <c r="E212" s="23"/>
      <c r="F212" s="23"/>
      <c r="G212" s="23"/>
      <c r="H212" s="24"/>
      <c r="I212" s="23"/>
      <c r="J212" s="23"/>
      <c r="K212" s="24"/>
      <c r="L212" s="23"/>
      <c r="M212" s="23"/>
    </row>
    <row r="213" spans="1:13" ht="14.45">
      <c r="A213" s="23"/>
      <c r="B213" s="35"/>
      <c r="C213" s="23"/>
      <c r="D213" s="23"/>
      <c r="E213" s="23"/>
      <c r="F213" s="23"/>
      <c r="G213" s="23"/>
      <c r="H213" s="24"/>
      <c r="I213" s="23"/>
      <c r="J213" s="23"/>
      <c r="K213" s="24"/>
      <c r="L213" s="23"/>
      <c r="M213" s="23"/>
    </row>
    <row r="214" spans="1:13" ht="14.45">
      <c r="A214" s="23"/>
      <c r="B214" s="35"/>
      <c r="C214" s="23"/>
      <c r="D214" s="23"/>
      <c r="E214" s="23"/>
      <c r="F214" s="23"/>
      <c r="G214" s="23"/>
      <c r="H214" s="24"/>
      <c r="I214" s="23"/>
      <c r="J214" s="23"/>
      <c r="K214" s="24"/>
      <c r="L214" s="23"/>
      <c r="M214" s="23"/>
    </row>
    <row r="215" spans="1:13" ht="14.45">
      <c r="A215" s="23"/>
      <c r="B215" s="35"/>
      <c r="C215" s="23"/>
      <c r="D215" s="23"/>
      <c r="E215" s="23"/>
      <c r="F215" s="23"/>
      <c r="G215" s="23"/>
      <c r="H215" s="24"/>
      <c r="I215" s="23"/>
      <c r="J215" s="23"/>
      <c r="K215" s="24"/>
      <c r="L215" s="23"/>
      <c r="M215" s="23"/>
    </row>
    <row r="216" spans="1:13" ht="14.45">
      <c r="A216" s="23"/>
      <c r="B216" s="35"/>
      <c r="C216" s="23"/>
      <c r="D216" s="23"/>
      <c r="E216" s="23"/>
      <c r="F216" s="23"/>
      <c r="G216" s="23"/>
      <c r="H216" s="24"/>
      <c r="I216" s="23"/>
      <c r="J216" s="23"/>
      <c r="K216" s="24"/>
      <c r="L216" s="23"/>
      <c r="M216" s="23"/>
    </row>
    <row r="217" spans="1:13" ht="14.45">
      <c r="A217" s="23"/>
      <c r="B217" s="35"/>
      <c r="C217" s="23"/>
      <c r="D217" s="23"/>
      <c r="E217" s="23"/>
      <c r="F217" s="23"/>
      <c r="G217" s="23"/>
      <c r="H217" s="24"/>
      <c r="I217" s="23"/>
      <c r="J217" s="23"/>
      <c r="K217" s="24"/>
      <c r="L217" s="23"/>
      <c r="M217" s="23"/>
    </row>
    <row r="218" spans="1:13" ht="14.45">
      <c r="A218" s="23"/>
      <c r="B218" s="35"/>
      <c r="C218" s="23"/>
      <c r="D218" s="23"/>
      <c r="E218" s="23"/>
      <c r="F218" s="23"/>
      <c r="G218" s="23"/>
      <c r="H218" s="24"/>
      <c r="I218" s="23"/>
      <c r="J218" s="23"/>
      <c r="K218" s="24"/>
      <c r="L218" s="23"/>
      <c r="M218" s="23"/>
    </row>
    <row r="219" spans="1:13" ht="14.45">
      <c r="A219" s="23"/>
      <c r="B219" s="35"/>
      <c r="C219" s="23"/>
      <c r="D219" s="23"/>
      <c r="E219" s="23"/>
      <c r="F219" s="23"/>
      <c r="G219" s="23"/>
      <c r="H219" s="24"/>
      <c r="I219" s="23"/>
      <c r="J219" s="23"/>
      <c r="K219" s="24"/>
      <c r="L219" s="23"/>
      <c r="M219" s="23"/>
    </row>
    <row r="220" spans="1:13" ht="14.45">
      <c r="A220" s="23"/>
      <c r="B220" s="35"/>
      <c r="C220" s="23"/>
      <c r="D220" s="23"/>
      <c r="E220" s="23"/>
      <c r="F220" s="23"/>
      <c r="G220" s="23"/>
      <c r="H220" s="24"/>
      <c r="I220" s="23"/>
      <c r="J220" s="23"/>
      <c r="K220" s="24"/>
      <c r="L220" s="23"/>
      <c r="M220" s="23"/>
    </row>
    <row r="221" spans="1:13" ht="14.45">
      <c r="A221" s="23"/>
      <c r="B221" s="35"/>
      <c r="C221" s="23"/>
      <c r="D221" s="23"/>
      <c r="E221" s="23"/>
      <c r="F221" s="23"/>
      <c r="G221" s="23"/>
      <c r="H221" s="24"/>
      <c r="I221" s="23"/>
      <c r="J221" s="23"/>
      <c r="K221" s="24"/>
      <c r="L221" s="23"/>
      <c r="M221" s="23"/>
    </row>
    <row r="222" spans="1:13" ht="14.45">
      <c r="A222" s="23"/>
      <c r="B222" s="35"/>
      <c r="C222" s="23"/>
      <c r="D222" s="23"/>
      <c r="E222" s="23"/>
      <c r="F222" s="23"/>
      <c r="G222" s="23"/>
      <c r="H222" s="24"/>
      <c r="I222" s="23"/>
      <c r="J222" s="23"/>
      <c r="K222" s="24"/>
      <c r="L222" s="23"/>
      <c r="M222" s="23"/>
    </row>
    <row r="223" spans="1:13" ht="14.45">
      <c r="A223" s="23"/>
      <c r="B223" s="35"/>
      <c r="C223" s="23"/>
      <c r="D223" s="23"/>
      <c r="E223" s="23"/>
      <c r="F223" s="23"/>
      <c r="G223" s="23"/>
      <c r="H223" s="24"/>
      <c r="I223" s="23"/>
      <c r="J223" s="23"/>
      <c r="K223" s="24"/>
      <c r="L223" s="23"/>
      <c r="M223" s="23"/>
    </row>
    <row r="224" spans="1:13" ht="14.45">
      <c r="A224" s="23"/>
      <c r="B224" s="35"/>
      <c r="C224" s="23"/>
      <c r="D224" s="23"/>
      <c r="E224" s="23"/>
      <c r="F224" s="23"/>
      <c r="G224" s="23"/>
      <c r="H224" s="24"/>
      <c r="I224" s="23"/>
      <c r="J224" s="23"/>
      <c r="K224" s="24"/>
      <c r="L224" s="23"/>
      <c r="M224" s="23"/>
    </row>
    <row r="225" spans="1:13" ht="14.45">
      <c r="A225" s="23"/>
      <c r="B225" s="35"/>
      <c r="C225" s="23"/>
      <c r="D225" s="23"/>
      <c r="E225" s="23"/>
      <c r="F225" s="23"/>
      <c r="G225" s="23"/>
      <c r="H225" s="24"/>
      <c r="I225" s="23"/>
      <c r="J225" s="23"/>
      <c r="K225" s="24"/>
      <c r="L225" s="23"/>
      <c r="M225" s="23"/>
    </row>
    <row r="226" spans="1:13" ht="14.45">
      <c r="A226" s="23"/>
      <c r="B226" s="35"/>
      <c r="C226" s="23"/>
      <c r="D226" s="23"/>
      <c r="E226" s="23"/>
      <c r="F226" s="23"/>
      <c r="G226" s="23"/>
      <c r="H226" s="24"/>
      <c r="I226" s="23"/>
      <c r="J226" s="23"/>
      <c r="K226" s="24"/>
      <c r="L226" s="23"/>
      <c r="M226" s="23"/>
    </row>
    <row r="227" spans="1:13" ht="14.45">
      <c r="A227" s="23"/>
      <c r="B227" s="35"/>
      <c r="C227" s="23"/>
      <c r="D227" s="23"/>
      <c r="E227" s="23"/>
      <c r="F227" s="23"/>
      <c r="G227" s="23"/>
      <c r="H227" s="24"/>
      <c r="I227" s="23"/>
      <c r="J227" s="23"/>
      <c r="K227" s="24"/>
      <c r="L227" s="23"/>
      <c r="M227" s="23"/>
    </row>
    <row r="228" spans="1:13" ht="14.45">
      <c r="A228" s="23"/>
      <c r="B228" s="35"/>
      <c r="C228" s="23"/>
      <c r="D228" s="23"/>
      <c r="E228" s="23"/>
      <c r="F228" s="23"/>
      <c r="G228" s="23"/>
      <c r="H228" s="24"/>
      <c r="I228" s="23"/>
      <c r="J228" s="23"/>
      <c r="K228" s="24"/>
      <c r="L228" s="23"/>
      <c r="M228" s="23"/>
    </row>
    <row r="229" spans="1:13" ht="14.45">
      <c r="A229" s="23"/>
      <c r="B229" s="35"/>
      <c r="C229" s="23"/>
      <c r="D229" s="23"/>
      <c r="E229" s="23"/>
      <c r="F229" s="23"/>
      <c r="G229" s="23"/>
      <c r="H229" s="24"/>
      <c r="I229" s="23"/>
      <c r="J229" s="23"/>
      <c r="K229" s="24"/>
      <c r="L229" s="23"/>
      <c r="M229" s="23"/>
    </row>
    <row r="230" spans="1:13" ht="14.45">
      <c r="A230" s="23"/>
      <c r="B230" s="35"/>
      <c r="C230" s="23"/>
      <c r="D230" s="23"/>
      <c r="E230" s="23"/>
      <c r="F230" s="23"/>
      <c r="G230" s="23"/>
      <c r="H230" s="24"/>
      <c r="I230" s="23"/>
      <c r="J230" s="23"/>
      <c r="K230" s="24"/>
      <c r="L230" s="23"/>
      <c r="M230" s="23"/>
    </row>
    <row r="231" spans="1:13" ht="14.45">
      <c r="A231" s="23"/>
      <c r="B231" s="35"/>
      <c r="C231" s="23"/>
      <c r="D231" s="23"/>
      <c r="E231" s="23"/>
      <c r="F231" s="23"/>
      <c r="G231" s="23"/>
      <c r="H231" s="24"/>
      <c r="I231" s="23"/>
      <c r="J231" s="23"/>
      <c r="K231" s="24"/>
      <c r="L231" s="23"/>
      <c r="M231" s="23"/>
    </row>
    <row r="232" spans="1:13" ht="14.45">
      <c r="A232" s="23"/>
      <c r="B232" s="35"/>
      <c r="C232" s="23"/>
      <c r="D232" s="23"/>
      <c r="E232" s="23"/>
      <c r="F232" s="23"/>
      <c r="G232" s="23"/>
      <c r="H232" s="24"/>
      <c r="I232" s="23"/>
      <c r="J232" s="23"/>
      <c r="K232" s="24"/>
      <c r="L232" s="23"/>
      <c r="M232" s="23"/>
    </row>
    <row r="233" spans="1:13" ht="14.45">
      <c r="A233" s="23"/>
      <c r="B233" s="35"/>
      <c r="C233" s="23"/>
      <c r="D233" s="23"/>
      <c r="E233" s="23"/>
      <c r="F233" s="23"/>
      <c r="G233" s="23"/>
      <c r="H233" s="24"/>
      <c r="I233" s="23"/>
      <c r="J233" s="23"/>
      <c r="K233" s="24"/>
      <c r="L233" s="23"/>
      <c r="M233" s="23"/>
    </row>
    <row r="234" spans="1:13" ht="14.45">
      <c r="A234" s="23"/>
      <c r="B234" s="35"/>
      <c r="C234" s="23"/>
      <c r="D234" s="23"/>
      <c r="E234" s="23"/>
      <c r="F234" s="23"/>
      <c r="G234" s="23"/>
      <c r="H234" s="24"/>
      <c r="I234" s="23"/>
      <c r="J234" s="23"/>
      <c r="K234" s="24"/>
      <c r="L234" s="23"/>
      <c r="M234" s="23"/>
    </row>
    <row r="235" spans="1:13" ht="14.45">
      <c r="A235" s="23"/>
      <c r="B235" s="35"/>
      <c r="C235" s="23"/>
      <c r="D235" s="23"/>
      <c r="E235" s="23"/>
      <c r="F235" s="23"/>
      <c r="G235" s="23"/>
      <c r="H235" s="24"/>
      <c r="I235" s="23"/>
      <c r="J235" s="23"/>
      <c r="K235" s="24"/>
      <c r="L235" s="23"/>
      <c r="M235" s="23"/>
    </row>
    <row r="236" spans="1:13" ht="14.45">
      <c r="A236" s="23"/>
      <c r="B236" s="35"/>
      <c r="C236" s="23"/>
      <c r="D236" s="23"/>
      <c r="E236" s="23"/>
      <c r="F236" s="23"/>
      <c r="G236" s="23"/>
      <c r="H236" s="24"/>
      <c r="I236" s="23"/>
      <c r="J236" s="23"/>
      <c r="K236" s="24"/>
      <c r="L236" s="23"/>
      <c r="M236" s="23"/>
    </row>
    <row r="237" spans="1:13" ht="14.45">
      <c r="A237" s="23"/>
      <c r="B237" s="35"/>
      <c r="C237" s="23"/>
      <c r="D237" s="23"/>
      <c r="E237" s="23"/>
      <c r="F237" s="23"/>
      <c r="G237" s="23"/>
      <c r="H237" s="24"/>
      <c r="I237" s="23"/>
      <c r="J237" s="23"/>
      <c r="K237" s="24"/>
      <c r="L237" s="23"/>
      <c r="M237" s="23"/>
    </row>
    <row r="238" spans="1:13" ht="14.45">
      <c r="A238" s="23"/>
      <c r="B238" s="35"/>
      <c r="C238" s="23"/>
      <c r="D238" s="23"/>
      <c r="E238" s="23"/>
      <c r="F238" s="23"/>
      <c r="G238" s="23"/>
      <c r="H238" s="24"/>
      <c r="I238" s="23"/>
      <c r="J238" s="23"/>
      <c r="K238" s="24"/>
      <c r="L238" s="23"/>
      <c r="M238" s="23"/>
    </row>
    <row r="239" spans="1:13" ht="14.45">
      <c r="A239" s="23"/>
      <c r="B239" s="35"/>
      <c r="C239" s="23"/>
      <c r="D239" s="23"/>
      <c r="E239" s="23"/>
      <c r="F239" s="23"/>
      <c r="G239" s="23"/>
      <c r="H239" s="24"/>
      <c r="I239" s="23"/>
      <c r="J239" s="23"/>
      <c r="K239" s="24"/>
      <c r="L239" s="23"/>
      <c r="M239" s="23"/>
    </row>
    <row r="240" spans="1:13" ht="14.45">
      <c r="A240" s="23"/>
      <c r="B240" s="35"/>
      <c r="C240" s="23"/>
      <c r="D240" s="23"/>
      <c r="E240" s="23"/>
      <c r="F240" s="23"/>
      <c r="G240" s="23"/>
      <c r="H240" s="24"/>
      <c r="I240" s="23"/>
      <c r="J240" s="23"/>
      <c r="K240" s="24"/>
      <c r="L240" s="23"/>
      <c r="M240" s="23"/>
    </row>
    <row r="241" spans="1:13" ht="14.45">
      <c r="A241" s="23"/>
      <c r="B241" s="35"/>
      <c r="C241" s="23"/>
      <c r="D241" s="23"/>
      <c r="E241" s="23"/>
      <c r="F241" s="23"/>
      <c r="G241" s="23"/>
      <c r="H241" s="24"/>
      <c r="I241" s="23"/>
      <c r="J241" s="23"/>
      <c r="K241" s="24"/>
      <c r="L241" s="23"/>
      <c r="M241" s="23"/>
    </row>
    <row r="242" spans="1:13" ht="14.45">
      <c r="A242" s="23"/>
      <c r="B242" s="35"/>
      <c r="C242" s="23"/>
      <c r="D242" s="23"/>
      <c r="E242" s="23"/>
      <c r="F242" s="23"/>
      <c r="G242" s="23"/>
      <c r="H242" s="24"/>
      <c r="I242" s="23"/>
      <c r="J242" s="23"/>
      <c r="K242" s="24"/>
      <c r="L242" s="23"/>
      <c r="M242" s="23"/>
    </row>
    <row r="243" spans="1:13" ht="14.45">
      <c r="A243" s="23"/>
      <c r="B243" s="35"/>
      <c r="C243" s="23"/>
      <c r="D243" s="23"/>
      <c r="E243" s="23"/>
      <c r="F243" s="23"/>
      <c r="G243" s="23"/>
      <c r="H243" s="24"/>
      <c r="I243" s="23"/>
      <c r="J243" s="23"/>
      <c r="K243" s="24"/>
      <c r="L243" s="23"/>
      <c r="M243" s="23"/>
    </row>
    <row r="244" spans="1:13" ht="14.45">
      <c r="A244" s="23"/>
      <c r="B244" s="35"/>
      <c r="C244" s="23"/>
      <c r="D244" s="23"/>
      <c r="E244" s="23"/>
      <c r="F244" s="23"/>
      <c r="G244" s="23"/>
      <c r="H244" s="24"/>
      <c r="I244" s="23"/>
      <c r="J244" s="23"/>
      <c r="K244" s="24"/>
      <c r="L244" s="23"/>
      <c r="M244" s="23"/>
    </row>
    <row r="245" spans="1:13" ht="14.45">
      <c r="A245" s="23"/>
      <c r="B245" s="35"/>
      <c r="C245" s="23"/>
      <c r="D245" s="23"/>
      <c r="E245" s="23"/>
      <c r="F245" s="23"/>
      <c r="G245" s="23"/>
      <c r="H245" s="24"/>
      <c r="I245" s="23"/>
      <c r="J245" s="23"/>
      <c r="K245" s="24"/>
      <c r="L245" s="23"/>
      <c r="M245" s="23"/>
    </row>
    <row r="246" spans="1:13" ht="14.45">
      <c r="A246" s="23"/>
      <c r="B246" s="35"/>
      <c r="C246" s="23"/>
      <c r="D246" s="23"/>
      <c r="E246" s="23"/>
      <c r="F246" s="23"/>
      <c r="G246" s="23"/>
      <c r="H246" s="24"/>
      <c r="I246" s="23"/>
      <c r="J246" s="23"/>
      <c r="K246" s="24"/>
      <c r="L246" s="23"/>
      <c r="M246" s="23"/>
    </row>
    <row r="247" spans="1:13" ht="14.45">
      <c r="A247" s="23"/>
      <c r="B247" s="35"/>
      <c r="C247" s="23"/>
      <c r="D247" s="23"/>
      <c r="E247" s="23"/>
      <c r="F247" s="23"/>
      <c r="G247" s="23"/>
      <c r="H247" s="24"/>
      <c r="I247" s="23"/>
      <c r="J247" s="23"/>
      <c r="K247" s="24"/>
      <c r="L247" s="23"/>
      <c r="M247" s="23"/>
    </row>
    <row r="248" spans="1:13" ht="14.45">
      <c r="A248" s="23"/>
      <c r="B248" s="35"/>
      <c r="C248" s="23"/>
      <c r="D248" s="23"/>
      <c r="E248" s="23"/>
      <c r="F248" s="23"/>
      <c r="G248" s="23"/>
      <c r="H248" s="24"/>
      <c r="I248" s="23"/>
      <c r="J248" s="23"/>
      <c r="K248" s="24"/>
      <c r="L248" s="23"/>
      <c r="M248" s="23"/>
    </row>
    <row r="249" spans="1:13" ht="14.45">
      <c r="A249" s="23"/>
      <c r="B249" s="35"/>
      <c r="C249" s="23"/>
      <c r="D249" s="23"/>
      <c r="E249" s="23"/>
      <c r="F249" s="23"/>
      <c r="G249" s="23"/>
      <c r="H249" s="24"/>
      <c r="I249" s="23"/>
      <c r="J249" s="23"/>
      <c r="K249" s="24"/>
      <c r="L249" s="23"/>
      <c r="M249" s="23"/>
    </row>
    <row r="250" spans="1:13" ht="14.45">
      <c r="A250" s="23"/>
      <c r="B250" s="35"/>
      <c r="C250" s="23"/>
      <c r="D250" s="23"/>
      <c r="E250" s="23"/>
      <c r="F250" s="23"/>
      <c r="G250" s="23"/>
      <c r="H250" s="24"/>
      <c r="I250" s="23"/>
      <c r="J250" s="23"/>
      <c r="K250" s="24"/>
      <c r="L250" s="23"/>
      <c r="M250" s="23"/>
    </row>
    <row r="251" spans="1:13" ht="14.45">
      <c r="A251" s="23"/>
      <c r="B251" s="35"/>
      <c r="C251" s="23"/>
      <c r="D251" s="23"/>
      <c r="E251" s="23"/>
      <c r="F251" s="23"/>
      <c r="G251" s="23"/>
      <c r="H251" s="24"/>
      <c r="I251" s="23"/>
      <c r="J251" s="23"/>
      <c r="K251" s="24"/>
      <c r="L251" s="23"/>
      <c r="M251" s="23"/>
    </row>
    <row r="252" spans="1:13" ht="14.45">
      <c r="A252" s="23"/>
      <c r="B252" s="35"/>
      <c r="C252" s="23"/>
      <c r="D252" s="23"/>
      <c r="E252" s="23"/>
      <c r="F252" s="23"/>
      <c r="G252" s="23"/>
      <c r="H252" s="24"/>
      <c r="I252" s="23"/>
      <c r="J252" s="23"/>
      <c r="K252" s="24"/>
      <c r="L252" s="23"/>
      <c r="M252" s="23"/>
    </row>
    <row r="253" spans="1:13" ht="14.45">
      <c r="A253" s="23"/>
      <c r="B253" s="35"/>
      <c r="C253" s="23"/>
      <c r="D253" s="23"/>
      <c r="E253" s="23"/>
      <c r="F253" s="23"/>
      <c r="G253" s="23"/>
      <c r="H253" s="24"/>
      <c r="I253" s="23"/>
      <c r="J253" s="23"/>
      <c r="K253" s="24"/>
      <c r="L253" s="23"/>
      <c r="M253" s="23"/>
    </row>
    <row r="254" spans="1:13" ht="14.45">
      <c r="A254" s="23"/>
      <c r="B254" s="35"/>
      <c r="C254" s="23"/>
      <c r="D254" s="23"/>
      <c r="E254" s="23"/>
      <c r="F254" s="23"/>
      <c r="G254" s="23"/>
      <c r="H254" s="24"/>
      <c r="I254" s="23"/>
      <c r="J254" s="23"/>
      <c r="K254" s="24"/>
      <c r="L254" s="23"/>
      <c r="M254" s="23"/>
    </row>
    <row r="255" spans="1:13" ht="14.45">
      <c r="A255" s="23"/>
      <c r="B255" s="35"/>
      <c r="C255" s="23"/>
      <c r="D255" s="23"/>
      <c r="E255" s="23"/>
      <c r="F255" s="23"/>
      <c r="G255" s="23"/>
      <c r="H255" s="24"/>
      <c r="I255" s="23"/>
      <c r="J255" s="23"/>
      <c r="K255" s="24"/>
      <c r="L255" s="23"/>
      <c r="M255" s="23"/>
    </row>
    <row r="256" spans="1:13" ht="14.45">
      <c r="A256" s="23"/>
      <c r="B256" s="35"/>
      <c r="C256" s="23"/>
      <c r="D256" s="23"/>
      <c r="E256" s="23"/>
      <c r="F256" s="23"/>
      <c r="G256" s="23"/>
      <c r="H256" s="24"/>
      <c r="I256" s="23"/>
      <c r="J256" s="23"/>
      <c r="K256" s="24"/>
      <c r="L256" s="23"/>
      <c r="M256" s="23"/>
    </row>
    <row r="257" spans="1:13" ht="14.45">
      <c r="A257" s="23"/>
      <c r="B257" s="35"/>
      <c r="C257" s="23"/>
      <c r="D257" s="23"/>
      <c r="E257" s="23"/>
      <c r="F257" s="23"/>
      <c r="G257" s="23"/>
      <c r="H257" s="24"/>
      <c r="I257" s="23"/>
      <c r="J257" s="23"/>
      <c r="K257" s="24"/>
      <c r="L257" s="23"/>
      <c r="M257" s="23"/>
    </row>
    <row r="258" spans="1:13" ht="14.45">
      <c r="A258" s="23"/>
      <c r="B258" s="35"/>
      <c r="C258" s="23"/>
      <c r="D258" s="23"/>
      <c r="E258" s="23"/>
      <c r="F258" s="23"/>
      <c r="G258" s="23"/>
      <c r="H258" s="24"/>
      <c r="I258" s="23"/>
      <c r="J258" s="23"/>
      <c r="K258" s="24"/>
      <c r="L258" s="23"/>
      <c r="M258" s="23"/>
    </row>
    <row r="259" spans="1:13" ht="14.45">
      <c r="A259" s="23"/>
      <c r="B259" s="35"/>
      <c r="C259" s="23"/>
      <c r="D259" s="23"/>
      <c r="E259" s="23"/>
      <c r="F259" s="23"/>
      <c r="G259" s="23"/>
      <c r="H259" s="24"/>
      <c r="I259" s="23"/>
      <c r="J259" s="23"/>
      <c r="K259" s="24"/>
      <c r="L259" s="23"/>
      <c r="M259" s="23"/>
    </row>
    <row r="260" spans="1:13" ht="14.45">
      <c r="A260" s="23"/>
      <c r="B260" s="35"/>
      <c r="C260" s="23"/>
      <c r="D260" s="23"/>
      <c r="E260" s="23"/>
      <c r="F260" s="23"/>
      <c r="G260" s="23"/>
      <c r="H260" s="24"/>
      <c r="I260" s="23"/>
      <c r="J260" s="23"/>
      <c r="K260" s="24"/>
      <c r="L260" s="23"/>
      <c r="M260" s="23"/>
    </row>
    <row r="261" spans="1:13" ht="14.45">
      <c r="A261" s="23"/>
      <c r="B261" s="35"/>
      <c r="C261" s="23"/>
      <c r="D261" s="23"/>
      <c r="E261" s="23"/>
      <c r="F261" s="23"/>
      <c r="G261" s="23"/>
      <c r="H261" s="24"/>
      <c r="I261" s="23"/>
      <c r="J261" s="23"/>
      <c r="K261" s="24"/>
      <c r="L261" s="23"/>
      <c r="M261" s="23"/>
    </row>
    <row r="262" spans="1:13" ht="14.45">
      <c r="A262" s="23"/>
      <c r="B262" s="35"/>
      <c r="C262" s="23"/>
      <c r="D262" s="23"/>
      <c r="E262" s="23"/>
      <c r="F262" s="23"/>
      <c r="G262" s="23"/>
      <c r="H262" s="24"/>
      <c r="I262" s="23"/>
      <c r="J262" s="23"/>
      <c r="K262" s="24"/>
      <c r="L262" s="23"/>
      <c r="M262" s="23"/>
    </row>
    <row r="263" spans="1:13" ht="14.45">
      <c r="A263" s="23"/>
      <c r="B263" s="35"/>
      <c r="C263" s="23"/>
      <c r="D263" s="23"/>
      <c r="E263" s="23"/>
      <c r="F263" s="23"/>
      <c r="G263" s="23"/>
      <c r="H263" s="24"/>
      <c r="I263" s="23"/>
      <c r="J263" s="23"/>
      <c r="K263" s="24"/>
      <c r="L263" s="23"/>
      <c r="M263" s="23"/>
    </row>
    <row r="264" spans="1:13" ht="14.45">
      <c r="A264" s="23"/>
      <c r="B264" s="35"/>
      <c r="C264" s="23"/>
      <c r="D264" s="23"/>
      <c r="E264" s="23"/>
      <c r="F264" s="23"/>
      <c r="G264" s="23"/>
      <c r="H264" s="24"/>
      <c r="I264" s="23"/>
      <c r="J264" s="23"/>
      <c r="K264" s="24"/>
      <c r="L264" s="23"/>
      <c r="M264" s="23"/>
    </row>
    <row r="265" spans="1:13" ht="14.45">
      <c r="A265" s="23"/>
      <c r="B265" s="35"/>
      <c r="C265" s="23"/>
      <c r="D265" s="23"/>
      <c r="E265" s="23"/>
      <c r="F265" s="23"/>
      <c r="G265" s="23"/>
      <c r="H265" s="24"/>
      <c r="I265" s="23"/>
      <c r="J265" s="23"/>
      <c r="K265" s="24"/>
      <c r="L265" s="23"/>
      <c r="M265" s="23"/>
    </row>
    <row r="266" spans="1:13" ht="14.45">
      <c r="A266" s="23"/>
      <c r="B266" s="35"/>
      <c r="C266" s="23"/>
      <c r="D266" s="23"/>
      <c r="E266" s="23"/>
      <c r="F266" s="23"/>
      <c r="G266" s="23"/>
      <c r="H266" s="24"/>
      <c r="I266" s="23"/>
      <c r="J266" s="23"/>
      <c r="K266" s="24"/>
      <c r="L266" s="23"/>
      <c r="M266" s="23"/>
    </row>
    <row r="267" spans="1:13" ht="14.45">
      <c r="A267" s="23"/>
      <c r="B267" s="35"/>
      <c r="C267" s="23"/>
      <c r="D267" s="23"/>
      <c r="E267" s="23"/>
      <c r="F267" s="23"/>
      <c r="G267" s="23"/>
      <c r="H267" s="24"/>
      <c r="I267" s="23"/>
      <c r="J267" s="23"/>
      <c r="K267" s="24"/>
      <c r="L267" s="23"/>
      <c r="M267" s="23"/>
    </row>
    <row r="268" spans="1:13" ht="14.45">
      <c r="A268" s="23"/>
      <c r="B268" s="35"/>
      <c r="C268" s="23"/>
      <c r="D268" s="23"/>
      <c r="E268" s="23"/>
      <c r="F268" s="23"/>
      <c r="G268" s="23"/>
      <c r="H268" s="24"/>
      <c r="I268" s="23"/>
      <c r="J268" s="23"/>
      <c r="K268" s="24"/>
      <c r="L268" s="23"/>
      <c r="M268" s="23"/>
    </row>
    <row r="269" spans="1:13" ht="14.45">
      <c r="A269" s="23"/>
      <c r="B269" s="35"/>
      <c r="C269" s="23"/>
      <c r="D269" s="23"/>
      <c r="E269" s="23"/>
      <c r="F269" s="23"/>
      <c r="G269" s="23"/>
      <c r="H269" s="24"/>
      <c r="I269" s="23"/>
      <c r="J269" s="23"/>
      <c r="K269" s="24"/>
      <c r="L269" s="23"/>
      <c r="M269" s="23"/>
    </row>
    <row r="270" spans="1:13" ht="14.45">
      <c r="A270" s="23"/>
      <c r="B270" s="35"/>
      <c r="C270" s="23"/>
      <c r="D270" s="23"/>
      <c r="E270" s="23"/>
      <c r="F270" s="23"/>
      <c r="G270" s="23"/>
      <c r="H270" s="24"/>
      <c r="I270" s="23"/>
      <c r="J270" s="23"/>
      <c r="K270" s="24"/>
      <c r="L270" s="23"/>
      <c r="M270" s="23"/>
    </row>
    <row r="271" spans="1:13" ht="14.45">
      <c r="A271" s="23"/>
      <c r="B271" s="35"/>
      <c r="C271" s="23"/>
      <c r="D271" s="23"/>
      <c r="E271" s="23"/>
      <c r="F271" s="23"/>
      <c r="G271" s="23"/>
      <c r="H271" s="24"/>
      <c r="I271" s="23"/>
      <c r="J271" s="23"/>
      <c r="K271" s="24"/>
      <c r="L271" s="23"/>
      <c r="M271" s="23"/>
    </row>
    <row r="272" spans="1:13" ht="14.45">
      <c r="A272" s="23"/>
      <c r="B272" s="35"/>
      <c r="C272" s="23"/>
      <c r="D272" s="23"/>
      <c r="E272" s="23"/>
      <c r="F272" s="23"/>
      <c r="G272" s="23"/>
      <c r="H272" s="24"/>
      <c r="I272" s="23"/>
      <c r="J272" s="23"/>
      <c r="K272" s="24"/>
      <c r="L272" s="23"/>
      <c r="M272" s="23"/>
    </row>
    <row r="273" spans="1:13" ht="14.45">
      <c r="A273" s="23"/>
      <c r="B273" s="35"/>
      <c r="C273" s="23"/>
      <c r="D273" s="23"/>
      <c r="E273" s="23"/>
      <c r="F273" s="23"/>
      <c r="G273" s="23"/>
      <c r="H273" s="24"/>
      <c r="I273" s="23"/>
      <c r="J273" s="23"/>
      <c r="K273" s="24"/>
      <c r="L273" s="23"/>
      <c r="M273" s="23"/>
    </row>
    <row r="274" spans="1:13" ht="14.45">
      <c r="A274" s="23"/>
      <c r="B274" s="35"/>
      <c r="C274" s="23"/>
      <c r="D274" s="23"/>
      <c r="E274" s="23"/>
      <c r="F274" s="23"/>
      <c r="G274" s="23"/>
      <c r="H274" s="24"/>
      <c r="I274" s="23"/>
      <c r="J274" s="23"/>
      <c r="K274" s="24"/>
      <c r="L274" s="23"/>
      <c r="M274" s="23"/>
    </row>
    <row r="275" spans="1:13" ht="14.45">
      <c r="A275" s="23"/>
      <c r="B275" s="35"/>
      <c r="C275" s="23"/>
      <c r="D275" s="23"/>
      <c r="E275" s="23"/>
      <c r="F275" s="23"/>
      <c r="G275" s="23"/>
      <c r="H275" s="24"/>
      <c r="I275" s="23"/>
      <c r="J275" s="23"/>
      <c r="K275" s="24"/>
      <c r="L275" s="23"/>
      <c r="M275" s="23"/>
    </row>
    <row r="276" spans="1:13" ht="14.45">
      <c r="A276" s="23"/>
      <c r="B276" s="35"/>
      <c r="C276" s="23"/>
      <c r="D276" s="23"/>
      <c r="E276" s="23"/>
      <c r="F276" s="23"/>
      <c r="G276" s="23"/>
      <c r="H276" s="24"/>
      <c r="I276" s="23"/>
      <c r="J276" s="23"/>
      <c r="K276" s="24"/>
      <c r="L276" s="23"/>
      <c r="M276" s="23"/>
    </row>
    <row r="277" spans="1:13" ht="14.45">
      <c r="A277" s="23"/>
      <c r="B277" s="35"/>
      <c r="C277" s="23"/>
      <c r="D277" s="23"/>
      <c r="E277" s="23"/>
      <c r="F277" s="23"/>
      <c r="G277" s="23"/>
      <c r="H277" s="24"/>
      <c r="I277" s="23"/>
      <c r="J277" s="23"/>
      <c r="K277" s="24"/>
      <c r="L277" s="23"/>
      <c r="M277" s="23"/>
    </row>
    <row r="278" spans="1:13" ht="14.45">
      <c r="A278" s="23"/>
      <c r="B278" s="35"/>
      <c r="C278" s="23"/>
      <c r="D278" s="23"/>
      <c r="E278" s="23"/>
      <c r="F278" s="23"/>
      <c r="G278" s="23"/>
      <c r="H278" s="24"/>
      <c r="I278" s="23"/>
      <c r="J278" s="23"/>
      <c r="K278" s="24"/>
      <c r="L278" s="23"/>
      <c r="M278" s="23"/>
    </row>
    <row r="279" spans="1:13" ht="14.45">
      <c r="A279" s="23"/>
      <c r="B279" s="35"/>
      <c r="C279" s="23"/>
      <c r="D279" s="23"/>
      <c r="E279" s="23"/>
      <c r="F279" s="23"/>
      <c r="G279" s="23"/>
      <c r="H279" s="24"/>
      <c r="I279" s="23"/>
      <c r="J279" s="23"/>
      <c r="K279" s="24"/>
      <c r="L279" s="23"/>
      <c r="M279" s="23"/>
    </row>
    <row r="280" spans="1:13" ht="14.45">
      <c r="A280" s="23"/>
      <c r="B280" s="35"/>
      <c r="C280" s="23"/>
      <c r="D280" s="23"/>
      <c r="E280" s="23"/>
      <c r="F280" s="23"/>
      <c r="G280" s="23"/>
      <c r="H280" s="24"/>
      <c r="I280" s="23"/>
      <c r="J280" s="23"/>
      <c r="K280" s="24"/>
      <c r="L280" s="23"/>
      <c r="M280" s="23"/>
    </row>
    <row r="281" spans="1:13" ht="14.45">
      <c r="A281" s="23"/>
      <c r="B281" s="35"/>
      <c r="C281" s="23"/>
      <c r="D281" s="23"/>
      <c r="E281" s="23"/>
      <c r="F281" s="23"/>
      <c r="G281" s="23"/>
      <c r="H281" s="24"/>
      <c r="I281" s="23"/>
      <c r="J281" s="23"/>
      <c r="K281" s="24"/>
      <c r="L281" s="23"/>
      <c r="M281" s="23"/>
    </row>
    <row r="282" spans="1:13" ht="14.45">
      <c r="A282" s="23"/>
      <c r="B282" s="35"/>
      <c r="C282" s="23"/>
      <c r="D282" s="23"/>
      <c r="E282" s="23"/>
      <c r="F282" s="23"/>
      <c r="G282" s="23"/>
      <c r="H282" s="24"/>
      <c r="I282" s="23"/>
      <c r="J282" s="23"/>
      <c r="K282" s="24"/>
      <c r="L282" s="23"/>
      <c r="M282" s="23"/>
    </row>
    <row r="283" spans="1:13" ht="14.45">
      <c r="A283" s="23"/>
      <c r="B283" s="35"/>
      <c r="C283" s="23"/>
      <c r="D283" s="23"/>
      <c r="E283" s="23"/>
      <c r="F283" s="23"/>
      <c r="G283" s="23"/>
      <c r="H283" s="24"/>
      <c r="I283" s="23"/>
      <c r="J283" s="23"/>
      <c r="K283" s="24"/>
      <c r="L283" s="23"/>
      <c r="M283" s="23"/>
    </row>
    <row r="284" spans="1:13" ht="14.45">
      <c r="A284" s="23"/>
      <c r="B284" s="35"/>
      <c r="C284" s="23"/>
      <c r="D284" s="23"/>
      <c r="E284" s="23"/>
      <c r="F284" s="23"/>
      <c r="G284" s="23"/>
      <c r="H284" s="24"/>
      <c r="I284" s="23"/>
      <c r="J284" s="23"/>
      <c r="K284" s="24"/>
      <c r="L284" s="23"/>
      <c r="M284" s="23"/>
    </row>
    <row r="285" spans="1:13" ht="14.45">
      <c r="A285" s="23"/>
      <c r="B285" s="35"/>
      <c r="C285" s="23"/>
      <c r="D285" s="23"/>
      <c r="E285" s="23"/>
      <c r="F285" s="23"/>
      <c r="G285" s="23"/>
      <c r="H285" s="24"/>
      <c r="I285" s="23"/>
      <c r="J285" s="23"/>
      <c r="K285" s="24"/>
      <c r="L285" s="23"/>
      <c r="M285" s="23"/>
    </row>
    <row r="286" spans="1:13" ht="14.45">
      <c r="A286" s="23"/>
      <c r="B286" s="35"/>
      <c r="C286" s="23"/>
      <c r="D286" s="23"/>
      <c r="E286" s="23"/>
      <c r="F286" s="23"/>
      <c r="G286" s="23"/>
      <c r="H286" s="24"/>
      <c r="I286" s="23"/>
      <c r="J286" s="23"/>
      <c r="K286" s="24"/>
      <c r="L286" s="23"/>
      <c r="M286" s="23"/>
    </row>
    <row r="287" spans="1:13" ht="14.45">
      <c r="A287" s="23"/>
      <c r="B287" s="35"/>
      <c r="C287" s="23"/>
      <c r="D287" s="23"/>
      <c r="E287" s="23"/>
      <c r="F287" s="23"/>
      <c r="G287" s="23"/>
      <c r="H287" s="24"/>
      <c r="I287" s="23"/>
      <c r="J287" s="23"/>
      <c r="K287" s="24"/>
      <c r="L287" s="23"/>
      <c r="M287" s="23"/>
    </row>
    <row r="288" spans="1:13" ht="14.45">
      <c r="A288" s="23"/>
      <c r="B288" s="35"/>
      <c r="C288" s="23"/>
      <c r="D288" s="23"/>
      <c r="E288" s="23"/>
      <c r="F288" s="23"/>
      <c r="G288" s="23"/>
      <c r="H288" s="24"/>
      <c r="I288" s="23"/>
      <c r="J288" s="23"/>
      <c r="K288" s="24"/>
      <c r="L288" s="23"/>
      <c r="M288" s="23"/>
    </row>
    <row r="289" spans="1:13" ht="14.45">
      <c r="A289" s="23"/>
      <c r="B289" s="35"/>
      <c r="C289" s="23"/>
      <c r="D289" s="23"/>
      <c r="E289" s="23"/>
      <c r="F289" s="23"/>
      <c r="G289" s="23"/>
      <c r="H289" s="24"/>
      <c r="I289" s="23"/>
      <c r="J289" s="23"/>
      <c r="K289" s="24"/>
      <c r="L289" s="23"/>
      <c r="M289" s="23"/>
    </row>
    <row r="290" spans="1:13" ht="14.45">
      <c r="A290" s="23"/>
      <c r="B290" s="35"/>
      <c r="C290" s="23"/>
      <c r="D290" s="23"/>
      <c r="E290" s="23"/>
      <c r="F290" s="23"/>
      <c r="G290" s="23"/>
      <c r="H290" s="24"/>
      <c r="I290" s="23"/>
      <c r="J290" s="23"/>
      <c r="K290" s="24"/>
      <c r="L290" s="23"/>
      <c r="M290" s="23"/>
    </row>
    <row r="291" spans="1:13" ht="14.45">
      <c r="A291" s="23"/>
      <c r="B291" s="35"/>
      <c r="C291" s="23"/>
      <c r="D291" s="23"/>
      <c r="E291" s="23"/>
      <c r="F291" s="23"/>
      <c r="G291" s="23"/>
      <c r="H291" s="24"/>
      <c r="I291" s="23"/>
      <c r="J291" s="23"/>
      <c r="K291" s="24"/>
      <c r="L291" s="23"/>
      <c r="M291" s="23"/>
    </row>
    <row r="292" spans="1:13" ht="14.45">
      <c r="A292" s="23"/>
      <c r="B292" s="35"/>
      <c r="C292" s="23"/>
      <c r="D292" s="23"/>
      <c r="E292" s="23"/>
      <c r="F292" s="23"/>
      <c r="G292" s="23"/>
      <c r="H292" s="24"/>
      <c r="I292" s="23"/>
      <c r="J292" s="23"/>
      <c r="K292" s="24"/>
      <c r="L292" s="23"/>
      <c r="M292" s="23"/>
    </row>
    <row r="293" spans="1:13" ht="14.45">
      <c r="A293" s="23"/>
      <c r="B293" s="35"/>
      <c r="C293" s="23"/>
      <c r="D293" s="23"/>
      <c r="E293" s="23"/>
      <c r="F293" s="23"/>
      <c r="G293" s="23"/>
      <c r="H293" s="24"/>
      <c r="I293" s="23"/>
      <c r="J293" s="23"/>
      <c r="K293" s="24"/>
      <c r="L293" s="23"/>
      <c r="M293" s="23"/>
    </row>
    <row r="294" spans="1:13" ht="14.45">
      <c r="A294" s="23"/>
      <c r="B294" s="35"/>
      <c r="C294" s="23"/>
      <c r="D294" s="23"/>
      <c r="E294" s="23"/>
      <c r="F294" s="23"/>
      <c r="G294" s="23"/>
      <c r="H294" s="24"/>
      <c r="I294" s="23"/>
      <c r="J294" s="23"/>
      <c r="K294" s="24"/>
      <c r="L294" s="23"/>
      <c r="M294" s="23"/>
    </row>
    <row r="295" spans="1:13" ht="14.45">
      <c r="A295" s="23"/>
      <c r="B295" s="35"/>
      <c r="C295" s="23"/>
      <c r="D295" s="23"/>
      <c r="E295" s="23"/>
      <c r="F295" s="23"/>
      <c r="G295" s="23"/>
      <c r="H295" s="24"/>
      <c r="I295" s="23"/>
      <c r="J295" s="23"/>
      <c r="K295" s="24"/>
      <c r="L295" s="23"/>
      <c r="M295" s="23"/>
    </row>
    <row r="296" spans="1:13" ht="14.45">
      <c r="A296" s="23"/>
      <c r="B296" s="35"/>
      <c r="C296" s="23"/>
      <c r="D296" s="23"/>
      <c r="E296" s="23"/>
      <c r="F296" s="23"/>
      <c r="G296" s="23"/>
      <c r="H296" s="24"/>
      <c r="I296" s="23"/>
      <c r="J296" s="23"/>
      <c r="K296" s="24"/>
      <c r="L296" s="23"/>
      <c r="M296" s="23"/>
    </row>
    <row r="297" spans="1:13" ht="14.45">
      <c r="A297" s="23"/>
      <c r="B297" s="35"/>
      <c r="C297" s="23"/>
      <c r="D297" s="23"/>
      <c r="E297" s="23"/>
      <c r="F297" s="23"/>
      <c r="G297" s="23"/>
      <c r="H297" s="24"/>
      <c r="I297" s="23"/>
      <c r="J297" s="23"/>
      <c r="K297" s="24"/>
      <c r="L297" s="23"/>
      <c r="M297" s="23"/>
    </row>
    <row r="298" spans="1:13" ht="14.45">
      <c r="A298" s="23"/>
      <c r="B298" s="35"/>
      <c r="C298" s="23"/>
      <c r="D298" s="23"/>
      <c r="E298" s="23"/>
      <c r="F298" s="23"/>
      <c r="G298" s="23"/>
      <c r="H298" s="24"/>
      <c r="I298" s="23"/>
      <c r="J298" s="23"/>
      <c r="K298" s="24"/>
      <c r="L298" s="23"/>
      <c r="M298" s="23"/>
    </row>
    <row r="299" spans="1:13" ht="14.45">
      <c r="A299" s="23"/>
      <c r="B299" s="35"/>
      <c r="C299" s="23"/>
      <c r="D299" s="23"/>
      <c r="E299" s="23"/>
      <c r="F299" s="23"/>
      <c r="G299" s="23"/>
      <c r="H299" s="24"/>
      <c r="I299" s="23"/>
      <c r="J299" s="23"/>
      <c r="K299" s="24"/>
      <c r="L299" s="23"/>
      <c r="M299" s="23"/>
    </row>
    <row r="300" spans="1:13" ht="14.45">
      <c r="A300" s="23"/>
      <c r="B300" s="35"/>
      <c r="C300" s="23"/>
      <c r="D300" s="23"/>
      <c r="E300" s="23"/>
      <c r="F300" s="23"/>
      <c r="G300" s="23"/>
      <c r="H300" s="24"/>
      <c r="I300" s="23"/>
      <c r="J300" s="23"/>
      <c r="K300" s="24"/>
      <c r="L300" s="23"/>
      <c r="M300" s="23"/>
    </row>
    <row r="301" spans="1:13" ht="14.45">
      <c r="A301" s="23"/>
      <c r="B301" s="35"/>
      <c r="C301" s="23"/>
      <c r="D301" s="23"/>
      <c r="E301" s="23"/>
      <c r="F301" s="23"/>
      <c r="G301" s="23"/>
      <c r="H301" s="24"/>
      <c r="I301" s="23"/>
      <c r="J301" s="23"/>
      <c r="K301" s="24"/>
      <c r="L301" s="23"/>
      <c r="M301" s="23"/>
    </row>
    <row r="302" spans="1:13" ht="14.45">
      <c r="A302" s="23"/>
      <c r="B302" s="35"/>
      <c r="C302" s="23"/>
      <c r="D302" s="23"/>
      <c r="E302" s="23"/>
      <c r="F302" s="23"/>
      <c r="G302" s="23"/>
      <c r="H302" s="24"/>
      <c r="I302" s="23"/>
      <c r="J302" s="23"/>
      <c r="K302" s="24"/>
      <c r="L302" s="23"/>
      <c r="M302" s="23"/>
    </row>
    <row r="303" spans="1:13" ht="14.45">
      <c r="A303" s="23"/>
      <c r="B303" s="35"/>
      <c r="C303" s="23"/>
      <c r="D303" s="23"/>
      <c r="E303" s="23"/>
      <c r="F303" s="23"/>
      <c r="G303" s="23"/>
      <c r="H303" s="24"/>
      <c r="I303" s="23"/>
      <c r="J303" s="23"/>
      <c r="K303" s="24"/>
      <c r="L303" s="23"/>
      <c r="M303" s="23"/>
    </row>
    <row r="304" spans="1:13" ht="14.45">
      <c r="A304" s="23"/>
      <c r="B304" s="35"/>
      <c r="C304" s="23"/>
      <c r="D304" s="23"/>
      <c r="E304" s="23"/>
      <c r="F304" s="23"/>
      <c r="G304" s="23"/>
      <c r="H304" s="24"/>
      <c r="I304" s="23"/>
      <c r="J304" s="23"/>
      <c r="K304" s="24"/>
      <c r="L304" s="23"/>
      <c r="M304" s="23"/>
    </row>
    <row r="305" spans="1:13" ht="14.45">
      <c r="A305" s="23"/>
      <c r="B305" s="35"/>
      <c r="C305" s="23"/>
      <c r="D305" s="23"/>
      <c r="E305" s="23"/>
      <c r="F305" s="23"/>
      <c r="G305" s="23"/>
      <c r="H305" s="24"/>
      <c r="I305" s="23"/>
      <c r="J305" s="23"/>
      <c r="K305" s="24"/>
      <c r="L305" s="23"/>
      <c r="M305" s="23"/>
    </row>
    <row r="306" spans="1:13" ht="14.45">
      <c r="A306" s="23"/>
      <c r="B306" s="35"/>
      <c r="C306" s="23"/>
      <c r="D306" s="23"/>
      <c r="E306" s="23"/>
      <c r="F306" s="23"/>
      <c r="G306" s="23"/>
      <c r="H306" s="24"/>
      <c r="I306" s="23"/>
      <c r="J306" s="23"/>
      <c r="K306" s="24"/>
      <c r="L306" s="23"/>
      <c r="M306" s="23"/>
    </row>
    <row r="307" spans="1:13" ht="14.45">
      <c r="A307" s="23"/>
      <c r="B307" s="35"/>
      <c r="C307" s="23"/>
      <c r="D307" s="23"/>
      <c r="E307" s="23"/>
      <c r="F307" s="23"/>
      <c r="G307" s="23"/>
      <c r="H307" s="24"/>
      <c r="I307" s="23"/>
      <c r="J307" s="23"/>
      <c r="K307" s="24"/>
      <c r="L307" s="23"/>
      <c r="M307" s="23"/>
    </row>
    <row r="308" spans="1:13" ht="14.45">
      <c r="A308" s="23"/>
      <c r="B308" s="35"/>
      <c r="C308" s="23"/>
      <c r="D308" s="23"/>
      <c r="E308" s="23"/>
      <c r="F308" s="23"/>
      <c r="G308" s="23"/>
      <c r="H308" s="24"/>
      <c r="I308" s="23"/>
      <c r="J308" s="23"/>
      <c r="K308" s="24"/>
      <c r="L308" s="23"/>
      <c r="M308" s="23"/>
    </row>
    <row r="309" spans="1:13" ht="14.45">
      <c r="A309" s="23"/>
      <c r="B309" s="35"/>
      <c r="C309" s="23"/>
      <c r="D309" s="23"/>
      <c r="E309" s="23"/>
      <c r="F309" s="23"/>
      <c r="G309" s="23"/>
      <c r="H309" s="24"/>
      <c r="I309" s="23"/>
      <c r="J309" s="23"/>
      <c r="K309" s="24"/>
      <c r="L309" s="23"/>
      <c r="M309" s="23"/>
    </row>
    <row r="310" spans="1:13" ht="14.45">
      <c r="A310" s="23"/>
      <c r="B310" s="35"/>
      <c r="C310" s="23"/>
      <c r="D310" s="23"/>
      <c r="E310" s="23"/>
      <c r="F310" s="23"/>
      <c r="G310" s="23"/>
      <c r="H310" s="24"/>
      <c r="I310" s="23"/>
      <c r="J310" s="23"/>
      <c r="K310" s="24"/>
      <c r="L310" s="23"/>
      <c r="M310" s="23"/>
    </row>
    <row r="311" spans="1:13" ht="14.45">
      <c r="A311" s="23"/>
      <c r="B311" s="35"/>
      <c r="C311" s="23"/>
      <c r="D311" s="23"/>
      <c r="E311" s="23"/>
      <c r="F311" s="23"/>
      <c r="G311" s="23"/>
      <c r="H311" s="24"/>
      <c r="I311" s="23"/>
      <c r="J311" s="23"/>
      <c r="K311" s="24"/>
      <c r="L311" s="23"/>
      <c r="M311" s="23"/>
    </row>
    <row r="312" spans="1:13" ht="14.45">
      <c r="A312" s="23"/>
      <c r="B312" s="35"/>
      <c r="C312" s="23"/>
      <c r="D312" s="23"/>
      <c r="E312" s="23"/>
      <c r="F312" s="23"/>
      <c r="G312" s="23"/>
      <c r="H312" s="24"/>
      <c r="I312" s="23"/>
      <c r="J312" s="23"/>
      <c r="K312" s="24"/>
      <c r="L312" s="23"/>
      <c r="M312" s="23"/>
    </row>
    <row r="313" spans="1:13" ht="14.45">
      <c r="A313" s="23"/>
      <c r="B313" s="35"/>
      <c r="C313" s="23"/>
      <c r="D313" s="23"/>
      <c r="E313" s="23"/>
      <c r="F313" s="23"/>
      <c r="G313" s="23"/>
      <c r="H313" s="24"/>
      <c r="I313" s="23"/>
      <c r="J313" s="23"/>
      <c r="K313" s="24"/>
      <c r="L313" s="23"/>
      <c r="M313" s="23"/>
    </row>
    <row r="314" spans="1:13" ht="14.45">
      <c r="A314" s="23"/>
      <c r="B314" s="35"/>
      <c r="C314" s="23"/>
      <c r="D314" s="23"/>
      <c r="E314" s="23"/>
      <c r="F314" s="23"/>
      <c r="G314" s="23"/>
      <c r="H314" s="24"/>
      <c r="I314" s="23"/>
      <c r="J314" s="23"/>
      <c r="K314" s="24"/>
      <c r="L314" s="23"/>
      <c r="M314" s="23"/>
    </row>
    <row r="315" spans="1:13" ht="14.45">
      <c r="A315" s="23"/>
      <c r="B315" s="35"/>
      <c r="C315" s="23"/>
      <c r="D315" s="23"/>
      <c r="E315" s="23"/>
      <c r="F315" s="23"/>
      <c r="G315" s="23"/>
      <c r="H315" s="24"/>
      <c r="I315" s="23"/>
      <c r="J315" s="23"/>
      <c r="K315" s="24"/>
      <c r="L315" s="23"/>
      <c r="M315" s="23"/>
    </row>
    <row r="316" spans="1:13" ht="14.45">
      <c r="A316" s="23"/>
      <c r="B316" s="35"/>
      <c r="C316" s="23"/>
      <c r="D316" s="23"/>
      <c r="E316" s="23"/>
      <c r="F316" s="23"/>
      <c r="G316" s="23"/>
      <c r="H316" s="24"/>
      <c r="I316" s="23"/>
      <c r="J316" s="23"/>
      <c r="K316" s="24"/>
      <c r="L316" s="23"/>
      <c r="M316" s="23"/>
    </row>
    <row r="317" spans="1:13" ht="14.45">
      <c r="A317" s="23"/>
      <c r="B317" s="35"/>
      <c r="C317" s="23"/>
      <c r="D317" s="23"/>
      <c r="E317" s="23"/>
      <c r="F317" s="23"/>
      <c r="G317" s="23"/>
      <c r="H317" s="24"/>
      <c r="I317" s="23"/>
      <c r="J317" s="23"/>
      <c r="K317" s="24"/>
      <c r="L317" s="23"/>
      <c r="M317" s="23"/>
    </row>
    <row r="318" spans="1:13" ht="14.45">
      <c r="A318" s="23"/>
      <c r="B318" s="35"/>
      <c r="C318" s="23"/>
      <c r="D318" s="23"/>
      <c r="E318" s="23"/>
      <c r="F318" s="23"/>
      <c r="G318" s="23"/>
      <c r="H318" s="24"/>
      <c r="I318" s="23"/>
      <c r="J318" s="23"/>
      <c r="K318" s="24"/>
      <c r="L318" s="23"/>
      <c r="M318" s="23"/>
    </row>
    <row r="319" spans="1:13" ht="14.45">
      <c r="A319" s="23"/>
      <c r="B319" s="35"/>
      <c r="C319" s="23"/>
      <c r="D319" s="23"/>
      <c r="E319" s="23"/>
      <c r="F319" s="23"/>
      <c r="G319" s="23"/>
      <c r="H319" s="24"/>
      <c r="I319" s="23"/>
      <c r="J319" s="23"/>
      <c r="K319" s="24"/>
      <c r="L319" s="23"/>
      <c r="M319" s="23"/>
    </row>
    <row r="320" spans="1:13" ht="14.45">
      <c r="A320" s="23"/>
      <c r="B320" s="35"/>
      <c r="C320" s="23"/>
      <c r="D320" s="23"/>
      <c r="E320" s="23"/>
      <c r="F320" s="23"/>
      <c r="G320" s="23"/>
      <c r="H320" s="24"/>
      <c r="I320" s="23"/>
      <c r="J320" s="23"/>
      <c r="K320" s="24"/>
      <c r="L320" s="23"/>
      <c r="M320" s="23"/>
    </row>
    <row r="321" spans="1:13" ht="14.45">
      <c r="A321" s="23"/>
      <c r="B321" s="35"/>
      <c r="C321" s="23"/>
      <c r="D321" s="23"/>
      <c r="E321" s="23"/>
      <c r="F321" s="23"/>
      <c r="G321" s="23"/>
      <c r="H321" s="24"/>
      <c r="I321" s="23"/>
      <c r="J321" s="23"/>
      <c r="K321" s="24"/>
      <c r="L321" s="23"/>
      <c r="M321" s="23"/>
    </row>
    <row r="322" spans="1:13" ht="14.45">
      <c r="A322" s="23"/>
      <c r="B322" s="35"/>
      <c r="C322" s="23"/>
      <c r="D322" s="23"/>
      <c r="E322" s="23"/>
      <c r="F322" s="23"/>
      <c r="G322" s="23"/>
      <c r="H322" s="24"/>
      <c r="I322" s="23"/>
      <c r="J322" s="23"/>
      <c r="K322" s="24"/>
      <c r="L322" s="23"/>
      <c r="M322" s="23"/>
    </row>
    <row r="323" spans="1:13" ht="14.45">
      <c r="A323" s="23"/>
      <c r="B323" s="35"/>
      <c r="C323" s="23"/>
      <c r="D323" s="23"/>
      <c r="E323" s="23"/>
      <c r="F323" s="23"/>
      <c r="G323" s="23"/>
      <c r="H323" s="24"/>
      <c r="I323" s="23"/>
      <c r="J323" s="23"/>
      <c r="K323" s="24"/>
      <c r="L323" s="23"/>
      <c r="M323" s="23"/>
    </row>
    <row r="324" spans="1:13" ht="14.45">
      <c r="A324" s="23"/>
      <c r="B324" s="35"/>
      <c r="C324" s="23"/>
      <c r="D324" s="23"/>
      <c r="E324" s="23"/>
      <c r="F324" s="23"/>
      <c r="G324" s="23"/>
      <c r="H324" s="24"/>
      <c r="I324" s="23"/>
      <c r="J324" s="23"/>
      <c r="K324" s="24"/>
      <c r="L324" s="23"/>
      <c r="M324" s="23"/>
    </row>
    <row r="325" spans="1:13" ht="14.45">
      <c r="A325" s="23"/>
      <c r="B325" s="35"/>
      <c r="C325" s="23"/>
      <c r="D325" s="23"/>
      <c r="E325" s="23"/>
      <c r="F325" s="23"/>
      <c r="G325" s="23"/>
      <c r="H325" s="24"/>
      <c r="I325" s="23"/>
      <c r="J325" s="23"/>
      <c r="K325" s="24"/>
      <c r="L325" s="23"/>
      <c r="M325" s="23"/>
    </row>
    <row r="326" spans="1:13" ht="14.45">
      <c r="A326" s="23"/>
      <c r="B326" s="35"/>
      <c r="C326" s="23"/>
      <c r="D326" s="23"/>
      <c r="E326" s="23"/>
      <c r="F326" s="23"/>
      <c r="G326" s="23"/>
      <c r="H326" s="24"/>
      <c r="I326" s="23"/>
      <c r="J326" s="23"/>
      <c r="K326" s="24"/>
      <c r="L326" s="23"/>
      <c r="M326" s="23"/>
    </row>
    <row r="327" spans="1:13" ht="14.45">
      <c r="A327" s="23"/>
      <c r="B327" s="35"/>
      <c r="C327" s="23"/>
      <c r="D327" s="23"/>
      <c r="E327" s="23"/>
      <c r="F327" s="23"/>
      <c r="G327" s="23"/>
      <c r="H327" s="24"/>
      <c r="I327" s="23"/>
      <c r="J327" s="23"/>
      <c r="K327" s="24"/>
      <c r="L327" s="23"/>
      <c r="M327" s="23"/>
    </row>
    <row r="328" spans="1:13" ht="14.45">
      <c r="A328" s="23"/>
      <c r="B328" s="35"/>
      <c r="C328" s="23"/>
      <c r="D328" s="23"/>
      <c r="E328" s="23"/>
      <c r="F328" s="23"/>
      <c r="G328" s="23"/>
      <c r="H328" s="24"/>
      <c r="I328" s="23"/>
      <c r="J328" s="23"/>
      <c r="K328" s="24"/>
      <c r="L328" s="23"/>
      <c r="M328" s="23"/>
    </row>
    <row r="329" spans="1:13" ht="14.45">
      <c r="A329" s="23"/>
      <c r="B329" s="35"/>
      <c r="C329" s="23"/>
      <c r="D329" s="23"/>
      <c r="E329" s="23"/>
      <c r="F329" s="23"/>
      <c r="G329" s="23"/>
      <c r="H329" s="24"/>
      <c r="I329" s="23"/>
      <c r="J329" s="23"/>
      <c r="K329" s="24"/>
      <c r="L329" s="23"/>
      <c r="M329" s="23"/>
    </row>
    <row r="330" spans="1:13" ht="14.45">
      <c r="A330" s="23"/>
      <c r="B330" s="35"/>
      <c r="C330" s="23"/>
      <c r="D330" s="23"/>
      <c r="E330" s="23"/>
      <c r="F330" s="23"/>
      <c r="G330" s="23"/>
      <c r="H330" s="24"/>
      <c r="I330" s="23"/>
      <c r="J330" s="23"/>
      <c r="K330" s="24"/>
      <c r="L330" s="23"/>
      <c r="M330" s="23"/>
    </row>
    <row r="331" spans="1:13" ht="14.45">
      <c r="A331" s="23"/>
      <c r="B331" s="35"/>
      <c r="C331" s="23"/>
      <c r="D331" s="23"/>
      <c r="E331" s="23"/>
      <c r="F331" s="23"/>
      <c r="G331" s="23"/>
      <c r="H331" s="24"/>
      <c r="I331" s="23"/>
      <c r="J331" s="23"/>
      <c r="K331" s="24"/>
      <c r="L331" s="23"/>
      <c r="M331" s="23"/>
    </row>
    <row r="332" spans="1:13" ht="14.45">
      <c r="A332" s="23"/>
      <c r="B332" s="35"/>
      <c r="C332" s="23"/>
      <c r="D332" s="23"/>
      <c r="E332" s="23"/>
      <c r="F332" s="23"/>
      <c r="G332" s="23"/>
      <c r="H332" s="24"/>
      <c r="I332" s="23"/>
      <c r="J332" s="23"/>
      <c r="K332" s="24"/>
      <c r="L332" s="23"/>
      <c r="M332" s="23"/>
    </row>
    <row r="333" spans="1:13" ht="14.45">
      <c r="A333" s="23"/>
      <c r="B333" s="35"/>
      <c r="C333" s="23"/>
      <c r="D333" s="23"/>
      <c r="E333" s="23"/>
      <c r="F333" s="23"/>
      <c r="G333" s="23"/>
      <c r="H333" s="24"/>
      <c r="I333" s="23"/>
      <c r="J333" s="23"/>
      <c r="K333" s="24"/>
      <c r="L333" s="23"/>
      <c r="M333" s="23"/>
    </row>
    <row r="334" spans="1:13" ht="14.45">
      <c r="A334" s="23"/>
      <c r="B334" s="35"/>
      <c r="C334" s="23"/>
      <c r="D334" s="23"/>
      <c r="E334" s="23"/>
      <c r="F334" s="23"/>
      <c r="G334" s="23"/>
      <c r="H334" s="24"/>
      <c r="I334" s="23"/>
      <c r="J334" s="23"/>
      <c r="K334" s="24"/>
      <c r="L334" s="23"/>
      <c r="M334" s="23"/>
    </row>
    <row r="335" spans="1:13" ht="14.45">
      <c r="A335" s="23"/>
      <c r="B335" s="35"/>
      <c r="C335" s="23"/>
      <c r="D335" s="23"/>
      <c r="E335" s="23"/>
      <c r="F335" s="23"/>
      <c r="G335" s="23"/>
      <c r="H335" s="24"/>
      <c r="I335" s="23"/>
      <c r="J335" s="23"/>
      <c r="K335" s="24"/>
      <c r="L335" s="23"/>
      <c r="M335" s="23"/>
    </row>
    <row r="336" spans="1:13" ht="14.45">
      <c r="A336" s="23"/>
      <c r="B336" s="35"/>
      <c r="C336" s="23"/>
      <c r="D336" s="23"/>
      <c r="E336" s="23"/>
      <c r="F336" s="23"/>
      <c r="G336" s="23"/>
      <c r="H336" s="24"/>
      <c r="I336" s="23"/>
      <c r="J336" s="23"/>
      <c r="K336" s="24"/>
      <c r="L336" s="23"/>
      <c r="M336" s="23"/>
    </row>
    <row r="337" spans="1:13" ht="14.45">
      <c r="A337" s="23"/>
      <c r="B337" s="35"/>
      <c r="C337" s="23"/>
      <c r="D337" s="23"/>
      <c r="E337" s="23"/>
      <c r="F337" s="23"/>
      <c r="G337" s="23"/>
      <c r="H337" s="24"/>
      <c r="I337" s="23"/>
      <c r="J337" s="23"/>
      <c r="K337" s="24"/>
      <c r="L337" s="23"/>
      <c r="M337" s="23"/>
    </row>
    <row r="338" spans="1:13" ht="14.45">
      <c r="A338" s="23"/>
      <c r="B338" s="35"/>
      <c r="C338" s="23"/>
      <c r="D338" s="23"/>
      <c r="E338" s="23"/>
      <c r="F338" s="23"/>
      <c r="G338" s="23"/>
      <c r="H338" s="24"/>
      <c r="I338" s="23"/>
      <c r="J338" s="23"/>
      <c r="K338" s="24"/>
      <c r="L338" s="23"/>
      <c r="M338" s="23"/>
    </row>
    <row r="339" spans="1:13" ht="14.45">
      <c r="A339" s="23"/>
      <c r="B339" s="35"/>
      <c r="C339" s="23"/>
      <c r="D339" s="23"/>
      <c r="E339" s="23"/>
      <c r="F339" s="23"/>
      <c r="G339" s="23"/>
      <c r="H339" s="24"/>
      <c r="I339" s="23"/>
      <c r="J339" s="23"/>
      <c r="K339" s="24"/>
      <c r="L339" s="23"/>
      <c r="M339" s="23"/>
    </row>
    <row r="340" spans="1:13" ht="14.45">
      <c r="A340" s="23"/>
      <c r="B340" s="35"/>
      <c r="C340" s="23"/>
      <c r="D340" s="23"/>
      <c r="E340" s="23"/>
      <c r="F340" s="23"/>
      <c r="G340" s="23"/>
      <c r="H340" s="24"/>
      <c r="I340" s="23"/>
      <c r="J340" s="23"/>
      <c r="K340" s="24"/>
      <c r="L340" s="23"/>
      <c r="M340" s="23"/>
    </row>
    <row r="341" spans="1:13" ht="14.45">
      <c r="A341" s="23"/>
      <c r="B341" s="35"/>
      <c r="C341" s="23"/>
      <c r="D341" s="23"/>
      <c r="E341" s="23"/>
      <c r="F341" s="23"/>
      <c r="G341" s="23"/>
      <c r="H341" s="24"/>
      <c r="I341" s="23"/>
      <c r="J341" s="23"/>
      <c r="K341" s="24"/>
      <c r="L341" s="23"/>
      <c r="M341" s="23"/>
    </row>
  </sheetData>
  <mergeCells count="4">
    <mergeCell ref="F1:H1"/>
    <mergeCell ref="A1:C1"/>
    <mergeCell ref="I1:K1"/>
    <mergeCell ref="A2:B2"/>
  </mergeCells>
  <conditionalFormatting sqref="H2 K2 H4:H24 K4:K24 H27:H28 K27:K28 I29:I30 L29:L30 H31:H99 K31:K99">
    <cfRule type="cellIs" dxfId="24" priority="2" stopIfTrue="1" operator="lessThanOrEqual">
      <formula>-0.1</formula>
    </cfRule>
    <cfRule type="expression" dxfId="23" priority="3">
      <formula>AND(ISNUMBER(H2), H2&gt;=0.1)</formula>
    </cfRule>
  </conditionalFormatting>
  <hyperlinks>
    <hyperlink ref="M6" r:id="rId1" display="https://us3.assetplanner.com/service_request?ID=096073" xr:uid="{D469AA42-6F32-41CB-A858-244ECDF0F337}"/>
    <hyperlink ref="M9" r:id="rId2" display="https://us3.assetplanner.com/service_request?ID=095212" xr:uid="{6F022D20-5701-447D-A9E9-FD23E1BB6165}"/>
    <hyperlink ref="N9" r:id="rId3" display="https://us3.assetplanner.com/service_request?ID=095408" xr:uid="{B4AB1C00-32F1-4E10-A1C9-5BBF0B2DE5E7}"/>
    <hyperlink ref="M10" r:id="rId4" display="https://us3.assetplanner.com/service_request?ID=095363" xr:uid="{4969F878-EAC4-4BFA-A1FC-C9993ABFBD56}"/>
    <hyperlink ref="M12" r:id="rId5" display="https://us3.assetplanner.com/service_request?ID=093544" xr:uid="{AC82D938-7720-400B-9B38-29E5ACE750FA}"/>
    <hyperlink ref="N12" r:id="rId6" display="https://us3.assetplanner.com/service_request?ID=094968" xr:uid="{97B5C8D1-3C22-4E03-B945-54856206B240}"/>
    <hyperlink ref="M13" r:id="rId7" display="https://us3.assetplanner.com/service_request?ID=094669" xr:uid="{D6322FA4-69DC-4BD1-B509-175274AFFB6C}"/>
    <hyperlink ref="N13" r:id="rId8" display="https://us3.assetplanner.com/service_request?ID=095487" xr:uid="{6550DE27-8089-494F-8AB0-C0DAC9CE1572}"/>
    <hyperlink ref="M14" r:id="rId9" display="https://us3.assetplanner.com/service_request?ID=095637" xr:uid="{D7C4324A-1BC2-4E87-9033-BBECBBE384F9}"/>
    <hyperlink ref="M18" r:id="rId10" display="https://us3.assetplanner.com/service_request?ID=092732" xr:uid="{A980DBF9-18B4-4BA7-862F-62CE00D04A72}"/>
    <hyperlink ref="N18" r:id="rId11" display="https://us3.assetplanner.com/service_request?ID=094546" xr:uid="{BCDD2C0A-FF80-41F7-AE03-DFE68073DC74}"/>
    <hyperlink ref="M19" r:id="rId12" display="https://us3.assetplanner.com/service_request?ID=093725" xr:uid="{9AAFE788-0B83-422E-85EA-D2D609097A87}"/>
  </hyperlinks>
  <pageMargins left="0.4" right="0.7" top="0.25" bottom="0.25" header="0.3" footer="0.3"/>
  <pageSetup fitToHeight="99" orientation="landscape" r:id="rId1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Q342"/>
  <sheetViews>
    <sheetView zoomScale="50" zoomScaleNormal="50" workbookViewId="0">
      <pane ySplit="2" topLeftCell="A4" activePane="bottomLeft" state="frozen"/>
      <selection pane="bottomLeft" activeCell="D4" sqref="D4"/>
      <selection activeCell="L32" sqref="L32"/>
    </sheetView>
  </sheetViews>
  <sheetFormatPr defaultRowHeight="14.25" customHeight="1"/>
  <cols>
    <col min="1" max="1" width="35.85546875" bestFit="1" customWidth="1"/>
    <col min="2" max="2" width="8.42578125" style="36" customWidth="1"/>
    <col min="3" max="3" width="11.7109375" customWidth="1"/>
    <col min="4" max="4" width="24.85546875" customWidth="1"/>
    <col min="5" max="5" width="28.85546875" customWidth="1"/>
    <col min="6" max="7" width="13.28515625" customWidth="1"/>
    <col min="8" max="8" width="13.28515625" style="1" customWidth="1"/>
    <col min="9" max="10" width="13.28515625" customWidth="1"/>
    <col min="11" max="11" width="13.28515625" style="1" customWidth="1"/>
    <col min="12" max="12" width="67.28515625" customWidth="1"/>
    <col min="13" max="13" width="20.5703125" bestFit="1" customWidth="1"/>
  </cols>
  <sheetData>
    <row r="1" spans="1:17" ht="19.5" customHeight="1">
      <c r="A1" s="129" t="str" cm="1">
        <f t="array" ref="A1">portfolio</f>
        <v>CITI</v>
      </c>
      <c r="B1" s="129"/>
      <c r="C1" s="129"/>
      <c r="D1" s="76" t="s">
        <v>0</v>
      </c>
      <c r="E1" s="76" t="s">
        <v>1</v>
      </c>
      <c r="F1" s="130" t="s">
        <v>44</v>
      </c>
      <c r="G1" s="130"/>
      <c r="H1" s="130"/>
      <c r="I1" s="128" t="s">
        <v>45</v>
      </c>
      <c r="J1" s="128"/>
      <c r="K1" s="128"/>
      <c r="L1" s="5"/>
      <c r="M1" s="5"/>
    </row>
    <row r="2" spans="1:17" ht="19.5" customHeight="1">
      <c r="A2" s="131" t="s">
        <v>4</v>
      </c>
      <c r="B2" s="131"/>
      <c r="C2" s="6">
        <f>SUM(C4:C100)</f>
        <v>1161890.8799999999</v>
      </c>
      <c r="D2" s="6">
        <f>SUM(D4:D22)</f>
        <v>1192644.3299999998</v>
      </c>
      <c r="E2" s="7">
        <f>C2/D2</f>
        <v>0.97421406430532398</v>
      </c>
      <c r="F2" s="6">
        <f>SUM(F4:F100)</f>
        <v>1191822.5</v>
      </c>
      <c r="G2" s="6">
        <f>C2-F2</f>
        <v>-29931.620000000112</v>
      </c>
      <c r="H2" s="7">
        <f>IFERROR(G2/F2, 0)</f>
        <v>-2.5114159197363796E-2</v>
      </c>
      <c r="I2" s="6">
        <f>SUM(I4:I100)</f>
        <v>1241928.5290000001</v>
      </c>
      <c r="J2" s="8">
        <f>C2-I2</f>
        <v>-80037.649000000209</v>
      </c>
      <c r="K2" s="7">
        <f>IFERROR(J2/I2, 0)</f>
        <v>-6.4446260095535821E-2</v>
      </c>
      <c r="L2" s="28" t="str">
        <f ca="1">IF(AND(TODAY()&gt;DATE(2024, 2, 1), COUNTA(Sites[Site])&lt;&gt;(COUNT(C:C)-1)), "Some sites are missing actual data; if new sites were added, make sure they are aligned correctly (including prior months!)", "")</f>
        <v>Some sites are missing actual data; if new sites were added, make sure they are aligned correctly (including prior months!)</v>
      </c>
      <c r="M2" s="5"/>
    </row>
    <row r="3" spans="1:17" ht="14.25" customHeight="1">
      <c r="A3" s="9" t="s">
        <v>5</v>
      </c>
      <c r="B3" s="9" t="s">
        <v>6</v>
      </c>
      <c r="C3" s="25" t="s">
        <v>7</v>
      </c>
      <c r="D3" s="77"/>
      <c r="E3" s="77"/>
      <c r="F3" s="49" t="s">
        <v>8</v>
      </c>
      <c r="G3" s="49" t="s">
        <v>9</v>
      </c>
      <c r="H3" s="50" t="s">
        <v>10</v>
      </c>
      <c r="I3" s="51" t="s">
        <v>11</v>
      </c>
      <c r="J3" s="52" t="s">
        <v>9</v>
      </c>
      <c r="K3" s="53" t="s">
        <v>10</v>
      </c>
      <c r="L3" s="27" t="s">
        <v>22</v>
      </c>
      <c r="M3" s="27" t="s">
        <v>23</v>
      </c>
    </row>
    <row r="4" spans="1:17" ht="28.9">
      <c r="A4" s="34" t="str" cm="1">
        <f t="array" ref="A4:A23">Sites[Site]</f>
        <v>CA: Antioch Deer Valley - Citi</v>
      </c>
      <c r="B4" s="31" t="str" cm="1">
        <f t="array" ref="B4:B23">Sites[State]</f>
        <v>CA</v>
      </c>
      <c r="C4" s="26">
        <v>32720</v>
      </c>
      <c r="D4" s="78">
        <v>33837.699999999997</v>
      </c>
      <c r="E4" s="79">
        <f t="shared" ref="E4:E22" si="0">C4/D4</f>
        <v>0.96696879516042766</v>
      </c>
      <c r="F4" s="14">
        <v>33503</v>
      </c>
      <c r="G4" s="14">
        <f t="shared" ref="G4:G22" si="1">IF(AND(ISNUMBER(C4),ISNUMBER(F4)), C4-F4, "")</f>
        <v>-783</v>
      </c>
      <c r="H4" s="15">
        <f>IFERROR(G4/F4, "")</f>
        <v>-2.3371041399277676E-2</v>
      </c>
      <c r="I4" s="16">
        <v>33108.406000000003</v>
      </c>
      <c r="J4" s="16">
        <f t="shared" ref="J4:J23" si="2">IF(AND(ISNUMBER(C4),ISNUMBER(I4)), C4-I4, "")</f>
        <v>-388.40600000000268</v>
      </c>
      <c r="K4" s="17">
        <f>IFERROR(J4/I4, "")</f>
        <v>-1.1731340977273344E-2</v>
      </c>
      <c r="L4" s="18" t="s">
        <v>46</v>
      </c>
      <c r="M4" s="99" t="s">
        <v>47</v>
      </c>
    </row>
    <row r="5" spans="1:17" ht="15.6">
      <c r="A5" s="32" t="str">
        <v>CA: Antioch MC CUP - Citi</v>
      </c>
      <c r="B5" s="33" t="str">
        <v>CA</v>
      </c>
      <c r="C5" s="12">
        <v>117003</v>
      </c>
      <c r="D5" s="12">
        <v>111655.8</v>
      </c>
      <c r="E5" s="80">
        <f t="shared" si="0"/>
        <v>1.0478900334778847</v>
      </c>
      <c r="F5" s="20">
        <v>110541</v>
      </c>
      <c r="G5" s="20">
        <f t="shared" si="1"/>
        <v>6462</v>
      </c>
      <c r="H5" s="21">
        <f>IFERROR(G5/F5, "")</f>
        <v>5.8457947729801611E-2</v>
      </c>
      <c r="I5" s="22">
        <v>121440.242</v>
      </c>
      <c r="J5" s="22">
        <f t="shared" si="2"/>
        <v>-4437.2419999999984</v>
      </c>
      <c r="K5" s="21">
        <f t="shared" ref="K5:K15" si="3">IFERROR(J5/I5, "")</f>
        <v>-3.6538481206254497E-2</v>
      </c>
      <c r="L5" s="11"/>
      <c r="M5" s="19"/>
    </row>
    <row r="6" spans="1:17" ht="28.9">
      <c r="A6" s="30" t="str">
        <v>CA: Clovis - Citi</v>
      </c>
      <c r="B6" s="31" t="str">
        <v>CA</v>
      </c>
      <c r="C6" s="26">
        <v>49039.75</v>
      </c>
      <c r="D6" s="78">
        <v>46787.5</v>
      </c>
      <c r="E6" s="79">
        <f t="shared" si="0"/>
        <v>1.0481378573336895</v>
      </c>
      <c r="F6" s="14">
        <v>45172</v>
      </c>
      <c r="G6" s="14">
        <f t="shared" si="1"/>
        <v>3867.75</v>
      </c>
      <c r="H6" s="15">
        <f t="shared" ref="H6:H15" si="4">IFERROR(G6/F6, "")</f>
        <v>8.5622730895244845E-2</v>
      </c>
      <c r="I6" s="16">
        <v>45847.381000000001</v>
      </c>
      <c r="J6" s="16">
        <f t="shared" si="2"/>
        <v>3192.3689999999988</v>
      </c>
      <c r="K6" s="17">
        <f t="shared" si="3"/>
        <v>6.9630345951495004E-2</v>
      </c>
      <c r="L6" s="18" t="s">
        <v>48</v>
      </c>
      <c r="M6" s="99" t="s">
        <v>25</v>
      </c>
    </row>
    <row r="7" spans="1:17" ht="15.6">
      <c r="A7" s="32" t="str">
        <v>CA: Elk Grove MOB - Citi</v>
      </c>
      <c r="B7" s="33" t="str">
        <v>CA</v>
      </c>
      <c r="C7" s="12">
        <v>73432</v>
      </c>
      <c r="D7" s="12">
        <v>74269</v>
      </c>
      <c r="E7" s="80">
        <f t="shared" si="0"/>
        <v>0.98873015659292574</v>
      </c>
      <c r="F7" s="20">
        <v>73534</v>
      </c>
      <c r="G7" s="20">
        <f t="shared" si="1"/>
        <v>-102</v>
      </c>
      <c r="H7" s="21">
        <f t="shared" si="4"/>
        <v>-1.3871134441210868E-3</v>
      </c>
      <c r="I7" s="22">
        <v>77096.73</v>
      </c>
      <c r="J7" s="22">
        <f t="shared" si="2"/>
        <v>-3664.7299999999959</v>
      </c>
      <c r="K7" s="21">
        <f t="shared" si="3"/>
        <v>-4.7534182059342803E-2</v>
      </c>
      <c r="L7" s="11"/>
      <c r="M7" s="11"/>
    </row>
    <row r="8" spans="1:17" ht="15.6">
      <c r="A8" s="30" t="str">
        <v>CA: Elk Grove Promenade - Citi</v>
      </c>
      <c r="B8" s="31" t="str">
        <v>CA</v>
      </c>
      <c r="C8" s="26">
        <v>39950</v>
      </c>
      <c r="D8" s="78">
        <v>40582</v>
      </c>
      <c r="E8" s="79">
        <f t="shared" si="0"/>
        <v>0.98442659307081959</v>
      </c>
      <c r="F8" s="14">
        <v>40180.25</v>
      </c>
      <c r="G8" s="14">
        <f t="shared" si="1"/>
        <v>-230.25</v>
      </c>
      <c r="H8" s="15">
        <f t="shared" si="4"/>
        <v>-5.7304272621499369E-3</v>
      </c>
      <c r="I8" s="16">
        <v>43579.703999999998</v>
      </c>
      <c r="J8" s="16">
        <f t="shared" si="2"/>
        <v>-3629.7039999999979</v>
      </c>
      <c r="K8" s="17">
        <f t="shared" si="3"/>
        <v>-8.328886309094706E-2</v>
      </c>
      <c r="L8" s="18"/>
      <c r="M8" s="18"/>
    </row>
    <row r="9" spans="1:17" ht="48" customHeight="1">
      <c r="A9" s="32" t="str">
        <v>CA: Fresno Sequioa - Citi</v>
      </c>
      <c r="B9" s="33" t="str">
        <v>CA</v>
      </c>
      <c r="C9" s="12">
        <v>78020.5</v>
      </c>
      <c r="D9" s="12">
        <v>83831.7</v>
      </c>
      <c r="E9" s="80">
        <f t="shared" si="0"/>
        <v>0.93068016036892964</v>
      </c>
      <c r="F9" s="20">
        <v>83019</v>
      </c>
      <c r="G9" s="20">
        <f t="shared" si="1"/>
        <v>-4998.5</v>
      </c>
      <c r="H9" s="21">
        <f t="shared" si="4"/>
        <v>-6.0209108758236068E-2</v>
      </c>
      <c r="I9" s="22">
        <v>87819.042000000001</v>
      </c>
      <c r="J9" s="22">
        <f t="shared" si="2"/>
        <v>-9798.5420000000013</v>
      </c>
      <c r="K9" s="21">
        <f t="shared" si="3"/>
        <v>-0.11157650751872243</v>
      </c>
      <c r="L9" s="66" t="s">
        <v>49</v>
      </c>
      <c r="M9" s="102" t="s">
        <v>50</v>
      </c>
    </row>
    <row r="10" spans="1:17" ht="28.9">
      <c r="A10" s="30" t="str">
        <v>CA: Fresno MOB - Citi</v>
      </c>
      <c r="B10" s="31" t="str">
        <v>CA</v>
      </c>
      <c r="C10" s="26">
        <v>29859.88</v>
      </c>
      <c r="D10" s="78">
        <v>33738.1</v>
      </c>
      <c r="E10" s="79">
        <f t="shared" si="0"/>
        <v>0.88504924699375487</v>
      </c>
      <c r="F10" s="14">
        <v>33456</v>
      </c>
      <c r="G10" s="14">
        <f t="shared" si="1"/>
        <v>-3596.119999999999</v>
      </c>
      <c r="H10" s="15">
        <f t="shared" si="4"/>
        <v>-0.10748804399808701</v>
      </c>
      <c r="I10" s="16">
        <v>29656.131000000001</v>
      </c>
      <c r="J10" s="16">
        <f t="shared" si="2"/>
        <v>203.7489999999998</v>
      </c>
      <c r="K10" s="17">
        <f t="shared" si="3"/>
        <v>6.8703837327937275E-3</v>
      </c>
      <c r="L10" s="18" t="s">
        <v>51</v>
      </c>
      <c r="M10" s="99" t="s">
        <v>52</v>
      </c>
    </row>
    <row r="11" spans="1:17" ht="15.6">
      <c r="A11" s="32" t="str">
        <v>CA: Modesto Bangs - Citi</v>
      </c>
      <c r="B11" s="33" t="str">
        <v>CA</v>
      </c>
      <c r="C11" s="12">
        <v>19801.5</v>
      </c>
      <c r="D11" s="12">
        <v>20447.599999999999</v>
      </c>
      <c r="E11" s="80">
        <f t="shared" si="0"/>
        <v>0.96840215966666021</v>
      </c>
      <c r="F11" s="20">
        <v>20348</v>
      </c>
      <c r="G11" s="20">
        <f t="shared" si="1"/>
        <v>-546.5</v>
      </c>
      <c r="H11" s="21">
        <f t="shared" si="4"/>
        <v>-2.6857676430115981E-2</v>
      </c>
      <c r="I11" s="22">
        <v>20554.277999999998</v>
      </c>
      <c r="J11" s="22">
        <f t="shared" si="2"/>
        <v>-752.77799999999843</v>
      </c>
      <c r="K11" s="21">
        <f t="shared" si="3"/>
        <v>-3.6623908657847211E-2</v>
      </c>
      <c r="L11" s="11"/>
      <c r="M11" s="11"/>
    </row>
    <row r="12" spans="1:17" ht="99.75" customHeight="1">
      <c r="A12" s="30" t="str">
        <v>CA: Napa Data Center - Citi</v>
      </c>
      <c r="B12" s="31" t="str">
        <v>CA</v>
      </c>
      <c r="C12" s="26">
        <v>20347.88</v>
      </c>
      <c r="D12" s="78">
        <v>22694.3</v>
      </c>
      <c r="E12" s="79">
        <f t="shared" si="0"/>
        <v>0.89660751818738638</v>
      </c>
      <c r="F12" s="14">
        <v>21965</v>
      </c>
      <c r="G12" s="14">
        <f t="shared" si="1"/>
        <v>-1617.119999999999</v>
      </c>
      <c r="H12" s="15">
        <f t="shared" si="4"/>
        <v>-7.3622581379467283E-2</v>
      </c>
      <c r="I12" s="16">
        <v>23987.7</v>
      </c>
      <c r="J12" s="16">
        <f t="shared" si="2"/>
        <v>-3639.8199999999997</v>
      </c>
      <c r="K12" s="17">
        <f t="shared" si="3"/>
        <v>-0.15173693184423681</v>
      </c>
      <c r="L12" s="58" t="s">
        <v>53</v>
      </c>
      <c r="M12" s="101" t="s">
        <v>54</v>
      </c>
      <c r="N12" s="106" t="s">
        <v>55</v>
      </c>
    </row>
    <row r="13" spans="1:17" ht="171.75" customHeight="1">
      <c r="A13" s="32" t="str">
        <v>CA: Petaluma MOB - Citi</v>
      </c>
      <c r="B13" s="33" t="str">
        <v>CA</v>
      </c>
      <c r="C13" s="12">
        <v>45669.5</v>
      </c>
      <c r="D13" s="12">
        <v>52699.23</v>
      </c>
      <c r="E13" s="80">
        <f t="shared" si="0"/>
        <v>0.86660658988755623</v>
      </c>
      <c r="F13" s="20">
        <v>50713</v>
      </c>
      <c r="G13" s="20">
        <f t="shared" si="1"/>
        <v>-5043.5</v>
      </c>
      <c r="H13" s="21">
        <f t="shared" si="4"/>
        <v>-9.9451817088320543E-2</v>
      </c>
      <c r="I13" s="22">
        <v>52104.258999999998</v>
      </c>
      <c r="J13" s="22">
        <f t="shared" si="2"/>
        <v>-6434.7589999999982</v>
      </c>
      <c r="K13" s="21">
        <f t="shared" si="3"/>
        <v>-0.12349775476127582</v>
      </c>
      <c r="L13" s="84" t="s">
        <v>56</v>
      </c>
      <c r="M13" s="107" t="s">
        <v>57</v>
      </c>
      <c r="N13" s="106" t="s">
        <v>36</v>
      </c>
      <c r="O13" s="106" t="s">
        <v>58</v>
      </c>
      <c r="P13" s="106" t="s">
        <v>59</v>
      </c>
      <c r="Q13" s="106" t="s">
        <v>60</v>
      </c>
    </row>
    <row r="14" spans="1:17" ht="15.6">
      <c r="A14" s="30" t="str">
        <v>CA: Pleasanton Tec Ctr - Citi</v>
      </c>
      <c r="B14" s="31" t="str">
        <v>CA</v>
      </c>
      <c r="C14" s="26">
        <v>64678</v>
      </c>
      <c r="D14" s="78">
        <v>71770</v>
      </c>
      <c r="E14" s="79">
        <f t="shared" si="0"/>
        <v>0.90118433886024807</v>
      </c>
      <c r="F14" s="14">
        <v>70963</v>
      </c>
      <c r="G14" s="14">
        <f t="shared" si="1"/>
        <v>-6285</v>
      </c>
      <c r="H14" s="15">
        <f t="shared" si="4"/>
        <v>-8.8567281541084786E-2</v>
      </c>
      <c r="I14" s="16">
        <v>73511.442999999999</v>
      </c>
      <c r="J14" s="16">
        <f t="shared" si="2"/>
        <v>-8833.4429999999993</v>
      </c>
      <c r="K14" s="17">
        <f t="shared" si="3"/>
        <v>-0.12016418994795136</v>
      </c>
      <c r="L14" s="18"/>
      <c r="M14" s="18"/>
    </row>
    <row r="15" spans="1:17" ht="15.6">
      <c r="A15" s="32" t="str">
        <v>CA: Rancho Cordova - Citi</v>
      </c>
      <c r="B15" s="33" t="str">
        <v>CA</v>
      </c>
      <c r="C15" s="12">
        <v>123056</v>
      </c>
      <c r="D15" s="12">
        <v>116944</v>
      </c>
      <c r="E15" s="80">
        <f t="shared" si="0"/>
        <v>1.0522643316459159</v>
      </c>
      <c r="F15" s="20">
        <v>115658</v>
      </c>
      <c r="G15" s="20">
        <f t="shared" si="1"/>
        <v>7398</v>
      </c>
      <c r="H15" s="21">
        <f t="shared" si="4"/>
        <v>6.3964446903802596E-2</v>
      </c>
      <c r="I15" s="22">
        <v>126414.863</v>
      </c>
      <c r="J15" s="22">
        <f t="shared" si="2"/>
        <v>-3358.8629999999976</v>
      </c>
      <c r="K15" s="21">
        <f t="shared" si="3"/>
        <v>-2.6570158921898269E-2</v>
      </c>
      <c r="L15" s="11"/>
      <c r="M15" s="11"/>
    </row>
    <row r="16" spans="1:17" ht="15.6">
      <c r="A16" s="30" t="str">
        <v>CA: S Sacramento Wyndham - Citi</v>
      </c>
      <c r="B16" s="31" t="str">
        <v>CA</v>
      </c>
      <c r="C16" s="37">
        <v>62431</v>
      </c>
      <c r="D16" s="78">
        <v>63883.199999999997</v>
      </c>
      <c r="E16" s="79">
        <f t="shared" si="0"/>
        <v>0.97726788889723748</v>
      </c>
      <c r="F16" s="14">
        <v>63122</v>
      </c>
      <c r="G16" s="14">
        <f t="shared" si="1"/>
        <v>-691</v>
      </c>
      <c r="H16" s="38">
        <f t="shared" ref="H16:H22" si="5">IFERROR(G16/F16, "")</f>
        <v>-1.0947054909540255E-2</v>
      </c>
      <c r="I16" s="39">
        <v>61291.02</v>
      </c>
      <c r="J16" s="39">
        <f t="shared" si="2"/>
        <v>1139.9800000000032</v>
      </c>
      <c r="K16" s="40">
        <f t="shared" ref="K16:K22" si="6">IFERROR(J16/I16, "")</f>
        <v>1.8599462041910923E-2</v>
      </c>
      <c r="L16" s="41"/>
      <c r="M16" s="41"/>
    </row>
    <row r="17" spans="1:15" ht="43.15">
      <c r="A17" s="32" t="str">
        <v>CA: Sacramento Point West - Citi</v>
      </c>
      <c r="B17" s="33" t="str">
        <v>CA</v>
      </c>
      <c r="C17" s="42">
        <v>117073</v>
      </c>
      <c r="D17" s="12">
        <v>122199</v>
      </c>
      <c r="E17" s="80">
        <f t="shared" si="0"/>
        <v>0.95805202988567828</v>
      </c>
      <c r="F17" s="20">
        <v>121584</v>
      </c>
      <c r="G17" s="20">
        <f t="shared" si="1"/>
        <v>-4511</v>
      </c>
      <c r="H17" s="43">
        <f t="shared" si="5"/>
        <v>-3.7101921305434923E-2</v>
      </c>
      <c r="I17" s="44">
        <v>131537.929</v>
      </c>
      <c r="J17" s="44">
        <f t="shared" si="2"/>
        <v>-14464.929000000004</v>
      </c>
      <c r="K17" s="43">
        <f t="shared" si="6"/>
        <v>-0.10996774169981043</v>
      </c>
      <c r="L17" s="84" t="s">
        <v>61</v>
      </c>
      <c r="M17" s="100" t="s">
        <v>62</v>
      </c>
    </row>
    <row r="18" spans="1:15" ht="60.75" customHeight="1">
      <c r="A18" s="30" t="str">
        <v>CA: San Jose FHC - Citi</v>
      </c>
      <c r="B18" s="31" t="str">
        <v>CA</v>
      </c>
      <c r="C18" s="37">
        <v>21935.75</v>
      </c>
      <c r="D18" s="78">
        <v>25812.799999999999</v>
      </c>
      <c r="E18" s="79">
        <f t="shared" si="0"/>
        <v>0.84980126138969814</v>
      </c>
      <c r="F18" s="14">
        <v>26457</v>
      </c>
      <c r="G18" s="14">
        <f t="shared" si="1"/>
        <v>-4521.25</v>
      </c>
      <c r="H18" s="38">
        <f t="shared" si="5"/>
        <v>-0.17089050156858299</v>
      </c>
      <c r="I18" s="39">
        <v>26911.371999999999</v>
      </c>
      <c r="J18" s="39">
        <f t="shared" si="2"/>
        <v>-4975.6219999999994</v>
      </c>
      <c r="K18" s="40">
        <f t="shared" si="6"/>
        <v>-0.1848891985142935</v>
      </c>
      <c r="L18" s="41" t="s">
        <v>63</v>
      </c>
      <c r="M18" s="108" t="s">
        <v>64</v>
      </c>
      <c r="N18" s="106" t="s">
        <v>41</v>
      </c>
      <c r="O18" s="106" t="s">
        <v>41</v>
      </c>
    </row>
    <row r="19" spans="1:15" ht="113.25" customHeight="1">
      <c r="A19" s="32" t="str">
        <v>CA: San Jose MOB - Citi</v>
      </c>
      <c r="B19" s="33" t="str">
        <v>CA</v>
      </c>
      <c r="C19" s="42">
        <v>34046.5</v>
      </c>
      <c r="D19" s="12">
        <v>41783.9</v>
      </c>
      <c r="E19" s="80">
        <f t="shared" si="0"/>
        <v>0.81482341284561755</v>
      </c>
      <c r="F19" s="20">
        <v>42140</v>
      </c>
      <c r="G19" s="20">
        <f t="shared" si="1"/>
        <v>-8093.5</v>
      </c>
      <c r="H19" s="43">
        <f t="shared" si="5"/>
        <v>-0.19206217370669199</v>
      </c>
      <c r="I19" s="44">
        <v>43555.535000000003</v>
      </c>
      <c r="J19" s="44">
        <f t="shared" si="2"/>
        <v>-9509.0350000000035</v>
      </c>
      <c r="K19" s="43">
        <f t="shared" si="6"/>
        <v>-0.21831978415602066</v>
      </c>
      <c r="L19" s="84" t="s">
        <v>65</v>
      </c>
      <c r="M19" s="109" t="s">
        <v>66</v>
      </c>
      <c r="N19" s="106" t="s">
        <v>67</v>
      </c>
      <c r="O19" s="106" t="s">
        <v>68</v>
      </c>
    </row>
    <row r="20" spans="1:15" ht="15.6">
      <c r="A20" s="30" t="str">
        <v>CA: Selma - Citi</v>
      </c>
      <c r="B20" s="31" t="str">
        <v>CA</v>
      </c>
      <c r="C20" s="37">
        <v>23596.12</v>
      </c>
      <c r="D20" s="78">
        <v>23766.7</v>
      </c>
      <c r="E20" s="79">
        <f t="shared" si="0"/>
        <v>0.9928227309639116</v>
      </c>
      <c r="F20" s="14">
        <v>23523</v>
      </c>
      <c r="G20" s="14">
        <f t="shared" si="1"/>
        <v>73.119999999998981</v>
      </c>
      <c r="H20" s="38">
        <f t="shared" si="5"/>
        <v>3.1084470518215781E-3</v>
      </c>
      <c r="I20" s="39">
        <v>27065.456999999999</v>
      </c>
      <c r="J20" s="39">
        <f t="shared" si="2"/>
        <v>-3469.3369999999995</v>
      </c>
      <c r="K20" s="40">
        <f t="shared" si="6"/>
        <v>-0.12818320414837259</v>
      </c>
      <c r="L20" s="41"/>
      <c r="M20" s="41"/>
    </row>
    <row r="21" spans="1:15" ht="15.6">
      <c r="A21" s="32" t="str">
        <v>CA: Vacaville Hospital</v>
      </c>
      <c r="B21" s="33" t="str">
        <v>CA</v>
      </c>
      <c r="C21" s="42">
        <v>157387</v>
      </c>
      <c r="D21" s="12">
        <v>157634.79999999999</v>
      </c>
      <c r="E21" s="80">
        <f t="shared" si="0"/>
        <v>0.99842801208870124</v>
      </c>
      <c r="F21" s="20">
        <v>157886</v>
      </c>
      <c r="G21" s="20">
        <f t="shared" si="1"/>
        <v>-499</v>
      </c>
      <c r="H21" s="43">
        <f t="shared" si="5"/>
        <v>-3.1605082147878848E-3</v>
      </c>
      <c r="I21" s="44">
        <v>160526.89799999999</v>
      </c>
      <c r="J21" s="44">
        <f t="shared" si="2"/>
        <v>-3139.8979999999865</v>
      </c>
      <c r="K21" s="43">
        <f t="shared" si="6"/>
        <v>-1.9559949386176931E-2</v>
      </c>
      <c r="L21" s="57"/>
      <c r="M21" s="57"/>
    </row>
    <row r="22" spans="1:15" ht="15.6">
      <c r="A22" s="30" t="str">
        <v>CA: Manteca - KP Manteca Hospital</v>
      </c>
      <c r="B22" s="31" t="str">
        <v>CA</v>
      </c>
      <c r="C22" s="37">
        <v>51843.5</v>
      </c>
      <c r="D22" s="78">
        <v>48307</v>
      </c>
      <c r="E22" s="79">
        <f t="shared" si="0"/>
        <v>1.0732088517192124</v>
      </c>
      <c r="F22" s="14">
        <v>58058.25</v>
      </c>
      <c r="G22" s="14">
        <f t="shared" si="1"/>
        <v>-6214.75</v>
      </c>
      <c r="H22" s="38">
        <f t="shared" si="5"/>
        <v>-0.10704335731786611</v>
      </c>
      <c r="I22" s="39">
        <v>55920.139000000003</v>
      </c>
      <c r="J22" s="39">
        <f t="shared" si="2"/>
        <v>-4076.6390000000029</v>
      </c>
      <c r="K22" s="40">
        <f t="shared" si="6"/>
        <v>-7.2901088461171437E-2</v>
      </c>
      <c r="L22" s="41"/>
      <c r="M22" s="41"/>
    </row>
    <row r="23" spans="1:15" ht="14.45">
      <c r="A23" s="23" t="str">
        <v>Sacramento - KP South Sacramento HSP</v>
      </c>
      <c r="B23" s="35" t="str">
        <v>CA</v>
      </c>
      <c r="C23" s="23"/>
      <c r="D23" s="23"/>
      <c r="E23" s="23"/>
      <c r="F23" s="23"/>
      <c r="G23" s="23"/>
      <c r="H23" s="23"/>
      <c r="I23" s="23"/>
      <c r="J23" s="44" t="str">
        <f t="shared" si="2"/>
        <v/>
      </c>
      <c r="K23" s="23"/>
      <c r="L23" s="35"/>
      <c r="M23" s="35"/>
    </row>
    <row r="24" spans="1:15" ht="14.45">
      <c r="A24" s="23"/>
      <c r="B24" s="35"/>
      <c r="C24" s="23"/>
      <c r="D24" s="23"/>
      <c r="E24" s="23"/>
      <c r="F24" s="23"/>
      <c r="G24" s="23"/>
      <c r="H24" s="23"/>
      <c r="I24" s="23"/>
      <c r="J24" s="23"/>
      <c r="K24" s="23"/>
      <c r="L24" s="23"/>
      <c r="M24" s="23"/>
    </row>
    <row r="25" spans="1:15" ht="14.45">
      <c r="A25" s="23"/>
      <c r="B25" s="35"/>
      <c r="C25" s="23"/>
      <c r="D25" s="23"/>
      <c r="E25" s="23"/>
      <c r="F25" s="23"/>
      <c r="G25" s="23"/>
      <c r="H25" s="23"/>
      <c r="I25" s="23"/>
      <c r="J25" s="23"/>
      <c r="K25" s="23"/>
      <c r="L25" s="23"/>
      <c r="M25" s="23"/>
    </row>
    <row r="26" spans="1:15" ht="14.45">
      <c r="A26" s="23"/>
      <c r="B26" s="35"/>
      <c r="C26" s="23"/>
      <c r="D26" s="23"/>
      <c r="E26" s="23"/>
      <c r="F26" s="23"/>
      <c r="G26" s="23"/>
      <c r="H26" s="23"/>
      <c r="I26" s="23"/>
      <c r="J26" s="23"/>
      <c r="K26" s="23"/>
      <c r="L26" s="23"/>
      <c r="M26" s="23"/>
    </row>
    <row r="27" spans="1:15" ht="14.45">
      <c r="A27" s="23"/>
      <c r="B27" s="35"/>
      <c r="C27" s="23"/>
      <c r="D27" s="23"/>
      <c r="E27" s="23"/>
      <c r="F27" s="23"/>
      <c r="G27" s="23"/>
      <c r="H27" s="23"/>
      <c r="I27" s="23"/>
      <c r="J27" s="23"/>
      <c r="K27" s="23"/>
      <c r="L27" s="23"/>
      <c r="M27" s="23"/>
    </row>
    <row r="28" spans="1:15" ht="14.45">
      <c r="A28" s="23"/>
      <c r="B28" s="35"/>
      <c r="C28" s="23"/>
      <c r="D28" s="23"/>
      <c r="E28" s="23"/>
      <c r="F28" s="23"/>
      <c r="G28" s="23"/>
      <c r="H28" s="23"/>
      <c r="I28" s="23"/>
      <c r="J28" s="23"/>
      <c r="K28" s="23"/>
      <c r="L28" s="23"/>
      <c r="M28" s="23"/>
    </row>
    <row r="29" spans="1:15" ht="14.45">
      <c r="A29" s="23"/>
      <c r="B29" s="35"/>
      <c r="C29" s="23"/>
      <c r="D29" s="23"/>
      <c r="E29" s="23"/>
      <c r="F29" s="23"/>
      <c r="G29" s="23"/>
      <c r="H29" s="23"/>
      <c r="I29" s="23"/>
      <c r="J29" s="23"/>
      <c r="K29" s="23"/>
      <c r="L29" s="23"/>
      <c r="M29" s="23"/>
    </row>
    <row r="30" spans="1:15" ht="14.45">
      <c r="A30" s="23"/>
      <c r="B30" s="35"/>
      <c r="C30" s="23"/>
      <c r="D30" s="23"/>
      <c r="E30" s="23"/>
      <c r="F30" s="23"/>
      <c r="G30" s="23"/>
      <c r="H30" s="23"/>
      <c r="I30" s="23"/>
      <c r="J30" s="23"/>
      <c r="K30" s="23"/>
      <c r="L30" s="23"/>
      <c r="M30" s="23"/>
    </row>
    <row r="31" spans="1:15" ht="14.45">
      <c r="A31" s="23"/>
      <c r="B31" s="35"/>
      <c r="C31" s="23"/>
      <c r="D31" s="23"/>
      <c r="E31" s="23"/>
      <c r="F31" s="23"/>
      <c r="G31" s="23"/>
      <c r="H31" s="23"/>
      <c r="I31" s="23"/>
      <c r="J31" s="23"/>
      <c r="K31" s="23"/>
      <c r="L31" s="23"/>
      <c r="M31" s="23"/>
    </row>
    <row r="32" spans="1:15" ht="14.45">
      <c r="A32" s="23"/>
      <c r="B32" s="35"/>
      <c r="C32" s="23"/>
      <c r="D32" s="23"/>
      <c r="E32" s="23"/>
      <c r="F32" s="23"/>
      <c r="G32" s="23"/>
      <c r="H32" s="23"/>
      <c r="I32" s="23"/>
      <c r="J32" s="23"/>
      <c r="K32" s="23"/>
      <c r="L32" s="23"/>
      <c r="M32" s="23"/>
    </row>
    <row r="33" spans="1:13" ht="14.45">
      <c r="A33" s="23"/>
      <c r="B33" s="35"/>
      <c r="C33" s="23"/>
      <c r="D33" s="23"/>
      <c r="E33" s="23"/>
      <c r="F33" s="23"/>
      <c r="G33" s="23"/>
      <c r="H33" s="24"/>
      <c r="I33" s="23"/>
      <c r="J33" s="23"/>
      <c r="K33" s="24"/>
      <c r="L33" s="23"/>
      <c r="M33" s="23"/>
    </row>
    <row r="34" spans="1:13" ht="14.45">
      <c r="A34" s="23"/>
      <c r="B34" s="35"/>
      <c r="C34" s="23"/>
      <c r="D34" s="23"/>
      <c r="E34" s="23"/>
      <c r="F34" s="23"/>
      <c r="G34" s="23"/>
      <c r="H34" s="24"/>
      <c r="I34" s="23"/>
      <c r="J34" s="23"/>
      <c r="K34" s="24"/>
      <c r="L34" s="23"/>
      <c r="M34" s="23"/>
    </row>
    <row r="35" spans="1:13" ht="14.45">
      <c r="A35" s="23"/>
      <c r="B35" s="35"/>
      <c r="C35" s="23"/>
      <c r="D35" s="23"/>
      <c r="E35" s="23"/>
      <c r="F35" s="23"/>
      <c r="G35" s="23"/>
      <c r="H35" s="24"/>
      <c r="I35" s="23"/>
      <c r="J35" s="23"/>
      <c r="K35" s="24"/>
      <c r="L35" s="23"/>
      <c r="M35" s="23"/>
    </row>
    <row r="36" spans="1:13" ht="14.45">
      <c r="A36" s="23"/>
      <c r="B36" s="35"/>
      <c r="C36" s="23"/>
      <c r="D36" s="23"/>
      <c r="E36" s="23"/>
      <c r="F36" s="23"/>
      <c r="G36" s="23"/>
      <c r="H36" s="24"/>
      <c r="I36" s="23"/>
      <c r="J36" s="23"/>
      <c r="K36" s="24"/>
      <c r="L36" s="23"/>
      <c r="M36" s="23"/>
    </row>
    <row r="37" spans="1:13" ht="14.45">
      <c r="A37" s="23"/>
      <c r="B37" s="35"/>
      <c r="C37" s="23"/>
      <c r="D37" s="23"/>
      <c r="E37" s="23"/>
      <c r="F37" s="23"/>
      <c r="G37" s="23"/>
      <c r="H37" s="24"/>
      <c r="I37" s="23"/>
      <c r="J37" s="23"/>
      <c r="K37" s="24"/>
      <c r="L37" s="23"/>
      <c r="M37" s="23"/>
    </row>
    <row r="38" spans="1:13" ht="14.45">
      <c r="A38" s="23"/>
      <c r="B38" s="35"/>
      <c r="C38" s="23"/>
      <c r="D38" s="23"/>
      <c r="E38" s="23"/>
      <c r="F38" s="23"/>
      <c r="G38" s="23"/>
      <c r="H38" s="24"/>
      <c r="I38" s="23"/>
      <c r="J38" s="23"/>
      <c r="K38" s="24"/>
      <c r="L38" s="23"/>
      <c r="M38" s="23"/>
    </row>
    <row r="39" spans="1:13" ht="14.45">
      <c r="A39" s="23"/>
      <c r="B39" s="35"/>
      <c r="C39" s="23"/>
      <c r="D39" s="23"/>
      <c r="E39" s="23"/>
      <c r="F39" s="23"/>
      <c r="G39" s="23"/>
      <c r="H39" s="24"/>
      <c r="I39" s="23"/>
      <c r="J39" s="23"/>
      <c r="K39" s="24"/>
      <c r="L39" s="23"/>
      <c r="M39" s="23"/>
    </row>
    <row r="40" spans="1:13" ht="14.45">
      <c r="A40" s="23"/>
      <c r="B40" s="35"/>
      <c r="C40" s="23"/>
      <c r="D40" s="23"/>
      <c r="E40" s="23"/>
      <c r="F40" s="23"/>
      <c r="G40" s="23"/>
      <c r="H40" s="24"/>
      <c r="I40" s="23"/>
      <c r="J40" s="23"/>
      <c r="K40" s="24"/>
      <c r="L40" s="23"/>
      <c r="M40" s="23"/>
    </row>
    <row r="41" spans="1:13" ht="14.45">
      <c r="A41" s="23"/>
      <c r="B41" s="35"/>
      <c r="C41" s="23"/>
      <c r="D41" s="23"/>
      <c r="E41" s="23"/>
      <c r="F41" s="23"/>
      <c r="G41" s="23"/>
      <c r="H41" s="24"/>
      <c r="I41" s="23"/>
      <c r="J41" s="23"/>
      <c r="K41" s="24"/>
      <c r="L41" s="23"/>
      <c r="M41" s="23"/>
    </row>
    <row r="42" spans="1:13" ht="14.45">
      <c r="A42" s="23"/>
      <c r="B42" s="35"/>
      <c r="C42" s="23"/>
      <c r="D42" s="23"/>
      <c r="E42" s="23"/>
      <c r="F42" s="23"/>
      <c r="G42" s="23"/>
      <c r="H42" s="24"/>
      <c r="I42" s="23"/>
      <c r="J42" s="23"/>
      <c r="K42" s="24"/>
      <c r="L42" s="23"/>
      <c r="M42" s="23"/>
    </row>
    <row r="43" spans="1:13" ht="14.45">
      <c r="A43" s="23"/>
      <c r="B43" s="35"/>
      <c r="C43" s="23"/>
      <c r="D43" s="23"/>
      <c r="E43" s="23"/>
      <c r="F43" s="23"/>
      <c r="G43" s="23"/>
      <c r="H43" s="24"/>
      <c r="I43" s="23"/>
      <c r="J43" s="23"/>
      <c r="K43" s="24"/>
      <c r="L43" s="23"/>
      <c r="M43" s="23"/>
    </row>
    <row r="44" spans="1:13" ht="14.45">
      <c r="A44" s="23"/>
      <c r="B44" s="35"/>
      <c r="C44" s="23"/>
      <c r="D44" s="23"/>
      <c r="E44" s="23"/>
      <c r="F44" s="23"/>
      <c r="G44" s="23"/>
      <c r="H44" s="24"/>
      <c r="I44" s="23"/>
      <c r="J44" s="23"/>
      <c r="K44" s="24"/>
      <c r="L44" s="23"/>
      <c r="M44" s="23"/>
    </row>
    <row r="45" spans="1:13" ht="14.45">
      <c r="A45" s="23"/>
      <c r="B45" s="35"/>
      <c r="C45" s="23"/>
      <c r="D45" s="23"/>
      <c r="E45" s="23"/>
      <c r="F45" s="23"/>
      <c r="G45" s="23"/>
      <c r="H45" s="24"/>
      <c r="I45" s="23"/>
      <c r="J45" s="23"/>
      <c r="K45" s="24"/>
      <c r="L45" s="23"/>
      <c r="M45" s="23"/>
    </row>
    <row r="46" spans="1:13" ht="14.45">
      <c r="A46" s="23"/>
      <c r="B46" s="35"/>
      <c r="C46" s="23"/>
      <c r="D46" s="23"/>
      <c r="E46" s="23"/>
      <c r="F46" s="23"/>
      <c r="G46" s="23"/>
      <c r="H46" s="24"/>
      <c r="I46" s="23"/>
      <c r="J46" s="23"/>
      <c r="K46" s="24"/>
      <c r="L46" s="23"/>
      <c r="M46" s="23"/>
    </row>
    <row r="47" spans="1:13" ht="14.45">
      <c r="A47" s="23"/>
      <c r="B47" s="35"/>
      <c r="C47" s="23"/>
      <c r="D47" s="23"/>
      <c r="E47" s="23"/>
      <c r="F47" s="23"/>
      <c r="G47" s="23"/>
      <c r="H47" s="24"/>
      <c r="I47" s="23"/>
      <c r="J47" s="23"/>
      <c r="K47" s="24"/>
      <c r="L47" s="23"/>
      <c r="M47" s="23"/>
    </row>
    <row r="48" spans="1:13" ht="14.45">
      <c r="A48" s="23"/>
      <c r="B48" s="35"/>
      <c r="C48" s="23"/>
      <c r="D48" s="23"/>
      <c r="E48" s="23"/>
      <c r="F48" s="23"/>
      <c r="G48" s="23"/>
      <c r="H48" s="24"/>
      <c r="I48" s="23"/>
      <c r="J48" s="23"/>
      <c r="K48" s="24"/>
      <c r="L48" s="23"/>
      <c r="M48" s="23"/>
    </row>
    <row r="49" spans="1:13" ht="14.45">
      <c r="A49" s="23"/>
      <c r="B49" s="35"/>
      <c r="C49" s="23"/>
      <c r="D49" s="23"/>
      <c r="E49" s="23"/>
      <c r="F49" s="23"/>
      <c r="G49" s="23"/>
      <c r="H49" s="24"/>
      <c r="I49" s="23"/>
      <c r="J49" s="23"/>
      <c r="K49" s="24"/>
      <c r="L49" s="23"/>
      <c r="M49" s="23"/>
    </row>
    <row r="50" spans="1:13" ht="14.45">
      <c r="A50" s="23"/>
      <c r="B50" s="35"/>
      <c r="C50" s="23"/>
      <c r="D50" s="23"/>
      <c r="E50" s="23"/>
      <c r="F50" s="23"/>
      <c r="G50" s="23"/>
      <c r="H50" s="24"/>
      <c r="I50" s="23"/>
      <c r="J50" s="23"/>
      <c r="K50" s="24"/>
      <c r="L50" s="23"/>
      <c r="M50" s="23"/>
    </row>
    <row r="51" spans="1:13" ht="14.45">
      <c r="A51" s="23"/>
      <c r="B51" s="35"/>
      <c r="C51" s="23"/>
      <c r="D51" s="23"/>
      <c r="E51" s="23"/>
      <c r="F51" s="23"/>
      <c r="G51" s="23"/>
      <c r="H51" s="24"/>
      <c r="I51" s="23"/>
      <c r="J51" s="23"/>
      <c r="K51" s="24"/>
      <c r="L51" s="23"/>
      <c r="M51" s="23"/>
    </row>
    <row r="52" spans="1:13" ht="14.45">
      <c r="A52" s="23"/>
      <c r="B52" s="35"/>
      <c r="C52" s="23"/>
      <c r="D52" s="23"/>
      <c r="E52" s="23"/>
      <c r="F52" s="23"/>
      <c r="G52" s="23"/>
      <c r="H52" s="24"/>
      <c r="I52" s="23"/>
      <c r="J52" s="23"/>
      <c r="K52" s="24"/>
      <c r="L52" s="23"/>
      <c r="M52" s="23"/>
    </row>
    <row r="53" spans="1:13" ht="14.45">
      <c r="A53" s="23"/>
      <c r="B53" s="35"/>
      <c r="C53" s="23"/>
      <c r="D53" s="23"/>
      <c r="E53" s="23"/>
      <c r="F53" s="23"/>
      <c r="G53" s="23"/>
      <c r="H53" s="24"/>
      <c r="I53" s="23"/>
      <c r="J53" s="23"/>
      <c r="K53" s="24"/>
      <c r="L53" s="23"/>
      <c r="M53" s="23"/>
    </row>
    <row r="54" spans="1:13" ht="14.45">
      <c r="A54" s="23"/>
      <c r="B54" s="35"/>
      <c r="C54" s="23"/>
      <c r="D54" s="23"/>
      <c r="E54" s="23"/>
      <c r="F54" s="23"/>
      <c r="G54" s="23"/>
      <c r="H54" s="24"/>
      <c r="I54" s="23"/>
      <c r="J54" s="23"/>
      <c r="K54" s="24"/>
      <c r="L54" s="23"/>
      <c r="M54" s="23"/>
    </row>
    <row r="55" spans="1:13" ht="14.45">
      <c r="A55" s="23"/>
      <c r="B55" s="35"/>
      <c r="C55" s="23"/>
      <c r="D55" s="23"/>
      <c r="E55" s="23"/>
      <c r="F55" s="23"/>
      <c r="G55" s="23"/>
      <c r="H55" s="24"/>
      <c r="I55" s="23"/>
      <c r="J55" s="23"/>
      <c r="K55" s="24"/>
      <c r="L55" s="23"/>
      <c r="M55" s="23"/>
    </row>
    <row r="56" spans="1:13" ht="14.45">
      <c r="A56" s="23"/>
      <c r="B56" s="35"/>
      <c r="C56" s="23"/>
      <c r="D56" s="23"/>
      <c r="E56" s="23"/>
      <c r="F56" s="23"/>
      <c r="G56" s="23"/>
      <c r="H56" s="24"/>
      <c r="I56" s="23"/>
      <c r="J56" s="23"/>
      <c r="K56" s="24"/>
      <c r="L56" s="23"/>
      <c r="M56" s="23"/>
    </row>
    <row r="57" spans="1:13" ht="14.45">
      <c r="A57" s="23"/>
      <c r="B57" s="35"/>
      <c r="C57" s="23"/>
      <c r="D57" s="23"/>
      <c r="E57" s="23"/>
      <c r="F57" s="23"/>
      <c r="G57" s="23"/>
      <c r="H57" s="24"/>
      <c r="I57" s="23"/>
      <c r="J57" s="23"/>
      <c r="K57" s="24"/>
      <c r="L57" s="23"/>
      <c r="M57" s="23"/>
    </row>
    <row r="58" spans="1:13" ht="14.45">
      <c r="A58" s="23"/>
      <c r="B58" s="35"/>
      <c r="C58" s="23"/>
      <c r="D58" s="23"/>
      <c r="E58" s="23"/>
      <c r="F58" s="23"/>
      <c r="G58" s="23"/>
      <c r="H58" s="24"/>
      <c r="I58" s="23"/>
      <c r="J58" s="23"/>
      <c r="K58" s="24"/>
      <c r="L58" s="23"/>
      <c r="M58" s="23"/>
    </row>
    <row r="59" spans="1:13" ht="14.45">
      <c r="A59" s="23"/>
      <c r="B59" s="35"/>
      <c r="C59" s="23"/>
      <c r="D59" s="23"/>
      <c r="E59" s="23"/>
      <c r="F59" s="23"/>
      <c r="G59" s="23"/>
      <c r="H59" s="24"/>
      <c r="I59" s="23"/>
      <c r="J59" s="23"/>
      <c r="K59" s="24"/>
      <c r="L59" s="23"/>
      <c r="M59" s="23"/>
    </row>
    <row r="60" spans="1:13" ht="14.45">
      <c r="A60" s="23"/>
      <c r="B60" s="35"/>
      <c r="C60" s="23"/>
      <c r="D60" s="23"/>
      <c r="E60" s="23"/>
      <c r="F60" s="23"/>
      <c r="G60" s="23"/>
      <c r="H60" s="24"/>
      <c r="I60" s="23"/>
      <c r="J60" s="23"/>
      <c r="K60" s="24"/>
      <c r="L60" s="23"/>
      <c r="M60" s="23"/>
    </row>
    <row r="61" spans="1:13" ht="14.45">
      <c r="A61" s="23"/>
      <c r="B61" s="35"/>
      <c r="C61" s="23"/>
      <c r="D61" s="23"/>
      <c r="E61" s="23"/>
      <c r="F61" s="23"/>
      <c r="G61" s="23"/>
      <c r="H61" s="24"/>
      <c r="I61" s="23"/>
      <c r="J61" s="23"/>
      <c r="K61" s="24"/>
      <c r="L61" s="23"/>
      <c r="M61" s="23"/>
    </row>
    <row r="62" spans="1:13" ht="14.45">
      <c r="A62" s="23"/>
      <c r="B62" s="35"/>
      <c r="C62" s="23"/>
      <c r="D62" s="23"/>
      <c r="E62" s="23"/>
      <c r="F62" s="23"/>
      <c r="G62" s="23"/>
      <c r="H62" s="24"/>
      <c r="I62" s="23"/>
      <c r="J62" s="23"/>
      <c r="K62" s="24"/>
      <c r="L62" s="23"/>
      <c r="M62" s="23"/>
    </row>
    <row r="63" spans="1:13" ht="14.45">
      <c r="A63" s="23"/>
      <c r="B63" s="35"/>
      <c r="C63" s="23"/>
      <c r="D63" s="23"/>
      <c r="E63" s="23"/>
      <c r="F63" s="23"/>
      <c r="G63" s="23"/>
      <c r="H63" s="24"/>
      <c r="I63" s="23"/>
      <c r="J63" s="23"/>
      <c r="K63" s="24"/>
      <c r="L63" s="23"/>
      <c r="M63" s="23"/>
    </row>
    <row r="64" spans="1:13" ht="14.45">
      <c r="A64" s="23"/>
      <c r="B64" s="35"/>
      <c r="C64" s="23"/>
      <c r="D64" s="23"/>
      <c r="E64" s="23"/>
      <c r="F64" s="23"/>
      <c r="G64" s="23"/>
      <c r="H64" s="24"/>
      <c r="I64" s="23"/>
      <c r="J64" s="23"/>
      <c r="K64" s="24"/>
      <c r="L64" s="23"/>
      <c r="M64" s="23"/>
    </row>
    <row r="65" spans="1:13" ht="14.45">
      <c r="A65" s="23"/>
      <c r="B65" s="35"/>
      <c r="C65" s="23"/>
      <c r="D65" s="23"/>
      <c r="E65" s="23"/>
      <c r="F65" s="23"/>
      <c r="G65" s="23"/>
      <c r="H65" s="24"/>
      <c r="I65" s="23"/>
      <c r="J65" s="23"/>
      <c r="K65" s="24"/>
      <c r="L65" s="23"/>
      <c r="M65" s="23"/>
    </row>
    <row r="66" spans="1:13" ht="14.45">
      <c r="A66" s="23"/>
      <c r="B66" s="35"/>
      <c r="C66" s="23"/>
      <c r="D66" s="23"/>
      <c r="E66" s="23"/>
      <c r="F66" s="23"/>
      <c r="G66" s="23"/>
      <c r="H66" s="24"/>
      <c r="I66" s="23"/>
      <c r="J66" s="23"/>
      <c r="K66" s="24"/>
      <c r="L66" s="23"/>
      <c r="M66" s="23"/>
    </row>
    <row r="67" spans="1:13" ht="14.45">
      <c r="A67" s="23"/>
      <c r="B67" s="35"/>
      <c r="C67" s="23"/>
      <c r="D67" s="23"/>
      <c r="E67" s="23"/>
      <c r="F67" s="23"/>
      <c r="G67" s="23"/>
      <c r="H67" s="24"/>
      <c r="I67" s="23"/>
      <c r="J67" s="23"/>
      <c r="K67" s="24"/>
      <c r="L67" s="23"/>
      <c r="M67" s="23"/>
    </row>
    <row r="68" spans="1:13" ht="14.45">
      <c r="A68" s="23"/>
      <c r="B68" s="35"/>
      <c r="C68" s="23"/>
      <c r="D68" s="23"/>
      <c r="E68" s="23"/>
      <c r="F68" s="23"/>
      <c r="G68" s="23"/>
      <c r="H68" s="24"/>
      <c r="I68" s="23"/>
      <c r="J68" s="23"/>
      <c r="K68" s="24"/>
      <c r="L68" s="23"/>
      <c r="M68" s="23"/>
    </row>
    <row r="69" spans="1:13" ht="14.45">
      <c r="A69" s="23"/>
      <c r="B69" s="35"/>
      <c r="C69" s="23"/>
      <c r="D69" s="23"/>
      <c r="E69" s="23"/>
      <c r="F69" s="23"/>
      <c r="G69" s="23"/>
      <c r="H69" s="24"/>
      <c r="I69" s="23"/>
      <c r="J69" s="23"/>
      <c r="K69" s="24"/>
      <c r="L69" s="23"/>
      <c r="M69" s="23"/>
    </row>
    <row r="70" spans="1:13" ht="14.45">
      <c r="A70" s="23"/>
      <c r="B70" s="35"/>
      <c r="C70" s="23"/>
      <c r="D70" s="23"/>
      <c r="E70" s="23"/>
      <c r="F70" s="23"/>
      <c r="G70" s="23"/>
      <c r="H70" s="24"/>
      <c r="I70" s="23"/>
      <c r="J70" s="23"/>
      <c r="K70" s="24"/>
      <c r="L70" s="23"/>
      <c r="M70" s="23"/>
    </row>
    <row r="71" spans="1:13" ht="14.45">
      <c r="A71" s="23"/>
      <c r="B71" s="35"/>
      <c r="C71" s="23"/>
      <c r="D71" s="23"/>
      <c r="E71" s="23"/>
      <c r="F71" s="23"/>
      <c r="G71" s="23"/>
      <c r="H71" s="24"/>
      <c r="I71" s="23"/>
      <c r="J71" s="23"/>
      <c r="K71" s="24"/>
      <c r="L71" s="23"/>
      <c r="M71" s="23"/>
    </row>
    <row r="72" spans="1:13" ht="14.45">
      <c r="A72" s="23"/>
      <c r="B72" s="35"/>
      <c r="C72" s="23"/>
      <c r="D72" s="23"/>
      <c r="E72" s="23"/>
      <c r="F72" s="23"/>
      <c r="G72" s="23"/>
      <c r="H72" s="24"/>
      <c r="I72" s="23"/>
      <c r="J72" s="23"/>
      <c r="K72" s="24"/>
      <c r="L72" s="23"/>
      <c r="M72" s="23"/>
    </row>
    <row r="73" spans="1:13" ht="14.45">
      <c r="A73" s="23"/>
      <c r="B73" s="35"/>
      <c r="C73" s="23"/>
      <c r="D73" s="23"/>
      <c r="E73" s="23"/>
      <c r="F73" s="23"/>
      <c r="G73" s="23"/>
      <c r="H73" s="24"/>
      <c r="I73" s="23"/>
      <c r="J73" s="23"/>
      <c r="K73" s="24"/>
      <c r="L73" s="23"/>
      <c r="M73" s="23"/>
    </row>
    <row r="74" spans="1:13" ht="14.45">
      <c r="A74" s="23"/>
      <c r="B74" s="35"/>
      <c r="C74" s="23"/>
      <c r="D74" s="23"/>
      <c r="E74" s="23"/>
      <c r="F74" s="23"/>
      <c r="G74" s="23"/>
      <c r="H74" s="24"/>
      <c r="I74" s="23"/>
      <c r="J74" s="23"/>
      <c r="K74" s="24"/>
      <c r="L74" s="23"/>
      <c r="M74" s="23"/>
    </row>
    <row r="75" spans="1:13" ht="14.45">
      <c r="A75" s="23"/>
      <c r="B75" s="35"/>
      <c r="C75" s="23"/>
      <c r="D75" s="23"/>
      <c r="E75" s="23"/>
      <c r="F75" s="23"/>
      <c r="G75" s="23"/>
      <c r="H75" s="24"/>
      <c r="I75" s="23"/>
      <c r="J75" s="23"/>
      <c r="K75" s="24"/>
      <c r="L75" s="23"/>
      <c r="M75" s="23"/>
    </row>
    <row r="76" spans="1:13" ht="14.45">
      <c r="A76" s="23"/>
      <c r="B76" s="35"/>
      <c r="C76" s="23"/>
      <c r="D76" s="23"/>
      <c r="E76" s="23"/>
      <c r="F76" s="23"/>
      <c r="G76" s="23"/>
      <c r="H76" s="24"/>
      <c r="I76" s="23"/>
      <c r="J76" s="23"/>
      <c r="K76" s="24"/>
      <c r="L76" s="23"/>
      <c r="M76" s="23"/>
    </row>
    <row r="77" spans="1:13" ht="14.45">
      <c r="A77" s="23"/>
      <c r="B77" s="35"/>
      <c r="C77" s="23"/>
      <c r="D77" s="23"/>
      <c r="E77" s="23"/>
      <c r="F77" s="23"/>
      <c r="G77" s="23"/>
      <c r="H77" s="24"/>
      <c r="I77" s="23"/>
      <c r="J77" s="23"/>
      <c r="K77" s="24"/>
      <c r="L77" s="23"/>
      <c r="M77" s="23"/>
    </row>
    <row r="78" spans="1:13" ht="14.45">
      <c r="A78" s="23"/>
      <c r="B78" s="35"/>
      <c r="C78" s="23"/>
      <c r="D78" s="23"/>
      <c r="E78" s="23"/>
      <c r="F78" s="23"/>
      <c r="G78" s="23"/>
      <c r="H78" s="24"/>
      <c r="I78" s="23"/>
      <c r="J78" s="23"/>
      <c r="K78" s="24"/>
      <c r="L78" s="23"/>
      <c r="M78" s="23"/>
    </row>
    <row r="79" spans="1:13" ht="14.45">
      <c r="A79" s="23"/>
      <c r="B79" s="35"/>
      <c r="C79" s="23"/>
      <c r="D79" s="23"/>
      <c r="E79" s="23"/>
      <c r="F79" s="23"/>
      <c r="G79" s="23"/>
      <c r="H79" s="24"/>
      <c r="I79" s="23"/>
      <c r="J79" s="23"/>
      <c r="K79" s="24"/>
      <c r="L79" s="23"/>
      <c r="M79" s="23"/>
    </row>
    <row r="80" spans="1:13" ht="14.45">
      <c r="A80" s="23"/>
      <c r="B80" s="35"/>
      <c r="C80" s="23"/>
      <c r="D80" s="23"/>
      <c r="E80" s="23"/>
      <c r="F80" s="23"/>
      <c r="G80" s="23"/>
      <c r="H80" s="24"/>
      <c r="I80" s="23"/>
      <c r="J80" s="23"/>
      <c r="K80" s="24"/>
      <c r="L80" s="23"/>
      <c r="M80" s="23"/>
    </row>
    <row r="81" spans="1:13" ht="14.45">
      <c r="A81" s="23"/>
      <c r="B81" s="35"/>
      <c r="C81" s="23"/>
      <c r="D81" s="23"/>
      <c r="E81" s="23"/>
      <c r="F81" s="23"/>
      <c r="G81" s="23"/>
      <c r="H81" s="24"/>
      <c r="I81" s="23"/>
      <c r="J81" s="23"/>
      <c r="K81" s="24"/>
      <c r="L81" s="23"/>
      <c r="M81" s="23"/>
    </row>
    <row r="82" spans="1:13" ht="14.45">
      <c r="A82" s="23"/>
      <c r="B82" s="35"/>
      <c r="C82" s="23"/>
      <c r="D82" s="23"/>
      <c r="E82" s="23"/>
      <c r="F82" s="23"/>
      <c r="G82" s="23"/>
      <c r="H82" s="24"/>
      <c r="I82" s="23"/>
      <c r="J82" s="23"/>
      <c r="K82" s="24"/>
      <c r="L82" s="23"/>
      <c r="M82" s="23"/>
    </row>
    <row r="83" spans="1:13" ht="14.45">
      <c r="A83" s="23"/>
      <c r="B83" s="35"/>
      <c r="C83" s="23"/>
      <c r="D83" s="23"/>
      <c r="E83" s="23"/>
      <c r="F83" s="23"/>
      <c r="G83" s="23"/>
      <c r="H83" s="24"/>
      <c r="I83" s="23"/>
      <c r="J83" s="23"/>
      <c r="K83" s="24"/>
      <c r="L83" s="23"/>
      <c r="M83" s="23"/>
    </row>
    <row r="84" spans="1:13" ht="14.45">
      <c r="A84" s="23"/>
      <c r="B84" s="35"/>
      <c r="C84" s="23"/>
      <c r="D84" s="23"/>
      <c r="E84" s="23"/>
      <c r="F84" s="23"/>
      <c r="G84" s="23"/>
      <c r="H84" s="24"/>
      <c r="I84" s="23"/>
      <c r="J84" s="23"/>
      <c r="K84" s="24"/>
      <c r="L84" s="23"/>
      <c r="M84" s="23"/>
    </row>
    <row r="85" spans="1:13" ht="14.45">
      <c r="A85" s="23"/>
      <c r="B85" s="35"/>
      <c r="C85" s="23"/>
      <c r="D85" s="23"/>
      <c r="E85" s="23"/>
      <c r="F85" s="23"/>
      <c r="G85" s="23"/>
      <c r="H85" s="24"/>
      <c r="I85" s="23"/>
      <c r="J85" s="23"/>
      <c r="K85" s="24"/>
      <c r="L85" s="23"/>
      <c r="M85" s="23"/>
    </row>
    <row r="86" spans="1:13" ht="14.45">
      <c r="A86" s="23"/>
      <c r="B86" s="35"/>
      <c r="C86" s="23"/>
      <c r="D86" s="23"/>
      <c r="E86" s="23"/>
      <c r="F86" s="23"/>
      <c r="G86" s="23"/>
      <c r="H86" s="24"/>
      <c r="I86" s="23"/>
      <c r="J86" s="23"/>
      <c r="K86" s="24"/>
      <c r="L86" s="23"/>
      <c r="M86" s="23"/>
    </row>
    <row r="87" spans="1:13" ht="14.45">
      <c r="A87" s="23"/>
      <c r="B87" s="35"/>
      <c r="C87" s="23"/>
      <c r="D87" s="23"/>
      <c r="E87" s="23"/>
      <c r="F87" s="23"/>
      <c r="G87" s="23"/>
      <c r="H87" s="24"/>
      <c r="I87" s="23"/>
      <c r="J87" s="23"/>
      <c r="K87" s="24"/>
      <c r="L87" s="23"/>
      <c r="M87" s="23"/>
    </row>
    <row r="88" spans="1:13" ht="14.45">
      <c r="A88" s="23"/>
      <c r="B88" s="35"/>
      <c r="C88" s="23"/>
      <c r="D88" s="23"/>
      <c r="E88" s="23"/>
      <c r="F88" s="23"/>
      <c r="G88" s="23"/>
      <c r="H88" s="24"/>
      <c r="I88" s="23"/>
      <c r="J88" s="23"/>
      <c r="K88" s="24"/>
      <c r="L88" s="23"/>
      <c r="M88" s="23"/>
    </row>
    <row r="89" spans="1:13" ht="14.45">
      <c r="A89" s="23"/>
      <c r="B89" s="35"/>
      <c r="C89" s="23"/>
      <c r="D89" s="23"/>
      <c r="E89" s="23"/>
      <c r="F89" s="23"/>
      <c r="G89" s="23"/>
      <c r="H89" s="24"/>
      <c r="I89" s="23"/>
      <c r="J89" s="23"/>
      <c r="K89" s="24"/>
      <c r="L89" s="23"/>
      <c r="M89" s="23"/>
    </row>
    <row r="90" spans="1:13" ht="14.45">
      <c r="A90" s="23"/>
      <c r="B90" s="35"/>
      <c r="C90" s="23"/>
      <c r="D90" s="23"/>
      <c r="E90" s="23"/>
      <c r="F90" s="23"/>
      <c r="G90" s="23"/>
      <c r="H90" s="24"/>
      <c r="I90" s="23"/>
      <c r="J90" s="23"/>
      <c r="K90" s="24"/>
      <c r="L90" s="23"/>
      <c r="M90" s="23"/>
    </row>
    <row r="91" spans="1:13" ht="14.45">
      <c r="A91" s="23"/>
      <c r="B91" s="35"/>
      <c r="C91" s="23"/>
      <c r="D91" s="23"/>
      <c r="E91" s="23"/>
      <c r="F91" s="23"/>
      <c r="G91" s="23"/>
      <c r="H91" s="24"/>
      <c r="I91" s="23"/>
      <c r="J91" s="23"/>
      <c r="K91" s="24"/>
      <c r="L91" s="23"/>
      <c r="M91" s="23"/>
    </row>
    <row r="92" spans="1:13" ht="14.45">
      <c r="A92" s="23"/>
      <c r="B92" s="35"/>
      <c r="C92" s="23"/>
      <c r="D92" s="23"/>
      <c r="E92" s="23"/>
      <c r="F92" s="23"/>
      <c r="G92" s="23"/>
      <c r="H92" s="24"/>
      <c r="I92" s="23"/>
      <c r="J92" s="23"/>
      <c r="K92" s="24"/>
      <c r="L92" s="23"/>
      <c r="M92" s="23"/>
    </row>
    <row r="93" spans="1:13" ht="14.45">
      <c r="A93" s="23"/>
      <c r="B93" s="35"/>
      <c r="C93" s="23"/>
      <c r="D93" s="23"/>
      <c r="E93" s="23"/>
      <c r="F93" s="23"/>
      <c r="G93" s="23"/>
      <c r="H93" s="24"/>
      <c r="I93" s="23"/>
      <c r="J93" s="23"/>
      <c r="K93" s="24"/>
      <c r="L93" s="23"/>
      <c r="M93" s="23"/>
    </row>
    <row r="94" spans="1:13" ht="14.45">
      <c r="A94" s="23"/>
      <c r="B94" s="35"/>
      <c r="C94" s="23"/>
      <c r="D94" s="23"/>
      <c r="E94" s="23"/>
      <c r="F94" s="23"/>
      <c r="G94" s="23"/>
      <c r="H94" s="24"/>
      <c r="I94" s="23"/>
      <c r="J94" s="23"/>
      <c r="K94" s="24"/>
      <c r="L94" s="23"/>
      <c r="M94" s="23"/>
    </row>
    <row r="95" spans="1:13" ht="14.45">
      <c r="A95" s="23"/>
      <c r="B95" s="35"/>
      <c r="C95" s="23"/>
      <c r="D95" s="23"/>
      <c r="E95" s="23"/>
      <c r="F95" s="23"/>
      <c r="G95" s="23"/>
      <c r="H95" s="24"/>
      <c r="I95" s="23"/>
      <c r="J95" s="23"/>
      <c r="K95" s="24"/>
      <c r="L95" s="23"/>
      <c r="M95" s="23"/>
    </row>
    <row r="96" spans="1:13" ht="14.45">
      <c r="A96" s="23"/>
      <c r="B96" s="35"/>
      <c r="C96" s="23"/>
      <c r="D96" s="23"/>
      <c r="E96" s="23"/>
      <c r="F96" s="23"/>
      <c r="G96" s="23"/>
      <c r="H96" s="24"/>
      <c r="I96" s="23"/>
      <c r="J96" s="23"/>
      <c r="K96" s="24"/>
      <c r="L96" s="23"/>
      <c r="M96" s="23"/>
    </row>
    <row r="97" spans="1:13" ht="14.45">
      <c r="A97" s="23"/>
      <c r="B97" s="35"/>
      <c r="C97" s="23"/>
      <c r="D97" s="23"/>
      <c r="E97" s="23"/>
      <c r="F97" s="23"/>
      <c r="G97" s="23"/>
      <c r="H97" s="24"/>
      <c r="I97" s="23"/>
      <c r="J97" s="23"/>
      <c r="K97" s="24"/>
      <c r="L97" s="23"/>
      <c r="M97" s="23"/>
    </row>
    <row r="98" spans="1:13" ht="14.45">
      <c r="A98" s="23"/>
      <c r="B98" s="35"/>
      <c r="C98" s="23"/>
      <c r="D98" s="23"/>
      <c r="E98" s="23"/>
      <c r="F98" s="23"/>
      <c r="G98" s="23"/>
      <c r="H98" s="24"/>
      <c r="I98" s="23"/>
      <c r="J98" s="23"/>
      <c r="K98" s="24"/>
      <c r="L98" s="23"/>
      <c r="M98" s="23"/>
    </row>
    <row r="99" spans="1:13" ht="14.45">
      <c r="A99" s="23"/>
      <c r="B99" s="35"/>
      <c r="C99" s="23"/>
      <c r="D99" s="23"/>
      <c r="E99" s="23"/>
      <c r="F99" s="23"/>
      <c r="G99" s="23"/>
      <c r="H99" s="24"/>
      <c r="I99" s="23"/>
      <c r="J99" s="23"/>
      <c r="K99" s="24"/>
      <c r="L99" s="23"/>
      <c r="M99" s="23"/>
    </row>
    <row r="100" spans="1:13" ht="14.45">
      <c r="A100" s="23"/>
      <c r="B100" s="35"/>
      <c r="C100" s="23"/>
      <c r="D100" s="23"/>
      <c r="E100" s="23"/>
      <c r="F100" s="23"/>
      <c r="G100" s="23"/>
      <c r="H100" s="24"/>
      <c r="I100" s="23"/>
      <c r="J100" s="23"/>
      <c r="K100" s="24"/>
      <c r="L100" s="23"/>
      <c r="M100" s="23"/>
    </row>
    <row r="101" spans="1:13" ht="14.45">
      <c r="A101" s="23"/>
      <c r="B101" s="35"/>
      <c r="C101" s="23"/>
      <c r="D101" s="23"/>
      <c r="E101" s="23"/>
      <c r="F101" s="23"/>
      <c r="G101" s="23"/>
      <c r="H101" s="24"/>
      <c r="I101" s="23"/>
      <c r="J101" s="23"/>
      <c r="K101" s="24"/>
      <c r="L101" s="23"/>
      <c r="M101" s="23"/>
    </row>
    <row r="102" spans="1:13" ht="14.45">
      <c r="A102" s="23"/>
      <c r="B102" s="35"/>
      <c r="C102" s="23"/>
      <c r="D102" s="23"/>
      <c r="E102" s="23"/>
      <c r="F102" s="23"/>
      <c r="G102" s="23"/>
      <c r="H102" s="24"/>
      <c r="I102" s="23"/>
      <c r="J102" s="23"/>
      <c r="K102" s="24"/>
      <c r="L102" s="23"/>
      <c r="M102" s="23"/>
    </row>
    <row r="103" spans="1:13" ht="14.45">
      <c r="A103" s="23"/>
      <c r="B103" s="35"/>
      <c r="C103" s="23"/>
      <c r="D103" s="23"/>
      <c r="E103" s="23"/>
      <c r="F103" s="23"/>
      <c r="G103" s="23"/>
      <c r="H103" s="24"/>
      <c r="I103" s="23"/>
      <c r="J103" s="23"/>
      <c r="K103" s="24"/>
      <c r="L103" s="23"/>
      <c r="M103" s="23"/>
    </row>
    <row r="104" spans="1:13" ht="14.45">
      <c r="A104" s="23"/>
      <c r="B104" s="35"/>
      <c r="C104" s="23"/>
      <c r="D104" s="23"/>
      <c r="E104" s="23"/>
      <c r="F104" s="23"/>
      <c r="G104" s="23"/>
      <c r="H104" s="24"/>
      <c r="I104" s="23"/>
      <c r="J104" s="23"/>
      <c r="K104" s="24"/>
      <c r="L104" s="23"/>
      <c r="M104" s="23"/>
    </row>
    <row r="105" spans="1:13" ht="14.45">
      <c r="A105" s="23"/>
      <c r="B105" s="35"/>
      <c r="C105" s="23"/>
      <c r="D105" s="23"/>
      <c r="E105" s="23"/>
      <c r="F105" s="23"/>
      <c r="G105" s="23"/>
      <c r="H105" s="24"/>
      <c r="I105" s="23"/>
      <c r="J105" s="23"/>
      <c r="K105" s="24"/>
      <c r="L105" s="23"/>
      <c r="M105" s="23"/>
    </row>
    <row r="106" spans="1:13" ht="14.45">
      <c r="A106" s="23"/>
      <c r="B106" s="35"/>
      <c r="C106" s="23"/>
      <c r="D106" s="23"/>
      <c r="E106" s="23"/>
      <c r="F106" s="23"/>
      <c r="G106" s="23"/>
      <c r="H106" s="24"/>
      <c r="I106" s="23"/>
      <c r="J106" s="23"/>
      <c r="K106" s="24"/>
      <c r="L106" s="23"/>
      <c r="M106" s="23"/>
    </row>
    <row r="107" spans="1:13" ht="14.45">
      <c r="A107" s="23"/>
      <c r="B107" s="35"/>
      <c r="C107" s="23"/>
      <c r="D107" s="23"/>
      <c r="E107" s="23"/>
      <c r="F107" s="23"/>
      <c r="G107" s="23"/>
      <c r="H107" s="24"/>
      <c r="I107" s="23"/>
      <c r="J107" s="23"/>
      <c r="K107" s="24"/>
      <c r="L107" s="23"/>
      <c r="M107" s="23"/>
    </row>
    <row r="108" spans="1:13" ht="14.45">
      <c r="A108" s="23"/>
      <c r="B108" s="35"/>
      <c r="C108" s="23"/>
      <c r="D108" s="23"/>
      <c r="E108" s="23"/>
      <c r="F108" s="23"/>
      <c r="G108" s="23"/>
      <c r="H108" s="24"/>
      <c r="I108" s="23"/>
      <c r="J108" s="23"/>
      <c r="K108" s="24"/>
      <c r="L108" s="23"/>
      <c r="M108" s="23"/>
    </row>
    <row r="109" spans="1:13" ht="14.45">
      <c r="A109" s="23"/>
      <c r="B109" s="35"/>
      <c r="C109" s="23"/>
      <c r="D109" s="23"/>
      <c r="E109" s="23"/>
      <c r="F109" s="23"/>
      <c r="G109" s="23"/>
      <c r="H109" s="24"/>
      <c r="I109" s="23"/>
      <c r="J109" s="23"/>
      <c r="K109" s="24"/>
      <c r="L109" s="23"/>
      <c r="M109" s="23"/>
    </row>
    <row r="110" spans="1:13" ht="14.45">
      <c r="A110" s="23"/>
      <c r="B110" s="35"/>
      <c r="C110" s="23"/>
      <c r="D110" s="23"/>
      <c r="E110" s="23"/>
      <c r="F110" s="23"/>
      <c r="G110" s="23"/>
      <c r="H110" s="24"/>
      <c r="I110" s="23"/>
      <c r="J110" s="23"/>
      <c r="K110" s="24"/>
      <c r="L110" s="23"/>
      <c r="M110" s="23"/>
    </row>
    <row r="111" spans="1:13" ht="14.45">
      <c r="A111" s="23"/>
      <c r="B111" s="35"/>
      <c r="C111" s="23"/>
      <c r="D111" s="23"/>
      <c r="E111" s="23"/>
      <c r="F111" s="23"/>
      <c r="G111" s="23"/>
      <c r="H111" s="24"/>
      <c r="I111" s="23"/>
      <c r="J111" s="23"/>
      <c r="K111" s="24"/>
      <c r="L111" s="23"/>
      <c r="M111" s="23"/>
    </row>
    <row r="112" spans="1:13" ht="14.45">
      <c r="A112" s="23"/>
      <c r="B112" s="35"/>
      <c r="C112" s="23"/>
      <c r="D112" s="23"/>
      <c r="E112" s="23"/>
      <c r="F112" s="23"/>
      <c r="G112" s="23"/>
      <c r="H112" s="24"/>
      <c r="I112" s="23"/>
      <c r="J112" s="23"/>
      <c r="K112" s="24"/>
      <c r="L112" s="23"/>
      <c r="M112" s="23"/>
    </row>
    <row r="113" spans="1:13" ht="14.45">
      <c r="A113" s="23"/>
      <c r="B113" s="35"/>
      <c r="C113" s="23"/>
      <c r="D113" s="23"/>
      <c r="E113" s="23"/>
      <c r="F113" s="23"/>
      <c r="G113" s="23"/>
      <c r="H113" s="24"/>
      <c r="I113" s="23"/>
      <c r="J113" s="23"/>
      <c r="K113" s="24"/>
      <c r="L113" s="23"/>
      <c r="M113" s="23"/>
    </row>
    <row r="114" spans="1:13" ht="14.45">
      <c r="A114" s="23"/>
      <c r="B114" s="35"/>
      <c r="C114" s="23"/>
      <c r="D114" s="23"/>
      <c r="E114" s="23"/>
      <c r="F114" s="23"/>
      <c r="G114" s="23"/>
      <c r="H114" s="24"/>
      <c r="I114" s="23"/>
      <c r="J114" s="23"/>
      <c r="K114" s="24"/>
      <c r="L114" s="23"/>
      <c r="M114" s="23"/>
    </row>
    <row r="115" spans="1:13" ht="14.45">
      <c r="A115" s="23"/>
      <c r="B115" s="35"/>
      <c r="C115" s="23"/>
      <c r="D115" s="23"/>
      <c r="E115" s="23"/>
      <c r="F115" s="23"/>
      <c r="G115" s="23"/>
      <c r="H115" s="24"/>
      <c r="I115" s="23"/>
      <c r="J115" s="23"/>
      <c r="K115" s="24"/>
      <c r="L115" s="23"/>
      <c r="M115" s="23"/>
    </row>
    <row r="116" spans="1:13" ht="14.45">
      <c r="A116" s="23"/>
      <c r="B116" s="35"/>
      <c r="C116" s="23"/>
      <c r="D116" s="23"/>
      <c r="E116" s="23"/>
      <c r="F116" s="23"/>
      <c r="G116" s="23"/>
      <c r="H116" s="24"/>
      <c r="I116" s="23"/>
      <c r="J116" s="23"/>
      <c r="K116" s="24"/>
      <c r="L116" s="23"/>
      <c r="M116" s="23"/>
    </row>
    <row r="117" spans="1:13" ht="14.45">
      <c r="A117" s="23"/>
      <c r="B117" s="35"/>
      <c r="C117" s="23"/>
      <c r="D117" s="23"/>
      <c r="E117" s="23"/>
      <c r="F117" s="23"/>
      <c r="G117" s="23"/>
      <c r="H117" s="24"/>
      <c r="I117" s="23"/>
      <c r="J117" s="23"/>
      <c r="K117" s="24"/>
      <c r="L117" s="23"/>
      <c r="M117" s="23"/>
    </row>
    <row r="118" spans="1:13" ht="14.45">
      <c r="A118" s="23"/>
      <c r="B118" s="35"/>
      <c r="C118" s="23"/>
      <c r="D118" s="23"/>
      <c r="E118" s="23"/>
      <c r="F118" s="23"/>
      <c r="G118" s="23"/>
      <c r="H118" s="24"/>
      <c r="I118" s="23"/>
      <c r="J118" s="23"/>
      <c r="K118" s="24"/>
      <c r="L118" s="23"/>
      <c r="M118" s="23"/>
    </row>
    <row r="119" spans="1:13" ht="14.45">
      <c r="A119" s="23"/>
      <c r="B119" s="35"/>
      <c r="C119" s="23"/>
      <c r="D119" s="23"/>
      <c r="E119" s="23"/>
      <c r="F119" s="23"/>
      <c r="G119" s="23"/>
      <c r="H119" s="24"/>
      <c r="I119" s="23"/>
      <c r="J119" s="23"/>
      <c r="K119" s="24"/>
      <c r="L119" s="23"/>
      <c r="M119" s="23"/>
    </row>
    <row r="120" spans="1:13" ht="14.45">
      <c r="A120" s="23"/>
      <c r="B120" s="35"/>
      <c r="C120" s="23"/>
      <c r="D120" s="23"/>
      <c r="E120" s="23"/>
      <c r="F120" s="23"/>
      <c r="G120" s="23"/>
      <c r="H120" s="24"/>
      <c r="I120" s="23"/>
      <c r="J120" s="23"/>
      <c r="K120" s="24"/>
      <c r="L120" s="23"/>
      <c r="M120" s="23"/>
    </row>
    <row r="121" spans="1:13" ht="14.45">
      <c r="A121" s="23"/>
      <c r="B121" s="35"/>
      <c r="C121" s="23"/>
      <c r="D121" s="23"/>
      <c r="E121" s="23"/>
      <c r="F121" s="23"/>
      <c r="G121" s="23"/>
      <c r="H121" s="24"/>
      <c r="I121" s="23"/>
      <c r="J121" s="23"/>
      <c r="K121" s="24"/>
      <c r="L121" s="23"/>
      <c r="M121" s="23"/>
    </row>
    <row r="122" spans="1:13" ht="14.45">
      <c r="A122" s="23"/>
      <c r="B122" s="35"/>
      <c r="C122" s="23"/>
      <c r="D122" s="23"/>
      <c r="E122" s="23"/>
      <c r="F122" s="23"/>
      <c r="G122" s="23"/>
      <c r="H122" s="24"/>
      <c r="I122" s="23"/>
      <c r="J122" s="23"/>
      <c r="K122" s="24"/>
      <c r="L122" s="23"/>
      <c r="M122" s="23"/>
    </row>
    <row r="123" spans="1:13" ht="14.45">
      <c r="A123" s="23"/>
      <c r="B123" s="35"/>
      <c r="C123" s="23"/>
      <c r="D123" s="23"/>
      <c r="E123" s="23"/>
      <c r="F123" s="23"/>
      <c r="G123" s="23"/>
      <c r="H123" s="24"/>
      <c r="I123" s="23"/>
      <c r="J123" s="23"/>
      <c r="K123" s="24"/>
      <c r="L123" s="23"/>
      <c r="M123" s="23"/>
    </row>
    <row r="124" spans="1:13" ht="14.45">
      <c r="A124" s="23"/>
      <c r="B124" s="35"/>
      <c r="C124" s="23"/>
      <c r="D124" s="23"/>
      <c r="E124" s="23"/>
      <c r="F124" s="23"/>
      <c r="G124" s="23"/>
      <c r="H124" s="24"/>
      <c r="I124" s="23"/>
      <c r="J124" s="23"/>
      <c r="K124" s="24"/>
      <c r="L124" s="23"/>
      <c r="M124" s="23"/>
    </row>
    <row r="125" spans="1:13" ht="14.45">
      <c r="A125" s="23"/>
      <c r="B125" s="35"/>
      <c r="C125" s="23"/>
      <c r="D125" s="23"/>
      <c r="E125" s="23"/>
      <c r="F125" s="23"/>
      <c r="G125" s="23"/>
      <c r="H125" s="24"/>
      <c r="I125" s="23"/>
      <c r="J125" s="23"/>
      <c r="K125" s="24"/>
      <c r="L125" s="23"/>
      <c r="M125" s="23"/>
    </row>
    <row r="126" spans="1:13" ht="14.45">
      <c r="A126" s="23"/>
      <c r="B126" s="35"/>
      <c r="C126" s="23"/>
      <c r="D126" s="23"/>
      <c r="E126" s="23"/>
      <c r="F126" s="23"/>
      <c r="G126" s="23"/>
      <c r="H126" s="24"/>
      <c r="I126" s="23"/>
      <c r="J126" s="23"/>
      <c r="K126" s="24"/>
      <c r="L126" s="23"/>
      <c r="M126" s="23"/>
    </row>
    <row r="127" spans="1:13" ht="14.45">
      <c r="A127" s="23"/>
      <c r="B127" s="35"/>
      <c r="C127" s="23"/>
      <c r="D127" s="23"/>
      <c r="E127" s="23"/>
      <c r="F127" s="23"/>
      <c r="G127" s="23"/>
      <c r="H127" s="24"/>
      <c r="I127" s="23"/>
      <c r="J127" s="23"/>
      <c r="K127" s="24"/>
      <c r="L127" s="23"/>
      <c r="M127" s="23"/>
    </row>
    <row r="128" spans="1:13" ht="14.45">
      <c r="A128" s="23"/>
      <c r="B128" s="35"/>
      <c r="C128" s="23"/>
      <c r="D128" s="23"/>
      <c r="E128" s="23"/>
      <c r="F128" s="23"/>
      <c r="G128" s="23"/>
      <c r="H128" s="24"/>
      <c r="I128" s="23"/>
      <c r="J128" s="23"/>
      <c r="K128" s="24"/>
      <c r="L128" s="23"/>
      <c r="M128" s="23"/>
    </row>
    <row r="129" spans="1:13" ht="14.45">
      <c r="A129" s="23"/>
      <c r="B129" s="35"/>
      <c r="C129" s="23"/>
      <c r="D129" s="23"/>
      <c r="E129" s="23"/>
      <c r="F129" s="23"/>
      <c r="G129" s="23"/>
      <c r="H129" s="24"/>
      <c r="I129" s="23"/>
      <c r="J129" s="23"/>
      <c r="K129" s="24"/>
      <c r="L129" s="23"/>
      <c r="M129" s="23"/>
    </row>
    <row r="130" spans="1:13" ht="14.45">
      <c r="A130" s="23"/>
      <c r="B130" s="35"/>
      <c r="C130" s="23"/>
      <c r="D130" s="23"/>
      <c r="E130" s="23"/>
      <c r="F130" s="23"/>
      <c r="G130" s="23"/>
      <c r="H130" s="24"/>
      <c r="I130" s="23"/>
      <c r="J130" s="23"/>
      <c r="K130" s="24"/>
      <c r="L130" s="23"/>
      <c r="M130" s="23"/>
    </row>
    <row r="131" spans="1:13" ht="14.45">
      <c r="A131" s="23"/>
      <c r="B131" s="35"/>
      <c r="C131" s="23"/>
      <c r="D131" s="23"/>
      <c r="E131" s="23"/>
      <c r="F131" s="23"/>
      <c r="G131" s="23"/>
      <c r="H131" s="24"/>
      <c r="I131" s="23"/>
      <c r="J131" s="23"/>
      <c r="K131" s="24"/>
      <c r="L131" s="23"/>
      <c r="M131" s="23"/>
    </row>
    <row r="132" spans="1:13" ht="14.45">
      <c r="A132" s="23"/>
      <c r="B132" s="35"/>
      <c r="C132" s="23"/>
      <c r="D132" s="23"/>
      <c r="E132" s="23"/>
      <c r="F132" s="23"/>
      <c r="G132" s="23"/>
      <c r="H132" s="24"/>
      <c r="I132" s="23"/>
      <c r="J132" s="23"/>
      <c r="K132" s="24"/>
      <c r="L132" s="23"/>
      <c r="M132" s="23"/>
    </row>
    <row r="133" spans="1:13" ht="14.45">
      <c r="A133" s="23"/>
      <c r="B133" s="35"/>
      <c r="C133" s="23"/>
      <c r="D133" s="23"/>
      <c r="E133" s="23"/>
      <c r="F133" s="23"/>
      <c r="G133" s="23"/>
      <c r="H133" s="24"/>
      <c r="I133" s="23"/>
      <c r="J133" s="23"/>
      <c r="K133" s="24"/>
      <c r="L133" s="23"/>
      <c r="M133" s="23"/>
    </row>
    <row r="134" spans="1:13" ht="14.45">
      <c r="A134" s="23"/>
      <c r="B134" s="35"/>
      <c r="C134" s="23"/>
      <c r="D134" s="23"/>
      <c r="E134" s="23"/>
      <c r="F134" s="23"/>
      <c r="G134" s="23"/>
      <c r="H134" s="24"/>
      <c r="I134" s="23"/>
      <c r="J134" s="23"/>
      <c r="K134" s="24"/>
      <c r="L134" s="23"/>
      <c r="M134" s="23"/>
    </row>
    <row r="135" spans="1:13" ht="14.45">
      <c r="A135" s="23"/>
      <c r="B135" s="35"/>
      <c r="C135" s="23"/>
      <c r="D135" s="23"/>
      <c r="E135" s="23"/>
      <c r="F135" s="23"/>
      <c r="G135" s="23"/>
      <c r="H135" s="24"/>
      <c r="I135" s="23"/>
      <c r="J135" s="23"/>
      <c r="K135" s="24"/>
      <c r="L135" s="23"/>
      <c r="M135" s="23"/>
    </row>
    <row r="136" spans="1:13" ht="14.45">
      <c r="A136" s="23"/>
      <c r="B136" s="35"/>
      <c r="C136" s="23"/>
      <c r="D136" s="23"/>
      <c r="E136" s="23"/>
      <c r="F136" s="23"/>
      <c r="G136" s="23"/>
      <c r="H136" s="24"/>
      <c r="I136" s="23"/>
      <c r="J136" s="23"/>
      <c r="K136" s="24"/>
      <c r="L136" s="23"/>
      <c r="M136" s="23"/>
    </row>
    <row r="137" spans="1:13" ht="14.45">
      <c r="A137" s="23"/>
      <c r="B137" s="35"/>
      <c r="C137" s="23"/>
      <c r="D137" s="23"/>
      <c r="E137" s="23"/>
      <c r="F137" s="23"/>
      <c r="G137" s="23"/>
      <c r="H137" s="24"/>
      <c r="I137" s="23"/>
      <c r="J137" s="23"/>
      <c r="K137" s="24"/>
      <c r="L137" s="23"/>
      <c r="M137" s="23"/>
    </row>
    <row r="138" spans="1:13" ht="14.45">
      <c r="A138" s="23"/>
      <c r="B138" s="35"/>
      <c r="C138" s="23"/>
      <c r="D138" s="23"/>
      <c r="E138" s="23"/>
      <c r="F138" s="23"/>
      <c r="G138" s="23"/>
      <c r="H138" s="24"/>
      <c r="I138" s="23"/>
      <c r="J138" s="23"/>
      <c r="K138" s="24"/>
      <c r="L138" s="23"/>
      <c r="M138" s="23"/>
    </row>
    <row r="139" spans="1:13" ht="14.45">
      <c r="A139" s="23"/>
      <c r="B139" s="35"/>
      <c r="C139" s="23"/>
      <c r="D139" s="23"/>
      <c r="E139" s="23"/>
      <c r="F139" s="23"/>
      <c r="G139" s="23"/>
      <c r="H139" s="24"/>
      <c r="I139" s="23"/>
      <c r="J139" s="23"/>
      <c r="K139" s="24"/>
      <c r="L139" s="23"/>
      <c r="M139" s="23"/>
    </row>
    <row r="140" spans="1:13" ht="14.45">
      <c r="A140" s="23"/>
      <c r="B140" s="35"/>
      <c r="C140" s="23"/>
      <c r="D140" s="23"/>
      <c r="E140" s="23"/>
      <c r="F140" s="23"/>
      <c r="G140" s="23"/>
      <c r="H140" s="24"/>
      <c r="I140" s="23"/>
      <c r="J140" s="23"/>
      <c r="K140" s="24"/>
      <c r="L140" s="23"/>
      <c r="M140" s="23"/>
    </row>
    <row r="141" spans="1:13" ht="14.45">
      <c r="A141" s="23"/>
      <c r="B141" s="35"/>
      <c r="C141" s="23"/>
      <c r="D141" s="23"/>
      <c r="E141" s="23"/>
      <c r="F141" s="23"/>
      <c r="G141" s="23"/>
      <c r="H141" s="24"/>
      <c r="I141" s="23"/>
      <c r="J141" s="23"/>
      <c r="K141" s="24"/>
      <c r="L141" s="23"/>
      <c r="M141" s="23"/>
    </row>
    <row r="142" spans="1:13" ht="14.45">
      <c r="A142" s="23"/>
      <c r="B142" s="35"/>
      <c r="C142" s="23"/>
      <c r="D142" s="23"/>
      <c r="E142" s="23"/>
      <c r="F142" s="23"/>
      <c r="G142" s="23"/>
      <c r="H142" s="24"/>
      <c r="I142" s="23"/>
      <c r="J142" s="23"/>
      <c r="K142" s="24"/>
      <c r="L142" s="23"/>
      <c r="M142" s="23"/>
    </row>
    <row r="143" spans="1:13" ht="14.45">
      <c r="A143" s="23"/>
      <c r="B143" s="35"/>
      <c r="C143" s="23"/>
      <c r="D143" s="23"/>
      <c r="E143" s="23"/>
      <c r="F143" s="23"/>
      <c r="G143" s="23"/>
      <c r="H143" s="24"/>
      <c r="I143" s="23"/>
      <c r="J143" s="23"/>
      <c r="K143" s="24"/>
      <c r="L143" s="23"/>
      <c r="M143" s="23"/>
    </row>
    <row r="144" spans="1:13" ht="14.45">
      <c r="A144" s="23"/>
      <c r="B144" s="35"/>
      <c r="C144" s="23"/>
      <c r="D144" s="23"/>
      <c r="E144" s="23"/>
      <c r="F144" s="23"/>
      <c r="G144" s="23"/>
      <c r="H144" s="24"/>
      <c r="I144" s="23"/>
      <c r="J144" s="23"/>
      <c r="K144" s="24"/>
      <c r="L144" s="23"/>
      <c r="M144" s="23"/>
    </row>
    <row r="145" spans="1:13" ht="14.45">
      <c r="A145" s="23"/>
      <c r="B145" s="35"/>
      <c r="C145" s="23"/>
      <c r="D145" s="23"/>
      <c r="E145" s="23"/>
      <c r="F145" s="23"/>
      <c r="G145" s="23"/>
      <c r="H145" s="24"/>
      <c r="I145" s="23"/>
      <c r="J145" s="23"/>
      <c r="K145" s="24"/>
      <c r="L145" s="23"/>
      <c r="M145" s="23"/>
    </row>
    <row r="146" spans="1:13" ht="14.45">
      <c r="A146" s="23"/>
      <c r="B146" s="35"/>
      <c r="C146" s="23"/>
      <c r="D146" s="23"/>
      <c r="E146" s="23"/>
      <c r="F146" s="23"/>
      <c r="G146" s="23"/>
      <c r="H146" s="24"/>
      <c r="I146" s="23"/>
      <c r="J146" s="23"/>
      <c r="K146" s="24"/>
      <c r="L146" s="23"/>
      <c r="M146" s="23"/>
    </row>
    <row r="147" spans="1:13" ht="14.45">
      <c r="A147" s="23"/>
      <c r="B147" s="35"/>
      <c r="C147" s="23"/>
      <c r="D147" s="23"/>
      <c r="E147" s="23"/>
      <c r="F147" s="23"/>
      <c r="G147" s="23"/>
      <c r="H147" s="24"/>
      <c r="I147" s="23"/>
      <c r="J147" s="23"/>
      <c r="K147" s="24"/>
      <c r="L147" s="23"/>
      <c r="M147" s="23"/>
    </row>
    <row r="148" spans="1:13" ht="14.45">
      <c r="A148" s="23"/>
      <c r="B148" s="35"/>
      <c r="C148" s="23"/>
      <c r="D148" s="23"/>
      <c r="E148" s="23"/>
      <c r="F148" s="23"/>
      <c r="G148" s="23"/>
      <c r="H148" s="24"/>
      <c r="I148" s="23"/>
      <c r="J148" s="23"/>
      <c r="K148" s="24"/>
      <c r="L148" s="23"/>
      <c r="M148" s="23"/>
    </row>
    <row r="149" spans="1:13" ht="14.45">
      <c r="A149" s="23"/>
      <c r="B149" s="35"/>
      <c r="C149" s="23"/>
      <c r="D149" s="23"/>
      <c r="E149" s="23"/>
      <c r="F149" s="23"/>
      <c r="G149" s="23"/>
      <c r="H149" s="24"/>
      <c r="I149" s="23"/>
      <c r="J149" s="23"/>
      <c r="K149" s="24"/>
      <c r="L149" s="23"/>
      <c r="M149" s="23"/>
    </row>
    <row r="150" spans="1:13" ht="14.45">
      <c r="A150" s="23"/>
      <c r="B150" s="35"/>
      <c r="C150" s="23"/>
      <c r="D150" s="23"/>
      <c r="E150" s="23"/>
      <c r="F150" s="23"/>
      <c r="G150" s="23"/>
      <c r="H150" s="24"/>
      <c r="I150" s="23"/>
      <c r="J150" s="23"/>
      <c r="K150" s="24"/>
      <c r="L150" s="23"/>
      <c r="M150" s="23"/>
    </row>
    <row r="151" spans="1:13" ht="14.45">
      <c r="A151" s="23"/>
      <c r="B151" s="35"/>
      <c r="C151" s="23"/>
      <c r="D151" s="23"/>
      <c r="E151" s="23"/>
      <c r="F151" s="23"/>
      <c r="G151" s="23"/>
      <c r="H151" s="24"/>
      <c r="I151" s="23"/>
      <c r="J151" s="23"/>
      <c r="K151" s="24"/>
      <c r="L151" s="23"/>
      <c r="M151" s="23"/>
    </row>
    <row r="152" spans="1:13" ht="14.45">
      <c r="A152" s="23"/>
      <c r="B152" s="35"/>
      <c r="C152" s="23"/>
      <c r="D152" s="23"/>
      <c r="E152" s="23"/>
      <c r="F152" s="23"/>
      <c r="G152" s="23"/>
      <c r="H152" s="24"/>
      <c r="I152" s="23"/>
      <c r="J152" s="23"/>
      <c r="K152" s="24"/>
      <c r="L152" s="23"/>
      <c r="M152" s="23"/>
    </row>
    <row r="153" spans="1:13" ht="14.45">
      <c r="A153" s="23"/>
      <c r="B153" s="35"/>
      <c r="C153" s="23"/>
      <c r="D153" s="23"/>
      <c r="E153" s="23"/>
      <c r="F153" s="23"/>
      <c r="G153" s="23"/>
      <c r="H153" s="24"/>
      <c r="I153" s="23"/>
      <c r="J153" s="23"/>
      <c r="K153" s="24"/>
      <c r="L153" s="23"/>
      <c r="M153" s="23"/>
    </row>
    <row r="154" spans="1:13" ht="14.45">
      <c r="A154" s="23"/>
      <c r="B154" s="35"/>
      <c r="C154" s="23"/>
      <c r="D154" s="23"/>
      <c r="E154" s="23"/>
      <c r="F154" s="23"/>
      <c r="G154" s="23"/>
      <c r="H154" s="24"/>
      <c r="I154" s="23"/>
      <c r="J154" s="23"/>
      <c r="K154" s="24"/>
      <c r="L154" s="23"/>
      <c r="M154" s="23"/>
    </row>
    <row r="155" spans="1:13" ht="14.45">
      <c r="A155" s="23"/>
      <c r="B155" s="35"/>
      <c r="C155" s="23"/>
      <c r="D155" s="23"/>
      <c r="E155" s="23"/>
      <c r="F155" s="23"/>
      <c r="G155" s="23"/>
      <c r="H155" s="24"/>
      <c r="I155" s="23"/>
      <c r="J155" s="23"/>
      <c r="K155" s="24"/>
      <c r="L155" s="23"/>
      <c r="M155" s="23"/>
    </row>
    <row r="156" spans="1:13" ht="14.45">
      <c r="A156" s="23"/>
      <c r="B156" s="35"/>
      <c r="C156" s="23"/>
      <c r="D156" s="23"/>
      <c r="E156" s="23"/>
      <c r="F156" s="23"/>
      <c r="G156" s="23"/>
      <c r="H156" s="24"/>
      <c r="I156" s="23"/>
      <c r="J156" s="23"/>
      <c r="K156" s="24"/>
      <c r="L156" s="23"/>
      <c r="M156" s="23"/>
    </row>
    <row r="157" spans="1:13" ht="14.45">
      <c r="A157" s="23"/>
      <c r="B157" s="35"/>
      <c r="C157" s="23"/>
      <c r="D157" s="23"/>
      <c r="E157" s="23"/>
      <c r="F157" s="23"/>
      <c r="G157" s="23"/>
      <c r="H157" s="24"/>
      <c r="I157" s="23"/>
      <c r="J157" s="23"/>
      <c r="K157" s="24"/>
      <c r="L157" s="23"/>
      <c r="M157" s="23"/>
    </row>
    <row r="158" spans="1:13" ht="14.45">
      <c r="A158" s="23"/>
      <c r="B158" s="35"/>
      <c r="C158" s="23"/>
      <c r="D158" s="23"/>
      <c r="E158" s="23"/>
      <c r="F158" s="23"/>
      <c r="G158" s="23"/>
      <c r="H158" s="24"/>
      <c r="I158" s="23"/>
      <c r="J158" s="23"/>
      <c r="K158" s="24"/>
      <c r="L158" s="23"/>
      <c r="M158" s="23"/>
    </row>
    <row r="159" spans="1:13" ht="14.45">
      <c r="A159" s="23"/>
      <c r="B159" s="35"/>
      <c r="C159" s="23"/>
      <c r="D159" s="23"/>
      <c r="E159" s="23"/>
      <c r="F159" s="23"/>
      <c r="G159" s="23"/>
      <c r="H159" s="24"/>
      <c r="I159" s="23"/>
      <c r="J159" s="23"/>
      <c r="K159" s="24"/>
      <c r="L159" s="23"/>
      <c r="M159" s="23"/>
    </row>
    <row r="160" spans="1:13" ht="14.45">
      <c r="A160" s="23"/>
      <c r="B160" s="35"/>
      <c r="C160" s="23"/>
      <c r="D160" s="23"/>
      <c r="E160" s="23"/>
      <c r="F160" s="23"/>
      <c r="G160" s="23"/>
      <c r="H160" s="24"/>
      <c r="I160" s="23"/>
      <c r="J160" s="23"/>
      <c r="K160" s="24"/>
      <c r="L160" s="23"/>
      <c r="M160" s="23"/>
    </row>
    <row r="161" spans="1:13" ht="14.45">
      <c r="A161" s="23"/>
      <c r="B161" s="35"/>
      <c r="C161" s="23"/>
      <c r="D161" s="23"/>
      <c r="E161" s="23"/>
      <c r="F161" s="23"/>
      <c r="G161" s="23"/>
      <c r="H161" s="24"/>
      <c r="I161" s="23"/>
      <c r="J161" s="23"/>
      <c r="K161" s="24"/>
      <c r="L161" s="23"/>
      <c r="M161" s="23"/>
    </row>
    <row r="162" spans="1:13" ht="14.45">
      <c r="A162" s="23"/>
      <c r="B162" s="35"/>
      <c r="C162" s="23"/>
      <c r="D162" s="23"/>
      <c r="E162" s="23"/>
      <c r="F162" s="23"/>
      <c r="G162" s="23"/>
      <c r="H162" s="24"/>
      <c r="I162" s="23"/>
      <c r="J162" s="23"/>
      <c r="K162" s="24"/>
      <c r="L162" s="23"/>
      <c r="M162" s="23"/>
    </row>
    <row r="163" spans="1:13" ht="14.45">
      <c r="A163" s="23"/>
      <c r="B163" s="35"/>
      <c r="C163" s="23"/>
      <c r="D163" s="23"/>
      <c r="E163" s="23"/>
      <c r="F163" s="23"/>
      <c r="G163" s="23"/>
      <c r="H163" s="24"/>
      <c r="I163" s="23"/>
      <c r="J163" s="23"/>
      <c r="K163" s="24"/>
      <c r="L163" s="23"/>
      <c r="M163" s="23"/>
    </row>
    <row r="164" spans="1:13" ht="14.45">
      <c r="A164" s="23"/>
      <c r="B164" s="35"/>
      <c r="C164" s="23"/>
      <c r="D164" s="23"/>
      <c r="E164" s="23"/>
      <c r="F164" s="23"/>
      <c r="G164" s="23"/>
      <c r="H164" s="24"/>
      <c r="I164" s="23"/>
      <c r="J164" s="23"/>
      <c r="K164" s="24"/>
      <c r="L164" s="23"/>
      <c r="M164" s="23"/>
    </row>
    <row r="165" spans="1:13" ht="14.45">
      <c r="A165" s="23"/>
      <c r="B165" s="35"/>
      <c r="C165" s="23"/>
      <c r="D165" s="23"/>
      <c r="E165" s="23"/>
      <c r="F165" s="23"/>
      <c r="G165" s="23"/>
      <c r="H165" s="24"/>
      <c r="I165" s="23"/>
      <c r="J165" s="23"/>
      <c r="K165" s="24"/>
      <c r="L165" s="23"/>
      <c r="M165" s="23"/>
    </row>
    <row r="166" spans="1:13" ht="14.45">
      <c r="A166" s="23"/>
      <c r="B166" s="35"/>
      <c r="C166" s="23"/>
      <c r="D166" s="23"/>
      <c r="E166" s="23"/>
      <c r="F166" s="23"/>
      <c r="G166" s="23"/>
      <c r="H166" s="24"/>
      <c r="I166" s="23"/>
      <c r="J166" s="23"/>
      <c r="K166" s="24"/>
      <c r="L166" s="23"/>
      <c r="M166" s="23"/>
    </row>
    <row r="167" spans="1:13" ht="14.45">
      <c r="A167" s="23"/>
      <c r="B167" s="35"/>
      <c r="C167" s="23"/>
      <c r="D167" s="23"/>
      <c r="E167" s="23"/>
      <c r="F167" s="23"/>
      <c r="G167" s="23"/>
      <c r="H167" s="24"/>
      <c r="I167" s="23"/>
      <c r="J167" s="23"/>
      <c r="K167" s="24"/>
      <c r="L167" s="23"/>
      <c r="M167" s="23"/>
    </row>
    <row r="168" spans="1:13" ht="14.45">
      <c r="A168" s="23"/>
      <c r="B168" s="35"/>
      <c r="C168" s="23"/>
      <c r="D168" s="23"/>
      <c r="E168" s="23"/>
      <c r="F168" s="23"/>
      <c r="G168" s="23"/>
      <c r="H168" s="24"/>
      <c r="I168" s="23"/>
      <c r="J168" s="23"/>
      <c r="K168" s="24"/>
      <c r="L168" s="23"/>
      <c r="M168" s="23"/>
    </row>
    <row r="169" spans="1:13" ht="14.45">
      <c r="A169" s="23"/>
      <c r="B169" s="35"/>
      <c r="C169" s="23"/>
      <c r="D169" s="23"/>
      <c r="E169" s="23"/>
      <c r="F169" s="23"/>
      <c r="G169" s="23"/>
      <c r="H169" s="24"/>
      <c r="I169" s="23"/>
      <c r="J169" s="23"/>
      <c r="K169" s="24"/>
      <c r="L169" s="23"/>
      <c r="M169" s="23"/>
    </row>
    <row r="170" spans="1:13" ht="14.45">
      <c r="A170" s="23"/>
      <c r="B170" s="35"/>
      <c r="C170" s="23"/>
      <c r="D170" s="23"/>
      <c r="E170" s="23"/>
      <c r="F170" s="23"/>
      <c r="G170" s="23"/>
      <c r="H170" s="24"/>
      <c r="I170" s="23"/>
      <c r="J170" s="23"/>
      <c r="K170" s="24"/>
      <c r="L170" s="23"/>
      <c r="M170" s="23"/>
    </row>
    <row r="171" spans="1:13" ht="14.45">
      <c r="A171" s="23"/>
      <c r="B171" s="35"/>
      <c r="C171" s="23"/>
      <c r="D171" s="23"/>
      <c r="E171" s="23"/>
      <c r="F171" s="23"/>
      <c r="G171" s="23"/>
      <c r="H171" s="24"/>
      <c r="I171" s="23"/>
      <c r="J171" s="23"/>
      <c r="K171" s="24"/>
      <c r="L171" s="23"/>
      <c r="M171" s="23"/>
    </row>
    <row r="172" spans="1:13" ht="14.45">
      <c r="A172" s="23"/>
      <c r="B172" s="35"/>
      <c r="C172" s="23"/>
      <c r="D172" s="23"/>
      <c r="E172" s="23"/>
      <c r="F172" s="23"/>
      <c r="G172" s="23"/>
      <c r="H172" s="24"/>
      <c r="I172" s="23"/>
      <c r="J172" s="23"/>
      <c r="K172" s="24"/>
      <c r="L172" s="23"/>
      <c r="M172" s="23"/>
    </row>
    <row r="173" spans="1:13" ht="14.45">
      <c r="A173" s="23"/>
      <c r="B173" s="35"/>
      <c r="C173" s="23"/>
      <c r="D173" s="23"/>
      <c r="E173" s="23"/>
      <c r="F173" s="23"/>
      <c r="G173" s="23"/>
      <c r="H173" s="24"/>
      <c r="I173" s="23"/>
      <c r="J173" s="23"/>
      <c r="K173" s="24"/>
      <c r="L173" s="23"/>
      <c r="M173" s="23"/>
    </row>
    <row r="174" spans="1:13" ht="14.45">
      <c r="A174" s="23"/>
      <c r="B174" s="35"/>
      <c r="C174" s="23"/>
      <c r="D174" s="23"/>
      <c r="E174" s="23"/>
      <c r="F174" s="23"/>
      <c r="G174" s="23"/>
      <c r="H174" s="24"/>
      <c r="I174" s="23"/>
      <c r="J174" s="23"/>
      <c r="K174" s="24"/>
      <c r="L174" s="23"/>
      <c r="M174" s="23"/>
    </row>
    <row r="175" spans="1:13" ht="14.45">
      <c r="A175" s="23"/>
      <c r="B175" s="35"/>
      <c r="C175" s="23"/>
      <c r="D175" s="23"/>
      <c r="E175" s="23"/>
      <c r="F175" s="23"/>
      <c r="G175" s="23"/>
      <c r="H175" s="24"/>
      <c r="I175" s="23"/>
      <c r="J175" s="23"/>
      <c r="K175" s="24"/>
      <c r="L175" s="23"/>
      <c r="M175" s="23"/>
    </row>
    <row r="176" spans="1:13" ht="14.45">
      <c r="A176" s="23"/>
      <c r="B176" s="35"/>
      <c r="C176" s="23"/>
      <c r="D176" s="23"/>
      <c r="E176" s="23"/>
      <c r="F176" s="23"/>
      <c r="G176" s="23"/>
      <c r="H176" s="24"/>
      <c r="I176" s="23"/>
      <c r="J176" s="23"/>
      <c r="K176" s="24"/>
      <c r="L176" s="23"/>
      <c r="M176" s="23"/>
    </row>
    <row r="177" spans="1:13" ht="14.45">
      <c r="A177" s="23"/>
      <c r="B177" s="35"/>
      <c r="C177" s="23"/>
      <c r="D177" s="23"/>
      <c r="E177" s="23"/>
      <c r="F177" s="23"/>
      <c r="G177" s="23"/>
      <c r="H177" s="24"/>
      <c r="I177" s="23"/>
      <c r="J177" s="23"/>
      <c r="K177" s="24"/>
      <c r="L177" s="23"/>
      <c r="M177" s="23"/>
    </row>
    <row r="178" spans="1:13" ht="14.45">
      <c r="A178" s="23"/>
      <c r="B178" s="35"/>
      <c r="C178" s="23"/>
      <c r="D178" s="23"/>
      <c r="E178" s="23"/>
      <c r="F178" s="23"/>
      <c r="G178" s="23"/>
      <c r="H178" s="24"/>
      <c r="I178" s="23"/>
      <c r="J178" s="23"/>
      <c r="K178" s="24"/>
      <c r="L178" s="23"/>
      <c r="M178" s="23"/>
    </row>
    <row r="179" spans="1:13" ht="14.45">
      <c r="A179" s="23"/>
      <c r="B179" s="35"/>
      <c r="C179" s="23"/>
      <c r="D179" s="23"/>
      <c r="E179" s="23"/>
      <c r="F179" s="23"/>
      <c r="G179" s="23"/>
      <c r="H179" s="24"/>
      <c r="I179" s="23"/>
      <c r="J179" s="23"/>
      <c r="K179" s="24"/>
      <c r="L179" s="23"/>
      <c r="M179" s="23"/>
    </row>
    <row r="180" spans="1:13" ht="14.45">
      <c r="A180" s="23"/>
      <c r="B180" s="35"/>
      <c r="C180" s="23"/>
      <c r="D180" s="23"/>
      <c r="E180" s="23"/>
      <c r="F180" s="23"/>
      <c r="G180" s="23"/>
      <c r="H180" s="24"/>
      <c r="I180" s="23"/>
      <c r="J180" s="23"/>
      <c r="K180" s="24"/>
      <c r="L180" s="23"/>
      <c r="M180" s="23"/>
    </row>
    <row r="181" spans="1:13" ht="14.45">
      <c r="A181" s="23"/>
      <c r="B181" s="35"/>
      <c r="C181" s="23"/>
      <c r="D181" s="23"/>
      <c r="E181" s="23"/>
      <c r="F181" s="23"/>
      <c r="G181" s="23"/>
      <c r="H181" s="24"/>
      <c r="I181" s="23"/>
      <c r="J181" s="23"/>
      <c r="K181" s="24"/>
      <c r="L181" s="23"/>
      <c r="M181" s="23"/>
    </row>
    <row r="182" spans="1:13" ht="14.45">
      <c r="A182" s="23"/>
      <c r="B182" s="35"/>
      <c r="C182" s="23"/>
      <c r="D182" s="23"/>
      <c r="E182" s="23"/>
      <c r="F182" s="23"/>
      <c r="G182" s="23"/>
      <c r="H182" s="24"/>
      <c r="I182" s="23"/>
      <c r="J182" s="23"/>
      <c r="K182" s="24"/>
      <c r="L182" s="23"/>
      <c r="M182" s="23"/>
    </row>
    <row r="183" spans="1:13" ht="14.45">
      <c r="A183" s="23"/>
      <c r="B183" s="35"/>
      <c r="C183" s="23"/>
      <c r="D183" s="23"/>
      <c r="E183" s="23"/>
      <c r="F183" s="23"/>
      <c r="G183" s="23"/>
      <c r="H183" s="24"/>
      <c r="I183" s="23"/>
      <c r="J183" s="23"/>
      <c r="K183" s="24"/>
      <c r="L183" s="23"/>
      <c r="M183" s="23"/>
    </row>
    <row r="184" spans="1:13" ht="14.45">
      <c r="A184" s="23"/>
      <c r="B184" s="35"/>
      <c r="C184" s="23"/>
      <c r="D184" s="23"/>
      <c r="E184" s="23"/>
      <c r="F184" s="23"/>
      <c r="G184" s="23"/>
      <c r="H184" s="24"/>
      <c r="I184" s="23"/>
      <c r="J184" s="23"/>
      <c r="K184" s="24"/>
      <c r="L184" s="23"/>
      <c r="M184" s="23"/>
    </row>
    <row r="185" spans="1:13" ht="14.45">
      <c r="A185" s="23"/>
      <c r="B185" s="35"/>
      <c r="C185" s="23"/>
      <c r="D185" s="23"/>
      <c r="E185" s="23"/>
      <c r="F185" s="23"/>
      <c r="G185" s="23"/>
      <c r="H185" s="24"/>
      <c r="I185" s="23"/>
      <c r="J185" s="23"/>
      <c r="K185" s="24"/>
      <c r="L185" s="23"/>
      <c r="M185" s="23"/>
    </row>
    <row r="186" spans="1:13" ht="14.45">
      <c r="A186" s="23"/>
      <c r="B186" s="35"/>
      <c r="C186" s="23"/>
      <c r="D186" s="23"/>
      <c r="E186" s="23"/>
      <c r="F186" s="23"/>
      <c r="G186" s="23"/>
      <c r="H186" s="24"/>
      <c r="I186" s="23"/>
      <c r="J186" s="23"/>
      <c r="K186" s="24"/>
      <c r="L186" s="23"/>
      <c r="M186" s="23"/>
    </row>
    <row r="187" spans="1:13" ht="14.45">
      <c r="A187" s="23"/>
      <c r="B187" s="35"/>
      <c r="C187" s="23"/>
      <c r="D187" s="23"/>
      <c r="E187" s="23"/>
      <c r="F187" s="23"/>
      <c r="G187" s="23"/>
      <c r="H187" s="24"/>
      <c r="I187" s="23"/>
      <c r="J187" s="23"/>
      <c r="K187" s="24"/>
      <c r="L187" s="23"/>
      <c r="M187" s="23"/>
    </row>
    <row r="188" spans="1:13" ht="14.45">
      <c r="A188" s="23"/>
      <c r="B188" s="35"/>
      <c r="C188" s="23"/>
      <c r="D188" s="23"/>
      <c r="E188" s="23"/>
      <c r="F188" s="23"/>
      <c r="G188" s="23"/>
      <c r="H188" s="24"/>
      <c r="I188" s="23"/>
      <c r="J188" s="23"/>
      <c r="K188" s="24"/>
      <c r="L188" s="23"/>
      <c r="M188" s="23"/>
    </row>
    <row r="189" spans="1:13" ht="14.45">
      <c r="A189" s="23"/>
      <c r="B189" s="35"/>
      <c r="C189" s="23"/>
      <c r="D189" s="23"/>
      <c r="E189" s="23"/>
      <c r="F189" s="23"/>
      <c r="G189" s="23"/>
      <c r="H189" s="24"/>
      <c r="I189" s="23"/>
      <c r="J189" s="23"/>
      <c r="K189" s="24"/>
      <c r="L189" s="23"/>
      <c r="M189" s="23"/>
    </row>
    <row r="190" spans="1:13" ht="14.45">
      <c r="A190" s="23"/>
      <c r="B190" s="35"/>
      <c r="C190" s="23"/>
      <c r="D190" s="23"/>
      <c r="E190" s="23"/>
      <c r="F190" s="23"/>
      <c r="G190" s="23"/>
      <c r="H190" s="24"/>
      <c r="I190" s="23"/>
      <c r="J190" s="23"/>
      <c r="K190" s="24"/>
      <c r="L190" s="23"/>
      <c r="M190" s="23"/>
    </row>
    <row r="191" spans="1:13" ht="14.45">
      <c r="A191" s="23"/>
      <c r="B191" s="35"/>
      <c r="C191" s="23"/>
      <c r="D191" s="23"/>
      <c r="E191" s="23"/>
      <c r="F191" s="23"/>
      <c r="G191" s="23"/>
      <c r="H191" s="24"/>
      <c r="I191" s="23"/>
      <c r="J191" s="23"/>
      <c r="K191" s="24"/>
      <c r="L191" s="23"/>
      <c r="M191" s="23"/>
    </row>
    <row r="192" spans="1:13" ht="14.45">
      <c r="A192" s="23"/>
      <c r="B192" s="35"/>
      <c r="C192" s="23"/>
      <c r="D192" s="23"/>
      <c r="E192" s="23"/>
      <c r="F192" s="23"/>
      <c r="G192" s="23"/>
      <c r="H192" s="24"/>
      <c r="I192" s="23"/>
      <c r="J192" s="23"/>
      <c r="K192" s="24"/>
      <c r="L192" s="23"/>
      <c r="M192" s="23"/>
    </row>
    <row r="193" spans="1:13" ht="14.45">
      <c r="A193" s="23"/>
      <c r="B193" s="35"/>
      <c r="C193" s="23"/>
      <c r="D193" s="23"/>
      <c r="E193" s="23"/>
      <c r="F193" s="23"/>
      <c r="G193" s="23"/>
      <c r="H193" s="24"/>
      <c r="I193" s="23"/>
      <c r="J193" s="23"/>
      <c r="K193" s="24"/>
      <c r="L193" s="23"/>
      <c r="M193" s="23"/>
    </row>
    <row r="194" spans="1:13" ht="14.45">
      <c r="A194" s="23"/>
      <c r="B194" s="35"/>
      <c r="C194" s="23"/>
      <c r="D194" s="23"/>
      <c r="E194" s="23"/>
      <c r="F194" s="23"/>
      <c r="G194" s="23"/>
      <c r="H194" s="24"/>
      <c r="I194" s="23"/>
      <c r="J194" s="23"/>
      <c r="K194" s="24"/>
      <c r="L194" s="23"/>
      <c r="M194" s="23"/>
    </row>
    <row r="195" spans="1:13" ht="14.45">
      <c r="A195" s="23"/>
      <c r="B195" s="35"/>
      <c r="C195" s="23"/>
      <c r="D195" s="23"/>
      <c r="E195" s="23"/>
      <c r="F195" s="23"/>
      <c r="G195" s="23"/>
      <c r="H195" s="24"/>
      <c r="I195" s="23"/>
      <c r="J195" s="23"/>
      <c r="K195" s="24"/>
      <c r="L195" s="23"/>
      <c r="M195" s="23"/>
    </row>
    <row r="196" spans="1:13" ht="14.45">
      <c r="A196" s="23"/>
      <c r="B196" s="35"/>
      <c r="C196" s="23"/>
      <c r="D196" s="23"/>
      <c r="E196" s="23"/>
      <c r="F196" s="23"/>
      <c r="G196" s="23"/>
      <c r="H196" s="24"/>
      <c r="I196" s="23"/>
      <c r="J196" s="23"/>
      <c r="K196" s="24"/>
      <c r="L196" s="23"/>
      <c r="M196" s="23"/>
    </row>
    <row r="197" spans="1:13" ht="14.45">
      <c r="A197" s="23"/>
      <c r="B197" s="35"/>
      <c r="C197" s="23"/>
      <c r="D197" s="23"/>
      <c r="E197" s="23"/>
      <c r="F197" s="23"/>
      <c r="G197" s="23"/>
      <c r="H197" s="24"/>
      <c r="I197" s="23"/>
      <c r="J197" s="23"/>
      <c r="K197" s="24"/>
      <c r="L197" s="23"/>
      <c r="M197" s="23"/>
    </row>
    <row r="198" spans="1:13" ht="14.45">
      <c r="A198" s="23"/>
      <c r="B198" s="35"/>
      <c r="C198" s="23"/>
      <c r="D198" s="23"/>
      <c r="E198" s="23"/>
      <c r="F198" s="23"/>
      <c r="G198" s="23"/>
      <c r="H198" s="24"/>
      <c r="I198" s="23"/>
      <c r="J198" s="23"/>
      <c r="K198" s="24"/>
      <c r="L198" s="23"/>
      <c r="M198" s="23"/>
    </row>
    <row r="199" spans="1:13" ht="14.45">
      <c r="A199" s="23"/>
      <c r="B199" s="35"/>
      <c r="C199" s="23"/>
      <c r="D199" s="23"/>
      <c r="E199" s="23"/>
      <c r="F199" s="23"/>
      <c r="G199" s="23"/>
      <c r="H199" s="24"/>
      <c r="I199" s="23"/>
      <c r="J199" s="23"/>
      <c r="K199" s="24"/>
      <c r="L199" s="23"/>
      <c r="M199" s="23"/>
    </row>
    <row r="200" spans="1:13" ht="14.45">
      <c r="A200" s="23"/>
      <c r="B200" s="35"/>
      <c r="C200" s="23"/>
      <c r="D200" s="23"/>
      <c r="E200" s="23"/>
      <c r="F200" s="23"/>
      <c r="G200" s="23"/>
      <c r="H200" s="24"/>
      <c r="I200" s="23"/>
      <c r="J200" s="23"/>
      <c r="K200" s="24"/>
      <c r="L200" s="23"/>
      <c r="M200" s="23"/>
    </row>
    <row r="201" spans="1:13" ht="14.45">
      <c r="A201" s="23"/>
      <c r="B201" s="35"/>
      <c r="C201" s="23"/>
      <c r="D201" s="23"/>
      <c r="E201" s="23"/>
      <c r="F201" s="23"/>
      <c r="G201" s="23"/>
      <c r="H201" s="24"/>
      <c r="I201" s="23"/>
      <c r="J201" s="23"/>
      <c r="K201" s="24"/>
      <c r="L201" s="23"/>
      <c r="M201" s="23"/>
    </row>
    <row r="202" spans="1:13" ht="14.45">
      <c r="A202" s="23"/>
      <c r="B202" s="35"/>
      <c r="C202" s="23"/>
      <c r="D202" s="23"/>
      <c r="E202" s="23"/>
      <c r="F202" s="23"/>
      <c r="G202" s="23"/>
      <c r="H202" s="24"/>
      <c r="I202" s="23"/>
      <c r="J202" s="23"/>
      <c r="K202" s="24"/>
      <c r="L202" s="23"/>
      <c r="M202" s="23"/>
    </row>
    <row r="203" spans="1:13" ht="14.45">
      <c r="A203" s="23"/>
      <c r="B203" s="35"/>
      <c r="C203" s="23"/>
      <c r="D203" s="23"/>
      <c r="E203" s="23"/>
      <c r="F203" s="23"/>
      <c r="G203" s="23"/>
      <c r="H203" s="24"/>
      <c r="I203" s="23"/>
      <c r="J203" s="23"/>
      <c r="K203" s="24"/>
      <c r="L203" s="23"/>
      <c r="M203" s="23"/>
    </row>
    <row r="204" spans="1:13" ht="14.45">
      <c r="A204" s="23"/>
      <c r="B204" s="35"/>
      <c r="C204" s="23"/>
      <c r="D204" s="23"/>
      <c r="E204" s="23"/>
      <c r="F204" s="23"/>
      <c r="G204" s="23"/>
      <c r="H204" s="24"/>
      <c r="I204" s="23"/>
      <c r="J204" s="23"/>
      <c r="K204" s="24"/>
      <c r="L204" s="23"/>
      <c r="M204" s="23"/>
    </row>
    <row r="205" spans="1:13" ht="14.45">
      <c r="A205" s="23"/>
      <c r="B205" s="35"/>
      <c r="C205" s="23"/>
      <c r="D205" s="23"/>
      <c r="E205" s="23"/>
      <c r="F205" s="23"/>
      <c r="G205" s="23"/>
      <c r="H205" s="24"/>
      <c r="I205" s="23"/>
      <c r="J205" s="23"/>
      <c r="K205" s="24"/>
      <c r="L205" s="23"/>
      <c r="M205" s="23"/>
    </row>
    <row r="206" spans="1:13" ht="14.45">
      <c r="A206" s="23"/>
      <c r="B206" s="35"/>
      <c r="C206" s="23"/>
      <c r="D206" s="23"/>
      <c r="E206" s="23"/>
      <c r="F206" s="23"/>
      <c r="G206" s="23"/>
      <c r="H206" s="24"/>
      <c r="I206" s="23"/>
      <c r="J206" s="23"/>
      <c r="K206" s="24"/>
      <c r="L206" s="23"/>
      <c r="M206" s="23"/>
    </row>
    <row r="207" spans="1:13" ht="14.45">
      <c r="A207" s="23"/>
      <c r="B207" s="35"/>
      <c r="C207" s="23"/>
      <c r="D207" s="23"/>
      <c r="E207" s="23"/>
      <c r="F207" s="23"/>
      <c r="G207" s="23"/>
      <c r="H207" s="24"/>
      <c r="I207" s="23"/>
      <c r="J207" s="23"/>
      <c r="K207" s="24"/>
      <c r="L207" s="23"/>
      <c r="M207" s="23"/>
    </row>
    <row r="208" spans="1:13" ht="14.45">
      <c r="A208" s="23"/>
      <c r="B208" s="35"/>
      <c r="C208" s="23"/>
      <c r="D208" s="23"/>
      <c r="E208" s="23"/>
      <c r="F208" s="23"/>
      <c r="G208" s="23"/>
      <c r="H208" s="24"/>
      <c r="I208" s="23"/>
      <c r="J208" s="23"/>
      <c r="K208" s="24"/>
      <c r="L208" s="23"/>
      <c r="M208" s="23"/>
    </row>
    <row r="209" spans="1:13" ht="14.45">
      <c r="A209" s="23"/>
      <c r="B209" s="35"/>
      <c r="C209" s="23"/>
      <c r="D209" s="23"/>
      <c r="E209" s="23"/>
      <c r="F209" s="23"/>
      <c r="G209" s="23"/>
      <c r="H209" s="24"/>
      <c r="I209" s="23"/>
      <c r="J209" s="23"/>
      <c r="K209" s="24"/>
      <c r="L209" s="23"/>
      <c r="M209" s="23"/>
    </row>
    <row r="210" spans="1:13" ht="14.45">
      <c r="A210" s="23"/>
      <c r="B210" s="35"/>
      <c r="C210" s="23"/>
      <c r="D210" s="23"/>
      <c r="E210" s="23"/>
      <c r="F210" s="23"/>
      <c r="G210" s="23"/>
      <c r="H210" s="24"/>
      <c r="I210" s="23"/>
      <c r="J210" s="23"/>
      <c r="K210" s="24"/>
      <c r="L210" s="23"/>
      <c r="M210" s="23"/>
    </row>
    <row r="211" spans="1:13" ht="14.45">
      <c r="A211" s="23"/>
      <c r="B211" s="35"/>
      <c r="C211" s="23"/>
      <c r="D211" s="23"/>
      <c r="E211" s="23"/>
      <c r="F211" s="23"/>
      <c r="G211" s="23"/>
      <c r="H211" s="24"/>
      <c r="I211" s="23"/>
      <c r="J211" s="23"/>
      <c r="K211" s="24"/>
      <c r="L211" s="23"/>
      <c r="M211" s="23"/>
    </row>
    <row r="212" spans="1:13" ht="14.45">
      <c r="A212" s="23"/>
      <c r="B212" s="35"/>
      <c r="C212" s="23"/>
      <c r="D212" s="23"/>
      <c r="E212" s="23"/>
      <c r="F212" s="23"/>
      <c r="G212" s="23"/>
      <c r="H212" s="24"/>
      <c r="I212" s="23"/>
      <c r="J212" s="23"/>
      <c r="K212" s="24"/>
      <c r="L212" s="23"/>
      <c r="M212" s="23"/>
    </row>
    <row r="213" spans="1:13" ht="14.45">
      <c r="A213" s="23"/>
      <c r="B213" s="35"/>
      <c r="C213" s="23"/>
      <c r="D213" s="23"/>
      <c r="E213" s="23"/>
      <c r="F213" s="23"/>
      <c r="G213" s="23"/>
      <c r="H213" s="24"/>
      <c r="I213" s="23"/>
      <c r="J213" s="23"/>
      <c r="K213" s="24"/>
      <c r="L213" s="23"/>
      <c r="M213" s="23"/>
    </row>
    <row r="214" spans="1:13" ht="14.45">
      <c r="A214" s="23"/>
      <c r="B214" s="35"/>
      <c r="C214" s="23"/>
      <c r="D214" s="23"/>
      <c r="E214" s="23"/>
      <c r="F214" s="23"/>
      <c r="G214" s="23"/>
      <c r="H214" s="24"/>
      <c r="I214" s="23"/>
      <c r="J214" s="23"/>
      <c r="K214" s="24"/>
      <c r="L214" s="23"/>
      <c r="M214" s="23"/>
    </row>
    <row r="215" spans="1:13" ht="14.45">
      <c r="A215" s="23"/>
      <c r="B215" s="35"/>
      <c r="C215" s="23"/>
      <c r="D215" s="23"/>
      <c r="E215" s="23"/>
      <c r="F215" s="23"/>
      <c r="G215" s="23"/>
      <c r="H215" s="24"/>
      <c r="I215" s="23"/>
      <c r="J215" s="23"/>
      <c r="K215" s="24"/>
      <c r="L215" s="23"/>
      <c r="M215" s="23"/>
    </row>
    <row r="216" spans="1:13" ht="14.45">
      <c r="A216" s="23"/>
      <c r="B216" s="35"/>
      <c r="C216" s="23"/>
      <c r="D216" s="23"/>
      <c r="E216" s="23"/>
      <c r="F216" s="23"/>
      <c r="G216" s="23"/>
      <c r="H216" s="24"/>
      <c r="I216" s="23"/>
      <c r="J216" s="23"/>
      <c r="K216" s="24"/>
      <c r="L216" s="23"/>
      <c r="M216" s="23"/>
    </row>
    <row r="217" spans="1:13" ht="14.45">
      <c r="A217" s="23"/>
      <c r="B217" s="35"/>
      <c r="C217" s="23"/>
      <c r="D217" s="23"/>
      <c r="E217" s="23"/>
      <c r="F217" s="23"/>
      <c r="G217" s="23"/>
      <c r="H217" s="24"/>
      <c r="I217" s="23"/>
      <c r="J217" s="23"/>
      <c r="K217" s="24"/>
      <c r="L217" s="23"/>
      <c r="M217" s="23"/>
    </row>
    <row r="218" spans="1:13" ht="14.45">
      <c r="A218" s="23"/>
      <c r="B218" s="35"/>
      <c r="C218" s="23"/>
      <c r="D218" s="23"/>
      <c r="E218" s="23"/>
      <c r="F218" s="23"/>
      <c r="G218" s="23"/>
      <c r="H218" s="24"/>
      <c r="I218" s="23"/>
      <c r="J218" s="23"/>
      <c r="K218" s="24"/>
      <c r="L218" s="23"/>
      <c r="M218" s="23"/>
    </row>
    <row r="219" spans="1:13" ht="14.45">
      <c r="A219" s="23"/>
      <c r="B219" s="35"/>
      <c r="C219" s="23"/>
      <c r="D219" s="23"/>
      <c r="E219" s="23"/>
      <c r="F219" s="23"/>
      <c r="G219" s="23"/>
      <c r="H219" s="24"/>
      <c r="I219" s="23"/>
      <c r="J219" s="23"/>
      <c r="K219" s="24"/>
      <c r="L219" s="23"/>
      <c r="M219" s="23"/>
    </row>
    <row r="220" spans="1:13" ht="14.45">
      <c r="A220" s="23"/>
      <c r="B220" s="35"/>
      <c r="C220" s="23"/>
      <c r="D220" s="23"/>
      <c r="E220" s="23"/>
      <c r="F220" s="23"/>
      <c r="G220" s="23"/>
      <c r="H220" s="24"/>
      <c r="I220" s="23"/>
      <c r="J220" s="23"/>
      <c r="K220" s="24"/>
      <c r="L220" s="23"/>
      <c r="M220" s="23"/>
    </row>
    <row r="221" spans="1:13" ht="14.45">
      <c r="A221" s="23"/>
      <c r="B221" s="35"/>
      <c r="C221" s="23"/>
      <c r="D221" s="23"/>
      <c r="E221" s="23"/>
      <c r="F221" s="23"/>
      <c r="G221" s="23"/>
      <c r="H221" s="24"/>
      <c r="I221" s="23"/>
      <c r="J221" s="23"/>
      <c r="K221" s="24"/>
      <c r="L221" s="23"/>
      <c r="M221" s="23"/>
    </row>
    <row r="222" spans="1:13" ht="14.45">
      <c r="A222" s="23"/>
      <c r="B222" s="35"/>
      <c r="C222" s="23"/>
      <c r="D222" s="23"/>
      <c r="E222" s="23"/>
      <c r="F222" s="23"/>
      <c r="G222" s="23"/>
      <c r="H222" s="24"/>
      <c r="I222" s="23"/>
      <c r="J222" s="23"/>
      <c r="K222" s="24"/>
      <c r="L222" s="23"/>
      <c r="M222" s="23"/>
    </row>
    <row r="223" spans="1:13" ht="14.45">
      <c r="A223" s="23"/>
      <c r="B223" s="35"/>
      <c r="C223" s="23"/>
      <c r="D223" s="23"/>
      <c r="E223" s="23"/>
      <c r="F223" s="23"/>
      <c r="G223" s="23"/>
      <c r="H223" s="24"/>
      <c r="I223" s="23"/>
      <c r="J223" s="23"/>
      <c r="K223" s="24"/>
      <c r="L223" s="23"/>
      <c r="M223" s="23"/>
    </row>
    <row r="224" spans="1:13" ht="14.45">
      <c r="A224" s="23"/>
      <c r="B224" s="35"/>
      <c r="C224" s="23"/>
      <c r="D224" s="23"/>
      <c r="E224" s="23"/>
      <c r="F224" s="23"/>
      <c r="G224" s="23"/>
      <c r="H224" s="24"/>
      <c r="I224" s="23"/>
      <c r="J224" s="23"/>
      <c r="K224" s="24"/>
      <c r="L224" s="23"/>
      <c r="M224" s="23"/>
    </row>
    <row r="225" spans="1:13" ht="14.45">
      <c r="A225" s="23"/>
      <c r="B225" s="35"/>
      <c r="C225" s="23"/>
      <c r="D225" s="23"/>
      <c r="E225" s="23"/>
      <c r="F225" s="23"/>
      <c r="G225" s="23"/>
      <c r="H225" s="24"/>
      <c r="I225" s="23"/>
      <c r="J225" s="23"/>
      <c r="K225" s="24"/>
      <c r="L225" s="23"/>
      <c r="M225" s="23"/>
    </row>
    <row r="226" spans="1:13" ht="14.45">
      <c r="A226" s="23"/>
      <c r="B226" s="35"/>
      <c r="C226" s="23"/>
      <c r="D226" s="23"/>
      <c r="E226" s="23"/>
      <c r="F226" s="23"/>
      <c r="G226" s="23"/>
      <c r="H226" s="24"/>
      <c r="I226" s="23"/>
      <c r="J226" s="23"/>
      <c r="K226" s="24"/>
      <c r="L226" s="23"/>
      <c r="M226" s="23"/>
    </row>
    <row r="227" spans="1:13" ht="14.45">
      <c r="A227" s="23"/>
      <c r="B227" s="35"/>
      <c r="C227" s="23"/>
      <c r="D227" s="23"/>
      <c r="E227" s="23"/>
      <c r="F227" s="23"/>
      <c r="G227" s="23"/>
      <c r="H227" s="24"/>
      <c r="I227" s="23"/>
      <c r="J227" s="23"/>
      <c r="K227" s="24"/>
      <c r="L227" s="23"/>
      <c r="M227" s="23"/>
    </row>
    <row r="228" spans="1:13" ht="14.45">
      <c r="A228" s="23"/>
      <c r="B228" s="35"/>
      <c r="C228" s="23"/>
      <c r="D228" s="23"/>
      <c r="E228" s="23"/>
      <c r="F228" s="23"/>
      <c r="G228" s="23"/>
      <c r="H228" s="24"/>
      <c r="I228" s="23"/>
      <c r="J228" s="23"/>
      <c r="K228" s="24"/>
      <c r="L228" s="23"/>
      <c r="M228" s="23"/>
    </row>
    <row r="229" spans="1:13" ht="14.45">
      <c r="A229" s="23"/>
      <c r="B229" s="35"/>
      <c r="C229" s="23"/>
      <c r="D229" s="23"/>
      <c r="E229" s="23"/>
      <c r="F229" s="23"/>
      <c r="G229" s="23"/>
      <c r="H229" s="24"/>
      <c r="I229" s="23"/>
      <c r="J229" s="23"/>
      <c r="K229" s="24"/>
      <c r="L229" s="23"/>
      <c r="M229" s="23"/>
    </row>
    <row r="230" spans="1:13" ht="14.45">
      <c r="A230" s="23"/>
      <c r="B230" s="35"/>
      <c r="C230" s="23"/>
      <c r="D230" s="23"/>
      <c r="E230" s="23"/>
      <c r="F230" s="23"/>
      <c r="G230" s="23"/>
      <c r="H230" s="24"/>
      <c r="I230" s="23"/>
      <c r="J230" s="23"/>
      <c r="K230" s="24"/>
      <c r="L230" s="23"/>
      <c r="M230" s="23"/>
    </row>
    <row r="231" spans="1:13" ht="14.45">
      <c r="A231" s="23"/>
      <c r="B231" s="35"/>
      <c r="C231" s="23"/>
      <c r="D231" s="23"/>
      <c r="E231" s="23"/>
      <c r="F231" s="23"/>
      <c r="G231" s="23"/>
      <c r="H231" s="24"/>
      <c r="I231" s="23"/>
      <c r="J231" s="23"/>
      <c r="K231" s="24"/>
      <c r="L231" s="23"/>
      <c r="M231" s="23"/>
    </row>
    <row r="232" spans="1:13" ht="14.45">
      <c r="A232" s="23"/>
      <c r="B232" s="35"/>
      <c r="C232" s="23"/>
      <c r="D232" s="23"/>
      <c r="E232" s="23"/>
      <c r="F232" s="23"/>
      <c r="G232" s="23"/>
      <c r="H232" s="24"/>
      <c r="I232" s="23"/>
      <c r="J232" s="23"/>
      <c r="K232" s="24"/>
      <c r="L232" s="23"/>
      <c r="M232" s="23"/>
    </row>
    <row r="233" spans="1:13" ht="14.45">
      <c r="A233" s="23"/>
      <c r="B233" s="35"/>
      <c r="C233" s="23"/>
      <c r="D233" s="23"/>
      <c r="E233" s="23"/>
      <c r="F233" s="23"/>
      <c r="G233" s="23"/>
      <c r="H233" s="24"/>
      <c r="I233" s="23"/>
      <c r="J233" s="23"/>
      <c r="K233" s="24"/>
      <c r="L233" s="23"/>
      <c r="M233" s="23"/>
    </row>
    <row r="234" spans="1:13" ht="14.45">
      <c r="A234" s="23"/>
      <c r="B234" s="35"/>
      <c r="C234" s="23"/>
      <c r="D234" s="23"/>
      <c r="E234" s="23"/>
      <c r="F234" s="23"/>
      <c r="G234" s="23"/>
      <c r="H234" s="24"/>
      <c r="I234" s="23"/>
      <c r="J234" s="23"/>
      <c r="K234" s="24"/>
      <c r="L234" s="23"/>
      <c r="M234" s="23"/>
    </row>
    <row r="235" spans="1:13" ht="14.45">
      <c r="A235" s="23"/>
      <c r="B235" s="35"/>
      <c r="C235" s="23"/>
      <c r="D235" s="23"/>
      <c r="E235" s="23"/>
      <c r="F235" s="23"/>
      <c r="G235" s="23"/>
      <c r="H235" s="24"/>
      <c r="I235" s="23"/>
      <c r="J235" s="23"/>
      <c r="K235" s="24"/>
      <c r="L235" s="23"/>
      <c r="M235" s="23"/>
    </row>
    <row r="236" spans="1:13" ht="14.45">
      <c r="A236" s="23"/>
      <c r="B236" s="35"/>
      <c r="C236" s="23"/>
      <c r="D236" s="23"/>
      <c r="E236" s="23"/>
      <c r="F236" s="23"/>
      <c r="G236" s="23"/>
      <c r="H236" s="24"/>
      <c r="I236" s="23"/>
      <c r="J236" s="23"/>
      <c r="K236" s="24"/>
      <c r="L236" s="23"/>
      <c r="M236" s="23"/>
    </row>
    <row r="237" spans="1:13" ht="14.45">
      <c r="A237" s="23"/>
      <c r="B237" s="35"/>
      <c r="C237" s="23"/>
      <c r="D237" s="23"/>
      <c r="E237" s="23"/>
      <c r="F237" s="23"/>
      <c r="G237" s="23"/>
      <c r="H237" s="24"/>
      <c r="I237" s="23"/>
      <c r="J237" s="23"/>
      <c r="K237" s="24"/>
      <c r="L237" s="23"/>
      <c r="M237" s="23"/>
    </row>
    <row r="238" spans="1:13" ht="14.45">
      <c r="A238" s="23"/>
      <c r="B238" s="35"/>
      <c r="C238" s="23"/>
      <c r="D238" s="23"/>
      <c r="E238" s="23"/>
      <c r="F238" s="23"/>
      <c r="G238" s="23"/>
      <c r="H238" s="24"/>
      <c r="I238" s="23"/>
      <c r="J238" s="23"/>
      <c r="K238" s="24"/>
      <c r="L238" s="23"/>
      <c r="M238" s="23"/>
    </row>
    <row r="239" spans="1:13" ht="14.45">
      <c r="A239" s="23"/>
      <c r="B239" s="35"/>
      <c r="C239" s="23"/>
      <c r="D239" s="23"/>
      <c r="E239" s="23"/>
      <c r="F239" s="23"/>
      <c r="G239" s="23"/>
      <c r="H239" s="24"/>
      <c r="I239" s="23"/>
      <c r="J239" s="23"/>
      <c r="K239" s="24"/>
      <c r="L239" s="23"/>
      <c r="M239" s="23"/>
    </row>
    <row r="240" spans="1:13" ht="14.45">
      <c r="A240" s="23"/>
      <c r="B240" s="35"/>
      <c r="C240" s="23"/>
      <c r="D240" s="23"/>
      <c r="E240" s="23"/>
      <c r="F240" s="23"/>
      <c r="G240" s="23"/>
      <c r="H240" s="24"/>
      <c r="I240" s="23"/>
      <c r="J240" s="23"/>
      <c r="K240" s="24"/>
      <c r="L240" s="23"/>
      <c r="M240" s="23"/>
    </row>
    <row r="241" spans="1:13" ht="14.45">
      <c r="A241" s="23"/>
      <c r="B241" s="35"/>
      <c r="C241" s="23"/>
      <c r="D241" s="23"/>
      <c r="E241" s="23"/>
      <c r="F241" s="23"/>
      <c r="G241" s="23"/>
      <c r="H241" s="24"/>
      <c r="I241" s="23"/>
      <c r="J241" s="23"/>
      <c r="K241" s="24"/>
      <c r="L241" s="23"/>
      <c r="M241" s="23"/>
    </row>
    <row r="242" spans="1:13" ht="14.45">
      <c r="A242" s="23"/>
      <c r="B242" s="35"/>
      <c r="C242" s="23"/>
      <c r="D242" s="23"/>
      <c r="E242" s="23"/>
      <c r="F242" s="23"/>
      <c r="G242" s="23"/>
      <c r="H242" s="24"/>
      <c r="I242" s="23"/>
      <c r="J242" s="23"/>
      <c r="K242" s="24"/>
      <c r="L242" s="23"/>
      <c r="M242" s="23"/>
    </row>
    <row r="243" spans="1:13" ht="14.45">
      <c r="A243" s="23"/>
      <c r="B243" s="35"/>
      <c r="C243" s="23"/>
      <c r="D243" s="23"/>
      <c r="E243" s="23"/>
      <c r="F243" s="23"/>
      <c r="G243" s="23"/>
      <c r="H243" s="24"/>
      <c r="I243" s="23"/>
      <c r="J243" s="23"/>
      <c r="K243" s="24"/>
      <c r="L243" s="23"/>
      <c r="M243" s="23"/>
    </row>
    <row r="244" spans="1:13" ht="14.45">
      <c r="A244" s="23"/>
      <c r="B244" s="35"/>
      <c r="C244" s="23"/>
      <c r="D244" s="23"/>
      <c r="E244" s="23"/>
      <c r="F244" s="23"/>
      <c r="G244" s="23"/>
      <c r="H244" s="24"/>
      <c r="I244" s="23"/>
      <c r="J244" s="23"/>
      <c r="K244" s="24"/>
      <c r="L244" s="23"/>
      <c r="M244" s="23"/>
    </row>
    <row r="245" spans="1:13" ht="14.45">
      <c r="A245" s="23"/>
      <c r="B245" s="35"/>
      <c r="C245" s="23"/>
      <c r="D245" s="23"/>
      <c r="E245" s="23"/>
      <c r="F245" s="23"/>
      <c r="G245" s="23"/>
      <c r="H245" s="24"/>
      <c r="I245" s="23"/>
      <c r="J245" s="23"/>
      <c r="K245" s="24"/>
      <c r="L245" s="23"/>
      <c r="M245" s="23"/>
    </row>
    <row r="246" spans="1:13" ht="14.45">
      <c r="A246" s="23"/>
      <c r="B246" s="35"/>
      <c r="C246" s="23"/>
      <c r="D246" s="23"/>
      <c r="E246" s="23"/>
      <c r="F246" s="23"/>
      <c r="G246" s="23"/>
      <c r="H246" s="24"/>
      <c r="I246" s="23"/>
      <c r="J246" s="23"/>
      <c r="K246" s="24"/>
      <c r="L246" s="23"/>
      <c r="M246" s="23"/>
    </row>
    <row r="247" spans="1:13" ht="14.45">
      <c r="A247" s="23"/>
      <c r="B247" s="35"/>
      <c r="C247" s="23"/>
      <c r="D247" s="23"/>
      <c r="E247" s="23"/>
      <c r="F247" s="23"/>
      <c r="G247" s="23"/>
      <c r="H247" s="24"/>
      <c r="I247" s="23"/>
      <c r="J247" s="23"/>
      <c r="K247" s="24"/>
      <c r="L247" s="23"/>
      <c r="M247" s="23"/>
    </row>
    <row r="248" spans="1:13" ht="14.45">
      <c r="A248" s="23"/>
      <c r="B248" s="35"/>
      <c r="C248" s="23"/>
      <c r="D248" s="23"/>
      <c r="E248" s="23"/>
      <c r="F248" s="23"/>
      <c r="G248" s="23"/>
      <c r="H248" s="24"/>
      <c r="I248" s="23"/>
      <c r="J248" s="23"/>
      <c r="K248" s="24"/>
      <c r="L248" s="23"/>
      <c r="M248" s="23"/>
    </row>
    <row r="249" spans="1:13" ht="14.45">
      <c r="A249" s="23"/>
      <c r="B249" s="35"/>
      <c r="C249" s="23"/>
      <c r="D249" s="23"/>
      <c r="E249" s="23"/>
      <c r="F249" s="23"/>
      <c r="G249" s="23"/>
      <c r="H249" s="24"/>
      <c r="I249" s="23"/>
      <c r="J249" s="23"/>
      <c r="K249" s="24"/>
      <c r="L249" s="23"/>
      <c r="M249" s="23"/>
    </row>
    <row r="250" spans="1:13" ht="14.45">
      <c r="A250" s="23"/>
      <c r="B250" s="35"/>
      <c r="C250" s="23"/>
      <c r="D250" s="23"/>
      <c r="E250" s="23"/>
      <c r="F250" s="23"/>
      <c r="G250" s="23"/>
      <c r="H250" s="24"/>
      <c r="I250" s="23"/>
      <c r="J250" s="23"/>
      <c r="K250" s="24"/>
      <c r="L250" s="23"/>
      <c r="M250" s="23"/>
    </row>
    <row r="251" spans="1:13" ht="14.45">
      <c r="A251" s="23"/>
      <c r="B251" s="35"/>
      <c r="C251" s="23"/>
      <c r="D251" s="23"/>
      <c r="E251" s="23"/>
      <c r="F251" s="23"/>
      <c r="G251" s="23"/>
      <c r="H251" s="24"/>
      <c r="I251" s="23"/>
      <c r="J251" s="23"/>
      <c r="K251" s="24"/>
      <c r="L251" s="23"/>
      <c r="M251" s="23"/>
    </row>
    <row r="252" spans="1:13" ht="14.45">
      <c r="A252" s="23"/>
      <c r="B252" s="35"/>
      <c r="C252" s="23"/>
      <c r="D252" s="23"/>
      <c r="E252" s="23"/>
      <c r="F252" s="23"/>
      <c r="G252" s="23"/>
      <c r="H252" s="24"/>
      <c r="I252" s="23"/>
      <c r="J252" s="23"/>
      <c r="K252" s="24"/>
      <c r="L252" s="23"/>
      <c r="M252" s="23"/>
    </row>
    <row r="253" spans="1:13" ht="14.45">
      <c r="A253" s="23"/>
      <c r="B253" s="35"/>
      <c r="C253" s="23"/>
      <c r="D253" s="23"/>
      <c r="E253" s="23"/>
      <c r="F253" s="23"/>
      <c r="G253" s="23"/>
      <c r="H253" s="24"/>
      <c r="I253" s="23"/>
      <c r="J253" s="23"/>
      <c r="K253" s="24"/>
      <c r="L253" s="23"/>
      <c r="M253" s="23"/>
    </row>
    <row r="254" spans="1:13" ht="14.45">
      <c r="A254" s="23"/>
      <c r="B254" s="35"/>
      <c r="C254" s="23"/>
      <c r="D254" s="23"/>
      <c r="E254" s="23"/>
      <c r="F254" s="23"/>
      <c r="G254" s="23"/>
      <c r="H254" s="24"/>
      <c r="I254" s="23"/>
      <c r="J254" s="23"/>
      <c r="K254" s="24"/>
      <c r="L254" s="23"/>
      <c r="M254" s="23"/>
    </row>
    <row r="255" spans="1:13" ht="14.45">
      <c r="A255" s="23"/>
      <c r="B255" s="35"/>
      <c r="C255" s="23"/>
      <c r="D255" s="23"/>
      <c r="E255" s="23"/>
      <c r="F255" s="23"/>
      <c r="G255" s="23"/>
      <c r="H255" s="24"/>
      <c r="I255" s="23"/>
      <c r="J255" s="23"/>
      <c r="K255" s="24"/>
      <c r="L255" s="23"/>
      <c r="M255" s="23"/>
    </row>
    <row r="256" spans="1:13" ht="14.45">
      <c r="A256" s="23"/>
      <c r="B256" s="35"/>
      <c r="C256" s="23"/>
      <c r="D256" s="23"/>
      <c r="E256" s="23"/>
      <c r="F256" s="23"/>
      <c r="G256" s="23"/>
      <c r="H256" s="24"/>
      <c r="I256" s="23"/>
      <c r="J256" s="23"/>
      <c r="K256" s="24"/>
      <c r="L256" s="23"/>
      <c r="M256" s="23"/>
    </row>
    <row r="257" spans="1:13" ht="14.45">
      <c r="A257" s="23"/>
      <c r="B257" s="35"/>
      <c r="C257" s="23"/>
      <c r="D257" s="23"/>
      <c r="E257" s="23"/>
      <c r="F257" s="23"/>
      <c r="G257" s="23"/>
      <c r="H257" s="24"/>
      <c r="I257" s="23"/>
      <c r="J257" s="23"/>
      <c r="K257" s="24"/>
      <c r="L257" s="23"/>
      <c r="M257" s="23"/>
    </row>
    <row r="258" spans="1:13" ht="14.45">
      <c r="A258" s="23"/>
      <c r="B258" s="35"/>
      <c r="C258" s="23"/>
      <c r="D258" s="23"/>
      <c r="E258" s="23"/>
      <c r="F258" s="23"/>
      <c r="G258" s="23"/>
      <c r="H258" s="24"/>
      <c r="I258" s="23"/>
      <c r="J258" s="23"/>
      <c r="K258" s="24"/>
      <c r="L258" s="23"/>
      <c r="M258" s="23"/>
    </row>
    <row r="259" spans="1:13" ht="14.45">
      <c r="A259" s="23"/>
      <c r="B259" s="35"/>
      <c r="C259" s="23"/>
      <c r="D259" s="23"/>
      <c r="E259" s="23"/>
      <c r="F259" s="23"/>
      <c r="G259" s="23"/>
      <c r="H259" s="24"/>
      <c r="I259" s="23"/>
      <c r="J259" s="23"/>
      <c r="K259" s="24"/>
      <c r="L259" s="23"/>
      <c r="M259" s="23"/>
    </row>
    <row r="260" spans="1:13" ht="14.45">
      <c r="A260" s="23"/>
      <c r="B260" s="35"/>
      <c r="C260" s="23"/>
      <c r="D260" s="23"/>
      <c r="E260" s="23"/>
      <c r="F260" s="23"/>
      <c r="G260" s="23"/>
      <c r="H260" s="24"/>
      <c r="I260" s="23"/>
      <c r="J260" s="23"/>
      <c r="K260" s="24"/>
      <c r="L260" s="23"/>
      <c r="M260" s="23"/>
    </row>
    <row r="261" spans="1:13" ht="14.45">
      <c r="A261" s="23"/>
      <c r="B261" s="35"/>
      <c r="C261" s="23"/>
      <c r="D261" s="23"/>
      <c r="E261" s="23"/>
      <c r="F261" s="23"/>
      <c r="G261" s="23"/>
      <c r="H261" s="24"/>
      <c r="I261" s="23"/>
      <c r="J261" s="23"/>
      <c r="K261" s="24"/>
      <c r="L261" s="23"/>
      <c r="M261" s="23"/>
    </row>
    <row r="262" spans="1:13" ht="14.45">
      <c r="A262" s="23"/>
      <c r="B262" s="35"/>
      <c r="C262" s="23"/>
      <c r="D262" s="23"/>
      <c r="E262" s="23"/>
      <c r="F262" s="23"/>
      <c r="G262" s="23"/>
      <c r="H262" s="24"/>
      <c r="I262" s="23"/>
      <c r="J262" s="23"/>
      <c r="K262" s="24"/>
      <c r="L262" s="23"/>
      <c r="M262" s="23"/>
    </row>
    <row r="263" spans="1:13" ht="14.45">
      <c r="A263" s="23"/>
      <c r="B263" s="35"/>
      <c r="C263" s="23"/>
      <c r="D263" s="23"/>
      <c r="E263" s="23"/>
      <c r="F263" s="23"/>
      <c r="G263" s="23"/>
      <c r="H263" s="24"/>
      <c r="I263" s="23"/>
      <c r="J263" s="23"/>
      <c r="K263" s="24"/>
      <c r="L263" s="23"/>
      <c r="M263" s="23"/>
    </row>
    <row r="264" spans="1:13" ht="14.45">
      <c r="A264" s="23"/>
      <c r="B264" s="35"/>
      <c r="C264" s="23"/>
      <c r="D264" s="23"/>
      <c r="E264" s="23"/>
      <c r="F264" s="23"/>
      <c r="G264" s="23"/>
      <c r="H264" s="24"/>
      <c r="I264" s="23"/>
      <c r="J264" s="23"/>
      <c r="K264" s="24"/>
      <c r="L264" s="23"/>
      <c r="M264" s="23"/>
    </row>
    <row r="265" spans="1:13" ht="14.45">
      <c r="A265" s="23"/>
      <c r="B265" s="35"/>
      <c r="C265" s="23"/>
      <c r="D265" s="23"/>
      <c r="E265" s="23"/>
      <c r="F265" s="23"/>
      <c r="G265" s="23"/>
      <c r="H265" s="24"/>
      <c r="I265" s="23"/>
      <c r="J265" s="23"/>
      <c r="K265" s="24"/>
      <c r="L265" s="23"/>
      <c r="M265" s="23"/>
    </row>
    <row r="266" spans="1:13" ht="14.45">
      <c r="A266" s="23"/>
      <c r="B266" s="35"/>
      <c r="C266" s="23"/>
      <c r="D266" s="23"/>
      <c r="E266" s="23"/>
      <c r="F266" s="23"/>
      <c r="G266" s="23"/>
      <c r="H266" s="24"/>
      <c r="I266" s="23"/>
      <c r="J266" s="23"/>
      <c r="K266" s="24"/>
      <c r="L266" s="23"/>
      <c r="M266" s="23"/>
    </row>
    <row r="267" spans="1:13" ht="14.45">
      <c r="A267" s="23"/>
      <c r="B267" s="35"/>
      <c r="C267" s="23"/>
      <c r="D267" s="23"/>
      <c r="E267" s="23"/>
      <c r="F267" s="23"/>
      <c r="G267" s="23"/>
      <c r="H267" s="24"/>
      <c r="I267" s="23"/>
      <c r="J267" s="23"/>
      <c r="K267" s="24"/>
      <c r="L267" s="23"/>
      <c r="M267" s="23"/>
    </row>
    <row r="268" spans="1:13" ht="14.45">
      <c r="A268" s="23"/>
      <c r="B268" s="35"/>
      <c r="C268" s="23"/>
      <c r="D268" s="23"/>
      <c r="E268" s="23"/>
      <c r="F268" s="23"/>
      <c r="G268" s="23"/>
      <c r="H268" s="24"/>
      <c r="I268" s="23"/>
      <c r="J268" s="23"/>
      <c r="K268" s="24"/>
      <c r="L268" s="23"/>
      <c r="M268" s="23"/>
    </row>
    <row r="269" spans="1:13" ht="14.45">
      <c r="A269" s="23"/>
      <c r="B269" s="35"/>
      <c r="C269" s="23"/>
      <c r="D269" s="23"/>
      <c r="E269" s="23"/>
      <c r="F269" s="23"/>
      <c r="G269" s="23"/>
      <c r="H269" s="24"/>
      <c r="I269" s="23"/>
      <c r="J269" s="23"/>
      <c r="K269" s="24"/>
      <c r="L269" s="23"/>
      <c r="M269" s="23"/>
    </row>
    <row r="270" spans="1:13" ht="14.45">
      <c r="A270" s="23"/>
      <c r="B270" s="35"/>
      <c r="C270" s="23"/>
      <c r="D270" s="23"/>
      <c r="E270" s="23"/>
      <c r="F270" s="23"/>
      <c r="G270" s="23"/>
      <c r="H270" s="24"/>
      <c r="I270" s="23"/>
      <c r="J270" s="23"/>
      <c r="K270" s="24"/>
      <c r="L270" s="23"/>
      <c r="M270" s="23"/>
    </row>
    <row r="271" spans="1:13" ht="14.45">
      <c r="A271" s="23"/>
      <c r="B271" s="35"/>
      <c r="C271" s="23"/>
      <c r="D271" s="23"/>
      <c r="E271" s="23"/>
      <c r="F271" s="23"/>
      <c r="G271" s="23"/>
      <c r="H271" s="24"/>
      <c r="I271" s="23"/>
      <c r="J271" s="23"/>
      <c r="K271" s="24"/>
      <c r="L271" s="23"/>
      <c r="M271" s="23"/>
    </row>
    <row r="272" spans="1:13" ht="14.45">
      <c r="A272" s="23"/>
      <c r="B272" s="35"/>
      <c r="C272" s="23"/>
      <c r="D272" s="23"/>
      <c r="E272" s="23"/>
      <c r="F272" s="23"/>
      <c r="G272" s="23"/>
      <c r="H272" s="24"/>
      <c r="I272" s="23"/>
      <c r="J272" s="23"/>
      <c r="K272" s="24"/>
      <c r="L272" s="23"/>
      <c r="M272" s="23"/>
    </row>
    <row r="273" spans="1:13" ht="14.45">
      <c r="A273" s="23"/>
      <c r="B273" s="35"/>
      <c r="C273" s="23"/>
      <c r="D273" s="23"/>
      <c r="E273" s="23"/>
      <c r="F273" s="23"/>
      <c r="G273" s="23"/>
      <c r="H273" s="24"/>
      <c r="I273" s="23"/>
      <c r="J273" s="23"/>
      <c r="K273" s="24"/>
      <c r="L273" s="23"/>
      <c r="M273" s="23"/>
    </row>
    <row r="274" spans="1:13" ht="14.45">
      <c r="A274" s="23"/>
      <c r="B274" s="35"/>
      <c r="C274" s="23"/>
      <c r="D274" s="23"/>
      <c r="E274" s="23"/>
      <c r="F274" s="23"/>
      <c r="G274" s="23"/>
      <c r="H274" s="24"/>
      <c r="I274" s="23"/>
      <c r="J274" s="23"/>
      <c r="K274" s="24"/>
      <c r="L274" s="23"/>
      <c r="M274" s="23"/>
    </row>
    <row r="275" spans="1:13" ht="14.45">
      <c r="A275" s="23"/>
      <c r="B275" s="35"/>
      <c r="C275" s="23"/>
      <c r="D275" s="23"/>
      <c r="E275" s="23"/>
      <c r="F275" s="23"/>
      <c r="G275" s="23"/>
      <c r="H275" s="24"/>
      <c r="I275" s="23"/>
      <c r="J275" s="23"/>
      <c r="K275" s="24"/>
      <c r="L275" s="23"/>
      <c r="M275" s="23"/>
    </row>
    <row r="276" spans="1:13" ht="14.45">
      <c r="A276" s="23"/>
      <c r="B276" s="35"/>
      <c r="C276" s="23"/>
      <c r="D276" s="23"/>
      <c r="E276" s="23"/>
      <c r="F276" s="23"/>
      <c r="G276" s="23"/>
      <c r="H276" s="24"/>
      <c r="I276" s="23"/>
      <c r="J276" s="23"/>
      <c r="K276" s="24"/>
      <c r="L276" s="23"/>
      <c r="M276" s="23"/>
    </row>
    <row r="277" spans="1:13" ht="14.45">
      <c r="A277" s="23"/>
      <c r="B277" s="35"/>
      <c r="C277" s="23"/>
      <c r="D277" s="23"/>
      <c r="E277" s="23"/>
      <c r="F277" s="23"/>
      <c r="G277" s="23"/>
      <c r="H277" s="24"/>
      <c r="I277" s="23"/>
      <c r="J277" s="23"/>
      <c r="K277" s="24"/>
      <c r="L277" s="23"/>
      <c r="M277" s="23"/>
    </row>
    <row r="278" spans="1:13" ht="14.45">
      <c r="A278" s="23"/>
      <c r="B278" s="35"/>
      <c r="C278" s="23"/>
      <c r="D278" s="23"/>
      <c r="E278" s="23"/>
      <c r="F278" s="23"/>
      <c r="G278" s="23"/>
      <c r="H278" s="24"/>
      <c r="I278" s="23"/>
      <c r="J278" s="23"/>
      <c r="K278" s="24"/>
      <c r="L278" s="23"/>
      <c r="M278" s="23"/>
    </row>
    <row r="279" spans="1:13" ht="14.45">
      <c r="A279" s="23"/>
      <c r="B279" s="35"/>
      <c r="C279" s="23"/>
      <c r="D279" s="23"/>
      <c r="E279" s="23"/>
      <c r="F279" s="23"/>
      <c r="G279" s="23"/>
      <c r="H279" s="24"/>
      <c r="I279" s="23"/>
      <c r="J279" s="23"/>
      <c r="K279" s="24"/>
      <c r="L279" s="23"/>
      <c r="M279" s="23"/>
    </row>
    <row r="280" spans="1:13" ht="14.45">
      <c r="A280" s="23"/>
      <c r="B280" s="35"/>
      <c r="C280" s="23"/>
      <c r="D280" s="23"/>
      <c r="E280" s="23"/>
      <c r="F280" s="23"/>
      <c r="G280" s="23"/>
      <c r="H280" s="24"/>
      <c r="I280" s="23"/>
      <c r="J280" s="23"/>
      <c r="K280" s="24"/>
      <c r="L280" s="23"/>
      <c r="M280" s="23"/>
    </row>
    <row r="281" spans="1:13" ht="14.45">
      <c r="A281" s="23"/>
      <c r="B281" s="35"/>
      <c r="C281" s="23"/>
      <c r="D281" s="23"/>
      <c r="E281" s="23"/>
      <c r="F281" s="23"/>
      <c r="G281" s="23"/>
      <c r="H281" s="24"/>
      <c r="I281" s="23"/>
      <c r="J281" s="23"/>
      <c r="K281" s="24"/>
      <c r="L281" s="23"/>
      <c r="M281" s="23"/>
    </row>
    <row r="282" spans="1:13" ht="14.45">
      <c r="A282" s="23"/>
      <c r="B282" s="35"/>
      <c r="C282" s="23"/>
      <c r="D282" s="23"/>
      <c r="E282" s="23"/>
      <c r="F282" s="23"/>
      <c r="G282" s="23"/>
      <c r="H282" s="24"/>
      <c r="I282" s="23"/>
      <c r="J282" s="23"/>
      <c r="K282" s="24"/>
      <c r="L282" s="23"/>
      <c r="M282" s="23"/>
    </row>
    <row r="283" spans="1:13" ht="14.45">
      <c r="A283" s="23"/>
      <c r="B283" s="35"/>
      <c r="C283" s="23"/>
      <c r="D283" s="23"/>
      <c r="E283" s="23"/>
      <c r="F283" s="23"/>
      <c r="G283" s="23"/>
      <c r="H283" s="24"/>
      <c r="I283" s="23"/>
      <c r="J283" s="23"/>
      <c r="K283" s="24"/>
      <c r="L283" s="23"/>
      <c r="M283" s="23"/>
    </row>
    <row r="284" spans="1:13" ht="14.45">
      <c r="A284" s="23"/>
      <c r="B284" s="35"/>
      <c r="C284" s="23"/>
      <c r="D284" s="23"/>
      <c r="E284" s="23"/>
      <c r="F284" s="23"/>
      <c r="G284" s="23"/>
      <c r="H284" s="24"/>
      <c r="I284" s="23"/>
      <c r="J284" s="23"/>
      <c r="K284" s="24"/>
      <c r="L284" s="23"/>
      <c r="M284" s="23"/>
    </row>
    <row r="285" spans="1:13" ht="14.45">
      <c r="A285" s="23"/>
      <c r="B285" s="35"/>
      <c r="C285" s="23"/>
      <c r="D285" s="23"/>
      <c r="E285" s="23"/>
      <c r="F285" s="23"/>
      <c r="G285" s="23"/>
      <c r="H285" s="24"/>
      <c r="I285" s="23"/>
      <c r="J285" s="23"/>
      <c r="K285" s="24"/>
      <c r="L285" s="23"/>
      <c r="M285" s="23"/>
    </row>
    <row r="286" spans="1:13" ht="14.45">
      <c r="A286" s="23"/>
      <c r="B286" s="35"/>
      <c r="C286" s="23"/>
      <c r="D286" s="23"/>
      <c r="E286" s="23"/>
      <c r="F286" s="23"/>
      <c r="G286" s="23"/>
      <c r="H286" s="24"/>
      <c r="I286" s="23"/>
      <c r="J286" s="23"/>
      <c r="K286" s="24"/>
      <c r="L286" s="23"/>
      <c r="M286" s="23"/>
    </row>
    <row r="287" spans="1:13" ht="14.45">
      <c r="A287" s="23"/>
      <c r="B287" s="35"/>
      <c r="C287" s="23"/>
      <c r="D287" s="23"/>
      <c r="E287" s="23"/>
      <c r="F287" s="23"/>
      <c r="G287" s="23"/>
      <c r="H287" s="24"/>
      <c r="I287" s="23"/>
      <c r="J287" s="23"/>
      <c r="K287" s="24"/>
      <c r="L287" s="23"/>
      <c r="M287" s="23"/>
    </row>
    <row r="288" spans="1:13" ht="14.45">
      <c r="A288" s="23"/>
      <c r="B288" s="35"/>
      <c r="C288" s="23"/>
      <c r="D288" s="23"/>
      <c r="E288" s="23"/>
      <c r="F288" s="23"/>
      <c r="G288" s="23"/>
      <c r="H288" s="24"/>
      <c r="I288" s="23"/>
      <c r="J288" s="23"/>
      <c r="K288" s="24"/>
      <c r="L288" s="23"/>
      <c r="M288" s="23"/>
    </row>
    <row r="289" spans="1:13" ht="14.45">
      <c r="A289" s="23"/>
      <c r="B289" s="35"/>
      <c r="C289" s="23"/>
      <c r="D289" s="23"/>
      <c r="E289" s="23"/>
      <c r="F289" s="23"/>
      <c r="G289" s="23"/>
      <c r="H289" s="24"/>
      <c r="I289" s="23"/>
      <c r="J289" s="23"/>
      <c r="K289" s="24"/>
      <c r="L289" s="23"/>
      <c r="M289" s="23"/>
    </row>
    <row r="290" spans="1:13" ht="14.45">
      <c r="A290" s="23"/>
      <c r="B290" s="35"/>
      <c r="C290" s="23"/>
      <c r="D290" s="23"/>
      <c r="E290" s="23"/>
      <c r="F290" s="23"/>
      <c r="G290" s="23"/>
      <c r="H290" s="24"/>
      <c r="I290" s="23"/>
      <c r="J290" s="23"/>
      <c r="K290" s="24"/>
      <c r="L290" s="23"/>
      <c r="M290" s="23"/>
    </row>
    <row r="291" spans="1:13" ht="14.45">
      <c r="A291" s="23"/>
      <c r="B291" s="35"/>
      <c r="C291" s="23"/>
      <c r="D291" s="23"/>
      <c r="E291" s="23"/>
      <c r="F291" s="23"/>
      <c r="G291" s="23"/>
      <c r="H291" s="24"/>
      <c r="I291" s="23"/>
      <c r="J291" s="23"/>
      <c r="K291" s="24"/>
      <c r="L291" s="23"/>
      <c r="M291" s="23"/>
    </row>
    <row r="292" spans="1:13" ht="14.45">
      <c r="A292" s="23"/>
      <c r="B292" s="35"/>
      <c r="C292" s="23"/>
      <c r="D292" s="23"/>
      <c r="E292" s="23"/>
      <c r="F292" s="23"/>
      <c r="G292" s="23"/>
      <c r="H292" s="24"/>
      <c r="I292" s="23"/>
      <c r="J292" s="23"/>
      <c r="K292" s="24"/>
      <c r="L292" s="23"/>
      <c r="M292" s="23"/>
    </row>
    <row r="293" spans="1:13" ht="14.45">
      <c r="A293" s="23"/>
      <c r="B293" s="35"/>
      <c r="C293" s="23"/>
      <c r="D293" s="23"/>
      <c r="E293" s="23"/>
      <c r="F293" s="23"/>
      <c r="G293" s="23"/>
      <c r="H293" s="24"/>
      <c r="I293" s="23"/>
      <c r="J293" s="23"/>
      <c r="K293" s="24"/>
      <c r="L293" s="23"/>
      <c r="M293" s="23"/>
    </row>
    <row r="294" spans="1:13" ht="14.45">
      <c r="A294" s="23"/>
      <c r="B294" s="35"/>
      <c r="C294" s="23"/>
      <c r="D294" s="23"/>
      <c r="E294" s="23"/>
      <c r="F294" s="23"/>
      <c r="G294" s="23"/>
      <c r="H294" s="24"/>
      <c r="I294" s="23"/>
      <c r="J294" s="23"/>
      <c r="K294" s="24"/>
      <c r="L294" s="23"/>
      <c r="M294" s="23"/>
    </row>
    <row r="295" spans="1:13" ht="14.45">
      <c r="A295" s="23"/>
      <c r="B295" s="35"/>
      <c r="C295" s="23"/>
      <c r="D295" s="23"/>
      <c r="E295" s="23"/>
      <c r="F295" s="23"/>
      <c r="G295" s="23"/>
      <c r="H295" s="24"/>
      <c r="I295" s="23"/>
      <c r="J295" s="23"/>
      <c r="K295" s="24"/>
      <c r="L295" s="23"/>
      <c r="M295" s="23"/>
    </row>
    <row r="296" spans="1:13" ht="14.45">
      <c r="A296" s="23"/>
      <c r="B296" s="35"/>
      <c r="C296" s="23"/>
      <c r="D296" s="23"/>
      <c r="E296" s="23"/>
      <c r="F296" s="23"/>
      <c r="G296" s="23"/>
      <c r="H296" s="24"/>
      <c r="I296" s="23"/>
      <c r="J296" s="23"/>
      <c r="K296" s="24"/>
      <c r="L296" s="23"/>
      <c r="M296" s="23"/>
    </row>
    <row r="297" spans="1:13" ht="14.45">
      <c r="A297" s="23"/>
      <c r="B297" s="35"/>
      <c r="C297" s="23"/>
      <c r="D297" s="23"/>
      <c r="E297" s="23"/>
      <c r="F297" s="23"/>
      <c r="G297" s="23"/>
      <c r="H297" s="24"/>
      <c r="I297" s="23"/>
      <c r="J297" s="23"/>
      <c r="K297" s="24"/>
      <c r="L297" s="23"/>
      <c r="M297" s="23"/>
    </row>
    <row r="298" spans="1:13" ht="14.45">
      <c r="A298" s="23"/>
      <c r="B298" s="35"/>
      <c r="C298" s="23"/>
      <c r="D298" s="23"/>
      <c r="E298" s="23"/>
      <c r="F298" s="23"/>
      <c r="G298" s="23"/>
      <c r="H298" s="24"/>
      <c r="I298" s="23"/>
      <c r="J298" s="23"/>
      <c r="K298" s="24"/>
      <c r="L298" s="23"/>
      <c r="M298" s="23"/>
    </row>
    <row r="299" spans="1:13" ht="14.45">
      <c r="A299" s="23"/>
      <c r="B299" s="35"/>
      <c r="C299" s="23"/>
      <c r="D299" s="23"/>
      <c r="E299" s="23"/>
      <c r="F299" s="23"/>
      <c r="G299" s="23"/>
      <c r="H299" s="24"/>
      <c r="I299" s="23"/>
      <c r="J299" s="23"/>
      <c r="K299" s="24"/>
      <c r="L299" s="23"/>
      <c r="M299" s="23"/>
    </row>
    <row r="300" spans="1:13" ht="14.45">
      <c r="A300" s="23"/>
      <c r="B300" s="35"/>
      <c r="C300" s="23"/>
      <c r="D300" s="23"/>
      <c r="E300" s="23"/>
      <c r="F300" s="23"/>
      <c r="G300" s="23"/>
      <c r="H300" s="24"/>
      <c r="I300" s="23"/>
      <c r="J300" s="23"/>
      <c r="K300" s="24"/>
      <c r="L300" s="23"/>
      <c r="M300" s="23"/>
    </row>
    <row r="301" spans="1:13" ht="14.45">
      <c r="A301" s="23"/>
      <c r="B301" s="35"/>
      <c r="C301" s="23"/>
      <c r="D301" s="23"/>
      <c r="E301" s="23"/>
      <c r="F301" s="23"/>
      <c r="G301" s="23"/>
      <c r="H301" s="24"/>
      <c r="I301" s="23"/>
      <c r="J301" s="23"/>
      <c r="K301" s="24"/>
      <c r="L301" s="23"/>
      <c r="M301" s="23"/>
    </row>
    <row r="302" spans="1:13" ht="14.45">
      <c r="A302" s="23"/>
      <c r="B302" s="35"/>
      <c r="C302" s="23"/>
      <c r="D302" s="23"/>
      <c r="E302" s="23"/>
      <c r="F302" s="23"/>
      <c r="G302" s="23"/>
      <c r="H302" s="24"/>
      <c r="I302" s="23"/>
      <c r="J302" s="23"/>
      <c r="K302" s="24"/>
      <c r="L302" s="23"/>
      <c r="M302" s="23"/>
    </row>
    <row r="303" spans="1:13" ht="14.45">
      <c r="A303" s="23"/>
      <c r="B303" s="35"/>
      <c r="C303" s="23"/>
      <c r="D303" s="23"/>
      <c r="E303" s="23"/>
      <c r="F303" s="23"/>
      <c r="G303" s="23"/>
      <c r="H303" s="24"/>
      <c r="I303" s="23"/>
      <c r="J303" s="23"/>
      <c r="K303" s="24"/>
      <c r="L303" s="23"/>
      <c r="M303" s="23"/>
    </row>
    <row r="304" spans="1:13" ht="14.45">
      <c r="A304" s="23"/>
      <c r="B304" s="35"/>
      <c r="C304" s="23"/>
      <c r="D304" s="23"/>
      <c r="E304" s="23"/>
      <c r="F304" s="23"/>
      <c r="G304" s="23"/>
      <c r="H304" s="24"/>
      <c r="I304" s="23"/>
      <c r="J304" s="23"/>
      <c r="K304" s="24"/>
      <c r="L304" s="23"/>
      <c r="M304" s="23"/>
    </row>
    <row r="305" spans="1:13" ht="14.45">
      <c r="A305" s="23"/>
      <c r="B305" s="35"/>
      <c r="C305" s="23"/>
      <c r="D305" s="23"/>
      <c r="E305" s="23"/>
      <c r="F305" s="23"/>
      <c r="G305" s="23"/>
      <c r="H305" s="24"/>
      <c r="I305" s="23"/>
      <c r="J305" s="23"/>
      <c r="K305" s="24"/>
      <c r="L305" s="23"/>
      <c r="M305" s="23"/>
    </row>
    <row r="306" spans="1:13" ht="14.45">
      <c r="A306" s="23"/>
      <c r="B306" s="35"/>
      <c r="C306" s="23"/>
      <c r="D306" s="23"/>
      <c r="E306" s="23"/>
      <c r="F306" s="23"/>
      <c r="G306" s="23"/>
      <c r="H306" s="24"/>
      <c r="I306" s="23"/>
      <c r="J306" s="23"/>
      <c r="K306" s="24"/>
      <c r="L306" s="23"/>
      <c r="M306" s="23"/>
    </row>
    <row r="307" spans="1:13" ht="14.45">
      <c r="A307" s="23"/>
      <c r="B307" s="35"/>
      <c r="C307" s="23"/>
      <c r="D307" s="23"/>
      <c r="E307" s="23"/>
      <c r="F307" s="23"/>
      <c r="G307" s="23"/>
      <c r="H307" s="24"/>
      <c r="I307" s="23"/>
      <c r="J307" s="23"/>
      <c r="K307" s="24"/>
      <c r="L307" s="23"/>
      <c r="M307" s="23"/>
    </row>
    <row r="308" spans="1:13" ht="14.45">
      <c r="A308" s="23"/>
      <c r="B308" s="35"/>
      <c r="C308" s="23"/>
      <c r="D308" s="23"/>
      <c r="E308" s="23"/>
      <c r="F308" s="23"/>
      <c r="G308" s="23"/>
      <c r="H308" s="24"/>
      <c r="I308" s="23"/>
      <c r="J308" s="23"/>
      <c r="K308" s="24"/>
      <c r="L308" s="23"/>
      <c r="M308" s="23"/>
    </row>
    <row r="309" spans="1:13" ht="14.45">
      <c r="A309" s="23"/>
      <c r="B309" s="35"/>
      <c r="C309" s="23"/>
      <c r="D309" s="23"/>
      <c r="E309" s="23"/>
      <c r="F309" s="23"/>
      <c r="G309" s="23"/>
      <c r="H309" s="24"/>
      <c r="I309" s="23"/>
      <c r="J309" s="23"/>
      <c r="K309" s="24"/>
      <c r="L309" s="23"/>
      <c r="M309" s="23"/>
    </row>
    <row r="310" spans="1:13" ht="14.45">
      <c r="A310" s="23"/>
      <c r="B310" s="35"/>
      <c r="C310" s="23"/>
      <c r="D310" s="23"/>
      <c r="E310" s="23"/>
      <c r="F310" s="23"/>
      <c r="G310" s="23"/>
      <c r="H310" s="24"/>
      <c r="I310" s="23"/>
      <c r="J310" s="23"/>
      <c r="K310" s="24"/>
      <c r="L310" s="23"/>
      <c r="M310" s="23"/>
    </row>
    <row r="311" spans="1:13" ht="14.45">
      <c r="A311" s="23"/>
      <c r="B311" s="35"/>
      <c r="C311" s="23"/>
      <c r="D311" s="23"/>
      <c r="E311" s="23"/>
      <c r="F311" s="23"/>
      <c r="G311" s="23"/>
      <c r="H311" s="24"/>
      <c r="I311" s="23"/>
      <c r="J311" s="23"/>
      <c r="K311" s="24"/>
      <c r="L311" s="23"/>
      <c r="M311" s="23"/>
    </row>
    <row r="312" spans="1:13" ht="14.45">
      <c r="A312" s="23"/>
      <c r="B312" s="35"/>
      <c r="C312" s="23"/>
      <c r="D312" s="23"/>
      <c r="E312" s="23"/>
      <c r="F312" s="23"/>
      <c r="G312" s="23"/>
      <c r="H312" s="24"/>
      <c r="I312" s="23"/>
      <c r="J312" s="23"/>
      <c r="K312" s="24"/>
      <c r="L312" s="23"/>
      <c r="M312" s="23"/>
    </row>
    <row r="313" spans="1:13" ht="14.45">
      <c r="A313" s="23"/>
      <c r="B313" s="35"/>
      <c r="C313" s="23"/>
      <c r="D313" s="23"/>
      <c r="E313" s="23"/>
      <c r="F313" s="23"/>
      <c r="G313" s="23"/>
      <c r="H313" s="24"/>
      <c r="I313" s="23"/>
      <c r="J313" s="23"/>
      <c r="K313" s="24"/>
      <c r="L313" s="23"/>
      <c r="M313" s="23"/>
    </row>
    <row r="314" spans="1:13" ht="14.45">
      <c r="A314" s="23"/>
      <c r="B314" s="35"/>
      <c r="C314" s="23"/>
      <c r="D314" s="23"/>
      <c r="E314" s="23"/>
      <c r="F314" s="23"/>
      <c r="G314" s="23"/>
      <c r="H314" s="24"/>
      <c r="I314" s="23"/>
      <c r="J314" s="23"/>
      <c r="K314" s="24"/>
      <c r="L314" s="23"/>
      <c r="M314" s="23"/>
    </row>
    <row r="315" spans="1:13" ht="14.45">
      <c r="A315" s="23"/>
      <c r="B315" s="35"/>
      <c r="C315" s="23"/>
      <c r="D315" s="23"/>
      <c r="E315" s="23"/>
      <c r="F315" s="23"/>
      <c r="G315" s="23"/>
      <c r="H315" s="24"/>
      <c r="I315" s="23"/>
      <c r="J315" s="23"/>
      <c r="K315" s="24"/>
      <c r="L315" s="23"/>
      <c r="M315" s="23"/>
    </row>
    <row r="316" spans="1:13" ht="14.45">
      <c r="A316" s="23"/>
      <c r="B316" s="35"/>
      <c r="C316" s="23"/>
      <c r="D316" s="23"/>
      <c r="E316" s="23"/>
      <c r="F316" s="23"/>
      <c r="G316" s="23"/>
      <c r="H316" s="24"/>
      <c r="I316" s="23"/>
      <c r="J316" s="23"/>
      <c r="K316" s="24"/>
      <c r="L316" s="23"/>
      <c r="M316" s="23"/>
    </row>
    <row r="317" spans="1:13" ht="14.45">
      <c r="A317" s="23"/>
      <c r="B317" s="35"/>
      <c r="C317" s="23"/>
      <c r="D317" s="23"/>
      <c r="E317" s="23"/>
      <c r="F317" s="23"/>
      <c r="G317" s="23"/>
      <c r="H317" s="24"/>
      <c r="I317" s="23"/>
      <c r="J317" s="23"/>
      <c r="K317" s="24"/>
      <c r="L317" s="23"/>
      <c r="M317" s="23"/>
    </row>
    <row r="318" spans="1:13" ht="14.45">
      <c r="A318" s="23"/>
      <c r="B318" s="35"/>
      <c r="C318" s="23"/>
      <c r="D318" s="23"/>
      <c r="E318" s="23"/>
      <c r="F318" s="23"/>
      <c r="G318" s="23"/>
      <c r="H318" s="24"/>
      <c r="I318" s="23"/>
      <c r="J318" s="23"/>
      <c r="K318" s="24"/>
      <c r="L318" s="23"/>
      <c r="M318" s="23"/>
    </row>
    <row r="319" spans="1:13" ht="14.45">
      <c r="A319" s="23"/>
      <c r="B319" s="35"/>
      <c r="C319" s="23"/>
      <c r="D319" s="23"/>
      <c r="E319" s="23"/>
      <c r="F319" s="23"/>
      <c r="G319" s="23"/>
      <c r="H319" s="24"/>
      <c r="I319" s="23"/>
      <c r="J319" s="23"/>
      <c r="K319" s="24"/>
      <c r="L319" s="23"/>
      <c r="M319" s="23"/>
    </row>
    <row r="320" spans="1:13" ht="14.45">
      <c r="A320" s="23"/>
      <c r="B320" s="35"/>
      <c r="C320" s="23"/>
      <c r="D320" s="23"/>
      <c r="E320" s="23"/>
      <c r="F320" s="23"/>
      <c r="G320" s="23"/>
      <c r="H320" s="24"/>
      <c r="I320" s="23"/>
      <c r="J320" s="23"/>
      <c r="K320" s="24"/>
      <c r="L320" s="23"/>
      <c r="M320" s="23"/>
    </row>
    <row r="321" spans="1:13" ht="14.45">
      <c r="A321" s="23"/>
      <c r="B321" s="35"/>
      <c r="C321" s="23"/>
      <c r="D321" s="23"/>
      <c r="E321" s="23"/>
      <c r="F321" s="23"/>
      <c r="G321" s="23"/>
      <c r="H321" s="24"/>
      <c r="I321" s="23"/>
      <c r="J321" s="23"/>
      <c r="K321" s="24"/>
      <c r="L321" s="23"/>
      <c r="M321" s="23"/>
    </row>
    <row r="322" spans="1:13" ht="14.45">
      <c r="A322" s="23"/>
      <c r="B322" s="35"/>
      <c r="C322" s="23"/>
      <c r="D322" s="23"/>
      <c r="E322" s="23"/>
      <c r="F322" s="23"/>
      <c r="G322" s="23"/>
      <c r="H322" s="24"/>
      <c r="I322" s="23"/>
      <c r="J322" s="23"/>
      <c r="K322" s="24"/>
      <c r="L322" s="23"/>
      <c r="M322" s="23"/>
    </row>
    <row r="323" spans="1:13" ht="14.45">
      <c r="A323" s="23"/>
      <c r="B323" s="35"/>
      <c r="C323" s="23"/>
      <c r="D323" s="23"/>
      <c r="E323" s="23"/>
      <c r="F323" s="23"/>
      <c r="G323" s="23"/>
      <c r="H323" s="24"/>
      <c r="I323" s="23"/>
      <c r="J323" s="23"/>
      <c r="K323" s="24"/>
      <c r="L323" s="23"/>
      <c r="M323" s="23"/>
    </row>
    <row r="324" spans="1:13" ht="14.45">
      <c r="A324" s="23"/>
      <c r="B324" s="35"/>
      <c r="C324" s="23"/>
      <c r="D324" s="23"/>
      <c r="E324" s="23"/>
      <c r="F324" s="23"/>
      <c r="G324" s="23"/>
      <c r="H324" s="24"/>
      <c r="I324" s="23"/>
      <c r="J324" s="23"/>
      <c r="K324" s="24"/>
      <c r="L324" s="23"/>
      <c r="M324" s="23"/>
    </row>
    <row r="325" spans="1:13" ht="14.45">
      <c r="A325" s="23"/>
      <c r="B325" s="35"/>
      <c r="C325" s="23"/>
      <c r="D325" s="23"/>
      <c r="E325" s="23"/>
      <c r="F325" s="23"/>
      <c r="G325" s="23"/>
      <c r="H325" s="24"/>
      <c r="I325" s="23"/>
      <c r="J325" s="23"/>
      <c r="K325" s="24"/>
      <c r="L325" s="23"/>
      <c r="M325" s="23"/>
    </row>
    <row r="326" spans="1:13" ht="14.45">
      <c r="A326" s="23"/>
      <c r="B326" s="35"/>
      <c r="C326" s="23"/>
      <c r="D326" s="23"/>
      <c r="E326" s="23"/>
      <c r="F326" s="23"/>
      <c r="G326" s="23"/>
      <c r="H326" s="24"/>
      <c r="I326" s="23"/>
      <c r="J326" s="23"/>
      <c r="K326" s="24"/>
      <c r="L326" s="23"/>
      <c r="M326" s="23"/>
    </row>
    <row r="327" spans="1:13" ht="14.45">
      <c r="A327" s="23"/>
      <c r="B327" s="35"/>
      <c r="C327" s="23"/>
      <c r="D327" s="23"/>
      <c r="E327" s="23"/>
      <c r="F327" s="23"/>
      <c r="G327" s="23"/>
      <c r="H327" s="24"/>
      <c r="I327" s="23"/>
      <c r="J327" s="23"/>
      <c r="K327" s="24"/>
      <c r="L327" s="23"/>
      <c r="M327" s="23"/>
    </row>
    <row r="328" spans="1:13" ht="14.45">
      <c r="A328" s="23"/>
      <c r="B328" s="35"/>
      <c r="C328" s="23"/>
      <c r="D328" s="23"/>
      <c r="E328" s="23"/>
      <c r="F328" s="23"/>
      <c r="G328" s="23"/>
      <c r="H328" s="24"/>
      <c r="I328" s="23"/>
      <c r="J328" s="23"/>
      <c r="K328" s="24"/>
      <c r="L328" s="23"/>
      <c r="M328" s="23"/>
    </row>
    <row r="329" spans="1:13" ht="14.45">
      <c r="A329" s="23"/>
      <c r="B329" s="35"/>
      <c r="C329" s="23"/>
      <c r="D329" s="23"/>
      <c r="E329" s="23"/>
      <c r="F329" s="23"/>
      <c r="G329" s="23"/>
      <c r="H329" s="24"/>
      <c r="I329" s="23"/>
      <c r="J329" s="23"/>
      <c r="K329" s="24"/>
      <c r="L329" s="23"/>
      <c r="M329" s="23"/>
    </row>
    <row r="330" spans="1:13" ht="14.45">
      <c r="A330" s="23"/>
      <c r="B330" s="35"/>
      <c r="C330" s="23"/>
      <c r="D330" s="23"/>
      <c r="E330" s="23"/>
      <c r="F330" s="23"/>
      <c r="G330" s="23"/>
      <c r="H330" s="24"/>
      <c r="I330" s="23"/>
      <c r="J330" s="23"/>
      <c r="K330" s="24"/>
      <c r="L330" s="23"/>
      <c r="M330" s="23"/>
    </row>
    <row r="331" spans="1:13" ht="14.45">
      <c r="A331" s="23"/>
      <c r="B331" s="35"/>
      <c r="C331" s="23"/>
      <c r="D331" s="23"/>
      <c r="E331" s="23"/>
      <c r="F331" s="23"/>
      <c r="G331" s="23"/>
      <c r="H331" s="24"/>
      <c r="I331" s="23"/>
      <c r="J331" s="23"/>
      <c r="K331" s="24"/>
      <c r="L331" s="23"/>
      <c r="M331" s="23"/>
    </row>
    <row r="332" spans="1:13" ht="14.45">
      <c r="A332" s="23"/>
      <c r="B332" s="35"/>
      <c r="C332" s="23"/>
      <c r="D332" s="23"/>
      <c r="E332" s="23"/>
      <c r="F332" s="23"/>
      <c r="G332" s="23"/>
      <c r="H332" s="24"/>
      <c r="I332" s="23"/>
      <c r="J332" s="23"/>
      <c r="K332" s="24"/>
      <c r="L332" s="23"/>
      <c r="M332" s="23"/>
    </row>
    <row r="333" spans="1:13" ht="14.45">
      <c r="A333" s="23"/>
      <c r="B333" s="35"/>
      <c r="C333" s="23"/>
      <c r="D333" s="23"/>
      <c r="E333" s="23"/>
      <c r="F333" s="23"/>
      <c r="G333" s="23"/>
      <c r="H333" s="24"/>
      <c r="I333" s="23"/>
      <c r="J333" s="23"/>
      <c r="K333" s="24"/>
      <c r="L333" s="23"/>
      <c r="M333" s="23"/>
    </row>
    <row r="334" spans="1:13" ht="14.45">
      <c r="A334" s="23"/>
      <c r="B334" s="35"/>
      <c r="C334" s="23"/>
      <c r="D334" s="23"/>
      <c r="E334" s="23"/>
      <c r="F334" s="23"/>
      <c r="G334" s="23"/>
      <c r="H334" s="24"/>
      <c r="I334" s="23"/>
      <c r="J334" s="23"/>
      <c r="K334" s="24"/>
      <c r="L334" s="23"/>
      <c r="M334" s="23"/>
    </row>
    <row r="335" spans="1:13" ht="14.45">
      <c r="A335" s="23"/>
      <c r="B335" s="35"/>
      <c r="C335" s="23"/>
      <c r="D335" s="23"/>
      <c r="E335" s="23"/>
      <c r="F335" s="23"/>
      <c r="G335" s="23"/>
      <c r="H335" s="24"/>
      <c r="I335" s="23"/>
      <c r="J335" s="23"/>
      <c r="K335" s="24"/>
      <c r="L335" s="23"/>
      <c r="M335" s="23"/>
    </row>
    <row r="336" spans="1:13" ht="14.45">
      <c r="A336" s="23"/>
      <c r="B336" s="35"/>
      <c r="C336" s="23"/>
      <c r="D336" s="23"/>
      <c r="E336" s="23"/>
      <c r="F336" s="23"/>
      <c r="G336" s="23"/>
      <c r="H336" s="24"/>
      <c r="I336" s="23"/>
      <c r="J336" s="23"/>
      <c r="K336" s="24"/>
      <c r="L336" s="23"/>
      <c r="M336" s="23"/>
    </row>
    <row r="337" spans="1:13" ht="14.45">
      <c r="A337" s="23"/>
      <c r="B337" s="35"/>
      <c r="C337" s="23"/>
      <c r="D337" s="23"/>
      <c r="E337" s="23"/>
      <c r="F337" s="23"/>
      <c r="G337" s="23"/>
      <c r="H337" s="24"/>
      <c r="I337" s="23"/>
      <c r="J337" s="23"/>
      <c r="K337" s="24"/>
      <c r="L337" s="23"/>
      <c r="M337" s="23"/>
    </row>
    <row r="338" spans="1:13" ht="14.45">
      <c r="A338" s="23"/>
      <c r="B338" s="35"/>
      <c r="C338" s="23"/>
      <c r="D338" s="23"/>
      <c r="E338" s="23"/>
      <c r="F338" s="23"/>
      <c r="G338" s="23"/>
      <c r="H338" s="24"/>
      <c r="I338" s="23"/>
      <c r="J338" s="23"/>
      <c r="K338" s="24"/>
      <c r="L338" s="23"/>
      <c r="M338" s="23"/>
    </row>
    <row r="339" spans="1:13" ht="14.45">
      <c r="A339" s="23"/>
      <c r="B339" s="35"/>
      <c r="C339" s="23"/>
      <c r="D339" s="23"/>
      <c r="E339" s="23"/>
      <c r="F339" s="23"/>
      <c r="G339" s="23"/>
      <c r="H339" s="24"/>
      <c r="I339" s="23"/>
      <c r="J339" s="23"/>
      <c r="K339" s="24"/>
      <c r="L339" s="23"/>
      <c r="M339" s="23"/>
    </row>
    <row r="340" spans="1:13" ht="14.45">
      <c r="A340" s="23"/>
      <c r="B340" s="35"/>
      <c r="C340" s="23"/>
      <c r="D340" s="23"/>
      <c r="E340" s="23"/>
      <c r="F340" s="23"/>
      <c r="G340" s="23"/>
      <c r="H340" s="24"/>
      <c r="I340" s="23"/>
      <c r="J340" s="23"/>
      <c r="K340" s="24"/>
      <c r="L340" s="23"/>
      <c r="M340" s="23"/>
    </row>
    <row r="341" spans="1:13" ht="14.45">
      <c r="A341" s="23"/>
      <c r="B341" s="35"/>
      <c r="C341" s="23"/>
      <c r="D341" s="23"/>
      <c r="E341" s="23"/>
      <c r="F341" s="23"/>
      <c r="G341" s="23"/>
      <c r="H341" s="24"/>
      <c r="I341" s="23"/>
      <c r="J341" s="23"/>
      <c r="K341" s="24"/>
      <c r="L341" s="23"/>
      <c r="M341" s="23"/>
    </row>
    <row r="342" spans="1:13" ht="14.45">
      <c r="C342" s="23"/>
      <c r="D342" s="23"/>
      <c r="E342" s="23"/>
      <c r="F342" s="23"/>
      <c r="G342" s="23"/>
      <c r="H342" s="24"/>
      <c r="I342" s="23"/>
      <c r="J342" s="23"/>
      <c r="K342" s="24"/>
      <c r="L342" s="23"/>
      <c r="M342" s="23"/>
    </row>
  </sheetData>
  <mergeCells count="4">
    <mergeCell ref="I1:K1"/>
    <mergeCell ref="A1:C1"/>
    <mergeCell ref="F1:H1"/>
    <mergeCell ref="A2:B2"/>
  </mergeCells>
  <conditionalFormatting sqref="H2 K2 H4:H100 K4:K100">
    <cfRule type="cellIs" dxfId="22" priority="1" stopIfTrue="1" operator="lessThanOrEqual">
      <formula>-0.1</formula>
    </cfRule>
    <cfRule type="expression" dxfId="21" priority="2">
      <formula>AND(ISNUMBER(H2), H2&gt;=0.1)</formula>
    </cfRule>
  </conditionalFormatting>
  <hyperlinks>
    <hyperlink ref="M4" r:id="rId1" display="https://us3.assetplanner.com/service_request?ID=097891" xr:uid="{F6A6FF04-3E8E-4B62-87D2-B3FA276E308D}"/>
    <hyperlink ref="M6" r:id="rId2" display="https://us3.assetplanner.com/service_request?ID=096073" xr:uid="{1113B55F-3551-4025-9655-3E9597FF9AA5}"/>
    <hyperlink ref="M9" r:id="rId3" display="https://us3.assetplanner.com/service_request?ID=095408" xr:uid="{DF6547AD-4463-4CDB-AB87-850D619F9847}"/>
    <hyperlink ref="M10" r:id="rId4" display="https://us3.assetplanner.com/service_request?ID=097152" xr:uid="{19F05E37-60F3-4C8C-876C-7E306353DA60}"/>
    <hyperlink ref="M12" r:id="rId5" display="https://us3.assetplanner.com/service_request?ID=096910" xr:uid="{F0044F09-C39D-4183-AEEE-BF6E1480B285}"/>
    <hyperlink ref="N12" r:id="rId6" display="https://us3.assetplanner.com/service_request?ID=097715" xr:uid="{CE02EED2-2266-4832-AED6-5EDF0A226164}"/>
    <hyperlink ref="M13" r:id="rId7" display="https://us3.assetplanner.com/service_request?ID=094669" xr:uid="{149E748F-27F4-44E9-9EF7-FB37F85745AE}"/>
    <hyperlink ref="N13" r:id="rId8" display="https://us3.assetplanner.com/service_request?ID=095487" xr:uid="{BD01E3D3-D95C-434A-8C16-014D118FD61E}"/>
    <hyperlink ref="O13" r:id="rId9" display="https://us3.assetplanner.com/service_request?ID=096553" xr:uid="{313FF824-DC45-46A9-875A-7FDC35C82462}"/>
    <hyperlink ref="P13" r:id="rId10" display="https://us3.assetplanner.com/service_request?ID=92736" xr:uid="{A23D29BD-B215-4816-A65B-33E1F565CBAC}"/>
    <hyperlink ref="Q13" r:id="rId11" display="https://us3.assetplanner.com/service_request?ID=095488" xr:uid="{049D398B-1BFD-4C2F-84A4-03C44903A469}"/>
    <hyperlink ref="M17" r:id="rId12" display="https://us3.assetplanner.com/service_request?ID=097653" xr:uid="{190C4A44-9024-4B63-9820-60A9CD320E64}"/>
    <hyperlink ref="M18" r:id="rId13" display="https://us3.assetplanner.com/service_request?ID=092732" xr:uid="{79ECF695-49A2-47B6-A9A8-85AB96FC3334}"/>
    <hyperlink ref="N18" r:id="rId14" display="https://us3.assetplanner.com/service_request?ID=094546" xr:uid="{39537E01-C4A6-4CD1-83BA-982FEB651CA2}"/>
    <hyperlink ref="O18" r:id="rId15" display="https://us3.assetplanner.com/service_request?ID=094546" xr:uid="{8731C3C2-F084-4FC1-A914-ECD9AA5FB093}"/>
    <hyperlink ref="M19" r:id="rId16" display="https://us3.assetplanner.com/service_request?ID=097893" xr:uid="{149CADEE-A32D-4CA3-A90D-F30D1CC846FD}"/>
    <hyperlink ref="N19" r:id="rId17" display="https://us3.assetplanner.com/service_request?ID=097777" xr:uid="{C40C2657-A221-45B3-90A2-DD1F0CF52FE0}"/>
    <hyperlink ref="O19" r:id="rId18" display="https://us3.assetplanner.com/service_request?ID=097778" xr:uid="{71D1C9CC-8DD5-4105-BC64-16CB4FE5A6B3}"/>
  </hyperlinks>
  <pageMargins left="0.4" right="0.7" top="0.25" bottom="0.25" header="0.3" footer="0.3"/>
  <pageSetup fitToHeight="99" orientation="landscape" r:id="rId1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Q342"/>
  <sheetViews>
    <sheetView zoomScale="60" zoomScaleNormal="60" workbookViewId="0">
      <pane ySplit="2" topLeftCell="F26" activePane="bottomLeft" state="frozen"/>
      <selection pane="bottomLeft" activeCell="F23" sqref="F23"/>
      <selection activeCell="I47" sqref="I46:J47"/>
    </sheetView>
  </sheetViews>
  <sheetFormatPr defaultRowHeight="14.25" customHeight="1"/>
  <cols>
    <col min="1" max="1" width="35.85546875" bestFit="1" customWidth="1"/>
    <col min="2" max="2" width="8.42578125" style="36" customWidth="1"/>
    <col min="3" max="3" width="11.7109375" customWidth="1"/>
    <col min="4" max="4" width="14.85546875" customWidth="1"/>
    <col min="5" max="5" width="19.7109375" customWidth="1"/>
    <col min="6" max="6" width="32.85546875" customWidth="1"/>
    <col min="7" max="8" width="13.28515625" customWidth="1"/>
    <col min="9" max="9" width="13.28515625" style="1" customWidth="1"/>
    <col min="10" max="11" width="13.28515625" customWidth="1"/>
    <col min="12" max="12" width="13.28515625" style="1" customWidth="1"/>
    <col min="13" max="13" width="71.5703125" customWidth="1"/>
    <col min="14" max="14" width="28.42578125" bestFit="1" customWidth="1"/>
  </cols>
  <sheetData>
    <row r="1" spans="1:17" ht="19.5" customHeight="1">
      <c r="A1" s="129" t="str" cm="1">
        <f t="array" ref="A1">portfolio</f>
        <v>CITI</v>
      </c>
      <c r="B1" s="129"/>
      <c r="C1" s="129"/>
      <c r="D1" s="76" t="s">
        <v>0</v>
      </c>
      <c r="E1" s="76" t="s">
        <v>1</v>
      </c>
      <c r="F1" s="76" t="s">
        <v>69</v>
      </c>
      <c r="G1" s="130" t="s">
        <v>70</v>
      </c>
      <c r="H1" s="130"/>
      <c r="I1" s="130"/>
      <c r="J1" s="128" t="s">
        <v>71</v>
      </c>
      <c r="K1" s="128"/>
      <c r="L1" s="128"/>
      <c r="M1" s="5"/>
      <c r="N1" s="5"/>
    </row>
    <row r="2" spans="1:17" ht="19.5" customHeight="1">
      <c r="A2" s="131" t="s">
        <v>4</v>
      </c>
      <c r="B2" s="131"/>
      <c r="C2" s="6">
        <f>SUM(C4:C100)</f>
        <v>1693756</v>
      </c>
      <c r="D2" s="6">
        <f>SUM(D4:D22)</f>
        <v>1858969.8000000003</v>
      </c>
      <c r="E2" s="7">
        <f>C2/D2</f>
        <v>0.91112615169972089</v>
      </c>
      <c r="F2" s="7">
        <f>AVERAGE(F4:F22)</f>
        <v>1.0049669812016757</v>
      </c>
      <c r="G2" s="6">
        <f>SUM(G4:G100)</f>
        <v>1884049.973</v>
      </c>
      <c r="H2" s="6">
        <f>C2-G2</f>
        <v>-190293.973</v>
      </c>
      <c r="I2" s="7">
        <f>IFERROR(H2/G2, 0)</f>
        <v>-0.10100261443542931</v>
      </c>
      <c r="J2" s="6">
        <f>SUM(J4:J100)</f>
        <v>1820418.8620000002</v>
      </c>
      <c r="K2" s="8">
        <f>C2-J2</f>
        <v>-126662.8620000002</v>
      </c>
      <c r="L2" s="7">
        <f>IFERROR(K2/J2, 0)</f>
        <v>-6.957896594239979E-2</v>
      </c>
      <c r="M2" s="28" t="str">
        <f ca="1">IF(AND(TODAY()&gt;DATE(2024, 3, 1), COUNTA(Sites[Site])&lt;&gt;(COUNT(C:C)-1)), "Some sites are missing actual data; if new sites were added, make sure they are aligned correctly (including prior months!)", "")</f>
        <v>Some sites are missing actual data; if new sites were added, make sure they are aligned correctly (including prior months!)</v>
      </c>
      <c r="N2" s="5"/>
    </row>
    <row r="3" spans="1:17" ht="14.25" customHeight="1">
      <c r="A3" s="9" t="s">
        <v>5</v>
      </c>
      <c r="B3" s="9" t="s">
        <v>6</v>
      </c>
      <c r="C3" s="25" t="s">
        <v>7</v>
      </c>
      <c r="D3" s="77"/>
      <c r="E3" s="77"/>
      <c r="F3" s="77"/>
      <c r="G3" s="49" t="s">
        <v>8</v>
      </c>
      <c r="H3" s="49" t="s">
        <v>9</v>
      </c>
      <c r="I3" s="50" t="s">
        <v>10</v>
      </c>
      <c r="J3" s="51" t="s">
        <v>11</v>
      </c>
      <c r="K3" s="52" t="s">
        <v>9</v>
      </c>
      <c r="L3" s="53" t="s">
        <v>10</v>
      </c>
      <c r="M3" s="27" t="s">
        <v>22</v>
      </c>
      <c r="N3" s="27" t="s">
        <v>23</v>
      </c>
    </row>
    <row r="4" spans="1:17" ht="43.15">
      <c r="A4" s="34" t="str" cm="1">
        <f t="array" ref="A4:A23">Sites[Site]</f>
        <v>CA: Antioch Deer Valley - Citi</v>
      </c>
      <c r="B4" s="31" t="str" cm="1">
        <f t="array" ref="B4:B23">Sites[State]</f>
        <v>CA</v>
      </c>
      <c r="C4" s="26">
        <v>46448</v>
      </c>
      <c r="D4" s="78">
        <v>54627.1</v>
      </c>
      <c r="E4" s="79">
        <f t="shared" ref="E4:E22" si="0">C4/D4</f>
        <v>0.85027394827841862</v>
      </c>
      <c r="F4" s="79">
        <f>(SUM(C4,Feb!C4,Jan!C4))/(SUM(Jan!D4,Feb!D4,Mar!D4))</f>
        <v>0.99105820356616392</v>
      </c>
      <c r="G4" s="14">
        <v>54086</v>
      </c>
      <c r="H4" s="14">
        <f t="shared" ref="H4:H22" si="1">IF(AND(ISNUMBER(C4),ISNUMBER(G4)), C4-G4, "")</f>
        <v>-7638</v>
      </c>
      <c r="I4" s="15">
        <f>IFERROR(H4/G4, "")</f>
        <v>-0.14121953925230188</v>
      </c>
      <c r="J4" s="16">
        <v>47701.483999999997</v>
      </c>
      <c r="K4" s="16">
        <f t="shared" ref="K4:K22" si="2">IF(AND(ISNUMBER(C4),ISNUMBER(J4)), C4-J4, "")</f>
        <v>-1253.4839999999967</v>
      </c>
      <c r="L4" s="17">
        <f>K4/J4</f>
        <v>-2.627767303843203E-2</v>
      </c>
      <c r="M4" s="18" t="s">
        <v>72</v>
      </c>
      <c r="N4" s="99" t="s">
        <v>47</v>
      </c>
      <c r="O4" s="113"/>
      <c r="P4" s="113"/>
      <c r="Q4" s="113"/>
    </row>
    <row r="5" spans="1:17" ht="15.6">
      <c r="A5" s="32" t="str">
        <v>CA: Antioch MC CUP - Citi</v>
      </c>
      <c r="B5" s="33" t="str">
        <v>CA</v>
      </c>
      <c r="C5" s="12">
        <v>183145</v>
      </c>
      <c r="D5" s="12">
        <v>182925</v>
      </c>
      <c r="E5" s="80">
        <f t="shared" si="0"/>
        <v>1.0012026786934536</v>
      </c>
      <c r="F5" s="80">
        <f>(SUM(C5,Feb!C5,Jan!C5))/(SUM(Jan!D5,Feb!D5,Mar!D5))</f>
        <v>1.0651051009931685</v>
      </c>
      <c r="G5" s="20">
        <v>181098</v>
      </c>
      <c r="H5" s="20">
        <f t="shared" si="1"/>
        <v>2047</v>
      </c>
      <c r="I5" s="110">
        <f>IFERROR(H5/G5, "")</f>
        <v>1.1303272261427515E-2</v>
      </c>
      <c r="J5" s="22">
        <v>188025.07199999999</v>
      </c>
      <c r="K5" s="22">
        <f t="shared" si="2"/>
        <v>-4880.0719999999856</v>
      </c>
      <c r="L5" s="21">
        <f>K5/J5</f>
        <v>-2.5954368468477363E-2</v>
      </c>
      <c r="M5" s="11"/>
      <c r="N5" s="60"/>
      <c r="O5" s="113"/>
      <c r="P5" s="113"/>
      <c r="Q5" s="113"/>
    </row>
    <row r="6" spans="1:17" ht="126.75" customHeight="1">
      <c r="A6" s="30" t="str">
        <v>CA: Clovis - Citi</v>
      </c>
      <c r="B6" s="31" t="str">
        <v>CA</v>
      </c>
      <c r="C6" s="26">
        <v>72819.25</v>
      </c>
      <c r="D6" s="78">
        <v>75057</v>
      </c>
      <c r="E6" s="79">
        <f t="shared" si="0"/>
        <v>0.97018599197942901</v>
      </c>
      <c r="F6" s="79">
        <f>(SUM(C6,Feb!C6,Jan!C6))/(SUM(Jan!D6,Feb!D6,Mar!D6))</f>
        <v>1.1122385951078475</v>
      </c>
      <c r="G6" s="14">
        <v>72465</v>
      </c>
      <c r="H6" s="14">
        <f t="shared" si="1"/>
        <v>354.25</v>
      </c>
      <c r="I6" s="15">
        <f t="shared" ref="I6:I22" si="3">IFERROR(H6/G6, "")</f>
        <v>4.8885668943627961E-3</v>
      </c>
      <c r="J6" s="16">
        <v>37151.158000000003</v>
      </c>
      <c r="K6" s="16">
        <f t="shared" si="2"/>
        <v>35668.091999999997</v>
      </c>
      <c r="L6" s="17">
        <f t="shared" ref="L6:L22" si="4">K6/J6</f>
        <v>0.96008022145635386</v>
      </c>
      <c r="M6" s="18" t="s">
        <v>73</v>
      </c>
      <c r="N6" s="99" t="s">
        <v>74</v>
      </c>
      <c r="O6" s="105" t="s">
        <v>75</v>
      </c>
      <c r="P6" s="113"/>
      <c r="Q6" s="113"/>
    </row>
    <row r="7" spans="1:17" ht="15.6">
      <c r="A7" s="32" t="str">
        <v>CA: Elk Grove MOB - Citi</v>
      </c>
      <c r="B7" s="33" t="str">
        <v>CA</v>
      </c>
      <c r="C7" s="12">
        <v>110204</v>
      </c>
      <c r="D7" s="12">
        <v>116624</v>
      </c>
      <c r="E7" s="80">
        <f t="shared" si="0"/>
        <v>0.94495129647413911</v>
      </c>
      <c r="F7" s="80">
        <f>(SUM(C7,Feb!C7,Jan!C7))/(SUM(Jan!D7,Feb!D7,Mar!D7))</f>
        <v>1.0307635744653192</v>
      </c>
      <c r="G7" s="20">
        <v>115469</v>
      </c>
      <c r="H7" s="20">
        <f t="shared" si="1"/>
        <v>-5265</v>
      </c>
      <c r="I7" s="110">
        <f t="shared" si="3"/>
        <v>-4.5596653647299278E-2</v>
      </c>
      <c r="J7" s="22">
        <v>116896.07</v>
      </c>
      <c r="K7" s="22">
        <f t="shared" si="2"/>
        <v>-6692.070000000007</v>
      </c>
      <c r="L7" s="21">
        <f t="shared" si="4"/>
        <v>-5.7248032376109877E-2</v>
      </c>
      <c r="M7" s="11"/>
      <c r="N7" s="60"/>
      <c r="O7" s="113"/>
      <c r="P7" s="113"/>
      <c r="Q7" s="113"/>
    </row>
    <row r="8" spans="1:17" ht="15.6">
      <c r="A8" s="30" t="str">
        <v>CA: Elk Grove Promenade - Citi</v>
      </c>
      <c r="B8" s="31" t="str">
        <v>CA</v>
      </c>
      <c r="C8" s="26">
        <v>58509</v>
      </c>
      <c r="D8" s="78">
        <v>62941.5</v>
      </c>
      <c r="E8" s="79">
        <f t="shared" si="0"/>
        <v>0.92957746478873238</v>
      </c>
      <c r="F8" s="79">
        <f>(SUM(C8,Feb!C8,Jan!C8))/(SUM(Jan!D8,Feb!D8,Mar!D8))</f>
        <v>1.0321461480207568</v>
      </c>
      <c r="G8" s="14">
        <v>62318.394999999997</v>
      </c>
      <c r="H8" s="14">
        <f t="shared" si="1"/>
        <v>-3809.3949999999968</v>
      </c>
      <c r="I8" s="15">
        <f t="shared" si="3"/>
        <v>-6.1127938227548979E-2</v>
      </c>
      <c r="J8" s="16">
        <v>63916.934000000001</v>
      </c>
      <c r="K8" s="16">
        <f t="shared" si="2"/>
        <v>-5407.9340000000011</v>
      </c>
      <c r="L8" s="17">
        <f t="shared" si="4"/>
        <v>-8.4608783018284339E-2</v>
      </c>
      <c r="M8" s="18" t="s">
        <v>76</v>
      </c>
      <c r="N8" s="99" t="s">
        <v>77</v>
      </c>
      <c r="O8" s="113"/>
      <c r="P8" s="113"/>
      <c r="Q8" s="113"/>
    </row>
    <row r="9" spans="1:17" ht="43.15">
      <c r="A9" s="32" t="str">
        <v>CA: Fresno Sequioa - Citi</v>
      </c>
      <c r="B9" s="33" t="str">
        <v>CA</v>
      </c>
      <c r="C9" s="12">
        <v>117808</v>
      </c>
      <c r="D9" s="12">
        <v>128865.3</v>
      </c>
      <c r="E9" s="80">
        <f t="shared" si="0"/>
        <v>0.91419489963551082</v>
      </c>
      <c r="F9" s="80">
        <f>(SUM(C9,Feb!C9,Jan!C9))/(SUM(Jan!D9,Feb!D9,Mar!D9))</f>
        <v>1.0028442364017562</v>
      </c>
      <c r="G9" s="20">
        <v>127615</v>
      </c>
      <c r="H9" s="20">
        <f t="shared" si="1"/>
        <v>-9807</v>
      </c>
      <c r="I9" s="110">
        <f t="shared" si="3"/>
        <v>-7.6848332876229289E-2</v>
      </c>
      <c r="J9" s="22">
        <v>129295.12</v>
      </c>
      <c r="K9" s="22">
        <f t="shared" si="2"/>
        <v>-11487.119999999995</v>
      </c>
      <c r="L9" s="21">
        <f t="shared" si="4"/>
        <v>-8.884418839628283E-2</v>
      </c>
      <c r="M9" s="84" t="s">
        <v>78</v>
      </c>
      <c r="N9" s="100" t="s">
        <v>50</v>
      </c>
      <c r="O9" s="113"/>
      <c r="P9" s="113"/>
      <c r="Q9" s="113"/>
    </row>
    <row r="10" spans="1:17" ht="72">
      <c r="A10" s="30" t="str">
        <v>CA: Fresno MOB - Citi</v>
      </c>
      <c r="B10" s="31" t="str">
        <v>CA</v>
      </c>
      <c r="C10" s="26">
        <v>42226.75</v>
      </c>
      <c r="D10" s="78">
        <v>52131.7</v>
      </c>
      <c r="E10" s="79">
        <f t="shared" si="0"/>
        <v>0.81000140029962575</v>
      </c>
      <c r="F10" s="79">
        <f>(SUM(C10,Feb!C10,Jan!C10))/(SUM(Jan!D10,Feb!D10,Mar!D10))</f>
        <v>0.94821691638128325</v>
      </c>
      <c r="G10" s="14">
        <v>51826</v>
      </c>
      <c r="H10" s="14">
        <f t="shared" si="1"/>
        <v>-9599.25</v>
      </c>
      <c r="I10" s="15">
        <f t="shared" si="3"/>
        <v>-0.18522073862540037</v>
      </c>
      <c r="J10" s="16">
        <v>44931.824999999997</v>
      </c>
      <c r="K10" s="16">
        <f t="shared" si="2"/>
        <v>-2705.0749999999971</v>
      </c>
      <c r="L10" s="17">
        <f t="shared" si="4"/>
        <v>-6.0203986817806691E-2</v>
      </c>
      <c r="M10" s="18" t="s">
        <v>79</v>
      </c>
      <c r="N10" s="99" t="s">
        <v>80</v>
      </c>
      <c r="O10" s="105" t="s">
        <v>81</v>
      </c>
      <c r="P10" s="113"/>
      <c r="Q10" s="113"/>
    </row>
    <row r="11" spans="1:17" ht="15.6">
      <c r="A11" s="32" t="str">
        <v>CA: Modesto Bangs - Citi</v>
      </c>
      <c r="B11" s="33" t="str">
        <v>CA</v>
      </c>
      <c r="C11" s="12">
        <v>30308</v>
      </c>
      <c r="D11" s="12">
        <v>30868.5</v>
      </c>
      <c r="E11" s="80">
        <f t="shared" si="0"/>
        <v>0.98184233117903363</v>
      </c>
      <c r="F11" s="80">
        <f>(SUM(C11,Feb!C11,Jan!C11))/(SUM(Jan!D11,Feb!D11,Mar!D11))</f>
        <v>1.0789637949114625</v>
      </c>
      <c r="G11" s="20">
        <v>30718</v>
      </c>
      <c r="H11" s="20">
        <f t="shared" si="1"/>
        <v>-410</v>
      </c>
      <c r="I11" s="110">
        <f t="shared" si="3"/>
        <v>-1.3347223126505632E-2</v>
      </c>
      <c r="J11" s="22">
        <v>31137.784</v>
      </c>
      <c r="K11" s="22">
        <f t="shared" si="2"/>
        <v>-829.78399999999965</v>
      </c>
      <c r="L11" s="21">
        <f t="shared" si="4"/>
        <v>-2.6648781429018831E-2</v>
      </c>
      <c r="M11" s="11"/>
      <c r="N11" s="60"/>
      <c r="O11" s="113"/>
      <c r="P11" s="113"/>
      <c r="Q11" s="113"/>
    </row>
    <row r="12" spans="1:17" ht="57.6">
      <c r="A12" s="30" t="str">
        <v>CA: Napa Data Center - Citi</v>
      </c>
      <c r="B12" s="31" t="str">
        <v>CA</v>
      </c>
      <c r="C12" s="26">
        <v>30516.25</v>
      </c>
      <c r="D12" s="78">
        <v>37238.800000000003</v>
      </c>
      <c r="E12" s="79">
        <f t="shared" si="0"/>
        <v>0.81947458027648579</v>
      </c>
      <c r="F12" s="79">
        <f>(SUM(C12,Feb!C12,Jan!C12))/(SUM(Jan!D12,Feb!D12,Mar!D12))</f>
        <v>0.87893387956552849</v>
      </c>
      <c r="G12" s="14">
        <v>35935</v>
      </c>
      <c r="H12" s="14">
        <f t="shared" si="1"/>
        <v>-5418.75</v>
      </c>
      <c r="I12" s="15">
        <f t="shared" si="3"/>
        <v>-0.15079309865034091</v>
      </c>
      <c r="J12" s="16">
        <v>36103.572</v>
      </c>
      <c r="K12" s="16">
        <f t="shared" si="2"/>
        <v>-5587.3220000000001</v>
      </c>
      <c r="L12" s="17">
        <f t="shared" si="4"/>
        <v>-0.15475814969222437</v>
      </c>
      <c r="M12" s="18" t="s">
        <v>82</v>
      </c>
      <c r="N12" s="99" t="s">
        <v>83</v>
      </c>
      <c r="O12" s="105" t="s">
        <v>84</v>
      </c>
      <c r="P12" s="113"/>
      <c r="Q12" s="113"/>
    </row>
    <row r="13" spans="1:17" ht="77.25" customHeight="1">
      <c r="A13" s="32" t="str">
        <v>CA: Petaluma MOB - Citi</v>
      </c>
      <c r="B13" s="33" t="str">
        <v>CA</v>
      </c>
      <c r="C13" s="12">
        <v>60351.5</v>
      </c>
      <c r="D13" s="12">
        <v>32798.6</v>
      </c>
      <c r="E13" s="80">
        <f t="shared" si="0"/>
        <v>1.8400632953845593</v>
      </c>
      <c r="F13" s="80">
        <f>(SUM(C13,Feb!C13,Jan!C13))/(SUM(Jan!D13,Feb!D13,Mar!D13))</f>
        <v>1.1368925784164015</v>
      </c>
      <c r="G13" s="20">
        <v>79678</v>
      </c>
      <c r="H13" s="20">
        <f t="shared" si="1"/>
        <v>-19326.5</v>
      </c>
      <c r="I13" s="15">
        <f t="shared" si="3"/>
        <v>-0.24255754411506314</v>
      </c>
      <c r="J13" s="22">
        <v>80404.171000000002</v>
      </c>
      <c r="K13" s="22">
        <f t="shared" si="2"/>
        <v>-20052.671000000002</v>
      </c>
      <c r="L13" s="21">
        <f t="shared" si="4"/>
        <v>-0.24939839252866622</v>
      </c>
      <c r="M13" s="119" t="s">
        <v>85</v>
      </c>
      <c r="N13" s="100" t="s">
        <v>86</v>
      </c>
      <c r="O13" s="105" t="s">
        <v>87</v>
      </c>
      <c r="P13" s="113"/>
      <c r="Q13" s="113"/>
    </row>
    <row r="14" spans="1:17" ht="36" customHeight="1">
      <c r="A14" s="30" t="str">
        <v>CA: Pleasanton Tec Ctr - Citi</v>
      </c>
      <c r="B14" s="31" t="str">
        <v>CA</v>
      </c>
      <c r="C14" s="26">
        <v>105259</v>
      </c>
      <c r="D14" s="78">
        <v>119385.8</v>
      </c>
      <c r="E14" s="79">
        <f t="shared" si="0"/>
        <v>0.88167101950148175</v>
      </c>
      <c r="F14" s="79">
        <f>(SUM(C14,Feb!C14,Jan!C14))/(SUM(Jan!D14,Feb!D14,Mar!D14))</f>
        <v>0.91145397815368567</v>
      </c>
      <c r="G14" s="14">
        <v>118304</v>
      </c>
      <c r="H14" s="14">
        <f t="shared" si="1"/>
        <v>-13045</v>
      </c>
      <c r="I14" s="15">
        <f t="shared" si="3"/>
        <v>-0.11026677035434136</v>
      </c>
      <c r="J14" s="16">
        <v>117059.493</v>
      </c>
      <c r="K14" s="16">
        <f t="shared" si="2"/>
        <v>-11800.493000000002</v>
      </c>
      <c r="L14" s="17">
        <f t="shared" si="4"/>
        <v>-0.10080765512968694</v>
      </c>
      <c r="M14" s="18" t="s">
        <v>88</v>
      </c>
      <c r="N14" s="99" t="s">
        <v>89</v>
      </c>
      <c r="O14" s="113"/>
      <c r="P14" s="113"/>
      <c r="Q14" s="113"/>
    </row>
    <row r="15" spans="1:17" ht="28.9">
      <c r="A15" s="32" t="str">
        <v>CA: Rancho Cordova - Citi</v>
      </c>
      <c r="B15" s="33" t="str">
        <v>CA</v>
      </c>
      <c r="C15" s="12">
        <v>166102</v>
      </c>
      <c r="D15" s="12">
        <v>171056</v>
      </c>
      <c r="E15" s="80">
        <f t="shared" si="0"/>
        <v>0.97103872416050885</v>
      </c>
      <c r="F15" s="80">
        <f>(SUM(C15,Feb!C15,Jan!C15))/(SUM(Jan!D15,Feb!D15,Mar!D15))</f>
        <v>1.1325880560876198</v>
      </c>
      <c r="G15" s="20">
        <v>169174</v>
      </c>
      <c r="H15" s="20">
        <f t="shared" si="1"/>
        <v>-3072</v>
      </c>
      <c r="I15" s="110">
        <f t="shared" si="3"/>
        <v>-1.8158818731010676E-2</v>
      </c>
      <c r="J15" s="22">
        <v>173208.522</v>
      </c>
      <c r="K15" s="22">
        <f t="shared" si="2"/>
        <v>-7106.5219999999972</v>
      </c>
      <c r="L15" s="21">
        <f t="shared" si="4"/>
        <v>-4.1028708737552745E-2</v>
      </c>
      <c r="M15" s="84" t="s">
        <v>90</v>
      </c>
      <c r="N15" s="100" t="s">
        <v>91</v>
      </c>
      <c r="O15" s="113"/>
      <c r="P15" s="113"/>
      <c r="Q15" s="113"/>
    </row>
    <row r="16" spans="1:17" ht="15.6">
      <c r="A16" s="30" t="str">
        <v>CA: S Sacramento Wyndham - Citi</v>
      </c>
      <c r="B16" s="31" t="str">
        <v>CA</v>
      </c>
      <c r="C16" s="37">
        <v>88110</v>
      </c>
      <c r="D16" s="78">
        <v>100685.5</v>
      </c>
      <c r="E16" s="79">
        <f t="shared" si="0"/>
        <v>0.87510118140149273</v>
      </c>
      <c r="F16" s="79">
        <f>(SUM(C16,Feb!C16,Jan!C16))/(SUM(Jan!D16,Feb!D16,Mar!D16))</f>
        <v>1.0003295985902407</v>
      </c>
      <c r="G16" s="14">
        <v>99485</v>
      </c>
      <c r="H16" s="14">
        <f t="shared" si="1"/>
        <v>-11375</v>
      </c>
      <c r="I16" s="15">
        <f t="shared" si="3"/>
        <v>-0.1143388450520179</v>
      </c>
      <c r="J16" s="39">
        <v>95237.35</v>
      </c>
      <c r="K16" s="39">
        <f t="shared" si="2"/>
        <v>-7127.3500000000058</v>
      </c>
      <c r="L16" s="17">
        <f t="shared" si="4"/>
        <v>-7.4837760605476797E-2</v>
      </c>
      <c r="M16" s="41"/>
      <c r="N16" s="41"/>
      <c r="O16" s="113"/>
      <c r="P16" s="113"/>
      <c r="Q16" s="113"/>
    </row>
    <row r="17" spans="1:17" ht="72">
      <c r="A17" s="32" t="str">
        <v>CA: Sacramento Point West - Citi</v>
      </c>
      <c r="B17" s="33" t="str">
        <v>CA</v>
      </c>
      <c r="C17" s="42">
        <v>171910</v>
      </c>
      <c r="D17" s="12">
        <v>191838.6</v>
      </c>
      <c r="E17" s="80">
        <f t="shared" si="0"/>
        <v>0.89611788242824952</v>
      </c>
      <c r="F17" s="80">
        <f>(SUM(C17,Feb!C17,Jan!C17))/(SUM(Jan!D17,Feb!D17,Mar!D17))</f>
        <v>1.0027267129914679</v>
      </c>
      <c r="G17" s="20">
        <v>190837</v>
      </c>
      <c r="H17" s="20">
        <f t="shared" si="1"/>
        <v>-18927</v>
      </c>
      <c r="I17" s="110">
        <f t="shared" si="3"/>
        <v>-9.9178880405791328E-2</v>
      </c>
      <c r="J17" s="44">
        <v>190101.80499999999</v>
      </c>
      <c r="K17" s="44">
        <f t="shared" si="2"/>
        <v>-18191.804999999993</v>
      </c>
      <c r="L17" s="21">
        <f t="shared" si="4"/>
        <v>-9.5695067177294785E-2</v>
      </c>
      <c r="M17" s="84" t="s">
        <v>92</v>
      </c>
      <c r="N17" s="109" t="s">
        <v>93</v>
      </c>
      <c r="O17" s="105" t="s">
        <v>94</v>
      </c>
      <c r="P17" s="113"/>
      <c r="Q17" s="113"/>
    </row>
    <row r="18" spans="1:17" ht="49.5" customHeight="1">
      <c r="A18" s="30" t="str">
        <v>CA: San Jose FHC - Citi</v>
      </c>
      <c r="B18" s="31" t="str">
        <v>CA</v>
      </c>
      <c r="C18" s="37">
        <v>36845.25</v>
      </c>
      <c r="D18" s="78">
        <v>41967.8</v>
      </c>
      <c r="E18" s="79">
        <f t="shared" si="0"/>
        <v>0.87794094520084442</v>
      </c>
      <c r="F18" s="79">
        <f>(SUM(C18,Feb!C18,Jan!C18))/(SUM(Jan!D18,Feb!D18,Mar!D18))</f>
        <v>0.87154671601003131</v>
      </c>
      <c r="G18" s="14">
        <v>43014</v>
      </c>
      <c r="H18" s="14">
        <f t="shared" si="1"/>
        <v>-6168.75</v>
      </c>
      <c r="I18" s="15">
        <f t="shared" si="3"/>
        <v>-0.14341260984795648</v>
      </c>
      <c r="J18" s="39">
        <v>40463.991999999998</v>
      </c>
      <c r="K18" s="39">
        <f t="shared" si="2"/>
        <v>-3618.7419999999984</v>
      </c>
      <c r="L18" s="17">
        <f t="shared" si="4"/>
        <v>-8.9431166356497865E-2</v>
      </c>
      <c r="M18" s="41" t="s">
        <v>95</v>
      </c>
      <c r="N18" s="108" t="s">
        <v>96</v>
      </c>
      <c r="O18" s="105" t="s">
        <v>97</v>
      </c>
      <c r="P18" s="113"/>
      <c r="Q18" s="113"/>
    </row>
    <row r="19" spans="1:17" ht="100.9">
      <c r="A19" s="32" t="str">
        <v>CA: San Jose MOB - Citi</v>
      </c>
      <c r="B19" s="33" t="str">
        <v>CA</v>
      </c>
      <c r="C19" s="42">
        <v>50848.5</v>
      </c>
      <c r="D19" s="12">
        <v>67199.5</v>
      </c>
      <c r="E19" s="80">
        <f t="shared" si="0"/>
        <v>0.75667973720042558</v>
      </c>
      <c r="F19" s="80">
        <f>(SUM(C19,Feb!C19,Jan!C19))/(SUM(Jan!D19,Feb!D19,Mar!D19))</f>
        <v>0.78988979507312251</v>
      </c>
      <c r="G19" s="20">
        <v>67773</v>
      </c>
      <c r="H19" s="20">
        <f t="shared" si="1"/>
        <v>-16924.5</v>
      </c>
      <c r="I19" s="15">
        <f t="shared" si="3"/>
        <v>-0.24972334115355674</v>
      </c>
      <c r="J19" s="44">
        <v>64993.209000000003</v>
      </c>
      <c r="K19" s="44">
        <f t="shared" si="2"/>
        <v>-14144.709000000003</v>
      </c>
      <c r="L19" s="21">
        <f t="shared" si="4"/>
        <v>-0.21763364538593566</v>
      </c>
      <c r="M19" s="84" t="s">
        <v>98</v>
      </c>
      <c r="N19" s="109" t="s">
        <v>99</v>
      </c>
      <c r="O19" s="105" t="s">
        <v>67</v>
      </c>
      <c r="P19" s="105" t="s">
        <v>100</v>
      </c>
      <c r="Q19" s="113"/>
    </row>
    <row r="20" spans="1:17" ht="15.6">
      <c r="A20" s="30" t="str">
        <v>CA: Selma - Citi</v>
      </c>
      <c r="B20" s="31" t="str">
        <v>CA</v>
      </c>
      <c r="C20" s="37">
        <v>35938.629999999997</v>
      </c>
      <c r="D20" s="78">
        <v>38028.699999999997</v>
      </c>
      <c r="E20" s="79">
        <f t="shared" si="0"/>
        <v>0.9450396674090884</v>
      </c>
      <c r="F20" s="79">
        <f>(SUM(C20,Feb!C20,Jan!C20))/(SUM(Jan!D20,Feb!D20,Mar!D20))</f>
        <v>1.0659839167497953</v>
      </c>
      <c r="G20" s="14">
        <v>37645</v>
      </c>
      <c r="H20" s="14">
        <f t="shared" si="1"/>
        <v>-1706.3700000000026</v>
      </c>
      <c r="I20" s="15">
        <f t="shared" si="3"/>
        <v>-4.5327931996281115E-2</v>
      </c>
      <c r="J20" s="39">
        <v>39397.5</v>
      </c>
      <c r="K20" s="39">
        <f t="shared" si="2"/>
        <v>-3458.8700000000026</v>
      </c>
      <c r="L20" s="17">
        <f t="shared" si="4"/>
        <v>-8.7794149374960412E-2</v>
      </c>
      <c r="M20" s="41"/>
      <c r="N20" s="41"/>
      <c r="O20" s="113"/>
      <c r="P20" s="113"/>
      <c r="Q20" s="113"/>
    </row>
    <row r="21" spans="1:17" ht="28.9">
      <c r="A21" s="32" t="str">
        <v>CA: Vacaville Hospital</v>
      </c>
      <c r="B21" s="33" t="str">
        <v>CA</v>
      </c>
      <c r="C21" s="42">
        <v>203198.25</v>
      </c>
      <c r="D21" s="12">
        <v>264914.40000000002</v>
      </c>
      <c r="E21" s="80">
        <f t="shared" si="0"/>
        <v>0.767033615386706</v>
      </c>
      <c r="F21" s="80">
        <f>(SUM(C21,Feb!C21,Jan!C21))/(SUM(Jan!D21,Feb!D21,Mar!D21))</f>
        <v>0.93863423083790809</v>
      </c>
      <c r="G21" s="20">
        <v>263144</v>
      </c>
      <c r="H21" s="20">
        <f t="shared" si="1"/>
        <v>-59945.75</v>
      </c>
      <c r="I21" s="15">
        <f t="shared" si="3"/>
        <v>-0.22780587815036635</v>
      </c>
      <c r="J21" s="44">
        <v>240625.497</v>
      </c>
      <c r="K21" s="44">
        <f t="shared" si="2"/>
        <v>-37427.247000000003</v>
      </c>
      <c r="L21" s="21">
        <f t="shared" si="4"/>
        <v>-0.15554148445041965</v>
      </c>
      <c r="M21" s="84" t="s">
        <v>101</v>
      </c>
      <c r="N21" s="100" t="s">
        <v>102</v>
      </c>
      <c r="O21" s="113"/>
      <c r="P21" s="113"/>
      <c r="Q21" s="113"/>
    </row>
    <row r="22" spans="1:17" ht="15.6">
      <c r="A22" s="30" t="str">
        <v>CA: Manteca - KP Manteca Hospital</v>
      </c>
      <c r="B22" s="31" t="str">
        <v>CA</v>
      </c>
      <c r="C22" s="37">
        <v>83208.62</v>
      </c>
      <c r="D22" s="78">
        <v>89816</v>
      </c>
      <c r="E22" s="79">
        <f t="shared" si="0"/>
        <v>0.92643426560969089</v>
      </c>
      <c r="F22" s="79">
        <f>(SUM(C22,Feb!C22,Jan!C22))/(SUM(Jan!D22,Feb!D22,Mar!D22))</f>
        <v>1.104056610508281</v>
      </c>
      <c r="G22" s="14">
        <v>83465.577999999994</v>
      </c>
      <c r="H22" s="14">
        <f t="shared" si="1"/>
        <v>-256.95799999999872</v>
      </c>
      <c r="I22" s="15">
        <f t="shared" si="3"/>
        <v>-3.0786104422591879E-3</v>
      </c>
      <c r="J22" s="39">
        <v>83768.304000000004</v>
      </c>
      <c r="K22" s="39">
        <f t="shared" si="2"/>
        <v>-559.68400000000838</v>
      </c>
      <c r="L22" s="17">
        <f t="shared" si="4"/>
        <v>-6.6813337894486725E-3</v>
      </c>
      <c r="M22" s="41"/>
      <c r="N22" s="41"/>
      <c r="O22" s="113"/>
      <c r="P22" s="113"/>
      <c r="Q22" s="113"/>
    </row>
    <row r="23" spans="1:17" ht="14.45">
      <c r="A23" s="23" t="str">
        <v>Sacramento - KP South Sacramento HSP</v>
      </c>
      <c r="B23" s="35" t="str">
        <v>CA</v>
      </c>
      <c r="C23" s="23"/>
      <c r="D23" s="23"/>
      <c r="E23" s="81"/>
      <c r="F23" s="23"/>
      <c r="G23" s="23"/>
      <c r="H23" s="23"/>
      <c r="I23" s="23"/>
      <c r="J23" s="23"/>
      <c r="K23" s="23"/>
      <c r="L23" s="23"/>
      <c r="M23" s="23"/>
      <c r="N23" s="23"/>
    </row>
    <row r="24" spans="1:17" ht="14.45">
      <c r="A24" s="23"/>
      <c r="B24" s="35"/>
      <c r="C24" s="23"/>
      <c r="D24" s="23"/>
      <c r="E24" s="23"/>
      <c r="F24" s="23"/>
      <c r="G24" s="23"/>
      <c r="H24" s="23"/>
      <c r="I24" s="23"/>
      <c r="J24" s="23"/>
      <c r="K24" s="23"/>
      <c r="L24" s="23"/>
      <c r="M24" s="23"/>
      <c r="N24" s="23"/>
    </row>
    <row r="25" spans="1:17" ht="14.45">
      <c r="A25" s="23"/>
      <c r="B25" s="35"/>
      <c r="C25" s="23"/>
      <c r="D25" s="23"/>
      <c r="E25" s="23"/>
      <c r="F25" s="23"/>
      <c r="G25" s="23"/>
      <c r="H25" s="23"/>
      <c r="I25" s="23"/>
      <c r="J25" s="23"/>
      <c r="K25" s="23"/>
      <c r="L25" s="23"/>
      <c r="M25" s="23"/>
      <c r="N25" s="23"/>
    </row>
    <row r="26" spans="1:17" ht="14.45">
      <c r="A26" s="23"/>
      <c r="B26" s="35"/>
      <c r="C26" s="23"/>
      <c r="D26" s="23"/>
      <c r="E26" s="23"/>
      <c r="F26" s="23"/>
      <c r="G26" s="23"/>
      <c r="H26" s="23"/>
      <c r="I26" s="23"/>
      <c r="J26" s="23"/>
      <c r="K26" s="23"/>
      <c r="L26" s="23"/>
      <c r="M26" s="23"/>
      <c r="N26" s="23"/>
    </row>
    <row r="27" spans="1:17" ht="14.45">
      <c r="A27" s="23"/>
      <c r="B27" s="35"/>
      <c r="C27" s="23"/>
      <c r="D27" s="23"/>
      <c r="E27" s="23"/>
      <c r="F27" s="23"/>
      <c r="G27" s="23"/>
      <c r="H27" s="23"/>
      <c r="I27" s="23"/>
      <c r="J27" s="23"/>
      <c r="K27" s="23"/>
      <c r="L27" s="23"/>
      <c r="M27" s="23"/>
      <c r="N27" s="23"/>
    </row>
    <row r="28" spans="1:17" ht="14.45">
      <c r="A28" s="23"/>
      <c r="B28" s="35"/>
      <c r="C28" s="23"/>
      <c r="D28" s="23"/>
      <c r="E28" s="23"/>
      <c r="F28" s="23"/>
      <c r="G28" s="23"/>
      <c r="H28" s="23"/>
      <c r="I28" s="23"/>
      <c r="J28" s="23"/>
      <c r="K28" s="23"/>
      <c r="L28" s="23"/>
      <c r="M28" s="23"/>
      <c r="N28" s="23"/>
    </row>
    <row r="29" spans="1:17" ht="14.45">
      <c r="A29" s="23"/>
      <c r="B29" s="35"/>
      <c r="C29" s="23"/>
      <c r="D29" s="23"/>
      <c r="E29" s="23"/>
      <c r="F29" s="23"/>
      <c r="G29" s="23"/>
      <c r="H29" s="23"/>
      <c r="I29" s="23"/>
      <c r="J29" s="23"/>
      <c r="K29" s="23"/>
      <c r="L29" s="23"/>
      <c r="M29" s="23"/>
      <c r="N29" s="23"/>
    </row>
    <row r="30" spans="1:17" ht="14.45">
      <c r="A30" s="23"/>
      <c r="B30" s="35"/>
      <c r="C30" s="23"/>
      <c r="D30" s="23"/>
      <c r="E30" s="23"/>
      <c r="F30" s="23"/>
      <c r="G30" s="23"/>
      <c r="H30" s="23"/>
      <c r="I30" s="23"/>
      <c r="J30" s="23"/>
      <c r="K30" s="23"/>
      <c r="L30" s="23"/>
      <c r="M30" s="23"/>
      <c r="N30" s="23"/>
    </row>
    <row r="31" spans="1:17" ht="14.45">
      <c r="A31" s="23"/>
      <c r="B31" s="35"/>
      <c r="C31" s="23"/>
      <c r="D31" s="23"/>
      <c r="E31" s="23"/>
      <c r="F31" s="23"/>
      <c r="G31" s="23"/>
      <c r="H31" s="23"/>
      <c r="I31" s="23"/>
      <c r="J31" s="23"/>
      <c r="K31" s="23"/>
      <c r="L31" s="23"/>
      <c r="M31" s="23"/>
      <c r="N31" s="23"/>
    </row>
    <row r="32" spans="1:17" ht="14.45">
      <c r="A32" s="23"/>
      <c r="B32" s="35"/>
      <c r="C32" s="23"/>
      <c r="D32" s="23"/>
      <c r="E32" s="23"/>
      <c r="F32" s="23"/>
      <c r="G32" s="23"/>
      <c r="H32" s="23"/>
      <c r="I32" s="23"/>
      <c r="J32" s="23"/>
      <c r="K32" s="23"/>
      <c r="L32" s="23"/>
      <c r="M32" s="23"/>
      <c r="N32" s="23"/>
    </row>
    <row r="33" spans="1:14" ht="14.45">
      <c r="A33" s="23"/>
      <c r="B33" s="35"/>
      <c r="C33" s="23"/>
      <c r="D33" s="23"/>
      <c r="E33" s="23"/>
      <c r="F33" s="23"/>
      <c r="G33" s="23"/>
      <c r="H33" s="23"/>
      <c r="I33" s="24"/>
      <c r="J33" s="23"/>
      <c r="K33" s="23"/>
      <c r="L33" s="24"/>
      <c r="M33" s="23"/>
      <c r="N33" s="23"/>
    </row>
    <row r="34" spans="1:14" ht="14.45">
      <c r="A34" s="23"/>
      <c r="B34" s="35"/>
      <c r="C34" s="23"/>
      <c r="D34" s="23"/>
      <c r="E34" s="23"/>
      <c r="F34" s="23"/>
      <c r="G34" s="23"/>
      <c r="H34" s="23"/>
      <c r="I34" s="24"/>
      <c r="J34" s="23"/>
      <c r="K34" s="23"/>
      <c r="L34" s="24"/>
      <c r="M34" s="23"/>
      <c r="N34" s="23"/>
    </row>
    <row r="35" spans="1:14" ht="14.45">
      <c r="A35" s="23"/>
      <c r="B35" s="35"/>
      <c r="C35" s="23"/>
      <c r="D35" s="23"/>
      <c r="E35" s="23"/>
      <c r="F35" s="23"/>
      <c r="G35" s="23"/>
      <c r="H35" s="23"/>
      <c r="I35" s="24"/>
      <c r="J35" s="23"/>
      <c r="K35" s="23"/>
      <c r="L35" s="24"/>
      <c r="M35" s="23"/>
      <c r="N35" s="23"/>
    </row>
    <row r="36" spans="1:14" ht="14.45">
      <c r="A36" s="23"/>
      <c r="B36" s="35"/>
      <c r="C36" s="23"/>
      <c r="D36" s="23"/>
      <c r="E36" s="23"/>
      <c r="F36" s="23"/>
      <c r="G36" s="23"/>
      <c r="H36" s="23"/>
      <c r="I36" s="24"/>
      <c r="J36" s="23"/>
      <c r="K36" s="23"/>
      <c r="L36" s="24"/>
      <c r="M36" s="23"/>
      <c r="N36" s="23"/>
    </row>
    <row r="37" spans="1:14" ht="14.45">
      <c r="A37" s="23"/>
      <c r="B37" s="35"/>
      <c r="C37" s="23"/>
      <c r="D37" s="23"/>
      <c r="E37" s="23"/>
      <c r="F37" s="23"/>
      <c r="G37" s="23"/>
      <c r="H37" s="23"/>
      <c r="I37" s="24"/>
      <c r="J37" s="23"/>
      <c r="K37" s="23"/>
      <c r="L37" s="24"/>
      <c r="M37" s="23"/>
      <c r="N37" s="23"/>
    </row>
    <row r="38" spans="1:14" ht="14.45">
      <c r="A38" s="23"/>
      <c r="B38" s="35"/>
      <c r="C38" s="23"/>
      <c r="D38" s="23"/>
      <c r="E38" s="23"/>
      <c r="F38" s="23"/>
      <c r="G38" s="23"/>
      <c r="H38" s="23"/>
      <c r="I38" s="24"/>
      <c r="J38" s="23"/>
      <c r="K38" s="23"/>
      <c r="L38" s="24"/>
      <c r="M38" s="23"/>
      <c r="N38" s="23"/>
    </row>
    <row r="39" spans="1:14" ht="14.45">
      <c r="A39" s="23"/>
      <c r="B39" s="35"/>
      <c r="C39" s="23"/>
      <c r="D39" s="23"/>
      <c r="E39" s="23"/>
      <c r="F39" s="23"/>
      <c r="G39" s="23"/>
      <c r="H39" s="23"/>
      <c r="I39" s="24"/>
      <c r="J39" s="23"/>
      <c r="K39" s="23"/>
      <c r="L39" s="24"/>
      <c r="M39" s="23"/>
      <c r="N39" s="23"/>
    </row>
    <row r="40" spans="1:14" ht="14.45">
      <c r="A40" s="23"/>
      <c r="B40" s="35"/>
      <c r="C40" s="23"/>
      <c r="D40" s="23"/>
      <c r="E40" s="23"/>
      <c r="F40" s="23"/>
      <c r="G40" s="23"/>
      <c r="H40" s="23"/>
      <c r="I40" s="24"/>
      <c r="J40" s="23"/>
      <c r="K40" s="23"/>
      <c r="L40" s="24"/>
      <c r="M40" s="23"/>
      <c r="N40" s="23"/>
    </row>
    <row r="41" spans="1:14" ht="14.45">
      <c r="A41" s="23"/>
      <c r="B41" s="35"/>
      <c r="C41" s="23"/>
      <c r="D41" s="23"/>
      <c r="E41" s="23"/>
      <c r="F41" s="23"/>
      <c r="G41" s="23"/>
      <c r="H41" s="23"/>
      <c r="I41" s="24"/>
      <c r="J41" s="23"/>
      <c r="K41" s="23"/>
      <c r="L41" s="24"/>
      <c r="M41" s="23"/>
      <c r="N41" s="23"/>
    </row>
    <row r="42" spans="1:14" ht="14.45">
      <c r="A42" s="23"/>
      <c r="B42" s="35"/>
      <c r="C42" s="23"/>
      <c r="D42" s="23"/>
      <c r="E42" s="23"/>
      <c r="F42" s="23"/>
      <c r="G42" s="23"/>
      <c r="H42" s="23"/>
      <c r="I42" s="24"/>
      <c r="J42" s="23"/>
      <c r="K42" s="23"/>
      <c r="L42" s="24"/>
      <c r="M42" s="23"/>
      <c r="N42" s="23"/>
    </row>
    <row r="43" spans="1:14" ht="14.45">
      <c r="A43" s="23"/>
      <c r="B43" s="35"/>
      <c r="C43" s="23"/>
      <c r="D43" s="23"/>
      <c r="E43" s="23"/>
      <c r="F43" s="23"/>
      <c r="G43" s="23"/>
      <c r="H43" s="23"/>
      <c r="I43" s="24"/>
      <c r="J43" s="23"/>
      <c r="K43" s="23"/>
      <c r="L43" s="24"/>
      <c r="M43" s="23"/>
      <c r="N43" s="23"/>
    </row>
    <row r="44" spans="1:14" ht="14.45">
      <c r="A44" s="23"/>
      <c r="B44" s="35"/>
      <c r="C44" s="23"/>
      <c r="D44" s="23"/>
      <c r="E44" s="23"/>
      <c r="F44" s="23"/>
      <c r="G44" s="23"/>
      <c r="H44" s="23"/>
      <c r="I44" s="24"/>
      <c r="J44" s="23"/>
      <c r="K44" s="23"/>
      <c r="L44" s="24"/>
      <c r="M44" s="23"/>
      <c r="N44" s="23"/>
    </row>
    <row r="45" spans="1:14" ht="14.45">
      <c r="A45" s="23"/>
      <c r="B45" s="35"/>
      <c r="C45" s="23"/>
      <c r="D45" s="23"/>
      <c r="E45" s="23"/>
      <c r="F45" s="23"/>
      <c r="G45" s="23"/>
      <c r="H45" s="23"/>
      <c r="I45" s="24"/>
      <c r="J45" s="23"/>
      <c r="K45" s="23"/>
      <c r="L45" s="24"/>
      <c r="M45" s="23"/>
      <c r="N45" s="23"/>
    </row>
    <row r="46" spans="1:14" ht="14.45">
      <c r="A46" s="23"/>
      <c r="B46" s="35"/>
      <c r="C46" s="23"/>
      <c r="D46" s="23"/>
      <c r="E46" s="23"/>
      <c r="F46" s="23"/>
      <c r="G46" s="23"/>
      <c r="H46" s="23"/>
      <c r="I46" s="24"/>
      <c r="J46" s="23"/>
      <c r="K46" s="23"/>
      <c r="L46" s="24"/>
      <c r="M46" s="23"/>
      <c r="N46" s="23"/>
    </row>
    <row r="47" spans="1:14" ht="14.45">
      <c r="A47" s="23"/>
      <c r="B47" s="35"/>
      <c r="C47" s="23"/>
      <c r="D47" s="23"/>
      <c r="E47" s="23"/>
      <c r="F47" s="23"/>
      <c r="G47" s="23"/>
      <c r="H47" s="23"/>
      <c r="I47" s="24"/>
      <c r="J47" s="23"/>
      <c r="K47" s="23"/>
      <c r="L47" s="24"/>
      <c r="M47" s="23"/>
      <c r="N47" s="23"/>
    </row>
    <row r="48" spans="1:14" ht="14.45">
      <c r="A48" s="23"/>
      <c r="B48" s="35"/>
      <c r="C48" s="23"/>
      <c r="D48" s="23"/>
      <c r="E48" s="23"/>
      <c r="F48" s="23"/>
      <c r="G48" s="23"/>
      <c r="H48" s="23"/>
      <c r="I48" s="24"/>
      <c r="J48" s="23"/>
      <c r="K48" s="23"/>
      <c r="L48" s="24"/>
      <c r="M48" s="23"/>
      <c r="N48" s="23"/>
    </row>
    <row r="49" spans="1:14" ht="14.45">
      <c r="A49" s="23"/>
      <c r="B49" s="35"/>
      <c r="C49" s="23"/>
      <c r="D49" s="23"/>
      <c r="E49" s="23"/>
      <c r="F49" s="23"/>
      <c r="G49" s="23"/>
      <c r="H49" s="23"/>
      <c r="I49" s="24"/>
      <c r="J49" s="23"/>
      <c r="K49" s="23"/>
      <c r="L49" s="24"/>
      <c r="M49" s="23"/>
      <c r="N49" s="23"/>
    </row>
    <row r="50" spans="1:14" ht="14.45">
      <c r="A50" s="23"/>
      <c r="B50" s="35"/>
      <c r="C50" s="23"/>
      <c r="D50" s="23"/>
      <c r="E50" s="23"/>
      <c r="F50" s="23"/>
      <c r="G50" s="23"/>
      <c r="H50" s="23"/>
      <c r="I50" s="24"/>
      <c r="J50" s="23"/>
      <c r="K50" s="23"/>
      <c r="L50" s="24"/>
      <c r="M50" s="23"/>
      <c r="N50" s="23"/>
    </row>
    <row r="51" spans="1:14" ht="14.45">
      <c r="A51" s="23"/>
      <c r="B51" s="35"/>
      <c r="C51" s="23"/>
      <c r="D51" s="23"/>
      <c r="E51" s="23"/>
      <c r="F51" s="23"/>
      <c r="G51" s="23"/>
      <c r="H51" s="23"/>
      <c r="I51" s="24"/>
      <c r="J51" s="23"/>
      <c r="K51" s="23"/>
      <c r="L51" s="24"/>
      <c r="M51" s="23"/>
      <c r="N51" s="23"/>
    </row>
    <row r="52" spans="1:14" ht="14.45">
      <c r="A52" s="23"/>
      <c r="B52" s="35"/>
      <c r="C52" s="23"/>
      <c r="D52" s="23"/>
      <c r="E52" s="23"/>
      <c r="F52" s="23"/>
      <c r="G52" s="23"/>
      <c r="H52" s="23"/>
      <c r="I52" s="24"/>
      <c r="J52" s="23"/>
      <c r="K52" s="23"/>
      <c r="L52" s="24"/>
      <c r="M52" s="23"/>
      <c r="N52" s="23"/>
    </row>
    <row r="53" spans="1:14" ht="14.45">
      <c r="A53" s="23"/>
      <c r="B53" s="35"/>
      <c r="C53" s="23"/>
      <c r="D53" s="23"/>
      <c r="E53" s="23"/>
      <c r="F53" s="23"/>
      <c r="G53" s="23"/>
      <c r="H53" s="23"/>
      <c r="I53" s="24"/>
      <c r="J53" s="23"/>
      <c r="K53" s="23"/>
      <c r="L53" s="24"/>
      <c r="M53" s="23"/>
      <c r="N53" s="23"/>
    </row>
    <row r="54" spans="1:14" ht="14.45">
      <c r="A54" s="23"/>
      <c r="B54" s="35"/>
      <c r="C54" s="23"/>
      <c r="D54" s="23"/>
      <c r="E54" s="23"/>
      <c r="F54" s="23"/>
      <c r="G54" s="23"/>
      <c r="H54" s="23"/>
      <c r="I54" s="24"/>
      <c r="J54" s="23"/>
      <c r="K54" s="23"/>
      <c r="L54" s="24"/>
      <c r="M54" s="23"/>
      <c r="N54" s="23"/>
    </row>
    <row r="55" spans="1:14" ht="14.45">
      <c r="A55" s="23"/>
      <c r="B55" s="35"/>
      <c r="C55" s="23"/>
      <c r="D55" s="23"/>
      <c r="E55" s="23"/>
      <c r="F55" s="23"/>
      <c r="G55" s="23"/>
      <c r="H55" s="23"/>
      <c r="I55" s="24"/>
      <c r="J55" s="23"/>
      <c r="K55" s="23"/>
      <c r="L55" s="24"/>
      <c r="M55" s="23"/>
      <c r="N55" s="23"/>
    </row>
    <row r="56" spans="1:14" ht="14.45">
      <c r="A56" s="23"/>
      <c r="B56" s="35"/>
      <c r="C56" s="23"/>
      <c r="D56" s="23"/>
      <c r="E56" s="23"/>
      <c r="F56" s="23"/>
      <c r="G56" s="23"/>
      <c r="H56" s="23"/>
      <c r="I56" s="24"/>
      <c r="J56" s="23"/>
      <c r="K56" s="23"/>
      <c r="L56" s="24"/>
      <c r="M56" s="23"/>
      <c r="N56" s="23"/>
    </row>
    <row r="57" spans="1:14" ht="14.45">
      <c r="A57" s="23"/>
      <c r="B57" s="35"/>
      <c r="C57" s="23"/>
      <c r="D57" s="23"/>
      <c r="E57" s="23"/>
      <c r="F57" s="23"/>
      <c r="G57" s="23"/>
      <c r="H57" s="23"/>
      <c r="I57" s="24"/>
      <c r="J57" s="23"/>
      <c r="K57" s="23"/>
      <c r="L57" s="24"/>
      <c r="M57" s="23"/>
      <c r="N57" s="23"/>
    </row>
    <row r="58" spans="1:14" ht="14.45">
      <c r="A58" s="23"/>
      <c r="B58" s="35"/>
      <c r="C58" s="23"/>
      <c r="D58" s="23"/>
      <c r="E58" s="23"/>
      <c r="F58" s="23"/>
      <c r="G58" s="23"/>
      <c r="H58" s="23"/>
      <c r="I58" s="24"/>
      <c r="J58" s="23"/>
      <c r="K58" s="23"/>
      <c r="L58" s="24"/>
      <c r="M58" s="23"/>
      <c r="N58" s="23"/>
    </row>
    <row r="59" spans="1:14" ht="14.45">
      <c r="A59" s="23"/>
      <c r="B59" s="35"/>
      <c r="C59" s="23"/>
      <c r="D59" s="23"/>
      <c r="E59" s="23"/>
      <c r="F59" s="23"/>
      <c r="G59" s="23"/>
      <c r="H59" s="23"/>
      <c r="I59" s="24"/>
      <c r="J59" s="23"/>
      <c r="K59" s="23"/>
      <c r="L59" s="24"/>
      <c r="M59" s="23"/>
      <c r="N59" s="23"/>
    </row>
    <row r="60" spans="1:14" ht="14.45">
      <c r="A60" s="23"/>
      <c r="B60" s="35"/>
      <c r="C60" s="23"/>
      <c r="D60" s="23"/>
      <c r="E60" s="23"/>
      <c r="F60" s="23"/>
      <c r="G60" s="23"/>
      <c r="H60" s="23"/>
      <c r="I60" s="24"/>
      <c r="J60" s="23"/>
      <c r="K60" s="23"/>
      <c r="L60" s="24"/>
      <c r="M60" s="23"/>
      <c r="N60" s="23"/>
    </row>
    <row r="61" spans="1:14" ht="14.45">
      <c r="A61" s="23"/>
      <c r="B61" s="35"/>
      <c r="C61" s="23"/>
      <c r="D61" s="23"/>
      <c r="E61" s="23"/>
      <c r="F61" s="23"/>
      <c r="G61" s="23"/>
      <c r="H61" s="23"/>
      <c r="I61" s="24"/>
      <c r="J61" s="23"/>
      <c r="K61" s="23"/>
      <c r="L61" s="24"/>
      <c r="M61" s="23"/>
      <c r="N61" s="23"/>
    </row>
    <row r="62" spans="1:14" ht="14.45">
      <c r="A62" s="23"/>
      <c r="B62" s="35"/>
      <c r="C62" s="23"/>
      <c r="D62" s="23"/>
      <c r="E62" s="23"/>
      <c r="F62" s="23"/>
      <c r="G62" s="23"/>
      <c r="H62" s="23"/>
      <c r="I62" s="24"/>
      <c r="J62" s="23"/>
      <c r="K62" s="23"/>
      <c r="L62" s="24"/>
      <c r="M62" s="23"/>
      <c r="N62" s="23"/>
    </row>
    <row r="63" spans="1:14" ht="14.45">
      <c r="A63" s="23"/>
      <c r="B63" s="35"/>
      <c r="C63" s="23"/>
      <c r="D63" s="23"/>
      <c r="E63" s="23"/>
      <c r="F63" s="23"/>
      <c r="G63" s="23"/>
      <c r="H63" s="23"/>
      <c r="I63" s="24"/>
      <c r="J63" s="23"/>
      <c r="K63" s="23"/>
      <c r="L63" s="24"/>
      <c r="M63" s="23"/>
      <c r="N63" s="23"/>
    </row>
    <row r="64" spans="1:14" ht="14.45">
      <c r="A64" s="23"/>
      <c r="B64" s="35"/>
      <c r="C64" s="23"/>
      <c r="D64" s="23"/>
      <c r="E64" s="23"/>
      <c r="F64" s="23"/>
      <c r="G64" s="23"/>
      <c r="H64" s="23"/>
      <c r="I64" s="24"/>
      <c r="J64" s="23"/>
      <c r="K64" s="23"/>
      <c r="L64" s="24"/>
      <c r="M64" s="23"/>
      <c r="N64" s="23"/>
    </row>
    <row r="65" spans="1:14" ht="14.45">
      <c r="A65" s="23"/>
      <c r="B65" s="35"/>
      <c r="C65" s="23"/>
      <c r="D65" s="23"/>
      <c r="E65" s="23"/>
      <c r="F65" s="23"/>
      <c r="G65" s="23"/>
      <c r="H65" s="23"/>
      <c r="I65" s="24"/>
      <c r="J65" s="23"/>
      <c r="K65" s="23"/>
      <c r="L65" s="24"/>
      <c r="M65" s="23"/>
      <c r="N65" s="23"/>
    </row>
    <row r="66" spans="1:14" ht="14.45">
      <c r="A66" s="23"/>
      <c r="B66" s="35"/>
      <c r="C66" s="23"/>
      <c r="D66" s="23"/>
      <c r="E66" s="23"/>
      <c r="F66" s="23"/>
      <c r="G66" s="23"/>
      <c r="H66" s="23"/>
      <c r="I66" s="24"/>
      <c r="J66" s="23"/>
      <c r="K66" s="23"/>
      <c r="L66" s="24"/>
      <c r="M66" s="23"/>
      <c r="N66" s="23"/>
    </row>
    <row r="67" spans="1:14" ht="14.45">
      <c r="A67" s="23"/>
      <c r="B67" s="35"/>
      <c r="C67" s="23"/>
      <c r="D67" s="23"/>
      <c r="E67" s="23"/>
      <c r="F67" s="23"/>
      <c r="G67" s="23"/>
      <c r="H67" s="23"/>
      <c r="I67" s="24"/>
      <c r="J67" s="23"/>
      <c r="K67" s="23"/>
      <c r="L67" s="24"/>
      <c r="M67" s="23"/>
      <c r="N67" s="23"/>
    </row>
    <row r="68" spans="1:14" ht="14.45">
      <c r="A68" s="23"/>
      <c r="B68" s="35"/>
      <c r="C68" s="23"/>
      <c r="D68" s="23"/>
      <c r="E68" s="23"/>
      <c r="F68" s="23"/>
      <c r="G68" s="23"/>
      <c r="H68" s="23"/>
      <c r="I68" s="24"/>
      <c r="J68" s="23"/>
      <c r="K68" s="23"/>
      <c r="L68" s="24"/>
      <c r="M68" s="23"/>
      <c r="N68" s="23"/>
    </row>
    <row r="69" spans="1:14" ht="14.45">
      <c r="A69" s="23"/>
      <c r="B69" s="35"/>
      <c r="C69" s="23"/>
      <c r="D69" s="23"/>
      <c r="E69" s="23"/>
      <c r="F69" s="23"/>
      <c r="G69" s="23"/>
      <c r="H69" s="23"/>
      <c r="I69" s="24"/>
      <c r="J69" s="23"/>
      <c r="K69" s="23"/>
      <c r="L69" s="24"/>
      <c r="M69" s="23"/>
      <c r="N69" s="23"/>
    </row>
    <row r="70" spans="1:14" ht="14.45">
      <c r="A70" s="23"/>
      <c r="B70" s="35"/>
      <c r="C70" s="23"/>
      <c r="D70" s="23"/>
      <c r="E70" s="23"/>
      <c r="F70" s="23"/>
      <c r="G70" s="23"/>
      <c r="H70" s="23"/>
      <c r="I70" s="24"/>
      <c r="J70" s="23"/>
      <c r="K70" s="23"/>
      <c r="L70" s="24"/>
      <c r="M70" s="23"/>
      <c r="N70" s="23"/>
    </row>
    <row r="71" spans="1:14" ht="14.45">
      <c r="A71" s="23"/>
      <c r="B71" s="35"/>
      <c r="C71" s="23"/>
      <c r="D71" s="23"/>
      <c r="E71" s="23"/>
      <c r="F71" s="23"/>
      <c r="G71" s="23"/>
      <c r="H71" s="23"/>
      <c r="I71" s="24"/>
      <c r="J71" s="23"/>
      <c r="K71" s="23"/>
      <c r="L71" s="24"/>
      <c r="M71" s="23"/>
      <c r="N71" s="23"/>
    </row>
    <row r="72" spans="1:14" ht="14.45">
      <c r="A72" s="23"/>
      <c r="B72" s="35"/>
      <c r="C72" s="23"/>
      <c r="D72" s="23"/>
      <c r="E72" s="23"/>
      <c r="F72" s="23"/>
      <c r="G72" s="23"/>
      <c r="H72" s="23"/>
      <c r="I72" s="24"/>
      <c r="J72" s="23"/>
      <c r="K72" s="23"/>
      <c r="L72" s="24"/>
      <c r="M72" s="23"/>
      <c r="N72" s="23"/>
    </row>
    <row r="73" spans="1:14" ht="14.45">
      <c r="A73" s="23"/>
      <c r="B73" s="35"/>
      <c r="C73" s="23"/>
      <c r="D73" s="23"/>
      <c r="E73" s="23"/>
      <c r="F73" s="23"/>
      <c r="G73" s="23"/>
      <c r="H73" s="23"/>
      <c r="I73" s="24"/>
      <c r="J73" s="23"/>
      <c r="K73" s="23"/>
      <c r="L73" s="24"/>
      <c r="M73" s="23"/>
      <c r="N73" s="23"/>
    </row>
    <row r="74" spans="1:14" ht="14.45">
      <c r="A74" s="23"/>
      <c r="B74" s="35"/>
      <c r="C74" s="23"/>
      <c r="D74" s="23"/>
      <c r="E74" s="23"/>
      <c r="F74" s="23"/>
      <c r="G74" s="23"/>
      <c r="H74" s="23"/>
      <c r="I74" s="24"/>
      <c r="J74" s="23"/>
      <c r="K74" s="23"/>
      <c r="L74" s="24"/>
      <c r="M74" s="23"/>
      <c r="N74" s="23"/>
    </row>
    <row r="75" spans="1:14" ht="14.45">
      <c r="A75" s="23"/>
      <c r="B75" s="35"/>
      <c r="C75" s="23"/>
      <c r="D75" s="23"/>
      <c r="E75" s="23"/>
      <c r="F75" s="23"/>
      <c r="G75" s="23"/>
      <c r="H75" s="23"/>
      <c r="I75" s="24"/>
      <c r="J75" s="23"/>
      <c r="K75" s="23"/>
      <c r="L75" s="24"/>
      <c r="M75" s="23"/>
      <c r="N75" s="23"/>
    </row>
    <row r="76" spans="1:14" ht="14.45">
      <c r="A76" s="23"/>
      <c r="B76" s="35"/>
      <c r="C76" s="23"/>
      <c r="D76" s="23"/>
      <c r="E76" s="23"/>
      <c r="F76" s="23"/>
      <c r="G76" s="23"/>
      <c r="H76" s="23"/>
      <c r="I76" s="24"/>
      <c r="J76" s="23"/>
      <c r="K76" s="23"/>
      <c r="L76" s="24"/>
      <c r="M76" s="23"/>
      <c r="N76" s="23"/>
    </row>
    <row r="77" spans="1:14" ht="14.45">
      <c r="A77" s="23"/>
      <c r="B77" s="35"/>
      <c r="C77" s="23"/>
      <c r="D77" s="23"/>
      <c r="E77" s="23"/>
      <c r="F77" s="23"/>
      <c r="G77" s="23"/>
      <c r="H77" s="23"/>
      <c r="I77" s="24"/>
      <c r="J77" s="23"/>
      <c r="K77" s="23"/>
      <c r="L77" s="24"/>
      <c r="M77" s="23"/>
      <c r="N77" s="23"/>
    </row>
    <row r="78" spans="1:14" ht="14.45">
      <c r="A78" s="23"/>
      <c r="B78" s="35"/>
      <c r="C78" s="23"/>
      <c r="D78" s="23"/>
      <c r="E78" s="23"/>
      <c r="F78" s="23"/>
      <c r="G78" s="23"/>
      <c r="H78" s="23"/>
      <c r="I78" s="24"/>
      <c r="J78" s="23"/>
      <c r="K78" s="23"/>
      <c r="L78" s="24"/>
      <c r="M78" s="23"/>
      <c r="N78" s="23"/>
    </row>
    <row r="79" spans="1:14" ht="14.45">
      <c r="A79" s="23"/>
      <c r="B79" s="35"/>
      <c r="C79" s="23"/>
      <c r="D79" s="23"/>
      <c r="E79" s="23"/>
      <c r="F79" s="23"/>
      <c r="G79" s="23"/>
      <c r="H79" s="23"/>
      <c r="I79" s="24"/>
      <c r="J79" s="23"/>
      <c r="K79" s="23"/>
      <c r="L79" s="24"/>
      <c r="M79" s="23"/>
      <c r="N79" s="23"/>
    </row>
    <row r="80" spans="1:14" ht="14.45">
      <c r="A80" s="23"/>
      <c r="B80" s="35"/>
      <c r="C80" s="23"/>
      <c r="D80" s="23"/>
      <c r="E80" s="23"/>
      <c r="F80" s="23"/>
      <c r="G80" s="23"/>
      <c r="H80" s="23"/>
      <c r="I80" s="24"/>
      <c r="J80" s="23"/>
      <c r="K80" s="23"/>
      <c r="L80" s="24"/>
      <c r="M80" s="23"/>
      <c r="N80" s="23"/>
    </row>
    <row r="81" spans="1:14" ht="14.45">
      <c r="A81" s="23"/>
      <c r="B81" s="35"/>
      <c r="C81" s="23"/>
      <c r="D81" s="23"/>
      <c r="E81" s="23"/>
      <c r="F81" s="23"/>
      <c r="G81" s="23"/>
      <c r="H81" s="23"/>
      <c r="I81" s="24"/>
      <c r="J81" s="23"/>
      <c r="K81" s="23"/>
      <c r="L81" s="24"/>
      <c r="M81" s="23"/>
      <c r="N81" s="23"/>
    </row>
    <row r="82" spans="1:14" ht="14.45">
      <c r="A82" s="23"/>
      <c r="B82" s="35"/>
      <c r="C82" s="23"/>
      <c r="D82" s="23"/>
      <c r="E82" s="23"/>
      <c r="F82" s="23"/>
      <c r="G82" s="23"/>
      <c r="H82" s="23"/>
      <c r="I82" s="24"/>
      <c r="J82" s="23"/>
      <c r="K82" s="23"/>
      <c r="L82" s="24"/>
      <c r="M82" s="23"/>
      <c r="N82" s="23"/>
    </row>
    <row r="83" spans="1:14" ht="14.45">
      <c r="A83" s="23"/>
      <c r="B83" s="35"/>
      <c r="C83" s="23"/>
      <c r="D83" s="23"/>
      <c r="E83" s="23"/>
      <c r="F83" s="23"/>
      <c r="G83" s="23"/>
      <c r="H83" s="23"/>
      <c r="I83" s="24"/>
      <c r="J83" s="23"/>
      <c r="K83" s="23"/>
      <c r="L83" s="24"/>
      <c r="M83" s="23"/>
      <c r="N83" s="23"/>
    </row>
    <row r="84" spans="1:14" ht="14.45">
      <c r="A84" s="23"/>
      <c r="B84" s="35"/>
      <c r="C84" s="23"/>
      <c r="D84" s="23"/>
      <c r="E84" s="23"/>
      <c r="F84" s="23"/>
      <c r="G84" s="23"/>
      <c r="H84" s="23"/>
      <c r="I84" s="24"/>
      <c r="J84" s="23"/>
      <c r="K84" s="23"/>
      <c r="L84" s="24"/>
      <c r="M84" s="23"/>
      <c r="N84" s="23"/>
    </row>
    <row r="85" spans="1:14" ht="14.45">
      <c r="A85" s="23"/>
      <c r="B85" s="35"/>
      <c r="C85" s="23"/>
      <c r="D85" s="23"/>
      <c r="E85" s="23"/>
      <c r="F85" s="23"/>
      <c r="G85" s="23"/>
      <c r="H85" s="23"/>
      <c r="I85" s="24"/>
      <c r="J85" s="23"/>
      <c r="K85" s="23"/>
      <c r="L85" s="24"/>
      <c r="M85" s="23"/>
      <c r="N85" s="23"/>
    </row>
    <row r="86" spans="1:14" ht="14.45">
      <c r="A86" s="23"/>
      <c r="B86" s="35"/>
      <c r="C86" s="23"/>
      <c r="D86" s="23"/>
      <c r="E86" s="23"/>
      <c r="F86" s="23"/>
      <c r="G86" s="23"/>
      <c r="H86" s="23"/>
      <c r="I86" s="24"/>
      <c r="J86" s="23"/>
      <c r="K86" s="23"/>
      <c r="L86" s="24"/>
      <c r="M86" s="23"/>
      <c r="N86" s="23"/>
    </row>
    <row r="87" spans="1:14" ht="14.45">
      <c r="A87" s="23"/>
      <c r="B87" s="35"/>
      <c r="C87" s="23"/>
      <c r="D87" s="23"/>
      <c r="E87" s="23"/>
      <c r="F87" s="23"/>
      <c r="G87" s="23"/>
      <c r="H87" s="23"/>
      <c r="I87" s="24"/>
      <c r="J87" s="23"/>
      <c r="K87" s="23"/>
      <c r="L87" s="24"/>
      <c r="M87" s="23"/>
      <c r="N87" s="23"/>
    </row>
    <row r="88" spans="1:14" ht="14.45">
      <c r="A88" s="23"/>
      <c r="B88" s="35"/>
      <c r="C88" s="23"/>
      <c r="D88" s="23"/>
      <c r="E88" s="23"/>
      <c r="F88" s="23"/>
      <c r="G88" s="23"/>
      <c r="H88" s="23"/>
      <c r="I88" s="24"/>
      <c r="J88" s="23"/>
      <c r="K88" s="23"/>
      <c r="L88" s="24"/>
      <c r="M88" s="23"/>
      <c r="N88" s="23"/>
    </row>
    <row r="89" spans="1:14" ht="14.45">
      <c r="A89" s="23"/>
      <c r="B89" s="35"/>
      <c r="C89" s="23"/>
      <c r="D89" s="23"/>
      <c r="E89" s="23"/>
      <c r="F89" s="23"/>
      <c r="G89" s="23"/>
      <c r="H89" s="23"/>
      <c r="I89" s="24"/>
      <c r="J89" s="23"/>
      <c r="K89" s="23"/>
      <c r="L89" s="24"/>
      <c r="M89" s="23"/>
      <c r="N89" s="23"/>
    </row>
    <row r="90" spans="1:14" ht="14.45">
      <c r="A90" s="23"/>
      <c r="B90" s="35"/>
      <c r="C90" s="23"/>
      <c r="D90" s="23"/>
      <c r="E90" s="23"/>
      <c r="F90" s="23"/>
      <c r="G90" s="23"/>
      <c r="H90" s="23"/>
      <c r="I90" s="24"/>
      <c r="J90" s="23"/>
      <c r="K90" s="23"/>
      <c r="L90" s="24"/>
      <c r="M90" s="23"/>
      <c r="N90" s="23"/>
    </row>
    <row r="91" spans="1:14" ht="14.45">
      <c r="A91" s="23"/>
      <c r="B91" s="35"/>
      <c r="C91" s="23"/>
      <c r="D91" s="23"/>
      <c r="E91" s="23"/>
      <c r="F91" s="23"/>
      <c r="G91" s="23"/>
      <c r="H91" s="23"/>
      <c r="I91" s="24"/>
      <c r="J91" s="23"/>
      <c r="K91" s="23"/>
      <c r="L91" s="24"/>
      <c r="M91" s="23"/>
      <c r="N91" s="23"/>
    </row>
    <row r="92" spans="1:14" ht="14.45">
      <c r="A92" s="23"/>
      <c r="B92" s="35"/>
      <c r="C92" s="23"/>
      <c r="D92" s="23"/>
      <c r="E92" s="23"/>
      <c r="F92" s="23"/>
      <c r="G92" s="23"/>
      <c r="H92" s="23"/>
      <c r="I92" s="24"/>
      <c r="J92" s="23"/>
      <c r="K92" s="23"/>
      <c r="L92" s="24"/>
      <c r="M92" s="23"/>
      <c r="N92" s="23"/>
    </row>
    <row r="93" spans="1:14" ht="14.45">
      <c r="A93" s="23"/>
      <c r="B93" s="35"/>
      <c r="C93" s="23"/>
      <c r="D93" s="23"/>
      <c r="E93" s="23"/>
      <c r="F93" s="23"/>
      <c r="G93" s="23"/>
      <c r="H93" s="23"/>
      <c r="I93" s="24"/>
      <c r="J93" s="23"/>
      <c r="K93" s="23"/>
      <c r="L93" s="24"/>
      <c r="M93" s="23"/>
      <c r="N93" s="23"/>
    </row>
    <row r="94" spans="1:14" ht="14.45">
      <c r="A94" s="23"/>
      <c r="B94" s="35"/>
      <c r="C94" s="23"/>
      <c r="D94" s="23"/>
      <c r="E94" s="23"/>
      <c r="F94" s="23"/>
      <c r="G94" s="23"/>
      <c r="H94" s="23"/>
      <c r="I94" s="24"/>
      <c r="J94" s="23"/>
      <c r="K94" s="23"/>
      <c r="L94" s="24"/>
      <c r="M94" s="23"/>
      <c r="N94" s="23"/>
    </row>
    <row r="95" spans="1:14" ht="14.45">
      <c r="A95" s="23"/>
      <c r="B95" s="35"/>
      <c r="C95" s="23"/>
      <c r="D95" s="23"/>
      <c r="E95" s="23"/>
      <c r="F95" s="23"/>
      <c r="G95" s="23"/>
      <c r="H95" s="23"/>
      <c r="I95" s="24"/>
      <c r="J95" s="23"/>
      <c r="K95" s="23"/>
      <c r="L95" s="24"/>
      <c r="M95" s="23"/>
      <c r="N95" s="23"/>
    </row>
    <row r="96" spans="1:14" ht="14.45">
      <c r="A96" s="23"/>
      <c r="B96" s="35"/>
      <c r="C96" s="23"/>
      <c r="D96" s="23"/>
      <c r="E96" s="23"/>
      <c r="F96" s="23"/>
      <c r="G96" s="23"/>
      <c r="H96" s="23"/>
      <c r="I96" s="24"/>
      <c r="J96" s="23"/>
      <c r="K96" s="23"/>
      <c r="L96" s="24"/>
      <c r="M96" s="23"/>
      <c r="N96" s="23"/>
    </row>
    <row r="97" spans="1:14" ht="14.45">
      <c r="A97" s="23"/>
      <c r="B97" s="35"/>
      <c r="C97" s="23"/>
      <c r="D97" s="23"/>
      <c r="E97" s="23"/>
      <c r="F97" s="23"/>
      <c r="G97" s="23"/>
      <c r="H97" s="23"/>
      <c r="I97" s="24"/>
      <c r="J97" s="23"/>
      <c r="K97" s="23"/>
      <c r="L97" s="24"/>
      <c r="M97" s="23"/>
      <c r="N97" s="23"/>
    </row>
    <row r="98" spans="1:14" ht="14.45">
      <c r="A98" s="23"/>
      <c r="B98" s="35"/>
      <c r="C98" s="23"/>
      <c r="D98" s="23"/>
      <c r="E98" s="23"/>
      <c r="F98" s="23"/>
      <c r="G98" s="23"/>
      <c r="H98" s="23"/>
      <c r="I98" s="24"/>
      <c r="J98" s="23"/>
      <c r="K98" s="23"/>
      <c r="L98" s="24"/>
      <c r="M98" s="23"/>
      <c r="N98" s="23"/>
    </row>
    <row r="99" spans="1:14" ht="14.45">
      <c r="A99" s="23"/>
      <c r="B99" s="35"/>
      <c r="C99" s="23"/>
      <c r="D99" s="23"/>
      <c r="E99" s="23"/>
      <c r="F99" s="23"/>
      <c r="G99" s="23"/>
      <c r="H99" s="23"/>
      <c r="I99" s="24"/>
      <c r="J99" s="23"/>
      <c r="K99" s="23"/>
      <c r="L99" s="24"/>
      <c r="M99" s="23"/>
      <c r="N99" s="23"/>
    </row>
    <row r="100" spans="1:14" ht="14.45">
      <c r="A100" s="23"/>
      <c r="B100" s="35"/>
      <c r="C100" s="23"/>
      <c r="D100" s="23"/>
      <c r="E100" s="23"/>
      <c r="F100" s="23"/>
      <c r="G100" s="23"/>
      <c r="H100" s="23"/>
      <c r="I100" s="24"/>
      <c r="J100" s="23"/>
      <c r="K100" s="23"/>
      <c r="L100" s="24"/>
      <c r="M100" s="23"/>
      <c r="N100" s="23"/>
    </row>
    <row r="101" spans="1:14" ht="14.45">
      <c r="A101" s="23"/>
      <c r="B101" s="35"/>
      <c r="C101" s="23"/>
      <c r="D101" s="23"/>
      <c r="E101" s="23"/>
      <c r="F101" s="23"/>
      <c r="G101" s="23"/>
      <c r="H101" s="23"/>
      <c r="I101" s="24"/>
      <c r="J101" s="23"/>
      <c r="K101" s="23"/>
      <c r="L101" s="24"/>
      <c r="M101" s="23"/>
      <c r="N101" s="23"/>
    </row>
    <row r="102" spans="1:14" ht="14.45">
      <c r="A102" s="23"/>
      <c r="B102" s="35"/>
      <c r="C102" s="23"/>
      <c r="D102" s="23"/>
      <c r="E102" s="23"/>
      <c r="F102" s="23"/>
      <c r="G102" s="23"/>
      <c r="H102" s="23"/>
      <c r="I102" s="24"/>
      <c r="J102" s="23"/>
      <c r="K102" s="23"/>
      <c r="L102" s="24"/>
      <c r="M102" s="23"/>
      <c r="N102" s="23"/>
    </row>
    <row r="103" spans="1:14" ht="14.45">
      <c r="A103" s="23"/>
      <c r="B103" s="35"/>
      <c r="C103" s="23"/>
      <c r="D103" s="23"/>
      <c r="E103" s="23"/>
      <c r="F103" s="23"/>
      <c r="G103" s="23"/>
      <c r="H103" s="23"/>
      <c r="I103" s="24"/>
      <c r="J103" s="23"/>
      <c r="K103" s="23"/>
      <c r="L103" s="24"/>
      <c r="M103" s="23"/>
      <c r="N103" s="23"/>
    </row>
    <row r="104" spans="1:14" ht="14.45">
      <c r="A104" s="23"/>
      <c r="B104" s="35"/>
      <c r="C104" s="23"/>
      <c r="D104" s="23"/>
      <c r="E104" s="23"/>
      <c r="F104" s="23"/>
      <c r="G104" s="23"/>
      <c r="H104" s="23"/>
      <c r="I104" s="24"/>
      <c r="J104" s="23"/>
      <c r="K104" s="23"/>
      <c r="L104" s="24"/>
      <c r="M104" s="23"/>
      <c r="N104" s="23"/>
    </row>
    <row r="105" spans="1:14" ht="14.45">
      <c r="A105" s="23"/>
      <c r="B105" s="35"/>
      <c r="C105" s="23"/>
      <c r="D105" s="23"/>
      <c r="E105" s="23"/>
      <c r="F105" s="23"/>
      <c r="G105" s="23"/>
      <c r="H105" s="23"/>
      <c r="I105" s="24"/>
      <c r="J105" s="23"/>
      <c r="K105" s="23"/>
      <c r="L105" s="24"/>
      <c r="M105" s="23"/>
      <c r="N105" s="23"/>
    </row>
    <row r="106" spans="1:14" ht="14.45">
      <c r="A106" s="23"/>
      <c r="B106" s="35"/>
      <c r="C106" s="23"/>
      <c r="D106" s="23"/>
      <c r="E106" s="23"/>
      <c r="F106" s="23"/>
      <c r="G106" s="23"/>
      <c r="H106" s="23"/>
      <c r="I106" s="24"/>
      <c r="J106" s="23"/>
      <c r="K106" s="23"/>
      <c r="L106" s="24"/>
      <c r="M106" s="23"/>
      <c r="N106" s="23"/>
    </row>
    <row r="107" spans="1:14" ht="14.45">
      <c r="A107" s="23"/>
      <c r="B107" s="35"/>
      <c r="C107" s="23"/>
      <c r="D107" s="23"/>
      <c r="E107" s="23"/>
      <c r="F107" s="23"/>
      <c r="G107" s="23"/>
      <c r="H107" s="23"/>
      <c r="I107" s="24"/>
      <c r="J107" s="23"/>
      <c r="K107" s="23"/>
      <c r="L107" s="24"/>
      <c r="M107" s="23"/>
      <c r="N107" s="23"/>
    </row>
    <row r="108" spans="1:14" ht="14.45">
      <c r="A108" s="23"/>
      <c r="B108" s="35"/>
      <c r="C108" s="23"/>
      <c r="D108" s="23"/>
      <c r="E108" s="23"/>
      <c r="F108" s="23"/>
      <c r="G108" s="23"/>
      <c r="H108" s="23"/>
      <c r="I108" s="24"/>
      <c r="J108" s="23"/>
      <c r="K108" s="23"/>
      <c r="L108" s="24"/>
      <c r="M108" s="23"/>
      <c r="N108" s="23"/>
    </row>
    <row r="109" spans="1:14" ht="14.45">
      <c r="A109" s="23"/>
      <c r="B109" s="35"/>
      <c r="C109" s="23"/>
      <c r="D109" s="23"/>
      <c r="E109" s="23"/>
      <c r="F109" s="23"/>
      <c r="G109" s="23"/>
      <c r="H109" s="23"/>
      <c r="I109" s="24"/>
      <c r="J109" s="23"/>
      <c r="K109" s="23"/>
      <c r="L109" s="24"/>
      <c r="M109" s="23"/>
      <c r="N109" s="23"/>
    </row>
    <row r="110" spans="1:14" ht="14.45">
      <c r="A110" s="23"/>
      <c r="B110" s="35"/>
      <c r="C110" s="23"/>
      <c r="D110" s="23"/>
      <c r="E110" s="23"/>
      <c r="F110" s="23"/>
      <c r="G110" s="23"/>
      <c r="H110" s="23"/>
      <c r="I110" s="24"/>
      <c r="J110" s="23"/>
      <c r="K110" s="23"/>
      <c r="L110" s="24"/>
      <c r="M110" s="23"/>
      <c r="N110" s="23"/>
    </row>
    <row r="111" spans="1:14" ht="14.45">
      <c r="A111" s="23"/>
      <c r="B111" s="35"/>
      <c r="C111" s="23"/>
      <c r="D111" s="23"/>
      <c r="E111" s="23"/>
      <c r="F111" s="23"/>
      <c r="G111" s="23"/>
      <c r="H111" s="23"/>
      <c r="I111" s="24"/>
      <c r="J111" s="23"/>
      <c r="K111" s="23"/>
      <c r="L111" s="24"/>
      <c r="M111" s="23"/>
      <c r="N111" s="23"/>
    </row>
    <row r="112" spans="1:14" ht="14.45">
      <c r="A112" s="23"/>
      <c r="B112" s="35"/>
      <c r="C112" s="23"/>
      <c r="D112" s="23"/>
      <c r="E112" s="23"/>
      <c r="F112" s="23"/>
      <c r="G112" s="23"/>
      <c r="H112" s="23"/>
      <c r="I112" s="24"/>
      <c r="J112" s="23"/>
      <c r="K112" s="23"/>
      <c r="L112" s="24"/>
      <c r="M112" s="23"/>
      <c r="N112" s="23"/>
    </row>
    <row r="113" spans="1:14" ht="14.45">
      <c r="A113" s="23"/>
      <c r="B113" s="35"/>
      <c r="C113" s="23"/>
      <c r="D113" s="23"/>
      <c r="E113" s="23"/>
      <c r="F113" s="23"/>
      <c r="G113" s="23"/>
      <c r="H113" s="23"/>
      <c r="I113" s="24"/>
      <c r="J113" s="23"/>
      <c r="K113" s="23"/>
      <c r="L113" s="24"/>
      <c r="M113" s="23"/>
      <c r="N113" s="23"/>
    </row>
    <row r="114" spans="1:14" ht="14.45">
      <c r="A114" s="23"/>
      <c r="B114" s="35"/>
      <c r="C114" s="23"/>
      <c r="D114" s="23"/>
      <c r="E114" s="23"/>
      <c r="F114" s="23"/>
      <c r="G114" s="23"/>
      <c r="H114" s="23"/>
      <c r="I114" s="24"/>
      <c r="J114" s="23"/>
      <c r="K114" s="23"/>
      <c r="L114" s="24"/>
      <c r="M114" s="23"/>
      <c r="N114" s="23"/>
    </row>
    <row r="115" spans="1:14" ht="14.45">
      <c r="A115" s="23"/>
      <c r="B115" s="35"/>
      <c r="C115" s="23"/>
      <c r="D115" s="23"/>
      <c r="E115" s="23"/>
      <c r="F115" s="23"/>
      <c r="G115" s="23"/>
      <c r="H115" s="23"/>
      <c r="I115" s="24"/>
      <c r="J115" s="23"/>
      <c r="K115" s="23"/>
      <c r="L115" s="24"/>
      <c r="M115" s="23"/>
      <c r="N115" s="23"/>
    </row>
    <row r="116" spans="1:14" ht="14.45">
      <c r="A116" s="23"/>
      <c r="B116" s="35"/>
      <c r="C116" s="23"/>
      <c r="D116" s="23"/>
      <c r="E116" s="23"/>
      <c r="F116" s="23"/>
      <c r="G116" s="23"/>
      <c r="H116" s="23"/>
      <c r="I116" s="24"/>
      <c r="J116" s="23"/>
      <c r="K116" s="23"/>
      <c r="L116" s="24"/>
      <c r="M116" s="23"/>
      <c r="N116" s="23"/>
    </row>
    <row r="117" spans="1:14" ht="14.45">
      <c r="A117" s="23"/>
      <c r="B117" s="35"/>
      <c r="C117" s="23"/>
      <c r="D117" s="23"/>
      <c r="E117" s="23"/>
      <c r="F117" s="23"/>
      <c r="G117" s="23"/>
      <c r="H117" s="23"/>
      <c r="I117" s="24"/>
      <c r="J117" s="23"/>
      <c r="K117" s="23"/>
      <c r="L117" s="24"/>
      <c r="M117" s="23"/>
      <c r="N117" s="23"/>
    </row>
    <row r="118" spans="1:14" ht="14.45">
      <c r="A118" s="23"/>
      <c r="B118" s="35"/>
      <c r="C118" s="23"/>
      <c r="D118" s="23"/>
      <c r="E118" s="23"/>
      <c r="F118" s="23"/>
      <c r="G118" s="23"/>
      <c r="H118" s="23"/>
      <c r="I118" s="24"/>
      <c r="J118" s="23"/>
      <c r="K118" s="23"/>
      <c r="L118" s="24"/>
      <c r="M118" s="23"/>
      <c r="N118" s="23"/>
    </row>
    <row r="119" spans="1:14" ht="14.45">
      <c r="A119" s="23"/>
      <c r="B119" s="35"/>
      <c r="C119" s="23"/>
      <c r="D119" s="23"/>
      <c r="E119" s="23"/>
      <c r="F119" s="23"/>
      <c r="G119" s="23"/>
      <c r="H119" s="23"/>
      <c r="I119" s="24"/>
      <c r="J119" s="23"/>
      <c r="K119" s="23"/>
      <c r="L119" s="24"/>
      <c r="M119" s="23"/>
      <c r="N119" s="23"/>
    </row>
    <row r="120" spans="1:14" ht="14.45">
      <c r="A120" s="23"/>
      <c r="B120" s="35"/>
      <c r="C120" s="23"/>
      <c r="D120" s="23"/>
      <c r="E120" s="23"/>
      <c r="F120" s="23"/>
      <c r="G120" s="23"/>
      <c r="H120" s="23"/>
      <c r="I120" s="24"/>
      <c r="J120" s="23"/>
      <c r="K120" s="23"/>
      <c r="L120" s="24"/>
      <c r="M120" s="23"/>
      <c r="N120" s="23"/>
    </row>
    <row r="121" spans="1:14" ht="14.45">
      <c r="A121" s="23"/>
      <c r="B121" s="35"/>
      <c r="C121" s="23"/>
      <c r="D121" s="23"/>
      <c r="E121" s="23"/>
      <c r="F121" s="23"/>
      <c r="G121" s="23"/>
      <c r="H121" s="23"/>
      <c r="I121" s="24"/>
      <c r="J121" s="23"/>
      <c r="K121" s="23"/>
      <c r="L121" s="24"/>
      <c r="M121" s="23"/>
      <c r="N121" s="23"/>
    </row>
    <row r="122" spans="1:14" ht="14.45">
      <c r="A122" s="23"/>
      <c r="B122" s="35"/>
      <c r="C122" s="23"/>
      <c r="D122" s="23"/>
      <c r="E122" s="23"/>
      <c r="F122" s="23"/>
      <c r="G122" s="23"/>
      <c r="H122" s="23"/>
      <c r="I122" s="24"/>
      <c r="J122" s="23"/>
      <c r="K122" s="23"/>
      <c r="L122" s="24"/>
      <c r="M122" s="23"/>
      <c r="N122" s="23"/>
    </row>
    <row r="123" spans="1:14" ht="14.45">
      <c r="A123" s="23"/>
      <c r="B123" s="35"/>
      <c r="C123" s="23"/>
      <c r="D123" s="23"/>
      <c r="E123" s="23"/>
      <c r="F123" s="23"/>
      <c r="G123" s="23"/>
      <c r="H123" s="23"/>
      <c r="I123" s="24"/>
      <c r="J123" s="23"/>
      <c r="K123" s="23"/>
      <c r="L123" s="24"/>
      <c r="M123" s="23"/>
      <c r="N123" s="23"/>
    </row>
    <row r="124" spans="1:14" ht="14.45">
      <c r="A124" s="23"/>
      <c r="B124" s="35"/>
      <c r="C124" s="23"/>
      <c r="D124" s="23"/>
      <c r="E124" s="23"/>
      <c r="F124" s="23"/>
      <c r="G124" s="23"/>
      <c r="H124" s="23"/>
      <c r="I124" s="24"/>
      <c r="J124" s="23"/>
      <c r="K124" s="23"/>
      <c r="L124" s="24"/>
      <c r="M124" s="23"/>
      <c r="N124" s="23"/>
    </row>
    <row r="125" spans="1:14" ht="14.45">
      <c r="A125" s="23"/>
      <c r="B125" s="35"/>
      <c r="C125" s="23"/>
      <c r="D125" s="23"/>
      <c r="E125" s="23"/>
      <c r="F125" s="23"/>
      <c r="G125" s="23"/>
      <c r="H125" s="23"/>
      <c r="I125" s="24"/>
      <c r="J125" s="23"/>
      <c r="K125" s="23"/>
      <c r="L125" s="24"/>
      <c r="M125" s="23"/>
      <c r="N125" s="23"/>
    </row>
    <row r="126" spans="1:14" ht="14.45">
      <c r="A126" s="23"/>
      <c r="B126" s="35"/>
      <c r="C126" s="23"/>
      <c r="D126" s="23"/>
      <c r="E126" s="23"/>
      <c r="F126" s="23"/>
      <c r="G126" s="23"/>
      <c r="H126" s="23"/>
      <c r="I126" s="24"/>
      <c r="J126" s="23"/>
      <c r="K126" s="23"/>
      <c r="L126" s="24"/>
      <c r="M126" s="23"/>
      <c r="N126" s="23"/>
    </row>
    <row r="127" spans="1:14" ht="14.45">
      <c r="A127" s="23"/>
      <c r="B127" s="35"/>
      <c r="C127" s="23"/>
      <c r="D127" s="23"/>
      <c r="E127" s="23"/>
      <c r="F127" s="23"/>
      <c r="G127" s="23"/>
      <c r="H127" s="23"/>
      <c r="I127" s="24"/>
      <c r="J127" s="23"/>
      <c r="K127" s="23"/>
      <c r="L127" s="24"/>
      <c r="M127" s="23"/>
      <c r="N127" s="23"/>
    </row>
    <row r="128" spans="1:14" ht="14.45">
      <c r="A128" s="23"/>
      <c r="B128" s="35"/>
      <c r="C128" s="23"/>
      <c r="D128" s="23"/>
      <c r="E128" s="23"/>
      <c r="F128" s="23"/>
      <c r="G128" s="23"/>
      <c r="H128" s="23"/>
      <c r="I128" s="24"/>
      <c r="J128" s="23"/>
      <c r="K128" s="23"/>
      <c r="L128" s="24"/>
      <c r="M128" s="23"/>
      <c r="N128" s="23"/>
    </row>
    <row r="129" spans="1:14" ht="14.45">
      <c r="A129" s="23"/>
      <c r="B129" s="35"/>
      <c r="C129" s="23"/>
      <c r="D129" s="23"/>
      <c r="E129" s="23"/>
      <c r="F129" s="23"/>
      <c r="G129" s="23"/>
      <c r="H129" s="23"/>
      <c r="I129" s="24"/>
      <c r="J129" s="23"/>
      <c r="K129" s="23"/>
      <c r="L129" s="24"/>
      <c r="M129" s="23"/>
      <c r="N129" s="23"/>
    </row>
    <row r="130" spans="1:14" ht="14.45">
      <c r="A130" s="23"/>
      <c r="B130" s="35"/>
      <c r="C130" s="23"/>
      <c r="D130" s="23"/>
      <c r="E130" s="23"/>
      <c r="F130" s="23"/>
      <c r="G130" s="23"/>
      <c r="H130" s="23"/>
      <c r="I130" s="24"/>
      <c r="J130" s="23"/>
      <c r="K130" s="23"/>
      <c r="L130" s="24"/>
      <c r="M130" s="23"/>
      <c r="N130" s="23"/>
    </row>
    <row r="131" spans="1:14" ht="14.45">
      <c r="A131" s="23"/>
      <c r="B131" s="35"/>
      <c r="C131" s="23"/>
      <c r="D131" s="23"/>
      <c r="E131" s="23"/>
      <c r="F131" s="23"/>
      <c r="G131" s="23"/>
      <c r="H131" s="23"/>
      <c r="I131" s="24"/>
      <c r="J131" s="23"/>
      <c r="K131" s="23"/>
      <c r="L131" s="24"/>
      <c r="M131" s="23"/>
      <c r="N131" s="23"/>
    </row>
    <row r="132" spans="1:14" ht="14.45">
      <c r="A132" s="23"/>
      <c r="B132" s="35"/>
      <c r="C132" s="23"/>
      <c r="D132" s="23"/>
      <c r="E132" s="23"/>
      <c r="F132" s="23"/>
      <c r="G132" s="23"/>
      <c r="H132" s="23"/>
      <c r="I132" s="24"/>
      <c r="J132" s="23"/>
      <c r="K132" s="23"/>
      <c r="L132" s="24"/>
      <c r="M132" s="23"/>
      <c r="N132" s="23"/>
    </row>
    <row r="133" spans="1:14" ht="14.45">
      <c r="A133" s="23"/>
      <c r="B133" s="35"/>
      <c r="C133" s="23"/>
      <c r="D133" s="23"/>
      <c r="E133" s="23"/>
      <c r="F133" s="23"/>
      <c r="G133" s="23"/>
      <c r="H133" s="23"/>
      <c r="I133" s="24"/>
      <c r="J133" s="23"/>
      <c r="K133" s="23"/>
      <c r="L133" s="24"/>
      <c r="M133" s="23"/>
      <c r="N133" s="23"/>
    </row>
    <row r="134" spans="1:14" ht="14.45">
      <c r="A134" s="23"/>
      <c r="B134" s="35"/>
      <c r="C134" s="23"/>
      <c r="D134" s="23"/>
      <c r="E134" s="23"/>
      <c r="F134" s="23"/>
      <c r="G134" s="23"/>
      <c r="H134" s="23"/>
      <c r="I134" s="24"/>
      <c r="J134" s="23"/>
      <c r="K134" s="23"/>
      <c r="L134" s="24"/>
      <c r="M134" s="23"/>
      <c r="N134" s="23"/>
    </row>
    <row r="135" spans="1:14" ht="14.45">
      <c r="A135" s="23"/>
      <c r="B135" s="35"/>
      <c r="C135" s="23"/>
      <c r="D135" s="23"/>
      <c r="E135" s="23"/>
      <c r="F135" s="23"/>
      <c r="G135" s="23"/>
      <c r="H135" s="23"/>
      <c r="I135" s="24"/>
      <c r="J135" s="23"/>
      <c r="K135" s="23"/>
      <c r="L135" s="24"/>
      <c r="M135" s="23"/>
      <c r="N135" s="23"/>
    </row>
    <row r="136" spans="1:14" ht="14.45">
      <c r="A136" s="23"/>
      <c r="B136" s="35"/>
      <c r="C136" s="23"/>
      <c r="D136" s="23"/>
      <c r="E136" s="23"/>
      <c r="F136" s="23"/>
      <c r="G136" s="23"/>
      <c r="H136" s="23"/>
      <c r="I136" s="24"/>
      <c r="J136" s="23"/>
      <c r="K136" s="23"/>
      <c r="L136" s="24"/>
      <c r="M136" s="23"/>
      <c r="N136" s="23"/>
    </row>
    <row r="137" spans="1:14" ht="14.45">
      <c r="A137" s="23"/>
      <c r="B137" s="35"/>
      <c r="C137" s="23"/>
      <c r="D137" s="23"/>
      <c r="E137" s="23"/>
      <c r="F137" s="23"/>
      <c r="G137" s="23"/>
      <c r="H137" s="23"/>
      <c r="I137" s="24"/>
      <c r="J137" s="23"/>
      <c r="K137" s="23"/>
      <c r="L137" s="24"/>
      <c r="M137" s="23"/>
      <c r="N137" s="23"/>
    </row>
    <row r="138" spans="1:14" ht="14.45">
      <c r="A138" s="23"/>
      <c r="B138" s="35"/>
      <c r="C138" s="23"/>
      <c r="D138" s="23"/>
      <c r="E138" s="23"/>
      <c r="F138" s="23"/>
      <c r="G138" s="23"/>
      <c r="H138" s="23"/>
      <c r="I138" s="24"/>
      <c r="J138" s="23"/>
      <c r="K138" s="23"/>
      <c r="L138" s="24"/>
      <c r="M138" s="23"/>
      <c r="N138" s="23"/>
    </row>
    <row r="139" spans="1:14" ht="14.45">
      <c r="A139" s="23"/>
      <c r="B139" s="35"/>
      <c r="C139" s="23"/>
      <c r="D139" s="23"/>
      <c r="E139" s="23"/>
      <c r="F139" s="23"/>
      <c r="G139" s="23"/>
      <c r="H139" s="23"/>
      <c r="I139" s="24"/>
      <c r="J139" s="23"/>
      <c r="K139" s="23"/>
      <c r="L139" s="24"/>
      <c r="M139" s="23"/>
      <c r="N139" s="23"/>
    </row>
    <row r="140" spans="1:14" ht="14.45">
      <c r="A140" s="23"/>
      <c r="B140" s="35"/>
      <c r="C140" s="23"/>
      <c r="D140" s="23"/>
      <c r="E140" s="23"/>
      <c r="F140" s="23"/>
      <c r="G140" s="23"/>
      <c r="H140" s="23"/>
      <c r="I140" s="24"/>
      <c r="J140" s="23"/>
      <c r="K140" s="23"/>
      <c r="L140" s="24"/>
      <c r="M140" s="23"/>
      <c r="N140" s="23"/>
    </row>
    <row r="141" spans="1:14" ht="14.45">
      <c r="A141" s="23"/>
      <c r="B141" s="35"/>
      <c r="C141" s="23"/>
      <c r="D141" s="23"/>
      <c r="E141" s="23"/>
      <c r="F141" s="23"/>
      <c r="G141" s="23"/>
      <c r="H141" s="23"/>
      <c r="I141" s="24"/>
      <c r="J141" s="23"/>
      <c r="K141" s="23"/>
      <c r="L141" s="24"/>
      <c r="M141" s="23"/>
      <c r="N141" s="23"/>
    </row>
    <row r="142" spans="1:14" ht="14.45">
      <c r="A142" s="23"/>
      <c r="B142" s="35"/>
      <c r="C142" s="23"/>
      <c r="D142" s="23"/>
      <c r="E142" s="23"/>
      <c r="F142" s="23"/>
      <c r="G142" s="23"/>
      <c r="H142" s="23"/>
      <c r="I142" s="24"/>
      <c r="J142" s="23"/>
      <c r="K142" s="23"/>
      <c r="L142" s="24"/>
      <c r="M142" s="23"/>
      <c r="N142" s="23"/>
    </row>
    <row r="143" spans="1:14" ht="14.45">
      <c r="A143" s="23"/>
      <c r="B143" s="35"/>
      <c r="C143" s="23"/>
      <c r="D143" s="23"/>
      <c r="E143" s="23"/>
      <c r="F143" s="23"/>
      <c r="G143" s="23"/>
      <c r="H143" s="23"/>
      <c r="I143" s="24"/>
      <c r="J143" s="23"/>
      <c r="K143" s="23"/>
      <c r="L143" s="24"/>
      <c r="M143" s="23"/>
      <c r="N143" s="23"/>
    </row>
    <row r="144" spans="1:14" ht="14.45">
      <c r="A144" s="23"/>
      <c r="B144" s="35"/>
      <c r="C144" s="23"/>
      <c r="D144" s="23"/>
      <c r="E144" s="23"/>
      <c r="F144" s="23"/>
      <c r="G144" s="23"/>
      <c r="H144" s="23"/>
      <c r="I144" s="24"/>
      <c r="J144" s="23"/>
      <c r="K144" s="23"/>
      <c r="L144" s="24"/>
      <c r="M144" s="23"/>
      <c r="N144" s="23"/>
    </row>
    <row r="145" spans="1:14" ht="14.45">
      <c r="A145" s="23"/>
      <c r="B145" s="35"/>
      <c r="C145" s="23"/>
      <c r="D145" s="23"/>
      <c r="E145" s="23"/>
      <c r="F145" s="23"/>
      <c r="G145" s="23"/>
      <c r="H145" s="23"/>
      <c r="I145" s="24"/>
      <c r="J145" s="23"/>
      <c r="K145" s="23"/>
      <c r="L145" s="24"/>
      <c r="M145" s="23"/>
      <c r="N145" s="23"/>
    </row>
    <row r="146" spans="1:14" ht="14.45">
      <c r="A146" s="23"/>
      <c r="B146" s="35"/>
      <c r="C146" s="23"/>
      <c r="D146" s="23"/>
      <c r="E146" s="23"/>
      <c r="F146" s="23"/>
      <c r="G146" s="23"/>
      <c r="H146" s="23"/>
      <c r="I146" s="24"/>
      <c r="J146" s="23"/>
      <c r="K146" s="23"/>
      <c r="L146" s="24"/>
      <c r="M146" s="23"/>
      <c r="N146" s="23"/>
    </row>
    <row r="147" spans="1:14" ht="14.45">
      <c r="A147" s="23"/>
      <c r="B147" s="35"/>
      <c r="C147" s="23"/>
      <c r="D147" s="23"/>
      <c r="E147" s="23"/>
      <c r="F147" s="23"/>
      <c r="G147" s="23"/>
      <c r="H147" s="23"/>
      <c r="I147" s="24"/>
      <c r="J147" s="23"/>
      <c r="K147" s="23"/>
      <c r="L147" s="24"/>
      <c r="M147" s="23"/>
      <c r="N147" s="23"/>
    </row>
    <row r="148" spans="1:14" ht="14.45">
      <c r="A148" s="23"/>
      <c r="B148" s="35"/>
      <c r="C148" s="23"/>
      <c r="D148" s="23"/>
      <c r="E148" s="23"/>
      <c r="F148" s="23"/>
      <c r="G148" s="23"/>
      <c r="H148" s="23"/>
      <c r="I148" s="24"/>
      <c r="J148" s="23"/>
      <c r="K148" s="23"/>
      <c r="L148" s="24"/>
      <c r="M148" s="23"/>
      <c r="N148" s="23"/>
    </row>
    <row r="149" spans="1:14" ht="14.45">
      <c r="A149" s="23"/>
      <c r="B149" s="35"/>
      <c r="C149" s="23"/>
      <c r="D149" s="23"/>
      <c r="E149" s="23"/>
      <c r="F149" s="23"/>
      <c r="G149" s="23"/>
      <c r="H149" s="23"/>
      <c r="I149" s="24"/>
      <c r="J149" s="23"/>
      <c r="K149" s="23"/>
      <c r="L149" s="24"/>
      <c r="M149" s="23"/>
      <c r="N149" s="23"/>
    </row>
    <row r="150" spans="1:14" ht="14.45">
      <c r="A150" s="23"/>
      <c r="B150" s="35"/>
      <c r="C150" s="23"/>
      <c r="D150" s="23"/>
      <c r="E150" s="23"/>
      <c r="F150" s="23"/>
      <c r="G150" s="23"/>
      <c r="H150" s="23"/>
      <c r="I150" s="24"/>
      <c r="J150" s="23"/>
      <c r="K150" s="23"/>
      <c r="L150" s="24"/>
      <c r="M150" s="23"/>
      <c r="N150" s="23"/>
    </row>
    <row r="151" spans="1:14" ht="14.45">
      <c r="A151" s="23"/>
      <c r="B151" s="35"/>
      <c r="C151" s="23"/>
      <c r="D151" s="23"/>
      <c r="E151" s="23"/>
      <c r="F151" s="23"/>
      <c r="G151" s="23"/>
      <c r="H151" s="23"/>
      <c r="I151" s="24"/>
      <c r="J151" s="23"/>
      <c r="K151" s="23"/>
      <c r="L151" s="24"/>
      <c r="M151" s="23"/>
      <c r="N151" s="23"/>
    </row>
    <row r="152" spans="1:14" ht="14.45">
      <c r="A152" s="23"/>
      <c r="B152" s="35"/>
      <c r="C152" s="23"/>
      <c r="D152" s="23"/>
      <c r="E152" s="23"/>
      <c r="F152" s="23"/>
      <c r="G152" s="23"/>
      <c r="H152" s="23"/>
      <c r="I152" s="24"/>
      <c r="J152" s="23"/>
      <c r="K152" s="23"/>
      <c r="L152" s="24"/>
      <c r="M152" s="23"/>
      <c r="N152" s="23"/>
    </row>
    <row r="153" spans="1:14" ht="14.45">
      <c r="A153" s="23"/>
      <c r="B153" s="35"/>
      <c r="C153" s="23"/>
      <c r="D153" s="23"/>
      <c r="E153" s="23"/>
      <c r="F153" s="23"/>
      <c r="G153" s="23"/>
      <c r="H153" s="23"/>
      <c r="I153" s="24"/>
      <c r="J153" s="23"/>
      <c r="K153" s="23"/>
      <c r="L153" s="24"/>
      <c r="M153" s="23"/>
      <c r="N153" s="23"/>
    </row>
    <row r="154" spans="1:14" ht="14.45">
      <c r="A154" s="23"/>
      <c r="B154" s="35"/>
      <c r="C154" s="23"/>
      <c r="D154" s="23"/>
      <c r="E154" s="23"/>
      <c r="F154" s="23"/>
      <c r="G154" s="23"/>
      <c r="H154" s="23"/>
      <c r="I154" s="24"/>
      <c r="J154" s="23"/>
      <c r="K154" s="23"/>
      <c r="L154" s="24"/>
      <c r="M154" s="23"/>
      <c r="N154" s="23"/>
    </row>
    <row r="155" spans="1:14" ht="14.45">
      <c r="A155" s="23"/>
      <c r="B155" s="35"/>
      <c r="C155" s="23"/>
      <c r="D155" s="23"/>
      <c r="E155" s="23"/>
      <c r="F155" s="23"/>
      <c r="G155" s="23"/>
      <c r="H155" s="23"/>
      <c r="I155" s="24"/>
      <c r="J155" s="23"/>
      <c r="K155" s="23"/>
      <c r="L155" s="24"/>
      <c r="M155" s="23"/>
      <c r="N155" s="23"/>
    </row>
    <row r="156" spans="1:14" ht="14.45">
      <c r="A156" s="23"/>
      <c r="B156" s="35"/>
      <c r="C156" s="23"/>
      <c r="D156" s="23"/>
      <c r="E156" s="23"/>
      <c r="F156" s="23"/>
      <c r="G156" s="23"/>
      <c r="H156" s="23"/>
      <c r="I156" s="24"/>
      <c r="J156" s="23"/>
      <c r="K156" s="23"/>
      <c r="L156" s="24"/>
      <c r="M156" s="23"/>
      <c r="N156" s="23"/>
    </row>
    <row r="157" spans="1:14" ht="14.45">
      <c r="A157" s="23"/>
      <c r="B157" s="35"/>
      <c r="C157" s="23"/>
      <c r="D157" s="23"/>
      <c r="E157" s="23"/>
      <c r="F157" s="23"/>
      <c r="G157" s="23"/>
      <c r="H157" s="23"/>
      <c r="I157" s="24"/>
      <c r="J157" s="23"/>
      <c r="K157" s="23"/>
      <c r="L157" s="24"/>
      <c r="M157" s="23"/>
      <c r="N157" s="23"/>
    </row>
    <row r="158" spans="1:14" ht="14.45">
      <c r="A158" s="23"/>
      <c r="B158" s="35"/>
      <c r="C158" s="23"/>
      <c r="D158" s="23"/>
      <c r="E158" s="23"/>
      <c r="F158" s="23"/>
      <c r="G158" s="23"/>
      <c r="H158" s="23"/>
      <c r="I158" s="24"/>
      <c r="J158" s="23"/>
      <c r="K158" s="23"/>
      <c r="L158" s="24"/>
      <c r="M158" s="23"/>
      <c r="N158" s="23"/>
    </row>
    <row r="159" spans="1:14" ht="14.45">
      <c r="A159" s="23"/>
      <c r="B159" s="35"/>
      <c r="C159" s="23"/>
      <c r="D159" s="23"/>
      <c r="E159" s="23"/>
      <c r="F159" s="23"/>
      <c r="G159" s="23"/>
      <c r="H159" s="23"/>
      <c r="I159" s="24"/>
      <c r="J159" s="23"/>
      <c r="K159" s="23"/>
      <c r="L159" s="24"/>
      <c r="M159" s="23"/>
      <c r="N159" s="23"/>
    </row>
    <row r="160" spans="1:14" ht="14.45">
      <c r="A160" s="23"/>
      <c r="B160" s="35"/>
      <c r="C160" s="23"/>
      <c r="D160" s="23"/>
      <c r="E160" s="23"/>
      <c r="F160" s="23"/>
      <c r="G160" s="23"/>
      <c r="H160" s="23"/>
      <c r="I160" s="24"/>
      <c r="J160" s="23"/>
      <c r="K160" s="23"/>
      <c r="L160" s="24"/>
      <c r="M160" s="23"/>
      <c r="N160" s="23"/>
    </row>
    <row r="161" spans="1:14" ht="14.45">
      <c r="A161" s="23"/>
      <c r="B161" s="35"/>
      <c r="C161" s="23"/>
      <c r="D161" s="23"/>
      <c r="E161" s="23"/>
      <c r="F161" s="23"/>
      <c r="G161" s="23"/>
      <c r="H161" s="23"/>
      <c r="I161" s="24"/>
      <c r="J161" s="23"/>
      <c r="K161" s="23"/>
      <c r="L161" s="24"/>
      <c r="M161" s="23"/>
      <c r="N161" s="23"/>
    </row>
    <row r="162" spans="1:14" ht="14.45">
      <c r="A162" s="23"/>
      <c r="B162" s="35"/>
      <c r="C162" s="23"/>
      <c r="D162" s="23"/>
      <c r="E162" s="23"/>
      <c r="F162" s="23"/>
      <c r="G162" s="23"/>
      <c r="H162" s="23"/>
      <c r="I162" s="24"/>
      <c r="J162" s="23"/>
      <c r="K162" s="23"/>
      <c r="L162" s="24"/>
      <c r="M162" s="23"/>
      <c r="N162" s="23"/>
    </row>
    <row r="163" spans="1:14" ht="14.45">
      <c r="A163" s="23"/>
      <c r="B163" s="35"/>
      <c r="C163" s="23"/>
      <c r="D163" s="23"/>
      <c r="E163" s="23"/>
      <c r="F163" s="23"/>
      <c r="G163" s="23"/>
      <c r="H163" s="23"/>
      <c r="I163" s="24"/>
      <c r="J163" s="23"/>
      <c r="K163" s="23"/>
      <c r="L163" s="24"/>
      <c r="M163" s="23"/>
      <c r="N163" s="23"/>
    </row>
    <row r="164" spans="1:14" ht="14.45">
      <c r="A164" s="23"/>
      <c r="B164" s="35"/>
      <c r="C164" s="23"/>
      <c r="D164" s="23"/>
      <c r="E164" s="23"/>
      <c r="F164" s="23"/>
      <c r="G164" s="23"/>
      <c r="H164" s="23"/>
      <c r="I164" s="24"/>
      <c r="J164" s="23"/>
      <c r="K164" s="23"/>
      <c r="L164" s="24"/>
      <c r="M164" s="23"/>
      <c r="N164" s="23"/>
    </row>
    <row r="165" spans="1:14" ht="14.45">
      <c r="A165" s="23"/>
      <c r="B165" s="35"/>
      <c r="C165" s="23"/>
      <c r="D165" s="23"/>
      <c r="E165" s="23"/>
      <c r="F165" s="23"/>
      <c r="G165" s="23"/>
      <c r="H165" s="23"/>
      <c r="I165" s="24"/>
      <c r="J165" s="23"/>
      <c r="K165" s="23"/>
      <c r="L165" s="24"/>
      <c r="M165" s="23"/>
      <c r="N165" s="23"/>
    </row>
    <row r="166" spans="1:14" ht="14.45">
      <c r="A166" s="23"/>
      <c r="B166" s="35"/>
      <c r="C166" s="23"/>
      <c r="D166" s="23"/>
      <c r="E166" s="23"/>
      <c r="F166" s="23"/>
      <c r="G166" s="23"/>
      <c r="H166" s="23"/>
      <c r="I166" s="24"/>
      <c r="J166" s="23"/>
      <c r="K166" s="23"/>
      <c r="L166" s="24"/>
      <c r="M166" s="23"/>
      <c r="N166" s="23"/>
    </row>
    <row r="167" spans="1:14" ht="14.45">
      <c r="A167" s="23"/>
      <c r="B167" s="35"/>
      <c r="C167" s="23"/>
      <c r="D167" s="23"/>
      <c r="E167" s="23"/>
      <c r="F167" s="23"/>
      <c r="G167" s="23"/>
      <c r="H167" s="23"/>
      <c r="I167" s="24"/>
      <c r="J167" s="23"/>
      <c r="K167" s="23"/>
      <c r="L167" s="24"/>
      <c r="M167" s="23"/>
      <c r="N167" s="23"/>
    </row>
    <row r="168" spans="1:14" ht="14.45">
      <c r="A168" s="23"/>
      <c r="B168" s="35"/>
      <c r="C168" s="23"/>
      <c r="D168" s="23"/>
      <c r="E168" s="23"/>
      <c r="F168" s="23"/>
      <c r="G168" s="23"/>
      <c r="H168" s="23"/>
      <c r="I168" s="24"/>
      <c r="J168" s="23"/>
      <c r="K168" s="23"/>
      <c r="L168" s="24"/>
      <c r="M168" s="23"/>
      <c r="N168" s="23"/>
    </row>
    <row r="169" spans="1:14" ht="14.45">
      <c r="A169" s="23"/>
      <c r="B169" s="35"/>
      <c r="C169" s="23"/>
      <c r="D169" s="23"/>
      <c r="E169" s="23"/>
      <c r="F169" s="23"/>
      <c r="G169" s="23"/>
      <c r="H169" s="23"/>
      <c r="I169" s="24"/>
      <c r="J169" s="23"/>
      <c r="K169" s="23"/>
      <c r="L169" s="24"/>
      <c r="M169" s="23"/>
      <c r="N169" s="23"/>
    </row>
    <row r="170" spans="1:14" ht="14.45">
      <c r="A170" s="23"/>
      <c r="B170" s="35"/>
      <c r="C170" s="23"/>
      <c r="D170" s="23"/>
      <c r="E170" s="23"/>
      <c r="F170" s="23"/>
      <c r="G170" s="23"/>
      <c r="H170" s="23"/>
      <c r="I170" s="24"/>
      <c r="J170" s="23"/>
      <c r="K170" s="23"/>
      <c r="L170" s="24"/>
      <c r="M170" s="23"/>
      <c r="N170" s="23"/>
    </row>
    <row r="171" spans="1:14" ht="14.45">
      <c r="A171" s="23"/>
      <c r="B171" s="35"/>
      <c r="C171" s="23"/>
      <c r="D171" s="23"/>
      <c r="E171" s="23"/>
      <c r="F171" s="23"/>
      <c r="G171" s="23"/>
      <c r="H171" s="23"/>
      <c r="I171" s="24"/>
      <c r="J171" s="23"/>
      <c r="K171" s="23"/>
      <c r="L171" s="24"/>
      <c r="M171" s="23"/>
      <c r="N171" s="23"/>
    </row>
    <row r="172" spans="1:14" ht="14.45">
      <c r="A172" s="23"/>
      <c r="B172" s="35"/>
      <c r="C172" s="23"/>
      <c r="D172" s="23"/>
      <c r="E172" s="23"/>
      <c r="F172" s="23"/>
      <c r="G172" s="23"/>
      <c r="H172" s="23"/>
      <c r="I172" s="24"/>
      <c r="J172" s="23"/>
      <c r="K172" s="23"/>
      <c r="L172" s="24"/>
      <c r="M172" s="23"/>
      <c r="N172" s="23"/>
    </row>
    <row r="173" spans="1:14" ht="14.45">
      <c r="A173" s="23"/>
      <c r="B173" s="35"/>
      <c r="C173" s="23"/>
      <c r="D173" s="23"/>
      <c r="E173" s="23"/>
      <c r="F173" s="23"/>
      <c r="G173" s="23"/>
      <c r="H173" s="23"/>
      <c r="I173" s="24"/>
      <c r="J173" s="23"/>
      <c r="K173" s="23"/>
      <c r="L173" s="24"/>
      <c r="M173" s="23"/>
      <c r="N173" s="23"/>
    </row>
    <row r="174" spans="1:14" ht="14.45">
      <c r="A174" s="23"/>
      <c r="B174" s="35"/>
      <c r="C174" s="23"/>
      <c r="D174" s="23"/>
      <c r="E174" s="23"/>
      <c r="F174" s="23"/>
      <c r="G174" s="23"/>
      <c r="H174" s="23"/>
      <c r="I174" s="24"/>
      <c r="J174" s="23"/>
      <c r="K174" s="23"/>
      <c r="L174" s="24"/>
      <c r="M174" s="23"/>
      <c r="N174" s="23"/>
    </row>
    <row r="175" spans="1:14" ht="14.45">
      <c r="A175" s="23"/>
      <c r="B175" s="35"/>
      <c r="C175" s="23"/>
      <c r="D175" s="23"/>
      <c r="E175" s="23"/>
      <c r="F175" s="23"/>
      <c r="G175" s="23"/>
      <c r="H175" s="23"/>
      <c r="I175" s="24"/>
      <c r="J175" s="23"/>
      <c r="K175" s="23"/>
      <c r="L175" s="24"/>
      <c r="M175" s="23"/>
      <c r="N175" s="23"/>
    </row>
    <row r="176" spans="1:14" ht="14.45">
      <c r="A176" s="23"/>
      <c r="B176" s="35"/>
      <c r="C176" s="23"/>
      <c r="D176" s="23"/>
      <c r="E176" s="23"/>
      <c r="F176" s="23"/>
      <c r="G176" s="23"/>
      <c r="H176" s="23"/>
      <c r="I176" s="24"/>
      <c r="J176" s="23"/>
      <c r="K176" s="23"/>
      <c r="L176" s="24"/>
      <c r="M176" s="23"/>
      <c r="N176" s="23"/>
    </row>
    <row r="177" spans="1:14" ht="14.45">
      <c r="A177" s="23"/>
      <c r="B177" s="35"/>
      <c r="C177" s="23"/>
      <c r="D177" s="23"/>
      <c r="E177" s="23"/>
      <c r="F177" s="23"/>
      <c r="G177" s="23"/>
      <c r="H177" s="23"/>
      <c r="I177" s="24"/>
      <c r="J177" s="23"/>
      <c r="K177" s="23"/>
      <c r="L177" s="24"/>
      <c r="M177" s="23"/>
      <c r="N177" s="23"/>
    </row>
    <row r="178" spans="1:14" ht="14.45">
      <c r="A178" s="23"/>
      <c r="B178" s="35"/>
      <c r="C178" s="23"/>
      <c r="D178" s="23"/>
      <c r="E178" s="23"/>
      <c r="F178" s="23"/>
      <c r="G178" s="23"/>
      <c r="H178" s="23"/>
      <c r="I178" s="24"/>
      <c r="J178" s="23"/>
      <c r="K178" s="23"/>
      <c r="L178" s="24"/>
      <c r="M178" s="23"/>
      <c r="N178" s="23"/>
    </row>
    <row r="179" spans="1:14" ht="14.45">
      <c r="A179" s="23"/>
      <c r="B179" s="35"/>
      <c r="C179" s="23"/>
      <c r="D179" s="23"/>
      <c r="E179" s="23"/>
      <c r="F179" s="23"/>
      <c r="G179" s="23"/>
      <c r="H179" s="23"/>
      <c r="I179" s="24"/>
      <c r="J179" s="23"/>
      <c r="K179" s="23"/>
      <c r="L179" s="24"/>
      <c r="M179" s="23"/>
      <c r="N179" s="23"/>
    </row>
    <row r="180" spans="1:14" ht="14.45">
      <c r="A180" s="23"/>
      <c r="B180" s="35"/>
      <c r="C180" s="23"/>
      <c r="D180" s="23"/>
      <c r="E180" s="23"/>
      <c r="F180" s="23"/>
      <c r="G180" s="23"/>
      <c r="H180" s="23"/>
      <c r="I180" s="24"/>
      <c r="J180" s="23"/>
      <c r="K180" s="23"/>
      <c r="L180" s="24"/>
      <c r="M180" s="23"/>
      <c r="N180" s="23"/>
    </row>
    <row r="181" spans="1:14" ht="14.45">
      <c r="A181" s="23"/>
      <c r="B181" s="35"/>
      <c r="C181" s="23"/>
      <c r="D181" s="23"/>
      <c r="E181" s="23"/>
      <c r="F181" s="23"/>
      <c r="G181" s="23"/>
      <c r="H181" s="23"/>
      <c r="I181" s="24"/>
      <c r="J181" s="23"/>
      <c r="K181" s="23"/>
      <c r="L181" s="24"/>
      <c r="M181" s="23"/>
      <c r="N181" s="23"/>
    </row>
    <row r="182" spans="1:14" ht="14.45">
      <c r="A182" s="23"/>
      <c r="B182" s="35"/>
      <c r="C182" s="23"/>
      <c r="D182" s="23"/>
      <c r="E182" s="23"/>
      <c r="F182" s="23"/>
      <c r="G182" s="23"/>
      <c r="H182" s="23"/>
      <c r="I182" s="24"/>
      <c r="J182" s="23"/>
      <c r="K182" s="23"/>
      <c r="L182" s="24"/>
      <c r="M182" s="23"/>
      <c r="N182" s="23"/>
    </row>
    <row r="183" spans="1:14" ht="14.45">
      <c r="A183" s="23"/>
      <c r="B183" s="35"/>
      <c r="C183" s="23"/>
      <c r="D183" s="23"/>
      <c r="E183" s="23"/>
      <c r="F183" s="23"/>
      <c r="G183" s="23"/>
      <c r="H183" s="23"/>
      <c r="I183" s="24"/>
      <c r="J183" s="23"/>
      <c r="K183" s="23"/>
      <c r="L183" s="24"/>
      <c r="M183" s="23"/>
      <c r="N183" s="23"/>
    </row>
    <row r="184" spans="1:14" ht="14.45">
      <c r="A184" s="23"/>
      <c r="B184" s="35"/>
      <c r="C184" s="23"/>
      <c r="D184" s="23"/>
      <c r="E184" s="23"/>
      <c r="F184" s="23"/>
      <c r="G184" s="23"/>
      <c r="H184" s="23"/>
      <c r="I184" s="24"/>
      <c r="J184" s="23"/>
      <c r="K184" s="23"/>
      <c r="L184" s="24"/>
      <c r="M184" s="23"/>
      <c r="N184" s="23"/>
    </row>
    <row r="185" spans="1:14" ht="14.45">
      <c r="A185" s="23"/>
      <c r="B185" s="35"/>
      <c r="C185" s="23"/>
      <c r="D185" s="23"/>
      <c r="E185" s="23"/>
      <c r="F185" s="23"/>
      <c r="G185" s="23"/>
      <c r="H185" s="23"/>
      <c r="I185" s="24"/>
      <c r="J185" s="23"/>
      <c r="K185" s="23"/>
      <c r="L185" s="24"/>
      <c r="M185" s="23"/>
      <c r="N185" s="23"/>
    </row>
    <row r="186" spans="1:14" ht="14.45">
      <c r="A186" s="23"/>
      <c r="B186" s="35"/>
      <c r="C186" s="23"/>
      <c r="D186" s="23"/>
      <c r="E186" s="23"/>
      <c r="F186" s="23"/>
      <c r="G186" s="23"/>
      <c r="H186" s="23"/>
      <c r="I186" s="24"/>
      <c r="J186" s="23"/>
      <c r="K186" s="23"/>
      <c r="L186" s="24"/>
      <c r="M186" s="23"/>
      <c r="N186" s="23"/>
    </row>
    <row r="187" spans="1:14" ht="14.45">
      <c r="A187" s="23"/>
      <c r="B187" s="35"/>
      <c r="C187" s="23"/>
      <c r="D187" s="23"/>
      <c r="E187" s="23"/>
      <c r="F187" s="23"/>
      <c r="G187" s="23"/>
      <c r="H187" s="23"/>
      <c r="I187" s="24"/>
      <c r="J187" s="23"/>
      <c r="K187" s="23"/>
      <c r="L187" s="24"/>
      <c r="M187" s="23"/>
      <c r="N187" s="23"/>
    </row>
    <row r="188" spans="1:14" ht="14.45">
      <c r="A188" s="23"/>
      <c r="B188" s="35"/>
      <c r="C188" s="23"/>
      <c r="D188" s="23"/>
      <c r="E188" s="23"/>
      <c r="F188" s="23"/>
      <c r="G188" s="23"/>
      <c r="H188" s="23"/>
      <c r="I188" s="24"/>
      <c r="J188" s="23"/>
      <c r="K188" s="23"/>
      <c r="L188" s="24"/>
      <c r="M188" s="23"/>
      <c r="N188" s="23"/>
    </row>
    <row r="189" spans="1:14" ht="14.45">
      <c r="A189" s="23"/>
      <c r="B189" s="35"/>
      <c r="C189" s="23"/>
      <c r="D189" s="23"/>
      <c r="E189" s="23"/>
      <c r="F189" s="23"/>
      <c r="G189" s="23"/>
      <c r="H189" s="23"/>
      <c r="I189" s="24"/>
      <c r="J189" s="23"/>
      <c r="K189" s="23"/>
      <c r="L189" s="24"/>
      <c r="M189" s="23"/>
      <c r="N189" s="23"/>
    </row>
    <row r="190" spans="1:14" ht="14.45">
      <c r="A190" s="23"/>
      <c r="B190" s="35"/>
      <c r="C190" s="23"/>
      <c r="D190" s="23"/>
      <c r="E190" s="23"/>
      <c r="F190" s="23"/>
      <c r="G190" s="23"/>
      <c r="H190" s="23"/>
      <c r="I190" s="24"/>
      <c r="J190" s="23"/>
      <c r="K190" s="23"/>
      <c r="L190" s="24"/>
      <c r="M190" s="23"/>
      <c r="N190" s="23"/>
    </row>
    <row r="191" spans="1:14" ht="14.45">
      <c r="A191" s="23"/>
      <c r="B191" s="35"/>
      <c r="C191" s="23"/>
      <c r="D191" s="23"/>
      <c r="E191" s="23"/>
      <c r="F191" s="23"/>
      <c r="G191" s="23"/>
      <c r="H191" s="23"/>
      <c r="I191" s="24"/>
      <c r="J191" s="23"/>
      <c r="K191" s="23"/>
      <c r="L191" s="24"/>
      <c r="M191" s="23"/>
      <c r="N191" s="23"/>
    </row>
    <row r="192" spans="1:14" ht="14.45">
      <c r="A192" s="23"/>
      <c r="B192" s="35"/>
      <c r="C192" s="23"/>
      <c r="D192" s="23"/>
      <c r="E192" s="23"/>
      <c r="F192" s="23"/>
      <c r="G192" s="23"/>
      <c r="H192" s="23"/>
      <c r="I192" s="24"/>
      <c r="J192" s="23"/>
      <c r="K192" s="23"/>
      <c r="L192" s="24"/>
      <c r="M192" s="23"/>
      <c r="N192" s="23"/>
    </row>
    <row r="193" spans="1:14" ht="14.45">
      <c r="A193" s="23"/>
      <c r="B193" s="35"/>
      <c r="C193" s="23"/>
      <c r="D193" s="23"/>
      <c r="E193" s="23"/>
      <c r="F193" s="23"/>
      <c r="G193" s="23"/>
      <c r="H193" s="23"/>
      <c r="I193" s="24"/>
      <c r="J193" s="23"/>
      <c r="K193" s="23"/>
      <c r="L193" s="24"/>
      <c r="M193" s="23"/>
      <c r="N193" s="23"/>
    </row>
    <row r="194" spans="1:14" ht="14.45">
      <c r="A194" s="23"/>
      <c r="B194" s="35"/>
      <c r="C194" s="23"/>
      <c r="D194" s="23"/>
      <c r="E194" s="23"/>
      <c r="F194" s="23"/>
      <c r="G194" s="23"/>
      <c r="H194" s="23"/>
      <c r="I194" s="24"/>
      <c r="J194" s="23"/>
      <c r="K194" s="23"/>
      <c r="L194" s="24"/>
      <c r="M194" s="23"/>
      <c r="N194" s="23"/>
    </row>
    <row r="195" spans="1:14" ht="14.45">
      <c r="A195" s="23"/>
      <c r="B195" s="35"/>
      <c r="C195" s="23"/>
      <c r="D195" s="23"/>
      <c r="E195" s="23"/>
      <c r="F195" s="23"/>
      <c r="G195" s="23"/>
      <c r="H195" s="23"/>
      <c r="I195" s="24"/>
      <c r="J195" s="23"/>
      <c r="K195" s="23"/>
      <c r="L195" s="24"/>
      <c r="M195" s="23"/>
      <c r="N195" s="23"/>
    </row>
    <row r="196" spans="1:14" ht="14.45">
      <c r="A196" s="23"/>
      <c r="B196" s="35"/>
      <c r="C196" s="23"/>
      <c r="D196" s="23"/>
      <c r="E196" s="23"/>
      <c r="F196" s="23"/>
      <c r="G196" s="23"/>
      <c r="H196" s="23"/>
      <c r="I196" s="24"/>
      <c r="J196" s="23"/>
      <c r="K196" s="23"/>
      <c r="L196" s="24"/>
      <c r="M196" s="23"/>
      <c r="N196" s="23"/>
    </row>
    <row r="197" spans="1:14" ht="14.45">
      <c r="A197" s="23"/>
      <c r="B197" s="35"/>
      <c r="C197" s="23"/>
      <c r="D197" s="23"/>
      <c r="E197" s="23"/>
      <c r="F197" s="23"/>
      <c r="G197" s="23"/>
      <c r="H197" s="23"/>
      <c r="I197" s="24"/>
      <c r="J197" s="23"/>
      <c r="K197" s="23"/>
      <c r="L197" s="24"/>
      <c r="M197" s="23"/>
      <c r="N197" s="23"/>
    </row>
    <row r="198" spans="1:14" ht="14.45">
      <c r="A198" s="23"/>
      <c r="B198" s="35"/>
      <c r="C198" s="23"/>
      <c r="D198" s="23"/>
      <c r="E198" s="23"/>
      <c r="F198" s="23"/>
      <c r="G198" s="23"/>
      <c r="H198" s="23"/>
      <c r="I198" s="24"/>
      <c r="J198" s="23"/>
      <c r="K198" s="23"/>
      <c r="L198" s="24"/>
      <c r="M198" s="23"/>
      <c r="N198" s="23"/>
    </row>
    <row r="199" spans="1:14" ht="14.45">
      <c r="A199" s="23"/>
      <c r="B199" s="35"/>
      <c r="C199" s="23"/>
      <c r="D199" s="23"/>
      <c r="E199" s="23"/>
      <c r="F199" s="23"/>
      <c r="G199" s="23"/>
      <c r="H199" s="23"/>
      <c r="I199" s="24"/>
      <c r="J199" s="23"/>
      <c r="K199" s="23"/>
      <c r="L199" s="24"/>
      <c r="M199" s="23"/>
      <c r="N199" s="23"/>
    </row>
    <row r="200" spans="1:14" ht="14.45">
      <c r="A200" s="23"/>
      <c r="B200" s="35"/>
      <c r="C200" s="23"/>
      <c r="D200" s="23"/>
      <c r="E200" s="23"/>
      <c r="F200" s="23"/>
      <c r="G200" s="23"/>
      <c r="H200" s="23"/>
      <c r="I200" s="24"/>
      <c r="J200" s="23"/>
      <c r="K200" s="23"/>
      <c r="L200" s="24"/>
      <c r="M200" s="23"/>
      <c r="N200" s="23"/>
    </row>
    <row r="201" spans="1:14" ht="14.45">
      <c r="A201" s="23"/>
      <c r="B201" s="35"/>
      <c r="C201" s="23"/>
      <c r="D201" s="23"/>
      <c r="E201" s="23"/>
      <c r="F201" s="23"/>
      <c r="G201" s="23"/>
      <c r="H201" s="23"/>
      <c r="I201" s="24"/>
      <c r="J201" s="23"/>
      <c r="K201" s="23"/>
      <c r="L201" s="24"/>
      <c r="M201" s="23"/>
      <c r="N201" s="23"/>
    </row>
    <row r="202" spans="1:14" ht="14.45">
      <c r="A202" s="23"/>
      <c r="B202" s="35"/>
      <c r="C202" s="23"/>
      <c r="D202" s="23"/>
      <c r="E202" s="23"/>
      <c r="F202" s="23"/>
      <c r="G202" s="23"/>
      <c r="H202" s="23"/>
      <c r="I202" s="24"/>
      <c r="J202" s="23"/>
      <c r="K202" s="23"/>
      <c r="L202" s="24"/>
      <c r="M202" s="23"/>
      <c r="N202" s="23"/>
    </row>
    <row r="203" spans="1:14" ht="14.45">
      <c r="A203" s="23"/>
      <c r="B203" s="35"/>
      <c r="C203" s="23"/>
      <c r="D203" s="23"/>
      <c r="E203" s="23"/>
      <c r="F203" s="23"/>
      <c r="G203" s="23"/>
      <c r="H203" s="23"/>
      <c r="I203" s="24"/>
      <c r="J203" s="23"/>
      <c r="K203" s="23"/>
      <c r="L203" s="24"/>
      <c r="M203" s="23"/>
      <c r="N203" s="23"/>
    </row>
    <row r="204" spans="1:14" ht="14.45">
      <c r="A204" s="23"/>
      <c r="B204" s="35"/>
      <c r="C204" s="23"/>
      <c r="D204" s="23"/>
      <c r="E204" s="23"/>
      <c r="F204" s="23"/>
      <c r="G204" s="23"/>
      <c r="H204" s="23"/>
      <c r="I204" s="24"/>
      <c r="J204" s="23"/>
      <c r="K204" s="23"/>
      <c r="L204" s="24"/>
      <c r="M204" s="23"/>
      <c r="N204" s="23"/>
    </row>
    <row r="205" spans="1:14" ht="14.45">
      <c r="A205" s="23"/>
      <c r="B205" s="35"/>
      <c r="C205" s="23"/>
      <c r="D205" s="23"/>
      <c r="E205" s="23"/>
      <c r="F205" s="23"/>
      <c r="G205" s="23"/>
      <c r="H205" s="23"/>
      <c r="I205" s="24"/>
      <c r="J205" s="23"/>
      <c r="K205" s="23"/>
      <c r="L205" s="24"/>
      <c r="M205" s="23"/>
      <c r="N205" s="23"/>
    </row>
    <row r="206" spans="1:14" ht="14.45">
      <c r="A206" s="23"/>
      <c r="B206" s="35"/>
      <c r="C206" s="23"/>
      <c r="D206" s="23"/>
      <c r="E206" s="23"/>
      <c r="F206" s="23"/>
      <c r="G206" s="23"/>
      <c r="H206" s="23"/>
      <c r="I206" s="24"/>
      <c r="J206" s="23"/>
      <c r="K206" s="23"/>
      <c r="L206" s="24"/>
      <c r="M206" s="23"/>
      <c r="N206" s="23"/>
    </row>
    <row r="207" spans="1:14" ht="14.45">
      <c r="A207" s="23"/>
      <c r="B207" s="35"/>
      <c r="C207" s="23"/>
      <c r="D207" s="23"/>
      <c r="E207" s="23"/>
      <c r="F207" s="23"/>
      <c r="G207" s="23"/>
      <c r="H207" s="23"/>
      <c r="I207" s="24"/>
      <c r="J207" s="23"/>
      <c r="K207" s="23"/>
      <c r="L207" s="24"/>
      <c r="M207" s="23"/>
      <c r="N207" s="23"/>
    </row>
    <row r="208" spans="1:14" ht="14.45">
      <c r="A208" s="23"/>
      <c r="B208" s="35"/>
      <c r="C208" s="23"/>
      <c r="D208" s="23"/>
      <c r="E208" s="23"/>
      <c r="F208" s="23"/>
      <c r="G208" s="23"/>
      <c r="H208" s="23"/>
      <c r="I208" s="24"/>
      <c r="J208" s="23"/>
      <c r="K208" s="23"/>
      <c r="L208" s="24"/>
      <c r="M208" s="23"/>
      <c r="N208" s="23"/>
    </row>
    <row r="209" spans="1:14" ht="14.45">
      <c r="A209" s="23"/>
      <c r="B209" s="35"/>
      <c r="C209" s="23"/>
      <c r="D209" s="23"/>
      <c r="E209" s="23"/>
      <c r="F209" s="23"/>
      <c r="G209" s="23"/>
      <c r="H209" s="23"/>
      <c r="I209" s="24"/>
      <c r="J209" s="23"/>
      <c r="K209" s="23"/>
      <c r="L209" s="24"/>
      <c r="M209" s="23"/>
      <c r="N209" s="23"/>
    </row>
    <row r="210" spans="1:14" ht="14.45">
      <c r="A210" s="23"/>
      <c r="B210" s="35"/>
      <c r="C210" s="23"/>
      <c r="D210" s="23"/>
      <c r="E210" s="23"/>
      <c r="F210" s="23"/>
      <c r="G210" s="23"/>
      <c r="H210" s="23"/>
      <c r="I210" s="24"/>
      <c r="J210" s="23"/>
      <c r="K210" s="23"/>
      <c r="L210" s="24"/>
      <c r="M210" s="23"/>
      <c r="N210" s="23"/>
    </row>
    <row r="211" spans="1:14" ht="14.45">
      <c r="A211" s="23"/>
      <c r="B211" s="35"/>
      <c r="C211" s="23"/>
      <c r="D211" s="23"/>
      <c r="E211" s="23"/>
      <c r="F211" s="23"/>
      <c r="G211" s="23"/>
      <c r="H211" s="23"/>
      <c r="I211" s="24"/>
      <c r="J211" s="23"/>
      <c r="K211" s="23"/>
      <c r="L211" s="24"/>
      <c r="M211" s="23"/>
      <c r="N211" s="23"/>
    </row>
    <row r="212" spans="1:14" ht="14.45">
      <c r="A212" s="23"/>
      <c r="B212" s="35"/>
      <c r="C212" s="23"/>
      <c r="D212" s="23"/>
      <c r="E212" s="23"/>
      <c r="F212" s="23"/>
      <c r="G212" s="23"/>
      <c r="H212" s="23"/>
      <c r="I212" s="24"/>
      <c r="J212" s="23"/>
      <c r="K212" s="23"/>
      <c r="L212" s="24"/>
      <c r="M212" s="23"/>
      <c r="N212" s="23"/>
    </row>
    <row r="213" spans="1:14" ht="14.45">
      <c r="A213" s="23"/>
      <c r="B213" s="35"/>
      <c r="C213" s="23"/>
      <c r="D213" s="23"/>
      <c r="E213" s="23"/>
      <c r="F213" s="23"/>
      <c r="G213" s="23"/>
      <c r="H213" s="23"/>
      <c r="I213" s="24"/>
      <c r="J213" s="23"/>
      <c r="K213" s="23"/>
      <c r="L213" s="24"/>
      <c r="M213" s="23"/>
      <c r="N213" s="23"/>
    </row>
    <row r="214" spans="1:14" ht="14.45">
      <c r="A214" s="23"/>
      <c r="B214" s="35"/>
      <c r="C214" s="23"/>
      <c r="D214" s="23"/>
      <c r="E214" s="23"/>
      <c r="F214" s="23"/>
      <c r="G214" s="23"/>
      <c r="H214" s="23"/>
      <c r="I214" s="24"/>
      <c r="J214" s="23"/>
      <c r="K214" s="23"/>
      <c r="L214" s="24"/>
      <c r="M214" s="23"/>
      <c r="N214" s="23"/>
    </row>
    <row r="215" spans="1:14" ht="14.45">
      <c r="A215" s="23"/>
      <c r="B215" s="35"/>
      <c r="C215" s="23"/>
      <c r="D215" s="23"/>
      <c r="E215" s="23"/>
      <c r="F215" s="23"/>
      <c r="G215" s="23"/>
      <c r="H215" s="23"/>
      <c r="I215" s="24"/>
      <c r="J215" s="23"/>
      <c r="K215" s="23"/>
      <c r="L215" s="24"/>
      <c r="M215" s="23"/>
      <c r="N215" s="23"/>
    </row>
    <row r="216" spans="1:14" ht="14.45">
      <c r="A216" s="23"/>
      <c r="B216" s="35"/>
      <c r="C216" s="23"/>
      <c r="D216" s="23"/>
      <c r="E216" s="23"/>
      <c r="F216" s="23"/>
      <c r="G216" s="23"/>
      <c r="H216" s="23"/>
      <c r="I216" s="24"/>
      <c r="J216" s="23"/>
      <c r="K216" s="23"/>
      <c r="L216" s="24"/>
      <c r="M216" s="23"/>
      <c r="N216" s="23"/>
    </row>
    <row r="217" spans="1:14" ht="14.45">
      <c r="A217" s="23"/>
      <c r="B217" s="35"/>
      <c r="C217" s="23"/>
      <c r="D217" s="23"/>
      <c r="E217" s="23"/>
      <c r="F217" s="23"/>
      <c r="G217" s="23"/>
      <c r="H217" s="23"/>
      <c r="I217" s="24"/>
      <c r="J217" s="23"/>
      <c r="K217" s="23"/>
      <c r="L217" s="24"/>
      <c r="M217" s="23"/>
      <c r="N217" s="23"/>
    </row>
    <row r="218" spans="1:14" ht="14.45">
      <c r="A218" s="23"/>
      <c r="B218" s="35"/>
      <c r="C218" s="23"/>
      <c r="D218" s="23"/>
      <c r="E218" s="23"/>
      <c r="F218" s="23"/>
      <c r="G218" s="23"/>
      <c r="H218" s="23"/>
      <c r="I218" s="24"/>
      <c r="J218" s="23"/>
      <c r="K218" s="23"/>
      <c r="L218" s="24"/>
      <c r="M218" s="23"/>
      <c r="N218" s="23"/>
    </row>
    <row r="219" spans="1:14" ht="14.45">
      <c r="A219" s="23"/>
      <c r="B219" s="35"/>
      <c r="C219" s="23"/>
      <c r="D219" s="23"/>
      <c r="E219" s="23"/>
      <c r="F219" s="23"/>
      <c r="G219" s="23"/>
      <c r="H219" s="23"/>
      <c r="I219" s="24"/>
      <c r="J219" s="23"/>
      <c r="K219" s="23"/>
      <c r="L219" s="24"/>
      <c r="M219" s="23"/>
      <c r="N219" s="23"/>
    </row>
    <row r="220" spans="1:14" ht="14.45">
      <c r="A220" s="23"/>
      <c r="B220" s="35"/>
      <c r="C220" s="23"/>
      <c r="D220" s="23"/>
      <c r="E220" s="23"/>
      <c r="F220" s="23"/>
      <c r="G220" s="23"/>
      <c r="H220" s="23"/>
      <c r="I220" s="24"/>
      <c r="J220" s="23"/>
      <c r="K220" s="23"/>
      <c r="L220" s="24"/>
      <c r="M220" s="23"/>
      <c r="N220" s="23"/>
    </row>
    <row r="221" spans="1:14" ht="14.45">
      <c r="A221" s="23"/>
      <c r="B221" s="35"/>
      <c r="C221" s="23"/>
      <c r="D221" s="23"/>
      <c r="E221" s="23"/>
      <c r="F221" s="23"/>
      <c r="G221" s="23"/>
      <c r="H221" s="23"/>
      <c r="I221" s="24"/>
      <c r="J221" s="23"/>
      <c r="K221" s="23"/>
      <c r="L221" s="24"/>
      <c r="M221" s="23"/>
      <c r="N221" s="23"/>
    </row>
    <row r="222" spans="1:14" ht="14.45">
      <c r="A222" s="23"/>
      <c r="B222" s="35"/>
      <c r="C222" s="23"/>
      <c r="D222" s="23"/>
      <c r="E222" s="23"/>
      <c r="F222" s="23"/>
      <c r="G222" s="23"/>
      <c r="H222" s="23"/>
      <c r="I222" s="24"/>
      <c r="J222" s="23"/>
      <c r="K222" s="23"/>
      <c r="L222" s="24"/>
      <c r="M222" s="23"/>
      <c r="N222" s="23"/>
    </row>
    <row r="223" spans="1:14" ht="14.45">
      <c r="A223" s="23"/>
      <c r="B223" s="35"/>
      <c r="C223" s="23"/>
      <c r="D223" s="23"/>
      <c r="E223" s="23"/>
      <c r="F223" s="23"/>
      <c r="G223" s="23"/>
      <c r="H223" s="23"/>
      <c r="I223" s="24"/>
      <c r="J223" s="23"/>
      <c r="K223" s="23"/>
      <c r="L223" s="24"/>
      <c r="M223" s="23"/>
      <c r="N223" s="23"/>
    </row>
    <row r="224" spans="1:14" ht="14.45">
      <c r="A224" s="23"/>
      <c r="B224" s="35"/>
      <c r="C224" s="23"/>
      <c r="D224" s="23"/>
      <c r="E224" s="23"/>
      <c r="F224" s="23"/>
      <c r="G224" s="23"/>
      <c r="H224" s="23"/>
      <c r="I224" s="24"/>
      <c r="J224" s="23"/>
      <c r="K224" s="23"/>
      <c r="L224" s="24"/>
      <c r="M224" s="23"/>
      <c r="N224" s="23"/>
    </row>
    <row r="225" spans="1:14" ht="14.45">
      <c r="A225" s="23"/>
      <c r="B225" s="35"/>
      <c r="C225" s="23"/>
      <c r="D225" s="23"/>
      <c r="E225" s="23"/>
      <c r="F225" s="23"/>
      <c r="G225" s="23"/>
      <c r="H225" s="23"/>
      <c r="I225" s="24"/>
      <c r="J225" s="23"/>
      <c r="K225" s="23"/>
      <c r="L225" s="24"/>
      <c r="M225" s="23"/>
      <c r="N225" s="23"/>
    </row>
    <row r="226" spans="1:14" ht="14.45">
      <c r="A226" s="23"/>
      <c r="B226" s="35"/>
      <c r="C226" s="23"/>
      <c r="D226" s="23"/>
      <c r="E226" s="23"/>
      <c r="F226" s="23"/>
      <c r="G226" s="23"/>
      <c r="H226" s="23"/>
      <c r="I226" s="24"/>
      <c r="J226" s="23"/>
      <c r="K226" s="23"/>
      <c r="L226" s="24"/>
      <c r="M226" s="23"/>
      <c r="N226" s="23"/>
    </row>
    <row r="227" spans="1:14" ht="14.45">
      <c r="A227" s="23"/>
      <c r="B227" s="35"/>
      <c r="C227" s="23"/>
      <c r="D227" s="23"/>
      <c r="E227" s="23"/>
      <c r="F227" s="23"/>
      <c r="G227" s="23"/>
      <c r="H227" s="23"/>
      <c r="I227" s="24"/>
      <c r="J227" s="23"/>
      <c r="K227" s="23"/>
      <c r="L227" s="24"/>
      <c r="M227" s="23"/>
      <c r="N227" s="23"/>
    </row>
    <row r="228" spans="1:14" ht="14.45">
      <c r="A228" s="23"/>
      <c r="B228" s="35"/>
      <c r="C228" s="23"/>
      <c r="D228" s="23"/>
      <c r="E228" s="23"/>
      <c r="F228" s="23"/>
      <c r="G228" s="23"/>
      <c r="H228" s="23"/>
      <c r="I228" s="24"/>
      <c r="J228" s="23"/>
      <c r="K228" s="23"/>
      <c r="L228" s="24"/>
      <c r="M228" s="23"/>
      <c r="N228" s="23"/>
    </row>
    <row r="229" spans="1:14" ht="14.45">
      <c r="A229" s="23"/>
      <c r="B229" s="35"/>
      <c r="C229" s="23"/>
      <c r="D229" s="23"/>
      <c r="E229" s="23"/>
      <c r="F229" s="23"/>
      <c r="G229" s="23"/>
      <c r="H229" s="23"/>
      <c r="I229" s="24"/>
      <c r="J229" s="23"/>
      <c r="K229" s="23"/>
      <c r="L229" s="24"/>
      <c r="M229" s="23"/>
      <c r="N229" s="23"/>
    </row>
    <row r="230" spans="1:14" ht="14.45">
      <c r="A230" s="23"/>
      <c r="B230" s="35"/>
      <c r="C230" s="23"/>
      <c r="D230" s="23"/>
      <c r="E230" s="23"/>
      <c r="F230" s="23"/>
      <c r="G230" s="23"/>
      <c r="H230" s="23"/>
      <c r="I230" s="24"/>
      <c r="J230" s="23"/>
      <c r="K230" s="23"/>
      <c r="L230" s="24"/>
      <c r="M230" s="23"/>
      <c r="N230" s="23"/>
    </row>
    <row r="231" spans="1:14" ht="14.45">
      <c r="A231" s="23"/>
      <c r="B231" s="35"/>
      <c r="C231" s="23"/>
      <c r="D231" s="23"/>
      <c r="E231" s="23"/>
      <c r="F231" s="23"/>
      <c r="G231" s="23"/>
      <c r="H231" s="23"/>
      <c r="I231" s="24"/>
      <c r="J231" s="23"/>
      <c r="K231" s="23"/>
      <c r="L231" s="24"/>
      <c r="M231" s="23"/>
      <c r="N231" s="23"/>
    </row>
    <row r="232" spans="1:14" ht="14.45">
      <c r="A232" s="23"/>
      <c r="B232" s="35"/>
      <c r="C232" s="23"/>
      <c r="D232" s="23"/>
      <c r="E232" s="23"/>
      <c r="F232" s="23"/>
      <c r="G232" s="23"/>
      <c r="H232" s="23"/>
      <c r="I232" s="24"/>
      <c r="J232" s="23"/>
      <c r="K232" s="23"/>
      <c r="L232" s="24"/>
      <c r="M232" s="23"/>
      <c r="N232" s="23"/>
    </row>
    <row r="233" spans="1:14" ht="14.45">
      <c r="A233" s="23"/>
      <c r="B233" s="35"/>
      <c r="C233" s="23"/>
      <c r="D233" s="23"/>
      <c r="E233" s="23"/>
      <c r="F233" s="23"/>
      <c r="G233" s="23"/>
      <c r="H233" s="23"/>
      <c r="I233" s="24"/>
      <c r="J233" s="23"/>
      <c r="K233" s="23"/>
      <c r="L233" s="24"/>
      <c r="M233" s="23"/>
      <c r="N233" s="23"/>
    </row>
    <row r="234" spans="1:14" ht="14.45">
      <c r="A234" s="23"/>
      <c r="B234" s="35"/>
      <c r="C234" s="23"/>
      <c r="D234" s="23"/>
      <c r="E234" s="23"/>
      <c r="F234" s="23"/>
      <c r="G234" s="23"/>
      <c r="H234" s="23"/>
      <c r="I234" s="24"/>
      <c r="J234" s="23"/>
      <c r="K234" s="23"/>
      <c r="L234" s="24"/>
      <c r="M234" s="23"/>
      <c r="N234" s="23"/>
    </row>
    <row r="235" spans="1:14" ht="14.45">
      <c r="A235" s="23"/>
      <c r="B235" s="35"/>
      <c r="C235" s="23"/>
      <c r="D235" s="23"/>
      <c r="E235" s="23"/>
      <c r="F235" s="23"/>
      <c r="G235" s="23"/>
      <c r="H235" s="23"/>
      <c r="I235" s="24"/>
      <c r="J235" s="23"/>
      <c r="K235" s="23"/>
      <c r="L235" s="24"/>
      <c r="M235" s="23"/>
      <c r="N235" s="23"/>
    </row>
    <row r="236" spans="1:14" ht="14.45">
      <c r="A236" s="23"/>
      <c r="B236" s="35"/>
      <c r="C236" s="23"/>
      <c r="D236" s="23"/>
      <c r="E236" s="23"/>
      <c r="F236" s="23"/>
      <c r="G236" s="23"/>
      <c r="H236" s="23"/>
      <c r="I236" s="24"/>
      <c r="J236" s="23"/>
      <c r="K236" s="23"/>
      <c r="L236" s="24"/>
      <c r="M236" s="23"/>
      <c r="N236" s="23"/>
    </row>
    <row r="237" spans="1:14" ht="14.45">
      <c r="A237" s="23"/>
      <c r="B237" s="35"/>
      <c r="C237" s="23"/>
      <c r="D237" s="23"/>
      <c r="E237" s="23"/>
      <c r="F237" s="23"/>
      <c r="G237" s="23"/>
      <c r="H237" s="23"/>
      <c r="I237" s="24"/>
      <c r="J237" s="23"/>
      <c r="K237" s="23"/>
      <c r="L237" s="24"/>
      <c r="M237" s="23"/>
      <c r="N237" s="23"/>
    </row>
    <row r="238" spans="1:14" ht="14.45">
      <c r="A238" s="23"/>
      <c r="B238" s="35"/>
      <c r="C238" s="23"/>
      <c r="D238" s="23"/>
      <c r="E238" s="23"/>
      <c r="F238" s="23"/>
      <c r="G238" s="23"/>
      <c r="H238" s="23"/>
      <c r="I238" s="24"/>
      <c r="J238" s="23"/>
      <c r="K238" s="23"/>
      <c r="L238" s="24"/>
      <c r="M238" s="23"/>
      <c r="N238" s="23"/>
    </row>
    <row r="239" spans="1:14" ht="14.45">
      <c r="A239" s="23"/>
      <c r="B239" s="35"/>
      <c r="C239" s="23"/>
      <c r="D239" s="23"/>
      <c r="E239" s="23"/>
      <c r="F239" s="23"/>
      <c r="G239" s="23"/>
      <c r="H239" s="23"/>
      <c r="I239" s="24"/>
      <c r="J239" s="23"/>
      <c r="K239" s="23"/>
      <c r="L239" s="24"/>
      <c r="M239" s="23"/>
      <c r="N239" s="23"/>
    </row>
    <row r="240" spans="1:14" ht="14.45">
      <c r="A240" s="23"/>
      <c r="B240" s="35"/>
      <c r="C240" s="23"/>
      <c r="D240" s="23"/>
      <c r="E240" s="23"/>
      <c r="F240" s="23"/>
      <c r="G240" s="23"/>
      <c r="H240" s="23"/>
      <c r="I240" s="24"/>
      <c r="J240" s="23"/>
      <c r="K240" s="23"/>
      <c r="L240" s="24"/>
      <c r="M240" s="23"/>
      <c r="N240" s="23"/>
    </row>
    <row r="241" spans="1:14" ht="14.45">
      <c r="A241" s="23"/>
      <c r="B241" s="35"/>
      <c r="C241" s="23"/>
      <c r="D241" s="23"/>
      <c r="E241" s="23"/>
      <c r="F241" s="23"/>
      <c r="G241" s="23"/>
      <c r="H241" s="23"/>
      <c r="I241" s="24"/>
      <c r="J241" s="23"/>
      <c r="K241" s="23"/>
      <c r="L241" s="24"/>
      <c r="M241" s="23"/>
      <c r="N241" s="23"/>
    </row>
    <row r="242" spans="1:14" ht="14.45">
      <c r="A242" s="23"/>
      <c r="B242" s="35"/>
      <c r="C242" s="23"/>
      <c r="D242" s="23"/>
      <c r="E242" s="23"/>
      <c r="F242" s="23"/>
      <c r="G242" s="23"/>
      <c r="H242" s="23"/>
      <c r="I242" s="24"/>
      <c r="J242" s="23"/>
      <c r="K242" s="23"/>
      <c r="L242" s="24"/>
      <c r="M242" s="23"/>
      <c r="N242" s="23"/>
    </row>
    <row r="243" spans="1:14" ht="14.45">
      <c r="A243" s="23"/>
      <c r="B243" s="35"/>
      <c r="C243" s="23"/>
      <c r="D243" s="23"/>
      <c r="E243" s="23"/>
      <c r="F243" s="23"/>
      <c r="G243" s="23"/>
      <c r="H243" s="23"/>
      <c r="I243" s="24"/>
      <c r="J243" s="23"/>
      <c r="K243" s="23"/>
      <c r="L243" s="24"/>
      <c r="M243" s="23"/>
      <c r="N243" s="23"/>
    </row>
    <row r="244" spans="1:14" ht="14.45">
      <c r="A244" s="23"/>
      <c r="B244" s="35"/>
      <c r="C244" s="23"/>
      <c r="D244" s="23"/>
      <c r="E244" s="23"/>
      <c r="F244" s="23"/>
      <c r="G244" s="23"/>
      <c r="H244" s="23"/>
      <c r="I244" s="24"/>
      <c r="J244" s="23"/>
      <c r="K244" s="23"/>
      <c r="L244" s="24"/>
      <c r="M244" s="23"/>
      <c r="N244" s="23"/>
    </row>
    <row r="245" spans="1:14" ht="14.45">
      <c r="A245" s="23"/>
      <c r="B245" s="35"/>
      <c r="C245" s="23"/>
      <c r="D245" s="23"/>
      <c r="E245" s="23"/>
      <c r="F245" s="23"/>
      <c r="G245" s="23"/>
      <c r="H245" s="23"/>
      <c r="I245" s="24"/>
      <c r="J245" s="23"/>
      <c r="K245" s="23"/>
      <c r="L245" s="24"/>
      <c r="M245" s="23"/>
      <c r="N245" s="23"/>
    </row>
    <row r="246" spans="1:14" ht="14.45">
      <c r="A246" s="23"/>
      <c r="B246" s="35"/>
      <c r="C246" s="23"/>
      <c r="D246" s="23"/>
      <c r="E246" s="23"/>
      <c r="F246" s="23"/>
      <c r="G246" s="23"/>
      <c r="H246" s="23"/>
      <c r="I246" s="24"/>
      <c r="J246" s="23"/>
      <c r="K246" s="23"/>
      <c r="L246" s="24"/>
      <c r="M246" s="23"/>
      <c r="N246" s="23"/>
    </row>
    <row r="247" spans="1:14" ht="14.45">
      <c r="A247" s="23"/>
      <c r="B247" s="35"/>
      <c r="C247" s="23"/>
      <c r="D247" s="23"/>
      <c r="E247" s="23"/>
      <c r="F247" s="23"/>
      <c r="G247" s="23"/>
      <c r="H247" s="23"/>
      <c r="I247" s="24"/>
      <c r="J247" s="23"/>
      <c r="K247" s="23"/>
      <c r="L247" s="24"/>
      <c r="M247" s="23"/>
      <c r="N247" s="23"/>
    </row>
    <row r="248" spans="1:14" ht="14.45">
      <c r="A248" s="23"/>
      <c r="B248" s="35"/>
      <c r="C248" s="23"/>
      <c r="D248" s="23"/>
      <c r="E248" s="23"/>
      <c r="F248" s="23"/>
      <c r="G248" s="23"/>
      <c r="H248" s="23"/>
      <c r="I248" s="24"/>
      <c r="J248" s="23"/>
      <c r="K248" s="23"/>
      <c r="L248" s="24"/>
      <c r="M248" s="23"/>
      <c r="N248" s="23"/>
    </row>
    <row r="249" spans="1:14" ht="14.45">
      <c r="A249" s="23"/>
      <c r="B249" s="35"/>
      <c r="C249" s="23"/>
      <c r="D249" s="23"/>
      <c r="E249" s="23"/>
      <c r="F249" s="23"/>
      <c r="G249" s="23"/>
      <c r="H249" s="23"/>
      <c r="I249" s="24"/>
      <c r="J249" s="23"/>
      <c r="K249" s="23"/>
      <c r="L249" s="24"/>
      <c r="M249" s="23"/>
      <c r="N249" s="23"/>
    </row>
    <row r="250" spans="1:14" ht="14.45">
      <c r="A250" s="23"/>
      <c r="B250" s="35"/>
      <c r="C250" s="23"/>
      <c r="D250" s="23"/>
      <c r="E250" s="23"/>
      <c r="F250" s="23"/>
      <c r="G250" s="23"/>
      <c r="H250" s="23"/>
      <c r="I250" s="24"/>
      <c r="J250" s="23"/>
      <c r="K250" s="23"/>
      <c r="L250" s="24"/>
      <c r="M250" s="23"/>
      <c r="N250" s="23"/>
    </row>
    <row r="251" spans="1:14" ht="14.45">
      <c r="A251" s="23"/>
      <c r="B251" s="35"/>
      <c r="C251" s="23"/>
      <c r="D251" s="23"/>
      <c r="E251" s="23"/>
      <c r="F251" s="23"/>
      <c r="G251" s="23"/>
      <c r="H251" s="23"/>
      <c r="I251" s="24"/>
      <c r="J251" s="23"/>
      <c r="K251" s="23"/>
      <c r="L251" s="24"/>
      <c r="M251" s="23"/>
      <c r="N251" s="23"/>
    </row>
    <row r="252" spans="1:14" ht="14.45">
      <c r="A252" s="23"/>
      <c r="B252" s="35"/>
      <c r="C252" s="23"/>
      <c r="D252" s="23"/>
      <c r="E252" s="23"/>
      <c r="F252" s="23"/>
      <c r="G252" s="23"/>
      <c r="H252" s="23"/>
      <c r="I252" s="24"/>
      <c r="J252" s="23"/>
      <c r="K252" s="23"/>
      <c r="L252" s="24"/>
      <c r="M252" s="23"/>
      <c r="N252" s="23"/>
    </row>
    <row r="253" spans="1:14" ht="14.45">
      <c r="A253" s="23"/>
      <c r="B253" s="35"/>
      <c r="C253" s="23"/>
      <c r="D253" s="23"/>
      <c r="E253" s="23"/>
      <c r="F253" s="23"/>
      <c r="G253" s="23"/>
      <c r="H253" s="23"/>
      <c r="I253" s="24"/>
      <c r="J253" s="23"/>
      <c r="K253" s="23"/>
      <c r="L253" s="24"/>
      <c r="M253" s="23"/>
      <c r="N253" s="23"/>
    </row>
    <row r="254" spans="1:14" ht="14.45">
      <c r="A254" s="23"/>
      <c r="B254" s="35"/>
      <c r="C254" s="23"/>
      <c r="D254" s="23"/>
      <c r="E254" s="23"/>
      <c r="F254" s="23"/>
      <c r="G254" s="23"/>
      <c r="H254" s="23"/>
      <c r="I254" s="24"/>
      <c r="J254" s="23"/>
      <c r="K254" s="23"/>
      <c r="L254" s="24"/>
      <c r="M254" s="23"/>
      <c r="N254" s="23"/>
    </row>
    <row r="255" spans="1:14" ht="14.45">
      <c r="A255" s="23"/>
      <c r="B255" s="35"/>
      <c r="C255" s="23"/>
      <c r="D255" s="23"/>
      <c r="E255" s="23"/>
      <c r="F255" s="23"/>
      <c r="G255" s="23"/>
      <c r="H255" s="23"/>
      <c r="I255" s="24"/>
      <c r="J255" s="23"/>
      <c r="K255" s="23"/>
      <c r="L255" s="24"/>
      <c r="M255" s="23"/>
      <c r="N255" s="23"/>
    </row>
    <row r="256" spans="1:14" ht="14.45">
      <c r="A256" s="23"/>
      <c r="B256" s="35"/>
      <c r="C256" s="23"/>
      <c r="D256" s="23"/>
      <c r="E256" s="23"/>
      <c r="F256" s="23"/>
      <c r="G256" s="23"/>
      <c r="H256" s="23"/>
      <c r="I256" s="24"/>
      <c r="J256" s="23"/>
      <c r="K256" s="23"/>
      <c r="L256" s="24"/>
      <c r="M256" s="23"/>
      <c r="N256" s="23"/>
    </row>
    <row r="257" spans="1:14" ht="14.45">
      <c r="A257" s="23"/>
      <c r="B257" s="35"/>
      <c r="C257" s="23"/>
      <c r="D257" s="23"/>
      <c r="E257" s="23"/>
      <c r="F257" s="23"/>
      <c r="G257" s="23"/>
      <c r="H257" s="23"/>
      <c r="I257" s="24"/>
      <c r="J257" s="23"/>
      <c r="K257" s="23"/>
      <c r="L257" s="24"/>
      <c r="M257" s="23"/>
      <c r="N257" s="23"/>
    </row>
    <row r="258" spans="1:14" ht="14.45">
      <c r="A258" s="23"/>
      <c r="B258" s="35"/>
      <c r="C258" s="23"/>
      <c r="D258" s="23"/>
      <c r="E258" s="23"/>
      <c r="F258" s="23"/>
      <c r="G258" s="23"/>
      <c r="H258" s="23"/>
      <c r="I258" s="24"/>
      <c r="J258" s="23"/>
      <c r="K258" s="23"/>
      <c r="L258" s="24"/>
      <c r="M258" s="23"/>
      <c r="N258" s="23"/>
    </row>
    <row r="259" spans="1:14" ht="14.45">
      <c r="A259" s="23"/>
      <c r="B259" s="35"/>
      <c r="C259" s="23"/>
      <c r="D259" s="23"/>
      <c r="E259" s="23"/>
      <c r="F259" s="23"/>
      <c r="G259" s="23"/>
      <c r="H259" s="23"/>
      <c r="I259" s="24"/>
      <c r="J259" s="23"/>
      <c r="K259" s="23"/>
      <c r="L259" s="24"/>
      <c r="M259" s="23"/>
      <c r="N259" s="23"/>
    </row>
    <row r="260" spans="1:14" ht="14.45">
      <c r="A260" s="23"/>
      <c r="B260" s="35"/>
      <c r="C260" s="23"/>
      <c r="D260" s="23"/>
      <c r="E260" s="23"/>
      <c r="F260" s="23"/>
      <c r="G260" s="23"/>
      <c r="H260" s="23"/>
      <c r="I260" s="24"/>
      <c r="J260" s="23"/>
      <c r="K260" s="23"/>
      <c r="L260" s="24"/>
      <c r="M260" s="23"/>
      <c r="N260" s="23"/>
    </row>
    <row r="261" spans="1:14" ht="14.45">
      <c r="A261" s="23"/>
      <c r="B261" s="35"/>
      <c r="C261" s="23"/>
      <c r="D261" s="23"/>
      <c r="E261" s="23"/>
      <c r="F261" s="23"/>
      <c r="G261" s="23"/>
      <c r="H261" s="23"/>
      <c r="I261" s="24"/>
      <c r="J261" s="23"/>
      <c r="K261" s="23"/>
      <c r="L261" s="24"/>
      <c r="M261" s="23"/>
      <c r="N261" s="23"/>
    </row>
    <row r="262" spans="1:14" ht="14.45">
      <c r="A262" s="23"/>
      <c r="B262" s="35"/>
      <c r="C262" s="23"/>
      <c r="D262" s="23"/>
      <c r="E262" s="23"/>
      <c r="F262" s="23"/>
      <c r="G262" s="23"/>
      <c r="H262" s="23"/>
      <c r="I262" s="24"/>
      <c r="J262" s="23"/>
      <c r="K262" s="23"/>
      <c r="L262" s="24"/>
      <c r="M262" s="23"/>
      <c r="N262" s="23"/>
    </row>
    <row r="263" spans="1:14" ht="14.45">
      <c r="A263" s="23"/>
      <c r="B263" s="35"/>
      <c r="C263" s="23"/>
      <c r="D263" s="23"/>
      <c r="E263" s="23"/>
      <c r="F263" s="23"/>
      <c r="G263" s="23"/>
      <c r="H263" s="23"/>
      <c r="I263" s="24"/>
      <c r="J263" s="23"/>
      <c r="K263" s="23"/>
      <c r="L263" s="24"/>
      <c r="M263" s="23"/>
      <c r="N263" s="23"/>
    </row>
    <row r="264" spans="1:14" ht="14.45">
      <c r="A264" s="23"/>
      <c r="B264" s="35"/>
      <c r="C264" s="23"/>
      <c r="D264" s="23"/>
      <c r="E264" s="23"/>
      <c r="F264" s="23"/>
      <c r="G264" s="23"/>
      <c r="H264" s="23"/>
      <c r="I264" s="24"/>
      <c r="J264" s="23"/>
      <c r="K264" s="23"/>
      <c r="L264" s="24"/>
      <c r="M264" s="23"/>
      <c r="N264" s="23"/>
    </row>
    <row r="265" spans="1:14" ht="14.45">
      <c r="A265" s="23"/>
      <c r="B265" s="35"/>
      <c r="C265" s="23"/>
      <c r="D265" s="23"/>
      <c r="E265" s="23"/>
      <c r="F265" s="23"/>
      <c r="G265" s="23"/>
      <c r="H265" s="23"/>
      <c r="I265" s="24"/>
      <c r="J265" s="23"/>
      <c r="K265" s="23"/>
      <c r="L265" s="24"/>
      <c r="M265" s="23"/>
      <c r="N265" s="23"/>
    </row>
    <row r="266" spans="1:14" ht="14.45">
      <c r="A266" s="23"/>
      <c r="B266" s="35"/>
      <c r="C266" s="23"/>
      <c r="D266" s="23"/>
      <c r="E266" s="23"/>
      <c r="F266" s="23"/>
      <c r="G266" s="23"/>
      <c r="H266" s="23"/>
      <c r="I266" s="24"/>
      <c r="J266" s="23"/>
      <c r="K266" s="23"/>
      <c r="L266" s="24"/>
      <c r="M266" s="23"/>
      <c r="N266" s="23"/>
    </row>
    <row r="267" spans="1:14" ht="14.45">
      <c r="A267" s="23"/>
      <c r="B267" s="35"/>
      <c r="C267" s="23"/>
      <c r="D267" s="23"/>
      <c r="E267" s="23"/>
      <c r="F267" s="23"/>
      <c r="G267" s="23"/>
      <c r="H267" s="23"/>
      <c r="I267" s="24"/>
      <c r="J267" s="23"/>
      <c r="K267" s="23"/>
      <c r="L267" s="24"/>
      <c r="M267" s="23"/>
      <c r="N267" s="23"/>
    </row>
    <row r="268" spans="1:14" ht="14.45">
      <c r="A268" s="23"/>
      <c r="B268" s="35"/>
      <c r="C268" s="23"/>
      <c r="D268" s="23"/>
      <c r="E268" s="23"/>
      <c r="F268" s="23"/>
      <c r="G268" s="23"/>
      <c r="H268" s="23"/>
      <c r="I268" s="24"/>
      <c r="J268" s="23"/>
      <c r="K268" s="23"/>
      <c r="L268" s="24"/>
      <c r="M268" s="23"/>
      <c r="N268" s="23"/>
    </row>
    <row r="269" spans="1:14" ht="14.45">
      <c r="A269" s="23"/>
      <c r="B269" s="35"/>
      <c r="C269" s="23"/>
      <c r="D269" s="23"/>
      <c r="E269" s="23"/>
      <c r="F269" s="23"/>
      <c r="G269" s="23"/>
      <c r="H269" s="23"/>
      <c r="I269" s="24"/>
      <c r="J269" s="23"/>
      <c r="K269" s="23"/>
      <c r="L269" s="24"/>
      <c r="M269" s="23"/>
      <c r="N269" s="23"/>
    </row>
    <row r="270" spans="1:14" ht="14.45">
      <c r="A270" s="23"/>
      <c r="B270" s="35"/>
      <c r="C270" s="23"/>
      <c r="D270" s="23"/>
      <c r="E270" s="23"/>
      <c r="F270" s="23"/>
      <c r="G270" s="23"/>
      <c r="H270" s="23"/>
      <c r="I270" s="24"/>
      <c r="J270" s="23"/>
      <c r="K270" s="23"/>
      <c r="L270" s="24"/>
      <c r="M270" s="23"/>
      <c r="N270" s="23"/>
    </row>
    <row r="271" spans="1:14" ht="14.45">
      <c r="A271" s="23"/>
      <c r="B271" s="35"/>
      <c r="C271" s="23"/>
      <c r="D271" s="23"/>
      <c r="E271" s="23"/>
      <c r="F271" s="23"/>
      <c r="G271" s="23"/>
      <c r="H271" s="23"/>
      <c r="I271" s="24"/>
      <c r="J271" s="23"/>
      <c r="K271" s="23"/>
      <c r="L271" s="24"/>
      <c r="M271" s="23"/>
      <c r="N271" s="23"/>
    </row>
    <row r="272" spans="1:14" ht="14.45">
      <c r="A272" s="23"/>
      <c r="B272" s="35"/>
      <c r="C272" s="23"/>
      <c r="D272" s="23"/>
      <c r="E272" s="23"/>
      <c r="F272" s="23"/>
      <c r="G272" s="23"/>
      <c r="H272" s="23"/>
      <c r="I272" s="24"/>
      <c r="J272" s="23"/>
      <c r="K272" s="23"/>
      <c r="L272" s="24"/>
      <c r="M272" s="23"/>
      <c r="N272" s="23"/>
    </row>
    <row r="273" spans="1:14" ht="14.45">
      <c r="A273" s="23"/>
      <c r="B273" s="35"/>
      <c r="C273" s="23"/>
      <c r="D273" s="23"/>
      <c r="E273" s="23"/>
      <c r="F273" s="23"/>
      <c r="G273" s="23"/>
      <c r="H273" s="23"/>
      <c r="I273" s="24"/>
      <c r="J273" s="23"/>
      <c r="K273" s="23"/>
      <c r="L273" s="24"/>
      <c r="M273" s="23"/>
      <c r="N273" s="23"/>
    </row>
    <row r="274" spans="1:14" ht="14.45">
      <c r="A274" s="23"/>
      <c r="B274" s="35"/>
      <c r="C274" s="23"/>
      <c r="D274" s="23"/>
      <c r="E274" s="23"/>
      <c r="F274" s="23"/>
      <c r="G274" s="23"/>
      <c r="H274" s="23"/>
      <c r="I274" s="24"/>
      <c r="J274" s="23"/>
      <c r="K274" s="23"/>
      <c r="L274" s="24"/>
      <c r="M274" s="23"/>
      <c r="N274" s="23"/>
    </row>
    <row r="275" spans="1:14" ht="14.45">
      <c r="A275" s="23"/>
      <c r="B275" s="35"/>
      <c r="C275" s="23"/>
      <c r="D275" s="23"/>
      <c r="E275" s="23"/>
      <c r="F275" s="23"/>
      <c r="G275" s="23"/>
      <c r="H275" s="23"/>
      <c r="I275" s="24"/>
      <c r="J275" s="23"/>
      <c r="K275" s="23"/>
      <c r="L275" s="24"/>
      <c r="M275" s="23"/>
      <c r="N275" s="23"/>
    </row>
    <row r="276" spans="1:14" ht="14.45">
      <c r="A276" s="23"/>
      <c r="B276" s="35"/>
      <c r="C276" s="23"/>
      <c r="D276" s="23"/>
      <c r="E276" s="23"/>
      <c r="F276" s="23"/>
      <c r="G276" s="23"/>
      <c r="H276" s="23"/>
      <c r="I276" s="24"/>
      <c r="J276" s="23"/>
      <c r="K276" s="23"/>
      <c r="L276" s="24"/>
      <c r="M276" s="23"/>
      <c r="N276" s="23"/>
    </row>
    <row r="277" spans="1:14" ht="14.45">
      <c r="A277" s="23"/>
      <c r="B277" s="35"/>
      <c r="C277" s="23"/>
      <c r="D277" s="23"/>
      <c r="E277" s="23"/>
      <c r="F277" s="23"/>
      <c r="G277" s="23"/>
      <c r="H277" s="23"/>
      <c r="I277" s="24"/>
      <c r="J277" s="23"/>
      <c r="K277" s="23"/>
      <c r="L277" s="24"/>
      <c r="M277" s="23"/>
      <c r="N277" s="23"/>
    </row>
    <row r="278" spans="1:14" ht="14.45">
      <c r="A278" s="23"/>
      <c r="B278" s="35"/>
      <c r="C278" s="23"/>
      <c r="D278" s="23"/>
      <c r="E278" s="23"/>
      <c r="F278" s="23"/>
      <c r="G278" s="23"/>
      <c r="H278" s="23"/>
      <c r="I278" s="24"/>
      <c r="J278" s="23"/>
      <c r="K278" s="23"/>
      <c r="L278" s="24"/>
      <c r="M278" s="23"/>
      <c r="N278" s="23"/>
    </row>
    <row r="279" spans="1:14" ht="14.45">
      <c r="A279" s="23"/>
      <c r="B279" s="35"/>
      <c r="C279" s="23"/>
      <c r="D279" s="23"/>
      <c r="E279" s="23"/>
      <c r="F279" s="23"/>
      <c r="G279" s="23"/>
      <c r="H279" s="23"/>
      <c r="I279" s="24"/>
      <c r="J279" s="23"/>
      <c r="K279" s="23"/>
      <c r="L279" s="24"/>
      <c r="M279" s="23"/>
      <c r="N279" s="23"/>
    </row>
    <row r="280" spans="1:14" ht="14.45">
      <c r="A280" s="23"/>
      <c r="B280" s="35"/>
      <c r="C280" s="23"/>
      <c r="D280" s="23"/>
      <c r="E280" s="23"/>
      <c r="F280" s="23"/>
      <c r="G280" s="23"/>
      <c r="H280" s="23"/>
      <c r="I280" s="24"/>
      <c r="J280" s="23"/>
      <c r="K280" s="23"/>
      <c r="L280" s="24"/>
      <c r="M280" s="23"/>
      <c r="N280" s="23"/>
    </row>
    <row r="281" spans="1:14" ht="14.45">
      <c r="A281" s="23"/>
      <c r="B281" s="35"/>
      <c r="C281" s="23"/>
      <c r="D281" s="23"/>
      <c r="E281" s="23"/>
      <c r="F281" s="23"/>
      <c r="G281" s="23"/>
      <c r="H281" s="23"/>
      <c r="I281" s="24"/>
      <c r="J281" s="23"/>
      <c r="K281" s="23"/>
      <c r="L281" s="24"/>
      <c r="M281" s="23"/>
      <c r="N281" s="23"/>
    </row>
    <row r="282" spans="1:14" ht="14.45">
      <c r="A282" s="23"/>
      <c r="B282" s="35"/>
      <c r="C282" s="23"/>
      <c r="D282" s="23"/>
      <c r="E282" s="23"/>
      <c r="F282" s="23"/>
      <c r="G282" s="23"/>
      <c r="H282" s="23"/>
      <c r="I282" s="24"/>
      <c r="J282" s="23"/>
      <c r="K282" s="23"/>
      <c r="L282" s="24"/>
      <c r="M282" s="23"/>
      <c r="N282" s="23"/>
    </row>
    <row r="283" spans="1:14" ht="14.45">
      <c r="A283" s="23"/>
      <c r="B283" s="35"/>
      <c r="C283" s="23"/>
      <c r="D283" s="23"/>
      <c r="E283" s="23"/>
      <c r="F283" s="23"/>
      <c r="G283" s="23"/>
      <c r="H283" s="23"/>
      <c r="I283" s="24"/>
      <c r="J283" s="23"/>
      <c r="K283" s="23"/>
      <c r="L283" s="24"/>
      <c r="M283" s="23"/>
      <c r="N283" s="23"/>
    </row>
    <row r="284" spans="1:14" ht="14.45">
      <c r="A284" s="23"/>
      <c r="B284" s="35"/>
      <c r="C284" s="23"/>
      <c r="D284" s="23"/>
      <c r="E284" s="23"/>
      <c r="F284" s="23"/>
      <c r="G284" s="23"/>
      <c r="H284" s="23"/>
      <c r="I284" s="24"/>
      <c r="J284" s="23"/>
      <c r="K284" s="23"/>
      <c r="L284" s="24"/>
      <c r="M284" s="23"/>
      <c r="N284" s="23"/>
    </row>
    <row r="285" spans="1:14" ht="14.45">
      <c r="A285" s="23"/>
      <c r="B285" s="35"/>
      <c r="C285" s="23"/>
      <c r="D285" s="23"/>
      <c r="E285" s="23"/>
      <c r="F285" s="23"/>
      <c r="G285" s="23"/>
      <c r="H285" s="23"/>
      <c r="I285" s="24"/>
      <c r="J285" s="23"/>
      <c r="K285" s="23"/>
      <c r="L285" s="24"/>
      <c r="M285" s="23"/>
      <c r="N285" s="23"/>
    </row>
    <row r="286" spans="1:14" ht="14.45">
      <c r="A286" s="23"/>
      <c r="B286" s="35"/>
      <c r="C286" s="23"/>
      <c r="D286" s="23"/>
      <c r="E286" s="23"/>
      <c r="F286" s="23"/>
      <c r="G286" s="23"/>
      <c r="H286" s="23"/>
      <c r="I286" s="24"/>
      <c r="J286" s="23"/>
      <c r="K286" s="23"/>
      <c r="L286" s="24"/>
      <c r="M286" s="23"/>
      <c r="N286" s="23"/>
    </row>
    <row r="287" spans="1:14" ht="14.45">
      <c r="A287" s="23"/>
      <c r="B287" s="35"/>
      <c r="C287" s="23"/>
      <c r="D287" s="23"/>
      <c r="E287" s="23"/>
      <c r="F287" s="23"/>
      <c r="G287" s="23"/>
      <c r="H287" s="23"/>
      <c r="I287" s="24"/>
      <c r="J287" s="23"/>
      <c r="K287" s="23"/>
      <c r="L287" s="24"/>
      <c r="M287" s="23"/>
      <c r="N287" s="23"/>
    </row>
    <row r="288" spans="1:14" ht="14.45">
      <c r="A288" s="23"/>
      <c r="B288" s="35"/>
      <c r="C288" s="23"/>
      <c r="D288" s="23"/>
      <c r="E288" s="23"/>
      <c r="F288" s="23"/>
      <c r="G288" s="23"/>
      <c r="H288" s="23"/>
      <c r="I288" s="24"/>
      <c r="J288" s="23"/>
      <c r="K288" s="23"/>
      <c r="L288" s="24"/>
      <c r="M288" s="23"/>
      <c r="N288" s="23"/>
    </row>
    <row r="289" spans="1:14" ht="14.45">
      <c r="A289" s="23"/>
      <c r="B289" s="35"/>
      <c r="C289" s="23"/>
      <c r="D289" s="23"/>
      <c r="E289" s="23"/>
      <c r="F289" s="23"/>
      <c r="G289" s="23"/>
      <c r="H289" s="23"/>
      <c r="I289" s="24"/>
      <c r="J289" s="23"/>
      <c r="K289" s="23"/>
      <c r="L289" s="24"/>
      <c r="M289" s="23"/>
      <c r="N289" s="23"/>
    </row>
    <row r="290" spans="1:14" ht="14.45">
      <c r="A290" s="23"/>
      <c r="B290" s="35"/>
      <c r="C290" s="23"/>
      <c r="D290" s="23"/>
      <c r="E290" s="23"/>
      <c r="F290" s="23"/>
      <c r="G290" s="23"/>
      <c r="H290" s="23"/>
      <c r="I290" s="24"/>
      <c r="J290" s="23"/>
      <c r="K290" s="23"/>
      <c r="L290" s="24"/>
      <c r="M290" s="23"/>
      <c r="N290" s="23"/>
    </row>
    <row r="291" spans="1:14" ht="14.45">
      <c r="A291" s="23"/>
      <c r="B291" s="35"/>
      <c r="C291" s="23"/>
      <c r="D291" s="23"/>
      <c r="E291" s="23"/>
      <c r="F291" s="23"/>
      <c r="G291" s="23"/>
      <c r="H291" s="23"/>
      <c r="I291" s="24"/>
      <c r="J291" s="23"/>
      <c r="K291" s="23"/>
      <c r="L291" s="24"/>
      <c r="M291" s="23"/>
      <c r="N291" s="23"/>
    </row>
    <row r="292" spans="1:14" ht="14.45">
      <c r="A292" s="23"/>
      <c r="B292" s="35"/>
      <c r="C292" s="23"/>
      <c r="D292" s="23"/>
      <c r="E292" s="23"/>
      <c r="F292" s="23"/>
      <c r="G292" s="23"/>
      <c r="H292" s="23"/>
      <c r="I292" s="24"/>
      <c r="J292" s="23"/>
      <c r="K292" s="23"/>
      <c r="L292" s="24"/>
      <c r="M292" s="23"/>
      <c r="N292" s="23"/>
    </row>
    <row r="293" spans="1:14" ht="14.45">
      <c r="A293" s="23"/>
      <c r="B293" s="35"/>
      <c r="C293" s="23"/>
      <c r="D293" s="23"/>
      <c r="E293" s="23"/>
      <c r="F293" s="23"/>
      <c r="G293" s="23"/>
      <c r="H293" s="23"/>
      <c r="I293" s="24"/>
      <c r="J293" s="23"/>
      <c r="K293" s="23"/>
      <c r="L293" s="24"/>
      <c r="M293" s="23"/>
      <c r="N293" s="23"/>
    </row>
    <row r="294" spans="1:14" ht="14.45">
      <c r="A294" s="23"/>
      <c r="B294" s="35"/>
      <c r="C294" s="23"/>
      <c r="D294" s="23"/>
      <c r="E294" s="23"/>
      <c r="F294" s="23"/>
      <c r="G294" s="23"/>
      <c r="H294" s="23"/>
      <c r="I294" s="24"/>
      <c r="J294" s="23"/>
      <c r="K294" s="23"/>
      <c r="L294" s="24"/>
      <c r="M294" s="23"/>
      <c r="N294" s="23"/>
    </row>
    <row r="295" spans="1:14" ht="14.45">
      <c r="A295" s="23"/>
      <c r="B295" s="35"/>
      <c r="C295" s="23"/>
      <c r="D295" s="23"/>
      <c r="E295" s="23"/>
      <c r="F295" s="23"/>
      <c r="G295" s="23"/>
      <c r="H295" s="23"/>
      <c r="I295" s="24"/>
      <c r="J295" s="23"/>
      <c r="K295" s="23"/>
      <c r="L295" s="24"/>
      <c r="M295" s="23"/>
      <c r="N295" s="23"/>
    </row>
    <row r="296" spans="1:14" ht="14.45">
      <c r="A296" s="23"/>
      <c r="B296" s="35"/>
      <c r="C296" s="23"/>
      <c r="D296" s="23"/>
      <c r="E296" s="23"/>
      <c r="F296" s="23"/>
      <c r="G296" s="23"/>
      <c r="H296" s="23"/>
      <c r="I296" s="24"/>
      <c r="J296" s="23"/>
      <c r="K296" s="23"/>
      <c r="L296" s="24"/>
      <c r="M296" s="23"/>
      <c r="N296" s="23"/>
    </row>
    <row r="297" spans="1:14" ht="14.45">
      <c r="A297" s="23"/>
      <c r="B297" s="35"/>
      <c r="C297" s="23"/>
      <c r="D297" s="23"/>
      <c r="E297" s="23"/>
      <c r="F297" s="23"/>
      <c r="G297" s="23"/>
      <c r="H297" s="23"/>
      <c r="I297" s="24"/>
      <c r="J297" s="23"/>
      <c r="K297" s="23"/>
      <c r="L297" s="24"/>
      <c r="M297" s="23"/>
      <c r="N297" s="23"/>
    </row>
    <row r="298" spans="1:14" ht="14.45">
      <c r="A298" s="23"/>
      <c r="B298" s="35"/>
      <c r="C298" s="23"/>
      <c r="D298" s="23"/>
      <c r="E298" s="23"/>
      <c r="F298" s="23"/>
      <c r="G298" s="23"/>
      <c r="H298" s="23"/>
      <c r="I298" s="24"/>
      <c r="J298" s="23"/>
      <c r="K298" s="23"/>
      <c r="L298" s="24"/>
      <c r="M298" s="23"/>
      <c r="N298" s="23"/>
    </row>
    <row r="299" spans="1:14" ht="14.45">
      <c r="A299" s="23"/>
      <c r="B299" s="35"/>
      <c r="C299" s="23"/>
      <c r="D299" s="23"/>
      <c r="E299" s="23"/>
      <c r="F299" s="23"/>
      <c r="G299" s="23"/>
      <c r="H299" s="23"/>
      <c r="I299" s="24"/>
      <c r="J299" s="23"/>
      <c r="K299" s="23"/>
      <c r="L299" s="24"/>
      <c r="M299" s="23"/>
      <c r="N299" s="23"/>
    </row>
    <row r="300" spans="1:14" ht="14.45">
      <c r="A300" s="23"/>
      <c r="B300" s="35"/>
      <c r="C300" s="23"/>
      <c r="D300" s="23"/>
      <c r="E300" s="23"/>
      <c r="F300" s="23"/>
      <c r="G300" s="23"/>
      <c r="H300" s="23"/>
      <c r="I300" s="24"/>
      <c r="J300" s="23"/>
      <c r="K300" s="23"/>
      <c r="L300" s="24"/>
      <c r="M300" s="23"/>
      <c r="N300" s="23"/>
    </row>
    <row r="301" spans="1:14" ht="14.45">
      <c r="A301" s="23"/>
      <c r="B301" s="35"/>
      <c r="C301" s="23"/>
      <c r="D301" s="23"/>
      <c r="E301" s="23"/>
      <c r="F301" s="23"/>
      <c r="G301" s="23"/>
      <c r="H301" s="23"/>
      <c r="I301" s="24"/>
      <c r="J301" s="23"/>
      <c r="K301" s="23"/>
      <c r="L301" s="24"/>
      <c r="M301" s="23"/>
      <c r="N301" s="23"/>
    </row>
    <row r="302" spans="1:14" ht="14.45">
      <c r="A302" s="23"/>
      <c r="B302" s="35"/>
      <c r="C302" s="23"/>
      <c r="D302" s="23"/>
      <c r="E302" s="23"/>
      <c r="F302" s="23"/>
      <c r="G302" s="23"/>
      <c r="H302" s="23"/>
      <c r="I302" s="24"/>
      <c r="J302" s="23"/>
      <c r="K302" s="23"/>
      <c r="L302" s="24"/>
      <c r="M302" s="23"/>
      <c r="N302" s="23"/>
    </row>
    <row r="303" spans="1:14" ht="14.45">
      <c r="A303" s="23"/>
      <c r="B303" s="35"/>
      <c r="C303" s="23"/>
      <c r="D303" s="23"/>
      <c r="E303" s="23"/>
      <c r="F303" s="23"/>
      <c r="G303" s="23"/>
      <c r="H303" s="23"/>
      <c r="I303" s="24"/>
      <c r="J303" s="23"/>
      <c r="K303" s="23"/>
      <c r="L303" s="24"/>
      <c r="M303" s="23"/>
      <c r="N303" s="23"/>
    </row>
    <row r="304" spans="1:14" ht="14.45">
      <c r="A304" s="23"/>
      <c r="B304" s="35"/>
      <c r="C304" s="23"/>
      <c r="D304" s="23"/>
      <c r="E304" s="23"/>
      <c r="F304" s="23"/>
      <c r="G304" s="23"/>
      <c r="H304" s="23"/>
      <c r="I304" s="24"/>
      <c r="J304" s="23"/>
      <c r="K304" s="23"/>
      <c r="L304" s="24"/>
      <c r="M304" s="23"/>
      <c r="N304" s="23"/>
    </row>
    <row r="305" spans="1:14" ht="14.45">
      <c r="A305" s="23"/>
      <c r="B305" s="35"/>
      <c r="C305" s="23"/>
      <c r="D305" s="23"/>
      <c r="E305" s="23"/>
      <c r="F305" s="23"/>
      <c r="G305" s="23"/>
      <c r="H305" s="23"/>
      <c r="I305" s="24"/>
      <c r="J305" s="23"/>
      <c r="K305" s="23"/>
      <c r="L305" s="24"/>
      <c r="M305" s="23"/>
      <c r="N305" s="23"/>
    </row>
    <row r="306" spans="1:14" ht="14.45">
      <c r="A306" s="23"/>
      <c r="B306" s="35"/>
      <c r="C306" s="23"/>
      <c r="D306" s="23"/>
      <c r="E306" s="23"/>
      <c r="F306" s="23"/>
      <c r="G306" s="23"/>
      <c r="H306" s="23"/>
      <c r="I306" s="24"/>
      <c r="J306" s="23"/>
      <c r="K306" s="23"/>
      <c r="L306" s="24"/>
      <c r="M306" s="23"/>
      <c r="N306" s="23"/>
    </row>
    <row r="307" spans="1:14" ht="14.45">
      <c r="A307" s="23"/>
      <c r="B307" s="35"/>
      <c r="C307" s="23"/>
      <c r="D307" s="23"/>
      <c r="E307" s="23"/>
      <c r="F307" s="23"/>
      <c r="G307" s="23"/>
      <c r="H307" s="23"/>
      <c r="I307" s="24"/>
      <c r="J307" s="23"/>
      <c r="K307" s="23"/>
      <c r="L307" s="24"/>
      <c r="M307" s="23"/>
      <c r="N307" s="23"/>
    </row>
    <row r="308" spans="1:14" ht="14.45">
      <c r="A308" s="23"/>
      <c r="B308" s="35"/>
      <c r="C308" s="23"/>
      <c r="D308" s="23"/>
      <c r="E308" s="23"/>
      <c r="F308" s="23"/>
      <c r="G308" s="23"/>
      <c r="H308" s="23"/>
      <c r="I308" s="24"/>
      <c r="J308" s="23"/>
      <c r="K308" s="23"/>
      <c r="L308" s="24"/>
      <c r="M308" s="23"/>
      <c r="N308" s="23"/>
    </row>
    <row r="309" spans="1:14" ht="14.45">
      <c r="A309" s="23"/>
      <c r="B309" s="35"/>
      <c r="C309" s="23"/>
      <c r="D309" s="23"/>
      <c r="E309" s="23"/>
      <c r="F309" s="23"/>
      <c r="G309" s="23"/>
      <c r="H309" s="23"/>
      <c r="I309" s="24"/>
      <c r="J309" s="23"/>
      <c r="K309" s="23"/>
      <c r="L309" s="24"/>
      <c r="M309" s="23"/>
      <c r="N309" s="23"/>
    </row>
    <row r="310" spans="1:14" ht="14.45">
      <c r="A310" s="23"/>
      <c r="B310" s="35"/>
      <c r="C310" s="23"/>
      <c r="D310" s="23"/>
      <c r="E310" s="23"/>
      <c r="F310" s="23"/>
      <c r="G310" s="23"/>
      <c r="H310" s="23"/>
      <c r="I310" s="24"/>
      <c r="J310" s="23"/>
      <c r="K310" s="23"/>
      <c r="L310" s="24"/>
      <c r="M310" s="23"/>
      <c r="N310" s="23"/>
    </row>
    <row r="311" spans="1:14" ht="14.45">
      <c r="A311" s="23"/>
      <c r="B311" s="35"/>
      <c r="C311" s="23"/>
      <c r="D311" s="23"/>
      <c r="E311" s="23"/>
      <c r="F311" s="23"/>
      <c r="G311" s="23"/>
      <c r="H311" s="23"/>
      <c r="I311" s="24"/>
      <c r="J311" s="23"/>
      <c r="K311" s="23"/>
      <c r="L311" s="24"/>
      <c r="M311" s="23"/>
      <c r="N311" s="23"/>
    </row>
    <row r="312" spans="1:14" ht="14.45">
      <c r="A312" s="23"/>
      <c r="B312" s="35"/>
      <c r="C312" s="23"/>
      <c r="D312" s="23"/>
      <c r="E312" s="23"/>
      <c r="F312" s="23"/>
      <c r="G312" s="23"/>
      <c r="H312" s="23"/>
      <c r="I312" s="24"/>
      <c r="J312" s="23"/>
      <c r="K312" s="23"/>
      <c r="L312" s="24"/>
      <c r="M312" s="23"/>
      <c r="N312" s="23"/>
    </row>
    <row r="313" spans="1:14" ht="14.45">
      <c r="A313" s="23"/>
      <c r="B313" s="35"/>
      <c r="C313" s="23"/>
      <c r="D313" s="23"/>
      <c r="E313" s="23"/>
      <c r="F313" s="23"/>
      <c r="G313" s="23"/>
      <c r="H313" s="23"/>
      <c r="I313" s="24"/>
      <c r="J313" s="23"/>
      <c r="K313" s="23"/>
      <c r="L313" s="24"/>
      <c r="M313" s="23"/>
      <c r="N313" s="23"/>
    </row>
    <row r="314" spans="1:14" ht="14.45">
      <c r="A314" s="23"/>
      <c r="B314" s="35"/>
      <c r="C314" s="23"/>
      <c r="D314" s="23"/>
      <c r="E314" s="23"/>
      <c r="F314" s="23"/>
      <c r="G314" s="23"/>
      <c r="H314" s="23"/>
      <c r="I314" s="24"/>
      <c r="J314" s="23"/>
      <c r="K314" s="23"/>
      <c r="L314" s="24"/>
      <c r="M314" s="23"/>
      <c r="N314" s="23"/>
    </row>
    <row r="315" spans="1:14" ht="14.45">
      <c r="A315" s="23"/>
      <c r="B315" s="35"/>
      <c r="C315" s="23"/>
      <c r="D315" s="23"/>
      <c r="E315" s="23"/>
      <c r="F315" s="23"/>
      <c r="G315" s="23"/>
      <c r="H315" s="23"/>
      <c r="I315" s="24"/>
      <c r="J315" s="23"/>
      <c r="K315" s="23"/>
      <c r="L315" s="24"/>
      <c r="M315" s="23"/>
      <c r="N315" s="23"/>
    </row>
    <row r="316" spans="1:14" ht="14.45">
      <c r="A316" s="23"/>
      <c r="B316" s="35"/>
      <c r="C316" s="23"/>
      <c r="D316" s="23"/>
      <c r="E316" s="23"/>
      <c r="F316" s="23"/>
      <c r="G316" s="23"/>
      <c r="H316" s="23"/>
      <c r="I316" s="24"/>
      <c r="J316" s="23"/>
      <c r="K316" s="23"/>
      <c r="L316" s="24"/>
      <c r="M316" s="23"/>
      <c r="N316" s="23"/>
    </row>
    <row r="317" spans="1:14" ht="14.45">
      <c r="A317" s="23"/>
      <c r="B317" s="35"/>
      <c r="C317" s="23"/>
      <c r="D317" s="23"/>
      <c r="E317" s="23"/>
      <c r="F317" s="23"/>
      <c r="G317" s="23"/>
      <c r="H317" s="23"/>
      <c r="I317" s="24"/>
      <c r="J317" s="23"/>
      <c r="K317" s="23"/>
      <c r="L317" s="24"/>
      <c r="M317" s="23"/>
      <c r="N317" s="23"/>
    </row>
    <row r="318" spans="1:14" ht="14.45">
      <c r="A318" s="23"/>
      <c r="B318" s="35"/>
      <c r="C318" s="23"/>
      <c r="D318" s="23"/>
      <c r="E318" s="23"/>
      <c r="F318" s="23"/>
      <c r="G318" s="23"/>
      <c r="H318" s="23"/>
      <c r="I318" s="24"/>
      <c r="J318" s="23"/>
      <c r="K318" s="23"/>
      <c r="L318" s="24"/>
      <c r="M318" s="23"/>
      <c r="N318" s="23"/>
    </row>
    <row r="319" spans="1:14" ht="14.45">
      <c r="A319" s="23"/>
      <c r="B319" s="35"/>
      <c r="C319" s="23"/>
      <c r="D319" s="23"/>
      <c r="E319" s="23"/>
      <c r="F319" s="23"/>
      <c r="G319" s="23"/>
      <c r="H319" s="23"/>
      <c r="I319" s="24"/>
      <c r="J319" s="23"/>
      <c r="K319" s="23"/>
      <c r="L319" s="24"/>
      <c r="M319" s="23"/>
      <c r="N319" s="23"/>
    </row>
    <row r="320" spans="1:14" ht="14.45">
      <c r="A320" s="23"/>
      <c r="B320" s="35"/>
      <c r="C320" s="23"/>
      <c r="D320" s="23"/>
      <c r="E320" s="23"/>
      <c r="F320" s="23"/>
      <c r="G320" s="23"/>
      <c r="H320" s="23"/>
      <c r="I320" s="24"/>
      <c r="J320" s="23"/>
      <c r="K320" s="23"/>
      <c r="L320" s="24"/>
      <c r="M320" s="23"/>
      <c r="N320" s="23"/>
    </row>
    <row r="321" spans="1:14" ht="14.45">
      <c r="A321" s="23"/>
      <c r="B321" s="35"/>
      <c r="C321" s="23"/>
      <c r="D321" s="23"/>
      <c r="E321" s="23"/>
      <c r="F321" s="23"/>
      <c r="G321" s="23"/>
      <c r="H321" s="23"/>
      <c r="I321" s="24"/>
      <c r="J321" s="23"/>
      <c r="K321" s="23"/>
      <c r="L321" s="24"/>
      <c r="M321" s="23"/>
      <c r="N321" s="23"/>
    </row>
    <row r="322" spans="1:14" ht="14.45">
      <c r="A322" s="23"/>
      <c r="B322" s="35"/>
      <c r="C322" s="23"/>
      <c r="D322" s="23"/>
      <c r="E322" s="23"/>
      <c r="F322" s="23"/>
      <c r="G322" s="23"/>
      <c r="H322" s="23"/>
      <c r="I322" s="24"/>
      <c r="J322" s="23"/>
      <c r="K322" s="23"/>
      <c r="L322" s="24"/>
      <c r="M322" s="23"/>
      <c r="N322" s="23"/>
    </row>
    <row r="323" spans="1:14" ht="14.45">
      <c r="A323" s="23"/>
      <c r="B323" s="35"/>
      <c r="C323" s="23"/>
      <c r="D323" s="23"/>
      <c r="E323" s="23"/>
      <c r="F323" s="23"/>
      <c r="G323" s="23"/>
      <c r="H323" s="23"/>
      <c r="I323" s="24"/>
      <c r="J323" s="23"/>
      <c r="K323" s="23"/>
      <c r="L323" s="24"/>
      <c r="M323" s="23"/>
      <c r="N323" s="23"/>
    </row>
    <row r="324" spans="1:14" ht="14.45">
      <c r="A324" s="23"/>
      <c r="B324" s="35"/>
      <c r="C324" s="23"/>
      <c r="D324" s="23"/>
      <c r="E324" s="23"/>
      <c r="F324" s="23"/>
      <c r="G324" s="23"/>
      <c r="H324" s="23"/>
      <c r="I324" s="24"/>
      <c r="J324" s="23"/>
      <c r="K324" s="23"/>
      <c r="L324" s="24"/>
      <c r="M324" s="23"/>
      <c r="N324" s="23"/>
    </row>
    <row r="325" spans="1:14" ht="14.45">
      <c r="A325" s="23"/>
      <c r="B325" s="35"/>
      <c r="C325" s="23"/>
      <c r="D325" s="23"/>
      <c r="E325" s="23"/>
      <c r="F325" s="23"/>
      <c r="G325" s="23"/>
      <c r="H325" s="23"/>
      <c r="I325" s="24"/>
      <c r="J325" s="23"/>
      <c r="K325" s="23"/>
      <c r="L325" s="24"/>
      <c r="M325" s="23"/>
      <c r="N325" s="23"/>
    </row>
    <row r="326" spans="1:14" ht="14.45">
      <c r="A326" s="23"/>
      <c r="B326" s="35"/>
      <c r="C326" s="23"/>
      <c r="D326" s="23"/>
      <c r="E326" s="23"/>
      <c r="F326" s="23"/>
      <c r="G326" s="23"/>
      <c r="H326" s="23"/>
      <c r="I326" s="24"/>
      <c r="J326" s="23"/>
      <c r="K326" s="23"/>
      <c r="L326" s="24"/>
      <c r="M326" s="23"/>
      <c r="N326" s="23"/>
    </row>
    <row r="327" spans="1:14" ht="14.45">
      <c r="A327" s="23"/>
      <c r="B327" s="35"/>
      <c r="C327" s="23"/>
      <c r="D327" s="23"/>
      <c r="E327" s="23"/>
      <c r="F327" s="23"/>
      <c r="G327" s="23"/>
      <c r="H327" s="23"/>
      <c r="I327" s="24"/>
      <c r="J327" s="23"/>
      <c r="K327" s="23"/>
      <c r="L327" s="24"/>
      <c r="M327" s="23"/>
      <c r="N327" s="23"/>
    </row>
    <row r="328" spans="1:14" ht="14.45">
      <c r="A328" s="23"/>
      <c r="B328" s="35"/>
      <c r="C328" s="23"/>
      <c r="D328" s="23"/>
      <c r="E328" s="23"/>
      <c r="F328" s="23"/>
      <c r="G328" s="23"/>
      <c r="H328" s="23"/>
      <c r="I328" s="24"/>
      <c r="J328" s="23"/>
      <c r="K328" s="23"/>
      <c r="L328" s="24"/>
      <c r="M328" s="23"/>
      <c r="N328" s="23"/>
    </row>
    <row r="329" spans="1:14" ht="14.45">
      <c r="A329" s="23"/>
      <c r="B329" s="35"/>
      <c r="C329" s="23"/>
      <c r="D329" s="23"/>
      <c r="E329" s="23"/>
      <c r="F329" s="23"/>
      <c r="G329" s="23"/>
      <c r="H329" s="23"/>
      <c r="I329" s="24"/>
      <c r="J329" s="23"/>
      <c r="K329" s="23"/>
      <c r="L329" s="24"/>
      <c r="M329" s="23"/>
      <c r="N329" s="23"/>
    </row>
    <row r="330" spans="1:14" ht="14.45">
      <c r="A330" s="23"/>
      <c r="B330" s="35"/>
      <c r="C330" s="23"/>
      <c r="D330" s="23"/>
      <c r="E330" s="23"/>
      <c r="F330" s="23"/>
      <c r="G330" s="23"/>
      <c r="H330" s="23"/>
      <c r="I330" s="24"/>
      <c r="J330" s="23"/>
      <c r="K330" s="23"/>
      <c r="L330" s="24"/>
      <c r="M330" s="23"/>
      <c r="N330" s="23"/>
    </row>
    <row r="331" spans="1:14" ht="14.45">
      <c r="A331" s="23"/>
      <c r="B331" s="35"/>
      <c r="C331" s="23"/>
      <c r="D331" s="23"/>
      <c r="E331" s="23"/>
      <c r="F331" s="23"/>
      <c r="G331" s="23"/>
      <c r="H331" s="23"/>
      <c r="I331" s="24"/>
      <c r="J331" s="23"/>
      <c r="K331" s="23"/>
      <c r="L331" s="24"/>
      <c r="M331" s="23"/>
      <c r="N331" s="23"/>
    </row>
    <row r="332" spans="1:14" ht="14.45">
      <c r="A332" s="23"/>
      <c r="B332" s="35"/>
      <c r="C332" s="23"/>
      <c r="D332" s="23"/>
      <c r="E332" s="23"/>
      <c r="F332" s="23"/>
      <c r="G332" s="23"/>
      <c r="H332" s="23"/>
      <c r="I332" s="24"/>
      <c r="J332" s="23"/>
      <c r="K332" s="23"/>
      <c r="L332" s="24"/>
      <c r="M332" s="23"/>
      <c r="N332" s="23"/>
    </row>
    <row r="333" spans="1:14" ht="14.45">
      <c r="A333" s="23"/>
      <c r="B333" s="35"/>
      <c r="C333" s="23"/>
      <c r="D333" s="23"/>
      <c r="E333" s="23"/>
      <c r="F333" s="23"/>
      <c r="G333" s="23"/>
      <c r="H333" s="23"/>
      <c r="I333" s="24"/>
      <c r="J333" s="23"/>
      <c r="K333" s="23"/>
      <c r="L333" s="24"/>
      <c r="M333" s="23"/>
      <c r="N333" s="23"/>
    </row>
    <row r="334" spans="1:14" ht="14.45">
      <c r="A334" s="23"/>
      <c r="B334" s="35"/>
      <c r="C334" s="23"/>
      <c r="D334" s="23"/>
      <c r="E334" s="23"/>
      <c r="F334" s="23"/>
      <c r="G334" s="23"/>
      <c r="H334" s="23"/>
      <c r="I334" s="24"/>
      <c r="J334" s="23"/>
      <c r="K334" s="23"/>
      <c r="L334" s="24"/>
      <c r="M334" s="23"/>
      <c r="N334" s="23"/>
    </row>
    <row r="335" spans="1:14" ht="14.45">
      <c r="A335" s="23"/>
      <c r="B335" s="35"/>
      <c r="C335" s="23"/>
      <c r="D335" s="23"/>
      <c r="E335" s="23"/>
      <c r="F335" s="23"/>
      <c r="G335" s="23"/>
      <c r="H335" s="23"/>
      <c r="I335" s="24"/>
      <c r="J335" s="23"/>
      <c r="K335" s="23"/>
      <c r="L335" s="24"/>
      <c r="M335" s="23"/>
      <c r="N335" s="23"/>
    </row>
    <row r="336" spans="1:14" ht="14.45">
      <c r="A336" s="23"/>
      <c r="B336" s="35"/>
      <c r="C336" s="23"/>
      <c r="D336" s="23"/>
      <c r="E336" s="23"/>
      <c r="F336" s="23"/>
      <c r="G336" s="23"/>
      <c r="H336" s="23"/>
      <c r="I336" s="24"/>
      <c r="J336" s="23"/>
      <c r="K336" s="23"/>
      <c r="L336" s="24"/>
      <c r="M336" s="23"/>
      <c r="N336" s="23"/>
    </row>
    <row r="337" spans="1:14" ht="14.45">
      <c r="A337" s="23"/>
      <c r="B337" s="35"/>
      <c r="C337" s="23"/>
      <c r="D337" s="23"/>
      <c r="E337" s="23"/>
      <c r="F337" s="23"/>
      <c r="G337" s="23"/>
      <c r="H337" s="23"/>
      <c r="I337" s="24"/>
      <c r="J337" s="23"/>
      <c r="K337" s="23"/>
      <c r="L337" s="24"/>
      <c r="M337" s="23"/>
      <c r="N337" s="23"/>
    </row>
    <row r="338" spans="1:14" ht="14.45">
      <c r="A338" s="23"/>
      <c r="B338" s="35"/>
      <c r="C338" s="23"/>
      <c r="D338" s="23"/>
      <c r="E338" s="23"/>
      <c r="F338" s="23"/>
      <c r="G338" s="23"/>
      <c r="H338" s="23"/>
      <c r="I338" s="24"/>
      <c r="J338" s="23"/>
      <c r="K338" s="23"/>
      <c r="L338" s="24"/>
      <c r="M338" s="23"/>
      <c r="N338" s="23"/>
    </row>
    <row r="339" spans="1:14" ht="14.45">
      <c r="A339" s="23"/>
      <c r="B339" s="35"/>
      <c r="C339" s="23"/>
      <c r="D339" s="23"/>
      <c r="E339" s="23"/>
      <c r="F339" s="23"/>
      <c r="G339" s="23"/>
      <c r="H339" s="23"/>
      <c r="I339" s="24"/>
      <c r="J339" s="23"/>
      <c r="K339" s="23"/>
      <c r="L339" s="24"/>
      <c r="M339" s="23"/>
      <c r="N339" s="23"/>
    </row>
    <row r="340" spans="1:14" ht="14.45">
      <c r="A340" s="23"/>
      <c r="B340" s="35"/>
      <c r="C340" s="23"/>
      <c r="D340" s="23"/>
      <c r="E340" s="23"/>
      <c r="F340" s="23"/>
      <c r="G340" s="23"/>
      <c r="H340" s="23"/>
      <c r="I340" s="24"/>
      <c r="J340" s="23"/>
      <c r="K340" s="23"/>
      <c r="L340" s="24"/>
      <c r="M340" s="23"/>
      <c r="N340" s="23"/>
    </row>
    <row r="341" spans="1:14" ht="14.45">
      <c r="A341" s="23"/>
      <c r="B341" s="35"/>
      <c r="C341" s="23"/>
      <c r="D341" s="23"/>
      <c r="E341" s="23"/>
      <c r="F341" s="23"/>
      <c r="G341" s="23"/>
      <c r="H341" s="23"/>
      <c r="I341" s="24"/>
      <c r="J341" s="23"/>
      <c r="K341" s="23"/>
      <c r="L341" s="24"/>
      <c r="M341" s="23"/>
      <c r="N341" s="23"/>
    </row>
    <row r="342" spans="1:14" ht="14.45">
      <c r="C342" s="23"/>
      <c r="D342" s="23"/>
      <c r="E342" s="23"/>
      <c r="F342" s="23"/>
      <c r="G342" s="23"/>
      <c r="H342" s="23"/>
      <c r="I342" s="24"/>
      <c r="J342" s="23"/>
      <c r="K342" s="23"/>
      <c r="L342" s="24"/>
      <c r="M342" s="23"/>
      <c r="N342" s="23"/>
    </row>
  </sheetData>
  <mergeCells count="4">
    <mergeCell ref="J1:L1"/>
    <mergeCell ref="A1:C1"/>
    <mergeCell ref="G1:I1"/>
    <mergeCell ref="A2:B2"/>
  </mergeCells>
  <conditionalFormatting sqref="I2 L2 I4:I100 L4:L100">
    <cfRule type="cellIs" dxfId="20" priority="1" stopIfTrue="1" operator="lessThanOrEqual">
      <formula>-0.1</formula>
    </cfRule>
    <cfRule type="expression" dxfId="19" priority="2">
      <formula>AND(ISNUMBER(I2), I2&gt;=0.1)</formula>
    </cfRule>
  </conditionalFormatting>
  <hyperlinks>
    <hyperlink ref="N4" r:id="rId1" display="https://us3.assetplanner.com/service_request?ID=097891" xr:uid="{8F5989C8-0003-47D5-A04D-5C60EDAE96AA}"/>
    <hyperlink ref="N6" r:id="rId2" display="https://us3.assetplanner.com/service_request?ID=096008" xr:uid="{755D5760-4043-4452-BCFA-6EAEFCFE210E}"/>
    <hyperlink ref="O6" r:id="rId3" display="https://us3.assetplanner.com/service_request?ID=099622" xr:uid="{9A781070-CC91-4A2A-A946-35B43A91FE52}"/>
    <hyperlink ref="N8" r:id="rId4" display="https://us3.assetplanner.com/service_request?ID=099434" xr:uid="{58C73141-EAA9-45D5-9176-9C27818B3ABA}"/>
    <hyperlink ref="N9" r:id="rId5" display="https://us3.assetplanner.com/service_request?ID=095408" xr:uid="{C564D548-C89D-4836-BB23-49CD31278A87}"/>
    <hyperlink ref="N10" r:id="rId6" display="https://us3.assetplanner.com/service_request?ID=097152" xr:uid="{F7DE1337-86A4-41A5-84CC-58356DD6256E}"/>
    <hyperlink ref="O10" r:id="rId7" display="https://us3.assetplanner.com/service_request?ID=099432" xr:uid="{7839EFD8-DD15-4DA5-8D2B-3DB75C032426}"/>
    <hyperlink ref="N12" r:id="rId8" display="https://us3.assetplanner.com/service_request?ID=097715" xr:uid="{7C7835D0-758A-402E-A646-F9ED8F5D9757}"/>
    <hyperlink ref="O12" r:id="rId9" display="https://us3.assetplanner.com/service_request?ID=098674" xr:uid="{60C6C71A-49CD-4A75-A358-B280C333B6E6}"/>
    <hyperlink ref="N13" r:id="rId10" display="https://us3.assetplanner.com/service_request?ID=098872" xr:uid="{A58B84E2-2178-4640-BB9A-F5AC2A831FD0}"/>
    <hyperlink ref="O13" r:id="rId11" display="https://us3.assetplanner.com/service_request?ID=099542" xr:uid="{76A9E12D-824A-4528-81F0-78518A7E5858}"/>
    <hyperlink ref="N14" r:id="rId12" display="https://us3.assetplanner.com/service_request?ID=099235" xr:uid="{2ECF1722-651C-4FB5-8591-E5000A84FAAF}"/>
    <hyperlink ref="N15" r:id="rId13" display="https://us3.assetplanner.com/service_request?ID=098684" xr:uid="{06FFFEEB-DCA5-4F99-9336-44F97E442162}"/>
    <hyperlink ref="N17" r:id="rId14" display="https://us3.assetplanner.com/service_request?ID=097653" xr:uid="{01589C4E-0C60-4150-903C-31C052E5E802}"/>
    <hyperlink ref="O17" r:id="rId15" display="https://us3.assetplanner.com/service_request?ID=098986" xr:uid="{90FB2754-48B9-4CE1-BDF2-C5607476E7DD}"/>
    <hyperlink ref="N18" r:id="rId16" display="https://us3.assetplanner.com/service_request?ID=098874" xr:uid="{780AA47B-CFA3-492B-B5B0-5033D7646739}"/>
    <hyperlink ref="O18" r:id="rId17" display="https://us3.assetplanner.com/service_request?ID=092732" xr:uid="{03815528-84DC-4751-9095-40BD6FF4BA0A}"/>
    <hyperlink ref="N19" r:id="rId18" display="https://us3.assetplanner.com/service_request?ID=097893" xr:uid="{B6F7C8E5-621B-485D-B139-AFB0865297FA}"/>
    <hyperlink ref="O19" r:id="rId19" display="https://us3.assetplanner.com/service_request?ID=097777" xr:uid="{A8B37141-BE50-4E24-AAB8-E9E7860093B8}"/>
    <hyperlink ref="P19" r:id="rId20" display="https://us3.assetplanner.com/service_request?ID=099041" xr:uid="{9E6D7BE9-9B60-4E41-95D4-16410DA4218A}"/>
    <hyperlink ref="N21" r:id="rId21" display="https://us3.assetplanner.com/service_request?ID=099626" xr:uid="{8424D1F7-77B1-4FD3-AAF1-385789128C73}"/>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M342"/>
  <sheetViews>
    <sheetView tabSelected="1" zoomScale="60" zoomScaleNormal="60" workbookViewId="0">
      <pane ySplit="2" topLeftCell="A13" activePane="bottomLeft" state="frozen"/>
      <selection pane="bottomLeft" activeCell="C13" sqref="C13"/>
      <selection activeCell="M45" sqref="M45"/>
    </sheetView>
  </sheetViews>
  <sheetFormatPr defaultRowHeight="14.25" customHeight="1"/>
  <cols>
    <col min="1" max="1" width="35.85546875" bestFit="1" customWidth="1"/>
    <col min="2" max="2" width="8.42578125" style="36" customWidth="1"/>
    <col min="3" max="3" width="11.7109375" customWidth="1"/>
    <col min="4" max="4" width="25.42578125" customWidth="1"/>
    <col min="5" max="5" width="23" customWidth="1"/>
    <col min="6" max="7" width="13.28515625" customWidth="1"/>
    <col min="8" max="8" width="13.28515625" style="1" customWidth="1"/>
    <col min="9" max="10" width="13.28515625" customWidth="1"/>
    <col min="11" max="11" width="13.28515625" style="1" customWidth="1"/>
    <col min="12" max="12" width="71.5703125" customWidth="1"/>
    <col min="13" max="13" width="20.5703125" bestFit="1" customWidth="1"/>
    <col min="14" max="14" width="34.28515625" customWidth="1"/>
  </cols>
  <sheetData>
    <row r="1" spans="1:13" ht="19.5" customHeight="1">
      <c r="A1" s="129" t="str" cm="1">
        <f t="array" ref="A1">portfolio</f>
        <v>CITI</v>
      </c>
      <c r="B1" s="129"/>
      <c r="C1" s="129"/>
      <c r="D1" s="76" t="s">
        <v>0</v>
      </c>
      <c r="E1" s="76" t="s">
        <v>1</v>
      </c>
      <c r="F1" s="130" t="s">
        <v>103</v>
      </c>
      <c r="G1" s="130"/>
      <c r="H1" s="130"/>
      <c r="I1" s="128" t="s">
        <v>104</v>
      </c>
      <c r="J1" s="128"/>
      <c r="K1" s="128"/>
      <c r="L1" s="5"/>
      <c r="M1" s="5"/>
    </row>
    <row r="2" spans="1:13" ht="19.5" customHeight="1">
      <c r="A2" s="131" t="s">
        <v>4</v>
      </c>
      <c r="B2" s="131"/>
      <c r="C2" s="6">
        <f>SUM(C4:C100)</f>
        <v>2444942.7199999997</v>
      </c>
      <c r="D2" s="6">
        <f>SUM(D4:D22)</f>
        <v>2349739.64</v>
      </c>
      <c r="E2" s="7">
        <f>C2/D2</f>
        <v>1.040516437812659</v>
      </c>
      <c r="F2" s="6">
        <f>SUM(F4:F100)</f>
        <v>2318877.102</v>
      </c>
      <c r="G2" s="6">
        <f>C2-F2</f>
        <v>126065.61799999978</v>
      </c>
      <c r="H2" s="7">
        <f>IFERROR(G2/F2, 0)</f>
        <v>5.4364941501759578E-2</v>
      </c>
      <c r="I2" s="6">
        <f>SUM(I4:I100)</f>
        <v>2530994.8750000005</v>
      </c>
      <c r="J2" s="8">
        <f>C2-I2</f>
        <v>-86052.155000000726</v>
      </c>
      <c r="K2" s="7">
        <f>IFERROR(J2/I2, 0)</f>
        <v>-3.3999339884084399E-2</v>
      </c>
      <c r="L2" s="28" t="str">
        <f ca="1">IF(AND(TODAY()&gt;DATE(2024, 4, 1), COUNTA(Sites[Site])&lt;&gt;(COUNT(C:C)-1)), "Some sites are missing actual data; if new sites were added, make sure they are aligned correctly (including prior months!)", "")</f>
        <v/>
      </c>
      <c r="M2" s="5"/>
    </row>
    <row r="3" spans="1:13" ht="14.25" customHeight="1">
      <c r="A3" s="9" t="s">
        <v>5</v>
      </c>
      <c r="B3" s="9" t="s">
        <v>6</v>
      </c>
      <c r="C3" s="25" t="s">
        <v>7</v>
      </c>
      <c r="D3" s="77"/>
      <c r="E3" s="77"/>
      <c r="F3" s="49" t="s">
        <v>8</v>
      </c>
      <c r="G3" s="49" t="s">
        <v>9</v>
      </c>
      <c r="H3" s="50" t="s">
        <v>10</v>
      </c>
      <c r="I3" s="51" t="s">
        <v>11</v>
      </c>
      <c r="J3" s="52" t="s">
        <v>9</v>
      </c>
      <c r="K3" s="53" t="s">
        <v>10</v>
      </c>
      <c r="L3" s="27" t="s">
        <v>22</v>
      </c>
      <c r="M3" s="27" t="s">
        <v>23</v>
      </c>
    </row>
    <row r="4" spans="1:13" ht="15.6">
      <c r="A4" s="34" t="str" cm="1">
        <f t="array" ref="A4:A23">Sites[Site]</f>
        <v>CA: Antioch Deer Valley - Citi</v>
      </c>
      <c r="B4" s="31" t="str" cm="1">
        <f t="array" ref="B4:B23">Sites[State]</f>
        <v>CA</v>
      </c>
      <c r="C4" s="26">
        <v>66912.5</v>
      </c>
      <c r="D4" s="78">
        <v>65019.85</v>
      </c>
      <c r="E4" s="79">
        <f>C4/D4</f>
        <v>1.029108802927106</v>
      </c>
      <c r="F4" s="14">
        <v>64376</v>
      </c>
      <c r="G4" s="14">
        <f>IF(AND(ISNUMBER(C4),ISNUMBER(F4)), C4-F4, "")</f>
        <v>2536.5</v>
      </c>
      <c r="H4" s="15">
        <f>IFERROR(G4/F4, "")</f>
        <v>3.9401329688082513E-2</v>
      </c>
      <c r="I4" s="16">
        <v>68707.091</v>
      </c>
      <c r="J4" s="16">
        <f>IF(AND(ISNUMBER(C4),ISNUMBER(I4)), C4-I4, "")</f>
        <v>-1794.5910000000003</v>
      </c>
      <c r="K4" s="17">
        <f>IFERROR(J4/I4, "")</f>
        <v>-2.6119443770367172E-2</v>
      </c>
      <c r="L4" s="18"/>
      <c r="M4" s="18"/>
    </row>
    <row r="5" spans="1:13" ht="15.6">
      <c r="A5" s="32" t="str">
        <v>CA: Antioch MC CUP - Citi</v>
      </c>
      <c r="B5" s="33" t="str">
        <v>CA</v>
      </c>
      <c r="C5" s="12">
        <v>221831</v>
      </c>
      <c r="D5" s="12">
        <v>220973.05</v>
      </c>
      <c r="E5" s="80">
        <f t="shared" ref="E5:E22" si="0">C5/D5</f>
        <v>1.0038826001632326</v>
      </c>
      <c r="F5" s="20">
        <v>218766</v>
      </c>
      <c r="G5" s="20">
        <f>IF(AND(ISNUMBER(C5),ISNUMBER(F5)), C5-F5, "")</f>
        <v>3065</v>
      </c>
      <c r="H5" s="21">
        <f>IFERROR(G5/F5, "")</f>
        <v>1.4010403810464148E-2</v>
      </c>
      <c r="I5" s="22">
        <v>225921.981</v>
      </c>
      <c r="J5" s="22">
        <f>IF(AND(ISNUMBER(C5),ISNUMBER(I5)), C5-I5, "")</f>
        <v>-4090.9809999999998</v>
      </c>
      <c r="K5" s="21">
        <f t="shared" ref="K5:K15" si="1">IFERROR(J5/I5, "")</f>
        <v>-1.8107937005031837E-2</v>
      </c>
      <c r="L5" s="61"/>
      <c r="M5" s="19"/>
    </row>
    <row r="6" spans="1:13" ht="194.25" customHeight="1">
      <c r="A6" s="30" t="str">
        <v>CA: Clovis - Citi</v>
      </c>
      <c r="B6" s="31" t="str">
        <v>CA</v>
      </c>
      <c r="C6" s="26">
        <v>89193.75</v>
      </c>
      <c r="D6" s="78">
        <v>97022.5</v>
      </c>
      <c r="E6" s="79">
        <f t="shared" si="0"/>
        <v>0.91930995387667813</v>
      </c>
      <c r="F6" s="14">
        <v>93673</v>
      </c>
      <c r="G6" s="14">
        <f t="shared" ref="G6:G23" si="2">IF(AND(ISNUMBER(C6),ISNUMBER(F6)), C6-F6, "")</f>
        <v>-4479.25</v>
      </c>
      <c r="H6" s="15">
        <f t="shared" ref="H6:H15" si="3">IFERROR(G6/F6, "")</f>
        <v>-4.7817941135652749E-2</v>
      </c>
      <c r="I6" s="16">
        <v>16682.648000000001</v>
      </c>
      <c r="J6" s="16">
        <f t="shared" ref="J6:J23" si="4">IF(AND(ISNUMBER(C6),ISNUMBER(I6)), C6-I6, "")</f>
        <v>72511.101999999999</v>
      </c>
      <c r="K6" s="17">
        <f t="shared" si="1"/>
        <v>4.3464983496624754</v>
      </c>
      <c r="L6" s="120" t="s">
        <v>105</v>
      </c>
      <c r="M6" s="18" t="s">
        <v>106</v>
      </c>
    </row>
    <row r="7" spans="1:13" ht="15.6">
      <c r="A7" s="32" t="str">
        <v>CA: Elk Grove MOB - Citi</v>
      </c>
      <c r="B7" s="33" t="str">
        <v>CA</v>
      </c>
      <c r="C7" s="12">
        <v>142227</v>
      </c>
      <c r="D7" s="12">
        <v>144992</v>
      </c>
      <c r="E7" s="80">
        <f t="shared" si="0"/>
        <v>0.98092998234385342</v>
      </c>
      <c r="F7" s="20">
        <v>143557</v>
      </c>
      <c r="G7" s="20">
        <f t="shared" si="2"/>
        <v>-1330</v>
      </c>
      <c r="H7" s="21">
        <f t="shared" si="3"/>
        <v>-9.264612662566089E-3</v>
      </c>
      <c r="I7" s="22">
        <v>151438.33300000001</v>
      </c>
      <c r="J7" s="22">
        <f t="shared" si="4"/>
        <v>-9211.3330000000133</v>
      </c>
      <c r="K7" s="21">
        <f t="shared" si="1"/>
        <v>-6.0825636531537976E-2</v>
      </c>
      <c r="L7" s="11"/>
      <c r="M7" s="19"/>
    </row>
    <row r="8" spans="1:13" ht="28.9">
      <c r="A8" s="30" t="str">
        <v>CA: Elk Grove Promenade - Citi</v>
      </c>
      <c r="B8" s="31" t="str">
        <v>CA</v>
      </c>
      <c r="C8" s="26">
        <v>74427.75</v>
      </c>
      <c r="D8" s="78">
        <v>77224</v>
      </c>
      <c r="E8" s="79">
        <f t="shared" si="0"/>
        <v>0.96379040194758103</v>
      </c>
      <c r="F8" s="14">
        <v>76459.5</v>
      </c>
      <c r="G8" s="14">
        <f t="shared" si="2"/>
        <v>-2031.75</v>
      </c>
      <c r="H8" s="15">
        <f t="shared" si="3"/>
        <v>-2.6572891530810428E-2</v>
      </c>
      <c r="I8" s="16">
        <v>79947.744999999995</v>
      </c>
      <c r="J8" s="16">
        <f t="shared" si="4"/>
        <v>-5519.9949999999953</v>
      </c>
      <c r="K8" s="17">
        <f t="shared" si="1"/>
        <v>-6.9045036855010677E-2</v>
      </c>
      <c r="L8" s="18" t="s">
        <v>107</v>
      </c>
      <c r="M8" s="18" t="s">
        <v>108</v>
      </c>
    </row>
    <row r="9" spans="1:13" ht="15.6">
      <c r="A9" s="32" t="str">
        <v>CA: Fresno Sequioa - Citi</v>
      </c>
      <c r="B9" s="33" t="str">
        <v>CA</v>
      </c>
      <c r="C9" s="12">
        <v>150829</v>
      </c>
      <c r="D9" s="12">
        <v>162120.93</v>
      </c>
      <c r="E9" s="80">
        <f t="shared" si="0"/>
        <v>0.93034872178441119</v>
      </c>
      <c r="F9" s="20">
        <v>160548</v>
      </c>
      <c r="G9" s="20">
        <f t="shared" si="2"/>
        <v>-9719</v>
      </c>
      <c r="H9" s="21">
        <f t="shared" si="3"/>
        <v>-6.0536412786207243E-2</v>
      </c>
      <c r="I9" s="22">
        <v>159435.69399999999</v>
      </c>
      <c r="J9" s="22">
        <f t="shared" si="4"/>
        <v>-8606.6939999999886</v>
      </c>
      <c r="K9" s="21">
        <f t="shared" si="1"/>
        <v>-5.39822280950462E-2</v>
      </c>
      <c r="L9" s="84"/>
      <c r="M9" s="95"/>
    </row>
    <row r="10" spans="1:13" ht="57.6">
      <c r="A10" s="30" t="str">
        <v>CA: Fresno MOB - Citi</v>
      </c>
      <c r="B10" s="31" t="str">
        <v>CA</v>
      </c>
      <c r="C10" s="26">
        <v>50968.75</v>
      </c>
      <c r="D10" s="78">
        <v>66110.13</v>
      </c>
      <c r="E10" s="79">
        <f t="shared" si="0"/>
        <v>0.77096732376717447</v>
      </c>
      <c r="F10" s="14">
        <v>65850</v>
      </c>
      <c r="G10" s="14">
        <f t="shared" si="2"/>
        <v>-14881.25</v>
      </c>
      <c r="H10" s="15">
        <f t="shared" si="3"/>
        <v>-0.22598709187547456</v>
      </c>
      <c r="I10" s="16">
        <v>54041.677000000003</v>
      </c>
      <c r="J10" s="16">
        <f t="shared" si="4"/>
        <v>-3072.9270000000033</v>
      </c>
      <c r="K10" s="17">
        <f t="shared" si="1"/>
        <v>-5.6862169543702414E-2</v>
      </c>
      <c r="L10" s="18" t="s">
        <v>109</v>
      </c>
      <c r="M10" s="18" t="s">
        <v>110</v>
      </c>
    </row>
    <row r="11" spans="1:13" ht="88.5" customHeight="1">
      <c r="A11" s="32" t="str">
        <v>CA: Modesto Bangs - Citi</v>
      </c>
      <c r="B11" s="33" t="str">
        <v>CA</v>
      </c>
      <c r="C11" s="12">
        <v>37883.75</v>
      </c>
      <c r="D11" s="12">
        <v>45977.64</v>
      </c>
      <c r="E11" s="80">
        <f t="shared" si="0"/>
        <v>0.82396029896271317</v>
      </c>
      <c r="F11" s="20">
        <v>45753</v>
      </c>
      <c r="G11" s="20">
        <f t="shared" si="2"/>
        <v>-7869.25</v>
      </c>
      <c r="H11" s="21">
        <f t="shared" si="3"/>
        <v>-0.17199418617358425</v>
      </c>
      <c r="I11" s="22">
        <v>7847.79</v>
      </c>
      <c r="J11" s="22">
        <f t="shared" si="4"/>
        <v>30035.96</v>
      </c>
      <c r="K11" s="21">
        <f t="shared" si="1"/>
        <v>3.8273144413905058</v>
      </c>
      <c r="L11" s="96" t="s">
        <v>111</v>
      </c>
      <c r="M11" s="59" t="s">
        <v>112</v>
      </c>
    </row>
    <row r="12" spans="1:13" ht="53.25" customHeight="1">
      <c r="A12" s="30" t="str">
        <v>CA: Napa Data Center - Citi</v>
      </c>
      <c r="B12" s="31" t="str">
        <v>CA</v>
      </c>
      <c r="C12" s="26">
        <v>38486</v>
      </c>
      <c r="D12" s="78">
        <v>45541.33</v>
      </c>
      <c r="E12" s="79">
        <f t="shared" si="0"/>
        <v>0.84507852537464323</v>
      </c>
      <c r="F12" s="14">
        <v>43705</v>
      </c>
      <c r="G12" s="14">
        <f t="shared" si="2"/>
        <v>-5219</v>
      </c>
      <c r="H12" s="15">
        <f t="shared" si="3"/>
        <v>-0.11941425466193799</v>
      </c>
      <c r="I12" s="16">
        <v>45408.781000000003</v>
      </c>
      <c r="J12" s="16">
        <f t="shared" si="4"/>
        <v>-6922.7810000000027</v>
      </c>
      <c r="K12" s="17">
        <f t="shared" si="1"/>
        <v>-0.15245467611209387</v>
      </c>
      <c r="L12" s="18" t="s">
        <v>113</v>
      </c>
      <c r="M12" s="120" t="s">
        <v>114</v>
      </c>
    </row>
    <row r="13" spans="1:13" ht="129" customHeight="1">
      <c r="A13" s="32" t="str">
        <v>CA: Petaluma MOB - Citi</v>
      </c>
      <c r="B13" s="33" t="str">
        <v>CA</v>
      </c>
      <c r="C13" s="127">
        <v>93071.5</v>
      </c>
      <c r="D13" s="12">
        <v>105601.15</v>
      </c>
      <c r="E13" s="80">
        <f t="shared" si="0"/>
        <v>0.8813493034876988</v>
      </c>
      <c r="F13" s="20">
        <v>101621</v>
      </c>
      <c r="G13" s="20">
        <f t="shared" si="2"/>
        <v>-8549.5</v>
      </c>
      <c r="H13" s="21">
        <f t="shared" si="3"/>
        <v>-8.4131232717646942E-2</v>
      </c>
      <c r="I13" s="22">
        <v>42822.349000000002</v>
      </c>
      <c r="J13" s="22">
        <f t="shared" si="4"/>
        <v>50249.150999999998</v>
      </c>
      <c r="K13" s="21">
        <f t="shared" si="1"/>
        <v>1.1734328492815749</v>
      </c>
      <c r="L13" s="85" t="s">
        <v>115</v>
      </c>
      <c r="M13" s="96" t="s">
        <v>116</v>
      </c>
    </row>
    <row r="14" spans="1:13" ht="72">
      <c r="A14" s="30" t="str">
        <v>CA: Pleasanton Tec Ctr - Citi</v>
      </c>
      <c r="B14" s="31" t="str">
        <v>CA</v>
      </c>
      <c r="C14" s="26">
        <v>114378</v>
      </c>
      <c r="D14" s="78">
        <v>145619.1</v>
      </c>
      <c r="E14" s="79">
        <f t="shared" si="0"/>
        <v>0.78546014911505424</v>
      </c>
      <c r="F14" s="14">
        <v>144180</v>
      </c>
      <c r="G14" s="14">
        <f t="shared" si="2"/>
        <v>-29802</v>
      </c>
      <c r="H14" s="15">
        <f t="shared" si="3"/>
        <v>-0.20669995838535166</v>
      </c>
      <c r="I14" s="16">
        <v>141226.66</v>
      </c>
      <c r="J14" s="16">
        <f t="shared" si="4"/>
        <v>-26848.660000000003</v>
      </c>
      <c r="K14" s="17">
        <f t="shared" si="1"/>
        <v>-0.19011042249388327</v>
      </c>
      <c r="L14" s="18" t="s">
        <v>117</v>
      </c>
      <c r="M14" s="120" t="s">
        <v>118</v>
      </c>
    </row>
    <row r="15" spans="1:13" ht="57.6">
      <c r="A15" s="32" t="str">
        <v>CA: Rancho Cordova - Citi</v>
      </c>
      <c r="B15" s="33" t="str">
        <v>CA</v>
      </c>
      <c r="C15" s="12">
        <v>206681</v>
      </c>
      <c r="D15" s="12">
        <v>200365.35</v>
      </c>
      <c r="E15" s="80">
        <f t="shared" si="0"/>
        <v>1.0315206696167776</v>
      </c>
      <c r="F15" s="20">
        <v>199166</v>
      </c>
      <c r="G15" s="20">
        <f t="shared" si="2"/>
        <v>7515</v>
      </c>
      <c r="H15" s="21">
        <f t="shared" si="3"/>
        <v>3.773234387395439E-2</v>
      </c>
      <c r="I15" s="22">
        <v>215158.23</v>
      </c>
      <c r="J15" s="22">
        <f t="shared" si="4"/>
        <v>-8477.2300000000105</v>
      </c>
      <c r="K15" s="21">
        <f t="shared" si="1"/>
        <v>-3.9399980191322501E-2</v>
      </c>
      <c r="L15" s="85" t="s">
        <v>119</v>
      </c>
      <c r="M15" s="95" t="s">
        <v>120</v>
      </c>
    </row>
    <row r="16" spans="1:13" ht="15.6">
      <c r="A16" s="30" t="str">
        <v>CA: S Sacramento Wyndham - Citi</v>
      </c>
      <c r="B16" s="31" t="str">
        <v>CA</v>
      </c>
      <c r="C16" s="26">
        <v>113159</v>
      </c>
      <c r="D16" s="78">
        <v>125048.54</v>
      </c>
      <c r="E16" s="79">
        <f t="shared" si="0"/>
        <v>0.90492060123212958</v>
      </c>
      <c r="F16" s="14">
        <v>121244</v>
      </c>
      <c r="G16" s="14">
        <f t="shared" si="2"/>
        <v>-8085</v>
      </c>
      <c r="H16" s="38">
        <f t="shared" ref="H16:H23" si="5">IFERROR(G16/F16, "")</f>
        <v>-6.668371218369569E-2</v>
      </c>
      <c r="I16" s="16">
        <v>122861.986</v>
      </c>
      <c r="J16" s="16">
        <f t="shared" si="4"/>
        <v>-9702.9860000000044</v>
      </c>
      <c r="K16" s="40">
        <f t="shared" ref="K16:K23" si="6">IFERROR(J16/I16, "")</f>
        <v>-7.8974679767914571E-2</v>
      </c>
      <c r="L16" s="41"/>
      <c r="M16" s="41"/>
    </row>
    <row r="17" spans="1:13" ht="80.25" customHeight="1">
      <c r="A17" s="32" t="str">
        <v>CA: Sacramento Point West - Citi</v>
      </c>
      <c r="B17" s="33" t="str">
        <v>CA</v>
      </c>
      <c r="C17" s="12">
        <v>226270</v>
      </c>
      <c r="D17" s="12">
        <v>239197.4</v>
      </c>
      <c r="E17" s="80">
        <f t="shared" si="0"/>
        <v>0.94595509817414403</v>
      </c>
      <c r="F17" s="20">
        <v>237736</v>
      </c>
      <c r="G17" s="20">
        <f t="shared" si="2"/>
        <v>-11466</v>
      </c>
      <c r="H17" s="43">
        <f t="shared" si="5"/>
        <v>-4.8229969377797222E-2</v>
      </c>
      <c r="I17" s="22">
        <v>250953.62700000001</v>
      </c>
      <c r="J17" s="22">
        <f t="shared" si="4"/>
        <v>-24683.627000000008</v>
      </c>
      <c r="K17" s="43">
        <f t="shared" si="6"/>
        <v>-9.8359315603754979E-2</v>
      </c>
      <c r="L17" s="84" t="s">
        <v>121</v>
      </c>
      <c r="M17" s="96" t="s">
        <v>122</v>
      </c>
    </row>
    <row r="18" spans="1:13" ht="47.25" customHeight="1">
      <c r="A18" s="30" t="str">
        <v>CA: San Jose FHC - Citi</v>
      </c>
      <c r="B18" s="31" t="str">
        <v>CA</v>
      </c>
      <c r="C18" s="26">
        <v>43419.25</v>
      </c>
      <c r="D18" s="78">
        <v>49237.46</v>
      </c>
      <c r="E18" s="79">
        <f t="shared" si="0"/>
        <v>0.88183366891793369</v>
      </c>
      <c r="F18" s="14">
        <v>50465</v>
      </c>
      <c r="G18" s="14">
        <f t="shared" si="2"/>
        <v>-7045.75</v>
      </c>
      <c r="H18" s="38">
        <f t="shared" si="5"/>
        <v>-0.13961656593678787</v>
      </c>
      <c r="I18" s="16">
        <v>47240.383999999998</v>
      </c>
      <c r="J18" s="16">
        <f t="shared" si="4"/>
        <v>-3821.1339999999982</v>
      </c>
      <c r="K18" s="40">
        <f t="shared" si="6"/>
        <v>-8.0887022425558577E-2</v>
      </c>
      <c r="L18" s="41" t="s">
        <v>123</v>
      </c>
      <c r="M18" s="41" t="s">
        <v>124</v>
      </c>
    </row>
    <row r="19" spans="1:13" ht="57" customHeight="1">
      <c r="A19" s="32" t="str">
        <v>CA: San Jose MOB - Citi</v>
      </c>
      <c r="B19" s="33" t="str">
        <v>CA</v>
      </c>
      <c r="C19" s="12">
        <v>60746.75</v>
      </c>
      <c r="D19" s="12">
        <v>78443.78</v>
      </c>
      <c r="E19" s="80">
        <f t="shared" si="0"/>
        <v>0.77439855652035128</v>
      </c>
      <c r="F19" s="20">
        <v>79113</v>
      </c>
      <c r="G19" s="20">
        <f t="shared" si="2"/>
        <v>-18366.25</v>
      </c>
      <c r="H19" s="43">
        <f t="shared" si="5"/>
        <v>-0.23215211153666274</v>
      </c>
      <c r="I19" s="22">
        <v>77333.964999999997</v>
      </c>
      <c r="J19" s="22">
        <f t="shared" si="4"/>
        <v>-16587.214999999997</v>
      </c>
      <c r="K19" s="43">
        <f t="shared" si="6"/>
        <v>-0.21448809717696482</v>
      </c>
      <c r="L19" s="84" t="s">
        <v>125</v>
      </c>
      <c r="M19" s="96" t="s">
        <v>126</v>
      </c>
    </row>
    <row r="20" spans="1:13" ht="28.9">
      <c r="A20" s="30" t="str">
        <v>CA: Selma - Citi</v>
      </c>
      <c r="B20" s="31" t="str">
        <v>CA</v>
      </c>
      <c r="C20" s="26">
        <v>43135.12</v>
      </c>
      <c r="D20" s="78">
        <v>49331.1</v>
      </c>
      <c r="E20" s="79">
        <f t="shared" si="0"/>
        <v>0.87440012487051788</v>
      </c>
      <c r="F20" s="14">
        <v>48801</v>
      </c>
      <c r="G20" s="14">
        <f t="shared" si="2"/>
        <v>-5665.8799999999974</v>
      </c>
      <c r="H20" s="38">
        <f t="shared" si="5"/>
        <v>-0.11610171922706497</v>
      </c>
      <c r="I20" s="16">
        <v>48076.644</v>
      </c>
      <c r="J20" s="16">
        <f t="shared" si="4"/>
        <v>-4941.5239999999976</v>
      </c>
      <c r="K20" s="40">
        <f t="shared" si="6"/>
        <v>-0.10278429584228045</v>
      </c>
      <c r="L20" s="41" t="s">
        <v>127</v>
      </c>
      <c r="M20" s="41" t="s">
        <v>128</v>
      </c>
    </row>
    <row r="21" spans="1:13" ht="86.45">
      <c r="A21" s="32" t="str">
        <v>CA: Vacaville Hospital</v>
      </c>
      <c r="B21" s="33" t="str">
        <v>CA</v>
      </c>
      <c r="C21" s="12">
        <v>275899.5</v>
      </c>
      <c r="D21" s="12">
        <v>326133.33</v>
      </c>
      <c r="E21" s="80">
        <f t="shared" si="0"/>
        <v>0.84597149270207983</v>
      </c>
      <c r="F21" s="20">
        <v>322891</v>
      </c>
      <c r="G21" s="20">
        <f t="shared" si="2"/>
        <v>-46991.5</v>
      </c>
      <c r="H21" s="43">
        <f t="shared" si="5"/>
        <v>-0.14553363209256373</v>
      </c>
      <c r="I21" s="22">
        <v>354931.49300000002</v>
      </c>
      <c r="J21" s="22">
        <f t="shared" si="4"/>
        <v>-79031.993000000017</v>
      </c>
      <c r="K21" s="43">
        <f t="shared" si="6"/>
        <v>-0.22266830235884424</v>
      </c>
      <c r="L21" s="84" t="s">
        <v>129</v>
      </c>
      <c r="M21" s="96" t="s">
        <v>130</v>
      </c>
    </row>
    <row r="22" spans="1:13" ht="28.9">
      <c r="A22" s="30" t="str">
        <v>CA: Manteca - KP Manteca Hospital</v>
      </c>
      <c r="B22" s="31" t="str">
        <v>CA</v>
      </c>
      <c r="C22" s="26">
        <v>99787.38</v>
      </c>
      <c r="D22" s="78">
        <v>105781</v>
      </c>
      <c r="E22" s="79">
        <f t="shared" si="0"/>
        <v>0.94333935205755293</v>
      </c>
      <c r="F22" s="14">
        <v>100972.602</v>
      </c>
      <c r="G22" s="14">
        <f t="shared" si="2"/>
        <v>-1185.2219999999943</v>
      </c>
      <c r="H22" s="38">
        <f t="shared" si="5"/>
        <v>-1.1738055438048376E-2</v>
      </c>
      <c r="I22" s="16">
        <v>95175.797000000006</v>
      </c>
      <c r="J22" s="16">
        <f t="shared" si="4"/>
        <v>4611.5829999999987</v>
      </c>
      <c r="K22" s="40">
        <f t="shared" si="6"/>
        <v>4.8453316340497765E-2</v>
      </c>
      <c r="L22" s="41" t="s">
        <v>131</v>
      </c>
      <c r="M22" s="41" t="s">
        <v>132</v>
      </c>
    </row>
    <row r="23" spans="1:13" ht="289.5" customHeight="1">
      <c r="A23" s="32" t="str">
        <v>Sacramento - KP South Sacramento HSP</v>
      </c>
      <c r="B23" s="33" t="str">
        <v>CA</v>
      </c>
      <c r="C23" s="12">
        <v>295635.71999999997</v>
      </c>
      <c r="D23" s="115" t="s">
        <v>133</v>
      </c>
      <c r="E23" s="80" t="str">
        <f>IFERROR(C23/D23, "")</f>
        <v/>
      </c>
      <c r="F23" s="20">
        <v>0</v>
      </c>
      <c r="G23" s="20">
        <f t="shared" si="2"/>
        <v>295635.71999999997</v>
      </c>
      <c r="H23" s="43" t="str">
        <f t="shared" si="5"/>
        <v/>
      </c>
      <c r="I23" s="114">
        <v>325782</v>
      </c>
      <c r="J23" s="22">
        <f t="shared" si="4"/>
        <v>-30146.280000000028</v>
      </c>
      <c r="K23" s="43">
        <f t="shared" si="6"/>
        <v>-9.2535130854375092E-2</v>
      </c>
      <c r="L23" s="84" t="s">
        <v>134</v>
      </c>
      <c r="M23" s="96" t="s">
        <v>135</v>
      </c>
    </row>
    <row r="24" spans="1:13" ht="14.45">
      <c r="A24" s="23"/>
      <c r="B24" s="35"/>
      <c r="C24" s="23"/>
      <c r="D24" s="23"/>
      <c r="E24" s="23"/>
      <c r="F24" s="23"/>
      <c r="G24" s="23"/>
      <c r="H24" s="23"/>
      <c r="I24" s="23"/>
      <c r="J24" s="23"/>
      <c r="K24" s="23"/>
      <c r="L24" s="23"/>
      <c r="M24" s="23"/>
    </row>
    <row r="25" spans="1:13" ht="14.45">
      <c r="A25" s="23"/>
      <c r="B25" s="35"/>
      <c r="C25" s="23"/>
      <c r="D25" s="23"/>
      <c r="E25" s="23"/>
      <c r="F25" s="23"/>
      <c r="G25" s="23"/>
      <c r="H25" s="23"/>
      <c r="I25" s="23"/>
      <c r="J25" s="23"/>
      <c r="K25" s="23"/>
      <c r="L25" s="23"/>
      <c r="M25" s="23"/>
    </row>
    <row r="26" spans="1:13" ht="14.45">
      <c r="A26" s="23"/>
      <c r="B26" s="35"/>
      <c r="C26" s="23"/>
      <c r="D26" s="23"/>
      <c r="E26" s="23"/>
      <c r="F26" s="23"/>
      <c r="G26" s="23"/>
      <c r="H26" s="23"/>
      <c r="I26" s="23"/>
      <c r="J26" s="23"/>
      <c r="K26" s="23"/>
      <c r="L26" s="23"/>
      <c r="M26" s="23"/>
    </row>
    <row r="27" spans="1:13" ht="14.45">
      <c r="A27" s="23"/>
      <c r="B27" s="35"/>
      <c r="C27" s="23"/>
      <c r="D27" s="23"/>
      <c r="E27" s="23"/>
      <c r="F27" s="23"/>
      <c r="G27" s="23"/>
      <c r="H27" s="23"/>
      <c r="I27" s="23"/>
      <c r="J27" s="23"/>
      <c r="K27" s="23"/>
      <c r="L27" s="23"/>
      <c r="M27" s="23"/>
    </row>
    <row r="28" spans="1:13" ht="14.45">
      <c r="A28" s="23"/>
      <c r="B28" s="35"/>
      <c r="C28" s="23"/>
      <c r="D28" s="23"/>
      <c r="E28" s="23"/>
      <c r="F28" s="23"/>
      <c r="G28" s="23"/>
      <c r="H28" s="23"/>
      <c r="I28" s="23"/>
      <c r="J28" s="23"/>
      <c r="K28" s="23"/>
      <c r="L28" s="23"/>
      <c r="M28" s="23"/>
    </row>
    <row r="29" spans="1:13" ht="14.45">
      <c r="A29" s="23"/>
      <c r="B29" s="35"/>
      <c r="C29" s="23"/>
      <c r="D29" s="23"/>
      <c r="E29" s="23"/>
      <c r="F29" s="23"/>
      <c r="G29" s="23"/>
      <c r="H29" s="23"/>
      <c r="I29" s="23"/>
      <c r="J29" s="23"/>
      <c r="K29" s="23"/>
      <c r="L29" s="23"/>
      <c r="M29" s="23"/>
    </row>
    <row r="30" spans="1:13" ht="14.45">
      <c r="A30" s="23"/>
      <c r="B30" s="35"/>
      <c r="C30" s="23"/>
      <c r="D30" s="23"/>
      <c r="E30" s="23"/>
      <c r="F30" s="23"/>
      <c r="G30" s="23"/>
      <c r="H30" s="23"/>
      <c r="I30" s="23"/>
      <c r="J30" s="23"/>
      <c r="K30" s="23"/>
      <c r="L30" s="23"/>
      <c r="M30" s="23"/>
    </row>
    <row r="31" spans="1:13" ht="14.45">
      <c r="A31" s="23"/>
      <c r="B31" s="35"/>
      <c r="C31" s="23"/>
      <c r="D31" s="23"/>
      <c r="E31" s="23"/>
      <c r="F31" s="23"/>
      <c r="G31" s="23"/>
      <c r="H31" s="23"/>
      <c r="I31" s="23"/>
      <c r="J31" s="23"/>
      <c r="K31" s="23"/>
      <c r="L31" s="23"/>
      <c r="M31" s="23"/>
    </row>
    <row r="32" spans="1:13" ht="14.45">
      <c r="A32" s="23"/>
      <c r="B32" s="35"/>
      <c r="C32" s="23"/>
      <c r="D32" s="23"/>
      <c r="E32" s="23"/>
      <c r="F32" s="23"/>
      <c r="G32" s="23"/>
      <c r="H32" s="23"/>
      <c r="I32" s="23"/>
      <c r="J32" s="23"/>
      <c r="K32" s="23"/>
      <c r="L32" s="23"/>
      <c r="M32" s="23"/>
    </row>
    <row r="33" spans="1:13" ht="14.45">
      <c r="A33" s="23"/>
      <c r="B33" s="35"/>
      <c r="C33" s="23"/>
      <c r="D33" s="23"/>
      <c r="E33" s="23"/>
      <c r="F33" s="23"/>
      <c r="G33" s="23"/>
      <c r="H33" s="24"/>
      <c r="I33" s="23"/>
      <c r="J33" s="23"/>
      <c r="K33" s="24"/>
      <c r="L33" s="23"/>
      <c r="M33" s="23"/>
    </row>
    <row r="34" spans="1:13" ht="14.45">
      <c r="A34" s="23"/>
      <c r="B34" s="35"/>
      <c r="C34" s="23"/>
      <c r="D34" s="23"/>
      <c r="E34" s="23"/>
      <c r="F34" s="23"/>
      <c r="G34" s="23"/>
      <c r="H34" s="24"/>
      <c r="I34" s="23"/>
      <c r="J34" s="23"/>
      <c r="K34" s="24"/>
      <c r="L34" s="23"/>
      <c r="M34" s="23"/>
    </row>
    <row r="35" spans="1:13" ht="14.45">
      <c r="A35" s="23"/>
      <c r="B35" s="35"/>
      <c r="C35" s="23"/>
      <c r="D35" s="23"/>
      <c r="E35" s="23"/>
      <c r="F35" s="23"/>
      <c r="G35" s="23"/>
      <c r="H35" s="24"/>
      <c r="I35" s="23"/>
      <c r="J35" s="23"/>
      <c r="K35" s="24"/>
      <c r="L35" s="23"/>
      <c r="M35" s="23"/>
    </row>
    <row r="36" spans="1:13" ht="14.45">
      <c r="A36" s="23"/>
      <c r="B36" s="35"/>
      <c r="C36" s="23"/>
      <c r="D36" s="23"/>
      <c r="E36" s="23"/>
      <c r="F36" s="23"/>
      <c r="G36" s="23"/>
      <c r="H36" s="24"/>
      <c r="I36" s="23"/>
      <c r="J36" s="23"/>
      <c r="K36" s="24"/>
      <c r="L36" s="23"/>
      <c r="M36" s="23"/>
    </row>
    <row r="37" spans="1:13" ht="14.45">
      <c r="A37" s="23"/>
      <c r="B37" s="35"/>
      <c r="C37" s="23"/>
      <c r="D37" s="23"/>
      <c r="E37" s="23"/>
      <c r="F37" s="23"/>
      <c r="G37" s="23"/>
      <c r="H37" s="24"/>
      <c r="I37" s="23"/>
      <c r="J37" s="23"/>
      <c r="K37" s="24"/>
      <c r="L37" s="23"/>
      <c r="M37" s="23"/>
    </row>
    <row r="38" spans="1:13" ht="14.45">
      <c r="A38" s="23"/>
      <c r="B38" s="35"/>
      <c r="C38" s="23"/>
      <c r="D38" s="23"/>
      <c r="E38" s="23"/>
      <c r="F38" s="23"/>
      <c r="G38" s="23"/>
      <c r="H38" s="24"/>
      <c r="I38" s="23"/>
      <c r="J38" s="23"/>
      <c r="K38" s="24"/>
      <c r="L38" s="23"/>
      <c r="M38" s="23"/>
    </row>
    <row r="39" spans="1:13" ht="14.45">
      <c r="A39" s="23"/>
      <c r="B39" s="35"/>
      <c r="C39" s="23"/>
      <c r="D39" s="23"/>
      <c r="E39" s="23"/>
      <c r="F39" s="23"/>
      <c r="G39" s="23"/>
      <c r="H39" s="24"/>
      <c r="I39" s="23"/>
      <c r="J39" s="23"/>
      <c r="K39" s="24"/>
      <c r="L39" s="23"/>
      <c r="M39" s="23"/>
    </row>
    <row r="40" spans="1:13" ht="14.45">
      <c r="A40" s="23"/>
      <c r="B40" s="35"/>
      <c r="C40" s="23"/>
      <c r="D40" s="23"/>
      <c r="E40" s="23"/>
      <c r="F40" s="23"/>
      <c r="G40" s="23"/>
      <c r="H40" s="24"/>
      <c r="I40" s="23"/>
      <c r="J40" s="23"/>
      <c r="K40" s="24"/>
      <c r="L40" s="23"/>
      <c r="M40" s="23"/>
    </row>
    <row r="41" spans="1:13" ht="14.45">
      <c r="A41" s="23"/>
      <c r="B41" s="35"/>
      <c r="C41" s="23"/>
      <c r="D41" s="23"/>
      <c r="E41" s="23"/>
      <c r="F41" s="23"/>
      <c r="G41" s="23"/>
      <c r="H41" s="24"/>
      <c r="I41" s="23"/>
      <c r="J41" s="23"/>
      <c r="K41" s="24"/>
      <c r="L41" s="23"/>
      <c r="M41" s="23"/>
    </row>
    <row r="42" spans="1:13" ht="14.45">
      <c r="A42" s="23"/>
      <c r="B42" s="35"/>
      <c r="C42" s="23"/>
      <c r="D42" s="23"/>
      <c r="E42" s="23"/>
      <c r="F42" s="23"/>
      <c r="G42" s="23"/>
      <c r="H42" s="24"/>
      <c r="I42" s="23"/>
      <c r="J42" s="23"/>
      <c r="K42" s="24"/>
      <c r="L42" s="23"/>
      <c r="M42" s="23"/>
    </row>
    <row r="43" spans="1:13" ht="14.45">
      <c r="A43" s="23"/>
      <c r="B43" s="35"/>
      <c r="C43" s="23"/>
      <c r="D43" s="23"/>
      <c r="E43" s="23"/>
      <c r="F43" s="23"/>
      <c r="G43" s="23"/>
      <c r="H43" s="24"/>
      <c r="I43" s="23"/>
      <c r="J43" s="23"/>
      <c r="K43" s="24"/>
      <c r="L43" s="23"/>
      <c r="M43" s="23"/>
    </row>
    <row r="44" spans="1:13" ht="14.45">
      <c r="A44" s="23"/>
      <c r="B44" s="35"/>
      <c r="C44" s="23"/>
      <c r="D44" s="23"/>
      <c r="E44" s="23"/>
      <c r="F44" s="23"/>
      <c r="G44" s="23"/>
      <c r="H44" s="24"/>
      <c r="I44" s="23"/>
      <c r="J44" s="23"/>
      <c r="K44" s="24"/>
      <c r="L44" s="23"/>
      <c r="M44" s="23"/>
    </row>
    <row r="45" spans="1:13" ht="14.45">
      <c r="A45" s="23"/>
      <c r="B45" s="35"/>
      <c r="C45" s="23"/>
      <c r="D45" s="23"/>
      <c r="E45" s="23"/>
      <c r="F45" s="23"/>
      <c r="G45" s="23"/>
      <c r="H45" s="24"/>
      <c r="I45" s="23"/>
      <c r="J45" s="23"/>
      <c r="K45" s="24"/>
      <c r="L45" s="23"/>
      <c r="M45" s="23"/>
    </row>
    <row r="46" spans="1:13" ht="14.45">
      <c r="A46" s="23"/>
      <c r="B46" s="35"/>
      <c r="C46" s="23"/>
      <c r="D46" s="23"/>
      <c r="E46" s="23"/>
      <c r="F46" s="23"/>
      <c r="G46" s="23"/>
      <c r="H46" s="24"/>
      <c r="I46" s="23"/>
      <c r="J46" s="23"/>
      <c r="K46" s="24"/>
      <c r="L46" s="23"/>
      <c r="M46" s="23"/>
    </row>
    <row r="47" spans="1:13" ht="14.45">
      <c r="A47" s="23"/>
      <c r="B47" s="35"/>
      <c r="C47" s="23"/>
      <c r="D47" s="23"/>
      <c r="E47" s="23"/>
      <c r="F47" s="23"/>
      <c r="G47" s="23"/>
      <c r="H47" s="24"/>
      <c r="I47" s="23"/>
      <c r="J47" s="23"/>
      <c r="K47" s="24"/>
      <c r="L47" s="23"/>
      <c r="M47" s="23"/>
    </row>
    <row r="48" spans="1:13" ht="14.45">
      <c r="A48" s="23"/>
      <c r="B48" s="35"/>
      <c r="C48" s="23"/>
      <c r="D48" s="23"/>
      <c r="E48" s="23"/>
      <c r="F48" s="23"/>
      <c r="G48" s="23"/>
      <c r="H48" s="24"/>
      <c r="I48" s="23"/>
      <c r="J48" s="23"/>
      <c r="K48" s="24"/>
      <c r="L48" s="23"/>
      <c r="M48" s="23"/>
    </row>
    <row r="49" spans="1:13" ht="14.45">
      <c r="A49" s="23"/>
      <c r="B49" s="35"/>
      <c r="C49" s="23"/>
      <c r="D49" s="23"/>
      <c r="E49" s="23"/>
      <c r="F49" s="23"/>
      <c r="G49" s="23"/>
      <c r="H49" s="24"/>
      <c r="I49" s="23"/>
      <c r="J49" s="23"/>
      <c r="K49" s="24"/>
      <c r="L49" s="23"/>
      <c r="M49" s="23"/>
    </row>
    <row r="50" spans="1:13" ht="14.45">
      <c r="A50" s="23"/>
      <c r="B50" s="35"/>
      <c r="C50" s="23"/>
      <c r="D50" s="23"/>
      <c r="E50" s="23"/>
      <c r="F50" s="23"/>
      <c r="G50" s="23"/>
      <c r="H50" s="24"/>
      <c r="I50" s="23"/>
      <c r="J50" s="23"/>
      <c r="K50" s="24"/>
      <c r="L50" s="23"/>
      <c r="M50" s="23"/>
    </row>
    <row r="51" spans="1:13" ht="14.45">
      <c r="A51" s="23"/>
      <c r="B51" s="35"/>
      <c r="C51" s="23"/>
      <c r="D51" s="23"/>
      <c r="E51" s="23"/>
      <c r="F51" s="23"/>
      <c r="G51" s="23"/>
      <c r="H51" s="24"/>
      <c r="I51" s="23"/>
      <c r="J51" s="23"/>
      <c r="K51" s="24"/>
      <c r="L51" s="23"/>
      <c r="M51" s="23"/>
    </row>
    <row r="52" spans="1:13" ht="14.45">
      <c r="A52" s="23"/>
      <c r="B52" s="35"/>
      <c r="C52" s="23"/>
      <c r="D52" s="23"/>
      <c r="E52" s="23"/>
      <c r="F52" s="23"/>
      <c r="G52" s="23"/>
      <c r="H52" s="24"/>
      <c r="I52" s="23"/>
      <c r="J52" s="23"/>
      <c r="K52" s="24"/>
      <c r="L52" s="23"/>
      <c r="M52" s="23"/>
    </row>
    <row r="53" spans="1:13" ht="14.45">
      <c r="A53" s="23"/>
      <c r="B53" s="35"/>
      <c r="C53" s="23"/>
      <c r="D53" s="23"/>
      <c r="E53" s="23"/>
      <c r="F53" s="23"/>
      <c r="G53" s="23"/>
      <c r="H53" s="24"/>
      <c r="I53" s="23"/>
      <c r="J53" s="23"/>
      <c r="K53" s="24"/>
      <c r="L53" s="23"/>
      <c r="M53" s="23"/>
    </row>
    <row r="54" spans="1:13" ht="14.45">
      <c r="A54" s="23"/>
      <c r="B54" s="35"/>
      <c r="C54" s="23"/>
      <c r="D54" s="23"/>
      <c r="E54" s="23"/>
      <c r="F54" s="23"/>
      <c r="G54" s="23"/>
      <c r="H54" s="24"/>
      <c r="I54" s="23"/>
      <c r="J54" s="23"/>
      <c r="K54" s="24"/>
      <c r="L54" s="23"/>
      <c r="M54" s="23"/>
    </row>
    <row r="55" spans="1:13" ht="14.45">
      <c r="A55" s="23"/>
      <c r="B55" s="35"/>
      <c r="C55" s="23"/>
      <c r="D55" s="23"/>
      <c r="E55" s="23"/>
      <c r="F55" s="23"/>
      <c r="G55" s="23"/>
      <c r="H55" s="24"/>
      <c r="I55" s="23"/>
      <c r="J55" s="23"/>
      <c r="K55" s="24"/>
      <c r="L55" s="23"/>
      <c r="M55" s="23"/>
    </row>
    <row r="56" spans="1:13" ht="14.45">
      <c r="A56" s="23"/>
      <c r="B56" s="35"/>
      <c r="C56" s="23"/>
      <c r="D56" s="23"/>
      <c r="E56" s="23"/>
      <c r="F56" s="23"/>
      <c r="G56" s="23"/>
      <c r="H56" s="24"/>
      <c r="I56" s="23"/>
      <c r="J56" s="23"/>
      <c r="K56" s="24"/>
      <c r="L56" s="23"/>
      <c r="M56" s="23"/>
    </row>
    <row r="57" spans="1:13" ht="14.45">
      <c r="A57" s="23"/>
      <c r="B57" s="35"/>
      <c r="C57" s="23"/>
      <c r="D57" s="23"/>
      <c r="E57" s="23"/>
      <c r="F57" s="23"/>
      <c r="G57" s="23"/>
      <c r="H57" s="24"/>
      <c r="I57" s="23"/>
      <c r="J57" s="23"/>
      <c r="K57" s="24"/>
      <c r="L57" s="23"/>
      <c r="M57" s="23"/>
    </row>
    <row r="58" spans="1:13" ht="14.45">
      <c r="A58" s="23"/>
      <c r="B58" s="35"/>
      <c r="C58" s="23"/>
      <c r="D58" s="23"/>
      <c r="E58" s="23"/>
      <c r="F58" s="23"/>
      <c r="G58" s="23"/>
      <c r="H58" s="24"/>
      <c r="I58" s="23"/>
      <c r="J58" s="23"/>
      <c r="K58" s="24"/>
      <c r="L58" s="23"/>
      <c r="M58" s="23"/>
    </row>
    <row r="59" spans="1:13" ht="14.45">
      <c r="A59" s="23"/>
      <c r="B59" s="35"/>
      <c r="C59" s="23"/>
      <c r="D59" s="23"/>
      <c r="E59" s="23"/>
      <c r="F59" s="23"/>
      <c r="G59" s="23"/>
      <c r="H59" s="24"/>
      <c r="I59" s="23"/>
      <c r="J59" s="23"/>
      <c r="K59" s="24"/>
      <c r="L59" s="23"/>
      <c r="M59" s="23"/>
    </row>
    <row r="60" spans="1:13" ht="14.45">
      <c r="A60" s="23"/>
      <c r="B60" s="35"/>
      <c r="C60" s="23"/>
      <c r="D60" s="23"/>
      <c r="E60" s="23"/>
      <c r="F60" s="23"/>
      <c r="G60" s="23"/>
      <c r="H60" s="24"/>
      <c r="I60" s="23"/>
      <c r="J60" s="23"/>
      <c r="K60" s="24"/>
      <c r="L60" s="23"/>
      <c r="M60" s="23"/>
    </row>
    <row r="61" spans="1:13" ht="14.45">
      <c r="A61" s="23"/>
      <c r="B61" s="35"/>
      <c r="C61" s="23"/>
      <c r="D61" s="23"/>
      <c r="E61" s="23"/>
      <c r="F61" s="23"/>
      <c r="G61" s="23"/>
      <c r="H61" s="24"/>
      <c r="I61" s="23"/>
      <c r="J61" s="23"/>
      <c r="K61" s="24"/>
      <c r="L61" s="23"/>
      <c r="M61" s="23"/>
    </row>
    <row r="62" spans="1:13" ht="14.45">
      <c r="A62" s="23"/>
      <c r="B62" s="35"/>
      <c r="C62" s="23"/>
      <c r="D62" s="23"/>
      <c r="E62" s="23"/>
      <c r="F62" s="23"/>
      <c r="G62" s="23"/>
      <c r="H62" s="24"/>
      <c r="I62" s="23"/>
      <c r="J62" s="23"/>
      <c r="K62" s="24"/>
      <c r="L62" s="23"/>
      <c r="M62" s="23"/>
    </row>
    <row r="63" spans="1:13" ht="14.45">
      <c r="A63" s="23"/>
      <c r="B63" s="35"/>
      <c r="C63" s="23"/>
      <c r="D63" s="23"/>
      <c r="E63" s="23"/>
      <c r="F63" s="23"/>
      <c r="G63" s="23"/>
      <c r="H63" s="24"/>
      <c r="I63" s="23"/>
      <c r="J63" s="23"/>
      <c r="K63" s="24"/>
      <c r="L63" s="23"/>
      <c r="M63" s="23"/>
    </row>
    <row r="64" spans="1:13" ht="14.45">
      <c r="A64" s="23"/>
      <c r="B64" s="35"/>
      <c r="C64" s="23"/>
      <c r="D64" s="23"/>
      <c r="E64" s="23"/>
      <c r="F64" s="23"/>
      <c r="G64" s="23"/>
      <c r="H64" s="24"/>
      <c r="I64" s="23"/>
      <c r="J64" s="23"/>
      <c r="K64" s="24"/>
      <c r="L64" s="23"/>
      <c r="M64" s="23"/>
    </row>
    <row r="65" spans="1:13" ht="14.45">
      <c r="A65" s="23"/>
      <c r="B65" s="35"/>
      <c r="C65" s="23"/>
      <c r="D65" s="23"/>
      <c r="E65" s="23"/>
      <c r="F65" s="23"/>
      <c r="G65" s="23"/>
      <c r="H65" s="24"/>
      <c r="I65" s="23"/>
      <c r="J65" s="23"/>
      <c r="K65" s="24"/>
      <c r="L65" s="23"/>
      <c r="M65" s="23"/>
    </row>
    <row r="66" spans="1:13" ht="14.45">
      <c r="A66" s="23"/>
      <c r="B66" s="35"/>
      <c r="C66" s="23"/>
      <c r="D66" s="23"/>
      <c r="E66" s="23"/>
      <c r="F66" s="23"/>
      <c r="G66" s="23"/>
      <c r="H66" s="24"/>
      <c r="I66" s="23"/>
      <c r="J66" s="23"/>
      <c r="K66" s="24"/>
      <c r="L66" s="23"/>
      <c r="M66" s="23"/>
    </row>
    <row r="67" spans="1:13" ht="14.45">
      <c r="A67" s="23"/>
      <c r="B67" s="35"/>
      <c r="C67" s="23"/>
      <c r="D67" s="23"/>
      <c r="E67" s="23"/>
      <c r="F67" s="23"/>
      <c r="G67" s="23"/>
      <c r="H67" s="24"/>
      <c r="I67" s="23"/>
      <c r="J67" s="23"/>
      <c r="K67" s="24"/>
      <c r="L67" s="23"/>
      <c r="M67" s="23"/>
    </row>
    <row r="68" spans="1:13" ht="14.45">
      <c r="A68" s="23"/>
      <c r="B68" s="35"/>
      <c r="C68" s="23"/>
      <c r="D68" s="23"/>
      <c r="E68" s="23"/>
      <c r="F68" s="23"/>
      <c r="G68" s="23"/>
      <c r="H68" s="24"/>
      <c r="I68" s="23"/>
      <c r="J68" s="23"/>
      <c r="K68" s="24"/>
      <c r="L68" s="23"/>
      <c r="M68" s="23"/>
    </row>
    <row r="69" spans="1:13" ht="14.45">
      <c r="A69" s="23"/>
      <c r="B69" s="35"/>
      <c r="C69" s="23"/>
      <c r="D69" s="23"/>
      <c r="E69" s="23"/>
      <c r="F69" s="23"/>
      <c r="G69" s="23"/>
      <c r="H69" s="24"/>
      <c r="I69" s="23"/>
      <c r="J69" s="23"/>
      <c r="K69" s="24"/>
      <c r="L69" s="23"/>
      <c r="M69" s="23"/>
    </row>
    <row r="70" spans="1:13" ht="14.45">
      <c r="A70" s="23"/>
      <c r="B70" s="35"/>
      <c r="C70" s="23"/>
      <c r="D70" s="23"/>
      <c r="E70" s="23"/>
      <c r="F70" s="23"/>
      <c r="G70" s="23"/>
      <c r="H70" s="24"/>
      <c r="I70" s="23"/>
      <c r="J70" s="23"/>
      <c r="K70" s="24"/>
      <c r="L70" s="23"/>
      <c r="M70" s="23"/>
    </row>
    <row r="71" spans="1:13" ht="14.45">
      <c r="A71" s="23"/>
      <c r="B71" s="35"/>
      <c r="C71" s="23"/>
      <c r="D71" s="23"/>
      <c r="E71" s="23"/>
      <c r="F71" s="23"/>
      <c r="G71" s="23"/>
      <c r="H71" s="24"/>
      <c r="I71" s="23"/>
      <c r="J71" s="23"/>
      <c r="K71" s="24"/>
      <c r="L71" s="23"/>
      <c r="M71" s="23"/>
    </row>
    <row r="72" spans="1:13" ht="14.45">
      <c r="A72" s="23"/>
      <c r="B72" s="35"/>
      <c r="C72" s="23"/>
      <c r="D72" s="23"/>
      <c r="E72" s="23"/>
      <c r="F72" s="23"/>
      <c r="G72" s="23"/>
      <c r="H72" s="24"/>
      <c r="I72" s="23"/>
      <c r="J72" s="23"/>
      <c r="K72" s="24"/>
      <c r="L72" s="23"/>
      <c r="M72" s="23"/>
    </row>
    <row r="73" spans="1:13" ht="14.45">
      <c r="A73" s="23"/>
      <c r="B73" s="35"/>
      <c r="C73" s="23"/>
      <c r="D73" s="23"/>
      <c r="E73" s="23"/>
      <c r="F73" s="23"/>
      <c r="G73" s="23"/>
      <c r="H73" s="24"/>
      <c r="I73" s="23"/>
      <c r="J73" s="23"/>
      <c r="K73" s="24"/>
      <c r="L73" s="23"/>
      <c r="M73" s="23"/>
    </row>
    <row r="74" spans="1:13" ht="14.45">
      <c r="A74" s="23"/>
      <c r="B74" s="35"/>
      <c r="C74" s="23"/>
      <c r="D74" s="23"/>
      <c r="E74" s="23"/>
      <c r="F74" s="23"/>
      <c r="G74" s="23"/>
      <c r="H74" s="24"/>
      <c r="I74" s="23"/>
      <c r="J74" s="23"/>
      <c r="K74" s="24"/>
      <c r="L74" s="23"/>
      <c r="M74" s="23"/>
    </row>
    <row r="75" spans="1:13" ht="14.45">
      <c r="A75" s="23"/>
      <c r="B75" s="35"/>
      <c r="C75" s="23"/>
      <c r="D75" s="23"/>
      <c r="E75" s="23"/>
      <c r="F75" s="23"/>
      <c r="G75" s="23"/>
      <c r="H75" s="24"/>
      <c r="I75" s="23"/>
      <c r="J75" s="23"/>
      <c r="K75" s="24"/>
      <c r="L75" s="23"/>
      <c r="M75" s="23"/>
    </row>
    <row r="76" spans="1:13" ht="14.45">
      <c r="A76" s="23"/>
      <c r="B76" s="35"/>
      <c r="C76" s="23"/>
      <c r="D76" s="23"/>
      <c r="E76" s="23"/>
      <c r="F76" s="23"/>
      <c r="G76" s="23"/>
      <c r="H76" s="24"/>
      <c r="I76" s="23"/>
      <c r="J76" s="23"/>
      <c r="K76" s="24"/>
      <c r="L76" s="23"/>
      <c r="M76" s="23"/>
    </row>
    <row r="77" spans="1:13" ht="14.45">
      <c r="A77" s="23"/>
      <c r="B77" s="35"/>
      <c r="C77" s="23"/>
      <c r="D77" s="23"/>
      <c r="E77" s="23"/>
      <c r="F77" s="23"/>
      <c r="G77" s="23"/>
      <c r="H77" s="24"/>
      <c r="I77" s="23"/>
      <c r="J77" s="23"/>
      <c r="K77" s="24"/>
      <c r="L77" s="23"/>
      <c r="M77" s="23"/>
    </row>
    <row r="78" spans="1:13" ht="14.45">
      <c r="A78" s="23"/>
      <c r="B78" s="35"/>
      <c r="C78" s="23"/>
      <c r="D78" s="23"/>
      <c r="E78" s="23"/>
      <c r="F78" s="23"/>
      <c r="G78" s="23"/>
      <c r="H78" s="24"/>
      <c r="I78" s="23"/>
      <c r="J78" s="23"/>
      <c r="K78" s="24"/>
      <c r="L78" s="23"/>
      <c r="M78" s="23"/>
    </row>
    <row r="79" spans="1:13" ht="14.45">
      <c r="A79" s="23"/>
      <c r="B79" s="35"/>
      <c r="C79" s="23"/>
      <c r="D79" s="23"/>
      <c r="E79" s="23"/>
      <c r="F79" s="23"/>
      <c r="G79" s="23"/>
      <c r="H79" s="24"/>
      <c r="I79" s="23"/>
      <c r="J79" s="23"/>
      <c r="K79" s="24"/>
      <c r="L79" s="23"/>
      <c r="M79" s="23"/>
    </row>
    <row r="80" spans="1:13" ht="14.45">
      <c r="A80" s="23"/>
      <c r="B80" s="35"/>
      <c r="C80" s="23"/>
      <c r="D80" s="23"/>
      <c r="E80" s="23"/>
      <c r="F80" s="23"/>
      <c r="G80" s="23"/>
      <c r="H80" s="24"/>
      <c r="I80" s="23"/>
      <c r="J80" s="23"/>
      <c r="K80" s="24"/>
      <c r="L80" s="23"/>
      <c r="M80" s="23"/>
    </row>
    <row r="81" spans="1:13" ht="14.45">
      <c r="A81" s="23"/>
      <c r="B81" s="35"/>
      <c r="C81" s="23"/>
      <c r="D81" s="23"/>
      <c r="E81" s="23"/>
      <c r="F81" s="23"/>
      <c r="G81" s="23"/>
      <c r="H81" s="24"/>
      <c r="I81" s="23"/>
      <c r="J81" s="23"/>
      <c r="K81" s="24"/>
      <c r="L81" s="23"/>
      <c r="M81" s="23"/>
    </row>
    <row r="82" spans="1:13" ht="14.45">
      <c r="A82" s="23"/>
      <c r="B82" s="35"/>
      <c r="C82" s="23"/>
      <c r="D82" s="23"/>
      <c r="E82" s="23"/>
      <c r="F82" s="23"/>
      <c r="G82" s="23"/>
      <c r="H82" s="24"/>
      <c r="I82" s="23"/>
      <c r="J82" s="23"/>
      <c r="K82" s="24"/>
      <c r="L82" s="23"/>
      <c r="M82" s="23"/>
    </row>
    <row r="83" spans="1:13" ht="14.45">
      <c r="A83" s="23"/>
      <c r="B83" s="35"/>
      <c r="C83" s="23"/>
      <c r="D83" s="23"/>
      <c r="E83" s="23"/>
      <c r="F83" s="23"/>
      <c r="G83" s="23"/>
      <c r="H83" s="24"/>
      <c r="I83" s="23"/>
      <c r="J83" s="23"/>
      <c r="K83" s="24"/>
      <c r="L83" s="23"/>
      <c r="M83" s="23"/>
    </row>
    <row r="84" spans="1:13" ht="14.45">
      <c r="A84" s="23"/>
      <c r="B84" s="35"/>
      <c r="C84" s="23"/>
      <c r="D84" s="23"/>
      <c r="E84" s="23"/>
      <c r="F84" s="23"/>
      <c r="G84" s="23"/>
      <c r="H84" s="24"/>
      <c r="I84" s="23"/>
      <c r="J84" s="23"/>
      <c r="K84" s="24"/>
      <c r="L84" s="23"/>
      <c r="M84" s="23"/>
    </row>
    <row r="85" spans="1:13" ht="14.45">
      <c r="A85" s="23"/>
      <c r="B85" s="35"/>
      <c r="C85" s="23"/>
      <c r="D85" s="23"/>
      <c r="E85" s="23"/>
      <c r="F85" s="23"/>
      <c r="G85" s="23"/>
      <c r="H85" s="24"/>
      <c r="I85" s="23"/>
      <c r="J85" s="23"/>
      <c r="K85" s="24"/>
      <c r="L85" s="23"/>
      <c r="M85" s="23"/>
    </row>
    <row r="86" spans="1:13" ht="14.45">
      <c r="A86" s="23"/>
      <c r="B86" s="35"/>
      <c r="C86" s="23"/>
      <c r="D86" s="23"/>
      <c r="E86" s="23"/>
      <c r="F86" s="23"/>
      <c r="G86" s="23"/>
      <c r="H86" s="24"/>
      <c r="I86" s="23"/>
      <c r="J86" s="23"/>
      <c r="K86" s="24"/>
      <c r="L86" s="23"/>
      <c r="M86" s="23"/>
    </row>
    <row r="87" spans="1:13" ht="14.45">
      <c r="A87" s="23"/>
      <c r="B87" s="35"/>
      <c r="C87" s="23"/>
      <c r="D87" s="23"/>
      <c r="E87" s="23"/>
      <c r="F87" s="23"/>
      <c r="G87" s="23"/>
      <c r="H87" s="24"/>
      <c r="I87" s="23"/>
      <c r="J87" s="23"/>
      <c r="K87" s="24"/>
      <c r="L87" s="23"/>
      <c r="M87" s="23"/>
    </row>
    <row r="88" spans="1:13" ht="14.45">
      <c r="A88" s="23"/>
      <c r="B88" s="35"/>
      <c r="C88" s="23"/>
      <c r="D88" s="23"/>
      <c r="E88" s="23"/>
      <c r="F88" s="23"/>
      <c r="G88" s="23"/>
      <c r="H88" s="24"/>
      <c r="I88" s="23"/>
      <c r="J88" s="23"/>
      <c r="K88" s="24"/>
      <c r="L88" s="23"/>
      <c r="M88" s="23"/>
    </row>
    <row r="89" spans="1:13" ht="14.45">
      <c r="A89" s="23"/>
      <c r="B89" s="35"/>
      <c r="C89" s="23"/>
      <c r="D89" s="23"/>
      <c r="E89" s="23"/>
      <c r="F89" s="23"/>
      <c r="G89" s="23"/>
      <c r="H89" s="24"/>
      <c r="I89" s="23"/>
      <c r="J89" s="23"/>
      <c r="K89" s="24"/>
      <c r="L89" s="23"/>
      <c r="M89" s="23"/>
    </row>
    <row r="90" spans="1:13" ht="14.45">
      <c r="A90" s="23"/>
      <c r="B90" s="35"/>
      <c r="C90" s="23"/>
      <c r="D90" s="23"/>
      <c r="E90" s="23"/>
      <c r="F90" s="23"/>
      <c r="G90" s="23"/>
      <c r="H90" s="24"/>
      <c r="I90" s="23"/>
      <c r="J90" s="23"/>
      <c r="K90" s="24"/>
      <c r="L90" s="23"/>
      <c r="M90" s="23"/>
    </row>
    <row r="91" spans="1:13" ht="14.45">
      <c r="A91" s="23"/>
      <c r="B91" s="35"/>
      <c r="C91" s="23"/>
      <c r="D91" s="23"/>
      <c r="E91" s="23"/>
      <c r="F91" s="23"/>
      <c r="G91" s="23"/>
      <c r="H91" s="24"/>
      <c r="I91" s="23"/>
      <c r="J91" s="23"/>
      <c r="K91" s="24"/>
      <c r="L91" s="23"/>
      <c r="M91" s="23"/>
    </row>
    <row r="92" spans="1:13" ht="14.45">
      <c r="A92" s="23"/>
      <c r="B92" s="35"/>
      <c r="C92" s="23"/>
      <c r="D92" s="23"/>
      <c r="E92" s="23"/>
      <c r="F92" s="23"/>
      <c r="G92" s="23"/>
      <c r="H92" s="24"/>
      <c r="I92" s="23"/>
      <c r="J92" s="23"/>
      <c r="K92" s="24"/>
      <c r="L92" s="23"/>
      <c r="M92" s="23"/>
    </row>
    <row r="93" spans="1:13" ht="14.45">
      <c r="A93" s="23"/>
      <c r="B93" s="35"/>
      <c r="C93" s="23"/>
      <c r="D93" s="23"/>
      <c r="E93" s="23"/>
      <c r="F93" s="23"/>
      <c r="G93" s="23"/>
      <c r="H93" s="24"/>
      <c r="I93" s="23"/>
      <c r="J93" s="23"/>
      <c r="K93" s="24"/>
      <c r="L93" s="23"/>
      <c r="M93" s="23"/>
    </row>
    <row r="94" spans="1:13" ht="14.45">
      <c r="A94" s="23"/>
      <c r="B94" s="35"/>
      <c r="C94" s="23"/>
      <c r="D94" s="23"/>
      <c r="E94" s="23"/>
      <c r="F94" s="23"/>
      <c r="G94" s="23"/>
      <c r="H94" s="24"/>
      <c r="I94" s="23"/>
      <c r="J94" s="23"/>
      <c r="K94" s="24"/>
      <c r="L94" s="23"/>
      <c r="M94" s="23"/>
    </row>
    <row r="95" spans="1:13" ht="14.45">
      <c r="A95" s="23"/>
      <c r="B95" s="35"/>
      <c r="C95" s="23"/>
      <c r="D95" s="23"/>
      <c r="E95" s="23"/>
      <c r="F95" s="23"/>
      <c r="G95" s="23"/>
      <c r="H95" s="24"/>
      <c r="I95" s="23"/>
      <c r="J95" s="23"/>
      <c r="K95" s="24"/>
      <c r="L95" s="23"/>
      <c r="M95" s="23"/>
    </row>
    <row r="96" spans="1:13" ht="14.45">
      <c r="A96" s="23"/>
      <c r="B96" s="35"/>
      <c r="C96" s="23"/>
      <c r="D96" s="23"/>
      <c r="E96" s="23"/>
      <c r="F96" s="23"/>
      <c r="G96" s="23"/>
      <c r="H96" s="24"/>
      <c r="I96" s="23"/>
      <c r="J96" s="23"/>
      <c r="K96" s="24"/>
      <c r="L96" s="23"/>
      <c r="M96" s="23"/>
    </row>
    <row r="97" spans="1:13" ht="14.45">
      <c r="A97" s="23"/>
      <c r="B97" s="35"/>
      <c r="C97" s="23"/>
      <c r="D97" s="23"/>
      <c r="E97" s="23"/>
      <c r="F97" s="23"/>
      <c r="G97" s="23"/>
      <c r="H97" s="24"/>
      <c r="I97" s="23"/>
      <c r="J97" s="23"/>
      <c r="K97" s="24"/>
      <c r="L97" s="23"/>
      <c r="M97" s="23"/>
    </row>
    <row r="98" spans="1:13" ht="14.45">
      <c r="A98" s="23"/>
      <c r="B98" s="35"/>
      <c r="C98" s="23"/>
      <c r="D98" s="23"/>
      <c r="E98" s="23"/>
      <c r="F98" s="23"/>
      <c r="G98" s="23"/>
      <c r="H98" s="24"/>
      <c r="I98" s="23"/>
      <c r="J98" s="23"/>
      <c r="K98" s="24"/>
      <c r="L98" s="23"/>
      <c r="M98" s="23"/>
    </row>
    <row r="99" spans="1:13" ht="14.45">
      <c r="A99" s="23"/>
      <c r="B99" s="35"/>
      <c r="C99" s="23"/>
      <c r="D99" s="23"/>
      <c r="E99" s="23"/>
      <c r="F99" s="23"/>
      <c r="G99" s="23"/>
      <c r="H99" s="24"/>
      <c r="I99" s="23"/>
      <c r="J99" s="23"/>
      <c r="K99" s="24"/>
      <c r="L99" s="23"/>
      <c r="M99" s="23"/>
    </row>
    <row r="100" spans="1:13" ht="14.45">
      <c r="A100" s="23"/>
      <c r="B100" s="35"/>
      <c r="C100" s="23"/>
      <c r="D100" s="23"/>
      <c r="E100" s="23"/>
      <c r="F100" s="23"/>
      <c r="G100" s="23"/>
      <c r="H100" s="24"/>
      <c r="I100" s="23"/>
      <c r="J100" s="23"/>
      <c r="K100" s="24"/>
      <c r="L100" s="23"/>
      <c r="M100" s="23"/>
    </row>
    <row r="101" spans="1:13" ht="14.45">
      <c r="A101" s="23"/>
      <c r="B101" s="35"/>
      <c r="C101" s="23"/>
      <c r="D101" s="23"/>
      <c r="E101" s="23"/>
      <c r="F101" s="23"/>
      <c r="G101" s="23"/>
      <c r="H101" s="24"/>
      <c r="I101" s="23"/>
      <c r="J101" s="23"/>
      <c r="K101" s="24"/>
      <c r="L101" s="23"/>
      <c r="M101" s="23"/>
    </row>
    <row r="102" spans="1:13" ht="14.45">
      <c r="A102" s="23"/>
      <c r="B102" s="35"/>
      <c r="C102" s="23"/>
      <c r="D102" s="23"/>
      <c r="E102" s="23"/>
      <c r="F102" s="23"/>
      <c r="G102" s="23"/>
      <c r="H102" s="24"/>
      <c r="I102" s="23"/>
      <c r="J102" s="23"/>
      <c r="K102" s="24"/>
      <c r="L102" s="23"/>
      <c r="M102" s="23"/>
    </row>
    <row r="103" spans="1:13" ht="14.45">
      <c r="A103" s="23"/>
      <c r="B103" s="35"/>
      <c r="C103" s="23"/>
      <c r="D103" s="23"/>
      <c r="E103" s="23"/>
      <c r="F103" s="23"/>
      <c r="G103" s="23"/>
      <c r="H103" s="24"/>
      <c r="I103" s="23"/>
      <c r="J103" s="23"/>
      <c r="K103" s="24"/>
      <c r="L103" s="23"/>
      <c r="M103" s="23"/>
    </row>
    <row r="104" spans="1:13" ht="14.45">
      <c r="A104" s="23"/>
      <c r="B104" s="35"/>
      <c r="C104" s="23"/>
      <c r="D104" s="23"/>
      <c r="E104" s="23"/>
      <c r="F104" s="23"/>
      <c r="G104" s="23"/>
      <c r="H104" s="24"/>
      <c r="I104" s="23"/>
      <c r="J104" s="23"/>
      <c r="K104" s="24"/>
      <c r="L104" s="23"/>
      <c r="M104" s="23"/>
    </row>
    <row r="105" spans="1:13" ht="14.45">
      <c r="A105" s="23"/>
      <c r="B105" s="35"/>
      <c r="C105" s="23"/>
      <c r="D105" s="23"/>
      <c r="E105" s="23"/>
      <c r="F105" s="23"/>
      <c r="G105" s="23"/>
      <c r="H105" s="24"/>
      <c r="I105" s="23"/>
      <c r="J105" s="23"/>
      <c r="K105" s="24"/>
      <c r="L105" s="23"/>
      <c r="M105" s="23"/>
    </row>
    <row r="106" spans="1:13" ht="14.45">
      <c r="A106" s="23"/>
      <c r="B106" s="35"/>
      <c r="C106" s="23"/>
      <c r="D106" s="23"/>
      <c r="E106" s="23"/>
      <c r="F106" s="23"/>
      <c r="G106" s="23"/>
      <c r="H106" s="24"/>
      <c r="I106" s="23"/>
      <c r="J106" s="23"/>
      <c r="K106" s="24"/>
      <c r="L106" s="23"/>
      <c r="M106" s="23"/>
    </row>
    <row r="107" spans="1:13" ht="14.45">
      <c r="A107" s="23"/>
      <c r="B107" s="35"/>
      <c r="C107" s="23"/>
      <c r="D107" s="23"/>
      <c r="E107" s="23"/>
      <c r="F107" s="23"/>
      <c r="G107" s="23"/>
      <c r="H107" s="24"/>
      <c r="I107" s="23"/>
      <c r="J107" s="23"/>
      <c r="K107" s="24"/>
      <c r="L107" s="23"/>
      <c r="M107" s="23"/>
    </row>
    <row r="108" spans="1:13" ht="14.45">
      <c r="A108" s="23"/>
      <c r="B108" s="35"/>
      <c r="C108" s="23"/>
      <c r="D108" s="23"/>
      <c r="E108" s="23"/>
      <c r="F108" s="23"/>
      <c r="G108" s="23"/>
      <c r="H108" s="24"/>
      <c r="I108" s="23"/>
      <c r="J108" s="23"/>
      <c r="K108" s="24"/>
      <c r="L108" s="23"/>
      <c r="M108" s="23"/>
    </row>
    <row r="109" spans="1:13" ht="14.45">
      <c r="A109" s="23"/>
      <c r="B109" s="35"/>
      <c r="C109" s="23"/>
      <c r="D109" s="23"/>
      <c r="E109" s="23"/>
      <c r="F109" s="23"/>
      <c r="G109" s="23"/>
      <c r="H109" s="24"/>
      <c r="I109" s="23"/>
      <c r="J109" s="23"/>
      <c r="K109" s="24"/>
      <c r="L109" s="23"/>
      <c r="M109" s="23"/>
    </row>
    <row r="110" spans="1:13" ht="14.45">
      <c r="A110" s="23"/>
      <c r="B110" s="35"/>
      <c r="C110" s="23"/>
      <c r="D110" s="23"/>
      <c r="E110" s="23"/>
      <c r="F110" s="23"/>
      <c r="G110" s="23"/>
      <c r="H110" s="24"/>
      <c r="I110" s="23"/>
      <c r="J110" s="23"/>
      <c r="K110" s="24"/>
      <c r="L110" s="23"/>
      <c r="M110" s="23"/>
    </row>
    <row r="111" spans="1:13" ht="14.45">
      <c r="A111" s="23"/>
      <c r="B111" s="35"/>
      <c r="C111" s="23"/>
      <c r="D111" s="23"/>
      <c r="E111" s="23"/>
      <c r="F111" s="23"/>
      <c r="G111" s="23"/>
      <c r="H111" s="24"/>
      <c r="I111" s="23"/>
      <c r="J111" s="23"/>
      <c r="K111" s="24"/>
      <c r="L111" s="23"/>
      <c r="M111" s="23"/>
    </row>
    <row r="112" spans="1:13" ht="14.45">
      <c r="A112" s="23"/>
      <c r="B112" s="35"/>
      <c r="C112" s="23"/>
      <c r="D112" s="23"/>
      <c r="E112" s="23"/>
      <c r="F112" s="23"/>
      <c r="G112" s="23"/>
      <c r="H112" s="24"/>
      <c r="I112" s="23"/>
      <c r="J112" s="23"/>
      <c r="K112" s="24"/>
      <c r="L112" s="23"/>
      <c r="M112" s="23"/>
    </row>
    <row r="113" spans="1:13" ht="14.45">
      <c r="A113" s="23"/>
      <c r="B113" s="35"/>
      <c r="C113" s="23"/>
      <c r="D113" s="23"/>
      <c r="E113" s="23"/>
      <c r="F113" s="23"/>
      <c r="G113" s="23"/>
      <c r="H113" s="24"/>
      <c r="I113" s="23"/>
      <c r="J113" s="23"/>
      <c r="K113" s="24"/>
      <c r="L113" s="23"/>
      <c r="M113" s="23"/>
    </row>
    <row r="114" spans="1:13" ht="14.45">
      <c r="A114" s="23"/>
      <c r="B114" s="35"/>
      <c r="C114" s="23"/>
      <c r="D114" s="23"/>
      <c r="E114" s="23"/>
      <c r="F114" s="23"/>
      <c r="G114" s="23"/>
      <c r="H114" s="24"/>
      <c r="I114" s="23"/>
      <c r="J114" s="23"/>
      <c r="K114" s="24"/>
      <c r="L114" s="23"/>
      <c r="M114" s="23"/>
    </row>
    <row r="115" spans="1:13" ht="14.45">
      <c r="A115" s="23"/>
      <c r="B115" s="35"/>
      <c r="C115" s="23"/>
      <c r="D115" s="23"/>
      <c r="E115" s="23"/>
      <c r="F115" s="23"/>
      <c r="G115" s="23"/>
      <c r="H115" s="24"/>
      <c r="I115" s="23"/>
      <c r="J115" s="23"/>
      <c r="K115" s="24"/>
      <c r="L115" s="23"/>
      <c r="M115" s="23"/>
    </row>
    <row r="116" spans="1:13" ht="14.45">
      <c r="A116" s="23"/>
      <c r="B116" s="35"/>
      <c r="C116" s="23"/>
      <c r="D116" s="23"/>
      <c r="E116" s="23"/>
      <c r="F116" s="23"/>
      <c r="G116" s="23"/>
      <c r="H116" s="24"/>
      <c r="I116" s="23"/>
      <c r="J116" s="23"/>
      <c r="K116" s="24"/>
      <c r="L116" s="23"/>
      <c r="M116" s="23"/>
    </row>
    <row r="117" spans="1:13" ht="14.45">
      <c r="A117" s="23"/>
      <c r="B117" s="35"/>
      <c r="C117" s="23"/>
      <c r="D117" s="23"/>
      <c r="E117" s="23"/>
      <c r="F117" s="23"/>
      <c r="G117" s="23"/>
      <c r="H117" s="24"/>
      <c r="I117" s="23"/>
      <c r="J117" s="23"/>
      <c r="K117" s="24"/>
      <c r="L117" s="23"/>
      <c r="M117" s="23"/>
    </row>
    <row r="118" spans="1:13" ht="14.45">
      <c r="A118" s="23"/>
      <c r="B118" s="35"/>
      <c r="C118" s="23"/>
      <c r="D118" s="23"/>
      <c r="E118" s="23"/>
      <c r="F118" s="23"/>
      <c r="G118" s="23"/>
      <c r="H118" s="24"/>
      <c r="I118" s="23"/>
      <c r="J118" s="23"/>
      <c r="K118" s="24"/>
      <c r="L118" s="23"/>
      <c r="M118" s="23"/>
    </row>
    <row r="119" spans="1:13" ht="14.45">
      <c r="A119" s="23"/>
      <c r="B119" s="35"/>
      <c r="C119" s="23"/>
      <c r="D119" s="23"/>
      <c r="E119" s="23"/>
      <c r="F119" s="23"/>
      <c r="G119" s="23"/>
      <c r="H119" s="24"/>
      <c r="I119" s="23"/>
      <c r="J119" s="23"/>
      <c r="K119" s="24"/>
      <c r="L119" s="23"/>
      <c r="M119" s="23"/>
    </row>
    <row r="120" spans="1:13" ht="14.45">
      <c r="A120" s="23"/>
      <c r="B120" s="35"/>
      <c r="C120" s="23"/>
      <c r="D120" s="23"/>
      <c r="E120" s="23"/>
      <c r="F120" s="23"/>
      <c r="G120" s="23"/>
      <c r="H120" s="24"/>
      <c r="I120" s="23"/>
      <c r="J120" s="23"/>
      <c r="K120" s="24"/>
      <c r="L120" s="23"/>
      <c r="M120" s="23"/>
    </row>
    <row r="121" spans="1:13" ht="14.45">
      <c r="A121" s="23"/>
      <c r="B121" s="35"/>
      <c r="C121" s="23"/>
      <c r="D121" s="23"/>
      <c r="E121" s="23"/>
      <c r="F121" s="23"/>
      <c r="G121" s="23"/>
      <c r="H121" s="24"/>
      <c r="I121" s="23"/>
      <c r="J121" s="23"/>
      <c r="K121" s="24"/>
      <c r="L121" s="23"/>
      <c r="M121" s="23"/>
    </row>
    <row r="122" spans="1:13" ht="14.45">
      <c r="A122" s="23"/>
      <c r="B122" s="35"/>
      <c r="C122" s="23"/>
      <c r="D122" s="23"/>
      <c r="E122" s="23"/>
      <c r="F122" s="23"/>
      <c r="G122" s="23"/>
      <c r="H122" s="24"/>
      <c r="I122" s="23"/>
      <c r="J122" s="23"/>
      <c r="K122" s="24"/>
      <c r="L122" s="23"/>
      <c r="M122" s="23"/>
    </row>
    <row r="123" spans="1:13" ht="14.45">
      <c r="A123" s="23"/>
      <c r="B123" s="35"/>
      <c r="C123" s="23"/>
      <c r="D123" s="23"/>
      <c r="E123" s="23"/>
      <c r="F123" s="23"/>
      <c r="G123" s="23"/>
      <c r="H123" s="24"/>
      <c r="I123" s="23"/>
      <c r="J123" s="23"/>
      <c r="K123" s="24"/>
      <c r="L123" s="23"/>
      <c r="M123" s="23"/>
    </row>
    <row r="124" spans="1:13" ht="14.45">
      <c r="A124" s="23"/>
      <c r="B124" s="35"/>
      <c r="C124" s="23"/>
      <c r="D124" s="23"/>
      <c r="E124" s="23"/>
      <c r="F124" s="23"/>
      <c r="G124" s="23"/>
      <c r="H124" s="24"/>
      <c r="I124" s="23"/>
      <c r="J124" s="23"/>
      <c r="K124" s="24"/>
      <c r="L124" s="23"/>
      <c r="M124" s="23"/>
    </row>
    <row r="125" spans="1:13" ht="14.45">
      <c r="A125" s="23"/>
      <c r="B125" s="35"/>
      <c r="C125" s="23"/>
      <c r="D125" s="23"/>
      <c r="E125" s="23"/>
      <c r="F125" s="23"/>
      <c r="G125" s="23"/>
      <c r="H125" s="24"/>
      <c r="I125" s="23"/>
      <c r="J125" s="23"/>
      <c r="K125" s="24"/>
      <c r="L125" s="23"/>
      <c r="M125" s="23"/>
    </row>
    <row r="126" spans="1:13" ht="14.45">
      <c r="A126" s="23"/>
      <c r="B126" s="35"/>
      <c r="C126" s="23"/>
      <c r="D126" s="23"/>
      <c r="E126" s="23"/>
      <c r="F126" s="23"/>
      <c r="G126" s="23"/>
      <c r="H126" s="24"/>
      <c r="I126" s="23"/>
      <c r="J126" s="23"/>
      <c r="K126" s="24"/>
      <c r="L126" s="23"/>
      <c r="M126" s="23"/>
    </row>
    <row r="127" spans="1:13" ht="14.45">
      <c r="A127" s="23"/>
      <c r="B127" s="35"/>
      <c r="C127" s="23"/>
      <c r="D127" s="23"/>
      <c r="E127" s="23"/>
      <c r="F127" s="23"/>
      <c r="G127" s="23"/>
      <c r="H127" s="24"/>
      <c r="I127" s="23"/>
      <c r="J127" s="23"/>
      <c r="K127" s="24"/>
      <c r="L127" s="23"/>
      <c r="M127" s="23"/>
    </row>
    <row r="128" spans="1:13" ht="14.45">
      <c r="A128" s="23"/>
      <c r="B128" s="35"/>
      <c r="C128" s="23"/>
      <c r="D128" s="23"/>
      <c r="E128" s="23"/>
      <c r="F128" s="23"/>
      <c r="G128" s="23"/>
      <c r="H128" s="24"/>
      <c r="I128" s="23"/>
      <c r="J128" s="23"/>
      <c r="K128" s="24"/>
      <c r="L128" s="23"/>
      <c r="M128" s="23"/>
    </row>
    <row r="129" spans="1:13" ht="14.45">
      <c r="A129" s="23"/>
      <c r="B129" s="35"/>
      <c r="C129" s="23"/>
      <c r="D129" s="23"/>
      <c r="E129" s="23"/>
      <c r="F129" s="23"/>
      <c r="G129" s="23"/>
      <c r="H129" s="24"/>
      <c r="I129" s="23"/>
      <c r="J129" s="23"/>
      <c r="K129" s="24"/>
      <c r="L129" s="23"/>
      <c r="M129" s="23"/>
    </row>
    <row r="130" spans="1:13" ht="14.45">
      <c r="A130" s="23"/>
      <c r="B130" s="35"/>
      <c r="C130" s="23"/>
      <c r="D130" s="23"/>
      <c r="E130" s="23"/>
      <c r="F130" s="23"/>
      <c r="G130" s="23"/>
      <c r="H130" s="24"/>
      <c r="I130" s="23"/>
      <c r="J130" s="23"/>
      <c r="K130" s="24"/>
      <c r="L130" s="23"/>
      <c r="M130" s="23"/>
    </row>
    <row r="131" spans="1:13" ht="14.45">
      <c r="A131" s="23"/>
      <c r="B131" s="35"/>
      <c r="C131" s="23"/>
      <c r="D131" s="23"/>
      <c r="E131" s="23"/>
      <c r="F131" s="23"/>
      <c r="G131" s="23"/>
      <c r="H131" s="24"/>
      <c r="I131" s="23"/>
      <c r="J131" s="23"/>
      <c r="K131" s="24"/>
      <c r="L131" s="23"/>
      <c r="M131" s="23"/>
    </row>
    <row r="132" spans="1:13" ht="14.45">
      <c r="A132" s="23"/>
      <c r="B132" s="35"/>
      <c r="C132" s="23"/>
      <c r="D132" s="23"/>
      <c r="E132" s="23"/>
      <c r="F132" s="23"/>
      <c r="G132" s="23"/>
      <c r="H132" s="24"/>
      <c r="I132" s="23"/>
      <c r="J132" s="23"/>
      <c r="K132" s="24"/>
      <c r="L132" s="23"/>
      <c r="M132" s="23"/>
    </row>
    <row r="133" spans="1:13" ht="14.45">
      <c r="A133" s="23"/>
      <c r="B133" s="35"/>
      <c r="C133" s="23"/>
      <c r="D133" s="23"/>
      <c r="E133" s="23"/>
      <c r="F133" s="23"/>
      <c r="G133" s="23"/>
      <c r="H133" s="24"/>
      <c r="I133" s="23"/>
      <c r="J133" s="23"/>
      <c r="K133" s="24"/>
      <c r="L133" s="23"/>
      <c r="M133" s="23"/>
    </row>
    <row r="134" spans="1:13" ht="14.45">
      <c r="A134" s="23"/>
      <c r="B134" s="35"/>
      <c r="C134" s="23"/>
      <c r="D134" s="23"/>
      <c r="E134" s="23"/>
      <c r="F134" s="23"/>
      <c r="G134" s="23"/>
      <c r="H134" s="24"/>
      <c r="I134" s="23"/>
      <c r="J134" s="23"/>
      <c r="K134" s="24"/>
      <c r="L134" s="23"/>
      <c r="M134" s="23"/>
    </row>
    <row r="135" spans="1:13" ht="14.45">
      <c r="A135" s="23"/>
      <c r="B135" s="35"/>
      <c r="C135" s="23"/>
      <c r="D135" s="23"/>
      <c r="E135" s="23"/>
      <c r="F135" s="23"/>
      <c r="G135" s="23"/>
      <c r="H135" s="24"/>
      <c r="I135" s="23"/>
      <c r="J135" s="23"/>
      <c r="K135" s="24"/>
      <c r="L135" s="23"/>
      <c r="M135" s="23"/>
    </row>
    <row r="136" spans="1:13" ht="14.45">
      <c r="A136" s="23"/>
      <c r="B136" s="35"/>
      <c r="C136" s="23"/>
      <c r="D136" s="23"/>
      <c r="E136" s="23"/>
      <c r="F136" s="23"/>
      <c r="G136" s="23"/>
      <c r="H136" s="24"/>
      <c r="I136" s="23"/>
      <c r="J136" s="23"/>
      <c r="K136" s="24"/>
      <c r="L136" s="23"/>
      <c r="M136" s="23"/>
    </row>
    <row r="137" spans="1:13" ht="14.45">
      <c r="A137" s="23"/>
      <c r="B137" s="35"/>
      <c r="C137" s="23"/>
      <c r="D137" s="23"/>
      <c r="E137" s="23"/>
      <c r="F137" s="23"/>
      <c r="G137" s="23"/>
      <c r="H137" s="24"/>
      <c r="I137" s="23"/>
      <c r="J137" s="23"/>
      <c r="K137" s="24"/>
      <c r="L137" s="23"/>
      <c r="M137" s="23"/>
    </row>
    <row r="138" spans="1:13" ht="14.45">
      <c r="A138" s="23"/>
      <c r="B138" s="35"/>
      <c r="C138" s="23"/>
      <c r="D138" s="23"/>
      <c r="E138" s="23"/>
      <c r="F138" s="23"/>
      <c r="G138" s="23"/>
      <c r="H138" s="24"/>
      <c r="I138" s="23"/>
      <c r="J138" s="23"/>
      <c r="K138" s="24"/>
      <c r="L138" s="23"/>
      <c r="M138" s="23"/>
    </row>
    <row r="139" spans="1:13" ht="14.45">
      <c r="A139" s="23"/>
      <c r="B139" s="35"/>
      <c r="C139" s="23"/>
      <c r="D139" s="23"/>
      <c r="E139" s="23"/>
      <c r="F139" s="23"/>
      <c r="G139" s="23"/>
      <c r="H139" s="24"/>
      <c r="I139" s="23"/>
      <c r="J139" s="23"/>
      <c r="K139" s="24"/>
      <c r="L139" s="23"/>
      <c r="M139" s="23"/>
    </row>
    <row r="140" spans="1:13" ht="14.45">
      <c r="A140" s="23"/>
      <c r="B140" s="35"/>
      <c r="C140" s="23"/>
      <c r="D140" s="23"/>
      <c r="E140" s="23"/>
      <c r="F140" s="23"/>
      <c r="G140" s="23"/>
      <c r="H140" s="24"/>
      <c r="I140" s="23"/>
      <c r="J140" s="23"/>
      <c r="K140" s="24"/>
      <c r="L140" s="23"/>
      <c r="M140" s="23"/>
    </row>
    <row r="141" spans="1:13" ht="14.45">
      <c r="A141" s="23"/>
      <c r="B141" s="35"/>
      <c r="C141" s="23"/>
      <c r="D141" s="23"/>
      <c r="E141" s="23"/>
      <c r="F141" s="23"/>
      <c r="G141" s="23"/>
      <c r="H141" s="24"/>
      <c r="I141" s="23"/>
      <c r="J141" s="23"/>
      <c r="K141" s="24"/>
      <c r="L141" s="23"/>
      <c r="M141" s="23"/>
    </row>
    <row r="142" spans="1:13" ht="14.45">
      <c r="A142" s="23"/>
      <c r="B142" s="35"/>
      <c r="C142" s="23"/>
      <c r="D142" s="23"/>
      <c r="E142" s="23"/>
      <c r="F142" s="23"/>
      <c r="G142" s="23"/>
      <c r="H142" s="24"/>
      <c r="I142" s="23"/>
      <c r="J142" s="23"/>
      <c r="K142" s="24"/>
      <c r="L142" s="23"/>
      <c r="M142" s="23"/>
    </row>
    <row r="143" spans="1:13" ht="14.45">
      <c r="A143" s="23"/>
      <c r="B143" s="35"/>
      <c r="C143" s="23"/>
      <c r="D143" s="23"/>
      <c r="E143" s="23"/>
      <c r="F143" s="23"/>
      <c r="G143" s="23"/>
      <c r="H143" s="24"/>
      <c r="I143" s="23"/>
      <c r="J143" s="23"/>
      <c r="K143" s="24"/>
      <c r="L143" s="23"/>
      <c r="M143" s="23"/>
    </row>
    <row r="144" spans="1:13" ht="14.45">
      <c r="A144" s="23"/>
      <c r="B144" s="35"/>
      <c r="C144" s="23"/>
      <c r="D144" s="23"/>
      <c r="E144" s="23"/>
      <c r="F144" s="23"/>
      <c r="G144" s="23"/>
      <c r="H144" s="24"/>
      <c r="I144" s="23"/>
      <c r="J144" s="23"/>
      <c r="K144" s="24"/>
      <c r="L144" s="23"/>
      <c r="M144" s="23"/>
    </row>
    <row r="145" spans="1:13" ht="14.45">
      <c r="A145" s="23"/>
      <c r="B145" s="35"/>
      <c r="C145" s="23"/>
      <c r="D145" s="23"/>
      <c r="E145" s="23"/>
      <c r="F145" s="23"/>
      <c r="G145" s="23"/>
      <c r="H145" s="24"/>
      <c r="I145" s="23"/>
      <c r="J145" s="23"/>
      <c r="K145" s="24"/>
      <c r="L145" s="23"/>
      <c r="M145" s="23"/>
    </row>
    <row r="146" spans="1:13" ht="14.45">
      <c r="A146" s="23"/>
      <c r="B146" s="35"/>
      <c r="C146" s="23"/>
      <c r="D146" s="23"/>
      <c r="E146" s="23"/>
      <c r="F146" s="23"/>
      <c r="G146" s="23"/>
      <c r="H146" s="24"/>
      <c r="I146" s="23"/>
      <c r="J146" s="23"/>
      <c r="K146" s="24"/>
      <c r="L146" s="23"/>
      <c r="M146" s="23"/>
    </row>
    <row r="147" spans="1:13" ht="14.45">
      <c r="A147" s="23"/>
      <c r="B147" s="35"/>
      <c r="C147" s="23"/>
      <c r="D147" s="23"/>
      <c r="E147" s="23"/>
      <c r="F147" s="23"/>
      <c r="G147" s="23"/>
      <c r="H147" s="24"/>
      <c r="I147" s="23"/>
      <c r="J147" s="23"/>
      <c r="K147" s="24"/>
      <c r="L147" s="23"/>
      <c r="M147" s="23"/>
    </row>
    <row r="148" spans="1:13" ht="14.45">
      <c r="A148" s="23"/>
      <c r="B148" s="35"/>
      <c r="C148" s="23"/>
      <c r="D148" s="23"/>
      <c r="E148" s="23"/>
      <c r="F148" s="23"/>
      <c r="G148" s="23"/>
      <c r="H148" s="24"/>
      <c r="I148" s="23"/>
      <c r="J148" s="23"/>
      <c r="K148" s="24"/>
      <c r="L148" s="23"/>
      <c r="M148" s="23"/>
    </row>
    <row r="149" spans="1:13" ht="14.45">
      <c r="A149" s="23"/>
      <c r="B149" s="35"/>
      <c r="C149" s="23"/>
      <c r="D149" s="23"/>
      <c r="E149" s="23"/>
      <c r="F149" s="23"/>
      <c r="G149" s="23"/>
      <c r="H149" s="24"/>
      <c r="I149" s="23"/>
      <c r="J149" s="23"/>
      <c r="K149" s="24"/>
      <c r="L149" s="23"/>
      <c r="M149" s="23"/>
    </row>
    <row r="150" spans="1:13" ht="14.45">
      <c r="A150" s="23"/>
      <c r="B150" s="35"/>
      <c r="C150" s="23"/>
      <c r="D150" s="23"/>
      <c r="E150" s="23"/>
      <c r="F150" s="23"/>
      <c r="G150" s="23"/>
      <c r="H150" s="24"/>
      <c r="I150" s="23"/>
      <c r="J150" s="23"/>
      <c r="K150" s="24"/>
      <c r="L150" s="23"/>
      <c r="M150" s="23"/>
    </row>
    <row r="151" spans="1:13" ht="14.45">
      <c r="A151" s="23"/>
      <c r="B151" s="35"/>
      <c r="C151" s="23"/>
      <c r="D151" s="23"/>
      <c r="E151" s="23"/>
      <c r="F151" s="23"/>
      <c r="G151" s="23"/>
      <c r="H151" s="24"/>
      <c r="I151" s="23"/>
      <c r="J151" s="23"/>
      <c r="K151" s="24"/>
      <c r="L151" s="23"/>
      <c r="M151" s="23"/>
    </row>
    <row r="152" spans="1:13" ht="14.45">
      <c r="A152" s="23"/>
      <c r="B152" s="35"/>
      <c r="C152" s="23"/>
      <c r="D152" s="23"/>
      <c r="E152" s="23"/>
      <c r="F152" s="23"/>
      <c r="G152" s="23"/>
      <c r="H152" s="24"/>
      <c r="I152" s="23"/>
      <c r="J152" s="23"/>
      <c r="K152" s="24"/>
      <c r="L152" s="23"/>
      <c r="M152" s="23"/>
    </row>
    <row r="153" spans="1:13" ht="14.45">
      <c r="A153" s="23"/>
      <c r="B153" s="35"/>
      <c r="C153" s="23"/>
      <c r="D153" s="23"/>
      <c r="E153" s="23"/>
      <c r="F153" s="23"/>
      <c r="G153" s="23"/>
      <c r="H153" s="24"/>
      <c r="I153" s="23"/>
      <c r="J153" s="23"/>
      <c r="K153" s="24"/>
      <c r="L153" s="23"/>
      <c r="M153" s="23"/>
    </row>
    <row r="154" spans="1:13" ht="14.45">
      <c r="A154" s="23"/>
      <c r="B154" s="35"/>
      <c r="C154" s="23"/>
      <c r="D154" s="23"/>
      <c r="E154" s="23"/>
      <c r="F154" s="23"/>
      <c r="G154" s="23"/>
      <c r="H154" s="24"/>
      <c r="I154" s="23"/>
      <c r="J154" s="23"/>
      <c r="K154" s="24"/>
      <c r="L154" s="23"/>
      <c r="M154" s="23"/>
    </row>
    <row r="155" spans="1:13" ht="14.45">
      <c r="A155" s="23"/>
      <c r="B155" s="35"/>
      <c r="C155" s="23"/>
      <c r="D155" s="23"/>
      <c r="E155" s="23"/>
      <c r="F155" s="23"/>
      <c r="G155" s="23"/>
      <c r="H155" s="24"/>
      <c r="I155" s="23"/>
      <c r="J155" s="23"/>
      <c r="K155" s="24"/>
      <c r="L155" s="23"/>
      <c r="M155" s="23"/>
    </row>
    <row r="156" spans="1:13" ht="14.45">
      <c r="A156" s="23"/>
      <c r="B156" s="35"/>
      <c r="C156" s="23"/>
      <c r="D156" s="23"/>
      <c r="E156" s="23"/>
      <c r="F156" s="23"/>
      <c r="G156" s="23"/>
      <c r="H156" s="24"/>
      <c r="I156" s="23"/>
      <c r="J156" s="23"/>
      <c r="K156" s="24"/>
      <c r="L156" s="23"/>
      <c r="M156" s="23"/>
    </row>
    <row r="157" spans="1:13" ht="14.45">
      <c r="A157" s="23"/>
      <c r="B157" s="35"/>
      <c r="C157" s="23"/>
      <c r="D157" s="23"/>
      <c r="E157" s="23"/>
      <c r="F157" s="23"/>
      <c r="G157" s="23"/>
      <c r="H157" s="24"/>
      <c r="I157" s="23"/>
      <c r="J157" s="23"/>
      <c r="K157" s="24"/>
      <c r="L157" s="23"/>
      <c r="M157" s="23"/>
    </row>
    <row r="158" spans="1:13" ht="14.45">
      <c r="A158" s="23"/>
      <c r="B158" s="35"/>
      <c r="C158" s="23"/>
      <c r="D158" s="23"/>
      <c r="E158" s="23"/>
      <c r="F158" s="23"/>
      <c r="G158" s="23"/>
      <c r="H158" s="24"/>
      <c r="I158" s="23"/>
      <c r="J158" s="23"/>
      <c r="K158" s="24"/>
      <c r="L158" s="23"/>
      <c r="M158" s="23"/>
    </row>
    <row r="159" spans="1:13" ht="14.45">
      <c r="A159" s="23"/>
      <c r="B159" s="35"/>
      <c r="C159" s="23"/>
      <c r="D159" s="23"/>
      <c r="E159" s="23"/>
      <c r="F159" s="23"/>
      <c r="G159" s="23"/>
      <c r="H159" s="24"/>
      <c r="I159" s="23"/>
      <c r="J159" s="23"/>
      <c r="K159" s="24"/>
      <c r="L159" s="23"/>
      <c r="M159" s="23"/>
    </row>
    <row r="160" spans="1:13" ht="14.45">
      <c r="A160" s="23"/>
      <c r="B160" s="35"/>
      <c r="C160" s="23"/>
      <c r="D160" s="23"/>
      <c r="E160" s="23"/>
      <c r="F160" s="23"/>
      <c r="G160" s="23"/>
      <c r="H160" s="24"/>
      <c r="I160" s="23"/>
      <c r="J160" s="23"/>
      <c r="K160" s="24"/>
      <c r="L160" s="23"/>
      <c r="M160" s="23"/>
    </row>
    <row r="161" spans="1:13" ht="14.45">
      <c r="A161" s="23"/>
      <c r="B161" s="35"/>
      <c r="C161" s="23"/>
      <c r="D161" s="23"/>
      <c r="E161" s="23"/>
      <c r="F161" s="23"/>
      <c r="G161" s="23"/>
      <c r="H161" s="24"/>
      <c r="I161" s="23"/>
      <c r="J161" s="23"/>
      <c r="K161" s="24"/>
      <c r="L161" s="23"/>
      <c r="M161" s="23"/>
    </row>
    <row r="162" spans="1:13" ht="14.45">
      <c r="A162" s="23"/>
      <c r="B162" s="35"/>
      <c r="C162" s="23"/>
      <c r="D162" s="23"/>
      <c r="E162" s="23"/>
      <c r="F162" s="23"/>
      <c r="G162" s="23"/>
      <c r="H162" s="24"/>
      <c r="I162" s="23"/>
      <c r="J162" s="23"/>
      <c r="K162" s="24"/>
      <c r="L162" s="23"/>
      <c r="M162" s="23"/>
    </row>
    <row r="163" spans="1:13" ht="14.45">
      <c r="A163" s="23"/>
      <c r="B163" s="35"/>
      <c r="C163" s="23"/>
      <c r="D163" s="23"/>
      <c r="E163" s="23"/>
      <c r="F163" s="23"/>
      <c r="G163" s="23"/>
      <c r="H163" s="24"/>
      <c r="I163" s="23"/>
      <c r="J163" s="23"/>
      <c r="K163" s="24"/>
      <c r="L163" s="23"/>
      <c r="M163" s="23"/>
    </row>
    <row r="164" spans="1:13" ht="14.45">
      <c r="A164" s="23"/>
      <c r="B164" s="35"/>
      <c r="C164" s="23"/>
      <c r="D164" s="23"/>
      <c r="E164" s="23"/>
      <c r="F164" s="23"/>
      <c r="G164" s="23"/>
      <c r="H164" s="24"/>
      <c r="I164" s="23"/>
      <c r="J164" s="23"/>
      <c r="K164" s="24"/>
      <c r="L164" s="23"/>
      <c r="M164" s="23"/>
    </row>
    <row r="165" spans="1:13" ht="14.45">
      <c r="A165" s="23"/>
      <c r="B165" s="35"/>
      <c r="C165" s="23"/>
      <c r="D165" s="23"/>
      <c r="E165" s="23"/>
      <c r="F165" s="23"/>
      <c r="G165" s="23"/>
      <c r="H165" s="24"/>
      <c r="I165" s="23"/>
      <c r="J165" s="23"/>
      <c r="K165" s="24"/>
      <c r="L165" s="23"/>
      <c r="M165" s="23"/>
    </row>
    <row r="166" spans="1:13" ht="14.45">
      <c r="A166" s="23"/>
      <c r="B166" s="35"/>
      <c r="C166" s="23"/>
      <c r="D166" s="23"/>
      <c r="E166" s="23"/>
      <c r="F166" s="23"/>
      <c r="G166" s="23"/>
      <c r="H166" s="24"/>
      <c r="I166" s="23"/>
      <c r="J166" s="23"/>
      <c r="K166" s="24"/>
      <c r="L166" s="23"/>
      <c r="M166" s="23"/>
    </row>
    <row r="167" spans="1:13" ht="14.45">
      <c r="A167" s="23"/>
      <c r="B167" s="35"/>
      <c r="C167" s="23"/>
      <c r="D167" s="23"/>
      <c r="E167" s="23"/>
      <c r="F167" s="23"/>
      <c r="G167" s="23"/>
      <c r="H167" s="24"/>
      <c r="I167" s="23"/>
      <c r="J167" s="23"/>
      <c r="K167" s="24"/>
      <c r="L167" s="23"/>
      <c r="M167" s="23"/>
    </row>
    <row r="168" spans="1:13" ht="14.45">
      <c r="A168" s="23"/>
      <c r="B168" s="35"/>
      <c r="C168" s="23"/>
      <c r="D168" s="23"/>
      <c r="E168" s="23"/>
      <c r="F168" s="23"/>
      <c r="G168" s="23"/>
      <c r="H168" s="24"/>
      <c r="I168" s="23"/>
      <c r="J168" s="23"/>
      <c r="K168" s="24"/>
      <c r="L168" s="23"/>
      <c r="M168" s="23"/>
    </row>
    <row r="169" spans="1:13" ht="14.45">
      <c r="A169" s="23"/>
      <c r="B169" s="35"/>
      <c r="C169" s="23"/>
      <c r="D169" s="23"/>
      <c r="E169" s="23"/>
      <c r="F169" s="23"/>
      <c r="G169" s="23"/>
      <c r="H169" s="24"/>
      <c r="I169" s="23"/>
      <c r="J169" s="23"/>
      <c r="K169" s="24"/>
      <c r="L169" s="23"/>
      <c r="M169" s="23"/>
    </row>
    <row r="170" spans="1:13" ht="14.45">
      <c r="A170" s="23"/>
      <c r="B170" s="35"/>
      <c r="C170" s="23"/>
      <c r="D170" s="23"/>
      <c r="E170" s="23"/>
      <c r="F170" s="23"/>
      <c r="G170" s="23"/>
      <c r="H170" s="24"/>
      <c r="I170" s="23"/>
      <c r="J170" s="23"/>
      <c r="K170" s="24"/>
      <c r="L170" s="23"/>
      <c r="M170" s="23"/>
    </row>
    <row r="171" spans="1:13" ht="14.45">
      <c r="A171" s="23"/>
      <c r="B171" s="35"/>
      <c r="C171" s="23"/>
      <c r="D171" s="23"/>
      <c r="E171" s="23"/>
      <c r="F171" s="23"/>
      <c r="G171" s="23"/>
      <c r="H171" s="24"/>
      <c r="I171" s="23"/>
      <c r="J171" s="23"/>
      <c r="K171" s="24"/>
      <c r="L171" s="23"/>
      <c r="M171" s="23"/>
    </row>
    <row r="172" spans="1:13" ht="14.45">
      <c r="A172" s="23"/>
      <c r="B172" s="35"/>
      <c r="C172" s="23"/>
      <c r="D172" s="23"/>
      <c r="E172" s="23"/>
      <c r="F172" s="23"/>
      <c r="G172" s="23"/>
      <c r="H172" s="24"/>
      <c r="I172" s="23"/>
      <c r="J172" s="23"/>
      <c r="K172" s="24"/>
      <c r="L172" s="23"/>
      <c r="M172" s="23"/>
    </row>
    <row r="173" spans="1:13" ht="14.45">
      <c r="A173" s="23"/>
      <c r="B173" s="35"/>
      <c r="C173" s="23"/>
      <c r="D173" s="23"/>
      <c r="E173" s="23"/>
      <c r="F173" s="23"/>
      <c r="G173" s="23"/>
      <c r="H173" s="24"/>
      <c r="I173" s="23"/>
      <c r="J173" s="23"/>
      <c r="K173" s="24"/>
      <c r="L173" s="23"/>
      <c r="M173" s="23"/>
    </row>
    <row r="174" spans="1:13" ht="14.45">
      <c r="A174" s="23"/>
      <c r="B174" s="35"/>
      <c r="C174" s="23"/>
      <c r="D174" s="23"/>
      <c r="E174" s="23"/>
      <c r="F174" s="23"/>
      <c r="G174" s="23"/>
      <c r="H174" s="24"/>
      <c r="I174" s="23"/>
      <c r="J174" s="23"/>
      <c r="K174" s="24"/>
      <c r="L174" s="23"/>
      <c r="M174" s="23"/>
    </row>
    <row r="175" spans="1:13" ht="14.45">
      <c r="A175" s="23"/>
      <c r="B175" s="35"/>
      <c r="C175" s="23"/>
      <c r="D175" s="23"/>
      <c r="E175" s="23"/>
      <c r="F175" s="23"/>
      <c r="G175" s="23"/>
      <c r="H175" s="24"/>
      <c r="I175" s="23"/>
      <c r="J175" s="23"/>
      <c r="K175" s="24"/>
      <c r="L175" s="23"/>
      <c r="M175" s="23"/>
    </row>
    <row r="176" spans="1:13" ht="14.45">
      <c r="A176" s="23"/>
      <c r="B176" s="35"/>
      <c r="C176" s="23"/>
      <c r="D176" s="23"/>
      <c r="E176" s="23"/>
      <c r="F176" s="23"/>
      <c r="G176" s="23"/>
      <c r="H176" s="24"/>
      <c r="I176" s="23"/>
      <c r="J176" s="23"/>
      <c r="K176" s="24"/>
      <c r="L176" s="23"/>
      <c r="M176" s="23"/>
    </row>
    <row r="177" spans="1:13" ht="14.45">
      <c r="A177" s="23"/>
      <c r="B177" s="35"/>
      <c r="C177" s="23"/>
      <c r="D177" s="23"/>
      <c r="E177" s="23"/>
      <c r="F177" s="23"/>
      <c r="G177" s="23"/>
      <c r="H177" s="24"/>
      <c r="I177" s="23"/>
      <c r="J177" s="23"/>
      <c r="K177" s="24"/>
      <c r="L177" s="23"/>
      <c r="M177" s="23"/>
    </row>
    <row r="178" spans="1:13" ht="14.45">
      <c r="A178" s="23"/>
      <c r="B178" s="35"/>
      <c r="C178" s="23"/>
      <c r="D178" s="23"/>
      <c r="E178" s="23"/>
      <c r="F178" s="23"/>
      <c r="G178" s="23"/>
      <c r="H178" s="24"/>
      <c r="I178" s="23"/>
      <c r="J178" s="23"/>
      <c r="K178" s="24"/>
      <c r="L178" s="23"/>
      <c r="M178" s="23"/>
    </row>
    <row r="179" spans="1:13" ht="14.45">
      <c r="A179" s="23"/>
      <c r="B179" s="35"/>
      <c r="C179" s="23"/>
      <c r="D179" s="23"/>
      <c r="E179" s="23"/>
      <c r="F179" s="23"/>
      <c r="G179" s="23"/>
      <c r="H179" s="24"/>
      <c r="I179" s="23"/>
      <c r="J179" s="23"/>
      <c r="K179" s="24"/>
      <c r="L179" s="23"/>
      <c r="M179" s="23"/>
    </row>
    <row r="180" spans="1:13" ht="14.45">
      <c r="A180" s="23"/>
      <c r="B180" s="35"/>
      <c r="C180" s="23"/>
      <c r="D180" s="23"/>
      <c r="E180" s="23"/>
      <c r="F180" s="23"/>
      <c r="G180" s="23"/>
      <c r="H180" s="24"/>
      <c r="I180" s="23"/>
      <c r="J180" s="23"/>
      <c r="K180" s="24"/>
      <c r="L180" s="23"/>
      <c r="M180" s="23"/>
    </row>
    <row r="181" spans="1:13" ht="14.45">
      <c r="A181" s="23"/>
      <c r="B181" s="35"/>
      <c r="C181" s="23"/>
      <c r="D181" s="23"/>
      <c r="E181" s="23"/>
      <c r="F181" s="23"/>
      <c r="G181" s="23"/>
      <c r="H181" s="24"/>
      <c r="I181" s="23"/>
      <c r="J181" s="23"/>
      <c r="K181" s="24"/>
      <c r="L181" s="23"/>
      <c r="M181" s="23"/>
    </row>
    <row r="182" spans="1:13" ht="14.45">
      <c r="A182" s="23"/>
      <c r="B182" s="35"/>
      <c r="C182" s="23"/>
      <c r="D182" s="23"/>
      <c r="E182" s="23"/>
      <c r="F182" s="23"/>
      <c r="G182" s="23"/>
      <c r="H182" s="24"/>
      <c r="I182" s="23"/>
      <c r="J182" s="23"/>
      <c r="K182" s="24"/>
      <c r="L182" s="23"/>
      <c r="M182" s="23"/>
    </row>
    <row r="183" spans="1:13" ht="14.45">
      <c r="A183" s="23"/>
      <c r="B183" s="35"/>
      <c r="C183" s="23"/>
      <c r="D183" s="23"/>
      <c r="E183" s="23"/>
      <c r="F183" s="23"/>
      <c r="G183" s="23"/>
      <c r="H183" s="24"/>
      <c r="I183" s="23"/>
      <c r="J183" s="23"/>
      <c r="K183" s="24"/>
      <c r="L183" s="23"/>
      <c r="M183" s="23"/>
    </row>
    <row r="184" spans="1:13" ht="14.45">
      <c r="A184" s="23"/>
      <c r="B184" s="35"/>
      <c r="C184" s="23"/>
      <c r="D184" s="23"/>
      <c r="E184" s="23"/>
      <c r="F184" s="23"/>
      <c r="G184" s="23"/>
      <c r="H184" s="24"/>
      <c r="I184" s="23"/>
      <c r="J184" s="23"/>
      <c r="K184" s="24"/>
      <c r="L184" s="23"/>
      <c r="M184" s="23"/>
    </row>
    <row r="185" spans="1:13" ht="14.45">
      <c r="A185" s="23"/>
      <c r="B185" s="35"/>
      <c r="C185" s="23"/>
      <c r="D185" s="23"/>
      <c r="E185" s="23"/>
      <c r="F185" s="23"/>
      <c r="G185" s="23"/>
      <c r="H185" s="24"/>
      <c r="I185" s="23"/>
      <c r="J185" s="23"/>
      <c r="K185" s="24"/>
      <c r="L185" s="23"/>
      <c r="M185" s="23"/>
    </row>
    <row r="186" spans="1:13" ht="14.45">
      <c r="A186" s="23"/>
      <c r="B186" s="35"/>
      <c r="C186" s="23"/>
      <c r="D186" s="23"/>
      <c r="E186" s="23"/>
      <c r="F186" s="23"/>
      <c r="G186" s="23"/>
      <c r="H186" s="24"/>
      <c r="I186" s="23"/>
      <c r="J186" s="23"/>
      <c r="K186" s="24"/>
      <c r="L186" s="23"/>
      <c r="M186" s="23"/>
    </row>
    <row r="187" spans="1:13" ht="14.45">
      <c r="A187" s="23"/>
      <c r="B187" s="35"/>
      <c r="C187" s="23"/>
      <c r="D187" s="23"/>
      <c r="E187" s="23"/>
      <c r="F187" s="23"/>
      <c r="G187" s="23"/>
      <c r="H187" s="24"/>
      <c r="I187" s="23"/>
      <c r="J187" s="23"/>
      <c r="K187" s="24"/>
      <c r="L187" s="23"/>
      <c r="M187" s="23"/>
    </row>
    <row r="188" spans="1:13" ht="14.45">
      <c r="A188" s="23"/>
      <c r="B188" s="35"/>
      <c r="C188" s="23"/>
      <c r="D188" s="23"/>
      <c r="E188" s="23"/>
      <c r="F188" s="23"/>
      <c r="G188" s="23"/>
      <c r="H188" s="24"/>
      <c r="I188" s="23"/>
      <c r="J188" s="23"/>
      <c r="K188" s="24"/>
      <c r="L188" s="23"/>
      <c r="M188" s="23"/>
    </row>
    <row r="189" spans="1:13" ht="14.45">
      <c r="A189" s="23"/>
      <c r="B189" s="35"/>
      <c r="C189" s="23"/>
      <c r="D189" s="23"/>
      <c r="E189" s="23"/>
      <c r="F189" s="23"/>
      <c r="G189" s="23"/>
      <c r="H189" s="24"/>
      <c r="I189" s="23"/>
      <c r="J189" s="23"/>
      <c r="K189" s="24"/>
      <c r="L189" s="23"/>
      <c r="M189" s="23"/>
    </row>
    <row r="190" spans="1:13" ht="14.45">
      <c r="A190" s="23"/>
      <c r="B190" s="35"/>
      <c r="C190" s="23"/>
      <c r="D190" s="23"/>
      <c r="E190" s="23"/>
      <c r="F190" s="23"/>
      <c r="G190" s="23"/>
      <c r="H190" s="24"/>
      <c r="I190" s="23"/>
      <c r="J190" s="23"/>
      <c r="K190" s="24"/>
      <c r="L190" s="23"/>
      <c r="M190" s="23"/>
    </row>
    <row r="191" spans="1:13" ht="14.45">
      <c r="A191" s="23"/>
      <c r="B191" s="35"/>
      <c r="C191" s="23"/>
      <c r="D191" s="23"/>
      <c r="E191" s="23"/>
      <c r="F191" s="23"/>
      <c r="G191" s="23"/>
      <c r="H191" s="24"/>
      <c r="I191" s="23"/>
      <c r="J191" s="23"/>
      <c r="K191" s="24"/>
      <c r="L191" s="23"/>
      <c r="M191" s="23"/>
    </row>
    <row r="192" spans="1:13" ht="14.45">
      <c r="A192" s="23"/>
      <c r="B192" s="35"/>
      <c r="C192" s="23"/>
      <c r="D192" s="23"/>
      <c r="E192" s="23"/>
      <c r="F192" s="23"/>
      <c r="G192" s="23"/>
      <c r="H192" s="24"/>
      <c r="I192" s="23"/>
      <c r="J192" s="23"/>
      <c r="K192" s="24"/>
      <c r="L192" s="23"/>
      <c r="M192" s="23"/>
    </row>
    <row r="193" spans="1:13" ht="14.45">
      <c r="A193" s="23"/>
      <c r="B193" s="35"/>
      <c r="C193" s="23"/>
      <c r="D193" s="23"/>
      <c r="E193" s="23"/>
      <c r="F193" s="23"/>
      <c r="G193" s="23"/>
      <c r="H193" s="24"/>
      <c r="I193" s="23"/>
      <c r="J193" s="23"/>
      <c r="K193" s="24"/>
      <c r="L193" s="23"/>
      <c r="M193" s="23"/>
    </row>
    <row r="194" spans="1:13" ht="14.45">
      <c r="A194" s="23"/>
      <c r="B194" s="35"/>
      <c r="C194" s="23"/>
      <c r="D194" s="23"/>
      <c r="E194" s="23"/>
      <c r="F194" s="23"/>
      <c r="G194" s="23"/>
      <c r="H194" s="24"/>
      <c r="I194" s="23"/>
      <c r="J194" s="23"/>
      <c r="K194" s="24"/>
      <c r="L194" s="23"/>
      <c r="M194" s="23"/>
    </row>
    <row r="195" spans="1:13" ht="14.45">
      <c r="A195" s="23"/>
      <c r="B195" s="35"/>
      <c r="C195" s="23"/>
      <c r="D195" s="23"/>
      <c r="E195" s="23"/>
      <c r="F195" s="23"/>
      <c r="G195" s="23"/>
      <c r="H195" s="24"/>
      <c r="I195" s="23"/>
      <c r="J195" s="23"/>
      <c r="K195" s="24"/>
      <c r="L195" s="23"/>
      <c r="M195" s="23"/>
    </row>
    <row r="196" spans="1:13" ht="14.45">
      <c r="A196" s="23"/>
      <c r="B196" s="35"/>
      <c r="C196" s="23"/>
      <c r="D196" s="23"/>
      <c r="E196" s="23"/>
      <c r="F196" s="23"/>
      <c r="G196" s="23"/>
      <c r="H196" s="24"/>
      <c r="I196" s="23"/>
      <c r="J196" s="23"/>
      <c r="K196" s="24"/>
      <c r="L196" s="23"/>
      <c r="M196" s="23"/>
    </row>
    <row r="197" spans="1:13" ht="14.45">
      <c r="A197" s="23"/>
      <c r="B197" s="35"/>
      <c r="C197" s="23"/>
      <c r="D197" s="23"/>
      <c r="E197" s="23"/>
      <c r="F197" s="23"/>
      <c r="G197" s="23"/>
      <c r="H197" s="24"/>
      <c r="I197" s="23"/>
      <c r="J197" s="23"/>
      <c r="K197" s="24"/>
      <c r="L197" s="23"/>
      <c r="M197" s="23"/>
    </row>
    <row r="198" spans="1:13" ht="14.45">
      <c r="A198" s="23"/>
      <c r="B198" s="35"/>
      <c r="C198" s="23"/>
      <c r="D198" s="23"/>
      <c r="E198" s="23"/>
      <c r="F198" s="23"/>
      <c r="G198" s="23"/>
      <c r="H198" s="24"/>
      <c r="I198" s="23"/>
      <c r="J198" s="23"/>
      <c r="K198" s="24"/>
      <c r="L198" s="23"/>
      <c r="M198" s="23"/>
    </row>
    <row r="199" spans="1:13" ht="14.45">
      <c r="A199" s="23"/>
      <c r="B199" s="35"/>
      <c r="C199" s="23"/>
      <c r="D199" s="23"/>
      <c r="E199" s="23"/>
      <c r="F199" s="23"/>
      <c r="G199" s="23"/>
      <c r="H199" s="24"/>
      <c r="I199" s="23"/>
      <c r="J199" s="23"/>
      <c r="K199" s="24"/>
      <c r="L199" s="23"/>
      <c r="M199" s="23"/>
    </row>
    <row r="200" spans="1:13" ht="14.45">
      <c r="A200" s="23"/>
      <c r="B200" s="35"/>
      <c r="C200" s="23"/>
      <c r="D200" s="23"/>
      <c r="E200" s="23"/>
      <c r="F200" s="23"/>
      <c r="G200" s="23"/>
      <c r="H200" s="24"/>
      <c r="I200" s="23"/>
      <c r="J200" s="23"/>
      <c r="K200" s="24"/>
      <c r="L200" s="23"/>
      <c r="M200" s="23"/>
    </row>
    <row r="201" spans="1:13" ht="14.45">
      <c r="A201" s="23"/>
      <c r="B201" s="35"/>
      <c r="C201" s="23"/>
      <c r="D201" s="23"/>
      <c r="E201" s="23"/>
      <c r="F201" s="23"/>
      <c r="G201" s="23"/>
      <c r="H201" s="24"/>
      <c r="I201" s="23"/>
      <c r="J201" s="23"/>
      <c r="K201" s="24"/>
      <c r="L201" s="23"/>
      <c r="M201" s="23"/>
    </row>
    <row r="202" spans="1:13" ht="14.45">
      <c r="A202" s="23"/>
      <c r="B202" s="35"/>
      <c r="C202" s="23"/>
      <c r="D202" s="23"/>
      <c r="E202" s="23"/>
      <c r="F202" s="23"/>
      <c r="G202" s="23"/>
      <c r="H202" s="24"/>
      <c r="I202" s="23"/>
      <c r="J202" s="23"/>
      <c r="K202" s="24"/>
      <c r="L202" s="23"/>
      <c r="M202" s="23"/>
    </row>
    <row r="203" spans="1:13" ht="14.45">
      <c r="A203" s="23"/>
      <c r="B203" s="35"/>
      <c r="C203" s="23"/>
      <c r="D203" s="23"/>
      <c r="E203" s="23"/>
      <c r="F203" s="23"/>
      <c r="G203" s="23"/>
      <c r="H203" s="24"/>
      <c r="I203" s="23"/>
      <c r="J203" s="23"/>
      <c r="K203" s="24"/>
      <c r="L203" s="23"/>
      <c r="M203" s="23"/>
    </row>
    <row r="204" spans="1:13" ht="14.45">
      <c r="A204" s="23"/>
      <c r="B204" s="35"/>
      <c r="C204" s="23"/>
      <c r="D204" s="23"/>
      <c r="E204" s="23"/>
      <c r="F204" s="23"/>
      <c r="G204" s="23"/>
      <c r="H204" s="24"/>
      <c r="I204" s="23"/>
      <c r="J204" s="23"/>
      <c r="K204" s="24"/>
      <c r="L204" s="23"/>
      <c r="M204" s="23"/>
    </row>
    <row r="205" spans="1:13" ht="14.45">
      <c r="A205" s="23"/>
      <c r="B205" s="35"/>
      <c r="C205" s="23"/>
      <c r="D205" s="23"/>
      <c r="E205" s="23"/>
      <c r="F205" s="23"/>
      <c r="G205" s="23"/>
      <c r="H205" s="24"/>
      <c r="I205" s="23"/>
      <c r="J205" s="23"/>
      <c r="K205" s="24"/>
      <c r="L205" s="23"/>
      <c r="M205" s="23"/>
    </row>
    <row r="206" spans="1:13" ht="14.45">
      <c r="A206" s="23"/>
      <c r="B206" s="35"/>
      <c r="C206" s="23"/>
      <c r="D206" s="23"/>
      <c r="E206" s="23"/>
      <c r="F206" s="23"/>
      <c r="G206" s="23"/>
      <c r="H206" s="24"/>
      <c r="I206" s="23"/>
      <c r="J206" s="23"/>
      <c r="K206" s="24"/>
      <c r="L206" s="23"/>
      <c r="M206" s="23"/>
    </row>
    <row r="207" spans="1:13" ht="14.45">
      <c r="A207" s="23"/>
      <c r="B207" s="35"/>
      <c r="C207" s="23"/>
      <c r="D207" s="23"/>
      <c r="E207" s="23"/>
      <c r="F207" s="23"/>
      <c r="G207" s="23"/>
      <c r="H207" s="24"/>
      <c r="I207" s="23"/>
      <c r="J207" s="23"/>
      <c r="K207" s="24"/>
      <c r="L207" s="23"/>
      <c r="M207" s="23"/>
    </row>
    <row r="208" spans="1:13" ht="14.45">
      <c r="A208" s="23"/>
      <c r="B208" s="35"/>
      <c r="C208" s="23"/>
      <c r="D208" s="23"/>
      <c r="E208" s="23"/>
      <c r="F208" s="23"/>
      <c r="G208" s="23"/>
      <c r="H208" s="24"/>
      <c r="I208" s="23"/>
      <c r="J208" s="23"/>
      <c r="K208" s="24"/>
      <c r="L208" s="23"/>
      <c r="M208" s="23"/>
    </row>
    <row r="209" spans="1:13" ht="14.45">
      <c r="A209" s="23"/>
      <c r="B209" s="35"/>
      <c r="C209" s="23"/>
      <c r="D209" s="23"/>
      <c r="E209" s="23"/>
      <c r="F209" s="23"/>
      <c r="G209" s="23"/>
      <c r="H209" s="24"/>
      <c r="I209" s="23"/>
      <c r="J209" s="23"/>
      <c r="K209" s="24"/>
      <c r="L209" s="23"/>
      <c r="M209" s="23"/>
    </row>
    <row r="210" spans="1:13" ht="14.45">
      <c r="A210" s="23"/>
      <c r="B210" s="35"/>
      <c r="C210" s="23"/>
      <c r="D210" s="23"/>
      <c r="E210" s="23"/>
      <c r="F210" s="23"/>
      <c r="G210" s="23"/>
      <c r="H210" s="24"/>
      <c r="I210" s="23"/>
      <c r="J210" s="23"/>
      <c r="K210" s="24"/>
      <c r="L210" s="23"/>
      <c r="M210" s="23"/>
    </row>
    <row r="211" spans="1:13" ht="14.45">
      <c r="A211" s="23"/>
      <c r="B211" s="35"/>
      <c r="C211" s="23"/>
      <c r="D211" s="23"/>
      <c r="E211" s="23"/>
      <c r="F211" s="23"/>
      <c r="G211" s="23"/>
      <c r="H211" s="24"/>
      <c r="I211" s="23"/>
      <c r="J211" s="23"/>
      <c r="K211" s="24"/>
      <c r="L211" s="23"/>
      <c r="M211" s="23"/>
    </row>
    <row r="212" spans="1:13" ht="14.45">
      <c r="A212" s="23"/>
      <c r="B212" s="35"/>
      <c r="C212" s="23"/>
      <c r="D212" s="23"/>
      <c r="E212" s="23"/>
      <c r="F212" s="23"/>
      <c r="G212" s="23"/>
      <c r="H212" s="24"/>
      <c r="I212" s="23"/>
      <c r="J212" s="23"/>
      <c r="K212" s="24"/>
      <c r="L212" s="23"/>
      <c r="M212" s="23"/>
    </row>
    <row r="213" spans="1:13" ht="14.45">
      <c r="A213" s="23"/>
      <c r="B213" s="35"/>
      <c r="C213" s="23"/>
      <c r="D213" s="23"/>
      <c r="E213" s="23"/>
      <c r="F213" s="23"/>
      <c r="G213" s="23"/>
      <c r="H213" s="24"/>
      <c r="I213" s="23"/>
      <c r="J213" s="23"/>
      <c r="K213" s="24"/>
      <c r="L213" s="23"/>
      <c r="M213" s="23"/>
    </row>
    <row r="214" spans="1:13" ht="14.45">
      <c r="A214" s="23"/>
      <c r="B214" s="35"/>
      <c r="C214" s="23"/>
      <c r="D214" s="23"/>
      <c r="E214" s="23"/>
      <c r="F214" s="23"/>
      <c r="G214" s="23"/>
      <c r="H214" s="24"/>
      <c r="I214" s="23"/>
      <c r="J214" s="23"/>
      <c r="K214" s="24"/>
      <c r="L214" s="23"/>
      <c r="M214" s="23"/>
    </row>
    <row r="215" spans="1:13" ht="14.45">
      <c r="A215" s="23"/>
      <c r="B215" s="35"/>
      <c r="C215" s="23"/>
      <c r="D215" s="23"/>
      <c r="E215" s="23"/>
      <c r="F215" s="23"/>
      <c r="G215" s="23"/>
      <c r="H215" s="24"/>
      <c r="I215" s="23"/>
      <c r="J215" s="23"/>
      <c r="K215" s="24"/>
      <c r="L215" s="23"/>
      <c r="M215" s="23"/>
    </row>
    <row r="216" spans="1:13" ht="14.45">
      <c r="A216" s="23"/>
      <c r="B216" s="35"/>
      <c r="C216" s="23"/>
      <c r="D216" s="23"/>
      <c r="E216" s="23"/>
      <c r="F216" s="23"/>
      <c r="G216" s="23"/>
      <c r="H216" s="24"/>
      <c r="I216" s="23"/>
      <c r="J216" s="23"/>
      <c r="K216" s="24"/>
      <c r="L216" s="23"/>
      <c r="M216" s="23"/>
    </row>
    <row r="217" spans="1:13" ht="14.45">
      <c r="A217" s="23"/>
      <c r="B217" s="35"/>
      <c r="C217" s="23"/>
      <c r="D217" s="23"/>
      <c r="E217" s="23"/>
      <c r="F217" s="23"/>
      <c r="G217" s="23"/>
      <c r="H217" s="24"/>
      <c r="I217" s="23"/>
      <c r="J217" s="23"/>
      <c r="K217" s="24"/>
      <c r="L217" s="23"/>
      <c r="M217" s="23"/>
    </row>
    <row r="218" spans="1:13" ht="14.45">
      <c r="A218" s="23"/>
      <c r="B218" s="35"/>
      <c r="C218" s="23"/>
      <c r="D218" s="23"/>
      <c r="E218" s="23"/>
      <c r="F218" s="23"/>
      <c r="G218" s="23"/>
      <c r="H218" s="24"/>
      <c r="I218" s="23"/>
      <c r="J218" s="23"/>
      <c r="K218" s="24"/>
      <c r="L218" s="23"/>
      <c r="M218" s="23"/>
    </row>
    <row r="219" spans="1:13" ht="14.45">
      <c r="A219" s="23"/>
      <c r="B219" s="35"/>
      <c r="C219" s="23"/>
      <c r="D219" s="23"/>
      <c r="E219" s="23"/>
      <c r="F219" s="23"/>
      <c r="G219" s="23"/>
      <c r="H219" s="24"/>
      <c r="I219" s="23"/>
      <c r="J219" s="23"/>
      <c r="K219" s="24"/>
      <c r="L219" s="23"/>
      <c r="M219" s="23"/>
    </row>
    <row r="220" spans="1:13" ht="14.45">
      <c r="A220" s="23"/>
      <c r="B220" s="35"/>
      <c r="C220" s="23"/>
      <c r="D220" s="23"/>
      <c r="E220" s="23"/>
      <c r="F220" s="23"/>
      <c r="G220" s="23"/>
      <c r="H220" s="24"/>
      <c r="I220" s="23"/>
      <c r="J220" s="23"/>
      <c r="K220" s="24"/>
      <c r="L220" s="23"/>
      <c r="M220" s="23"/>
    </row>
    <row r="221" spans="1:13" ht="14.45">
      <c r="A221" s="23"/>
      <c r="B221" s="35"/>
      <c r="C221" s="23"/>
      <c r="D221" s="23"/>
      <c r="E221" s="23"/>
      <c r="F221" s="23"/>
      <c r="G221" s="23"/>
      <c r="H221" s="24"/>
      <c r="I221" s="23"/>
      <c r="J221" s="23"/>
      <c r="K221" s="24"/>
      <c r="L221" s="23"/>
      <c r="M221" s="23"/>
    </row>
    <row r="222" spans="1:13" ht="14.45">
      <c r="A222" s="23"/>
      <c r="B222" s="35"/>
      <c r="C222" s="23"/>
      <c r="D222" s="23"/>
      <c r="E222" s="23"/>
      <c r="F222" s="23"/>
      <c r="G222" s="23"/>
      <c r="H222" s="24"/>
      <c r="I222" s="23"/>
      <c r="J222" s="23"/>
      <c r="K222" s="24"/>
      <c r="L222" s="23"/>
      <c r="M222" s="23"/>
    </row>
    <row r="223" spans="1:13" ht="14.45">
      <c r="A223" s="23"/>
      <c r="B223" s="35"/>
      <c r="C223" s="23"/>
      <c r="D223" s="23"/>
      <c r="E223" s="23"/>
      <c r="F223" s="23"/>
      <c r="G223" s="23"/>
      <c r="H223" s="24"/>
      <c r="I223" s="23"/>
      <c r="J223" s="23"/>
      <c r="K223" s="24"/>
      <c r="L223" s="23"/>
      <c r="M223" s="23"/>
    </row>
    <row r="224" spans="1:13" ht="14.45">
      <c r="A224" s="23"/>
      <c r="B224" s="35"/>
      <c r="C224" s="23"/>
      <c r="D224" s="23"/>
      <c r="E224" s="23"/>
      <c r="F224" s="23"/>
      <c r="G224" s="23"/>
      <c r="H224" s="24"/>
      <c r="I224" s="23"/>
      <c r="J224" s="23"/>
      <c r="K224" s="24"/>
      <c r="L224" s="23"/>
      <c r="M224" s="23"/>
    </row>
    <row r="225" spans="1:13" ht="14.45">
      <c r="A225" s="23"/>
      <c r="B225" s="35"/>
      <c r="C225" s="23"/>
      <c r="D225" s="23"/>
      <c r="E225" s="23"/>
      <c r="F225" s="23"/>
      <c r="G225" s="23"/>
      <c r="H225" s="24"/>
      <c r="I225" s="23"/>
      <c r="J225" s="23"/>
      <c r="K225" s="24"/>
      <c r="L225" s="23"/>
      <c r="M225" s="23"/>
    </row>
    <row r="226" spans="1:13" ht="14.45">
      <c r="A226" s="23"/>
      <c r="B226" s="35"/>
      <c r="C226" s="23"/>
      <c r="D226" s="23"/>
      <c r="E226" s="23"/>
      <c r="F226" s="23"/>
      <c r="G226" s="23"/>
      <c r="H226" s="24"/>
      <c r="I226" s="23"/>
      <c r="J226" s="23"/>
      <c r="K226" s="24"/>
      <c r="L226" s="23"/>
      <c r="M226" s="23"/>
    </row>
    <row r="227" spans="1:13" ht="14.45">
      <c r="A227" s="23"/>
      <c r="B227" s="35"/>
      <c r="C227" s="23"/>
      <c r="D227" s="23"/>
      <c r="E227" s="23"/>
      <c r="F227" s="23"/>
      <c r="G227" s="23"/>
      <c r="H227" s="24"/>
      <c r="I227" s="23"/>
      <c r="J227" s="23"/>
      <c r="K227" s="24"/>
      <c r="L227" s="23"/>
      <c r="M227" s="23"/>
    </row>
    <row r="228" spans="1:13" ht="14.45">
      <c r="A228" s="23"/>
      <c r="B228" s="35"/>
      <c r="C228" s="23"/>
      <c r="D228" s="23"/>
      <c r="E228" s="23"/>
      <c r="F228" s="23"/>
      <c r="G228" s="23"/>
      <c r="H228" s="24"/>
      <c r="I228" s="23"/>
      <c r="J228" s="23"/>
      <c r="K228" s="24"/>
      <c r="L228" s="23"/>
      <c r="M228" s="23"/>
    </row>
    <row r="229" spans="1:13" ht="14.45">
      <c r="A229" s="23"/>
      <c r="B229" s="35"/>
      <c r="C229" s="23"/>
      <c r="D229" s="23"/>
      <c r="E229" s="23"/>
      <c r="F229" s="23"/>
      <c r="G229" s="23"/>
      <c r="H229" s="24"/>
      <c r="I229" s="23"/>
      <c r="J229" s="23"/>
      <c r="K229" s="24"/>
      <c r="L229" s="23"/>
      <c r="M229" s="23"/>
    </row>
    <row r="230" spans="1:13" ht="14.45">
      <c r="A230" s="23"/>
      <c r="B230" s="35"/>
      <c r="C230" s="23"/>
      <c r="D230" s="23"/>
      <c r="E230" s="23"/>
      <c r="F230" s="23"/>
      <c r="G230" s="23"/>
      <c r="H230" s="24"/>
      <c r="I230" s="23"/>
      <c r="J230" s="23"/>
      <c r="K230" s="24"/>
      <c r="L230" s="23"/>
      <c r="M230" s="23"/>
    </row>
    <row r="231" spans="1:13" ht="14.45">
      <c r="A231" s="23"/>
      <c r="B231" s="35"/>
      <c r="C231" s="23"/>
      <c r="D231" s="23"/>
      <c r="E231" s="23"/>
      <c r="F231" s="23"/>
      <c r="G231" s="23"/>
      <c r="H231" s="24"/>
      <c r="I231" s="23"/>
      <c r="J231" s="23"/>
      <c r="K231" s="24"/>
      <c r="L231" s="23"/>
      <c r="M231" s="23"/>
    </row>
    <row r="232" spans="1:13" ht="14.45">
      <c r="A232" s="23"/>
      <c r="B232" s="35"/>
      <c r="C232" s="23"/>
      <c r="D232" s="23"/>
      <c r="E232" s="23"/>
      <c r="F232" s="23"/>
      <c r="G232" s="23"/>
      <c r="H232" s="24"/>
      <c r="I232" s="23"/>
      <c r="J232" s="23"/>
      <c r="K232" s="24"/>
      <c r="L232" s="23"/>
      <c r="M232" s="23"/>
    </row>
    <row r="233" spans="1:13" ht="14.45">
      <c r="A233" s="23"/>
      <c r="B233" s="35"/>
      <c r="C233" s="23"/>
      <c r="D233" s="23"/>
      <c r="E233" s="23"/>
      <c r="F233" s="23"/>
      <c r="G233" s="23"/>
      <c r="H233" s="24"/>
      <c r="I233" s="23"/>
      <c r="J233" s="23"/>
      <c r="K233" s="24"/>
      <c r="L233" s="23"/>
      <c r="M233" s="23"/>
    </row>
    <row r="234" spans="1:13" ht="14.45">
      <c r="A234" s="23"/>
      <c r="B234" s="35"/>
      <c r="C234" s="23"/>
      <c r="D234" s="23"/>
      <c r="E234" s="23"/>
      <c r="F234" s="23"/>
      <c r="G234" s="23"/>
      <c r="H234" s="24"/>
      <c r="I234" s="23"/>
      <c r="J234" s="23"/>
      <c r="K234" s="24"/>
      <c r="L234" s="23"/>
      <c r="M234" s="23"/>
    </row>
    <row r="235" spans="1:13" ht="14.45">
      <c r="A235" s="23"/>
      <c r="B235" s="35"/>
      <c r="C235" s="23"/>
      <c r="D235" s="23"/>
      <c r="E235" s="23"/>
      <c r="F235" s="23"/>
      <c r="G235" s="23"/>
      <c r="H235" s="24"/>
      <c r="I235" s="23"/>
      <c r="J235" s="23"/>
      <c r="K235" s="24"/>
      <c r="L235" s="23"/>
      <c r="M235" s="23"/>
    </row>
    <row r="236" spans="1:13" ht="14.45">
      <c r="A236" s="23"/>
      <c r="B236" s="35"/>
      <c r="C236" s="23"/>
      <c r="D236" s="23"/>
      <c r="E236" s="23"/>
      <c r="F236" s="23"/>
      <c r="G236" s="23"/>
      <c r="H236" s="24"/>
      <c r="I236" s="23"/>
      <c r="J236" s="23"/>
      <c r="K236" s="24"/>
      <c r="L236" s="23"/>
      <c r="M236" s="23"/>
    </row>
    <row r="237" spans="1:13" ht="14.45">
      <c r="A237" s="23"/>
      <c r="B237" s="35"/>
      <c r="C237" s="23"/>
      <c r="D237" s="23"/>
      <c r="E237" s="23"/>
      <c r="F237" s="23"/>
      <c r="G237" s="23"/>
      <c r="H237" s="24"/>
      <c r="I237" s="23"/>
      <c r="J237" s="23"/>
      <c r="K237" s="24"/>
      <c r="L237" s="23"/>
      <c r="M237" s="23"/>
    </row>
    <row r="238" spans="1:13" ht="14.45">
      <c r="A238" s="23"/>
      <c r="B238" s="35"/>
      <c r="C238" s="23"/>
      <c r="D238" s="23"/>
      <c r="E238" s="23"/>
      <c r="F238" s="23"/>
      <c r="G238" s="23"/>
      <c r="H238" s="24"/>
      <c r="I238" s="23"/>
      <c r="J238" s="23"/>
      <c r="K238" s="24"/>
      <c r="L238" s="23"/>
      <c r="M238" s="23"/>
    </row>
    <row r="239" spans="1:13" ht="14.45">
      <c r="A239" s="23"/>
      <c r="B239" s="35"/>
      <c r="C239" s="23"/>
      <c r="D239" s="23"/>
      <c r="E239" s="23"/>
      <c r="F239" s="23"/>
      <c r="G239" s="23"/>
      <c r="H239" s="24"/>
      <c r="I239" s="23"/>
      <c r="J239" s="23"/>
      <c r="K239" s="24"/>
      <c r="L239" s="23"/>
      <c r="M239" s="23"/>
    </row>
    <row r="240" spans="1:13" ht="14.45">
      <c r="A240" s="23"/>
      <c r="B240" s="35"/>
      <c r="C240" s="23"/>
      <c r="D240" s="23"/>
      <c r="E240" s="23"/>
      <c r="F240" s="23"/>
      <c r="G240" s="23"/>
      <c r="H240" s="24"/>
      <c r="I240" s="23"/>
      <c r="J240" s="23"/>
      <c r="K240" s="24"/>
      <c r="L240" s="23"/>
      <c r="M240" s="23"/>
    </row>
    <row r="241" spans="1:13" ht="14.45">
      <c r="A241" s="23"/>
      <c r="B241" s="35"/>
      <c r="C241" s="23"/>
      <c r="D241" s="23"/>
      <c r="E241" s="23"/>
      <c r="F241" s="23"/>
      <c r="G241" s="23"/>
      <c r="H241" s="24"/>
      <c r="I241" s="23"/>
      <c r="J241" s="23"/>
      <c r="K241" s="24"/>
      <c r="L241" s="23"/>
      <c r="M241" s="23"/>
    </row>
    <row r="242" spans="1:13" ht="14.45">
      <c r="A242" s="23"/>
      <c r="B242" s="35"/>
      <c r="C242" s="23"/>
      <c r="D242" s="23"/>
      <c r="E242" s="23"/>
      <c r="F242" s="23"/>
      <c r="G242" s="23"/>
      <c r="H242" s="24"/>
      <c r="I242" s="23"/>
      <c r="J242" s="23"/>
      <c r="K242" s="24"/>
      <c r="L242" s="23"/>
      <c r="M242" s="23"/>
    </row>
    <row r="243" spans="1:13" ht="14.45">
      <c r="A243" s="23"/>
      <c r="B243" s="35"/>
      <c r="C243" s="23"/>
      <c r="D243" s="23"/>
      <c r="E243" s="23"/>
      <c r="F243" s="23"/>
      <c r="G243" s="23"/>
      <c r="H243" s="24"/>
      <c r="I243" s="23"/>
      <c r="J243" s="23"/>
      <c r="K243" s="24"/>
      <c r="L243" s="23"/>
      <c r="M243" s="23"/>
    </row>
    <row r="244" spans="1:13" ht="14.45">
      <c r="A244" s="23"/>
      <c r="B244" s="35"/>
      <c r="C244" s="23"/>
      <c r="D244" s="23"/>
      <c r="E244" s="23"/>
      <c r="F244" s="23"/>
      <c r="G244" s="23"/>
      <c r="H244" s="24"/>
      <c r="I244" s="23"/>
      <c r="J244" s="23"/>
      <c r="K244" s="24"/>
      <c r="L244" s="23"/>
      <c r="M244" s="23"/>
    </row>
    <row r="245" spans="1:13" ht="14.45">
      <c r="A245" s="23"/>
      <c r="B245" s="35"/>
      <c r="C245" s="23"/>
      <c r="D245" s="23"/>
      <c r="E245" s="23"/>
      <c r="F245" s="23"/>
      <c r="G245" s="23"/>
      <c r="H245" s="24"/>
      <c r="I245" s="23"/>
      <c r="J245" s="23"/>
      <c r="K245" s="24"/>
      <c r="L245" s="23"/>
      <c r="M245" s="23"/>
    </row>
    <row r="246" spans="1:13" ht="14.45">
      <c r="A246" s="23"/>
      <c r="B246" s="35"/>
      <c r="C246" s="23"/>
      <c r="D246" s="23"/>
      <c r="E246" s="23"/>
      <c r="F246" s="23"/>
      <c r="G246" s="23"/>
      <c r="H246" s="24"/>
      <c r="I246" s="23"/>
      <c r="J246" s="23"/>
      <c r="K246" s="24"/>
      <c r="L246" s="23"/>
      <c r="M246" s="23"/>
    </row>
    <row r="247" spans="1:13" ht="14.45">
      <c r="A247" s="23"/>
      <c r="B247" s="35"/>
      <c r="C247" s="23"/>
      <c r="D247" s="23"/>
      <c r="E247" s="23"/>
      <c r="F247" s="23"/>
      <c r="G247" s="23"/>
      <c r="H247" s="24"/>
      <c r="I247" s="23"/>
      <c r="J247" s="23"/>
      <c r="K247" s="24"/>
      <c r="L247" s="23"/>
      <c r="M247" s="23"/>
    </row>
    <row r="248" spans="1:13" ht="14.45">
      <c r="A248" s="23"/>
      <c r="B248" s="35"/>
      <c r="C248" s="23"/>
      <c r="D248" s="23"/>
      <c r="E248" s="23"/>
      <c r="F248" s="23"/>
      <c r="G248" s="23"/>
      <c r="H248" s="24"/>
      <c r="I248" s="23"/>
      <c r="J248" s="23"/>
      <c r="K248" s="24"/>
      <c r="L248" s="23"/>
      <c r="M248" s="23"/>
    </row>
    <row r="249" spans="1:13" ht="14.45">
      <c r="A249" s="23"/>
      <c r="B249" s="35"/>
      <c r="C249" s="23"/>
      <c r="D249" s="23"/>
      <c r="E249" s="23"/>
      <c r="F249" s="23"/>
      <c r="G249" s="23"/>
      <c r="H249" s="24"/>
      <c r="I249" s="23"/>
      <c r="J249" s="23"/>
      <c r="K249" s="24"/>
      <c r="L249" s="23"/>
      <c r="M249" s="23"/>
    </row>
    <row r="250" spans="1:13" ht="14.45">
      <c r="A250" s="23"/>
      <c r="B250" s="35"/>
      <c r="C250" s="23"/>
      <c r="D250" s="23"/>
      <c r="E250" s="23"/>
      <c r="F250" s="23"/>
      <c r="G250" s="23"/>
      <c r="H250" s="24"/>
      <c r="I250" s="23"/>
      <c r="J250" s="23"/>
      <c r="K250" s="24"/>
      <c r="L250" s="23"/>
      <c r="M250" s="23"/>
    </row>
    <row r="251" spans="1:13" ht="14.45">
      <c r="A251" s="23"/>
      <c r="B251" s="35"/>
      <c r="C251" s="23"/>
      <c r="D251" s="23"/>
      <c r="E251" s="23"/>
      <c r="F251" s="23"/>
      <c r="G251" s="23"/>
      <c r="H251" s="24"/>
      <c r="I251" s="23"/>
      <c r="J251" s="23"/>
      <c r="K251" s="24"/>
      <c r="L251" s="23"/>
      <c r="M251" s="23"/>
    </row>
    <row r="252" spans="1:13" ht="14.45">
      <c r="A252" s="23"/>
      <c r="B252" s="35"/>
      <c r="C252" s="23"/>
      <c r="D252" s="23"/>
      <c r="E252" s="23"/>
      <c r="F252" s="23"/>
      <c r="G252" s="23"/>
      <c r="H252" s="24"/>
      <c r="I252" s="23"/>
      <c r="J252" s="23"/>
      <c r="K252" s="24"/>
      <c r="L252" s="23"/>
      <c r="M252" s="23"/>
    </row>
    <row r="253" spans="1:13" ht="14.45">
      <c r="A253" s="23"/>
      <c r="B253" s="35"/>
      <c r="C253" s="23"/>
      <c r="D253" s="23"/>
      <c r="E253" s="23"/>
      <c r="F253" s="23"/>
      <c r="G253" s="23"/>
      <c r="H253" s="24"/>
      <c r="I253" s="23"/>
      <c r="J253" s="23"/>
      <c r="K253" s="24"/>
      <c r="L253" s="23"/>
      <c r="M253" s="23"/>
    </row>
    <row r="254" spans="1:13" ht="14.45">
      <c r="A254" s="23"/>
      <c r="B254" s="35"/>
      <c r="C254" s="23"/>
      <c r="D254" s="23"/>
      <c r="E254" s="23"/>
      <c r="F254" s="23"/>
      <c r="G254" s="23"/>
      <c r="H254" s="24"/>
      <c r="I254" s="23"/>
      <c r="J254" s="23"/>
      <c r="K254" s="24"/>
      <c r="L254" s="23"/>
      <c r="M254" s="23"/>
    </row>
    <row r="255" spans="1:13" ht="14.45">
      <c r="A255" s="23"/>
      <c r="B255" s="35"/>
      <c r="C255" s="23"/>
      <c r="D255" s="23"/>
      <c r="E255" s="23"/>
      <c r="F255" s="23"/>
      <c r="G255" s="23"/>
      <c r="H255" s="24"/>
      <c r="I255" s="23"/>
      <c r="J255" s="23"/>
      <c r="K255" s="24"/>
      <c r="L255" s="23"/>
      <c r="M255" s="23"/>
    </row>
    <row r="256" spans="1:13" ht="14.45">
      <c r="A256" s="23"/>
      <c r="B256" s="35"/>
      <c r="C256" s="23"/>
      <c r="D256" s="23"/>
      <c r="E256" s="23"/>
      <c r="F256" s="23"/>
      <c r="G256" s="23"/>
      <c r="H256" s="24"/>
      <c r="I256" s="23"/>
      <c r="J256" s="23"/>
      <c r="K256" s="24"/>
      <c r="L256" s="23"/>
      <c r="M256" s="23"/>
    </row>
    <row r="257" spans="1:13" ht="14.45">
      <c r="A257" s="23"/>
      <c r="B257" s="35"/>
      <c r="C257" s="23"/>
      <c r="D257" s="23"/>
      <c r="E257" s="23"/>
      <c r="F257" s="23"/>
      <c r="G257" s="23"/>
      <c r="H257" s="24"/>
      <c r="I257" s="23"/>
      <c r="J257" s="23"/>
      <c r="K257" s="24"/>
      <c r="L257" s="23"/>
      <c r="M257" s="23"/>
    </row>
    <row r="258" spans="1:13" ht="14.45">
      <c r="A258" s="23"/>
      <c r="B258" s="35"/>
      <c r="C258" s="23"/>
      <c r="D258" s="23"/>
      <c r="E258" s="23"/>
      <c r="F258" s="23"/>
      <c r="G258" s="23"/>
      <c r="H258" s="24"/>
      <c r="I258" s="23"/>
      <c r="J258" s="23"/>
      <c r="K258" s="24"/>
      <c r="L258" s="23"/>
      <c r="M258" s="23"/>
    </row>
    <row r="259" spans="1:13" ht="14.45">
      <c r="A259" s="23"/>
      <c r="B259" s="35"/>
      <c r="C259" s="23"/>
      <c r="D259" s="23"/>
      <c r="E259" s="23"/>
      <c r="F259" s="23"/>
      <c r="G259" s="23"/>
      <c r="H259" s="24"/>
      <c r="I259" s="23"/>
      <c r="J259" s="23"/>
      <c r="K259" s="24"/>
      <c r="L259" s="23"/>
      <c r="M259" s="23"/>
    </row>
    <row r="260" spans="1:13" ht="14.45">
      <c r="A260" s="23"/>
      <c r="B260" s="35"/>
      <c r="C260" s="23"/>
      <c r="D260" s="23"/>
      <c r="E260" s="23"/>
      <c r="F260" s="23"/>
      <c r="G260" s="23"/>
      <c r="H260" s="24"/>
      <c r="I260" s="23"/>
      <c r="J260" s="23"/>
      <c r="K260" s="24"/>
      <c r="L260" s="23"/>
      <c r="M260" s="23"/>
    </row>
    <row r="261" spans="1:13" ht="14.45">
      <c r="A261" s="23"/>
      <c r="B261" s="35"/>
      <c r="C261" s="23"/>
      <c r="D261" s="23"/>
      <c r="E261" s="23"/>
      <c r="F261" s="23"/>
      <c r="G261" s="23"/>
      <c r="H261" s="24"/>
      <c r="I261" s="23"/>
      <c r="J261" s="23"/>
      <c r="K261" s="24"/>
      <c r="L261" s="23"/>
      <c r="M261" s="23"/>
    </row>
    <row r="262" spans="1:13" ht="14.45">
      <c r="A262" s="23"/>
      <c r="B262" s="35"/>
      <c r="C262" s="23"/>
      <c r="D262" s="23"/>
      <c r="E262" s="23"/>
      <c r="F262" s="23"/>
      <c r="G262" s="23"/>
      <c r="H262" s="24"/>
      <c r="I262" s="23"/>
      <c r="J262" s="23"/>
      <c r="K262" s="24"/>
      <c r="L262" s="23"/>
      <c r="M262" s="23"/>
    </row>
    <row r="263" spans="1:13" ht="14.45">
      <c r="A263" s="23"/>
      <c r="B263" s="35"/>
      <c r="C263" s="23"/>
      <c r="D263" s="23"/>
      <c r="E263" s="23"/>
      <c r="F263" s="23"/>
      <c r="G263" s="23"/>
      <c r="H263" s="24"/>
      <c r="I263" s="23"/>
      <c r="J263" s="23"/>
      <c r="K263" s="24"/>
      <c r="L263" s="23"/>
      <c r="M263" s="23"/>
    </row>
    <row r="264" spans="1:13" ht="14.45">
      <c r="A264" s="23"/>
      <c r="B264" s="35"/>
      <c r="C264" s="23"/>
      <c r="D264" s="23"/>
      <c r="E264" s="23"/>
      <c r="F264" s="23"/>
      <c r="G264" s="23"/>
      <c r="H264" s="24"/>
      <c r="I264" s="23"/>
      <c r="J264" s="23"/>
      <c r="K264" s="24"/>
      <c r="L264" s="23"/>
      <c r="M264" s="23"/>
    </row>
    <row r="265" spans="1:13" ht="14.45">
      <c r="A265" s="23"/>
      <c r="B265" s="35"/>
      <c r="C265" s="23"/>
      <c r="D265" s="23"/>
      <c r="E265" s="23"/>
      <c r="F265" s="23"/>
      <c r="G265" s="23"/>
      <c r="H265" s="24"/>
      <c r="I265" s="23"/>
      <c r="J265" s="23"/>
      <c r="K265" s="24"/>
      <c r="L265" s="23"/>
      <c r="M265" s="23"/>
    </row>
    <row r="266" spans="1:13" ht="14.45">
      <c r="A266" s="23"/>
      <c r="B266" s="35"/>
      <c r="C266" s="23"/>
      <c r="D266" s="23"/>
      <c r="E266" s="23"/>
      <c r="F266" s="23"/>
      <c r="G266" s="23"/>
      <c r="H266" s="24"/>
      <c r="I266" s="23"/>
      <c r="J266" s="23"/>
      <c r="K266" s="24"/>
      <c r="L266" s="23"/>
      <c r="M266" s="23"/>
    </row>
    <row r="267" spans="1:13" ht="14.45">
      <c r="A267" s="23"/>
      <c r="B267" s="35"/>
      <c r="C267" s="23"/>
      <c r="D267" s="23"/>
      <c r="E267" s="23"/>
      <c r="F267" s="23"/>
      <c r="G267" s="23"/>
      <c r="H267" s="24"/>
      <c r="I267" s="23"/>
      <c r="J267" s="23"/>
      <c r="K267" s="24"/>
      <c r="L267" s="23"/>
      <c r="M267" s="23"/>
    </row>
    <row r="268" spans="1:13" ht="14.45">
      <c r="A268" s="23"/>
      <c r="B268" s="35"/>
      <c r="C268" s="23"/>
      <c r="D268" s="23"/>
      <c r="E268" s="23"/>
      <c r="F268" s="23"/>
      <c r="G268" s="23"/>
      <c r="H268" s="24"/>
      <c r="I268" s="23"/>
      <c r="J268" s="23"/>
      <c r="K268" s="24"/>
      <c r="L268" s="23"/>
      <c r="M268" s="23"/>
    </row>
    <row r="269" spans="1:13" ht="14.45">
      <c r="A269" s="23"/>
      <c r="B269" s="35"/>
      <c r="C269" s="23"/>
      <c r="D269" s="23"/>
      <c r="E269" s="23"/>
      <c r="F269" s="23"/>
      <c r="G269" s="23"/>
      <c r="H269" s="24"/>
      <c r="I269" s="23"/>
      <c r="J269" s="23"/>
      <c r="K269" s="24"/>
      <c r="L269" s="23"/>
      <c r="M269" s="23"/>
    </row>
    <row r="270" spans="1:13" ht="14.45">
      <c r="A270" s="23"/>
      <c r="B270" s="35"/>
      <c r="C270" s="23"/>
      <c r="D270" s="23"/>
      <c r="E270" s="23"/>
      <c r="F270" s="23"/>
      <c r="G270" s="23"/>
      <c r="H270" s="24"/>
      <c r="I270" s="23"/>
      <c r="J270" s="23"/>
      <c r="K270" s="24"/>
      <c r="L270" s="23"/>
      <c r="M270" s="23"/>
    </row>
    <row r="271" spans="1:13" ht="14.45">
      <c r="A271" s="23"/>
      <c r="B271" s="35"/>
      <c r="C271" s="23"/>
      <c r="D271" s="23"/>
      <c r="E271" s="23"/>
      <c r="F271" s="23"/>
      <c r="G271" s="23"/>
      <c r="H271" s="24"/>
      <c r="I271" s="23"/>
      <c r="J271" s="23"/>
      <c r="K271" s="24"/>
      <c r="L271" s="23"/>
      <c r="M271" s="23"/>
    </row>
    <row r="272" spans="1:13" ht="14.45">
      <c r="A272" s="23"/>
      <c r="B272" s="35"/>
      <c r="C272" s="23"/>
      <c r="D272" s="23"/>
      <c r="E272" s="23"/>
      <c r="F272" s="23"/>
      <c r="G272" s="23"/>
      <c r="H272" s="24"/>
      <c r="I272" s="23"/>
      <c r="J272" s="23"/>
      <c r="K272" s="24"/>
      <c r="L272" s="23"/>
      <c r="M272" s="23"/>
    </row>
    <row r="273" spans="1:13" ht="14.45">
      <c r="A273" s="23"/>
      <c r="B273" s="35"/>
      <c r="C273" s="23"/>
      <c r="D273" s="23"/>
      <c r="E273" s="23"/>
      <c r="F273" s="23"/>
      <c r="G273" s="23"/>
      <c r="H273" s="24"/>
      <c r="I273" s="23"/>
      <c r="J273" s="23"/>
      <c r="K273" s="24"/>
      <c r="L273" s="23"/>
      <c r="M273" s="23"/>
    </row>
    <row r="274" spans="1:13" ht="14.45">
      <c r="A274" s="23"/>
      <c r="B274" s="35"/>
      <c r="C274" s="23"/>
      <c r="D274" s="23"/>
      <c r="E274" s="23"/>
      <c r="F274" s="23"/>
      <c r="G274" s="23"/>
      <c r="H274" s="24"/>
      <c r="I274" s="23"/>
      <c r="J274" s="23"/>
      <c r="K274" s="24"/>
      <c r="L274" s="23"/>
      <c r="M274" s="23"/>
    </row>
    <row r="275" spans="1:13" ht="14.45">
      <c r="A275" s="23"/>
      <c r="B275" s="35"/>
      <c r="C275" s="23"/>
      <c r="D275" s="23"/>
      <c r="E275" s="23"/>
      <c r="F275" s="23"/>
      <c r="G275" s="23"/>
      <c r="H275" s="24"/>
      <c r="I275" s="23"/>
      <c r="J275" s="23"/>
      <c r="K275" s="24"/>
      <c r="L275" s="23"/>
      <c r="M275" s="23"/>
    </row>
    <row r="276" spans="1:13" ht="14.45">
      <c r="A276" s="23"/>
      <c r="B276" s="35"/>
      <c r="C276" s="23"/>
      <c r="D276" s="23"/>
      <c r="E276" s="23"/>
      <c r="F276" s="23"/>
      <c r="G276" s="23"/>
      <c r="H276" s="24"/>
      <c r="I276" s="23"/>
      <c r="J276" s="23"/>
      <c r="K276" s="24"/>
      <c r="L276" s="23"/>
      <c r="M276" s="23"/>
    </row>
    <row r="277" spans="1:13" ht="14.45">
      <c r="A277" s="23"/>
      <c r="B277" s="35"/>
      <c r="C277" s="23"/>
      <c r="D277" s="23"/>
      <c r="E277" s="23"/>
      <c r="F277" s="23"/>
      <c r="G277" s="23"/>
      <c r="H277" s="24"/>
      <c r="I277" s="23"/>
      <c r="J277" s="23"/>
      <c r="K277" s="24"/>
      <c r="L277" s="23"/>
      <c r="M277" s="23"/>
    </row>
    <row r="278" spans="1:13" ht="14.45">
      <c r="A278" s="23"/>
      <c r="B278" s="35"/>
      <c r="C278" s="23"/>
      <c r="D278" s="23"/>
      <c r="E278" s="23"/>
      <c r="F278" s="23"/>
      <c r="G278" s="23"/>
      <c r="H278" s="24"/>
      <c r="I278" s="23"/>
      <c r="J278" s="23"/>
      <c r="K278" s="24"/>
      <c r="L278" s="23"/>
      <c r="M278" s="23"/>
    </row>
    <row r="279" spans="1:13" ht="14.45">
      <c r="A279" s="23"/>
      <c r="B279" s="35"/>
      <c r="C279" s="23"/>
      <c r="D279" s="23"/>
      <c r="E279" s="23"/>
      <c r="F279" s="23"/>
      <c r="G279" s="23"/>
      <c r="H279" s="24"/>
      <c r="I279" s="23"/>
      <c r="J279" s="23"/>
      <c r="K279" s="24"/>
      <c r="L279" s="23"/>
      <c r="M279" s="23"/>
    </row>
    <row r="280" spans="1:13" ht="14.45">
      <c r="A280" s="23"/>
      <c r="B280" s="35"/>
      <c r="C280" s="23"/>
      <c r="D280" s="23"/>
      <c r="E280" s="23"/>
      <c r="F280" s="23"/>
      <c r="G280" s="23"/>
      <c r="H280" s="24"/>
      <c r="I280" s="23"/>
      <c r="J280" s="23"/>
      <c r="K280" s="24"/>
      <c r="L280" s="23"/>
      <c r="M280" s="23"/>
    </row>
    <row r="281" spans="1:13" ht="14.45">
      <c r="A281" s="23"/>
      <c r="B281" s="35"/>
      <c r="C281" s="23"/>
      <c r="D281" s="23"/>
      <c r="E281" s="23"/>
      <c r="F281" s="23"/>
      <c r="G281" s="23"/>
      <c r="H281" s="24"/>
      <c r="I281" s="23"/>
      <c r="J281" s="23"/>
      <c r="K281" s="24"/>
      <c r="L281" s="23"/>
      <c r="M281" s="23"/>
    </row>
    <row r="282" spans="1:13" ht="14.45">
      <c r="A282" s="23"/>
      <c r="B282" s="35"/>
      <c r="C282" s="23"/>
      <c r="D282" s="23"/>
      <c r="E282" s="23"/>
      <c r="F282" s="23"/>
      <c r="G282" s="23"/>
      <c r="H282" s="24"/>
      <c r="I282" s="23"/>
      <c r="J282" s="23"/>
      <c r="K282" s="24"/>
      <c r="L282" s="23"/>
      <c r="M282" s="23"/>
    </row>
    <row r="283" spans="1:13" ht="14.45">
      <c r="A283" s="23"/>
      <c r="B283" s="35"/>
      <c r="C283" s="23"/>
      <c r="D283" s="23"/>
      <c r="E283" s="23"/>
      <c r="F283" s="23"/>
      <c r="G283" s="23"/>
      <c r="H283" s="24"/>
      <c r="I283" s="23"/>
      <c r="J283" s="23"/>
      <c r="K283" s="24"/>
      <c r="L283" s="23"/>
      <c r="M283" s="23"/>
    </row>
    <row r="284" spans="1:13" ht="14.45">
      <c r="A284" s="23"/>
      <c r="B284" s="35"/>
      <c r="C284" s="23"/>
      <c r="D284" s="23"/>
      <c r="E284" s="23"/>
      <c r="F284" s="23"/>
      <c r="G284" s="23"/>
      <c r="H284" s="24"/>
      <c r="I284" s="23"/>
      <c r="J284" s="23"/>
      <c r="K284" s="24"/>
      <c r="L284" s="23"/>
      <c r="M284" s="23"/>
    </row>
    <row r="285" spans="1:13" ht="14.45">
      <c r="A285" s="23"/>
      <c r="B285" s="35"/>
      <c r="C285" s="23"/>
      <c r="D285" s="23"/>
      <c r="E285" s="23"/>
      <c r="F285" s="23"/>
      <c r="G285" s="23"/>
      <c r="H285" s="24"/>
      <c r="I285" s="23"/>
      <c r="J285" s="23"/>
      <c r="K285" s="24"/>
      <c r="L285" s="23"/>
      <c r="M285" s="23"/>
    </row>
    <row r="286" spans="1:13" ht="14.45">
      <c r="A286" s="23"/>
      <c r="B286" s="35"/>
      <c r="C286" s="23"/>
      <c r="D286" s="23"/>
      <c r="E286" s="23"/>
      <c r="F286" s="23"/>
      <c r="G286" s="23"/>
      <c r="H286" s="24"/>
      <c r="I286" s="23"/>
      <c r="J286" s="23"/>
      <c r="K286" s="24"/>
      <c r="L286" s="23"/>
      <c r="M286" s="23"/>
    </row>
    <row r="287" spans="1:13" ht="14.45">
      <c r="A287" s="23"/>
      <c r="B287" s="35"/>
      <c r="C287" s="23"/>
      <c r="D287" s="23"/>
      <c r="E287" s="23"/>
      <c r="F287" s="23"/>
      <c r="G287" s="23"/>
      <c r="H287" s="24"/>
      <c r="I287" s="23"/>
      <c r="J287" s="23"/>
      <c r="K287" s="24"/>
      <c r="L287" s="23"/>
      <c r="M287" s="23"/>
    </row>
    <row r="288" spans="1:13" ht="14.45">
      <c r="A288" s="23"/>
      <c r="B288" s="35"/>
      <c r="C288" s="23"/>
      <c r="D288" s="23"/>
      <c r="E288" s="23"/>
      <c r="F288" s="23"/>
      <c r="G288" s="23"/>
      <c r="H288" s="24"/>
      <c r="I288" s="23"/>
      <c r="J288" s="23"/>
      <c r="K288" s="24"/>
      <c r="L288" s="23"/>
      <c r="M288" s="23"/>
    </row>
    <row r="289" spans="1:13" ht="14.45">
      <c r="A289" s="23"/>
      <c r="B289" s="35"/>
      <c r="C289" s="23"/>
      <c r="D289" s="23"/>
      <c r="E289" s="23"/>
      <c r="F289" s="23"/>
      <c r="G289" s="23"/>
      <c r="H289" s="24"/>
      <c r="I289" s="23"/>
      <c r="J289" s="23"/>
      <c r="K289" s="24"/>
      <c r="L289" s="23"/>
      <c r="M289" s="23"/>
    </row>
    <row r="290" spans="1:13" ht="14.45">
      <c r="A290" s="23"/>
      <c r="B290" s="35"/>
      <c r="C290" s="23"/>
      <c r="D290" s="23"/>
      <c r="E290" s="23"/>
      <c r="F290" s="23"/>
      <c r="G290" s="23"/>
      <c r="H290" s="24"/>
      <c r="I290" s="23"/>
      <c r="J290" s="23"/>
      <c r="K290" s="24"/>
      <c r="L290" s="23"/>
      <c r="M290" s="23"/>
    </row>
    <row r="291" spans="1:13" ht="14.45">
      <c r="A291" s="23"/>
      <c r="B291" s="35"/>
      <c r="C291" s="23"/>
      <c r="D291" s="23"/>
      <c r="E291" s="23"/>
      <c r="F291" s="23"/>
      <c r="G291" s="23"/>
      <c r="H291" s="24"/>
      <c r="I291" s="23"/>
      <c r="J291" s="23"/>
      <c r="K291" s="24"/>
      <c r="L291" s="23"/>
      <c r="M291" s="23"/>
    </row>
    <row r="292" spans="1:13" ht="14.45">
      <c r="A292" s="23"/>
      <c r="B292" s="35"/>
      <c r="C292" s="23"/>
      <c r="D292" s="23"/>
      <c r="E292" s="23"/>
      <c r="F292" s="23"/>
      <c r="G292" s="23"/>
      <c r="H292" s="24"/>
      <c r="I292" s="23"/>
      <c r="J292" s="23"/>
      <c r="K292" s="24"/>
      <c r="L292" s="23"/>
      <c r="M292" s="23"/>
    </row>
    <row r="293" spans="1:13" ht="14.45">
      <c r="A293" s="23"/>
      <c r="B293" s="35"/>
      <c r="C293" s="23"/>
      <c r="D293" s="23"/>
      <c r="E293" s="23"/>
      <c r="F293" s="23"/>
      <c r="G293" s="23"/>
      <c r="H293" s="24"/>
      <c r="I293" s="23"/>
      <c r="J293" s="23"/>
      <c r="K293" s="24"/>
      <c r="L293" s="23"/>
      <c r="M293" s="23"/>
    </row>
    <row r="294" spans="1:13" ht="14.45">
      <c r="A294" s="23"/>
      <c r="B294" s="35"/>
      <c r="C294" s="23"/>
      <c r="D294" s="23"/>
      <c r="E294" s="23"/>
      <c r="F294" s="23"/>
      <c r="G294" s="23"/>
      <c r="H294" s="24"/>
      <c r="I294" s="23"/>
      <c r="J294" s="23"/>
      <c r="K294" s="24"/>
      <c r="L294" s="23"/>
      <c r="M294" s="23"/>
    </row>
    <row r="295" spans="1:13" ht="14.45">
      <c r="A295" s="23"/>
      <c r="B295" s="35"/>
      <c r="C295" s="23"/>
      <c r="D295" s="23"/>
      <c r="E295" s="23"/>
      <c r="F295" s="23"/>
      <c r="G295" s="23"/>
      <c r="H295" s="24"/>
      <c r="I295" s="23"/>
      <c r="J295" s="23"/>
      <c r="K295" s="24"/>
      <c r="L295" s="23"/>
      <c r="M295" s="23"/>
    </row>
    <row r="296" spans="1:13" ht="14.45">
      <c r="A296" s="23"/>
      <c r="B296" s="35"/>
      <c r="C296" s="23"/>
      <c r="D296" s="23"/>
      <c r="E296" s="23"/>
      <c r="F296" s="23"/>
      <c r="G296" s="23"/>
      <c r="H296" s="24"/>
      <c r="I296" s="23"/>
      <c r="J296" s="23"/>
      <c r="K296" s="24"/>
      <c r="L296" s="23"/>
      <c r="M296" s="23"/>
    </row>
    <row r="297" spans="1:13" ht="14.45">
      <c r="A297" s="23"/>
      <c r="B297" s="35"/>
      <c r="C297" s="23"/>
      <c r="D297" s="23"/>
      <c r="E297" s="23"/>
      <c r="F297" s="23"/>
      <c r="G297" s="23"/>
      <c r="H297" s="24"/>
      <c r="I297" s="23"/>
      <c r="J297" s="23"/>
      <c r="K297" s="24"/>
      <c r="L297" s="23"/>
      <c r="M297" s="23"/>
    </row>
    <row r="298" spans="1:13" ht="14.45">
      <c r="A298" s="23"/>
      <c r="B298" s="35"/>
      <c r="C298" s="23"/>
      <c r="D298" s="23"/>
      <c r="E298" s="23"/>
      <c r="F298" s="23"/>
      <c r="G298" s="23"/>
      <c r="H298" s="24"/>
      <c r="I298" s="23"/>
      <c r="J298" s="23"/>
      <c r="K298" s="24"/>
      <c r="L298" s="23"/>
      <c r="M298" s="23"/>
    </row>
    <row r="299" spans="1:13" ht="14.45">
      <c r="A299" s="23"/>
      <c r="B299" s="35"/>
      <c r="C299" s="23"/>
      <c r="D299" s="23"/>
      <c r="E299" s="23"/>
      <c r="F299" s="23"/>
      <c r="G299" s="23"/>
      <c r="H299" s="24"/>
      <c r="I299" s="23"/>
      <c r="J299" s="23"/>
      <c r="K299" s="24"/>
      <c r="L299" s="23"/>
      <c r="M299" s="23"/>
    </row>
    <row r="300" spans="1:13" ht="14.45">
      <c r="A300" s="23"/>
      <c r="B300" s="35"/>
      <c r="C300" s="23"/>
      <c r="D300" s="23"/>
      <c r="E300" s="23"/>
      <c r="F300" s="23"/>
      <c r="G300" s="23"/>
      <c r="H300" s="24"/>
      <c r="I300" s="23"/>
      <c r="J300" s="23"/>
      <c r="K300" s="24"/>
      <c r="L300" s="23"/>
      <c r="M300" s="23"/>
    </row>
    <row r="301" spans="1:13" ht="14.45">
      <c r="A301" s="23"/>
      <c r="B301" s="35"/>
      <c r="C301" s="23"/>
      <c r="D301" s="23"/>
      <c r="E301" s="23"/>
      <c r="F301" s="23"/>
      <c r="G301" s="23"/>
      <c r="H301" s="24"/>
      <c r="I301" s="23"/>
      <c r="J301" s="23"/>
      <c r="K301" s="24"/>
      <c r="L301" s="23"/>
      <c r="M301" s="23"/>
    </row>
    <row r="302" spans="1:13" ht="14.45">
      <c r="A302" s="23"/>
      <c r="B302" s="35"/>
      <c r="C302" s="23"/>
      <c r="D302" s="23"/>
      <c r="E302" s="23"/>
      <c r="F302" s="23"/>
      <c r="G302" s="23"/>
      <c r="H302" s="24"/>
      <c r="I302" s="23"/>
      <c r="J302" s="23"/>
      <c r="K302" s="24"/>
      <c r="L302" s="23"/>
      <c r="M302" s="23"/>
    </row>
    <row r="303" spans="1:13" ht="14.45">
      <c r="A303" s="23"/>
      <c r="B303" s="35"/>
      <c r="C303" s="23"/>
      <c r="D303" s="23"/>
      <c r="E303" s="23"/>
      <c r="F303" s="23"/>
      <c r="G303" s="23"/>
      <c r="H303" s="24"/>
      <c r="I303" s="23"/>
      <c r="J303" s="23"/>
      <c r="K303" s="24"/>
      <c r="L303" s="23"/>
      <c r="M303" s="23"/>
    </row>
    <row r="304" spans="1:13" ht="14.45">
      <c r="A304" s="23"/>
      <c r="B304" s="35"/>
      <c r="C304" s="23"/>
      <c r="D304" s="23"/>
      <c r="E304" s="23"/>
      <c r="F304" s="23"/>
      <c r="G304" s="23"/>
      <c r="H304" s="24"/>
      <c r="I304" s="23"/>
      <c r="J304" s="23"/>
      <c r="K304" s="24"/>
      <c r="L304" s="23"/>
      <c r="M304" s="23"/>
    </row>
    <row r="305" spans="1:13" ht="14.45">
      <c r="A305" s="23"/>
      <c r="B305" s="35"/>
      <c r="C305" s="23"/>
      <c r="D305" s="23"/>
      <c r="E305" s="23"/>
      <c r="F305" s="23"/>
      <c r="G305" s="23"/>
      <c r="H305" s="24"/>
      <c r="I305" s="23"/>
      <c r="J305" s="23"/>
      <c r="K305" s="24"/>
      <c r="L305" s="23"/>
      <c r="M305" s="23"/>
    </row>
    <row r="306" spans="1:13" ht="14.45">
      <c r="A306" s="23"/>
      <c r="B306" s="35"/>
      <c r="C306" s="23"/>
      <c r="D306" s="23"/>
      <c r="E306" s="23"/>
      <c r="F306" s="23"/>
      <c r="G306" s="23"/>
      <c r="H306" s="24"/>
      <c r="I306" s="23"/>
      <c r="J306" s="23"/>
      <c r="K306" s="24"/>
      <c r="L306" s="23"/>
      <c r="M306" s="23"/>
    </row>
    <row r="307" spans="1:13" ht="14.45">
      <c r="A307" s="23"/>
      <c r="B307" s="35"/>
      <c r="C307" s="23"/>
      <c r="D307" s="23"/>
      <c r="E307" s="23"/>
      <c r="F307" s="23"/>
      <c r="G307" s="23"/>
      <c r="H307" s="24"/>
      <c r="I307" s="23"/>
      <c r="J307" s="23"/>
      <c r="K307" s="24"/>
      <c r="L307" s="23"/>
      <c r="M307" s="23"/>
    </row>
    <row r="308" spans="1:13" ht="14.45">
      <c r="A308" s="23"/>
      <c r="B308" s="35"/>
      <c r="C308" s="23"/>
      <c r="D308" s="23"/>
      <c r="E308" s="23"/>
      <c r="F308" s="23"/>
      <c r="G308" s="23"/>
      <c r="H308" s="24"/>
      <c r="I308" s="23"/>
      <c r="J308" s="23"/>
      <c r="K308" s="24"/>
      <c r="L308" s="23"/>
      <c r="M308" s="23"/>
    </row>
    <row r="309" spans="1:13" ht="14.45">
      <c r="A309" s="23"/>
      <c r="B309" s="35"/>
      <c r="C309" s="23"/>
      <c r="D309" s="23"/>
      <c r="E309" s="23"/>
      <c r="F309" s="23"/>
      <c r="G309" s="23"/>
      <c r="H309" s="24"/>
      <c r="I309" s="23"/>
      <c r="J309" s="23"/>
      <c r="K309" s="24"/>
      <c r="L309" s="23"/>
      <c r="M309" s="23"/>
    </row>
    <row r="310" spans="1:13" ht="14.45">
      <c r="A310" s="23"/>
      <c r="B310" s="35"/>
      <c r="C310" s="23"/>
      <c r="D310" s="23"/>
      <c r="E310" s="23"/>
      <c r="F310" s="23"/>
      <c r="G310" s="23"/>
      <c r="H310" s="24"/>
      <c r="I310" s="23"/>
      <c r="J310" s="23"/>
      <c r="K310" s="24"/>
      <c r="L310" s="23"/>
      <c r="M310" s="23"/>
    </row>
    <row r="311" spans="1:13" ht="14.45">
      <c r="A311" s="23"/>
      <c r="B311" s="35"/>
      <c r="C311" s="23"/>
      <c r="D311" s="23"/>
      <c r="E311" s="23"/>
      <c r="F311" s="23"/>
      <c r="G311" s="23"/>
      <c r="H311" s="24"/>
      <c r="I311" s="23"/>
      <c r="J311" s="23"/>
      <c r="K311" s="24"/>
      <c r="L311" s="23"/>
      <c r="M311" s="23"/>
    </row>
    <row r="312" spans="1:13" ht="14.45">
      <c r="A312" s="23"/>
      <c r="B312" s="35"/>
      <c r="C312" s="23"/>
      <c r="D312" s="23"/>
      <c r="E312" s="23"/>
      <c r="F312" s="23"/>
      <c r="G312" s="23"/>
      <c r="H312" s="24"/>
      <c r="I312" s="23"/>
      <c r="J312" s="23"/>
      <c r="K312" s="24"/>
      <c r="L312" s="23"/>
      <c r="M312" s="23"/>
    </row>
    <row r="313" spans="1:13" ht="14.45">
      <c r="A313" s="23"/>
      <c r="B313" s="35"/>
      <c r="C313" s="23"/>
      <c r="D313" s="23"/>
      <c r="E313" s="23"/>
      <c r="F313" s="23"/>
      <c r="G313" s="23"/>
      <c r="H313" s="24"/>
      <c r="I313" s="23"/>
      <c r="J313" s="23"/>
      <c r="K313" s="24"/>
      <c r="L313" s="23"/>
      <c r="M313" s="23"/>
    </row>
    <row r="314" spans="1:13" ht="14.45">
      <c r="A314" s="23"/>
      <c r="B314" s="35"/>
      <c r="C314" s="23"/>
      <c r="D314" s="23"/>
      <c r="E314" s="23"/>
      <c r="F314" s="23"/>
      <c r="G314" s="23"/>
      <c r="H314" s="24"/>
      <c r="I314" s="23"/>
      <c r="J314" s="23"/>
      <c r="K314" s="24"/>
      <c r="L314" s="23"/>
      <c r="M314" s="23"/>
    </row>
    <row r="315" spans="1:13" ht="14.45">
      <c r="A315" s="23"/>
      <c r="B315" s="35"/>
      <c r="C315" s="23"/>
      <c r="D315" s="23"/>
      <c r="E315" s="23"/>
      <c r="F315" s="23"/>
      <c r="G315" s="23"/>
      <c r="H315" s="24"/>
      <c r="I315" s="23"/>
      <c r="J315" s="23"/>
      <c r="K315" s="24"/>
      <c r="L315" s="23"/>
      <c r="M315" s="23"/>
    </row>
    <row r="316" spans="1:13" ht="14.45">
      <c r="A316" s="23"/>
      <c r="B316" s="35"/>
      <c r="C316" s="23"/>
      <c r="D316" s="23"/>
      <c r="E316" s="23"/>
      <c r="F316" s="23"/>
      <c r="G316" s="23"/>
      <c r="H316" s="24"/>
      <c r="I316" s="23"/>
      <c r="J316" s="23"/>
      <c r="K316" s="24"/>
      <c r="L316" s="23"/>
      <c r="M316" s="23"/>
    </row>
    <row r="317" spans="1:13" ht="14.45">
      <c r="A317" s="23"/>
      <c r="B317" s="35"/>
      <c r="C317" s="23"/>
      <c r="D317" s="23"/>
      <c r="E317" s="23"/>
      <c r="F317" s="23"/>
      <c r="G317" s="23"/>
      <c r="H317" s="24"/>
      <c r="I317" s="23"/>
      <c r="J317" s="23"/>
      <c r="K317" s="24"/>
      <c r="L317" s="23"/>
      <c r="M317" s="23"/>
    </row>
    <row r="318" spans="1:13" ht="14.45">
      <c r="A318" s="23"/>
      <c r="B318" s="35"/>
      <c r="C318" s="23"/>
      <c r="D318" s="23"/>
      <c r="E318" s="23"/>
      <c r="F318" s="23"/>
      <c r="G318" s="23"/>
      <c r="H318" s="24"/>
      <c r="I318" s="23"/>
      <c r="J318" s="23"/>
      <c r="K318" s="24"/>
      <c r="L318" s="23"/>
      <c r="M318" s="23"/>
    </row>
    <row r="319" spans="1:13" ht="14.45">
      <c r="A319" s="23"/>
      <c r="B319" s="35"/>
      <c r="C319" s="23"/>
      <c r="D319" s="23"/>
      <c r="E319" s="23"/>
      <c r="F319" s="23"/>
      <c r="G319" s="23"/>
      <c r="H319" s="24"/>
      <c r="I319" s="23"/>
      <c r="J319" s="23"/>
      <c r="K319" s="24"/>
      <c r="L319" s="23"/>
      <c r="M319" s="23"/>
    </row>
    <row r="320" spans="1:13" ht="14.45">
      <c r="A320" s="23"/>
      <c r="B320" s="35"/>
      <c r="C320" s="23"/>
      <c r="D320" s="23"/>
      <c r="E320" s="23"/>
      <c r="F320" s="23"/>
      <c r="G320" s="23"/>
      <c r="H320" s="24"/>
      <c r="I320" s="23"/>
      <c r="J320" s="23"/>
      <c r="K320" s="24"/>
      <c r="L320" s="23"/>
      <c r="M320" s="23"/>
    </row>
    <row r="321" spans="1:13" ht="14.45">
      <c r="A321" s="23"/>
      <c r="B321" s="35"/>
      <c r="C321" s="23"/>
      <c r="D321" s="23"/>
      <c r="E321" s="23"/>
      <c r="F321" s="23"/>
      <c r="G321" s="23"/>
      <c r="H321" s="24"/>
      <c r="I321" s="23"/>
      <c r="J321" s="23"/>
      <c r="K321" s="24"/>
      <c r="L321" s="23"/>
      <c r="M321" s="23"/>
    </row>
    <row r="322" spans="1:13" ht="14.45">
      <c r="A322" s="23"/>
      <c r="B322" s="35"/>
      <c r="C322" s="23"/>
      <c r="D322" s="23"/>
      <c r="E322" s="23"/>
      <c r="F322" s="23"/>
      <c r="G322" s="23"/>
      <c r="H322" s="24"/>
      <c r="I322" s="23"/>
      <c r="J322" s="23"/>
      <c r="K322" s="24"/>
      <c r="L322" s="23"/>
      <c r="M322" s="23"/>
    </row>
    <row r="323" spans="1:13" ht="14.45">
      <c r="A323" s="23"/>
      <c r="B323" s="35"/>
      <c r="C323" s="23"/>
      <c r="D323" s="23"/>
      <c r="E323" s="23"/>
      <c r="F323" s="23"/>
      <c r="G323" s="23"/>
      <c r="H323" s="24"/>
      <c r="I323" s="23"/>
      <c r="J323" s="23"/>
      <c r="K323" s="24"/>
      <c r="L323" s="23"/>
      <c r="M323" s="23"/>
    </row>
    <row r="324" spans="1:13" ht="14.45">
      <c r="A324" s="23"/>
      <c r="B324" s="35"/>
      <c r="C324" s="23"/>
      <c r="D324" s="23"/>
      <c r="E324" s="23"/>
      <c r="F324" s="23"/>
      <c r="G324" s="23"/>
      <c r="H324" s="24"/>
      <c r="I324" s="23"/>
      <c r="J324" s="23"/>
      <c r="K324" s="24"/>
      <c r="L324" s="23"/>
      <c r="M324" s="23"/>
    </row>
    <row r="325" spans="1:13" ht="14.45">
      <c r="A325" s="23"/>
      <c r="B325" s="35"/>
      <c r="C325" s="23"/>
      <c r="D325" s="23"/>
      <c r="E325" s="23"/>
      <c r="F325" s="23"/>
      <c r="G325" s="23"/>
      <c r="H325" s="24"/>
      <c r="I325" s="23"/>
      <c r="J325" s="23"/>
      <c r="K325" s="24"/>
      <c r="L325" s="23"/>
      <c r="M325" s="23"/>
    </row>
    <row r="326" spans="1:13" ht="14.45">
      <c r="A326" s="23"/>
      <c r="B326" s="35"/>
      <c r="C326" s="23"/>
      <c r="D326" s="23"/>
      <c r="E326" s="23"/>
      <c r="F326" s="23"/>
      <c r="G326" s="23"/>
      <c r="H326" s="24"/>
      <c r="I326" s="23"/>
      <c r="J326" s="23"/>
      <c r="K326" s="24"/>
      <c r="L326" s="23"/>
      <c r="M326" s="23"/>
    </row>
    <row r="327" spans="1:13" ht="14.45">
      <c r="A327" s="23"/>
      <c r="B327" s="35"/>
      <c r="C327" s="23"/>
      <c r="D327" s="23"/>
      <c r="E327" s="23"/>
      <c r="F327" s="23"/>
      <c r="G327" s="23"/>
      <c r="H327" s="24"/>
      <c r="I327" s="23"/>
      <c r="J327" s="23"/>
      <c r="K327" s="24"/>
      <c r="L327" s="23"/>
      <c r="M327" s="23"/>
    </row>
    <row r="328" spans="1:13" ht="14.45">
      <c r="A328" s="23"/>
      <c r="B328" s="35"/>
      <c r="C328" s="23"/>
      <c r="D328" s="23"/>
      <c r="E328" s="23"/>
      <c r="F328" s="23"/>
      <c r="G328" s="23"/>
      <c r="H328" s="24"/>
      <c r="I328" s="23"/>
      <c r="J328" s="23"/>
      <c r="K328" s="24"/>
      <c r="L328" s="23"/>
      <c r="M328" s="23"/>
    </row>
    <row r="329" spans="1:13" ht="14.45">
      <c r="A329" s="23"/>
      <c r="B329" s="35"/>
      <c r="C329" s="23"/>
      <c r="D329" s="23"/>
      <c r="E329" s="23"/>
      <c r="F329" s="23"/>
      <c r="G329" s="23"/>
      <c r="H329" s="24"/>
      <c r="I329" s="23"/>
      <c r="J329" s="23"/>
      <c r="K329" s="24"/>
      <c r="L329" s="23"/>
      <c r="M329" s="23"/>
    </row>
    <row r="330" spans="1:13" ht="14.45">
      <c r="A330" s="23"/>
      <c r="B330" s="35"/>
      <c r="C330" s="23"/>
      <c r="D330" s="23"/>
      <c r="E330" s="23"/>
      <c r="F330" s="23"/>
      <c r="G330" s="23"/>
      <c r="H330" s="24"/>
      <c r="I330" s="23"/>
      <c r="J330" s="23"/>
      <c r="K330" s="24"/>
      <c r="L330" s="23"/>
      <c r="M330" s="23"/>
    </row>
    <row r="331" spans="1:13" ht="14.45">
      <c r="A331" s="23"/>
      <c r="B331" s="35"/>
      <c r="C331" s="23"/>
      <c r="D331" s="23"/>
      <c r="E331" s="23"/>
      <c r="F331" s="23"/>
      <c r="G331" s="23"/>
      <c r="H331" s="24"/>
      <c r="I331" s="23"/>
      <c r="J331" s="23"/>
      <c r="K331" s="24"/>
      <c r="L331" s="23"/>
      <c r="M331" s="23"/>
    </row>
    <row r="332" spans="1:13" ht="14.45">
      <c r="A332" s="23"/>
      <c r="B332" s="35"/>
      <c r="C332" s="23"/>
      <c r="D332" s="23"/>
      <c r="E332" s="23"/>
      <c r="F332" s="23"/>
      <c r="G332" s="23"/>
      <c r="H332" s="24"/>
      <c r="I332" s="23"/>
      <c r="J332" s="23"/>
      <c r="K332" s="24"/>
      <c r="L332" s="23"/>
      <c r="M332" s="23"/>
    </row>
    <row r="333" spans="1:13" ht="14.45">
      <c r="A333" s="23"/>
      <c r="B333" s="35"/>
      <c r="C333" s="23"/>
      <c r="D333" s="23"/>
      <c r="E333" s="23"/>
      <c r="F333" s="23"/>
      <c r="G333" s="23"/>
      <c r="H333" s="24"/>
      <c r="I333" s="23"/>
      <c r="J333" s="23"/>
      <c r="K333" s="24"/>
      <c r="L333" s="23"/>
      <c r="M333" s="23"/>
    </row>
    <row r="334" spans="1:13" ht="14.45">
      <c r="A334" s="23"/>
      <c r="B334" s="35"/>
      <c r="C334" s="23"/>
      <c r="D334" s="23"/>
      <c r="E334" s="23"/>
      <c r="F334" s="23"/>
      <c r="G334" s="23"/>
      <c r="H334" s="24"/>
      <c r="I334" s="23"/>
      <c r="J334" s="23"/>
      <c r="K334" s="24"/>
      <c r="L334" s="23"/>
      <c r="M334" s="23"/>
    </row>
    <row r="335" spans="1:13" ht="14.45">
      <c r="A335" s="23"/>
      <c r="B335" s="35"/>
      <c r="C335" s="23"/>
      <c r="D335" s="23"/>
      <c r="E335" s="23"/>
      <c r="F335" s="23"/>
      <c r="G335" s="23"/>
      <c r="H335" s="24"/>
      <c r="I335" s="23"/>
      <c r="J335" s="23"/>
      <c r="K335" s="24"/>
      <c r="L335" s="23"/>
      <c r="M335" s="23"/>
    </row>
    <row r="336" spans="1:13" ht="14.45">
      <c r="A336" s="23"/>
      <c r="B336" s="35"/>
      <c r="C336" s="23"/>
      <c r="D336" s="23"/>
      <c r="E336" s="23"/>
      <c r="F336" s="23"/>
      <c r="G336" s="23"/>
      <c r="H336" s="24"/>
      <c r="I336" s="23"/>
      <c r="J336" s="23"/>
      <c r="K336" s="24"/>
      <c r="L336" s="23"/>
      <c r="M336" s="23"/>
    </row>
    <row r="337" spans="1:13" ht="14.45">
      <c r="A337" s="23"/>
      <c r="B337" s="35"/>
      <c r="C337" s="23"/>
      <c r="D337" s="23"/>
      <c r="E337" s="23"/>
      <c r="F337" s="23"/>
      <c r="G337" s="23"/>
      <c r="H337" s="24"/>
      <c r="I337" s="23"/>
      <c r="J337" s="23"/>
      <c r="K337" s="24"/>
      <c r="L337" s="23"/>
      <c r="M337" s="23"/>
    </row>
    <row r="338" spans="1:13" ht="14.45">
      <c r="A338" s="23"/>
      <c r="B338" s="35"/>
      <c r="C338" s="23"/>
      <c r="D338" s="23"/>
      <c r="E338" s="23"/>
      <c r="F338" s="23"/>
      <c r="G338" s="23"/>
      <c r="H338" s="24"/>
      <c r="I338" s="23"/>
      <c r="J338" s="23"/>
      <c r="K338" s="24"/>
      <c r="L338" s="23"/>
      <c r="M338" s="23"/>
    </row>
    <row r="339" spans="1:13" ht="14.45">
      <c r="A339" s="23"/>
      <c r="B339" s="35"/>
      <c r="C339" s="23"/>
      <c r="D339" s="23"/>
      <c r="E339" s="23"/>
      <c r="F339" s="23"/>
      <c r="G339" s="23"/>
      <c r="H339" s="24"/>
      <c r="I339" s="23"/>
      <c r="J339" s="23"/>
      <c r="K339" s="24"/>
      <c r="L339" s="23"/>
      <c r="M339" s="23"/>
    </row>
    <row r="340" spans="1:13" ht="14.45">
      <c r="A340" s="23"/>
      <c r="B340" s="35"/>
      <c r="C340" s="23"/>
      <c r="D340" s="23"/>
      <c r="E340" s="23"/>
      <c r="F340" s="23"/>
      <c r="G340" s="23"/>
      <c r="H340" s="24"/>
      <c r="I340" s="23"/>
      <c r="J340" s="23"/>
      <c r="K340" s="24"/>
      <c r="L340" s="23"/>
      <c r="M340" s="23"/>
    </row>
    <row r="341" spans="1:13" ht="14.45">
      <c r="A341" s="23"/>
      <c r="B341" s="35"/>
      <c r="C341" s="23"/>
      <c r="D341" s="23"/>
      <c r="E341" s="23"/>
      <c r="F341" s="23"/>
      <c r="G341" s="23"/>
      <c r="H341" s="24"/>
      <c r="I341" s="23"/>
      <c r="J341" s="23"/>
      <c r="K341" s="24"/>
      <c r="L341" s="23"/>
      <c r="M341" s="23"/>
    </row>
    <row r="342" spans="1:13" ht="14.45">
      <c r="C342" s="23"/>
      <c r="D342" s="23"/>
      <c r="E342" s="23"/>
      <c r="F342" s="23"/>
      <c r="G342" s="23"/>
      <c r="H342" s="24"/>
      <c r="I342" s="23"/>
      <c r="J342" s="23"/>
      <c r="K342" s="24"/>
      <c r="L342" s="23"/>
      <c r="M342" s="23"/>
    </row>
  </sheetData>
  <mergeCells count="4">
    <mergeCell ref="I1:K1"/>
    <mergeCell ref="A1:C1"/>
    <mergeCell ref="F1:H1"/>
    <mergeCell ref="A2:B2"/>
  </mergeCells>
  <conditionalFormatting sqref="H2 K2 H4:H100 K4:K100">
    <cfRule type="cellIs" dxfId="18" priority="1" stopIfTrue="1" operator="lessThanOrEqual">
      <formula>-0.1</formula>
    </cfRule>
    <cfRule type="expression" dxfId="17" priority="2">
      <formula>AND(ISNUMBER(H2), H2&gt;=0.1)</formula>
    </cfRule>
  </conditionalFormatting>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O342"/>
  <sheetViews>
    <sheetView zoomScale="60" zoomScaleNormal="60" workbookViewId="0">
      <pane ySplit="2" topLeftCell="A19" activePane="bottomLeft" state="frozen"/>
      <selection pane="bottomLeft" activeCell="E32" sqref="E32"/>
      <selection activeCell="M45" sqref="M45"/>
    </sheetView>
  </sheetViews>
  <sheetFormatPr defaultRowHeight="14.25" customHeight="1"/>
  <cols>
    <col min="1" max="1" width="35.85546875" bestFit="1" customWidth="1"/>
    <col min="2" max="2" width="8.42578125" style="36" customWidth="1"/>
    <col min="3" max="3" width="11.7109375" customWidth="1"/>
    <col min="4" max="4" width="24.140625" customWidth="1"/>
    <col min="5" max="5" width="22.85546875" customWidth="1"/>
    <col min="6" max="7" width="13.28515625" customWidth="1"/>
    <col min="8" max="8" width="13.28515625" style="1" customWidth="1"/>
    <col min="9" max="10" width="13.28515625" customWidth="1"/>
    <col min="11" max="11" width="13.28515625" style="1" customWidth="1"/>
    <col min="12" max="12" width="71.5703125" customWidth="1"/>
    <col min="13" max="13" width="20.5703125" bestFit="1" customWidth="1"/>
  </cols>
  <sheetData>
    <row r="1" spans="1:15" ht="19.5" customHeight="1">
      <c r="A1" s="129" t="str" cm="1">
        <f t="array" ref="A1">portfolio</f>
        <v>CITI</v>
      </c>
      <c r="B1" s="129"/>
      <c r="C1" s="129"/>
      <c r="D1" s="76" t="s">
        <v>0</v>
      </c>
      <c r="E1" s="76" t="s">
        <v>1</v>
      </c>
      <c r="F1" s="130" t="s">
        <v>136</v>
      </c>
      <c r="G1" s="130"/>
      <c r="H1" s="130"/>
      <c r="I1" s="128" t="s">
        <v>137</v>
      </c>
      <c r="J1" s="128"/>
      <c r="K1" s="128"/>
      <c r="L1" s="5"/>
      <c r="M1" s="64"/>
    </row>
    <row r="2" spans="1:15" ht="19.5" customHeight="1">
      <c r="A2" s="131" t="s">
        <v>4</v>
      </c>
      <c r="B2" s="131"/>
      <c r="C2" s="6">
        <f>SUM(C4:C100)</f>
        <v>2973920.0500000003</v>
      </c>
      <c r="D2" s="6">
        <f>SUM(D4:D22)</f>
        <v>2778688.91</v>
      </c>
      <c r="E2" s="7">
        <f>C2/D2</f>
        <v>1.0702601645320562</v>
      </c>
      <c r="F2" s="6">
        <f>SUM(F4:F100)</f>
        <v>2742135.446</v>
      </c>
      <c r="G2" s="6">
        <f>C2-F2</f>
        <v>231784.60400000028</v>
      </c>
      <c r="H2" s="7">
        <f>IFERROR(G2/F2, 0)</f>
        <v>8.4527044183068514E-2</v>
      </c>
      <c r="I2" s="6">
        <f>SUM(I4:I100)</f>
        <v>3076294.605</v>
      </c>
      <c r="J2" s="8">
        <f>C2-I2</f>
        <v>-102374.5549999997</v>
      </c>
      <c r="K2" s="7">
        <f>IFERROR(J2/I2, 0)</f>
        <v>-3.3278527626582663E-2</v>
      </c>
      <c r="L2" s="28" t="str">
        <f ca="1">IF(AND(TODAY()&gt;DATE(2024, 5, 1), COUNTA(Sites[Site])&lt;&gt;(COUNT(C:C)-1)), "Some sites are missing actual data; if new sites were added, make sure they are aligned correctly (including prior months!)", "")</f>
        <v/>
      </c>
      <c r="M2" s="5"/>
    </row>
    <row r="3" spans="1:15" ht="14.25" customHeight="1">
      <c r="A3" s="9" t="s">
        <v>5</v>
      </c>
      <c r="B3" s="9" t="s">
        <v>6</v>
      </c>
      <c r="C3" s="25" t="s">
        <v>7</v>
      </c>
      <c r="D3" s="77"/>
      <c r="E3" s="77"/>
      <c r="F3" s="49" t="s">
        <v>8</v>
      </c>
      <c r="G3" s="49" t="s">
        <v>9</v>
      </c>
      <c r="H3" s="50" t="s">
        <v>10</v>
      </c>
      <c r="I3" s="51" t="s">
        <v>11</v>
      </c>
      <c r="J3" s="52" t="s">
        <v>9</v>
      </c>
      <c r="K3" s="53" t="s">
        <v>10</v>
      </c>
      <c r="L3" s="27" t="s">
        <v>22</v>
      </c>
      <c r="M3" s="27" t="s">
        <v>23</v>
      </c>
    </row>
    <row r="4" spans="1:15" ht="15.6">
      <c r="A4" s="34" t="str" cm="1">
        <f t="array" ref="A4:A23">Sites[Site]</f>
        <v>CA: Antioch Deer Valley - Citi</v>
      </c>
      <c r="B4" s="31" t="str" cm="1">
        <f t="array" ref="B4:B23">Sites[State]</f>
        <v>CA</v>
      </c>
      <c r="C4" s="37">
        <v>81492.5</v>
      </c>
      <c r="D4" s="78">
        <v>74449.259999999995</v>
      </c>
      <c r="E4" s="79">
        <f>C4/D4</f>
        <v>1.094604566922492</v>
      </c>
      <c r="F4" s="14">
        <v>73712</v>
      </c>
      <c r="G4" s="14">
        <f t="shared" ref="G4:G23" si="0">IF(AND(ISNUMBER(C4),ISNUMBER(F4)), C4-F4, "")</f>
        <v>7780.5</v>
      </c>
      <c r="H4" s="15">
        <f>IFERROR(G4/F4, "")</f>
        <v>0.10555269155632732</v>
      </c>
      <c r="I4" s="16">
        <v>84914.724000000002</v>
      </c>
      <c r="J4" s="16">
        <f t="shared" ref="J4:J23" si="1">IF(AND(ISNUMBER(C4),ISNUMBER(I4)), C4-I4, "")</f>
        <v>-3422.224000000002</v>
      </c>
      <c r="K4" s="17">
        <f>IFERROR(J4/I4, "")</f>
        <v>-4.0301891577719809E-2</v>
      </c>
      <c r="L4" s="18"/>
      <c r="M4" s="18"/>
    </row>
    <row r="5" spans="1:15" ht="15.6">
      <c r="A5" s="32" t="str">
        <v>CA: Antioch MC CUP - Citi</v>
      </c>
      <c r="B5" s="33" t="str">
        <v>CA</v>
      </c>
      <c r="C5" s="12">
        <v>269650</v>
      </c>
      <c r="D5" s="12">
        <v>254348.83</v>
      </c>
      <c r="E5" s="80">
        <f t="shared" ref="E5:E22" si="2">C5/D5</f>
        <v>1.0601582087088823</v>
      </c>
      <c r="F5" s="20">
        <v>251808</v>
      </c>
      <c r="G5" s="20">
        <f t="shared" si="0"/>
        <v>17842</v>
      </c>
      <c r="H5" s="21">
        <f>IFERROR(G5/F5, "")</f>
        <v>7.0855572499682301E-2</v>
      </c>
      <c r="I5" s="22">
        <v>285700.70299999998</v>
      </c>
      <c r="J5" s="20">
        <f t="shared" si="1"/>
        <v>-16050.70299999998</v>
      </c>
      <c r="K5" s="21">
        <f t="shared" ref="K5:K15" si="3">IFERROR(J5/I5, "")</f>
        <v>-5.6180131275350695E-2</v>
      </c>
      <c r="L5" s="11"/>
      <c r="M5" s="19"/>
    </row>
    <row r="6" spans="1:15" ht="57.6">
      <c r="A6" s="30" t="str">
        <v>CA: Clovis - Citi</v>
      </c>
      <c r="B6" s="31" t="str">
        <v>CA</v>
      </c>
      <c r="C6" s="26">
        <v>110990</v>
      </c>
      <c r="D6" s="78">
        <v>108547</v>
      </c>
      <c r="E6" s="79">
        <f t="shared" si="2"/>
        <v>1.0225063797249119</v>
      </c>
      <c r="F6" s="14">
        <v>104799</v>
      </c>
      <c r="G6" s="14">
        <f t="shared" si="0"/>
        <v>6191</v>
      </c>
      <c r="H6" s="15">
        <f t="shared" ref="H6:H15" si="4">IFERROR(G6/F6, "")</f>
        <v>5.9074991173579901E-2</v>
      </c>
      <c r="I6" s="16">
        <v>7792.7129999999997</v>
      </c>
      <c r="J6" s="16">
        <f t="shared" si="1"/>
        <v>103197.287</v>
      </c>
      <c r="K6" s="17">
        <f t="shared" si="3"/>
        <v>13.242793235167264</v>
      </c>
      <c r="L6" s="18" t="s">
        <v>138</v>
      </c>
      <c r="M6" s="99" t="s">
        <v>139</v>
      </c>
    </row>
    <row r="7" spans="1:15" ht="15.6">
      <c r="A7" s="32" t="str">
        <v>CA: Elk Grove MOB - Citi</v>
      </c>
      <c r="B7" s="33" t="str">
        <v>CA</v>
      </c>
      <c r="C7" s="12">
        <v>174908.5</v>
      </c>
      <c r="D7" s="12">
        <v>181338.5</v>
      </c>
      <c r="E7" s="80">
        <f t="shared" si="2"/>
        <v>0.96454145148437864</v>
      </c>
      <c r="F7" s="20">
        <v>179543</v>
      </c>
      <c r="G7" s="20">
        <f t="shared" si="0"/>
        <v>-4634.5</v>
      </c>
      <c r="H7" s="21">
        <f t="shared" si="4"/>
        <v>-2.5812757946564333E-2</v>
      </c>
      <c r="I7" s="22">
        <v>190114.87</v>
      </c>
      <c r="J7" s="20">
        <f t="shared" si="1"/>
        <v>-15206.369999999995</v>
      </c>
      <c r="K7" s="21">
        <f t="shared" si="3"/>
        <v>-7.9985168966530587E-2</v>
      </c>
      <c r="L7" s="11"/>
      <c r="M7" s="11"/>
    </row>
    <row r="8" spans="1:15" ht="15.6">
      <c r="A8" s="30" t="str">
        <v>CA: Elk Grove Promenade - Citi</v>
      </c>
      <c r="B8" s="31" t="str">
        <v>CA</v>
      </c>
      <c r="C8" s="26">
        <v>92961.75</v>
      </c>
      <c r="D8" s="78">
        <v>95545</v>
      </c>
      <c r="E8" s="79">
        <f t="shared" si="2"/>
        <v>0.97296300172693495</v>
      </c>
      <c r="F8" s="14">
        <v>94599.133000000002</v>
      </c>
      <c r="G8" s="14">
        <f t="shared" si="0"/>
        <v>-1637.3830000000016</v>
      </c>
      <c r="H8" s="15">
        <f t="shared" si="4"/>
        <v>-1.7308647004196133E-2</v>
      </c>
      <c r="I8" s="16">
        <v>99352.21</v>
      </c>
      <c r="J8" s="16">
        <f t="shared" si="1"/>
        <v>-6390.4600000000064</v>
      </c>
      <c r="K8" s="17">
        <f t="shared" si="3"/>
        <v>-6.4321266733774779E-2</v>
      </c>
      <c r="L8" s="18"/>
      <c r="M8" s="18"/>
    </row>
    <row r="9" spans="1:15" ht="15.6">
      <c r="A9" s="32" t="str">
        <v>CA: Fresno Sequioa - Citi</v>
      </c>
      <c r="B9" s="33" t="str">
        <v>CA</v>
      </c>
      <c r="C9" s="12">
        <v>177350.5</v>
      </c>
      <c r="D9" s="12">
        <v>179936.42</v>
      </c>
      <c r="E9" s="80">
        <f t="shared" si="2"/>
        <v>0.98562870151579085</v>
      </c>
      <c r="F9" s="20">
        <v>178191</v>
      </c>
      <c r="G9" s="20">
        <f t="shared" si="0"/>
        <v>-840.5</v>
      </c>
      <c r="H9" s="21">
        <f t="shared" si="4"/>
        <v>-4.7168487746294709E-3</v>
      </c>
      <c r="I9" s="22">
        <v>193380.11499999999</v>
      </c>
      <c r="J9" s="20">
        <f t="shared" si="1"/>
        <v>-16029.614999999991</v>
      </c>
      <c r="K9" s="21">
        <f t="shared" si="3"/>
        <v>-8.2891744065825959E-2</v>
      </c>
      <c r="L9" s="11"/>
      <c r="M9" s="11"/>
    </row>
    <row r="10" spans="1:15" ht="28.9">
      <c r="A10" s="30" t="str">
        <v>CA: Fresno MOB - Citi</v>
      </c>
      <c r="B10" s="31" t="str">
        <v>CA</v>
      </c>
      <c r="C10" s="26">
        <v>64388.87</v>
      </c>
      <c r="D10" s="78">
        <v>72873.039999999994</v>
      </c>
      <c r="E10" s="79">
        <f t="shared" si="2"/>
        <v>0.88357601110095052</v>
      </c>
      <c r="F10" s="14">
        <v>72791</v>
      </c>
      <c r="G10" s="14">
        <f t="shared" si="0"/>
        <v>-8402.1299999999974</v>
      </c>
      <c r="H10" s="15">
        <f t="shared" si="4"/>
        <v>-0.11542814358917995</v>
      </c>
      <c r="I10" s="16">
        <v>70583.370999999999</v>
      </c>
      <c r="J10" s="16">
        <f t="shared" si="1"/>
        <v>-6194.5009999999966</v>
      </c>
      <c r="K10" s="17">
        <f t="shared" si="3"/>
        <v>-8.7761478549954725E-2</v>
      </c>
      <c r="L10" s="18" t="s">
        <v>140</v>
      </c>
      <c r="M10" s="99" t="s">
        <v>141</v>
      </c>
    </row>
    <row r="11" spans="1:15" ht="57.6">
      <c r="A11" s="32" t="str">
        <v>CA: Modesto Bangs - Citi</v>
      </c>
      <c r="B11" s="33" t="str">
        <v>CA</v>
      </c>
      <c r="C11" s="12">
        <v>47080.25</v>
      </c>
      <c r="D11" s="12">
        <v>52921.57</v>
      </c>
      <c r="E11" s="80">
        <f t="shared" si="2"/>
        <v>0.88962307807572605</v>
      </c>
      <c r="F11" s="20">
        <v>52663</v>
      </c>
      <c r="G11" s="20">
        <f t="shared" si="0"/>
        <v>-5582.75</v>
      </c>
      <c r="H11" s="21">
        <f t="shared" si="4"/>
        <v>-0.10600896264929836</v>
      </c>
      <c r="I11" s="22">
        <v>183.56299999999999</v>
      </c>
      <c r="J11" s="20">
        <f t="shared" si="1"/>
        <v>46896.686999999998</v>
      </c>
      <c r="K11" s="21">
        <f t="shared" si="3"/>
        <v>255.48006406519832</v>
      </c>
      <c r="L11" s="84" t="s">
        <v>142</v>
      </c>
      <c r="M11" s="100" t="s">
        <v>143</v>
      </c>
    </row>
    <row r="12" spans="1:15" ht="43.15">
      <c r="A12" s="30" t="str">
        <v>CA: Napa Data Center - Citi</v>
      </c>
      <c r="B12" s="31" t="str">
        <v>CA</v>
      </c>
      <c r="C12" s="26">
        <v>48683.25</v>
      </c>
      <c r="D12" s="78">
        <v>53542.49</v>
      </c>
      <c r="E12" s="79">
        <f t="shared" si="2"/>
        <v>0.90924516211330486</v>
      </c>
      <c r="F12" s="14">
        <v>51546</v>
      </c>
      <c r="G12" s="14">
        <f t="shared" si="0"/>
        <v>-2862.75</v>
      </c>
      <c r="H12" s="15">
        <f t="shared" si="4"/>
        <v>-5.5537772087067859E-2</v>
      </c>
      <c r="I12" s="16">
        <v>56772.614999999998</v>
      </c>
      <c r="J12" s="16">
        <f t="shared" si="1"/>
        <v>-8089.364999999998</v>
      </c>
      <c r="K12" s="17">
        <f t="shared" si="3"/>
        <v>-0.1424870952306847</v>
      </c>
      <c r="L12" s="18" t="s">
        <v>144</v>
      </c>
      <c r="M12" s="99" t="s">
        <v>145</v>
      </c>
    </row>
    <row r="13" spans="1:15" ht="126.75" customHeight="1">
      <c r="A13" s="32" t="str">
        <v>CA: Petaluma MOB - Citi</v>
      </c>
      <c r="B13" s="33" t="str">
        <v>CA</v>
      </c>
      <c r="C13" s="12">
        <v>105493.5</v>
      </c>
      <c r="D13" s="12">
        <v>123235.12</v>
      </c>
      <c r="E13" s="80">
        <f t="shared" si="2"/>
        <v>0.85603438370490492</v>
      </c>
      <c r="F13" s="20">
        <v>118590</v>
      </c>
      <c r="G13" s="20">
        <f t="shared" si="0"/>
        <v>-13096.5</v>
      </c>
      <c r="H13" s="21">
        <f t="shared" si="4"/>
        <v>-0.11043511257272957</v>
      </c>
      <c r="I13" s="22">
        <v>11916.177</v>
      </c>
      <c r="J13" s="20">
        <f t="shared" si="1"/>
        <v>93577.323000000004</v>
      </c>
      <c r="K13" s="21">
        <f t="shared" si="3"/>
        <v>7.8529651749885891</v>
      </c>
      <c r="L13" s="84" t="s">
        <v>146</v>
      </c>
      <c r="M13" s="109" t="s">
        <v>147</v>
      </c>
      <c r="N13" s="104" t="s">
        <v>148</v>
      </c>
    </row>
    <row r="14" spans="1:15" ht="115.15">
      <c r="A14" s="30" t="str">
        <v>CA: Pleasanton Tec Ctr - Citi</v>
      </c>
      <c r="B14" s="31" t="str">
        <v>CA</v>
      </c>
      <c r="C14" s="26">
        <v>146888</v>
      </c>
      <c r="D14" s="78">
        <v>167397.62</v>
      </c>
      <c r="E14" s="79">
        <f t="shared" si="2"/>
        <v>0.87747962008062008</v>
      </c>
      <c r="F14" s="14">
        <v>165841</v>
      </c>
      <c r="G14" s="14">
        <f t="shared" si="0"/>
        <v>-18953</v>
      </c>
      <c r="H14" s="15">
        <f t="shared" si="4"/>
        <v>-0.11428416374720364</v>
      </c>
      <c r="I14" s="16">
        <v>179634.96799999999</v>
      </c>
      <c r="J14" s="16">
        <f t="shared" si="1"/>
        <v>-32746.967999999993</v>
      </c>
      <c r="K14" s="17">
        <f t="shared" si="3"/>
        <v>-0.18229729080364795</v>
      </c>
      <c r="L14" s="18" t="s">
        <v>149</v>
      </c>
      <c r="M14" s="99" t="s">
        <v>150</v>
      </c>
      <c r="N14" s="104" t="s">
        <v>151</v>
      </c>
      <c r="O14" s="104" t="s">
        <v>152</v>
      </c>
    </row>
    <row r="15" spans="1:15" ht="15.6">
      <c r="A15" s="32" t="str">
        <v>CA: Rancho Cordova - Citi</v>
      </c>
      <c r="B15" s="33" t="str">
        <v>CA</v>
      </c>
      <c r="C15" s="12">
        <v>248219</v>
      </c>
      <c r="D15" s="12">
        <v>241187.82</v>
      </c>
      <c r="E15" s="80">
        <f t="shared" si="2"/>
        <v>1.0291523013060941</v>
      </c>
      <c r="F15" s="20">
        <v>239745</v>
      </c>
      <c r="G15" s="20">
        <f t="shared" si="0"/>
        <v>8474</v>
      </c>
      <c r="H15" s="21">
        <f t="shared" si="4"/>
        <v>3.5345888339694258E-2</v>
      </c>
      <c r="I15" s="22">
        <v>261974.247</v>
      </c>
      <c r="J15" s="20">
        <f t="shared" si="1"/>
        <v>-13755.247000000003</v>
      </c>
      <c r="K15" s="21">
        <f t="shared" si="3"/>
        <v>-5.2506103777444975E-2</v>
      </c>
      <c r="L15" s="11"/>
      <c r="M15" s="11"/>
    </row>
    <row r="16" spans="1:15" ht="15.6">
      <c r="A16" s="30" t="str">
        <v>CA: S Sacramento Wyndham - Citi</v>
      </c>
      <c r="B16" s="31" t="str">
        <v>CA</v>
      </c>
      <c r="C16" s="37">
        <v>138356.5</v>
      </c>
      <c r="D16" s="78">
        <v>157421.01999999999</v>
      </c>
      <c r="E16" s="79">
        <f t="shared" si="2"/>
        <v>0.87889469906877749</v>
      </c>
      <c r="F16" s="14">
        <v>156334</v>
      </c>
      <c r="G16" s="14">
        <f t="shared" si="0"/>
        <v>-17977.5</v>
      </c>
      <c r="H16" s="38">
        <f t="shared" ref="H16:H22" si="5">IFERROR(G16/F16, "")</f>
        <v>-0.11499417912930009</v>
      </c>
      <c r="I16" s="39">
        <v>152454.64799999999</v>
      </c>
      <c r="J16" s="39">
        <f t="shared" si="1"/>
        <v>-14098.147999999986</v>
      </c>
      <c r="K16" s="40">
        <f t="shared" ref="K16:K22" si="6">IFERROR(J16/I16, "")</f>
        <v>-9.2474373100123436E-2</v>
      </c>
      <c r="L16" s="41" t="s">
        <v>153</v>
      </c>
      <c r="M16" s="41"/>
    </row>
    <row r="17" spans="1:15" ht="15.6">
      <c r="A17" s="32" t="str">
        <v>CA: Sacramento Point West - Citi</v>
      </c>
      <c r="B17" s="33" t="str">
        <v>CA</v>
      </c>
      <c r="C17" s="42">
        <v>285798</v>
      </c>
      <c r="D17" s="12">
        <v>300484.09999999998</v>
      </c>
      <c r="E17" s="80">
        <f t="shared" si="2"/>
        <v>0.95112520096737241</v>
      </c>
      <c r="F17" s="20">
        <v>298182</v>
      </c>
      <c r="G17" s="20">
        <f t="shared" si="0"/>
        <v>-12384</v>
      </c>
      <c r="H17" s="43">
        <f t="shared" si="5"/>
        <v>-4.153168199287683E-2</v>
      </c>
      <c r="I17" s="44">
        <v>317297.674</v>
      </c>
      <c r="J17" s="20">
        <f t="shared" si="1"/>
        <v>-31499.673999999999</v>
      </c>
      <c r="K17" s="43">
        <f t="shared" si="6"/>
        <v>-9.9274834268088585E-2</v>
      </c>
      <c r="L17" s="11"/>
      <c r="M17" s="11"/>
    </row>
    <row r="18" spans="1:15" ht="51.75" customHeight="1">
      <c r="A18" s="30" t="str">
        <v>CA: San Jose FHC - Citi</v>
      </c>
      <c r="B18" s="31" t="str">
        <v>CA</v>
      </c>
      <c r="C18" s="37">
        <v>53378.5</v>
      </c>
      <c r="D18" s="78">
        <v>57715.5</v>
      </c>
      <c r="E18" s="79">
        <f t="shared" si="2"/>
        <v>0.92485554140568826</v>
      </c>
      <c r="F18" s="14">
        <v>59155</v>
      </c>
      <c r="G18" s="14">
        <f t="shared" si="0"/>
        <v>-5776.5</v>
      </c>
      <c r="H18" s="38">
        <f t="shared" si="5"/>
        <v>-9.7650240892570364E-2</v>
      </c>
      <c r="I18" s="39">
        <v>60806.864000000001</v>
      </c>
      <c r="J18" s="39">
        <f t="shared" si="1"/>
        <v>-7428.3640000000014</v>
      </c>
      <c r="K18" s="40">
        <f t="shared" si="6"/>
        <v>-0.12216324788596236</v>
      </c>
      <c r="L18" s="41" t="s">
        <v>123</v>
      </c>
      <c r="M18" s="108" t="s">
        <v>154</v>
      </c>
      <c r="N18" s="104" t="s">
        <v>155</v>
      </c>
    </row>
    <row r="19" spans="1:15" ht="63.75" customHeight="1">
      <c r="A19" s="32" t="str">
        <v>CA: San Jose MOB - Citi</v>
      </c>
      <c r="B19" s="33" t="str">
        <v>CA</v>
      </c>
      <c r="C19" s="42">
        <v>81782.75</v>
      </c>
      <c r="D19" s="12">
        <v>91386</v>
      </c>
      <c r="E19" s="80">
        <f t="shared" si="2"/>
        <v>0.89491552316547396</v>
      </c>
      <c r="F19" s="20">
        <v>92166</v>
      </c>
      <c r="G19" s="20">
        <f t="shared" si="0"/>
        <v>-10383.25</v>
      </c>
      <c r="H19" s="43">
        <f t="shared" si="5"/>
        <v>-0.11265813857604756</v>
      </c>
      <c r="I19" s="44">
        <v>101706.77499999999</v>
      </c>
      <c r="J19" s="20">
        <f t="shared" si="1"/>
        <v>-19924.024999999994</v>
      </c>
      <c r="K19" s="43">
        <f t="shared" si="6"/>
        <v>-0.1958967335263555</v>
      </c>
      <c r="L19" s="84" t="s">
        <v>156</v>
      </c>
      <c r="M19" s="107" t="s">
        <v>126</v>
      </c>
      <c r="N19" s="104" t="s">
        <v>157</v>
      </c>
    </row>
    <row r="20" spans="1:15" ht="28.9">
      <c r="A20" s="30" t="str">
        <v>CA: Selma - Citi</v>
      </c>
      <c r="B20" s="31" t="str">
        <v>CA</v>
      </c>
      <c r="C20" s="37">
        <v>49911.5</v>
      </c>
      <c r="D20" s="78">
        <v>55270.29</v>
      </c>
      <c r="E20" s="79">
        <f t="shared" si="2"/>
        <v>0.90304393192074806</v>
      </c>
      <c r="F20" s="14">
        <v>54770</v>
      </c>
      <c r="G20" s="14">
        <f t="shared" si="0"/>
        <v>-4858.5</v>
      </c>
      <c r="H20" s="38">
        <f t="shared" si="5"/>
        <v>-8.8707321526383054E-2</v>
      </c>
      <c r="I20" s="39">
        <v>58466.923999999999</v>
      </c>
      <c r="J20" s="39">
        <f t="shared" si="1"/>
        <v>-8555.4239999999991</v>
      </c>
      <c r="K20" s="40">
        <f t="shared" si="6"/>
        <v>-0.14632929893831936</v>
      </c>
      <c r="L20" s="41" t="s">
        <v>158</v>
      </c>
      <c r="M20" s="108" t="s">
        <v>159</v>
      </c>
    </row>
    <row r="21" spans="1:15" ht="115.15">
      <c r="A21" s="32" t="str">
        <v>CA: Vacaville Hospital</v>
      </c>
      <c r="B21" s="33" t="str">
        <v>CA</v>
      </c>
      <c r="C21" s="42">
        <v>344789</v>
      </c>
      <c r="D21" s="12">
        <v>384708.33</v>
      </c>
      <c r="E21" s="80">
        <f t="shared" si="2"/>
        <v>0.89623481768642754</v>
      </c>
      <c r="F21" s="20">
        <v>379954</v>
      </c>
      <c r="G21" s="20">
        <f t="shared" si="0"/>
        <v>-35165</v>
      </c>
      <c r="H21" s="43">
        <f t="shared" si="5"/>
        <v>-9.2550677187238459E-2</v>
      </c>
      <c r="I21" s="44">
        <v>454280.38799999998</v>
      </c>
      <c r="J21" s="20">
        <f t="shared" si="1"/>
        <v>-109491.38799999998</v>
      </c>
      <c r="K21" s="43">
        <f t="shared" si="6"/>
        <v>-0.24102160448097526</v>
      </c>
      <c r="L21" s="85" t="s">
        <v>160</v>
      </c>
      <c r="M21" s="109" t="s">
        <v>161</v>
      </c>
      <c r="N21" s="104" t="s">
        <v>162</v>
      </c>
      <c r="O21" s="104" t="s">
        <v>162</v>
      </c>
    </row>
    <row r="22" spans="1:15" ht="115.15">
      <c r="A22" s="30" t="str">
        <v>CA: Manteca - KP Manteca Hospital</v>
      </c>
      <c r="B22" s="31" t="str">
        <v>CA</v>
      </c>
      <c r="C22" s="37">
        <v>75256.25</v>
      </c>
      <c r="D22" s="78">
        <v>126381</v>
      </c>
      <c r="E22" s="79">
        <f t="shared" si="2"/>
        <v>0.59547123380887945</v>
      </c>
      <c r="F22" s="14">
        <v>117746.31299999999</v>
      </c>
      <c r="G22" s="14">
        <f t="shared" si="0"/>
        <v>-42490.062999999995</v>
      </c>
      <c r="H22" s="38">
        <f t="shared" si="5"/>
        <v>-0.36086109125132432</v>
      </c>
      <c r="I22" s="39">
        <v>83101.055999999997</v>
      </c>
      <c r="J22" s="39">
        <f t="shared" si="1"/>
        <v>-7844.8059999999969</v>
      </c>
      <c r="K22" s="40">
        <f t="shared" si="6"/>
        <v>-9.4400797987452739E-2</v>
      </c>
      <c r="L22" s="41" t="s">
        <v>163</v>
      </c>
      <c r="M22" s="108" t="s">
        <v>164</v>
      </c>
      <c r="N22" s="104" t="s">
        <v>165</v>
      </c>
      <c r="O22" s="104" t="s">
        <v>166</v>
      </c>
    </row>
    <row r="23" spans="1:15" ht="108.75" customHeight="1">
      <c r="A23" s="32" t="str">
        <v>Sacramento - KP South Sacramento HSP</v>
      </c>
      <c r="B23" s="33" t="str">
        <v>CA</v>
      </c>
      <c r="C23" s="42">
        <v>376541.43</v>
      </c>
      <c r="D23" s="12" t="s">
        <v>133</v>
      </c>
      <c r="E23" s="80"/>
      <c r="F23" s="20">
        <v>0</v>
      </c>
      <c r="G23" s="20">
        <f t="shared" si="0"/>
        <v>376541.43</v>
      </c>
      <c r="H23" s="38" t="str">
        <f>IFERROR(G23/F23, "")</f>
        <v/>
      </c>
      <c r="I23" s="44">
        <v>405860</v>
      </c>
      <c r="J23" s="20">
        <f t="shared" si="1"/>
        <v>-29318.570000000007</v>
      </c>
      <c r="K23" s="43">
        <f>IFERROR(J23/I23, "")</f>
        <v>-7.2238136303158743E-2</v>
      </c>
      <c r="L23" s="85" t="s">
        <v>167</v>
      </c>
      <c r="M23" s="109" t="s">
        <v>168</v>
      </c>
      <c r="N23" s="104" t="s">
        <v>169</v>
      </c>
      <c r="O23" s="104" t="s">
        <v>170</v>
      </c>
    </row>
    <row r="24" spans="1:15" ht="14.45">
      <c r="A24" s="23"/>
      <c r="B24" s="35"/>
      <c r="C24" s="23"/>
      <c r="D24" s="23"/>
      <c r="E24" s="23"/>
      <c r="F24" s="23"/>
      <c r="G24" s="23"/>
      <c r="H24" s="23"/>
      <c r="I24" s="23"/>
      <c r="J24" s="23"/>
      <c r="K24" s="23"/>
      <c r="L24" s="23"/>
      <c r="M24" s="23"/>
    </row>
    <row r="25" spans="1:15" ht="14.45">
      <c r="A25" s="23"/>
      <c r="B25" s="35"/>
      <c r="C25" s="23"/>
      <c r="D25" s="23"/>
      <c r="E25" s="23"/>
      <c r="F25" s="23"/>
      <c r="G25" s="23"/>
      <c r="H25" s="23"/>
      <c r="I25" s="23"/>
      <c r="J25" s="23"/>
      <c r="K25" s="23"/>
      <c r="L25" s="23"/>
      <c r="M25" s="23"/>
    </row>
    <row r="26" spans="1:15" ht="14.45">
      <c r="A26" s="23"/>
      <c r="B26" s="35"/>
      <c r="C26" s="23"/>
      <c r="D26" s="23"/>
      <c r="E26" s="23"/>
      <c r="F26" s="23"/>
      <c r="G26" s="23"/>
      <c r="H26" s="23"/>
      <c r="I26" s="23"/>
      <c r="J26" s="23"/>
      <c r="K26" s="23"/>
      <c r="L26" s="23"/>
      <c r="M26" s="23"/>
    </row>
    <row r="27" spans="1:15" ht="14.45">
      <c r="A27" s="23"/>
      <c r="B27" s="35"/>
      <c r="C27" s="23"/>
      <c r="D27" s="23"/>
      <c r="E27" s="23"/>
      <c r="F27" s="23"/>
      <c r="G27" s="23"/>
      <c r="H27" s="23"/>
      <c r="I27" s="23"/>
      <c r="J27" s="23"/>
      <c r="K27" s="23"/>
      <c r="L27" s="23"/>
      <c r="M27" s="23"/>
    </row>
    <row r="28" spans="1:15" ht="14.45">
      <c r="A28" s="23"/>
      <c r="B28" s="35"/>
      <c r="C28" s="23"/>
      <c r="D28" s="23"/>
      <c r="E28" s="23"/>
      <c r="F28" s="23"/>
      <c r="G28" s="23"/>
      <c r="H28" s="23"/>
      <c r="I28" s="23"/>
      <c r="J28" s="23"/>
      <c r="K28" s="23"/>
      <c r="L28" s="23"/>
      <c r="M28" s="23"/>
    </row>
    <row r="29" spans="1:15" ht="14.45">
      <c r="A29" s="23"/>
      <c r="B29" s="35"/>
      <c r="C29" s="23"/>
      <c r="D29" s="23"/>
      <c r="E29" s="23"/>
      <c r="F29" s="23"/>
      <c r="G29" s="23"/>
      <c r="H29" s="23"/>
      <c r="I29" s="23"/>
      <c r="J29" s="23"/>
      <c r="K29" s="23"/>
      <c r="L29" s="23"/>
      <c r="M29" s="23"/>
    </row>
    <row r="30" spans="1:15" ht="14.45">
      <c r="A30" s="23"/>
      <c r="B30" s="35"/>
      <c r="C30" s="23"/>
      <c r="D30" s="23"/>
      <c r="E30" s="23"/>
      <c r="F30" s="23"/>
      <c r="G30" s="23"/>
      <c r="H30" s="23"/>
      <c r="I30" s="23"/>
      <c r="J30" s="23"/>
      <c r="K30" s="23"/>
      <c r="L30" s="23"/>
      <c r="M30" s="23"/>
    </row>
    <row r="31" spans="1:15" ht="14.45">
      <c r="A31" s="23"/>
      <c r="B31" s="35"/>
      <c r="C31" s="23"/>
      <c r="D31" s="23"/>
      <c r="E31" s="23"/>
      <c r="F31" s="23"/>
      <c r="G31" s="23"/>
      <c r="H31" s="23"/>
      <c r="I31" s="23"/>
      <c r="J31" s="63"/>
      <c r="K31" s="23"/>
      <c r="L31" s="23"/>
      <c r="M31" s="23"/>
    </row>
    <row r="32" spans="1:15" ht="14.45">
      <c r="A32" s="23"/>
      <c r="B32" s="35"/>
      <c r="C32" s="23"/>
      <c r="D32" s="23"/>
      <c r="E32" s="23"/>
      <c r="F32" s="23"/>
      <c r="G32" s="23"/>
      <c r="H32" s="63"/>
      <c r="I32" s="63"/>
      <c r="J32" s="63"/>
      <c r="K32" s="23"/>
      <c r="L32" s="23"/>
      <c r="M32" s="23"/>
    </row>
    <row r="33" spans="1:13" ht="14.45">
      <c r="A33" s="23"/>
      <c r="B33" s="35"/>
      <c r="C33" s="23"/>
      <c r="D33" s="23"/>
      <c r="E33" s="23"/>
      <c r="F33" s="23"/>
      <c r="G33" s="23"/>
      <c r="H33" s="63"/>
      <c r="I33" s="63"/>
      <c r="J33" s="63"/>
      <c r="K33" s="24"/>
      <c r="L33" s="23"/>
      <c r="M33" s="23"/>
    </row>
    <row r="34" spans="1:13" ht="14.45">
      <c r="A34" s="23"/>
      <c r="B34" s="35"/>
      <c r="C34" s="23"/>
      <c r="D34" s="23"/>
      <c r="E34" s="23"/>
      <c r="F34" s="23"/>
      <c r="G34" s="23"/>
      <c r="H34" s="118"/>
      <c r="I34" s="63"/>
      <c r="J34" s="63"/>
      <c r="K34" s="24"/>
      <c r="L34" s="23"/>
      <c r="M34" s="23"/>
    </row>
    <row r="35" spans="1:13" ht="14.45">
      <c r="A35" s="23"/>
      <c r="B35" s="35"/>
      <c r="C35" s="23"/>
      <c r="D35" s="23"/>
      <c r="E35" s="23"/>
      <c r="F35" s="23"/>
      <c r="G35" s="23"/>
      <c r="H35" s="63"/>
      <c r="I35" s="63"/>
      <c r="J35" s="63"/>
      <c r="K35" s="24"/>
      <c r="L35" s="23"/>
      <c r="M35" s="23"/>
    </row>
    <row r="36" spans="1:13" ht="14.45">
      <c r="A36" s="23"/>
      <c r="B36" s="35"/>
      <c r="C36" s="23"/>
      <c r="D36" s="23"/>
      <c r="E36" s="23"/>
      <c r="F36" s="23"/>
      <c r="G36" s="23"/>
      <c r="H36" s="63"/>
      <c r="I36" s="63"/>
      <c r="J36" s="63"/>
      <c r="K36" s="24"/>
      <c r="L36" s="23"/>
      <c r="M36" s="23"/>
    </row>
    <row r="37" spans="1:13" ht="14.45">
      <c r="A37" s="23"/>
      <c r="B37" s="35"/>
      <c r="C37" s="23"/>
      <c r="D37" s="23"/>
      <c r="E37" s="23"/>
      <c r="F37" s="23"/>
      <c r="G37" s="23"/>
      <c r="H37" s="63"/>
      <c r="I37" s="63"/>
      <c r="J37" s="63"/>
      <c r="K37" s="24"/>
      <c r="L37" s="23"/>
      <c r="M37" s="23"/>
    </row>
    <row r="38" spans="1:13" ht="14.45">
      <c r="A38" s="23"/>
      <c r="B38" s="35"/>
      <c r="C38" s="23"/>
      <c r="D38" s="23"/>
      <c r="E38" s="23"/>
      <c r="F38" s="23"/>
      <c r="G38" s="23"/>
      <c r="H38" s="63"/>
      <c r="I38" s="63"/>
      <c r="J38" s="63"/>
      <c r="K38" s="24"/>
      <c r="L38" s="23"/>
      <c r="M38" s="23"/>
    </row>
    <row r="39" spans="1:13" ht="14.45">
      <c r="A39" s="23"/>
      <c r="B39" s="35"/>
      <c r="C39" s="23"/>
      <c r="D39" s="23"/>
      <c r="E39" s="23"/>
      <c r="F39" s="23"/>
      <c r="G39" s="23"/>
      <c r="H39" s="63"/>
      <c r="I39" s="63"/>
      <c r="J39" s="63"/>
      <c r="K39" s="24"/>
      <c r="L39" s="23"/>
      <c r="M39" s="23"/>
    </row>
    <row r="40" spans="1:13" ht="14.45">
      <c r="A40" s="23"/>
      <c r="B40" s="35"/>
      <c r="C40" s="23"/>
      <c r="D40" s="23"/>
      <c r="E40" s="23"/>
      <c r="F40" s="23"/>
      <c r="G40" s="23"/>
      <c r="H40" s="63"/>
      <c r="I40" s="63"/>
      <c r="J40" s="63"/>
      <c r="K40" s="24"/>
      <c r="L40" s="23"/>
      <c r="M40" s="23"/>
    </row>
    <row r="41" spans="1:13" ht="14.45">
      <c r="A41" s="23"/>
      <c r="B41" s="35"/>
      <c r="C41" s="23"/>
      <c r="D41" s="23"/>
      <c r="E41" s="23"/>
      <c r="F41" s="23"/>
      <c r="G41" s="23"/>
      <c r="H41" s="63"/>
      <c r="I41" s="63"/>
      <c r="J41" s="63"/>
      <c r="K41" s="24"/>
      <c r="L41" s="23"/>
      <c r="M41" s="23"/>
    </row>
    <row r="42" spans="1:13" ht="14.45">
      <c r="A42" s="23"/>
      <c r="B42" s="35"/>
      <c r="C42" s="23"/>
      <c r="D42" s="23"/>
      <c r="E42" s="23"/>
      <c r="F42" s="23"/>
      <c r="G42" s="23"/>
      <c r="H42" s="63"/>
      <c r="I42" s="63"/>
      <c r="J42" s="63"/>
      <c r="K42" s="24"/>
      <c r="L42" s="23"/>
      <c r="M42" s="23"/>
    </row>
    <row r="43" spans="1:13" ht="14.45">
      <c r="A43" s="23"/>
      <c r="B43" s="35"/>
      <c r="C43" s="23"/>
      <c r="D43" s="23"/>
      <c r="E43" s="23"/>
      <c r="F43" s="23"/>
      <c r="G43" s="23"/>
      <c r="H43" s="63"/>
      <c r="I43" s="63"/>
      <c r="J43" s="63"/>
      <c r="K43" s="24"/>
      <c r="L43" s="23"/>
      <c r="M43" s="23"/>
    </row>
    <row r="44" spans="1:13" ht="14.45">
      <c r="A44" s="23"/>
      <c r="B44" s="35"/>
      <c r="C44" s="23"/>
      <c r="D44" s="23"/>
      <c r="E44" s="23"/>
      <c r="F44" s="23"/>
      <c r="G44" s="23"/>
      <c r="H44" s="63"/>
      <c r="I44" s="63"/>
      <c r="J44" s="63"/>
      <c r="K44" s="24"/>
      <c r="L44" s="23"/>
      <c r="M44" s="23"/>
    </row>
    <row r="45" spans="1:13" ht="14.45">
      <c r="A45" s="23"/>
      <c r="B45" s="35"/>
      <c r="C45" s="23"/>
      <c r="D45" s="23"/>
      <c r="E45" s="23"/>
      <c r="F45" s="23"/>
      <c r="G45" s="23"/>
      <c r="H45" s="63"/>
      <c r="I45" s="63"/>
      <c r="J45" s="63"/>
      <c r="K45" s="24"/>
      <c r="L45" s="23"/>
      <c r="M45" s="23"/>
    </row>
    <row r="46" spans="1:13" ht="14.45">
      <c r="A46" s="23"/>
      <c r="B46" s="35"/>
      <c r="C46" s="23"/>
      <c r="D46" s="23"/>
      <c r="E46" s="23"/>
      <c r="F46" s="23"/>
      <c r="G46" s="23"/>
      <c r="H46" s="63"/>
      <c r="I46" s="63"/>
      <c r="J46" s="63"/>
      <c r="K46" s="24"/>
      <c r="L46" s="23"/>
      <c r="M46" s="23"/>
    </row>
    <row r="47" spans="1:13" ht="14.45">
      <c r="A47" s="23"/>
      <c r="B47" s="35"/>
      <c r="C47" s="23"/>
      <c r="D47" s="23"/>
      <c r="E47" s="23"/>
      <c r="F47" s="23"/>
      <c r="G47" s="23"/>
      <c r="H47" s="63"/>
      <c r="I47" s="63"/>
      <c r="J47" s="63"/>
      <c r="K47" s="24"/>
      <c r="L47" s="23"/>
      <c r="M47" s="23"/>
    </row>
    <row r="48" spans="1:13" ht="14.45">
      <c r="A48" s="23"/>
      <c r="B48" s="35"/>
      <c r="C48" s="23"/>
      <c r="D48" s="23"/>
      <c r="E48" s="23"/>
      <c r="F48" s="23"/>
      <c r="G48" s="23"/>
      <c r="H48" s="63"/>
      <c r="I48" s="63"/>
      <c r="J48" s="63"/>
      <c r="K48" s="24"/>
      <c r="L48" s="23"/>
      <c r="M48" s="23"/>
    </row>
    <row r="49" spans="1:13" ht="14.45">
      <c r="A49" s="23"/>
      <c r="B49" s="35"/>
      <c r="C49" s="23"/>
      <c r="D49" s="23"/>
      <c r="E49" s="23"/>
      <c r="F49" s="23"/>
      <c r="G49" s="23"/>
      <c r="H49" s="63"/>
      <c r="I49" s="63"/>
      <c r="J49" s="63"/>
      <c r="K49" s="24"/>
      <c r="L49" s="23"/>
      <c r="M49" s="23"/>
    </row>
    <row r="50" spans="1:13" ht="14.45">
      <c r="A50" s="23"/>
      <c r="B50" s="35"/>
      <c r="C50" s="23"/>
      <c r="D50" s="23"/>
      <c r="E50" s="23"/>
      <c r="F50" s="23"/>
      <c r="G50" s="23"/>
      <c r="H50" s="24"/>
      <c r="I50" s="23"/>
      <c r="J50" s="23"/>
      <c r="K50" s="24"/>
      <c r="L50" s="23"/>
      <c r="M50" s="23"/>
    </row>
    <row r="51" spans="1:13" ht="14.45">
      <c r="A51" s="23"/>
      <c r="B51" s="35"/>
      <c r="C51" s="23"/>
      <c r="D51" s="23"/>
      <c r="E51" s="23"/>
      <c r="F51" s="23"/>
      <c r="G51" s="23"/>
      <c r="H51" s="24"/>
      <c r="I51" s="23"/>
      <c r="J51" s="23"/>
      <c r="K51" s="24"/>
      <c r="L51" s="23"/>
      <c r="M51" s="23"/>
    </row>
    <row r="52" spans="1:13" ht="14.45">
      <c r="A52" s="23"/>
      <c r="B52" s="35"/>
      <c r="C52" s="23"/>
      <c r="D52" s="23"/>
      <c r="E52" s="23"/>
      <c r="F52" s="23"/>
      <c r="G52" s="23"/>
      <c r="H52" s="24"/>
      <c r="I52" s="23"/>
      <c r="J52" s="23"/>
      <c r="K52" s="24"/>
      <c r="L52" s="23"/>
      <c r="M52" s="23"/>
    </row>
    <row r="53" spans="1:13" ht="14.45">
      <c r="A53" s="23"/>
      <c r="B53" s="35"/>
      <c r="C53" s="23"/>
      <c r="D53" s="23"/>
      <c r="E53" s="23"/>
      <c r="F53" s="23"/>
      <c r="G53" s="23"/>
      <c r="H53" s="24"/>
      <c r="I53" s="23"/>
      <c r="J53" s="23"/>
      <c r="K53" s="24"/>
      <c r="L53" s="23"/>
      <c r="M53" s="23"/>
    </row>
    <row r="54" spans="1:13" ht="14.45">
      <c r="A54" s="23"/>
      <c r="B54" s="35"/>
      <c r="C54" s="23"/>
      <c r="D54" s="23"/>
      <c r="E54" s="23"/>
      <c r="F54" s="23"/>
      <c r="G54" s="23"/>
      <c r="H54" s="24"/>
      <c r="I54" s="23"/>
      <c r="J54" s="23"/>
      <c r="K54" s="24"/>
      <c r="L54" s="23"/>
      <c r="M54" s="23"/>
    </row>
    <row r="55" spans="1:13" ht="14.45">
      <c r="A55" s="23"/>
      <c r="B55" s="35"/>
      <c r="C55" s="23"/>
      <c r="D55" s="23"/>
      <c r="E55" s="23"/>
      <c r="F55" s="23"/>
      <c r="G55" s="23"/>
      <c r="H55" s="24"/>
      <c r="I55" s="23"/>
      <c r="J55" s="23"/>
      <c r="K55" s="24"/>
      <c r="L55" s="23"/>
      <c r="M55" s="23"/>
    </row>
    <row r="56" spans="1:13" ht="14.45">
      <c r="A56" s="23"/>
      <c r="B56" s="35"/>
      <c r="C56" s="23"/>
      <c r="D56" s="23"/>
      <c r="E56" s="23"/>
      <c r="F56" s="23"/>
      <c r="G56" s="23"/>
      <c r="H56" s="24"/>
      <c r="I56" s="23"/>
      <c r="J56" s="23"/>
      <c r="K56" s="24"/>
      <c r="L56" s="23"/>
      <c r="M56" s="23"/>
    </row>
    <row r="57" spans="1:13" ht="14.45">
      <c r="A57" s="23"/>
      <c r="B57" s="35"/>
      <c r="C57" s="23"/>
      <c r="D57" s="23"/>
      <c r="E57" s="23"/>
      <c r="F57" s="23"/>
      <c r="G57" s="23"/>
      <c r="H57" s="24"/>
      <c r="I57" s="23"/>
      <c r="J57" s="23"/>
      <c r="K57" s="24"/>
      <c r="L57" s="23"/>
      <c r="M57" s="23"/>
    </row>
    <row r="58" spans="1:13" ht="14.45">
      <c r="A58" s="23"/>
      <c r="B58" s="35"/>
      <c r="C58" s="23"/>
      <c r="D58" s="23"/>
      <c r="E58" s="23"/>
      <c r="F58" s="23"/>
      <c r="G58" s="23"/>
      <c r="H58" s="24"/>
      <c r="I58" s="23"/>
      <c r="J58" s="23"/>
      <c r="K58" s="24"/>
      <c r="L58" s="23"/>
      <c r="M58" s="23"/>
    </row>
    <row r="59" spans="1:13" ht="14.45">
      <c r="A59" s="23"/>
      <c r="B59" s="35"/>
      <c r="C59" s="23"/>
      <c r="D59" s="23"/>
      <c r="E59" s="23"/>
      <c r="F59" s="23"/>
      <c r="G59" s="23"/>
      <c r="H59" s="24"/>
      <c r="I59" s="23"/>
      <c r="J59" s="23"/>
      <c r="K59" s="24"/>
      <c r="L59" s="23"/>
      <c r="M59" s="23"/>
    </row>
    <row r="60" spans="1:13" ht="14.45">
      <c r="A60" s="23"/>
      <c r="B60" s="35"/>
      <c r="C60" s="23"/>
      <c r="D60" s="23"/>
      <c r="E60" s="23"/>
      <c r="F60" s="23"/>
      <c r="G60" s="23"/>
      <c r="H60" s="24"/>
      <c r="I60" s="23"/>
      <c r="J60" s="23"/>
      <c r="K60" s="24"/>
      <c r="L60" s="23"/>
      <c r="M60" s="23"/>
    </row>
    <row r="61" spans="1:13" ht="14.45">
      <c r="A61" s="23"/>
      <c r="B61" s="35"/>
      <c r="C61" s="23"/>
      <c r="D61" s="23"/>
      <c r="E61" s="23"/>
      <c r="F61" s="23"/>
      <c r="G61" s="23"/>
      <c r="H61" s="24"/>
      <c r="I61" s="23"/>
      <c r="J61" s="23"/>
      <c r="K61" s="24"/>
      <c r="L61" s="23"/>
      <c r="M61" s="23"/>
    </row>
    <row r="62" spans="1:13" ht="14.45">
      <c r="A62" s="23"/>
      <c r="B62" s="35"/>
      <c r="C62" s="23"/>
      <c r="D62" s="23"/>
      <c r="E62" s="23"/>
      <c r="F62" s="23"/>
      <c r="G62" s="23"/>
      <c r="H62" s="24"/>
      <c r="I62" s="23"/>
      <c r="J62" s="23"/>
      <c r="K62" s="24"/>
      <c r="L62" s="23"/>
      <c r="M62" s="23"/>
    </row>
    <row r="63" spans="1:13" ht="14.45">
      <c r="A63" s="23"/>
      <c r="B63" s="35"/>
      <c r="C63" s="23"/>
      <c r="D63" s="23"/>
      <c r="E63" s="23"/>
      <c r="F63" s="23"/>
      <c r="G63" s="23"/>
      <c r="H63" s="24"/>
      <c r="I63" s="23"/>
      <c r="J63" s="23"/>
      <c r="K63" s="24"/>
      <c r="L63" s="23"/>
      <c r="M63" s="23"/>
    </row>
    <row r="64" spans="1:13" ht="14.45">
      <c r="A64" s="23"/>
      <c r="B64" s="35"/>
      <c r="C64" s="23"/>
      <c r="D64" s="23"/>
      <c r="E64" s="23"/>
      <c r="F64" s="23"/>
      <c r="G64" s="23"/>
      <c r="H64" s="24"/>
      <c r="I64" s="23"/>
      <c r="J64" s="23"/>
      <c r="K64" s="24"/>
      <c r="L64" s="23"/>
      <c r="M64" s="23"/>
    </row>
    <row r="65" spans="1:13" ht="14.45">
      <c r="A65" s="23"/>
      <c r="B65" s="35"/>
      <c r="C65" s="23"/>
      <c r="D65" s="23"/>
      <c r="E65" s="23"/>
      <c r="F65" s="23"/>
      <c r="G65" s="23"/>
      <c r="H65" s="24"/>
      <c r="I65" s="23"/>
      <c r="J65" s="23"/>
      <c r="K65" s="24"/>
      <c r="L65" s="23"/>
      <c r="M65" s="23"/>
    </row>
    <row r="66" spans="1:13" ht="14.45">
      <c r="A66" s="23"/>
      <c r="B66" s="35"/>
      <c r="C66" s="23"/>
      <c r="D66" s="23"/>
      <c r="E66" s="23"/>
      <c r="F66" s="23"/>
      <c r="G66" s="23"/>
      <c r="H66" s="24"/>
      <c r="I66" s="23"/>
      <c r="J66" s="23"/>
      <c r="K66" s="24"/>
      <c r="L66" s="23"/>
      <c r="M66" s="23"/>
    </row>
    <row r="67" spans="1:13" ht="14.45">
      <c r="A67" s="23"/>
      <c r="B67" s="35"/>
      <c r="C67" s="23"/>
      <c r="D67" s="23"/>
      <c r="E67" s="23"/>
      <c r="F67" s="23"/>
      <c r="G67" s="23"/>
      <c r="H67" s="24"/>
      <c r="I67" s="23"/>
      <c r="J67" s="23"/>
      <c r="K67" s="24"/>
      <c r="L67" s="23"/>
      <c r="M67" s="23"/>
    </row>
    <row r="68" spans="1:13" ht="14.45">
      <c r="A68" s="23"/>
      <c r="B68" s="35"/>
      <c r="C68" s="23"/>
      <c r="D68" s="23"/>
      <c r="E68" s="23"/>
      <c r="F68" s="23"/>
      <c r="G68" s="23"/>
      <c r="H68" s="24"/>
      <c r="I68" s="23"/>
      <c r="J68" s="23"/>
      <c r="K68" s="24"/>
      <c r="L68" s="23"/>
      <c r="M68" s="23"/>
    </row>
    <row r="69" spans="1:13" ht="14.45">
      <c r="A69" s="23"/>
      <c r="B69" s="35"/>
      <c r="C69" s="23"/>
      <c r="D69" s="23"/>
      <c r="E69" s="23"/>
      <c r="F69" s="23"/>
      <c r="G69" s="23"/>
      <c r="H69" s="24"/>
      <c r="I69" s="23"/>
      <c r="J69" s="23"/>
      <c r="K69" s="24"/>
      <c r="L69" s="23"/>
      <c r="M69" s="23"/>
    </row>
    <row r="70" spans="1:13" ht="14.45">
      <c r="A70" s="23"/>
      <c r="B70" s="35"/>
      <c r="C70" s="23"/>
      <c r="D70" s="23"/>
      <c r="E70" s="23"/>
      <c r="F70" s="23"/>
      <c r="G70" s="23"/>
      <c r="H70" s="24"/>
      <c r="I70" s="23"/>
      <c r="J70" s="23"/>
      <c r="K70" s="24"/>
      <c r="L70" s="23"/>
      <c r="M70" s="23"/>
    </row>
    <row r="71" spans="1:13" ht="14.45">
      <c r="A71" s="23"/>
      <c r="B71" s="35"/>
      <c r="C71" s="23"/>
      <c r="D71" s="23"/>
      <c r="E71" s="23"/>
      <c r="F71" s="23"/>
      <c r="G71" s="23"/>
      <c r="H71" s="24"/>
      <c r="I71" s="23"/>
      <c r="J71" s="23"/>
      <c r="K71" s="24"/>
      <c r="L71" s="23"/>
      <c r="M71" s="23"/>
    </row>
    <row r="72" spans="1:13" ht="14.45">
      <c r="A72" s="23"/>
      <c r="B72" s="35"/>
      <c r="C72" s="23"/>
      <c r="D72" s="23"/>
      <c r="E72" s="23"/>
      <c r="F72" s="23"/>
      <c r="G72" s="23"/>
      <c r="H72" s="24"/>
      <c r="I72" s="23"/>
      <c r="J72" s="23"/>
      <c r="K72" s="24"/>
      <c r="L72" s="23"/>
      <c r="M72" s="23"/>
    </row>
    <row r="73" spans="1:13" ht="14.45">
      <c r="A73" s="23"/>
      <c r="B73" s="35"/>
      <c r="C73" s="23"/>
      <c r="D73" s="23"/>
      <c r="E73" s="23"/>
      <c r="F73" s="23"/>
      <c r="G73" s="23"/>
      <c r="H73" s="24"/>
      <c r="I73" s="23"/>
      <c r="J73" s="23"/>
      <c r="K73" s="24"/>
      <c r="L73" s="23"/>
      <c r="M73" s="23"/>
    </row>
    <row r="74" spans="1:13" ht="14.45">
      <c r="A74" s="23"/>
      <c r="B74" s="35"/>
      <c r="C74" s="23"/>
      <c r="D74" s="23"/>
      <c r="E74" s="23"/>
      <c r="F74" s="23"/>
      <c r="G74" s="23"/>
      <c r="H74" s="24"/>
      <c r="I74" s="23"/>
      <c r="J74" s="23"/>
      <c r="K74" s="24"/>
      <c r="L74" s="23"/>
      <c r="M74" s="23"/>
    </row>
    <row r="75" spans="1:13" ht="14.45">
      <c r="A75" s="23"/>
      <c r="B75" s="35"/>
      <c r="C75" s="23"/>
      <c r="D75" s="23"/>
      <c r="E75" s="23"/>
      <c r="F75" s="23"/>
      <c r="G75" s="23"/>
      <c r="H75" s="24"/>
      <c r="I75" s="23"/>
      <c r="J75" s="23"/>
      <c r="K75" s="24"/>
      <c r="L75" s="23"/>
      <c r="M75" s="23"/>
    </row>
    <row r="76" spans="1:13" ht="14.45">
      <c r="A76" s="23"/>
      <c r="B76" s="35"/>
      <c r="C76" s="23"/>
      <c r="D76" s="23"/>
      <c r="E76" s="23"/>
      <c r="F76" s="23"/>
      <c r="G76" s="23"/>
      <c r="H76" s="24"/>
      <c r="I76" s="23"/>
      <c r="J76" s="23"/>
      <c r="K76" s="24"/>
      <c r="L76" s="23"/>
      <c r="M76" s="23"/>
    </row>
    <row r="77" spans="1:13" ht="14.45">
      <c r="A77" s="23"/>
      <c r="B77" s="35"/>
      <c r="C77" s="23"/>
      <c r="D77" s="23"/>
      <c r="E77" s="23"/>
      <c r="F77" s="23"/>
      <c r="G77" s="23"/>
      <c r="H77" s="24"/>
      <c r="I77" s="23"/>
      <c r="J77" s="23"/>
      <c r="K77" s="24"/>
      <c r="L77" s="23"/>
      <c r="M77" s="23"/>
    </row>
    <row r="78" spans="1:13" ht="14.45">
      <c r="A78" s="23"/>
      <c r="B78" s="35"/>
      <c r="C78" s="23"/>
      <c r="D78" s="23"/>
      <c r="E78" s="23"/>
      <c r="F78" s="23"/>
      <c r="G78" s="23"/>
      <c r="H78" s="24"/>
      <c r="I78" s="23"/>
      <c r="J78" s="23"/>
      <c r="K78" s="24"/>
      <c r="L78" s="23"/>
      <c r="M78" s="23"/>
    </row>
    <row r="79" spans="1:13" ht="14.45">
      <c r="A79" s="23"/>
      <c r="B79" s="35"/>
      <c r="C79" s="23"/>
      <c r="D79" s="23"/>
      <c r="E79" s="23"/>
      <c r="F79" s="23"/>
      <c r="G79" s="23"/>
      <c r="H79" s="24"/>
      <c r="I79" s="23"/>
      <c r="J79" s="23"/>
      <c r="K79" s="24"/>
      <c r="L79" s="23"/>
      <c r="M79" s="23"/>
    </row>
    <row r="80" spans="1:13" ht="14.45">
      <c r="A80" s="23"/>
      <c r="B80" s="35"/>
      <c r="C80" s="23"/>
      <c r="D80" s="23"/>
      <c r="E80" s="23"/>
      <c r="F80" s="23"/>
      <c r="G80" s="23"/>
      <c r="H80" s="24"/>
      <c r="I80" s="23"/>
      <c r="J80" s="23"/>
      <c r="K80" s="24"/>
      <c r="L80" s="23"/>
      <c r="M80" s="23"/>
    </row>
    <row r="81" spans="1:13" ht="14.45">
      <c r="A81" s="23"/>
      <c r="B81" s="35"/>
      <c r="C81" s="23"/>
      <c r="D81" s="23"/>
      <c r="E81" s="23"/>
      <c r="F81" s="23"/>
      <c r="G81" s="23"/>
      <c r="H81" s="24"/>
      <c r="I81" s="23"/>
      <c r="J81" s="23"/>
      <c r="K81" s="24"/>
      <c r="L81" s="23"/>
      <c r="M81" s="23"/>
    </row>
    <row r="82" spans="1:13" ht="14.45">
      <c r="A82" s="23"/>
      <c r="B82" s="35"/>
      <c r="C82" s="23"/>
      <c r="D82" s="23"/>
      <c r="E82" s="23"/>
      <c r="F82" s="23"/>
      <c r="G82" s="23"/>
      <c r="H82" s="24"/>
      <c r="I82" s="23"/>
      <c r="J82" s="23"/>
      <c r="K82" s="24"/>
      <c r="L82" s="23"/>
      <c r="M82" s="23"/>
    </row>
    <row r="83" spans="1:13" ht="14.45">
      <c r="A83" s="23"/>
      <c r="B83" s="35"/>
      <c r="C83" s="23"/>
      <c r="D83" s="23"/>
      <c r="E83" s="23"/>
      <c r="F83" s="23"/>
      <c r="G83" s="23"/>
      <c r="H83" s="24"/>
      <c r="I83" s="23"/>
      <c r="J83" s="23"/>
      <c r="K83" s="24"/>
      <c r="L83" s="23"/>
      <c r="M83" s="23"/>
    </row>
    <row r="84" spans="1:13" ht="14.45">
      <c r="A84" s="23"/>
      <c r="B84" s="35"/>
      <c r="C84" s="23"/>
      <c r="D84" s="23"/>
      <c r="E84" s="23"/>
      <c r="F84" s="23"/>
      <c r="G84" s="23"/>
      <c r="H84" s="24"/>
      <c r="I84" s="23"/>
      <c r="J84" s="23"/>
      <c r="K84" s="24"/>
      <c r="L84" s="23"/>
      <c r="M84" s="23"/>
    </row>
    <row r="85" spans="1:13" ht="14.45">
      <c r="A85" s="23"/>
      <c r="B85" s="35"/>
      <c r="C85" s="23"/>
      <c r="D85" s="23"/>
      <c r="E85" s="23"/>
      <c r="F85" s="23"/>
      <c r="G85" s="23"/>
      <c r="H85" s="24"/>
      <c r="I85" s="23"/>
      <c r="J85" s="23"/>
      <c r="K85" s="24"/>
      <c r="L85" s="23"/>
      <c r="M85" s="23"/>
    </row>
    <row r="86" spans="1:13" ht="14.45">
      <c r="A86" s="23"/>
      <c r="B86" s="35"/>
      <c r="C86" s="23"/>
      <c r="D86" s="23"/>
      <c r="E86" s="23"/>
      <c r="F86" s="23"/>
      <c r="G86" s="23"/>
      <c r="H86" s="24"/>
      <c r="I86" s="23"/>
      <c r="J86" s="23"/>
      <c r="K86" s="24"/>
      <c r="L86" s="23"/>
      <c r="M86" s="23"/>
    </row>
    <row r="87" spans="1:13" ht="14.45">
      <c r="A87" s="23"/>
      <c r="B87" s="35"/>
      <c r="C87" s="23"/>
      <c r="D87" s="23"/>
      <c r="E87" s="23"/>
      <c r="F87" s="23"/>
      <c r="G87" s="23"/>
      <c r="H87" s="24"/>
      <c r="I87" s="23"/>
      <c r="J87" s="23"/>
      <c r="K87" s="24"/>
      <c r="L87" s="23"/>
      <c r="M87" s="23"/>
    </row>
    <row r="88" spans="1:13" ht="14.45">
      <c r="A88" s="23"/>
      <c r="B88" s="35"/>
      <c r="C88" s="23"/>
      <c r="D88" s="23"/>
      <c r="E88" s="23"/>
      <c r="F88" s="23"/>
      <c r="G88" s="23"/>
      <c r="H88" s="24"/>
      <c r="I88" s="23"/>
      <c r="J88" s="23"/>
      <c r="K88" s="24"/>
      <c r="L88" s="23"/>
      <c r="M88" s="23"/>
    </row>
    <row r="89" spans="1:13" ht="14.45">
      <c r="A89" s="23"/>
      <c r="B89" s="35"/>
      <c r="C89" s="23"/>
      <c r="D89" s="23"/>
      <c r="E89" s="23"/>
      <c r="F89" s="23"/>
      <c r="G89" s="23"/>
      <c r="H89" s="24"/>
      <c r="I89" s="23"/>
      <c r="J89" s="23"/>
      <c r="K89" s="24"/>
      <c r="L89" s="23"/>
      <c r="M89" s="23"/>
    </row>
    <row r="90" spans="1:13" ht="14.45">
      <c r="A90" s="23"/>
      <c r="B90" s="35"/>
      <c r="C90" s="23"/>
      <c r="D90" s="23"/>
      <c r="E90" s="23"/>
      <c r="F90" s="23"/>
      <c r="G90" s="23"/>
      <c r="H90" s="24"/>
      <c r="I90" s="23"/>
      <c r="J90" s="23"/>
      <c r="K90" s="24"/>
      <c r="L90" s="23"/>
      <c r="M90" s="23"/>
    </row>
    <row r="91" spans="1:13" ht="14.45">
      <c r="A91" s="23"/>
      <c r="B91" s="35"/>
      <c r="C91" s="23"/>
      <c r="D91" s="23"/>
      <c r="E91" s="23"/>
      <c r="F91" s="23"/>
      <c r="G91" s="23"/>
      <c r="H91" s="24"/>
      <c r="I91" s="23"/>
      <c r="J91" s="23"/>
      <c r="K91" s="24"/>
      <c r="L91" s="23"/>
      <c r="M91" s="23"/>
    </row>
    <row r="92" spans="1:13" ht="14.45">
      <c r="A92" s="23"/>
      <c r="B92" s="35"/>
      <c r="C92" s="23"/>
      <c r="D92" s="23"/>
      <c r="E92" s="23"/>
      <c r="F92" s="23"/>
      <c r="G92" s="23"/>
      <c r="H92" s="24"/>
      <c r="I92" s="23"/>
      <c r="J92" s="23"/>
      <c r="K92" s="24"/>
      <c r="L92" s="23"/>
      <c r="M92" s="23"/>
    </row>
    <row r="93" spans="1:13" ht="14.45">
      <c r="A93" s="23"/>
      <c r="B93" s="35"/>
      <c r="C93" s="23"/>
      <c r="D93" s="23"/>
      <c r="E93" s="23"/>
      <c r="F93" s="23"/>
      <c r="G93" s="23"/>
      <c r="H93" s="24"/>
      <c r="I93" s="23"/>
      <c r="J93" s="23"/>
      <c r="K93" s="24"/>
      <c r="L93" s="23"/>
      <c r="M93" s="23"/>
    </row>
    <row r="94" spans="1:13" ht="14.45">
      <c r="A94" s="23"/>
      <c r="B94" s="35"/>
      <c r="C94" s="23"/>
      <c r="D94" s="23"/>
      <c r="E94" s="23"/>
      <c r="F94" s="23"/>
      <c r="G94" s="23"/>
      <c r="H94" s="24"/>
      <c r="I94" s="23"/>
      <c r="J94" s="23"/>
      <c r="K94" s="24"/>
      <c r="L94" s="23"/>
      <c r="M94" s="23"/>
    </row>
    <row r="95" spans="1:13" ht="14.45">
      <c r="A95" s="23"/>
      <c r="B95" s="35"/>
      <c r="C95" s="23"/>
      <c r="D95" s="23"/>
      <c r="E95" s="23"/>
      <c r="F95" s="23"/>
      <c r="G95" s="23"/>
      <c r="H95" s="24"/>
      <c r="I95" s="23"/>
      <c r="J95" s="23"/>
      <c r="K95" s="24"/>
      <c r="L95" s="23"/>
      <c r="M95" s="23"/>
    </row>
    <row r="96" spans="1:13" ht="14.45">
      <c r="A96" s="23"/>
      <c r="B96" s="35"/>
      <c r="C96" s="23"/>
      <c r="D96" s="23"/>
      <c r="E96" s="23"/>
      <c r="F96" s="23"/>
      <c r="G96" s="23"/>
      <c r="H96" s="24"/>
      <c r="I96" s="23"/>
      <c r="J96" s="23"/>
      <c r="K96" s="24"/>
      <c r="L96" s="23"/>
      <c r="M96" s="23"/>
    </row>
    <row r="97" spans="1:13" ht="14.45">
      <c r="A97" s="23"/>
      <c r="B97" s="35"/>
      <c r="C97" s="23"/>
      <c r="D97" s="23"/>
      <c r="E97" s="23"/>
      <c r="F97" s="23"/>
      <c r="G97" s="23"/>
      <c r="H97" s="24"/>
      <c r="I97" s="23"/>
      <c r="J97" s="23"/>
      <c r="K97" s="24"/>
      <c r="L97" s="23"/>
      <c r="M97" s="23"/>
    </row>
    <row r="98" spans="1:13" ht="14.45">
      <c r="A98" s="23"/>
      <c r="B98" s="35"/>
      <c r="C98" s="23"/>
      <c r="D98" s="23"/>
      <c r="E98" s="23"/>
      <c r="F98" s="23"/>
      <c r="G98" s="23"/>
      <c r="H98" s="24"/>
      <c r="I98" s="23"/>
      <c r="J98" s="23"/>
      <c r="K98" s="24"/>
      <c r="L98" s="23"/>
      <c r="M98" s="23"/>
    </row>
    <row r="99" spans="1:13" ht="14.45">
      <c r="A99" s="23"/>
      <c r="B99" s="35"/>
      <c r="C99" s="23"/>
      <c r="D99" s="23"/>
      <c r="E99" s="23"/>
      <c r="F99" s="23"/>
      <c r="G99" s="23"/>
      <c r="H99" s="24"/>
      <c r="I99" s="23"/>
      <c r="J99" s="23"/>
      <c r="K99" s="24"/>
      <c r="L99" s="23"/>
      <c r="M99" s="23"/>
    </row>
    <row r="100" spans="1:13" ht="14.45">
      <c r="A100" s="23"/>
      <c r="B100" s="35"/>
      <c r="C100" s="23"/>
      <c r="D100" s="23"/>
      <c r="E100" s="23"/>
      <c r="F100" s="23"/>
      <c r="G100" s="23"/>
      <c r="H100" s="24"/>
      <c r="I100" s="23"/>
      <c r="J100" s="23"/>
      <c r="K100" s="24"/>
      <c r="L100" s="23"/>
      <c r="M100" s="23"/>
    </row>
    <row r="101" spans="1:13" ht="14.45">
      <c r="A101" s="23"/>
      <c r="B101" s="35"/>
      <c r="C101" s="23"/>
      <c r="D101" s="23"/>
      <c r="E101" s="23"/>
      <c r="F101" s="23"/>
      <c r="G101" s="23"/>
      <c r="H101" s="24"/>
      <c r="I101" s="23"/>
      <c r="J101" s="23"/>
      <c r="K101" s="24"/>
      <c r="L101" s="23"/>
      <c r="M101" s="23"/>
    </row>
    <row r="102" spans="1:13" ht="14.45">
      <c r="A102" s="23"/>
      <c r="B102" s="35"/>
      <c r="C102" s="23"/>
      <c r="D102" s="23"/>
      <c r="E102" s="23"/>
      <c r="F102" s="23"/>
      <c r="G102" s="23"/>
      <c r="H102" s="24"/>
      <c r="I102" s="23"/>
      <c r="J102" s="23"/>
      <c r="K102" s="24"/>
      <c r="L102" s="23"/>
      <c r="M102" s="23"/>
    </row>
    <row r="103" spans="1:13" ht="14.45">
      <c r="A103" s="23"/>
      <c r="B103" s="35"/>
      <c r="C103" s="23"/>
      <c r="D103" s="23"/>
      <c r="E103" s="23"/>
      <c r="F103" s="23"/>
      <c r="G103" s="23"/>
      <c r="H103" s="24"/>
      <c r="I103" s="23"/>
      <c r="J103" s="23"/>
      <c r="K103" s="24"/>
      <c r="L103" s="23"/>
      <c r="M103" s="23"/>
    </row>
    <row r="104" spans="1:13" ht="14.45">
      <c r="A104" s="23"/>
      <c r="B104" s="35"/>
      <c r="C104" s="23"/>
      <c r="D104" s="23"/>
      <c r="E104" s="23"/>
      <c r="F104" s="23"/>
      <c r="G104" s="23"/>
      <c r="H104" s="24"/>
      <c r="I104" s="23"/>
      <c r="J104" s="23"/>
      <c r="K104" s="24"/>
      <c r="L104" s="23"/>
      <c r="M104" s="23"/>
    </row>
    <row r="105" spans="1:13" ht="14.45">
      <c r="A105" s="23"/>
      <c r="B105" s="35"/>
      <c r="C105" s="23"/>
      <c r="D105" s="23"/>
      <c r="E105" s="23"/>
      <c r="F105" s="23"/>
      <c r="G105" s="23"/>
      <c r="H105" s="24"/>
      <c r="I105" s="23"/>
      <c r="J105" s="23"/>
      <c r="K105" s="24"/>
      <c r="L105" s="23"/>
      <c r="M105" s="23"/>
    </row>
    <row r="106" spans="1:13" ht="14.45">
      <c r="A106" s="23"/>
      <c r="B106" s="35"/>
      <c r="C106" s="23"/>
      <c r="D106" s="23"/>
      <c r="E106" s="23"/>
      <c r="F106" s="23"/>
      <c r="G106" s="23"/>
      <c r="H106" s="24"/>
      <c r="I106" s="23"/>
      <c r="J106" s="23"/>
      <c r="K106" s="24"/>
      <c r="L106" s="23"/>
      <c r="M106" s="23"/>
    </row>
    <row r="107" spans="1:13" ht="14.45">
      <c r="A107" s="23"/>
      <c r="B107" s="35"/>
      <c r="C107" s="23"/>
      <c r="D107" s="23"/>
      <c r="E107" s="23"/>
      <c r="F107" s="23"/>
      <c r="G107" s="23"/>
      <c r="H107" s="24"/>
      <c r="I107" s="23"/>
      <c r="J107" s="23"/>
      <c r="K107" s="24"/>
      <c r="L107" s="23"/>
      <c r="M107" s="23"/>
    </row>
    <row r="108" spans="1:13" ht="14.45">
      <c r="A108" s="23"/>
      <c r="B108" s="35"/>
      <c r="C108" s="23"/>
      <c r="D108" s="23"/>
      <c r="E108" s="23"/>
      <c r="F108" s="23"/>
      <c r="G108" s="23"/>
      <c r="H108" s="24"/>
      <c r="I108" s="23"/>
      <c r="J108" s="23"/>
      <c r="K108" s="24"/>
      <c r="L108" s="23"/>
      <c r="M108" s="23"/>
    </row>
    <row r="109" spans="1:13" ht="14.45">
      <c r="A109" s="23"/>
      <c r="B109" s="35"/>
      <c r="C109" s="23"/>
      <c r="D109" s="23"/>
      <c r="E109" s="23"/>
      <c r="F109" s="23"/>
      <c r="G109" s="23"/>
      <c r="H109" s="24"/>
      <c r="I109" s="23"/>
      <c r="J109" s="23"/>
      <c r="K109" s="24"/>
      <c r="L109" s="23"/>
      <c r="M109" s="23"/>
    </row>
    <row r="110" spans="1:13" ht="14.45">
      <c r="A110" s="23"/>
      <c r="B110" s="35"/>
      <c r="C110" s="23"/>
      <c r="D110" s="23"/>
      <c r="E110" s="23"/>
      <c r="F110" s="23"/>
      <c r="G110" s="23"/>
      <c r="H110" s="24"/>
      <c r="I110" s="23"/>
      <c r="J110" s="23"/>
      <c r="K110" s="24"/>
      <c r="L110" s="23"/>
      <c r="M110" s="23"/>
    </row>
    <row r="111" spans="1:13" ht="14.45">
      <c r="A111" s="23"/>
      <c r="B111" s="35"/>
      <c r="C111" s="23"/>
      <c r="D111" s="23"/>
      <c r="E111" s="23"/>
      <c r="F111" s="23"/>
      <c r="G111" s="23"/>
      <c r="H111" s="24"/>
      <c r="I111" s="23"/>
      <c r="J111" s="23"/>
      <c r="K111" s="24"/>
      <c r="L111" s="23"/>
      <c r="M111" s="23"/>
    </row>
    <row r="112" spans="1:13" ht="14.45">
      <c r="A112" s="23"/>
      <c r="B112" s="35"/>
      <c r="C112" s="23"/>
      <c r="D112" s="23"/>
      <c r="E112" s="23"/>
      <c r="F112" s="23"/>
      <c r="G112" s="23"/>
      <c r="H112" s="24"/>
      <c r="I112" s="23"/>
      <c r="J112" s="23"/>
      <c r="K112" s="24"/>
      <c r="L112" s="23"/>
      <c r="M112" s="23"/>
    </row>
    <row r="113" spans="1:13" ht="14.45">
      <c r="A113" s="23"/>
      <c r="B113" s="35"/>
      <c r="C113" s="23"/>
      <c r="D113" s="23"/>
      <c r="E113" s="23"/>
      <c r="F113" s="23"/>
      <c r="G113" s="23"/>
      <c r="H113" s="24"/>
      <c r="I113" s="23"/>
      <c r="J113" s="23"/>
      <c r="K113" s="24"/>
      <c r="L113" s="23"/>
      <c r="M113" s="23"/>
    </row>
    <row r="114" spans="1:13" ht="14.45">
      <c r="A114" s="23"/>
      <c r="B114" s="35"/>
      <c r="C114" s="23"/>
      <c r="D114" s="23"/>
      <c r="E114" s="23"/>
      <c r="F114" s="23"/>
      <c r="G114" s="23"/>
      <c r="H114" s="24"/>
      <c r="I114" s="23"/>
      <c r="J114" s="23"/>
      <c r="K114" s="24"/>
      <c r="L114" s="23"/>
      <c r="M114" s="23"/>
    </row>
    <row r="115" spans="1:13" ht="14.45">
      <c r="A115" s="23"/>
      <c r="B115" s="35"/>
      <c r="C115" s="23"/>
      <c r="D115" s="23"/>
      <c r="E115" s="23"/>
      <c r="F115" s="23"/>
      <c r="G115" s="23"/>
      <c r="H115" s="24"/>
      <c r="I115" s="23"/>
      <c r="J115" s="23"/>
      <c r="K115" s="24"/>
      <c r="L115" s="23"/>
      <c r="M115" s="23"/>
    </row>
    <row r="116" spans="1:13" ht="14.45">
      <c r="A116" s="23"/>
      <c r="B116" s="35"/>
      <c r="C116" s="23"/>
      <c r="D116" s="23"/>
      <c r="E116" s="23"/>
      <c r="F116" s="23"/>
      <c r="G116" s="23"/>
      <c r="H116" s="24"/>
      <c r="I116" s="23"/>
      <c r="J116" s="23"/>
      <c r="K116" s="24"/>
      <c r="L116" s="23"/>
      <c r="M116" s="23"/>
    </row>
    <row r="117" spans="1:13" ht="14.45">
      <c r="A117" s="23"/>
      <c r="B117" s="35"/>
      <c r="C117" s="23"/>
      <c r="D117" s="23"/>
      <c r="E117" s="23"/>
      <c r="F117" s="23"/>
      <c r="G117" s="23"/>
      <c r="H117" s="24"/>
      <c r="I117" s="23"/>
      <c r="J117" s="23"/>
      <c r="K117" s="24"/>
      <c r="L117" s="23"/>
      <c r="M117" s="23"/>
    </row>
    <row r="118" spans="1:13" ht="14.45">
      <c r="A118" s="23"/>
      <c r="B118" s="35"/>
      <c r="C118" s="23"/>
      <c r="D118" s="23"/>
      <c r="E118" s="23"/>
      <c r="F118" s="23"/>
      <c r="G118" s="23"/>
      <c r="H118" s="24"/>
      <c r="I118" s="23"/>
      <c r="J118" s="23"/>
      <c r="K118" s="24"/>
      <c r="L118" s="23"/>
      <c r="M118" s="23"/>
    </row>
    <row r="119" spans="1:13" ht="14.45">
      <c r="A119" s="23"/>
      <c r="B119" s="35"/>
      <c r="C119" s="23"/>
      <c r="D119" s="23"/>
      <c r="E119" s="23"/>
      <c r="F119" s="23"/>
      <c r="G119" s="23"/>
      <c r="H119" s="24"/>
      <c r="I119" s="23"/>
      <c r="J119" s="23"/>
      <c r="K119" s="24"/>
      <c r="L119" s="23"/>
      <c r="M119" s="23"/>
    </row>
    <row r="120" spans="1:13" ht="14.45">
      <c r="A120" s="23"/>
      <c r="B120" s="35"/>
      <c r="C120" s="23"/>
      <c r="D120" s="23"/>
      <c r="E120" s="23"/>
      <c r="F120" s="23"/>
      <c r="G120" s="23"/>
      <c r="H120" s="24"/>
      <c r="I120" s="23"/>
      <c r="J120" s="23"/>
      <c r="K120" s="24"/>
      <c r="L120" s="23"/>
      <c r="M120" s="23"/>
    </row>
    <row r="121" spans="1:13" ht="14.45">
      <c r="A121" s="23"/>
      <c r="B121" s="35"/>
      <c r="C121" s="23"/>
      <c r="D121" s="23"/>
      <c r="E121" s="23"/>
      <c r="F121" s="23"/>
      <c r="G121" s="23"/>
      <c r="H121" s="24"/>
      <c r="I121" s="23"/>
      <c r="J121" s="23"/>
      <c r="K121" s="24"/>
      <c r="L121" s="23"/>
      <c r="M121" s="23"/>
    </row>
    <row r="122" spans="1:13" ht="14.45">
      <c r="A122" s="23"/>
      <c r="B122" s="35"/>
      <c r="C122" s="23"/>
      <c r="D122" s="23"/>
      <c r="E122" s="23"/>
      <c r="F122" s="23"/>
      <c r="G122" s="23"/>
      <c r="H122" s="24"/>
      <c r="I122" s="23"/>
      <c r="J122" s="23"/>
      <c r="K122" s="24"/>
      <c r="L122" s="23"/>
      <c r="M122" s="23"/>
    </row>
    <row r="123" spans="1:13" ht="14.45">
      <c r="A123" s="23"/>
      <c r="B123" s="35"/>
      <c r="C123" s="23"/>
      <c r="D123" s="23"/>
      <c r="E123" s="23"/>
      <c r="F123" s="23"/>
      <c r="G123" s="23"/>
      <c r="H123" s="24"/>
      <c r="I123" s="23"/>
      <c r="J123" s="23"/>
      <c r="K123" s="24"/>
      <c r="L123" s="23"/>
      <c r="M123" s="23"/>
    </row>
    <row r="124" spans="1:13" ht="14.45">
      <c r="A124" s="23"/>
      <c r="B124" s="35"/>
      <c r="C124" s="23"/>
      <c r="D124" s="23"/>
      <c r="E124" s="23"/>
      <c r="F124" s="23"/>
      <c r="G124" s="23"/>
      <c r="H124" s="24"/>
      <c r="I124" s="23"/>
      <c r="J124" s="23"/>
      <c r="K124" s="24"/>
      <c r="L124" s="23"/>
      <c r="M124" s="23"/>
    </row>
    <row r="125" spans="1:13" ht="14.45">
      <c r="A125" s="23"/>
      <c r="B125" s="35"/>
      <c r="C125" s="23"/>
      <c r="D125" s="23"/>
      <c r="E125" s="23"/>
      <c r="F125" s="23"/>
      <c r="G125" s="23"/>
      <c r="H125" s="24"/>
      <c r="I125" s="23"/>
      <c r="J125" s="23"/>
      <c r="K125" s="24"/>
      <c r="L125" s="23"/>
      <c r="M125" s="23"/>
    </row>
    <row r="126" spans="1:13" ht="14.45">
      <c r="A126" s="23"/>
      <c r="B126" s="35"/>
      <c r="C126" s="23"/>
      <c r="D126" s="23"/>
      <c r="E126" s="23"/>
      <c r="F126" s="23"/>
      <c r="G126" s="23"/>
      <c r="H126" s="24"/>
      <c r="I126" s="23"/>
      <c r="J126" s="23"/>
      <c r="K126" s="24"/>
      <c r="L126" s="23"/>
      <c r="M126" s="23"/>
    </row>
    <row r="127" spans="1:13" ht="14.45">
      <c r="A127" s="23"/>
      <c r="B127" s="35"/>
      <c r="C127" s="23"/>
      <c r="D127" s="23"/>
      <c r="E127" s="23"/>
      <c r="F127" s="23"/>
      <c r="G127" s="23"/>
      <c r="H127" s="24"/>
      <c r="I127" s="23"/>
      <c r="J127" s="23"/>
      <c r="K127" s="24"/>
      <c r="L127" s="23"/>
      <c r="M127" s="23"/>
    </row>
    <row r="128" spans="1:13" ht="14.45">
      <c r="A128" s="23"/>
      <c r="B128" s="35"/>
      <c r="C128" s="23"/>
      <c r="D128" s="23"/>
      <c r="E128" s="23"/>
      <c r="F128" s="23"/>
      <c r="G128" s="23"/>
      <c r="H128" s="24"/>
      <c r="I128" s="23"/>
      <c r="J128" s="23"/>
      <c r="K128" s="24"/>
      <c r="L128" s="23"/>
      <c r="M128" s="23"/>
    </row>
    <row r="129" spans="1:13" ht="14.45">
      <c r="A129" s="23"/>
      <c r="B129" s="35"/>
      <c r="C129" s="23"/>
      <c r="D129" s="23"/>
      <c r="E129" s="23"/>
      <c r="F129" s="23"/>
      <c r="G129" s="23"/>
      <c r="H129" s="24"/>
      <c r="I129" s="23"/>
      <c r="J129" s="23"/>
      <c r="K129" s="24"/>
      <c r="L129" s="23"/>
      <c r="M129" s="23"/>
    </row>
    <row r="130" spans="1:13" ht="14.45">
      <c r="A130" s="23"/>
      <c r="B130" s="35"/>
      <c r="C130" s="23"/>
      <c r="D130" s="23"/>
      <c r="E130" s="23"/>
      <c r="F130" s="23"/>
      <c r="G130" s="23"/>
      <c r="H130" s="24"/>
      <c r="I130" s="23"/>
      <c r="J130" s="23"/>
      <c r="K130" s="24"/>
      <c r="L130" s="23"/>
      <c r="M130" s="23"/>
    </row>
    <row r="131" spans="1:13" ht="14.45">
      <c r="A131" s="23"/>
      <c r="B131" s="35"/>
      <c r="C131" s="23"/>
      <c r="D131" s="23"/>
      <c r="E131" s="23"/>
      <c r="F131" s="23"/>
      <c r="G131" s="23"/>
      <c r="H131" s="24"/>
      <c r="I131" s="23"/>
      <c r="J131" s="23"/>
      <c r="K131" s="24"/>
      <c r="L131" s="23"/>
      <c r="M131" s="23"/>
    </row>
    <row r="132" spans="1:13" ht="14.45">
      <c r="A132" s="23"/>
      <c r="B132" s="35"/>
      <c r="C132" s="23"/>
      <c r="D132" s="23"/>
      <c r="E132" s="23"/>
      <c r="F132" s="23"/>
      <c r="G132" s="23"/>
      <c r="H132" s="24"/>
      <c r="I132" s="23"/>
      <c r="J132" s="23"/>
      <c r="K132" s="24"/>
      <c r="L132" s="23"/>
      <c r="M132" s="23"/>
    </row>
    <row r="133" spans="1:13" ht="14.45">
      <c r="A133" s="23"/>
      <c r="B133" s="35"/>
      <c r="C133" s="23"/>
      <c r="D133" s="23"/>
      <c r="E133" s="23"/>
      <c r="F133" s="23"/>
      <c r="G133" s="23"/>
      <c r="H133" s="24"/>
      <c r="I133" s="23"/>
      <c r="J133" s="23"/>
      <c r="K133" s="24"/>
      <c r="L133" s="23"/>
      <c r="M133" s="23"/>
    </row>
    <row r="134" spans="1:13" ht="14.45">
      <c r="A134" s="23"/>
      <c r="B134" s="35"/>
      <c r="C134" s="23"/>
      <c r="D134" s="23"/>
      <c r="E134" s="23"/>
      <c r="F134" s="23"/>
      <c r="G134" s="23"/>
      <c r="H134" s="24"/>
      <c r="I134" s="23"/>
      <c r="J134" s="23"/>
      <c r="K134" s="24"/>
      <c r="L134" s="23"/>
      <c r="M134" s="23"/>
    </row>
    <row r="135" spans="1:13" ht="14.45">
      <c r="A135" s="23"/>
      <c r="B135" s="35"/>
      <c r="C135" s="23"/>
      <c r="D135" s="23"/>
      <c r="E135" s="23"/>
      <c r="F135" s="23"/>
      <c r="G135" s="23"/>
      <c r="H135" s="24"/>
      <c r="I135" s="23"/>
      <c r="J135" s="23"/>
      <c r="K135" s="24"/>
      <c r="L135" s="23"/>
      <c r="M135" s="23"/>
    </row>
    <row r="136" spans="1:13" ht="14.45">
      <c r="A136" s="23"/>
      <c r="B136" s="35"/>
      <c r="C136" s="23"/>
      <c r="D136" s="23"/>
      <c r="E136" s="23"/>
      <c r="F136" s="23"/>
      <c r="G136" s="23"/>
      <c r="H136" s="24"/>
      <c r="I136" s="23"/>
      <c r="J136" s="23"/>
      <c r="K136" s="24"/>
      <c r="L136" s="23"/>
      <c r="M136" s="23"/>
    </row>
    <row r="137" spans="1:13" ht="14.45">
      <c r="A137" s="23"/>
      <c r="B137" s="35"/>
      <c r="C137" s="23"/>
      <c r="D137" s="23"/>
      <c r="E137" s="23"/>
      <c r="F137" s="23"/>
      <c r="G137" s="23"/>
      <c r="H137" s="24"/>
      <c r="I137" s="23"/>
      <c r="J137" s="23"/>
      <c r="K137" s="24"/>
      <c r="L137" s="23"/>
      <c r="M137" s="23"/>
    </row>
    <row r="138" spans="1:13" ht="14.45">
      <c r="A138" s="23"/>
      <c r="B138" s="35"/>
      <c r="C138" s="23"/>
      <c r="D138" s="23"/>
      <c r="E138" s="23"/>
      <c r="F138" s="23"/>
      <c r="G138" s="23"/>
      <c r="H138" s="24"/>
      <c r="I138" s="23"/>
      <c r="J138" s="23"/>
      <c r="K138" s="24"/>
      <c r="L138" s="23"/>
      <c r="M138" s="23"/>
    </row>
    <row r="139" spans="1:13" ht="14.45">
      <c r="A139" s="23"/>
      <c r="B139" s="35"/>
      <c r="C139" s="23"/>
      <c r="D139" s="23"/>
      <c r="E139" s="23"/>
      <c r="F139" s="23"/>
      <c r="G139" s="23"/>
      <c r="H139" s="24"/>
      <c r="I139" s="23"/>
      <c r="J139" s="23"/>
      <c r="K139" s="24"/>
      <c r="L139" s="23"/>
      <c r="M139" s="23"/>
    </row>
    <row r="140" spans="1:13" ht="14.45">
      <c r="A140" s="23"/>
      <c r="B140" s="35"/>
      <c r="C140" s="23"/>
      <c r="D140" s="23"/>
      <c r="E140" s="23"/>
      <c r="F140" s="23"/>
      <c r="G140" s="23"/>
      <c r="H140" s="24"/>
      <c r="I140" s="23"/>
      <c r="J140" s="23"/>
      <c r="K140" s="24"/>
      <c r="L140" s="23"/>
      <c r="M140" s="23"/>
    </row>
    <row r="141" spans="1:13" ht="14.45">
      <c r="A141" s="23"/>
      <c r="B141" s="35"/>
      <c r="C141" s="23"/>
      <c r="D141" s="23"/>
      <c r="E141" s="23"/>
      <c r="F141" s="23"/>
      <c r="G141" s="23"/>
      <c r="H141" s="24"/>
      <c r="I141" s="23"/>
      <c r="J141" s="23"/>
      <c r="K141" s="24"/>
      <c r="L141" s="23"/>
      <c r="M141" s="23"/>
    </row>
    <row r="142" spans="1:13" ht="14.45">
      <c r="A142" s="23"/>
      <c r="B142" s="35"/>
      <c r="C142" s="23"/>
      <c r="D142" s="23"/>
      <c r="E142" s="23"/>
      <c r="F142" s="23"/>
      <c r="G142" s="23"/>
      <c r="H142" s="24"/>
      <c r="I142" s="23"/>
      <c r="J142" s="23"/>
      <c r="K142" s="24"/>
      <c r="L142" s="23"/>
      <c r="M142" s="23"/>
    </row>
    <row r="143" spans="1:13" ht="14.45">
      <c r="A143" s="23"/>
      <c r="B143" s="35"/>
      <c r="C143" s="23"/>
      <c r="D143" s="23"/>
      <c r="E143" s="23"/>
      <c r="F143" s="23"/>
      <c r="G143" s="23"/>
      <c r="H143" s="24"/>
      <c r="I143" s="23"/>
      <c r="J143" s="23"/>
      <c r="K143" s="24"/>
      <c r="L143" s="23"/>
      <c r="M143" s="23"/>
    </row>
    <row r="144" spans="1:13" ht="14.45">
      <c r="A144" s="23"/>
      <c r="B144" s="35"/>
      <c r="C144" s="23"/>
      <c r="D144" s="23"/>
      <c r="E144" s="23"/>
      <c r="F144" s="23"/>
      <c r="G144" s="23"/>
      <c r="H144" s="24"/>
      <c r="I144" s="23"/>
      <c r="J144" s="23"/>
      <c r="K144" s="24"/>
      <c r="L144" s="23"/>
      <c r="M144" s="23"/>
    </row>
    <row r="145" spans="1:13" ht="14.45">
      <c r="A145" s="23"/>
      <c r="B145" s="35"/>
      <c r="C145" s="23"/>
      <c r="D145" s="23"/>
      <c r="E145" s="23"/>
      <c r="F145" s="23"/>
      <c r="G145" s="23"/>
      <c r="H145" s="24"/>
      <c r="I145" s="23"/>
      <c r="J145" s="23"/>
      <c r="K145" s="24"/>
      <c r="L145" s="23"/>
      <c r="M145" s="23"/>
    </row>
    <row r="146" spans="1:13" ht="14.45">
      <c r="A146" s="23"/>
      <c r="B146" s="35"/>
      <c r="C146" s="23"/>
      <c r="D146" s="23"/>
      <c r="E146" s="23"/>
      <c r="F146" s="23"/>
      <c r="G146" s="23"/>
      <c r="H146" s="24"/>
      <c r="I146" s="23"/>
      <c r="J146" s="23"/>
      <c r="K146" s="24"/>
      <c r="L146" s="23"/>
      <c r="M146" s="23"/>
    </row>
    <row r="147" spans="1:13" ht="14.45">
      <c r="A147" s="23"/>
      <c r="B147" s="35"/>
      <c r="C147" s="23"/>
      <c r="D147" s="23"/>
      <c r="E147" s="23"/>
      <c r="F147" s="23"/>
      <c r="G147" s="23"/>
      <c r="H147" s="24"/>
      <c r="I147" s="23"/>
      <c r="J147" s="23"/>
      <c r="K147" s="24"/>
      <c r="L147" s="23"/>
      <c r="M147" s="23"/>
    </row>
    <row r="148" spans="1:13" ht="14.45">
      <c r="A148" s="23"/>
      <c r="B148" s="35"/>
      <c r="C148" s="23"/>
      <c r="D148" s="23"/>
      <c r="E148" s="23"/>
      <c r="F148" s="23"/>
      <c r="G148" s="23"/>
      <c r="H148" s="24"/>
      <c r="I148" s="23"/>
      <c r="J148" s="23"/>
      <c r="K148" s="24"/>
      <c r="L148" s="23"/>
      <c r="M148" s="23"/>
    </row>
    <row r="149" spans="1:13" ht="14.45">
      <c r="A149" s="23"/>
      <c r="B149" s="35"/>
      <c r="C149" s="23"/>
      <c r="D149" s="23"/>
      <c r="E149" s="23"/>
      <c r="F149" s="23"/>
      <c r="G149" s="23"/>
      <c r="H149" s="24"/>
      <c r="I149" s="23"/>
      <c r="J149" s="23"/>
      <c r="K149" s="24"/>
      <c r="L149" s="23"/>
      <c r="M149" s="23"/>
    </row>
    <row r="150" spans="1:13" ht="14.45">
      <c r="A150" s="23"/>
      <c r="B150" s="35"/>
      <c r="C150" s="23"/>
      <c r="D150" s="23"/>
      <c r="E150" s="23"/>
      <c r="F150" s="23"/>
      <c r="G150" s="23"/>
      <c r="H150" s="24"/>
      <c r="I150" s="23"/>
      <c r="J150" s="23"/>
      <c r="K150" s="24"/>
      <c r="L150" s="23"/>
      <c r="M150" s="23"/>
    </row>
    <row r="151" spans="1:13" ht="14.45">
      <c r="A151" s="23"/>
      <c r="B151" s="35"/>
      <c r="C151" s="23"/>
      <c r="D151" s="23"/>
      <c r="E151" s="23"/>
      <c r="F151" s="23"/>
      <c r="G151" s="23"/>
      <c r="H151" s="24"/>
      <c r="I151" s="23"/>
      <c r="J151" s="23"/>
      <c r="K151" s="24"/>
      <c r="L151" s="23"/>
      <c r="M151" s="23"/>
    </row>
    <row r="152" spans="1:13" ht="14.45">
      <c r="A152" s="23"/>
      <c r="B152" s="35"/>
      <c r="C152" s="23"/>
      <c r="D152" s="23"/>
      <c r="E152" s="23"/>
      <c r="F152" s="23"/>
      <c r="G152" s="23"/>
      <c r="H152" s="24"/>
      <c r="I152" s="23"/>
      <c r="J152" s="23"/>
      <c r="K152" s="24"/>
      <c r="L152" s="23"/>
      <c r="M152" s="23"/>
    </row>
    <row r="153" spans="1:13" ht="14.45">
      <c r="A153" s="23"/>
      <c r="B153" s="35"/>
      <c r="C153" s="23"/>
      <c r="D153" s="23"/>
      <c r="E153" s="23"/>
      <c r="F153" s="23"/>
      <c r="G153" s="23"/>
      <c r="H153" s="24"/>
      <c r="I153" s="23"/>
      <c r="J153" s="23"/>
      <c r="K153" s="24"/>
      <c r="L153" s="23"/>
      <c r="M153" s="23"/>
    </row>
    <row r="154" spans="1:13" ht="14.45">
      <c r="A154" s="23"/>
      <c r="B154" s="35"/>
      <c r="C154" s="23"/>
      <c r="D154" s="23"/>
      <c r="E154" s="23"/>
      <c r="F154" s="23"/>
      <c r="G154" s="23"/>
      <c r="H154" s="24"/>
      <c r="I154" s="23"/>
      <c r="J154" s="23"/>
      <c r="K154" s="24"/>
      <c r="L154" s="23"/>
      <c r="M154" s="23"/>
    </row>
    <row r="155" spans="1:13" ht="14.45">
      <c r="A155" s="23"/>
      <c r="B155" s="35"/>
      <c r="C155" s="23"/>
      <c r="D155" s="23"/>
      <c r="E155" s="23"/>
      <c r="F155" s="23"/>
      <c r="G155" s="23"/>
      <c r="H155" s="24"/>
      <c r="I155" s="23"/>
      <c r="J155" s="23"/>
      <c r="K155" s="24"/>
      <c r="L155" s="23"/>
      <c r="M155" s="23"/>
    </row>
    <row r="156" spans="1:13" ht="14.45">
      <c r="A156" s="23"/>
      <c r="B156" s="35"/>
      <c r="C156" s="23"/>
      <c r="D156" s="23"/>
      <c r="E156" s="23"/>
      <c r="F156" s="23"/>
      <c r="G156" s="23"/>
      <c r="H156" s="24"/>
      <c r="I156" s="23"/>
      <c r="J156" s="23"/>
      <c r="K156" s="24"/>
      <c r="L156" s="23"/>
      <c r="M156" s="23"/>
    </row>
    <row r="157" spans="1:13" ht="14.45">
      <c r="A157" s="23"/>
      <c r="B157" s="35"/>
      <c r="C157" s="23"/>
      <c r="D157" s="23"/>
      <c r="E157" s="23"/>
      <c r="F157" s="23"/>
      <c r="G157" s="23"/>
      <c r="H157" s="24"/>
      <c r="I157" s="23"/>
      <c r="J157" s="23"/>
      <c r="K157" s="24"/>
      <c r="L157" s="23"/>
      <c r="M157" s="23"/>
    </row>
    <row r="158" spans="1:13" ht="14.45">
      <c r="A158" s="23"/>
      <c r="B158" s="35"/>
      <c r="C158" s="23"/>
      <c r="D158" s="23"/>
      <c r="E158" s="23"/>
      <c r="F158" s="23"/>
      <c r="G158" s="23"/>
      <c r="H158" s="24"/>
      <c r="I158" s="23"/>
      <c r="J158" s="23"/>
      <c r="K158" s="24"/>
      <c r="L158" s="23"/>
      <c r="M158" s="23"/>
    </row>
    <row r="159" spans="1:13" ht="14.45">
      <c r="A159" s="23"/>
      <c r="B159" s="35"/>
      <c r="C159" s="23"/>
      <c r="D159" s="23"/>
      <c r="E159" s="23"/>
      <c r="F159" s="23"/>
      <c r="G159" s="23"/>
      <c r="H159" s="24"/>
      <c r="I159" s="23"/>
      <c r="J159" s="23"/>
      <c r="K159" s="24"/>
      <c r="L159" s="23"/>
      <c r="M159" s="23"/>
    </row>
    <row r="160" spans="1:13" ht="14.45">
      <c r="A160" s="23"/>
      <c r="B160" s="35"/>
      <c r="C160" s="23"/>
      <c r="D160" s="23"/>
      <c r="E160" s="23"/>
      <c r="F160" s="23"/>
      <c r="G160" s="23"/>
      <c r="H160" s="24"/>
      <c r="I160" s="23"/>
      <c r="J160" s="23"/>
      <c r="K160" s="24"/>
      <c r="L160" s="23"/>
      <c r="M160" s="23"/>
    </row>
    <row r="161" spans="1:13" ht="14.45">
      <c r="A161" s="23"/>
      <c r="B161" s="35"/>
      <c r="C161" s="23"/>
      <c r="D161" s="23"/>
      <c r="E161" s="23"/>
      <c r="F161" s="23"/>
      <c r="G161" s="23"/>
      <c r="H161" s="24"/>
      <c r="I161" s="23"/>
      <c r="J161" s="23"/>
      <c r="K161" s="24"/>
      <c r="L161" s="23"/>
      <c r="M161" s="23"/>
    </row>
    <row r="162" spans="1:13" ht="14.45">
      <c r="A162" s="23"/>
      <c r="B162" s="35"/>
      <c r="C162" s="23"/>
      <c r="D162" s="23"/>
      <c r="E162" s="23"/>
      <c r="F162" s="23"/>
      <c r="G162" s="23"/>
      <c r="H162" s="24"/>
      <c r="I162" s="23"/>
      <c r="J162" s="23"/>
      <c r="K162" s="24"/>
      <c r="L162" s="23"/>
      <c r="M162" s="23"/>
    </row>
    <row r="163" spans="1:13" ht="14.45">
      <c r="A163" s="23"/>
      <c r="B163" s="35"/>
      <c r="C163" s="23"/>
      <c r="D163" s="23"/>
      <c r="E163" s="23"/>
      <c r="F163" s="23"/>
      <c r="G163" s="23"/>
      <c r="H163" s="24"/>
      <c r="I163" s="23"/>
      <c r="J163" s="23"/>
      <c r="K163" s="24"/>
      <c r="L163" s="23"/>
      <c r="M163" s="23"/>
    </row>
    <row r="164" spans="1:13" ht="14.45">
      <c r="A164" s="23"/>
      <c r="B164" s="35"/>
      <c r="C164" s="23"/>
      <c r="D164" s="23"/>
      <c r="E164" s="23"/>
      <c r="F164" s="23"/>
      <c r="G164" s="23"/>
      <c r="H164" s="24"/>
      <c r="I164" s="23"/>
      <c r="J164" s="23"/>
      <c r="K164" s="24"/>
      <c r="L164" s="23"/>
      <c r="M164" s="23"/>
    </row>
    <row r="165" spans="1:13" ht="14.45">
      <c r="A165" s="23"/>
      <c r="B165" s="35"/>
      <c r="C165" s="23"/>
      <c r="D165" s="23"/>
      <c r="E165" s="23"/>
      <c r="F165" s="23"/>
      <c r="G165" s="23"/>
      <c r="H165" s="24"/>
      <c r="I165" s="23"/>
      <c r="J165" s="23"/>
      <c r="K165" s="24"/>
      <c r="L165" s="23"/>
      <c r="M165" s="23"/>
    </row>
    <row r="166" spans="1:13" ht="14.45">
      <c r="A166" s="23"/>
      <c r="B166" s="35"/>
      <c r="C166" s="23"/>
      <c r="D166" s="23"/>
      <c r="E166" s="23"/>
      <c r="F166" s="23"/>
      <c r="G166" s="23"/>
      <c r="H166" s="24"/>
      <c r="I166" s="23"/>
      <c r="J166" s="23"/>
      <c r="K166" s="24"/>
      <c r="L166" s="23"/>
      <c r="M166" s="23"/>
    </row>
    <row r="167" spans="1:13" ht="14.45">
      <c r="A167" s="23"/>
      <c r="B167" s="35"/>
      <c r="C167" s="23"/>
      <c r="D167" s="23"/>
      <c r="E167" s="23"/>
      <c r="F167" s="23"/>
      <c r="G167" s="23"/>
      <c r="H167" s="24"/>
      <c r="I167" s="23"/>
      <c r="J167" s="23"/>
      <c r="K167" s="24"/>
      <c r="L167" s="23"/>
      <c r="M167" s="23"/>
    </row>
    <row r="168" spans="1:13" ht="14.45">
      <c r="A168" s="23"/>
      <c r="B168" s="35"/>
      <c r="C168" s="23"/>
      <c r="D168" s="23"/>
      <c r="E168" s="23"/>
      <c r="F168" s="23"/>
      <c r="G168" s="23"/>
      <c r="H168" s="24"/>
      <c r="I168" s="23"/>
      <c r="J168" s="23"/>
      <c r="K168" s="24"/>
      <c r="L168" s="23"/>
      <c r="M168" s="23"/>
    </row>
    <row r="169" spans="1:13" ht="14.45">
      <c r="A169" s="23"/>
      <c r="B169" s="35"/>
      <c r="C169" s="23"/>
      <c r="D169" s="23"/>
      <c r="E169" s="23"/>
      <c r="F169" s="23"/>
      <c r="G169" s="23"/>
      <c r="H169" s="24"/>
      <c r="I169" s="23"/>
      <c r="J169" s="23"/>
      <c r="K169" s="24"/>
      <c r="L169" s="23"/>
      <c r="M169" s="23"/>
    </row>
    <row r="170" spans="1:13" ht="14.45">
      <c r="A170" s="23"/>
      <c r="B170" s="35"/>
      <c r="C170" s="23"/>
      <c r="D170" s="23"/>
      <c r="E170" s="23"/>
      <c r="F170" s="23"/>
      <c r="G170" s="23"/>
      <c r="H170" s="24"/>
      <c r="I170" s="23"/>
      <c r="J170" s="23"/>
      <c r="K170" s="24"/>
      <c r="L170" s="23"/>
      <c r="M170" s="23"/>
    </row>
    <row r="171" spans="1:13" ht="14.45">
      <c r="A171" s="23"/>
      <c r="B171" s="35"/>
      <c r="C171" s="23"/>
      <c r="D171" s="23"/>
      <c r="E171" s="23"/>
      <c r="F171" s="23"/>
      <c r="G171" s="23"/>
      <c r="H171" s="24"/>
      <c r="I171" s="23"/>
      <c r="J171" s="23"/>
      <c r="K171" s="24"/>
      <c r="L171" s="23"/>
      <c r="M171" s="23"/>
    </row>
    <row r="172" spans="1:13" ht="14.45">
      <c r="A172" s="23"/>
      <c r="B172" s="35"/>
      <c r="C172" s="23"/>
      <c r="D172" s="23"/>
      <c r="E172" s="23"/>
      <c r="F172" s="23"/>
      <c r="G172" s="23"/>
      <c r="H172" s="24"/>
      <c r="I172" s="23"/>
      <c r="J172" s="23"/>
      <c r="K172" s="24"/>
      <c r="L172" s="23"/>
      <c r="M172" s="23"/>
    </row>
    <row r="173" spans="1:13" ht="14.45">
      <c r="A173" s="23"/>
      <c r="B173" s="35"/>
      <c r="C173" s="23"/>
      <c r="D173" s="23"/>
      <c r="E173" s="23"/>
      <c r="F173" s="23"/>
      <c r="G173" s="23"/>
      <c r="H173" s="24"/>
      <c r="I173" s="23"/>
      <c r="J173" s="23"/>
      <c r="K173" s="24"/>
      <c r="L173" s="23"/>
      <c r="M173" s="23"/>
    </row>
    <row r="174" spans="1:13" ht="14.45">
      <c r="A174" s="23"/>
      <c r="B174" s="35"/>
      <c r="C174" s="23"/>
      <c r="D174" s="23"/>
      <c r="E174" s="23"/>
      <c r="F174" s="23"/>
      <c r="G174" s="23"/>
      <c r="H174" s="24"/>
      <c r="I174" s="23"/>
      <c r="J174" s="23"/>
      <c r="K174" s="24"/>
      <c r="L174" s="23"/>
      <c r="M174" s="23"/>
    </row>
    <row r="175" spans="1:13" ht="14.45">
      <c r="A175" s="23"/>
      <c r="B175" s="35"/>
      <c r="C175" s="23"/>
      <c r="D175" s="23"/>
      <c r="E175" s="23"/>
      <c r="F175" s="23"/>
      <c r="G175" s="23"/>
      <c r="H175" s="24"/>
      <c r="I175" s="23"/>
      <c r="J175" s="23"/>
      <c r="K175" s="24"/>
      <c r="L175" s="23"/>
      <c r="M175" s="23"/>
    </row>
    <row r="176" spans="1:13" ht="14.45">
      <c r="A176" s="23"/>
      <c r="B176" s="35"/>
      <c r="C176" s="23"/>
      <c r="D176" s="23"/>
      <c r="E176" s="23"/>
      <c r="F176" s="23"/>
      <c r="G176" s="23"/>
      <c r="H176" s="24"/>
      <c r="I176" s="23"/>
      <c r="J176" s="23"/>
      <c r="K176" s="24"/>
      <c r="L176" s="23"/>
      <c r="M176" s="23"/>
    </row>
    <row r="177" spans="1:13" ht="14.45">
      <c r="A177" s="23"/>
      <c r="B177" s="35"/>
      <c r="C177" s="23"/>
      <c r="D177" s="23"/>
      <c r="E177" s="23"/>
      <c r="F177" s="23"/>
      <c r="G177" s="23"/>
      <c r="H177" s="24"/>
      <c r="I177" s="23"/>
      <c r="J177" s="23"/>
      <c r="K177" s="24"/>
      <c r="L177" s="23"/>
      <c r="M177" s="23"/>
    </row>
    <row r="178" spans="1:13" ht="14.45">
      <c r="A178" s="23"/>
      <c r="B178" s="35"/>
      <c r="C178" s="23"/>
      <c r="D178" s="23"/>
      <c r="E178" s="23"/>
      <c r="F178" s="23"/>
      <c r="G178" s="23"/>
      <c r="H178" s="24"/>
      <c r="I178" s="23"/>
      <c r="J178" s="23"/>
      <c r="K178" s="24"/>
      <c r="L178" s="23"/>
      <c r="M178" s="23"/>
    </row>
    <row r="179" spans="1:13" ht="14.45">
      <c r="A179" s="23"/>
      <c r="B179" s="35"/>
      <c r="C179" s="23"/>
      <c r="D179" s="23"/>
      <c r="E179" s="23"/>
      <c r="F179" s="23"/>
      <c r="G179" s="23"/>
      <c r="H179" s="24"/>
      <c r="I179" s="23"/>
      <c r="J179" s="23"/>
      <c r="K179" s="24"/>
      <c r="L179" s="23"/>
      <c r="M179" s="23"/>
    </row>
    <row r="180" spans="1:13" ht="14.45">
      <c r="A180" s="23"/>
      <c r="B180" s="35"/>
      <c r="C180" s="23"/>
      <c r="D180" s="23"/>
      <c r="E180" s="23"/>
      <c r="F180" s="23"/>
      <c r="G180" s="23"/>
      <c r="H180" s="24"/>
      <c r="I180" s="23"/>
      <c r="J180" s="23"/>
      <c r="K180" s="24"/>
      <c r="L180" s="23"/>
      <c r="M180" s="23"/>
    </row>
    <row r="181" spans="1:13" ht="14.45">
      <c r="A181" s="23"/>
      <c r="B181" s="35"/>
      <c r="C181" s="23"/>
      <c r="D181" s="23"/>
      <c r="E181" s="23"/>
      <c r="F181" s="23"/>
      <c r="G181" s="23"/>
      <c r="H181" s="24"/>
      <c r="I181" s="23"/>
      <c r="J181" s="23"/>
      <c r="K181" s="24"/>
      <c r="L181" s="23"/>
      <c r="M181" s="23"/>
    </row>
    <row r="182" spans="1:13" ht="14.45">
      <c r="A182" s="23"/>
      <c r="B182" s="35"/>
      <c r="C182" s="23"/>
      <c r="D182" s="23"/>
      <c r="E182" s="23"/>
      <c r="F182" s="23"/>
      <c r="G182" s="23"/>
      <c r="H182" s="24"/>
      <c r="I182" s="23"/>
      <c r="J182" s="23"/>
      <c r="K182" s="24"/>
      <c r="L182" s="23"/>
      <c r="M182" s="23"/>
    </row>
    <row r="183" spans="1:13" ht="14.45">
      <c r="A183" s="23"/>
      <c r="B183" s="35"/>
      <c r="C183" s="23"/>
      <c r="D183" s="23"/>
      <c r="E183" s="23"/>
      <c r="F183" s="23"/>
      <c r="G183" s="23"/>
      <c r="H183" s="24"/>
      <c r="I183" s="23"/>
      <c r="J183" s="23"/>
      <c r="K183" s="24"/>
      <c r="L183" s="23"/>
      <c r="M183" s="23"/>
    </row>
    <row r="184" spans="1:13" ht="14.45">
      <c r="A184" s="23"/>
      <c r="B184" s="35"/>
      <c r="C184" s="23"/>
      <c r="D184" s="23"/>
      <c r="E184" s="23"/>
      <c r="F184" s="23"/>
      <c r="G184" s="23"/>
      <c r="H184" s="24"/>
      <c r="I184" s="23"/>
      <c r="J184" s="23"/>
      <c r="K184" s="24"/>
      <c r="L184" s="23"/>
      <c r="M184" s="23"/>
    </row>
    <row r="185" spans="1:13" ht="14.45">
      <c r="A185" s="23"/>
      <c r="B185" s="35"/>
      <c r="C185" s="23"/>
      <c r="D185" s="23"/>
      <c r="E185" s="23"/>
      <c r="F185" s="23"/>
      <c r="G185" s="23"/>
      <c r="H185" s="24"/>
      <c r="I185" s="23"/>
      <c r="J185" s="23"/>
      <c r="K185" s="24"/>
      <c r="L185" s="23"/>
      <c r="M185" s="23"/>
    </row>
    <row r="186" spans="1:13" ht="14.45">
      <c r="A186" s="23"/>
      <c r="B186" s="35"/>
      <c r="C186" s="23"/>
      <c r="D186" s="23"/>
      <c r="E186" s="23"/>
      <c r="F186" s="23"/>
      <c r="G186" s="23"/>
      <c r="H186" s="24"/>
      <c r="I186" s="23"/>
      <c r="J186" s="23"/>
      <c r="K186" s="24"/>
      <c r="L186" s="23"/>
      <c r="M186" s="23"/>
    </row>
    <row r="187" spans="1:13" ht="14.45">
      <c r="A187" s="23"/>
      <c r="B187" s="35"/>
      <c r="C187" s="23"/>
      <c r="D187" s="23"/>
      <c r="E187" s="23"/>
      <c r="F187" s="23"/>
      <c r="G187" s="23"/>
      <c r="H187" s="24"/>
      <c r="I187" s="23"/>
      <c r="J187" s="23"/>
      <c r="K187" s="24"/>
      <c r="L187" s="23"/>
      <c r="M187" s="23"/>
    </row>
    <row r="188" spans="1:13" ht="14.45">
      <c r="A188" s="23"/>
      <c r="B188" s="35"/>
      <c r="C188" s="23"/>
      <c r="D188" s="23"/>
      <c r="E188" s="23"/>
      <c r="F188" s="23"/>
      <c r="G188" s="23"/>
      <c r="H188" s="24"/>
      <c r="I188" s="23"/>
      <c r="J188" s="23"/>
      <c r="K188" s="24"/>
      <c r="L188" s="23"/>
      <c r="M188" s="23"/>
    </row>
    <row r="189" spans="1:13" ht="14.45">
      <c r="A189" s="23"/>
      <c r="B189" s="35"/>
      <c r="C189" s="23"/>
      <c r="D189" s="23"/>
      <c r="E189" s="23"/>
      <c r="F189" s="23"/>
      <c r="G189" s="23"/>
      <c r="H189" s="24"/>
      <c r="I189" s="23"/>
      <c r="J189" s="23"/>
      <c r="K189" s="24"/>
      <c r="L189" s="23"/>
      <c r="M189" s="23"/>
    </row>
    <row r="190" spans="1:13" ht="14.45">
      <c r="A190" s="23"/>
      <c r="B190" s="35"/>
      <c r="C190" s="23"/>
      <c r="D190" s="23"/>
      <c r="E190" s="23"/>
      <c r="F190" s="23"/>
      <c r="G190" s="23"/>
      <c r="H190" s="24"/>
      <c r="I190" s="23"/>
      <c r="J190" s="23"/>
      <c r="K190" s="24"/>
      <c r="L190" s="23"/>
      <c r="M190" s="23"/>
    </row>
    <row r="191" spans="1:13" ht="14.45">
      <c r="A191" s="23"/>
      <c r="B191" s="35"/>
      <c r="C191" s="23"/>
      <c r="D191" s="23"/>
      <c r="E191" s="23"/>
      <c r="F191" s="23"/>
      <c r="G191" s="23"/>
      <c r="H191" s="24"/>
      <c r="I191" s="23"/>
      <c r="J191" s="23"/>
      <c r="K191" s="24"/>
      <c r="L191" s="23"/>
      <c r="M191" s="23"/>
    </row>
    <row r="192" spans="1:13" ht="14.45">
      <c r="A192" s="23"/>
      <c r="B192" s="35"/>
      <c r="C192" s="23"/>
      <c r="D192" s="23"/>
      <c r="E192" s="23"/>
      <c r="F192" s="23"/>
      <c r="G192" s="23"/>
      <c r="H192" s="24"/>
      <c r="I192" s="23"/>
      <c r="J192" s="23"/>
      <c r="K192" s="24"/>
      <c r="L192" s="23"/>
      <c r="M192" s="23"/>
    </row>
    <row r="193" spans="1:13" ht="14.45">
      <c r="A193" s="23"/>
      <c r="B193" s="35"/>
      <c r="C193" s="23"/>
      <c r="D193" s="23"/>
      <c r="E193" s="23"/>
      <c r="F193" s="23"/>
      <c r="G193" s="23"/>
      <c r="H193" s="24"/>
      <c r="I193" s="23"/>
      <c r="J193" s="23"/>
      <c r="K193" s="24"/>
      <c r="L193" s="23"/>
      <c r="M193" s="23"/>
    </row>
    <row r="194" spans="1:13" ht="14.45">
      <c r="A194" s="23"/>
      <c r="B194" s="35"/>
      <c r="C194" s="23"/>
      <c r="D194" s="23"/>
      <c r="E194" s="23"/>
      <c r="F194" s="23"/>
      <c r="G194" s="23"/>
      <c r="H194" s="24"/>
      <c r="I194" s="23"/>
      <c r="J194" s="23"/>
      <c r="K194" s="24"/>
      <c r="L194" s="23"/>
      <c r="M194" s="23"/>
    </row>
    <row r="195" spans="1:13" ht="14.45">
      <c r="A195" s="23"/>
      <c r="B195" s="35"/>
      <c r="C195" s="23"/>
      <c r="D195" s="23"/>
      <c r="E195" s="23"/>
      <c r="F195" s="23"/>
      <c r="G195" s="23"/>
      <c r="H195" s="24"/>
      <c r="I195" s="23"/>
      <c r="J195" s="23"/>
      <c r="K195" s="24"/>
      <c r="L195" s="23"/>
      <c r="M195" s="23"/>
    </row>
    <row r="196" spans="1:13" ht="14.45">
      <c r="A196" s="23"/>
      <c r="B196" s="35"/>
      <c r="C196" s="23"/>
      <c r="D196" s="23"/>
      <c r="E196" s="23"/>
      <c r="F196" s="23"/>
      <c r="G196" s="23"/>
      <c r="H196" s="24"/>
      <c r="I196" s="23"/>
      <c r="J196" s="23"/>
      <c r="K196" s="24"/>
      <c r="L196" s="23"/>
      <c r="M196" s="23"/>
    </row>
    <row r="197" spans="1:13" ht="14.45">
      <c r="A197" s="23"/>
      <c r="B197" s="35"/>
      <c r="C197" s="23"/>
      <c r="D197" s="23"/>
      <c r="E197" s="23"/>
      <c r="F197" s="23"/>
      <c r="G197" s="23"/>
      <c r="H197" s="24"/>
      <c r="I197" s="23"/>
      <c r="J197" s="23"/>
      <c r="K197" s="24"/>
      <c r="L197" s="23"/>
      <c r="M197" s="23"/>
    </row>
    <row r="198" spans="1:13" ht="14.45">
      <c r="A198" s="23"/>
      <c r="B198" s="35"/>
      <c r="C198" s="23"/>
      <c r="D198" s="23"/>
      <c r="E198" s="23"/>
      <c r="F198" s="23"/>
      <c r="G198" s="23"/>
      <c r="H198" s="24"/>
      <c r="I198" s="23"/>
      <c r="J198" s="23"/>
      <c r="K198" s="24"/>
      <c r="L198" s="23"/>
      <c r="M198" s="23"/>
    </row>
    <row r="199" spans="1:13" ht="14.45">
      <c r="A199" s="23"/>
      <c r="B199" s="35"/>
      <c r="C199" s="23"/>
      <c r="D199" s="23"/>
      <c r="E199" s="23"/>
      <c r="F199" s="23"/>
      <c r="G199" s="23"/>
      <c r="H199" s="24"/>
      <c r="I199" s="23"/>
      <c r="J199" s="23"/>
      <c r="K199" s="24"/>
      <c r="L199" s="23"/>
      <c r="M199" s="23"/>
    </row>
    <row r="200" spans="1:13" ht="14.45">
      <c r="A200" s="23"/>
      <c r="B200" s="35"/>
      <c r="C200" s="23"/>
      <c r="D200" s="23"/>
      <c r="E200" s="23"/>
      <c r="F200" s="23"/>
      <c r="G200" s="23"/>
      <c r="H200" s="24"/>
      <c r="I200" s="23"/>
      <c r="J200" s="23"/>
      <c r="K200" s="24"/>
      <c r="L200" s="23"/>
      <c r="M200" s="23"/>
    </row>
    <row r="201" spans="1:13" ht="14.45">
      <c r="A201" s="23"/>
      <c r="B201" s="35"/>
      <c r="C201" s="23"/>
      <c r="D201" s="23"/>
      <c r="E201" s="23"/>
      <c r="F201" s="23"/>
      <c r="G201" s="23"/>
      <c r="H201" s="24"/>
      <c r="I201" s="23"/>
      <c r="J201" s="23"/>
      <c r="K201" s="24"/>
      <c r="L201" s="23"/>
      <c r="M201" s="23"/>
    </row>
    <row r="202" spans="1:13" ht="14.45">
      <c r="A202" s="23"/>
      <c r="B202" s="35"/>
      <c r="C202" s="23"/>
      <c r="D202" s="23"/>
      <c r="E202" s="23"/>
      <c r="F202" s="23"/>
      <c r="G202" s="23"/>
      <c r="H202" s="24"/>
      <c r="I202" s="23"/>
      <c r="J202" s="23"/>
      <c r="K202" s="24"/>
      <c r="L202" s="23"/>
      <c r="M202" s="23"/>
    </row>
    <row r="203" spans="1:13" ht="14.45">
      <c r="A203" s="23"/>
      <c r="B203" s="35"/>
      <c r="C203" s="23"/>
      <c r="D203" s="23"/>
      <c r="E203" s="23"/>
      <c r="F203" s="23"/>
      <c r="G203" s="23"/>
      <c r="H203" s="24"/>
      <c r="I203" s="23"/>
      <c r="J203" s="23"/>
      <c r="K203" s="24"/>
      <c r="L203" s="23"/>
      <c r="M203" s="23"/>
    </row>
    <row r="204" spans="1:13" ht="14.45">
      <c r="A204" s="23"/>
      <c r="B204" s="35"/>
      <c r="C204" s="23"/>
      <c r="D204" s="23"/>
      <c r="E204" s="23"/>
      <c r="F204" s="23"/>
      <c r="G204" s="23"/>
      <c r="H204" s="24"/>
      <c r="I204" s="23"/>
      <c r="J204" s="23"/>
      <c r="K204" s="24"/>
      <c r="L204" s="23"/>
      <c r="M204" s="23"/>
    </row>
    <row r="205" spans="1:13" ht="14.45">
      <c r="A205" s="23"/>
      <c r="B205" s="35"/>
      <c r="C205" s="23"/>
      <c r="D205" s="23"/>
      <c r="E205" s="23"/>
      <c r="F205" s="23"/>
      <c r="G205" s="23"/>
      <c r="H205" s="24"/>
      <c r="I205" s="23"/>
      <c r="J205" s="23"/>
      <c r="K205" s="24"/>
      <c r="L205" s="23"/>
      <c r="M205" s="23"/>
    </row>
    <row r="206" spans="1:13" ht="14.45">
      <c r="A206" s="23"/>
      <c r="B206" s="35"/>
      <c r="C206" s="23"/>
      <c r="D206" s="23"/>
      <c r="E206" s="23"/>
      <c r="F206" s="23"/>
      <c r="G206" s="23"/>
      <c r="H206" s="24"/>
      <c r="I206" s="23"/>
      <c r="J206" s="23"/>
      <c r="K206" s="24"/>
      <c r="L206" s="23"/>
      <c r="M206" s="23"/>
    </row>
    <row r="207" spans="1:13" ht="14.45">
      <c r="A207" s="23"/>
      <c r="B207" s="35"/>
      <c r="C207" s="23"/>
      <c r="D207" s="23"/>
      <c r="E207" s="23"/>
      <c r="F207" s="23"/>
      <c r="G207" s="23"/>
      <c r="H207" s="24"/>
      <c r="I207" s="23"/>
      <c r="J207" s="23"/>
      <c r="K207" s="24"/>
      <c r="L207" s="23"/>
      <c r="M207" s="23"/>
    </row>
    <row r="208" spans="1:13" ht="14.45">
      <c r="A208" s="23"/>
      <c r="B208" s="35"/>
      <c r="C208" s="23"/>
      <c r="D208" s="23"/>
      <c r="E208" s="23"/>
      <c r="F208" s="23"/>
      <c r="G208" s="23"/>
      <c r="H208" s="24"/>
      <c r="I208" s="23"/>
      <c r="J208" s="23"/>
      <c r="K208" s="24"/>
      <c r="L208" s="23"/>
      <c r="M208" s="23"/>
    </row>
    <row r="209" spans="1:13" ht="14.45">
      <c r="A209" s="23"/>
      <c r="B209" s="35"/>
      <c r="C209" s="23"/>
      <c r="D209" s="23"/>
      <c r="E209" s="23"/>
      <c r="F209" s="23"/>
      <c r="G209" s="23"/>
      <c r="H209" s="24"/>
      <c r="I209" s="23"/>
      <c r="J209" s="23"/>
      <c r="K209" s="24"/>
      <c r="L209" s="23"/>
      <c r="M209" s="23"/>
    </row>
    <row r="210" spans="1:13" ht="14.45">
      <c r="A210" s="23"/>
      <c r="B210" s="35"/>
      <c r="C210" s="23"/>
      <c r="D210" s="23"/>
      <c r="E210" s="23"/>
      <c r="F210" s="23"/>
      <c r="G210" s="23"/>
      <c r="H210" s="24"/>
      <c r="I210" s="23"/>
      <c r="J210" s="23"/>
      <c r="K210" s="24"/>
      <c r="L210" s="23"/>
      <c r="M210" s="23"/>
    </row>
    <row r="211" spans="1:13" ht="14.45">
      <c r="A211" s="23"/>
      <c r="B211" s="35"/>
      <c r="C211" s="23"/>
      <c r="D211" s="23"/>
      <c r="E211" s="23"/>
      <c r="F211" s="23"/>
      <c r="G211" s="23"/>
      <c r="H211" s="24"/>
      <c r="I211" s="23"/>
      <c r="J211" s="23"/>
      <c r="K211" s="24"/>
      <c r="L211" s="23"/>
      <c r="M211" s="23"/>
    </row>
    <row r="212" spans="1:13" ht="14.45">
      <c r="A212" s="23"/>
      <c r="B212" s="35"/>
      <c r="C212" s="23"/>
      <c r="D212" s="23"/>
      <c r="E212" s="23"/>
      <c r="F212" s="23"/>
      <c r="G212" s="23"/>
      <c r="H212" s="24"/>
      <c r="I212" s="23"/>
      <c r="J212" s="23"/>
      <c r="K212" s="24"/>
      <c r="L212" s="23"/>
      <c r="M212" s="23"/>
    </row>
    <row r="213" spans="1:13" ht="14.45">
      <c r="A213" s="23"/>
      <c r="B213" s="35"/>
      <c r="C213" s="23"/>
      <c r="D213" s="23"/>
      <c r="E213" s="23"/>
      <c r="F213" s="23"/>
      <c r="G213" s="23"/>
      <c r="H213" s="24"/>
      <c r="I213" s="23"/>
      <c r="J213" s="23"/>
      <c r="K213" s="24"/>
      <c r="L213" s="23"/>
      <c r="M213" s="23"/>
    </row>
    <row r="214" spans="1:13" ht="14.45">
      <c r="A214" s="23"/>
      <c r="B214" s="35"/>
      <c r="C214" s="23"/>
      <c r="D214" s="23"/>
      <c r="E214" s="23"/>
      <c r="F214" s="23"/>
      <c r="G214" s="23"/>
      <c r="H214" s="24"/>
      <c r="I214" s="23"/>
      <c r="J214" s="23"/>
      <c r="K214" s="24"/>
      <c r="L214" s="23"/>
      <c r="M214" s="23"/>
    </row>
    <row r="215" spans="1:13" ht="14.45">
      <c r="A215" s="23"/>
      <c r="B215" s="35"/>
      <c r="C215" s="23"/>
      <c r="D215" s="23"/>
      <c r="E215" s="23"/>
      <c r="F215" s="23"/>
      <c r="G215" s="23"/>
      <c r="H215" s="24"/>
      <c r="I215" s="23"/>
      <c r="J215" s="23"/>
      <c r="K215" s="24"/>
      <c r="L215" s="23"/>
      <c r="M215" s="23"/>
    </row>
    <row r="216" spans="1:13" ht="14.45">
      <c r="A216" s="23"/>
      <c r="B216" s="35"/>
      <c r="C216" s="23"/>
      <c r="D216" s="23"/>
      <c r="E216" s="23"/>
      <c r="F216" s="23"/>
      <c r="G216" s="23"/>
      <c r="H216" s="24"/>
      <c r="I216" s="23"/>
      <c r="J216" s="23"/>
      <c r="K216" s="24"/>
      <c r="L216" s="23"/>
      <c r="M216" s="23"/>
    </row>
    <row r="217" spans="1:13" ht="14.45">
      <c r="A217" s="23"/>
      <c r="B217" s="35"/>
      <c r="C217" s="23"/>
      <c r="D217" s="23"/>
      <c r="E217" s="23"/>
      <c r="F217" s="23"/>
      <c r="G217" s="23"/>
      <c r="H217" s="24"/>
      <c r="I217" s="23"/>
      <c r="J217" s="23"/>
      <c r="K217" s="24"/>
      <c r="L217" s="23"/>
      <c r="M217" s="23"/>
    </row>
    <row r="218" spans="1:13" ht="14.45">
      <c r="A218" s="23"/>
      <c r="B218" s="35"/>
      <c r="C218" s="23"/>
      <c r="D218" s="23"/>
      <c r="E218" s="23"/>
      <c r="F218" s="23"/>
      <c r="G218" s="23"/>
      <c r="H218" s="24"/>
      <c r="I218" s="23"/>
      <c r="J218" s="23"/>
      <c r="K218" s="24"/>
      <c r="L218" s="23"/>
      <c r="M218" s="23"/>
    </row>
    <row r="219" spans="1:13" ht="14.45">
      <c r="A219" s="23"/>
      <c r="B219" s="35"/>
      <c r="C219" s="23"/>
      <c r="D219" s="23"/>
      <c r="E219" s="23"/>
      <c r="F219" s="23"/>
      <c r="G219" s="23"/>
      <c r="H219" s="24"/>
      <c r="I219" s="23"/>
      <c r="J219" s="23"/>
      <c r="K219" s="24"/>
      <c r="L219" s="23"/>
      <c r="M219" s="23"/>
    </row>
    <row r="220" spans="1:13" ht="14.45">
      <c r="A220" s="23"/>
      <c r="B220" s="35"/>
      <c r="C220" s="23"/>
      <c r="D220" s="23"/>
      <c r="E220" s="23"/>
      <c r="F220" s="23"/>
      <c r="G220" s="23"/>
      <c r="H220" s="24"/>
      <c r="I220" s="23"/>
      <c r="J220" s="23"/>
      <c r="K220" s="24"/>
      <c r="L220" s="23"/>
      <c r="M220" s="23"/>
    </row>
    <row r="221" spans="1:13" ht="14.45">
      <c r="A221" s="23"/>
      <c r="B221" s="35"/>
      <c r="C221" s="23"/>
      <c r="D221" s="23"/>
      <c r="E221" s="23"/>
      <c r="F221" s="23"/>
      <c r="G221" s="23"/>
      <c r="H221" s="24"/>
      <c r="I221" s="23"/>
      <c r="J221" s="23"/>
      <c r="K221" s="24"/>
      <c r="L221" s="23"/>
      <c r="M221" s="23"/>
    </row>
    <row r="222" spans="1:13" ht="14.45">
      <c r="A222" s="23"/>
      <c r="B222" s="35"/>
      <c r="C222" s="23"/>
      <c r="D222" s="23"/>
      <c r="E222" s="23"/>
      <c r="F222" s="23"/>
      <c r="G222" s="23"/>
      <c r="H222" s="24"/>
      <c r="I222" s="23"/>
      <c r="J222" s="23"/>
      <c r="K222" s="24"/>
      <c r="L222" s="23"/>
      <c r="M222" s="23"/>
    </row>
    <row r="223" spans="1:13" ht="14.45">
      <c r="A223" s="23"/>
      <c r="B223" s="35"/>
      <c r="C223" s="23"/>
      <c r="D223" s="23"/>
      <c r="E223" s="23"/>
      <c r="F223" s="23"/>
      <c r="G223" s="23"/>
      <c r="H223" s="24"/>
      <c r="I223" s="23"/>
      <c r="J223" s="23"/>
      <c r="K223" s="24"/>
      <c r="L223" s="23"/>
      <c r="M223" s="23"/>
    </row>
    <row r="224" spans="1:13" ht="14.45">
      <c r="A224" s="23"/>
      <c r="B224" s="35"/>
      <c r="C224" s="23"/>
      <c r="D224" s="23"/>
      <c r="E224" s="23"/>
      <c r="F224" s="23"/>
      <c r="G224" s="23"/>
      <c r="H224" s="24"/>
      <c r="I224" s="23"/>
      <c r="J224" s="23"/>
      <c r="K224" s="24"/>
      <c r="L224" s="23"/>
      <c r="M224" s="23"/>
    </row>
    <row r="225" spans="1:13" ht="14.45">
      <c r="A225" s="23"/>
      <c r="B225" s="35"/>
      <c r="C225" s="23"/>
      <c r="D225" s="23"/>
      <c r="E225" s="23"/>
      <c r="F225" s="23"/>
      <c r="G225" s="23"/>
      <c r="H225" s="24"/>
      <c r="I225" s="23"/>
      <c r="J225" s="23"/>
      <c r="K225" s="24"/>
      <c r="L225" s="23"/>
      <c r="M225" s="23"/>
    </row>
    <row r="226" spans="1:13" ht="14.45">
      <c r="A226" s="23"/>
      <c r="B226" s="35"/>
      <c r="C226" s="23"/>
      <c r="D226" s="23"/>
      <c r="E226" s="23"/>
      <c r="F226" s="23"/>
      <c r="G226" s="23"/>
      <c r="H226" s="24"/>
      <c r="I226" s="23"/>
      <c r="J226" s="23"/>
      <c r="K226" s="24"/>
      <c r="L226" s="23"/>
      <c r="M226" s="23"/>
    </row>
    <row r="227" spans="1:13" ht="14.45">
      <c r="A227" s="23"/>
      <c r="B227" s="35"/>
      <c r="C227" s="23"/>
      <c r="D227" s="23"/>
      <c r="E227" s="23"/>
      <c r="F227" s="23"/>
      <c r="G227" s="23"/>
      <c r="H227" s="24"/>
      <c r="I227" s="23"/>
      <c r="J227" s="23"/>
      <c r="K227" s="24"/>
      <c r="L227" s="23"/>
      <c r="M227" s="23"/>
    </row>
    <row r="228" spans="1:13" ht="14.45">
      <c r="A228" s="23"/>
      <c r="B228" s="35"/>
      <c r="C228" s="23"/>
      <c r="D228" s="23"/>
      <c r="E228" s="23"/>
      <c r="F228" s="23"/>
      <c r="G228" s="23"/>
      <c r="H228" s="24"/>
      <c r="I228" s="23"/>
      <c r="J228" s="23"/>
      <c r="K228" s="24"/>
      <c r="L228" s="23"/>
      <c r="M228" s="23"/>
    </row>
    <row r="229" spans="1:13" ht="14.45">
      <c r="A229" s="23"/>
      <c r="B229" s="35"/>
      <c r="C229" s="23"/>
      <c r="D229" s="23"/>
      <c r="E229" s="23"/>
      <c r="F229" s="23"/>
      <c r="G229" s="23"/>
      <c r="H229" s="24"/>
      <c r="I229" s="23"/>
      <c r="J229" s="23"/>
      <c r="K229" s="24"/>
      <c r="L229" s="23"/>
      <c r="M229" s="23"/>
    </row>
    <row r="230" spans="1:13" ht="14.45">
      <c r="A230" s="23"/>
      <c r="B230" s="35"/>
      <c r="C230" s="23"/>
      <c r="D230" s="23"/>
      <c r="E230" s="23"/>
      <c r="F230" s="23"/>
      <c r="G230" s="23"/>
      <c r="H230" s="24"/>
      <c r="I230" s="23"/>
      <c r="J230" s="23"/>
      <c r="K230" s="24"/>
      <c r="L230" s="23"/>
      <c r="M230" s="23"/>
    </row>
    <row r="231" spans="1:13" ht="14.45">
      <c r="A231" s="23"/>
      <c r="B231" s="35"/>
      <c r="C231" s="23"/>
      <c r="D231" s="23"/>
      <c r="E231" s="23"/>
      <c r="F231" s="23"/>
      <c r="G231" s="23"/>
      <c r="H231" s="24"/>
      <c r="I231" s="23"/>
      <c r="J231" s="23"/>
      <c r="K231" s="24"/>
      <c r="L231" s="23"/>
      <c r="M231" s="23"/>
    </row>
    <row r="232" spans="1:13" ht="14.45">
      <c r="A232" s="23"/>
      <c r="B232" s="35"/>
      <c r="C232" s="23"/>
      <c r="D232" s="23"/>
      <c r="E232" s="23"/>
      <c r="F232" s="23"/>
      <c r="G232" s="23"/>
      <c r="H232" s="24"/>
      <c r="I232" s="23"/>
      <c r="J232" s="23"/>
      <c r="K232" s="24"/>
      <c r="L232" s="23"/>
      <c r="M232" s="23"/>
    </row>
    <row r="233" spans="1:13" ht="14.45">
      <c r="A233" s="23"/>
      <c r="B233" s="35"/>
      <c r="C233" s="23"/>
      <c r="D233" s="23"/>
      <c r="E233" s="23"/>
      <c r="F233" s="23"/>
      <c r="G233" s="23"/>
      <c r="H233" s="24"/>
      <c r="I233" s="23"/>
      <c r="J233" s="23"/>
      <c r="K233" s="24"/>
      <c r="L233" s="23"/>
      <c r="M233" s="23"/>
    </row>
    <row r="234" spans="1:13" ht="14.45">
      <c r="A234" s="23"/>
      <c r="B234" s="35"/>
      <c r="C234" s="23"/>
      <c r="D234" s="23"/>
      <c r="E234" s="23"/>
      <c r="F234" s="23"/>
      <c r="G234" s="23"/>
      <c r="H234" s="24"/>
      <c r="I234" s="23"/>
      <c r="J234" s="23"/>
      <c r="K234" s="24"/>
      <c r="L234" s="23"/>
      <c r="M234" s="23"/>
    </row>
    <row r="235" spans="1:13" ht="14.45">
      <c r="A235" s="23"/>
      <c r="B235" s="35"/>
      <c r="C235" s="23"/>
      <c r="D235" s="23"/>
      <c r="E235" s="23"/>
      <c r="F235" s="23"/>
      <c r="G235" s="23"/>
      <c r="H235" s="24"/>
      <c r="I235" s="23"/>
      <c r="J235" s="23"/>
      <c r="K235" s="24"/>
      <c r="L235" s="23"/>
      <c r="M235" s="23"/>
    </row>
    <row r="236" spans="1:13" ht="14.45">
      <c r="A236" s="23"/>
      <c r="B236" s="35"/>
      <c r="C236" s="23"/>
      <c r="D236" s="23"/>
      <c r="E236" s="23"/>
      <c r="F236" s="23"/>
      <c r="G236" s="23"/>
      <c r="H236" s="24"/>
      <c r="I236" s="23"/>
      <c r="J236" s="23"/>
      <c r="K236" s="24"/>
      <c r="L236" s="23"/>
      <c r="M236" s="23"/>
    </row>
    <row r="237" spans="1:13" ht="14.45">
      <c r="A237" s="23"/>
      <c r="B237" s="35"/>
      <c r="C237" s="23"/>
      <c r="D237" s="23"/>
      <c r="E237" s="23"/>
      <c r="F237" s="23"/>
      <c r="G237" s="23"/>
      <c r="H237" s="24"/>
      <c r="I237" s="23"/>
      <c r="J237" s="23"/>
      <c r="K237" s="24"/>
      <c r="L237" s="23"/>
      <c r="M237" s="23"/>
    </row>
    <row r="238" spans="1:13" ht="14.45">
      <c r="A238" s="23"/>
      <c r="B238" s="35"/>
      <c r="C238" s="23"/>
      <c r="D238" s="23"/>
      <c r="E238" s="23"/>
      <c r="F238" s="23"/>
      <c r="G238" s="23"/>
      <c r="H238" s="24"/>
      <c r="I238" s="23"/>
      <c r="J238" s="23"/>
      <c r="K238" s="24"/>
      <c r="L238" s="23"/>
      <c r="M238" s="23"/>
    </row>
    <row r="239" spans="1:13" ht="14.45">
      <c r="A239" s="23"/>
      <c r="B239" s="35"/>
      <c r="C239" s="23"/>
      <c r="D239" s="23"/>
      <c r="E239" s="23"/>
      <c r="F239" s="23"/>
      <c r="G239" s="23"/>
      <c r="H239" s="24"/>
      <c r="I239" s="23"/>
      <c r="J239" s="23"/>
      <c r="K239" s="24"/>
      <c r="L239" s="23"/>
      <c r="M239" s="23"/>
    </row>
    <row r="240" spans="1:13" ht="14.45">
      <c r="A240" s="23"/>
      <c r="B240" s="35"/>
      <c r="C240" s="23"/>
      <c r="D240" s="23"/>
      <c r="E240" s="23"/>
      <c r="F240" s="23"/>
      <c r="G240" s="23"/>
      <c r="H240" s="24"/>
      <c r="I240" s="23"/>
      <c r="J240" s="23"/>
      <c r="K240" s="24"/>
      <c r="L240" s="23"/>
      <c r="M240" s="23"/>
    </row>
    <row r="241" spans="1:13" ht="14.45">
      <c r="A241" s="23"/>
      <c r="B241" s="35"/>
      <c r="C241" s="23"/>
      <c r="D241" s="23"/>
      <c r="E241" s="23"/>
      <c r="F241" s="23"/>
      <c r="G241" s="23"/>
      <c r="H241" s="24"/>
      <c r="I241" s="23"/>
      <c r="J241" s="23"/>
      <c r="K241" s="24"/>
      <c r="L241" s="23"/>
      <c r="M241" s="23"/>
    </row>
    <row r="242" spans="1:13" ht="14.45">
      <c r="A242" s="23"/>
      <c r="B242" s="35"/>
      <c r="C242" s="23"/>
      <c r="D242" s="23"/>
      <c r="E242" s="23"/>
      <c r="F242" s="23"/>
      <c r="G242" s="23"/>
      <c r="H242" s="24"/>
      <c r="I242" s="23"/>
      <c r="J242" s="23"/>
      <c r="K242" s="24"/>
      <c r="L242" s="23"/>
      <c r="M242" s="23"/>
    </row>
    <row r="243" spans="1:13" ht="14.45">
      <c r="A243" s="23"/>
      <c r="B243" s="35"/>
      <c r="C243" s="23"/>
      <c r="D243" s="23"/>
      <c r="E243" s="23"/>
      <c r="F243" s="23"/>
      <c r="G243" s="23"/>
      <c r="H243" s="24"/>
      <c r="I243" s="23"/>
      <c r="J243" s="23"/>
      <c r="K243" s="24"/>
      <c r="L243" s="23"/>
      <c r="M243" s="23"/>
    </row>
    <row r="244" spans="1:13" ht="14.45">
      <c r="A244" s="23"/>
      <c r="B244" s="35"/>
      <c r="C244" s="23"/>
      <c r="D244" s="23"/>
      <c r="E244" s="23"/>
      <c r="F244" s="23"/>
      <c r="G244" s="23"/>
      <c r="H244" s="24"/>
      <c r="I244" s="23"/>
      <c r="J244" s="23"/>
      <c r="K244" s="24"/>
      <c r="L244" s="23"/>
      <c r="M244" s="23"/>
    </row>
    <row r="245" spans="1:13" ht="14.45">
      <c r="A245" s="23"/>
      <c r="B245" s="35"/>
      <c r="C245" s="23"/>
      <c r="D245" s="23"/>
      <c r="E245" s="23"/>
      <c r="F245" s="23"/>
      <c r="G245" s="23"/>
      <c r="H245" s="24"/>
      <c r="I245" s="23"/>
      <c r="J245" s="23"/>
      <c r="K245" s="24"/>
      <c r="L245" s="23"/>
      <c r="M245" s="23"/>
    </row>
    <row r="246" spans="1:13" ht="14.45">
      <c r="A246" s="23"/>
      <c r="B246" s="35"/>
      <c r="C246" s="23"/>
      <c r="D246" s="23"/>
      <c r="E246" s="23"/>
      <c r="F246" s="23"/>
      <c r="G246" s="23"/>
      <c r="H246" s="24"/>
      <c r="I246" s="23"/>
      <c r="J246" s="23"/>
      <c r="K246" s="24"/>
      <c r="L246" s="23"/>
      <c r="M246" s="23"/>
    </row>
    <row r="247" spans="1:13" ht="14.45">
      <c r="A247" s="23"/>
      <c r="B247" s="35"/>
      <c r="C247" s="23"/>
      <c r="D247" s="23"/>
      <c r="E247" s="23"/>
      <c r="F247" s="23"/>
      <c r="G247" s="23"/>
      <c r="H247" s="24"/>
      <c r="I247" s="23"/>
      <c r="J247" s="23"/>
      <c r="K247" s="24"/>
      <c r="L247" s="23"/>
      <c r="M247" s="23"/>
    </row>
    <row r="248" spans="1:13" ht="14.45">
      <c r="A248" s="23"/>
      <c r="B248" s="35"/>
      <c r="C248" s="23"/>
      <c r="D248" s="23"/>
      <c r="E248" s="23"/>
      <c r="F248" s="23"/>
      <c r="G248" s="23"/>
      <c r="H248" s="24"/>
      <c r="I248" s="23"/>
      <c r="J248" s="23"/>
      <c r="K248" s="24"/>
      <c r="L248" s="23"/>
      <c r="M248" s="23"/>
    </row>
    <row r="249" spans="1:13" ht="14.45">
      <c r="A249" s="23"/>
      <c r="B249" s="35"/>
      <c r="C249" s="23"/>
      <c r="D249" s="23"/>
      <c r="E249" s="23"/>
      <c r="F249" s="23"/>
      <c r="G249" s="23"/>
      <c r="H249" s="24"/>
      <c r="I249" s="23"/>
      <c r="J249" s="23"/>
      <c r="K249" s="24"/>
      <c r="L249" s="23"/>
      <c r="M249" s="23"/>
    </row>
    <row r="250" spans="1:13" ht="14.45">
      <c r="A250" s="23"/>
      <c r="B250" s="35"/>
      <c r="C250" s="23"/>
      <c r="D250" s="23"/>
      <c r="E250" s="23"/>
      <c r="F250" s="23"/>
      <c r="G250" s="23"/>
      <c r="H250" s="24"/>
      <c r="I250" s="23"/>
      <c r="J250" s="23"/>
      <c r="K250" s="24"/>
      <c r="L250" s="23"/>
      <c r="M250" s="23"/>
    </row>
    <row r="251" spans="1:13" ht="14.45">
      <c r="A251" s="23"/>
      <c r="B251" s="35"/>
      <c r="C251" s="23"/>
      <c r="D251" s="23"/>
      <c r="E251" s="23"/>
      <c r="F251" s="23"/>
      <c r="G251" s="23"/>
      <c r="H251" s="24"/>
      <c r="I251" s="23"/>
      <c r="J251" s="23"/>
      <c r="K251" s="24"/>
      <c r="L251" s="23"/>
      <c r="M251" s="23"/>
    </row>
    <row r="252" spans="1:13" ht="14.45">
      <c r="A252" s="23"/>
      <c r="B252" s="35"/>
      <c r="C252" s="23"/>
      <c r="D252" s="23"/>
      <c r="E252" s="23"/>
      <c r="F252" s="23"/>
      <c r="G252" s="23"/>
      <c r="H252" s="24"/>
      <c r="I252" s="23"/>
      <c r="J252" s="23"/>
      <c r="K252" s="24"/>
      <c r="L252" s="23"/>
      <c r="M252" s="23"/>
    </row>
    <row r="253" spans="1:13" ht="14.45">
      <c r="A253" s="23"/>
      <c r="B253" s="35"/>
      <c r="C253" s="23"/>
      <c r="D253" s="23"/>
      <c r="E253" s="23"/>
      <c r="F253" s="23"/>
      <c r="G253" s="23"/>
      <c r="H253" s="24"/>
      <c r="I253" s="23"/>
      <c r="J253" s="23"/>
      <c r="K253" s="24"/>
      <c r="L253" s="23"/>
      <c r="M253" s="23"/>
    </row>
    <row r="254" spans="1:13" ht="14.45">
      <c r="A254" s="23"/>
      <c r="B254" s="35"/>
      <c r="C254" s="23"/>
      <c r="D254" s="23"/>
      <c r="E254" s="23"/>
      <c r="F254" s="23"/>
      <c r="G254" s="23"/>
      <c r="H254" s="24"/>
      <c r="I254" s="23"/>
      <c r="J254" s="23"/>
      <c r="K254" s="24"/>
      <c r="L254" s="23"/>
      <c r="M254" s="23"/>
    </row>
    <row r="255" spans="1:13" ht="14.45">
      <c r="A255" s="23"/>
      <c r="B255" s="35"/>
      <c r="C255" s="23"/>
      <c r="D255" s="23"/>
      <c r="E255" s="23"/>
      <c r="F255" s="23"/>
      <c r="G255" s="23"/>
      <c r="H255" s="24"/>
      <c r="I255" s="23"/>
      <c r="J255" s="23"/>
      <c r="K255" s="24"/>
      <c r="L255" s="23"/>
      <c r="M255" s="23"/>
    </row>
    <row r="256" spans="1:13" ht="14.45">
      <c r="A256" s="23"/>
      <c r="B256" s="35"/>
      <c r="C256" s="23"/>
      <c r="D256" s="23"/>
      <c r="E256" s="23"/>
      <c r="F256" s="23"/>
      <c r="G256" s="23"/>
      <c r="H256" s="24"/>
      <c r="I256" s="23"/>
      <c r="J256" s="23"/>
      <c r="K256" s="24"/>
      <c r="L256" s="23"/>
      <c r="M256" s="23"/>
    </row>
    <row r="257" spans="1:13" ht="14.45">
      <c r="A257" s="23"/>
      <c r="B257" s="35"/>
      <c r="C257" s="23"/>
      <c r="D257" s="23"/>
      <c r="E257" s="23"/>
      <c r="F257" s="23"/>
      <c r="G257" s="23"/>
      <c r="H257" s="24"/>
      <c r="I257" s="23"/>
      <c r="J257" s="23"/>
      <c r="K257" s="24"/>
      <c r="L257" s="23"/>
      <c r="M257" s="23"/>
    </row>
    <row r="258" spans="1:13" ht="14.45">
      <c r="A258" s="23"/>
      <c r="B258" s="35"/>
      <c r="C258" s="23"/>
      <c r="D258" s="23"/>
      <c r="E258" s="23"/>
      <c r="F258" s="23"/>
      <c r="G258" s="23"/>
      <c r="H258" s="24"/>
      <c r="I258" s="23"/>
      <c r="J258" s="23"/>
      <c r="K258" s="24"/>
      <c r="L258" s="23"/>
      <c r="M258" s="23"/>
    </row>
    <row r="259" spans="1:13" ht="14.45">
      <c r="A259" s="23"/>
      <c r="B259" s="35"/>
      <c r="C259" s="23"/>
      <c r="D259" s="23"/>
      <c r="E259" s="23"/>
      <c r="F259" s="23"/>
      <c r="G259" s="23"/>
      <c r="H259" s="24"/>
      <c r="I259" s="23"/>
      <c r="J259" s="23"/>
      <c r="K259" s="24"/>
      <c r="L259" s="23"/>
      <c r="M259" s="23"/>
    </row>
    <row r="260" spans="1:13" ht="14.45">
      <c r="A260" s="23"/>
      <c r="B260" s="35"/>
      <c r="C260" s="23"/>
      <c r="D260" s="23"/>
      <c r="E260" s="23"/>
      <c r="F260" s="23"/>
      <c r="G260" s="23"/>
      <c r="H260" s="24"/>
      <c r="I260" s="23"/>
      <c r="J260" s="23"/>
      <c r="K260" s="24"/>
      <c r="L260" s="23"/>
      <c r="M260" s="23"/>
    </row>
    <row r="261" spans="1:13" ht="14.45">
      <c r="A261" s="23"/>
      <c r="B261" s="35"/>
      <c r="C261" s="23"/>
      <c r="D261" s="23"/>
      <c r="E261" s="23"/>
      <c r="F261" s="23"/>
      <c r="G261" s="23"/>
      <c r="H261" s="24"/>
      <c r="I261" s="23"/>
      <c r="J261" s="23"/>
      <c r="K261" s="24"/>
      <c r="L261" s="23"/>
      <c r="M261" s="23"/>
    </row>
    <row r="262" spans="1:13" ht="14.45">
      <c r="A262" s="23"/>
      <c r="B262" s="35"/>
      <c r="C262" s="23"/>
      <c r="D262" s="23"/>
      <c r="E262" s="23"/>
      <c r="F262" s="23"/>
      <c r="G262" s="23"/>
      <c r="H262" s="24"/>
      <c r="I262" s="23"/>
      <c r="J262" s="23"/>
      <c r="K262" s="24"/>
      <c r="L262" s="23"/>
      <c r="M262" s="23"/>
    </row>
    <row r="263" spans="1:13" ht="14.45">
      <c r="A263" s="23"/>
      <c r="B263" s="35"/>
      <c r="C263" s="23"/>
      <c r="D263" s="23"/>
      <c r="E263" s="23"/>
      <c r="F263" s="23"/>
      <c r="G263" s="23"/>
      <c r="H263" s="24"/>
      <c r="I263" s="23"/>
      <c r="J263" s="23"/>
      <c r="K263" s="24"/>
      <c r="L263" s="23"/>
      <c r="M263" s="23"/>
    </row>
    <row r="264" spans="1:13" ht="14.45">
      <c r="A264" s="23"/>
      <c r="B264" s="35"/>
      <c r="C264" s="23"/>
      <c r="D264" s="23"/>
      <c r="E264" s="23"/>
      <c r="F264" s="23"/>
      <c r="G264" s="23"/>
      <c r="H264" s="24"/>
      <c r="I264" s="23"/>
      <c r="J264" s="23"/>
      <c r="K264" s="24"/>
      <c r="L264" s="23"/>
      <c r="M264" s="23"/>
    </row>
    <row r="265" spans="1:13" ht="14.45">
      <c r="A265" s="23"/>
      <c r="B265" s="35"/>
      <c r="C265" s="23"/>
      <c r="D265" s="23"/>
      <c r="E265" s="23"/>
      <c r="F265" s="23"/>
      <c r="G265" s="23"/>
      <c r="H265" s="24"/>
      <c r="I265" s="23"/>
      <c r="J265" s="23"/>
      <c r="K265" s="24"/>
      <c r="L265" s="23"/>
      <c r="M265" s="23"/>
    </row>
    <row r="266" spans="1:13" ht="14.45">
      <c r="A266" s="23"/>
      <c r="B266" s="35"/>
      <c r="C266" s="23"/>
      <c r="D266" s="23"/>
      <c r="E266" s="23"/>
      <c r="F266" s="23"/>
      <c r="G266" s="23"/>
      <c r="H266" s="24"/>
      <c r="I266" s="23"/>
      <c r="J266" s="23"/>
      <c r="K266" s="24"/>
      <c r="L266" s="23"/>
      <c r="M266" s="23"/>
    </row>
    <row r="267" spans="1:13" ht="14.45">
      <c r="A267" s="23"/>
      <c r="B267" s="35"/>
      <c r="C267" s="23"/>
      <c r="D267" s="23"/>
      <c r="E267" s="23"/>
      <c r="F267" s="23"/>
      <c r="G267" s="23"/>
      <c r="H267" s="24"/>
      <c r="I267" s="23"/>
      <c r="J267" s="23"/>
      <c r="K267" s="24"/>
      <c r="L267" s="23"/>
      <c r="M267" s="23"/>
    </row>
    <row r="268" spans="1:13" ht="14.45">
      <c r="A268" s="23"/>
      <c r="B268" s="35"/>
      <c r="C268" s="23"/>
      <c r="D268" s="23"/>
      <c r="E268" s="23"/>
      <c r="F268" s="23"/>
      <c r="G268" s="23"/>
      <c r="H268" s="24"/>
      <c r="I268" s="23"/>
      <c r="J268" s="23"/>
      <c r="K268" s="24"/>
      <c r="L268" s="23"/>
      <c r="M268" s="23"/>
    </row>
    <row r="269" spans="1:13" ht="14.45">
      <c r="A269" s="23"/>
      <c r="B269" s="35"/>
      <c r="C269" s="23"/>
      <c r="D269" s="23"/>
      <c r="E269" s="23"/>
      <c r="F269" s="23"/>
      <c r="G269" s="23"/>
      <c r="H269" s="24"/>
      <c r="I269" s="23"/>
      <c r="J269" s="23"/>
      <c r="K269" s="24"/>
      <c r="L269" s="23"/>
      <c r="M269" s="23"/>
    </row>
    <row r="270" spans="1:13" ht="14.45">
      <c r="A270" s="23"/>
      <c r="B270" s="35"/>
      <c r="C270" s="23"/>
      <c r="D270" s="23"/>
      <c r="E270" s="23"/>
      <c r="F270" s="23"/>
      <c r="G270" s="23"/>
      <c r="H270" s="24"/>
      <c r="I270" s="23"/>
      <c r="J270" s="23"/>
      <c r="K270" s="24"/>
      <c r="L270" s="23"/>
      <c r="M270" s="23"/>
    </row>
    <row r="271" spans="1:13" ht="14.45">
      <c r="A271" s="23"/>
      <c r="B271" s="35"/>
      <c r="C271" s="23"/>
      <c r="D271" s="23"/>
      <c r="E271" s="23"/>
      <c r="F271" s="23"/>
      <c r="G271" s="23"/>
      <c r="H271" s="24"/>
      <c r="I271" s="23"/>
      <c r="J271" s="23"/>
      <c r="K271" s="24"/>
      <c r="L271" s="23"/>
      <c r="M271" s="23"/>
    </row>
    <row r="272" spans="1:13" ht="14.45">
      <c r="A272" s="23"/>
      <c r="B272" s="35"/>
      <c r="C272" s="23"/>
      <c r="D272" s="23"/>
      <c r="E272" s="23"/>
      <c r="F272" s="23"/>
      <c r="G272" s="23"/>
      <c r="H272" s="24"/>
      <c r="I272" s="23"/>
      <c r="J272" s="23"/>
      <c r="K272" s="24"/>
      <c r="L272" s="23"/>
      <c r="M272" s="23"/>
    </row>
    <row r="273" spans="1:13" ht="14.45">
      <c r="A273" s="23"/>
      <c r="B273" s="35"/>
      <c r="C273" s="23"/>
      <c r="D273" s="23"/>
      <c r="E273" s="23"/>
      <c r="F273" s="23"/>
      <c r="G273" s="23"/>
      <c r="H273" s="24"/>
      <c r="I273" s="23"/>
      <c r="J273" s="23"/>
      <c r="K273" s="24"/>
      <c r="L273" s="23"/>
      <c r="M273" s="23"/>
    </row>
    <row r="274" spans="1:13" ht="14.45">
      <c r="A274" s="23"/>
      <c r="B274" s="35"/>
      <c r="C274" s="23"/>
      <c r="D274" s="23"/>
      <c r="E274" s="23"/>
      <c r="F274" s="23"/>
      <c r="G274" s="23"/>
      <c r="H274" s="24"/>
      <c r="I274" s="23"/>
      <c r="J274" s="23"/>
      <c r="K274" s="24"/>
      <c r="L274" s="23"/>
      <c r="M274" s="23"/>
    </row>
    <row r="275" spans="1:13" ht="14.45">
      <c r="A275" s="23"/>
      <c r="B275" s="35"/>
      <c r="C275" s="23"/>
      <c r="D275" s="23"/>
      <c r="E275" s="23"/>
      <c r="F275" s="23"/>
      <c r="G275" s="23"/>
      <c r="H275" s="24"/>
      <c r="I275" s="23"/>
      <c r="J275" s="23"/>
      <c r="K275" s="24"/>
      <c r="L275" s="23"/>
      <c r="M275" s="23"/>
    </row>
    <row r="276" spans="1:13" ht="14.45">
      <c r="A276" s="23"/>
      <c r="B276" s="35"/>
      <c r="C276" s="23"/>
      <c r="D276" s="23"/>
      <c r="E276" s="23"/>
      <c r="F276" s="23"/>
      <c r="G276" s="23"/>
      <c r="H276" s="24"/>
      <c r="I276" s="23"/>
      <c r="J276" s="23"/>
      <c r="K276" s="24"/>
      <c r="L276" s="23"/>
      <c r="M276" s="23"/>
    </row>
    <row r="277" spans="1:13" ht="14.45">
      <c r="A277" s="23"/>
      <c r="B277" s="35"/>
      <c r="C277" s="23"/>
      <c r="D277" s="23"/>
      <c r="E277" s="23"/>
      <c r="F277" s="23"/>
      <c r="G277" s="23"/>
      <c r="H277" s="24"/>
      <c r="I277" s="23"/>
      <c r="J277" s="23"/>
      <c r="K277" s="24"/>
      <c r="L277" s="23"/>
      <c r="M277" s="23"/>
    </row>
    <row r="278" spans="1:13" ht="14.45">
      <c r="A278" s="23"/>
      <c r="B278" s="35"/>
      <c r="C278" s="23"/>
      <c r="D278" s="23"/>
      <c r="E278" s="23"/>
      <c r="F278" s="23"/>
      <c r="G278" s="23"/>
      <c r="H278" s="24"/>
      <c r="I278" s="23"/>
      <c r="J278" s="23"/>
      <c r="K278" s="24"/>
      <c r="L278" s="23"/>
      <c r="M278" s="23"/>
    </row>
    <row r="279" spans="1:13" ht="14.45">
      <c r="A279" s="23"/>
      <c r="B279" s="35"/>
      <c r="C279" s="23"/>
      <c r="D279" s="23"/>
      <c r="E279" s="23"/>
      <c r="F279" s="23"/>
      <c r="G279" s="23"/>
      <c r="H279" s="24"/>
      <c r="I279" s="23"/>
      <c r="J279" s="23"/>
      <c r="K279" s="24"/>
      <c r="L279" s="23"/>
      <c r="M279" s="23"/>
    </row>
    <row r="280" spans="1:13" ht="14.45">
      <c r="A280" s="23"/>
      <c r="B280" s="35"/>
      <c r="C280" s="23"/>
      <c r="D280" s="23"/>
      <c r="E280" s="23"/>
      <c r="F280" s="23"/>
      <c r="G280" s="23"/>
      <c r="H280" s="24"/>
      <c r="I280" s="23"/>
      <c r="J280" s="23"/>
      <c r="K280" s="24"/>
      <c r="L280" s="23"/>
      <c r="M280" s="23"/>
    </row>
    <row r="281" spans="1:13" ht="14.45">
      <c r="A281" s="23"/>
      <c r="B281" s="35"/>
      <c r="C281" s="23"/>
      <c r="D281" s="23"/>
      <c r="E281" s="23"/>
      <c r="F281" s="23"/>
      <c r="G281" s="23"/>
      <c r="H281" s="24"/>
      <c r="I281" s="23"/>
      <c r="J281" s="23"/>
      <c r="K281" s="24"/>
      <c r="L281" s="23"/>
      <c r="M281" s="23"/>
    </row>
    <row r="282" spans="1:13" ht="14.45">
      <c r="A282" s="23"/>
      <c r="B282" s="35"/>
      <c r="C282" s="23"/>
      <c r="D282" s="23"/>
      <c r="E282" s="23"/>
      <c r="F282" s="23"/>
      <c r="G282" s="23"/>
      <c r="H282" s="24"/>
      <c r="I282" s="23"/>
      <c r="J282" s="23"/>
      <c r="K282" s="24"/>
      <c r="L282" s="23"/>
      <c r="M282" s="23"/>
    </row>
    <row r="283" spans="1:13" ht="14.45">
      <c r="A283" s="23"/>
      <c r="B283" s="35"/>
      <c r="C283" s="23"/>
      <c r="D283" s="23"/>
      <c r="E283" s="23"/>
      <c r="F283" s="23"/>
      <c r="G283" s="23"/>
      <c r="H283" s="24"/>
      <c r="I283" s="23"/>
      <c r="J283" s="23"/>
      <c r="K283" s="24"/>
      <c r="L283" s="23"/>
      <c r="M283" s="23"/>
    </row>
    <row r="284" spans="1:13" ht="14.45">
      <c r="A284" s="23"/>
      <c r="B284" s="35"/>
      <c r="C284" s="23"/>
      <c r="D284" s="23"/>
      <c r="E284" s="23"/>
      <c r="F284" s="23"/>
      <c r="G284" s="23"/>
      <c r="H284" s="24"/>
      <c r="I284" s="23"/>
      <c r="J284" s="23"/>
      <c r="K284" s="24"/>
      <c r="L284" s="23"/>
      <c r="M284" s="23"/>
    </row>
    <row r="285" spans="1:13" ht="14.45">
      <c r="A285" s="23"/>
      <c r="B285" s="35"/>
      <c r="C285" s="23"/>
      <c r="D285" s="23"/>
      <c r="E285" s="23"/>
      <c r="F285" s="23"/>
      <c r="G285" s="23"/>
      <c r="H285" s="24"/>
      <c r="I285" s="23"/>
      <c r="J285" s="23"/>
      <c r="K285" s="24"/>
      <c r="L285" s="23"/>
      <c r="M285" s="23"/>
    </row>
    <row r="286" spans="1:13" ht="14.45">
      <c r="A286" s="23"/>
      <c r="B286" s="35"/>
      <c r="C286" s="23"/>
      <c r="D286" s="23"/>
      <c r="E286" s="23"/>
      <c r="F286" s="23"/>
      <c r="G286" s="23"/>
      <c r="H286" s="24"/>
      <c r="I286" s="23"/>
      <c r="J286" s="23"/>
      <c r="K286" s="24"/>
      <c r="L286" s="23"/>
      <c r="M286" s="23"/>
    </row>
    <row r="287" spans="1:13" ht="14.45">
      <c r="A287" s="23"/>
      <c r="B287" s="35"/>
      <c r="C287" s="23"/>
      <c r="D287" s="23"/>
      <c r="E287" s="23"/>
      <c r="F287" s="23"/>
      <c r="G287" s="23"/>
      <c r="H287" s="24"/>
      <c r="I287" s="23"/>
      <c r="J287" s="23"/>
      <c r="K287" s="24"/>
      <c r="L287" s="23"/>
      <c r="M287" s="23"/>
    </row>
    <row r="288" spans="1:13" ht="14.45">
      <c r="A288" s="23"/>
      <c r="B288" s="35"/>
      <c r="C288" s="23"/>
      <c r="D288" s="23"/>
      <c r="E288" s="23"/>
      <c r="F288" s="23"/>
      <c r="G288" s="23"/>
      <c r="H288" s="24"/>
      <c r="I288" s="23"/>
      <c r="J288" s="23"/>
      <c r="K288" s="24"/>
      <c r="L288" s="23"/>
      <c r="M288" s="23"/>
    </row>
    <row r="289" spans="1:13" ht="14.45">
      <c r="A289" s="23"/>
      <c r="B289" s="35"/>
      <c r="C289" s="23"/>
      <c r="D289" s="23"/>
      <c r="E289" s="23"/>
      <c r="F289" s="23"/>
      <c r="G289" s="23"/>
      <c r="H289" s="24"/>
      <c r="I289" s="23"/>
      <c r="J289" s="23"/>
      <c r="K289" s="24"/>
      <c r="L289" s="23"/>
      <c r="M289" s="23"/>
    </row>
    <row r="290" spans="1:13" ht="14.45">
      <c r="A290" s="23"/>
      <c r="B290" s="35"/>
      <c r="C290" s="23"/>
      <c r="D290" s="23"/>
      <c r="E290" s="23"/>
      <c r="F290" s="23"/>
      <c r="G290" s="23"/>
      <c r="H290" s="24"/>
      <c r="I290" s="23"/>
      <c r="J290" s="23"/>
      <c r="K290" s="24"/>
      <c r="L290" s="23"/>
      <c r="M290" s="23"/>
    </row>
    <row r="291" spans="1:13" ht="14.45">
      <c r="A291" s="23"/>
      <c r="B291" s="35"/>
      <c r="C291" s="23"/>
      <c r="D291" s="23"/>
      <c r="E291" s="23"/>
      <c r="F291" s="23"/>
      <c r="G291" s="23"/>
      <c r="H291" s="24"/>
      <c r="I291" s="23"/>
      <c r="J291" s="23"/>
      <c r="K291" s="24"/>
      <c r="L291" s="23"/>
      <c r="M291" s="23"/>
    </row>
    <row r="292" spans="1:13" ht="14.45">
      <c r="A292" s="23"/>
      <c r="B292" s="35"/>
      <c r="C292" s="23"/>
      <c r="D292" s="23"/>
      <c r="E292" s="23"/>
      <c r="F292" s="23"/>
      <c r="G292" s="23"/>
      <c r="H292" s="24"/>
      <c r="I292" s="23"/>
      <c r="J292" s="23"/>
      <c r="K292" s="24"/>
      <c r="L292" s="23"/>
      <c r="M292" s="23"/>
    </row>
    <row r="293" spans="1:13" ht="14.45">
      <c r="A293" s="23"/>
      <c r="B293" s="35"/>
      <c r="C293" s="23"/>
      <c r="D293" s="23"/>
      <c r="E293" s="23"/>
      <c r="F293" s="23"/>
      <c r="G293" s="23"/>
      <c r="H293" s="24"/>
      <c r="I293" s="23"/>
      <c r="J293" s="23"/>
      <c r="K293" s="24"/>
      <c r="L293" s="23"/>
      <c r="M293" s="23"/>
    </row>
    <row r="294" spans="1:13" ht="14.45">
      <c r="A294" s="23"/>
      <c r="B294" s="35"/>
      <c r="C294" s="23"/>
      <c r="D294" s="23"/>
      <c r="E294" s="23"/>
      <c r="F294" s="23"/>
      <c r="G294" s="23"/>
      <c r="H294" s="24"/>
      <c r="I294" s="23"/>
      <c r="J294" s="23"/>
      <c r="K294" s="24"/>
      <c r="L294" s="23"/>
      <c r="M294" s="23"/>
    </row>
    <row r="295" spans="1:13" ht="14.45">
      <c r="A295" s="23"/>
      <c r="B295" s="35"/>
      <c r="C295" s="23"/>
      <c r="D295" s="23"/>
      <c r="E295" s="23"/>
      <c r="F295" s="23"/>
      <c r="G295" s="23"/>
      <c r="H295" s="24"/>
      <c r="I295" s="23"/>
      <c r="J295" s="23"/>
      <c r="K295" s="24"/>
      <c r="L295" s="23"/>
      <c r="M295" s="23"/>
    </row>
    <row r="296" spans="1:13" ht="14.45">
      <c r="A296" s="23"/>
      <c r="B296" s="35"/>
      <c r="C296" s="23"/>
      <c r="D296" s="23"/>
      <c r="E296" s="23"/>
      <c r="F296" s="23"/>
      <c r="G296" s="23"/>
      <c r="H296" s="24"/>
      <c r="I296" s="23"/>
      <c r="J296" s="23"/>
      <c r="K296" s="24"/>
      <c r="L296" s="23"/>
      <c r="M296" s="23"/>
    </row>
    <row r="297" spans="1:13" ht="14.45">
      <c r="A297" s="23"/>
      <c r="B297" s="35"/>
      <c r="C297" s="23"/>
      <c r="D297" s="23"/>
      <c r="E297" s="23"/>
      <c r="F297" s="23"/>
      <c r="G297" s="23"/>
      <c r="H297" s="24"/>
      <c r="I297" s="23"/>
      <c r="J297" s="23"/>
      <c r="K297" s="24"/>
      <c r="L297" s="23"/>
      <c r="M297" s="23"/>
    </row>
    <row r="298" spans="1:13" ht="14.45">
      <c r="A298" s="23"/>
      <c r="B298" s="35"/>
      <c r="C298" s="23"/>
      <c r="D298" s="23"/>
      <c r="E298" s="23"/>
      <c r="F298" s="23"/>
      <c r="G298" s="23"/>
      <c r="H298" s="24"/>
      <c r="I298" s="23"/>
      <c r="J298" s="23"/>
      <c r="K298" s="24"/>
      <c r="L298" s="23"/>
      <c r="M298" s="23"/>
    </row>
    <row r="299" spans="1:13" ht="14.45">
      <c r="A299" s="23"/>
      <c r="B299" s="35"/>
      <c r="C299" s="23"/>
      <c r="D299" s="23"/>
      <c r="E299" s="23"/>
      <c r="F299" s="23"/>
      <c r="G299" s="23"/>
      <c r="H299" s="24"/>
      <c r="I299" s="23"/>
      <c r="J299" s="23"/>
      <c r="K299" s="24"/>
      <c r="L299" s="23"/>
      <c r="M299" s="23"/>
    </row>
    <row r="300" spans="1:13" ht="14.45">
      <c r="A300" s="23"/>
      <c r="B300" s="35"/>
      <c r="C300" s="23"/>
      <c r="D300" s="23"/>
      <c r="E300" s="23"/>
      <c r="F300" s="23"/>
      <c r="G300" s="23"/>
      <c r="H300" s="24"/>
      <c r="I300" s="23"/>
      <c r="J300" s="23"/>
      <c r="K300" s="24"/>
      <c r="L300" s="23"/>
      <c r="M300" s="23"/>
    </row>
    <row r="301" spans="1:13" ht="14.45">
      <c r="A301" s="23"/>
      <c r="B301" s="35"/>
      <c r="C301" s="23"/>
      <c r="D301" s="23"/>
      <c r="E301" s="23"/>
      <c r="F301" s="23"/>
      <c r="G301" s="23"/>
      <c r="H301" s="24"/>
      <c r="I301" s="23"/>
      <c r="J301" s="23"/>
      <c r="K301" s="24"/>
      <c r="L301" s="23"/>
      <c r="M301" s="23"/>
    </row>
    <row r="302" spans="1:13" ht="14.45">
      <c r="A302" s="23"/>
      <c r="B302" s="35"/>
      <c r="C302" s="23"/>
      <c r="D302" s="23"/>
      <c r="E302" s="23"/>
      <c r="F302" s="23"/>
      <c r="G302" s="23"/>
      <c r="H302" s="24"/>
      <c r="I302" s="23"/>
      <c r="J302" s="23"/>
      <c r="K302" s="24"/>
      <c r="L302" s="23"/>
      <c r="M302" s="23"/>
    </row>
    <row r="303" spans="1:13" ht="14.45">
      <c r="A303" s="23"/>
      <c r="B303" s="35"/>
      <c r="C303" s="23"/>
      <c r="D303" s="23"/>
      <c r="E303" s="23"/>
      <c r="F303" s="23"/>
      <c r="G303" s="23"/>
      <c r="H303" s="24"/>
      <c r="I303" s="23"/>
      <c r="J303" s="23"/>
      <c r="K303" s="24"/>
      <c r="L303" s="23"/>
      <c r="M303" s="23"/>
    </row>
    <row r="304" spans="1:13" ht="14.45">
      <c r="A304" s="23"/>
      <c r="B304" s="35"/>
      <c r="C304" s="23"/>
      <c r="D304" s="23"/>
      <c r="E304" s="23"/>
      <c r="F304" s="23"/>
      <c r="G304" s="23"/>
      <c r="H304" s="24"/>
      <c r="I304" s="23"/>
      <c r="J304" s="23"/>
      <c r="K304" s="24"/>
      <c r="L304" s="23"/>
      <c r="M304" s="23"/>
    </row>
    <row r="305" spans="1:13" ht="14.45">
      <c r="A305" s="23"/>
      <c r="B305" s="35"/>
      <c r="C305" s="23"/>
      <c r="D305" s="23"/>
      <c r="E305" s="23"/>
      <c r="F305" s="23"/>
      <c r="G305" s="23"/>
      <c r="H305" s="24"/>
      <c r="I305" s="23"/>
      <c r="J305" s="23"/>
      <c r="K305" s="24"/>
      <c r="L305" s="23"/>
      <c r="M305" s="23"/>
    </row>
    <row r="306" spans="1:13" ht="14.45">
      <c r="A306" s="23"/>
      <c r="B306" s="35"/>
      <c r="C306" s="23"/>
      <c r="D306" s="23"/>
      <c r="E306" s="23"/>
      <c r="F306" s="23"/>
      <c r="G306" s="23"/>
      <c r="H306" s="24"/>
      <c r="I306" s="23"/>
      <c r="J306" s="23"/>
      <c r="K306" s="24"/>
      <c r="L306" s="23"/>
      <c r="M306" s="23"/>
    </row>
    <row r="307" spans="1:13" ht="14.45">
      <c r="A307" s="23"/>
      <c r="B307" s="35"/>
      <c r="C307" s="23"/>
      <c r="D307" s="23"/>
      <c r="E307" s="23"/>
      <c r="F307" s="23"/>
      <c r="G307" s="23"/>
      <c r="H307" s="24"/>
      <c r="I307" s="23"/>
      <c r="J307" s="23"/>
      <c r="K307" s="24"/>
      <c r="L307" s="23"/>
      <c r="M307" s="23"/>
    </row>
    <row r="308" spans="1:13" ht="14.45">
      <c r="A308" s="23"/>
      <c r="B308" s="35"/>
      <c r="C308" s="23"/>
      <c r="D308" s="23"/>
      <c r="E308" s="23"/>
      <c r="F308" s="23"/>
      <c r="G308" s="23"/>
      <c r="H308" s="24"/>
      <c r="I308" s="23"/>
      <c r="J308" s="23"/>
      <c r="K308" s="24"/>
      <c r="L308" s="23"/>
      <c r="M308" s="23"/>
    </row>
    <row r="309" spans="1:13" ht="14.45">
      <c r="A309" s="23"/>
      <c r="B309" s="35"/>
      <c r="C309" s="23"/>
      <c r="D309" s="23"/>
      <c r="E309" s="23"/>
      <c r="F309" s="23"/>
      <c r="G309" s="23"/>
      <c r="H309" s="24"/>
      <c r="I309" s="23"/>
      <c r="J309" s="23"/>
      <c r="K309" s="24"/>
      <c r="L309" s="23"/>
      <c r="M309" s="23"/>
    </row>
    <row r="310" spans="1:13" ht="14.45">
      <c r="A310" s="23"/>
      <c r="B310" s="35"/>
      <c r="C310" s="23"/>
      <c r="D310" s="23"/>
      <c r="E310" s="23"/>
      <c r="F310" s="23"/>
      <c r="G310" s="23"/>
      <c r="H310" s="24"/>
      <c r="I310" s="23"/>
      <c r="J310" s="23"/>
      <c r="K310" s="24"/>
      <c r="L310" s="23"/>
      <c r="M310" s="23"/>
    </row>
    <row r="311" spans="1:13" ht="14.45">
      <c r="A311" s="23"/>
      <c r="B311" s="35"/>
      <c r="C311" s="23"/>
      <c r="D311" s="23"/>
      <c r="E311" s="23"/>
      <c r="F311" s="23"/>
      <c r="G311" s="23"/>
      <c r="H311" s="24"/>
      <c r="I311" s="23"/>
      <c r="J311" s="23"/>
      <c r="K311" s="24"/>
      <c r="L311" s="23"/>
      <c r="M311" s="23"/>
    </row>
    <row r="312" spans="1:13" ht="14.45">
      <c r="A312" s="23"/>
      <c r="B312" s="35"/>
      <c r="C312" s="23"/>
      <c r="D312" s="23"/>
      <c r="E312" s="23"/>
      <c r="F312" s="23"/>
      <c r="G312" s="23"/>
      <c r="H312" s="24"/>
      <c r="I312" s="23"/>
      <c r="J312" s="23"/>
      <c r="K312" s="24"/>
      <c r="L312" s="23"/>
      <c r="M312" s="23"/>
    </row>
    <row r="313" spans="1:13" ht="14.45">
      <c r="A313" s="23"/>
      <c r="B313" s="35"/>
      <c r="C313" s="23"/>
      <c r="D313" s="23"/>
      <c r="E313" s="23"/>
      <c r="F313" s="23"/>
      <c r="G313" s="23"/>
      <c r="H313" s="24"/>
      <c r="I313" s="23"/>
      <c r="J313" s="23"/>
      <c r="K313" s="24"/>
      <c r="L313" s="23"/>
      <c r="M313" s="23"/>
    </row>
    <row r="314" spans="1:13" ht="14.45">
      <c r="A314" s="23"/>
      <c r="B314" s="35"/>
      <c r="C314" s="23"/>
      <c r="D314" s="23"/>
      <c r="E314" s="23"/>
      <c r="F314" s="23"/>
      <c r="G314" s="23"/>
      <c r="H314" s="24"/>
      <c r="I314" s="23"/>
      <c r="J314" s="23"/>
      <c r="K314" s="24"/>
      <c r="L314" s="23"/>
      <c r="M314" s="23"/>
    </row>
    <row r="315" spans="1:13" ht="14.45">
      <c r="A315" s="23"/>
      <c r="B315" s="35"/>
      <c r="C315" s="23"/>
      <c r="D315" s="23"/>
      <c r="E315" s="23"/>
      <c r="F315" s="23"/>
      <c r="G315" s="23"/>
      <c r="H315" s="24"/>
      <c r="I315" s="23"/>
      <c r="J315" s="23"/>
      <c r="K315" s="24"/>
      <c r="L315" s="23"/>
      <c r="M315" s="23"/>
    </row>
    <row r="316" spans="1:13" ht="14.45">
      <c r="A316" s="23"/>
      <c r="B316" s="35"/>
      <c r="C316" s="23"/>
      <c r="D316" s="23"/>
      <c r="E316" s="23"/>
      <c r="F316" s="23"/>
      <c r="G316" s="23"/>
      <c r="H316" s="24"/>
      <c r="I316" s="23"/>
      <c r="J316" s="23"/>
      <c r="K316" s="24"/>
      <c r="L316" s="23"/>
      <c r="M316" s="23"/>
    </row>
    <row r="317" spans="1:13" ht="14.45">
      <c r="A317" s="23"/>
      <c r="B317" s="35"/>
      <c r="C317" s="23"/>
      <c r="D317" s="23"/>
      <c r="E317" s="23"/>
      <c r="F317" s="23"/>
      <c r="G317" s="23"/>
      <c r="H317" s="24"/>
      <c r="I317" s="23"/>
      <c r="J317" s="23"/>
      <c r="K317" s="24"/>
      <c r="L317" s="23"/>
      <c r="M317" s="23"/>
    </row>
    <row r="318" spans="1:13" ht="14.45">
      <c r="A318" s="23"/>
      <c r="B318" s="35"/>
      <c r="C318" s="23"/>
      <c r="D318" s="23"/>
      <c r="E318" s="23"/>
      <c r="F318" s="23"/>
      <c r="G318" s="23"/>
      <c r="H318" s="24"/>
      <c r="I318" s="23"/>
      <c r="J318" s="23"/>
      <c r="K318" s="24"/>
      <c r="L318" s="23"/>
      <c r="M318" s="23"/>
    </row>
    <row r="319" spans="1:13" ht="14.45">
      <c r="A319" s="23"/>
      <c r="B319" s="35"/>
      <c r="C319" s="23"/>
      <c r="D319" s="23"/>
      <c r="E319" s="23"/>
      <c r="F319" s="23"/>
      <c r="G319" s="23"/>
      <c r="H319" s="24"/>
      <c r="I319" s="23"/>
      <c r="J319" s="23"/>
      <c r="K319" s="24"/>
      <c r="L319" s="23"/>
      <c r="M319" s="23"/>
    </row>
    <row r="320" spans="1:13" ht="14.45">
      <c r="A320" s="23"/>
      <c r="B320" s="35"/>
      <c r="C320" s="23"/>
      <c r="D320" s="23"/>
      <c r="E320" s="23"/>
      <c r="F320" s="23"/>
      <c r="G320" s="23"/>
      <c r="H320" s="24"/>
      <c r="I320" s="23"/>
      <c r="J320" s="23"/>
      <c r="K320" s="24"/>
      <c r="L320" s="23"/>
      <c r="M320" s="23"/>
    </row>
    <row r="321" spans="1:13" ht="14.45">
      <c r="A321" s="23"/>
      <c r="B321" s="35"/>
      <c r="C321" s="23"/>
      <c r="D321" s="23"/>
      <c r="E321" s="23"/>
      <c r="F321" s="23"/>
      <c r="G321" s="23"/>
      <c r="H321" s="24"/>
      <c r="I321" s="23"/>
      <c r="J321" s="23"/>
      <c r="K321" s="24"/>
      <c r="L321" s="23"/>
      <c r="M321" s="23"/>
    </row>
    <row r="322" spans="1:13" ht="14.45">
      <c r="A322" s="23"/>
      <c r="B322" s="35"/>
      <c r="C322" s="23"/>
      <c r="D322" s="23"/>
      <c r="E322" s="23"/>
      <c r="F322" s="23"/>
      <c r="G322" s="23"/>
      <c r="H322" s="24"/>
      <c r="I322" s="23"/>
      <c r="J322" s="23"/>
      <c r="K322" s="24"/>
      <c r="L322" s="23"/>
      <c r="M322" s="23"/>
    </row>
    <row r="323" spans="1:13" ht="14.45">
      <c r="A323" s="23"/>
      <c r="B323" s="35"/>
      <c r="C323" s="23"/>
      <c r="D323" s="23"/>
      <c r="E323" s="23"/>
      <c r="F323" s="23"/>
      <c r="G323" s="23"/>
      <c r="H323" s="24"/>
      <c r="I323" s="23"/>
      <c r="J323" s="23"/>
      <c r="K323" s="24"/>
      <c r="L323" s="23"/>
      <c r="M323" s="23"/>
    </row>
    <row r="324" spans="1:13" ht="14.45">
      <c r="A324" s="23"/>
      <c r="B324" s="35"/>
      <c r="C324" s="23"/>
      <c r="D324" s="23"/>
      <c r="E324" s="23"/>
      <c r="F324" s="23"/>
      <c r="G324" s="23"/>
      <c r="H324" s="24"/>
      <c r="I324" s="23"/>
      <c r="J324" s="23"/>
      <c r="K324" s="24"/>
      <c r="L324" s="23"/>
      <c r="M324" s="23"/>
    </row>
    <row r="325" spans="1:13" ht="14.45">
      <c r="A325" s="23"/>
      <c r="B325" s="35"/>
      <c r="C325" s="23"/>
      <c r="D325" s="23"/>
      <c r="E325" s="23"/>
      <c r="F325" s="23"/>
      <c r="G325" s="23"/>
      <c r="H325" s="24"/>
      <c r="I325" s="23"/>
      <c r="J325" s="23"/>
      <c r="K325" s="24"/>
      <c r="L325" s="23"/>
      <c r="M325" s="23"/>
    </row>
    <row r="326" spans="1:13" ht="14.45">
      <c r="A326" s="23"/>
      <c r="B326" s="35"/>
      <c r="C326" s="23"/>
      <c r="D326" s="23"/>
      <c r="E326" s="23"/>
      <c r="F326" s="23"/>
      <c r="G326" s="23"/>
      <c r="H326" s="24"/>
      <c r="I326" s="23"/>
      <c r="J326" s="23"/>
      <c r="K326" s="24"/>
      <c r="L326" s="23"/>
      <c r="M326" s="23"/>
    </row>
    <row r="327" spans="1:13" ht="14.45">
      <c r="A327" s="23"/>
      <c r="B327" s="35"/>
      <c r="C327" s="23"/>
      <c r="D327" s="23"/>
      <c r="E327" s="23"/>
      <c r="F327" s="23"/>
      <c r="G327" s="23"/>
      <c r="H327" s="24"/>
      <c r="I327" s="23"/>
      <c r="J327" s="23"/>
      <c r="K327" s="24"/>
      <c r="L327" s="23"/>
      <c r="M327" s="23"/>
    </row>
    <row r="328" spans="1:13" ht="14.45">
      <c r="A328" s="23"/>
      <c r="B328" s="35"/>
      <c r="C328" s="23"/>
      <c r="D328" s="23"/>
      <c r="E328" s="23"/>
      <c r="F328" s="23"/>
      <c r="G328" s="23"/>
      <c r="H328" s="24"/>
      <c r="I328" s="23"/>
      <c r="J328" s="23"/>
      <c r="K328" s="24"/>
      <c r="L328" s="23"/>
      <c r="M328" s="23"/>
    </row>
    <row r="329" spans="1:13" ht="14.45">
      <c r="A329" s="23"/>
      <c r="B329" s="35"/>
      <c r="C329" s="23"/>
      <c r="D329" s="23"/>
      <c r="E329" s="23"/>
      <c r="F329" s="23"/>
      <c r="G329" s="23"/>
      <c r="H329" s="24"/>
      <c r="I329" s="23"/>
      <c r="J329" s="23"/>
      <c r="K329" s="24"/>
      <c r="L329" s="23"/>
      <c r="M329" s="23"/>
    </row>
    <row r="330" spans="1:13" ht="14.45">
      <c r="A330" s="23"/>
      <c r="B330" s="35"/>
      <c r="C330" s="23"/>
      <c r="D330" s="23"/>
      <c r="E330" s="23"/>
      <c r="F330" s="23"/>
      <c r="G330" s="23"/>
      <c r="H330" s="24"/>
      <c r="I330" s="23"/>
      <c r="J330" s="23"/>
      <c r="K330" s="24"/>
      <c r="L330" s="23"/>
      <c r="M330" s="23"/>
    </row>
    <row r="331" spans="1:13" ht="14.45">
      <c r="A331" s="23"/>
      <c r="B331" s="35"/>
      <c r="C331" s="23"/>
      <c r="D331" s="23"/>
      <c r="E331" s="23"/>
      <c r="F331" s="23"/>
      <c r="G331" s="23"/>
      <c r="H331" s="24"/>
      <c r="I331" s="23"/>
      <c r="J331" s="23"/>
      <c r="K331" s="24"/>
      <c r="L331" s="23"/>
      <c r="M331" s="23"/>
    </row>
    <row r="332" spans="1:13" ht="14.45">
      <c r="A332" s="23"/>
      <c r="B332" s="35"/>
      <c r="C332" s="23"/>
      <c r="D332" s="23"/>
      <c r="E332" s="23"/>
      <c r="F332" s="23"/>
      <c r="G332" s="23"/>
      <c r="H332" s="24"/>
      <c r="I332" s="23"/>
      <c r="J332" s="23"/>
      <c r="K332" s="24"/>
      <c r="L332" s="23"/>
      <c r="M332" s="23"/>
    </row>
    <row r="333" spans="1:13" ht="14.45">
      <c r="A333" s="23"/>
      <c r="B333" s="35"/>
      <c r="C333" s="23"/>
      <c r="D333" s="23"/>
      <c r="E333" s="23"/>
      <c r="F333" s="23"/>
      <c r="G333" s="23"/>
      <c r="H333" s="24"/>
      <c r="I333" s="23"/>
      <c r="J333" s="23"/>
      <c r="K333" s="24"/>
      <c r="L333" s="23"/>
      <c r="M333" s="23"/>
    </row>
    <row r="334" spans="1:13" ht="14.45">
      <c r="A334" s="23"/>
      <c r="B334" s="35"/>
      <c r="C334" s="23"/>
      <c r="D334" s="23"/>
      <c r="E334" s="23"/>
      <c r="F334" s="23"/>
      <c r="G334" s="23"/>
      <c r="H334" s="24"/>
      <c r="I334" s="23"/>
      <c r="J334" s="23"/>
      <c r="K334" s="24"/>
      <c r="L334" s="23"/>
      <c r="M334" s="23"/>
    </row>
    <row r="335" spans="1:13" ht="14.45">
      <c r="A335" s="23"/>
      <c r="B335" s="35"/>
      <c r="C335" s="23"/>
      <c r="D335" s="23"/>
      <c r="E335" s="23"/>
      <c r="F335" s="23"/>
      <c r="G335" s="23"/>
      <c r="H335" s="24"/>
      <c r="I335" s="23"/>
      <c r="J335" s="23"/>
      <c r="K335" s="24"/>
      <c r="L335" s="23"/>
      <c r="M335" s="23"/>
    </row>
    <row r="336" spans="1:13" ht="14.45">
      <c r="A336" s="23"/>
      <c r="B336" s="35"/>
      <c r="C336" s="23"/>
      <c r="D336" s="23"/>
      <c r="E336" s="23"/>
      <c r="F336" s="23"/>
      <c r="G336" s="23"/>
      <c r="H336" s="24"/>
      <c r="I336" s="23"/>
      <c r="J336" s="23"/>
      <c r="K336" s="24"/>
      <c r="L336" s="23"/>
      <c r="M336" s="23"/>
    </row>
    <row r="337" spans="1:13" ht="14.45">
      <c r="A337" s="23"/>
      <c r="B337" s="35"/>
      <c r="C337" s="23"/>
      <c r="D337" s="23"/>
      <c r="E337" s="23"/>
      <c r="F337" s="23"/>
      <c r="G337" s="23"/>
      <c r="H337" s="24"/>
      <c r="I337" s="23"/>
      <c r="J337" s="23"/>
      <c r="K337" s="24"/>
      <c r="L337" s="23"/>
      <c r="M337" s="23"/>
    </row>
    <row r="338" spans="1:13" ht="14.45">
      <c r="A338" s="23"/>
      <c r="B338" s="35"/>
      <c r="C338" s="23"/>
      <c r="D338" s="23"/>
      <c r="E338" s="23"/>
      <c r="F338" s="23"/>
      <c r="G338" s="23"/>
      <c r="H338" s="24"/>
      <c r="I338" s="23"/>
      <c r="J338" s="23"/>
      <c r="K338" s="24"/>
      <c r="L338" s="23"/>
      <c r="M338" s="23"/>
    </row>
    <row r="339" spans="1:13" ht="14.45">
      <c r="A339" s="23"/>
      <c r="B339" s="35"/>
      <c r="C339" s="23"/>
      <c r="D339" s="23"/>
      <c r="E339" s="23"/>
      <c r="F339" s="23"/>
      <c r="G339" s="23"/>
      <c r="H339" s="24"/>
      <c r="I339" s="23"/>
      <c r="J339" s="23"/>
      <c r="K339" s="24"/>
      <c r="L339" s="23"/>
      <c r="M339" s="23"/>
    </row>
    <row r="340" spans="1:13" ht="14.45">
      <c r="A340" s="23"/>
      <c r="B340" s="35"/>
      <c r="C340" s="23"/>
      <c r="D340" s="23"/>
      <c r="E340" s="23"/>
      <c r="F340" s="23"/>
      <c r="G340" s="23"/>
      <c r="H340" s="24"/>
      <c r="I340" s="23"/>
      <c r="J340" s="23"/>
      <c r="K340" s="24"/>
      <c r="L340" s="23"/>
      <c r="M340" s="23"/>
    </row>
    <row r="341" spans="1:13" ht="14.45">
      <c r="A341" s="23"/>
      <c r="B341" s="35"/>
      <c r="C341" s="23"/>
      <c r="D341" s="23"/>
      <c r="E341" s="23"/>
      <c r="F341" s="23"/>
      <c r="G341" s="23"/>
      <c r="H341" s="24"/>
      <c r="I341" s="23"/>
      <c r="J341" s="23"/>
      <c r="K341" s="24"/>
      <c r="L341" s="23"/>
      <c r="M341" s="23"/>
    </row>
    <row r="342" spans="1:13" ht="14.45">
      <c r="C342" s="23"/>
      <c r="D342" s="23"/>
      <c r="E342" s="23"/>
      <c r="F342" s="23"/>
      <c r="G342" s="23"/>
      <c r="H342" s="24"/>
      <c r="I342" s="23"/>
      <c r="J342" s="23"/>
      <c r="K342" s="24"/>
      <c r="L342" s="23"/>
      <c r="M342" s="23"/>
    </row>
  </sheetData>
  <mergeCells count="4">
    <mergeCell ref="I1:K1"/>
    <mergeCell ref="A1:C1"/>
    <mergeCell ref="F1:H1"/>
    <mergeCell ref="A2:B2"/>
  </mergeCells>
  <conditionalFormatting sqref="H2 K2 H4:H23 K4:K100 H50:H100">
    <cfRule type="cellIs" dxfId="16" priority="1" stopIfTrue="1" operator="lessThanOrEqual">
      <formula>-0.1</formula>
    </cfRule>
    <cfRule type="expression" dxfId="15" priority="2">
      <formula>AND(ISNUMBER(H2), H2&gt;=0.1)</formula>
    </cfRule>
  </conditionalFormatting>
  <hyperlinks>
    <hyperlink ref="M6" r:id="rId1" display="https://us3.assetplanner.com/service_request?ID=099622" xr:uid="{2C37C810-44C0-4951-BD25-3072F4898E71}"/>
    <hyperlink ref="M10" r:id="rId2" display="https://us3.assetplanner.com/service_request?ID=101507" xr:uid="{BDF017AF-7572-490F-9190-127E8A5CF617}"/>
    <hyperlink ref="M11" r:id="rId3" display="https://us3.assetplanner.com/service_request?ID=099861" xr:uid="{C1F881D4-E22C-4E6D-BD6A-3EEA19F8BC19}"/>
    <hyperlink ref="M12" r:id="rId4" display="https://us3.assetplanner.com/service_request?ID=098674" xr:uid="{9D25E189-768B-427D-8B0D-6F174B38FAC9}"/>
    <hyperlink ref="M13" r:id="rId5" display="https://us3.assetplanner.com/service_request?ID=099433" xr:uid="{5A6375E0-A0E7-41D7-8655-9CA62AAF4B75}"/>
    <hyperlink ref="N13" r:id="rId6" display="https://us3.assetplanner.com/service_request?ID=100933" xr:uid="{691C5A9A-FF61-4D77-B4FB-F52A20EB90FF}"/>
    <hyperlink ref="M14" r:id="rId7" display="https://us3.assetplanner.com/service_request?ID=098873" xr:uid="{CDA9BA47-0D55-47B1-9178-1CBC15A0C760}"/>
    <hyperlink ref="N14" r:id="rId8" display="https://us3.assetplanner.com/service_request?ID=099231" xr:uid="{98E39D6A-2601-4714-91B5-D0FDD658AD93}"/>
    <hyperlink ref="O14" r:id="rId9" display="https://us3.assetplanner.com/service_request?ID=099339" xr:uid="{C203BD1B-AADD-4D21-9555-F76BBEDD1414}"/>
    <hyperlink ref="M18" r:id="rId10" display="https://us3.assetplanner.com/service_request?ID=098874" xr:uid="{5651D158-AC5A-4213-B09B-A9A7525571CB}"/>
    <hyperlink ref="N18" r:id="rId11" display="https://us3.assetplanner.com/service_request?ID=101694" xr:uid="{1E0B1A32-5B84-4453-B4F8-2B192463D2AF}"/>
    <hyperlink ref="M19" r:id="rId12" display="https://us3.assetplanner.com/service_request?ID=099041" xr:uid="{648A1771-35D9-4D5B-947D-7BE1BF25463A}"/>
    <hyperlink ref="N19" r:id="rId13" display="https://us3.assetplanner.com/service_request?ID=099435" xr:uid="{00288F81-B717-45E7-832F-5918C5555D8F}"/>
    <hyperlink ref="M20" r:id="rId14" display="https://us3.assetplanner.com/service_request?ID=101090" xr:uid="{A2D2FB77-4D1E-46DF-8CE8-F4A7B49D3844}"/>
    <hyperlink ref="M21" r:id="rId15" display="https://us3.assetplanner.com/service_request?ID=099626" xr:uid="{6167AA35-6CD6-42CE-A3F9-E0B781CAF21E}"/>
    <hyperlink ref="N21" r:id="rId16" display="https://us3.assetplanner.com/service_request?ID=100428" xr:uid="{8F5B469B-D744-43C4-BE34-7B2B319176EA}"/>
    <hyperlink ref="O21" r:id="rId17" display="https://us3.assetplanner.com/service_request?ID=100428" xr:uid="{DBC32925-D035-4AFC-B110-A072D67726F8}"/>
    <hyperlink ref="M22" r:id="rId18" display="https://us3.assetplanner.com/service_request?ID=099704" xr:uid="{77DF0E21-82BE-4016-8A79-795F22D83514}"/>
    <hyperlink ref="N22" r:id="rId19" display="https://us3.assetplanner.com/service_request?ID=101255" xr:uid="{B5C7889C-4A50-48C2-9152-50807EFC416F}"/>
    <hyperlink ref="O22" r:id="rId20" display="https://us3.assetplanner.com/service_request?ID=101695" xr:uid="{A1F0CFF4-9AA9-4F86-92D5-8B16D6FA27E2}"/>
    <hyperlink ref="M23" r:id="rId21" display="https://us3.assetplanner.com/service_request?ID=100096" xr:uid="{1EBA31E3-54BC-47D0-B041-6AD610193B3A}"/>
    <hyperlink ref="N23" r:id="rId22" display="https://us3.assetplanner.com/service_request?ID=101335" xr:uid="{AC197B36-112D-45E2-A6B8-D6F5AAE78190}"/>
    <hyperlink ref="O23" r:id="rId23" display="https://us3.assetplanner.com/service_request?ID=102064" xr:uid="{26CEC948-4BC9-44B0-B641-1F407A6C2EC8}"/>
  </hyperlinks>
  <pageMargins left="0.4" right="0.7" top="0.25" bottom="0.25" header="0.3" footer="0.3"/>
  <pageSetup fitToHeight="99" orientation="landscape" r:id="rId2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R342"/>
  <sheetViews>
    <sheetView zoomScale="85" zoomScaleNormal="85" workbookViewId="0">
      <pane ySplit="2" topLeftCell="A3" activePane="bottomLeft" state="frozen"/>
      <selection pane="bottomLeft" activeCell="A3" sqref="A3"/>
      <selection activeCell="M45" sqref="M45"/>
    </sheetView>
  </sheetViews>
  <sheetFormatPr defaultRowHeight="14.25" customHeight="1"/>
  <cols>
    <col min="1" max="1" width="35.85546875" bestFit="1" customWidth="1"/>
    <col min="2" max="2" width="8.42578125" style="36" customWidth="1"/>
    <col min="3" max="3" width="11.7109375" customWidth="1"/>
    <col min="4" max="4" width="24.140625" customWidth="1"/>
    <col min="5" max="6" width="22.85546875" customWidth="1"/>
    <col min="7" max="8" width="13.28515625" customWidth="1"/>
    <col min="9" max="9" width="13.28515625" style="1" customWidth="1"/>
    <col min="10" max="11" width="13.28515625" customWidth="1"/>
    <col min="12" max="12" width="13.28515625" style="1" customWidth="1"/>
    <col min="13" max="13" width="71.5703125" customWidth="1"/>
    <col min="14" max="14" width="22.5703125" customWidth="1"/>
  </cols>
  <sheetData>
    <row r="1" spans="1:18" ht="19.5" customHeight="1">
      <c r="A1" s="129" t="str" cm="1">
        <f t="array" ref="A1">portfolio</f>
        <v>CITI</v>
      </c>
      <c r="B1" s="129"/>
      <c r="C1" s="129"/>
      <c r="D1" s="76" t="s">
        <v>0</v>
      </c>
      <c r="E1" s="76" t="s">
        <v>1</v>
      </c>
      <c r="F1" s="76" t="s">
        <v>171</v>
      </c>
      <c r="G1" s="130" t="s">
        <v>172</v>
      </c>
      <c r="H1" s="130"/>
      <c r="I1" s="130"/>
      <c r="J1" s="128" t="s">
        <v>173</v>
      </c>
      <c r="K1" s="128"/>
      <c r="L1" s="128"/>
      <c r="M1" s="5"/>
      <c r="N1" s="5"/>
    </row>
    <row r="2" spans="1:18" ht="19.5" customHeight="1">
      <c r="A2" s="131" t="s">
        <v>4</v>
      </c>
      <c r="B2" s="131"/>
      <c r="C2" s="6">
        <f>SUM(C4:C100)</f>
        <v>2862257.94</v>
      </c>
      <c r="D2" s="6">
        <f>SUM(D4:D22)</f>
        <v>2847464</v>
      </c>
      <c r="E2" s="7">
        <f>C2/D2</f>
        <v>1.0051954792053561</v>
      </c>
      <c r="F2" s="7">
        <f>AVERAGE(F4:F22)</f>
        <v>0.91333147347594068</v>
      </c>
      <c r="G2" s="6">
        <f>SUM(G4:G100)</f>
        <v>2604610</v>
      </c>
      <c r="H2" s="6">
        <f>C2-G2</f>
        <v>257647.93999999994</v>
      </c>
      <c r="I2" s="7">
        <f>IFERROR(H2/G2, 0)</f>
        <v>9.8919968824507293E-2</v>
      </c>
      <c r="J2" s="6">
        <f>SUM(J4:J100)</f>
        <v>3219200</v>
      </c>
      <c r="K2" s="8">
        <f>C2-J2</f>
        <v>-356942.06000000006</v>
      </c>
      <c r="L2" s="7">
        <f>IFERROR(K2/J2, 0)</f>
        <v>-0.1108791190357853</v>
      </c>
      <c r="M2" s="28" t="str">
        <f ca="1">IF(AND(TODAY()&gt;DATE(2024, 6, 1), COUNTA(Sites[Site])&lt;&gt;(COUNT(C:C)-1)), "Some sites are missing actual data; if new sites were added, make sure they are aligned correctly (including prior months!)", "")</f>
        <v/>
      </c>
      <c r="N2" s="5"/>
    </row>
    <row r="3" spans="1:18" ht="14.25" customHeight="1">
      <c r="A3" s="9" t="s">
        <v>5</v>
      </c>
      <c r="B3" s="9" t="s">
        <v>6</v>
      </c>
      <c r="C3" s="25" t="s">
        <v>7</v>
      </c>
      <c r="D3" s="77"/>
      <c r="E3" s="77"/>
      <c r="F3" s="77"/>
      <c r="G3" s="49" t="s">
        <v>8</v>
      </c>
      <c r="H3" s="49" t="s">
        <v>9</v>
      </c>
      <c r="I3" s="50" t="s">
        <v>10</v>
      </c>
      <c r="J3" s="51" t="s">
        <v>11</v>
      </c>
      <c r="K3" s="52" t="s">
        <v>9</v>
      </c>
      <c r="L3" s="53" t="s">
        <v>10</v>
      </c>
      <c r="M3" s="27" t="s">
        <v>22</v>
      </c>
      <c r="N3" s="27" t="s">
        <v>23</v>
      </c>
    </row>
    <row r="4" spans="1:18" ht="15.6">
      <c r="A4" s="34" t="str" cm="1">
        <f t="array" ref="A4:A23">Sites[Site]</f>
        <v>CA: Antioch Deer Valley - Citi</v>
      </c>
      <c r="B4" s="31" t="str" cm="1">
        <f t="array" ref="B4:B23">Sites[State]</f>
        <v>CA</v>
      </c>
      <c r="C4" s="26">
        <v>82695.75</v>
      </c>
      <c r="D4" s="78">
        <v>76877</v>
      </c>
      <c r="E4" s="79">
        <f t="shared" ref="E4:E21" si="0">C4/D4</f>
        <v>1.0756890877635703</v>
      </c>
      <c r="F4" s="79">
        <f>(SUM(C4,May!C4,Apr!C4))/(SUM(Apr!D4,May!D4,Jun!D4))</f>
        <v>1.0681992387106014</v>
      </c>
      <c r="G4" s="14">
        <v>82043</v>
      </c>
      <c r="H4" s="14">
        <f t="shared" ref="H4:H23" si="1">IF(AND(ISNUMBER(C4),ISNUMBER(G4)), C4-G4, "")</f>
        <v>652.75</v>
      </c>
      <c r="I4" s="15">
        <f>IFERROR(H4/G4, "")</f>
        <v>7.9561937033019274E-3</v>
      </c>
      <c r="J4" s="125">
        <v>76116</v>
      </c>
      <c r="K4" s="16">
        <f t="shared" ref="K4:K22" si="2">IF(AND(ISNUMBER(C4),ISNUMBER(J4)), C4-J4, "")</f>
        <v>6579.75</v>
      </c>
      <c r="L4" s="17">
        <f>IFERROR(K4/J4, "")</f>
        <v>8.6443717483840457E-2</v>
      </c>
      <c r="M4" s="18"/>
      <c r="N4" s="18"/>
      <c r="O4" s="113"/>
      <c r="P4" s="113"/>
      <c r="Q4" s="113"/>
      <c r="R4" s="113"/>
    </row>
    <row r="5" spans="1:18" ht="15.6">
      <c r="A5" s="32" t="str">
        <v>CA: Antioch MC CUP - Citi</v>
      </c>
      <c r="B5" s="33" t="str">
        <v>CA</v>
      </c>
      <c r="C5" s="12">
        <v>268167</v>
      </c>
      <c r="D5" s="12">
        <v>262669</v>
      </c>
      <c r="E5" s="80">
        <f t="shared" si="0"/>
        <v>1.0209312861433972</v>
      </c>
      <c r="F5" s="80">
        <f>(SUM(C5,May!C5,Apr!C5))/(SUM(Apr!D5,May!D5,Jun!D5))</f>
        <v>1.0293460537073305</v>
      </c>
      <c r="G5" s="20">
        <v>282694</v>
      </c>
      <c r="H5" s="20">
        <f t="shared" si="1"/>
        <v>-14527</v>
      </c>
      <c r="I5" s="21">
        <f>IFERROR(H5/G5, "")</f>
        <v>-5.1387719583719502E-2</v>
      </c>
      <c r="J5" s="126">
        <v>260045</v>
      </c>
      <c r="K5" s="22">
        <f t="shared" si="2"/>
        <v>8122</v>
      </c>
      <c r="L5" s="21">
        <f>IFERROR(K5/J5, "")</f>
        <v>3.1233055817262396E-2</v>
      </c>
      <c r="M5" s="11"/>
      <c r="N5" s="19"/>
      <c r="O5" s="113"/>
      <c r="P5" s="113"/>
      <c r="Q5" s="113"/>
      <c r="R5" s="113"/>
    </row>
    <row r="6" spans="1:18" ht="72">
      <c r="A6" s="30" t="str">
        <v>CA: Clovis - Citi</v>
      </c>
      <c r="B6" s="31" t="str">
        <v>CA</v>
      </c>
      <c r="C6" s="26">
        <v>114614.5</v>
      </c>
      <c r="D6" s="78">
        <v>114359</v>
      </c>
      <c r="E6" s="79">
        <f t="shared" si="0"/>
        <v>1.0022341923241722</v>
      </c>
      <c r="F6" s="79">
        <f>(SUM(C6,May!C6,Apr!C6))/(SUM(Apr!D6,May!D6,Jun!D6))</f>
        <v>0.98396438579245049</v>
      </c>
      <c r="G6" s="14">
        <v>3523</v>
      </c>
      <c r="H6" s="14">
        <f t="shared" si="1"/>
        <v>111091.5</v>
      </c>
      <c r="I6" s="15">
        <f t="shared" ref="I6:I23" si="3">IFERROR(H6/G6, "")</f>
        <v>31.533210332103319</v>
      </c>
      <c r="J6" s="125">
        <v>110410</v>
      </c>
      <c r="K6" s="16">
        <f t="shared" si="2"/>
        <v>4204.5</v>
      </c>
      <c r="L6" s="17">
        <f t="shared" ref="L6:L23" si="4">IFERROR(K6/J6, "")</f>
        <v>3.8080789783534102E-2</v>
      </c>
      <c r="M6" s="18" t="s">
        <v>174</v>
      </c>
      <c r="N6" s="99" t="s">
        <v>139</v>
      </c>
      <c r="O6" s="113"/>
      <c r="P6" s="113"/>
      <c r="Q6" s="113"/>
      <c r="R6" s="113"/>
    </row>
    <row r="7" spans="1:18" ht="15.6">
      <c r="A7" s="32" t="str">
        <v>CA: Elk Grove MOB - Citi</v>
      </c>
      <c r="B7" s="33" t="str">
        <v>CA</v>
      </c>
      <c r="C7" s="12">
        <v>171629</v>
      </c>
      <c r="D7" s="12">
        <v>182422</v>
      </c>
      <c r="E7" s="80">
        <f t="shared" si="0"/>
        <v>0.94083498700814594</v>
      </c>
      <c r="F7" s="80">
        <f>(SUM(C7,May!C7,Apr!C7))/(SUM(Apr!D7,May!D7,Jun!D7))</f>
        <v>0.96071174097424583</v>
      </c>
      <c r="G7" s="20">
        <v>188607</v>
      </c>
      <c r="H7" s="20">
        <f t="shared" si="1"/>
        <v>-16978</v>
      </c>
      <c r="I7" s="21">
        <f t="shared" si="3"/>
        <v>-9.0017867841596544E-2</v>
      </c>
      <c r="J7" s="126">
        <v>180616</v>
      </c>
      <c r="K7" s="22">
        <f t="shared" si="2"/>
        <v>-8987</v>
      </c>
      <c r="L7" s="21">
        <f t="shared" si="4"/>
        <v>-4.9757496567303008E-2</v>
      </c>
      <c r="M7" s="66"/>
      <c r="N7" s="66"/>
      <c r="O7" s="113"/>
      <c r="P7" s="113"/>
      <c r="Q7" s="113"/>
      <c r="R7" s="113"/>
    </row>
    <row r="8" spans="1:18" ht="28.9">
      <c r="A8" s="30" t="str">
        <v>CA: Elk Grove Promenade - Citi</v>
      </c>
      <c r="B8" s="31" t="str">
        <v>CA</v>
      </c>
      <c r="C8" s="26">
        <v>97576.5</v>
      </c>
      <c r="D8" s="78">
        <v>95644</v>
      </c>
      <c r="E8" s="79">
        <f t="shared" si="0"/>
        <v>1.0202051357115971</v>
      </c>
      <c r="F8" s="79">
        <f>(SUM(C8,May!C8,Apr!C8))/(SUM(Apr!D8,May!D8,Jun!D8))</f>
        <v>0.98715785002961853</v>
      </c>
      <c r="G8" s="14">
        <v>96119</v>
      </c>
      <c r="H8" s="14">
        <f t="shared" si="1"/>
        <v>1457.5</v>
      </c>
      <c r="I8" s="15">
        <f t="shared" si="3"/>
        <v>1.5163495250678847E-2</v>
      </c>
      <c r="J8" s="125">
        <v>94697</v>
      </c>
      <c r="K8" s="16">
        <f t="shared" si="2"/>
        <v>2879.5</v>
      </c>
      <c r="L8" s="17">
        <f t="shared" si="4"/>
        <v>3.0407510269596715E-2</v>
      </c>
      <c r="M8" s="58" t="s">
        <v>107</v>
      </c>
      <c r="N8" s="101" t="s">
        <v>175</v>
      </c>
      <c r="O8" s="113"/>
      <c r="P8" s="113"/>
      <c r="Q8" s="113"/>
      <c r="R8" s="113"/>
    </row>
    <row r="9" spans="1:18" ht="15.6">
      <c r="A9" s="32" t="str">
        <v>CA: Fresno Sequioa - Citi</v>
      </c>
      <c r="B9" s="33" t="str">
        <v>CA</v>
      </c>
      <c r="C9" s="12">
        <v>188158.5</v>
      </c>
      <c r="D9" s="12">
        <v>187953</v>
      </c>
      <c r="E9" s="80">
        <f t="shared" si="0"/>
        <v>1.0010933584459945</v>
      </c>
      <c r="F9" s="80">
        <f>(SUM(C9,May!C9,Apr!C9))/(SUM(Apr!D9,May!D9,Jun!D9))</f>
        <v>0.97420361696710267</v>
      </c>
      <c r="G9" s="20">
        <v>193590</v>
      </c>
      <c r="H9" s="20">
        <f t="shared" si="1"/>
        <v>-5431.5</v>
      </c>
      <c r="I9" s="21">
        <f t="shared" si="3"/>
        <v>-2.8056717805671781E-2</v>
      </c>
      <c r="J9" s="126">
        <v>186130</v>
      </c>
      <c r="K9" s="22">
        <f t="shared" si="2"/>
        <v>2028.5</v>
      </c>
      <c r="L9" s="21">
        <f t="shared" si="4"/>
        <v>1.089829688927094E-2</v>
      </c>
      <c r="M9" s="59"/>
      <c r="N9" s="59"/>
      <c r="O9" s="113"/>
      <c r="P9" s="113"/>
      <c r="Q9" s="113"/>
      <c r="R9" s="113"/>
    </row>
    <row r="10" spans="1:18" ht="15.6">
      <c r="A10" s="30" t="str">
        <v>CA: Fresno MOB - Citi</v>
      </c>
      <c r="B10" s="31" t="str">
        <v>CA</v>
      </c>
      <c r="C10" s="26">
        <v>72933.75</v>
      </c>
      <c r="D10" s="78">
        <v>75912</v>
      </c>
      <c r="E10" s="79">
        <f t="shared" si="0"/>
        <v>0.96076707239962056</v>
      </c>
      <c r="F10" s="79">
        <f>(SUM(C10,May!C10,Apr!C10))/(SUM(Apr!D10,May!D10,Jun!D10))</f>
        <v>0.87620103327589915</v>
      </c>
      <c r="G10" s="14">
        <v>76017</v>
      </c>
      <c r="H10" s="14">
        <f t="shared" si="1"/>
        <v>-3083.25</v>
      </c>
      <c r="I10" s="15">
        <f t="shared" si="3"/>
        <v>-4.0560006314377048E-2</v>
      </c>
      <c r="J10" s="125">
        <v>76017</v>
      </c>
      <c r="K10" s="16">
        <f t="shared" si="2"/>
        <v>-3083.25</v>
      </c>
      <c r="L10" s="17">
        <f t="shared" si="4"/>
        <v>-4.0560006314377048E-2</v>
      </c>
      <c r="M10" s="58" t="s">
        <v>176</v>
      </c>
      <c r="N10" s="101" t="s">
        <v>177</v>
      </c>
      <c r="O10" s="113"/>
      <c r="P10" s="113"/>
      <c r="Q10" s="113"/>
      <c r="R10" s="113"/>
    </row>
    <row r="11" spans="1:18" ht="72">
      <c r="A11" s="32" t="str">
        <v>CA: Modesto Bangs - Citi</v>
      </c>
      <c r="B11" s="33" t="str">
        <v>CA</v>
      </c>
      <c r="C11" s="12">
        <v>46412.88</v>
      </c>
      <c r="D11" s="12">
        <v>54773</v>
      </c>
      <c r="E11" s="80">
        <f t="shared" si="0"/>
        <v>0.84736786372847928</v>
      </c>
      <c r="F11" s="80">
        <f>(SUM(C11,May!C11,Apr!C11))/(SUM(Apr!D11,May!D11,Jun!D11))</f>
        <v>0.85491631831155424</v>
      </c>
      <c r="G11" s="20">
        <v>77</v>
      </c>
      <c r="H11" s="20">
        <f t="shared" si="1"/>
        <v>46335.88</v>
      </c>
      <c r="I11" s="21">
        <f t="shared" si="3"/>
        <v>601.7646753246753</v>
      </c>
      <c r="J11" s="126">
        <v>54506</v>
      </c>
      <c r="K11" s="22">
        <f t="shared" si="2"/>
        <v>-8093.1200000000026</v>
      </c>
      <c r="L11" s="21">
        <f t="shared" si="4"/>
        <v>-0.14848126811727155</v>
      </c>
      <c r="M11" s="66" t="s">
        <v>178</v>
      </c>
      <c r="N11" s="102" t="s">
        <v>179</v>
      </c>
      <c r="O11" s="113"/>
      <c r="P11" s="113"/>
      <c r="Q11" s="113"/>
      <c r="R11" s="113"/>
    </row>
    <row r="12" spans="1:18" ht="57.6">
      <c r="A12" s="30" t="str">
        <v>CA: Napa Data Center - Citi</v>
      </c>
      <c r="B12" s="31" t="str">
        <v>CA</v>
      </c>
      <c r="C12" s="26">
        <v>48182.12</v>
      </c>
      <c r="D12" s="78">
        <v>54497</v>
      </c>
      <c r="E12" s="79">
        <f t="shared" si="0"/>
        <v>0.88412426372093877</v>
      </c>
      <c r="F12" s="79">
        <f>(SUM(C12,May!C12,Apr!C12))/(SUM(Apr!D12,May!D12,Jun!D12))</f>
        <v>0.88130386333397615</v>
      </c>
      <c r="G12" s="14">
        <v>56426</v>
      </c>
      <c r="H12" s="14">
        <f t="shared" si="1"/>
        <v>-8243.8799999999974</v>
      </c>
      <c r="I12" s="15">
        <f t="shared" si="3"/>
        <v>-0.14610073370432067</v>
      </c>
      <c r="J12" s="125">
        <v>52456</v>
      </c>
      <c r="K12" s="16">
        <f t="shared" si="2"/>
        <v>-4273.8799999999974</v>
      </c>
      <c r="L12" s="17">
        <f t="shared" si="4"/>
        <v>-8.1475522342534648E-2</v>
      </c>
      <c r="M12" s="58" t="s">
        <v>180</v>
      </c>
      <c r="N12" s="101" t="s">
        <v>181</v>
      </c>
      <c r="O12" s="113"/>
      <c r="P12" s="113"/>
      <c r="Q12" s="113"/>
      <c r="R12" s="113"/>
    </row>
    <row r="13" spans="1:18" ht="137.25" customHeight="1">
      <c r="A13" s="32" t="str">
        <v>CA: Petaluma MOB - Citi</v>
      </c>
      <c r="B13" s="33" t="str">
        <v>CA</v>
      </c>
      <c r="C13" s="12">
        <v>106306.5</v>
      </c>
      <c r="D13" s="12">
        <v>124350</v>
      </c>
      <c r="E13" s="80">
        <f t="shared" si="0"/>
        <v>0.85489746682750301</v>
      </c>
      <c r="F13" s="80">
        <f>(SUM(C13,May!C13,Apr!C13))/(SUM(Apr!D13,May!D13,Jun!D13))</f>
        <v>0.86320314773278128</v>
      </c>
      <c r="G13" s="20">
        <v>11504</v>
      </c>
      <c r="H13" s="20">
        <f t="shared" si="1"/>
        <v>94802.5</v>
      </c>
      <c r="I13" s="21">
        <f t="shared" si="3"/>
        <v>8.2408292767732956</v>
      </c>
      <c r="J13" s="126">
        <v>119663</v>
      </c>
      <c r="K13" s="22">
        <f t="shared" si="2"/>
        <v>-13356.5</v>
      </c>
      <c r="L13" s="21">
        <f t="shared" si="4"/>
        <v>-0.11161762616681849</v>
      </c>
      <c r="M13" s="66" t="s">
        <v>182</v>
      </c>
      <c r="N13" s="107" t="s">
        <v>183</v>
      </c>
      <c r="O13" s="105" t="s">
        <v>148</v>
      </c>
      <c r="P13" s="113"/>
      <c r="Q13" s="113"/>
      <c r="R13" s="113"/>
    </row>
    <row r="14" spans="1:18" ht="57.6">
      <c r="A14" s="30" t="str">
        <v>CA: Pleasanton Tec Ctr - Citi</v>
      </c>
      <c r="B14" s="31" t="str">
        <v>CA</v>
      </c>
      <c r="C14" s="26">
        <v>153379.5</v>
      </c>
      <c r="D14" s="78">
        <v>176505</v>
      </c>
      <c r="E14" s="79">
        <f t="shared" si="0"/>
        <v>0.86898104869550441</v>
      </c>
      <c r="F14" s="79">
        <f>(SUM(C14,May!C14,Apr!C14))/(SUM(Apr!D14,May!D14,Jun!D14))</f>
        <v>0.84704208834696859</v>
      </c>
      <c r="G14" s="14">
        <v>183386</v>
      </c>
      <c r="H14" s="14">
        <f t="shared" si="1"/>
        <v>-30006.5</v>
      </c>
      <c r="I14" s="15">
        <f t="shared" si="3"/>
        <v>-0.16362481323547054</v>
      </c>
      <c r="J14" s="125">
        <v>174859</v>
      </c>
      <c r="K14" s="16">
        <f t="shared" si="2"/>
        <v>-21479.5</v>
      </c>
      <c r="L14" s="17">
        <f t="shared" si="4"/>
        <v>-0.12283897311548161</v>
      </c>
      <c r="M14" s="58" t="s">
        <v>184</v>
      </c>
      <c r="N14" s="101" t="s">
        <v>185</v>
      </c>
      <c r="O14" s="105" t="s">
        <v>152</v>
      </c>
      <c r="P14" s="113"/>
      <c r="Q14" s="113"/>
      <c r="R14" s="113"/>
    </row>
    <row r="15" spans="1:18" ht="72">
      <c r="A15" s="32" t="str">
        <v>CA: Rancho Cordova - Citi</v>
      </c>
      <c r="B15" s="33" t="str">
        <v>CA</v>
      </c>
      <c r="C15" s="12">
        <v>238318</v>
      </c>
      <c r="D15" s="12">
        <v>236948</v>
      </c>
      <c r="E15" s="80">
        <f t="shared" si="0"/>
        <v>1.0057818593109036</v>
      </c>
      <c r="F15" s="80">
        <f>(SUM(C15,May!C15,Apr!C15))/(SUM(Apr!D15,May!D15,Jun!D15))</f>
        <v>1.0216902057810746</v>
      </c>
      <c r="G15" s="20">
        <v>252933</v>
      </c>
      <c r="H15" s="20">
        <f t="shared" si="1"/>
        <v>-14615</v>
      </c>
      <c r="I15" s="21">
        <f t="shared" si="3"/>
        <v>-5.7782100398129151E-2</v>
      </c>
      <c r="J15" s="126">
        <v>235530</v>
      </c>
      <c r="K15" s="22">
        <f t="shared" si="2"/>
        <v>2788</v>
      </c>
      <c r="L15" s="21">
        <f t="shared" si="4"/>
        <v>1.1837133273892922E-2</v>
      </c>
      <c r="M15" s="66" t="s">
        <v>186</v>
      </c>
      <c r="N15" s="107" t="s">
        <v>187</v>
      </c>
      <c r="O15" s="105" t="s">
        <v>188</v>
      </c>
      <c r="P15" s="113"/>
      <c r="Q15" s="113"/>
      <c r="R15" s="113"/>
    </row>
    <row r="16" spans="1:18" ht="15.6">
      <c r="A16" s="30" t="str">
        <v>CA: S Sacramento Wyndham - Citi</v>
      </c>
      <c r="B16" s="31" t="str">
        <v>CA</v>
      </c>
      <c r="C16" s="37">
        <v>142944</v>
      </c>
      <c r="D16" s="78">
        <v>158605</v>
      </c>
      <c r="E16" s="79">
        <f t="shared" si="0"/>
        <v>0.90125784180826585</v>
      </c>
      <c r="F16" s="79">
        <f>(SUM(C16,May!C16,Apr!C16))/(SUM(Apr!D16,May!D16,Jun!D16))</f>
        <v>0.89431478433034084</v>
      </c>
      <c r="G16" s="14">
        <v>151388</v>
      </c>
      <c r="H16" s="14">
        <f t="shared" si="1"/>
        <v>-8444</v>
      </c>
      <c r="I16" s="15">
        <f t="shared" si="3"/>
        <v>-5.5777208233149259E-2</v>
      </c>
      <c r="J16" s="125">
        <v>157510</v>
      </c>
      <c r="K16" s="39">
        <f t="shared" si="2"/>
        <v>-14566</v>
      </c>
      <c r="L16" s="17">
        <f t="shared" si="4"/>
        <v>-9.2476668148054095E-2</v>
      </c>
      <c r="M16" s="67" t="s">
        <v>153</v>
      </c>
      <c r="N16" s="67"/>
      <c r="O16" s="113"/>
      <c r="P16" s="113"/>
      <c r="Q16" s="113"/>
      <c r="R16" s="113"/>
    </row>
    <row r="17" spans="1:18" ht="100.9">
      <c r="A17" s="32" t="str">
        <v>CA: Sacramento Point West - Citi</v>
      </c>
      <c r="B17" s="33" t="str">
        <v>CA</v>
      </c>
      <c r="C17" s="42">
        <v>290056</v>
      </c>
      <c r="D17" s="12">
        <v>302720</v>
      </c>
      <c r="E17" s="80">
        <f t="shared" si="0"/>
        <v>0.95816596194503167</v>
      </c>
      <c r="F17" s="80">
        <f>(SUM(C17,May!C17,Apr!C17))/(SUM(Apr!D17,May!D17,Jun!D17))</f>
        <v>0.95218728836546473</v>
      </c>
      <c r="G17" s="20">
        <v>309080</v>
      </c>
      <c r="H17" s="20">
        <f t="shared" si="1"/>
        <v>-19024</v>
      </c>
      <c r="I17" s="21">
        <f t="shared" si="3"/>
        <v>-6.1550407661446878E-2</v>
      </c>
      <c r="J17" s="126">
        <v>300289</v>
      </c>
      <c r="K17" s="44">
        <f t="shared" si="2"/>
        <v>-10233</v>
      </c>
      <c r="L17" s="21">
        <f t="shared" si="4"/>
        <v>-3.4077172323994549E-2</v>
      </c>
      <c r="M17" s="66" t="s">
        <v>189</v>
      </c>
      <c r="N17" s="107" t="s">
        <v>190</v>
      </c>
      <c r="O17" s="105" t="s">
        <v>94</v>
      </c>
      <c r="P17" s="105" t="s">
        <v>191</v>
      </c>
      <c r="Q17" s="113"/>
      <c r="R17" s="113"/>
    </row>
    <row r="18" spans="1:18" ht="60.75" customHeight="1">
      <c r="A18" s="30" t="str">
        <v>CA: San Jose FHC - Citi</v>
      </c>
      <c r="B18" s="31" t="str">
        <v>CA</v>
      </c>
      <c r="C18" s="37">
        <v>54915.75</v>
      </c>
      <c r="D18" s="78">
        <v>60463</v>
      </c>
      <c r="E18" s="79">
        <f t="shared" si="0"/>
        <v>0.90825380811405321</v>
      </c>
      <c r="F18" s="79">
        <f>(SUM(C18,May!C18,Apr!C18))/(SUM(Apr!D18,May!D18,Jun!D18))</f>
        <v>0.90620691121682784</v>
      </c>
      <c r="G18" s="14">
        <v>60009</v>
      </c>
      <c r="H18" s="14">
        <f t="shared" si="1"/>
        <v>-5093.25</v>
      </c>
      <c r="I18" s="15">
        <f t="shared" si="3"/>
        <v>-8.4874768784682295E-2</v>
      </c>
      <c r="J18" s="125">
        <v>61970</v>
      </c>
      <c r="K18" s="39">
        <f t="shared" si="2"/>
        <v>-7054.25</v>
      </c>
      <c r="L18" s="17">
        <f t="shared" si="4"/>
        <v>-0.11383330643859932</v>
      </c>
      <c r="M18" s="41" t="s">
        <v>192</v>
      </c>
      <c r="N18" s="108" t="s">
        <v>193</v>
      </c>
      <c r="O18" s="105" t="s">
        <v>155</v>
      </c>
      <c r="P18" s="105" t="s">
        <v>155</v>
      </c>
      <c r="Q18" s="113"/>
      <c r="R18" s="113"/>
    </row>
    <row r="19" spans="1:18" ht="28.9">
      <c r="A19" s="32" t="str">
        <v>CA: San Jose MOB - Citi</v>
      </c>
      <c r="B19" s="33" t="str">
        <v>CA</v>
      </c>
      <c r="C19" s="65">
        <v>92353.5</v>
      </c>
      <c r="D19" s="12">
        <v>95898</v>
      </c>
      <c r="E19" s="80">
        <f t="shared" si="0"/>
        <v>0.96303885378214349</v>
      </c>
      <c r="F19" s="80">
        <f>(SUM(C19,May!C19,Apr!C19))/(SUM(Apr!D19,May!D19,Jun!D19))</f>
        <v>0.88392338956807592</v>
      </c>
      <c r="G19" s="20">
        <v>99821</v>
      </c>
      <c r="H19" s="20">
        <f t="shared" si="1"/>
        <v>-7467.5</v>
      </c>
      <c r="I19" s="21">
        <f t="shared" si="3"/>
        <v>-7.480890794522195E-2</v>
      </c>
      <c r="J19" s="126">
        <v>96716</v>
      </c>
      <c r="K19" s="44">
        <f t="shared" si="2"/>
        <v>-4362.5</v>
      </c>
      <c r="L19" s="21">
        <f t="shared" si="4"/>
        <v>-4.5106290582737088E-2</v>
      </c>
      <c r="M19" s="84" t="s">
        <v>194</v>
      </c>
      <c r="N19" s="100" t="s">
        <v>195</v>
      </c>
      <c r="O19" s="113"/>
      <c r="P19" s="113"/>
      <c r="Q19" s="113"/>
      <c r="R19" s="113"/>
    </row>
    <row r="20" spans="1:18" ht="15.6">
      <c r="A20" s="30" t="str">
        <v>CA: Selma - Citi</v>
      </c>
      <c r="B20" s="31" t="str">
        <v>CA</v>
      </c>
      <c r="C20" s="37">
        <v>55049.88</v>
      </c>
      <c r="D20" s="78">
        <v>58141</v>
      </c>
      <c r="E20" s="79">
        <f t="shared" si="0"/>
        <v>0.94683407578129031</v>
      </c>
      <c r="F20" s="79">
        <f>(SUM(C20,May!C20,Apr!C20))/(SUM(Apr!D20,May!D20,Jun!D20))</f>
        <v>0.91000568444398533</v>
      </c>
      <c r="G20" s="14">
        <v>59824</v>
      </c>
      <c r="H20" s="14">
        <f t="shared" si="1"/>
        <v>-4774.1200000000026</v>
      </c>
      <c r="I20" s="15">
        <f t="shared" si="3"/>
        <v>-7.9802754747258675E-2</v>
      </c>
      <c r="J20" s="125">
        <v>57686</v>
      </c>
      <c r="K20" s="39">
        <f t="shared" si="2"/>
        <v>-2636.1200000000026</v>
      </c>
      <c r="L20" s="17">
        <f t="shared" si="4"/>
        <v>-4.5697742953229599E-2</v>
      </c>
      <c r="M20" s="41"/>
      <c r="N20" s="41"/>
      <c r="O20" s="113"/>
      <c r="P20" s="113"/>
      <c r="Q20" s="113"/>
      <c r="R20" s="113"/>
    </row>
    <row r="21" spans="1:18" ht="72">
      <c r="A21" s="32" t="str">
        <v>CA: Vacaville Hospital</v>
      </c>
      <c r="B21" s="33" t="str">
        <v>CA</v>
      </c>
      <c r="C21" s="42">
        <v>305809.75</v>
      </c>
      <c r="D21" s="12">
        <v>398845</v>
      </c>
      <c r="E21" s="80">
        <f t="shared" si="0"/>
        <v>0.76673833193345786</v>
      </c>
      <c r="F21" s="80">
        <f>(SUM(C21,May!C21,Apr!C21))/(SUM(Apr!D21,May!D21,Jun!D21))</f>
        <v>0.83491879590586393</v>
      </c>
      <c r="G21" s="20">
        <v>450299</v>
      </c>
      <c r="H21" s="20">
        <f t="shared" si="1"/>
        <v>-144489.25</v>
      </c>
      <c r="I21" s="21">
        <f t="shared" si="3"/>
        <v>-0.32087401926275655</v>
      </c>
      <c r="J21" s="126">
        <v>394009</v>
      </c>
      <c r="K21" s="44">
        <f t="shared" si="2"/>
        <v>-88199.25</v>
      </c>
      <c r="L21" s="21">
        <f t="shared" si="4"/>
        <v>-0.2238508511226901</v>
      </c>
      <c r="M21" s="85" t="s">
        <v>196</v>
      </c>
      <c r="N21" s="100" t="s">
        <v>197</v>
      </c>
      <c r="O21" s="113"/>
      <c r="P21" s="113"/>
      <c r="Q21" s="113"/>
      <c r="R21" s="113"/>
    </row>
    <row r="22" spans="1:18" ht="72">
      <c r="A22" s="30" t="str">
        <v>CA: Manteca - KP Manteca Hospital</v>
      </c>
      <c r="B22" s="31" t="str">
        <v>CA</v>
      </c>
      <c r="C22" s="37">
        <v>50800.62</v>
      </c>
      <c r="D22" s="78">
        <v>129883</v>
      </c>
      <c r="E22" s="124">
        <f>C22/D22</f>
        <v>0.39112601341207087</v>
      </c>
      <c r="F22" s="79">
        <f>(SUM(C22,May!C22,Apr!C22))/(SUM(Apr!D22,May!D22,Jun!D22))</f>
        <v>0.62380159924871215</v>
      </c>
      <c r="G22" s="14">
        <v>47270</v>
      </c>
      <c r="H22" s="14">
        <f t="shared" si="1"/>
        <v>3530.6200000000026</v>
      </c>
      <c r="I22" s="15">
        <f t="shared" si="3"/>
        <v>7.4690501375079391E-2</v>
      </c>
      <c r="J22" s="125">
        <v>122772</v>
      </c>
      <c r="K22" s="39">
        <f t="shared" si="2"/>
        <v>-71971.38</v>
      </c>
      <c r="L22" s="17">
        <f t="shared" si="4"/>
        <v>-0.58621982210927581</v>
      </c>
      <c r="M22" s="41" t="s">
        <v>198</v>
      </c>
      <c r="N22" s="108" t="s">
        <v>199</v>
      </c>
      <c r="O22" s="105" t="s">
        <v>200</v>
      </c>
      <c r="P22" s="113"/>
      <c r="Q22" s="113"/>
      <c r="R22" s="113"/>
    </row>
    <row r="23" spans="1:18" ht="72">
      <c r="A23" s="32" t="str">
        <v>Sacramento - KP South Sacramento HSP</v>
      </c>
      <c r="B23" s="33" t="str">
        <v>CA</v>
      </c>
      <c r="C23" s="42">
        <v>281954.44</v>
      </c>
      <c r="D23" s="115" t="s">
        <v>133</v>
      </c>
      <c r="E23" s="80" t="str">
        <f>IFERROR((C23/D23), "")</f>
        <v/>
      </c>
      <c r="F23" s="117" t="str">
        <f>IFERROR((SUM(C23,May!C23,Apr!C23))/(SUM(Apr!D23,May!D23,Jun!D23)), "")</f>
        <v/>
      </c>
      <c r="G23" s="20">
        <v>0</v>
      </c>
      <c r="H23" s="20">
        <f t="shared" si="1"/>
        <v>281954.44</v>
      </c>
      <c r="I23" s="21" t="str">
        <f t="shared" si="3"/>
        <v/>
      </c>
      <c r="J23" s="126">
        <v>407203</v>
      </c>
      <c r="K23" s="44">
        <f>IF(AND(ISNUMBER(C23),ISNUMBER(J23)), C23-J23, "")</f>
        <v>-125248.56</v>
      </c>
      <c r="L23" s="21">
        <f t="shared" si="4"/>
        <v>-0.30758260621852002</v>
      </c>
      <c r="M23" s="85" t="s">
        <v>201</v>
      </c>
      <c r="N23" s="100" t="s">
        <v>202</v>
      </c>
      <c r="O23" s="113"/>
      <c r="P23" s="113"/>
      <c r="Q23" s="113"/>
      <c r="R23" s="113"/>
    </row>
    <row r="24" spans="1:18" ht="14.45">
      <c r="A24" s="23"/>
      <c r="B24" s="35"/>
      <c r="C24" s="23"/>
      <c r="D24" s="23"/>
      <c r="E24" s="23"/>
      <c r="F24" s="23"/>
      <c r="G24" s="23"/>
      <c r="H24" s="23"/>
      <c r="I24" s="23"/>
      <c r="J24" s="23"/>
      <c r="K24" s="23"/>
      <c r="L24" s="23"/>
      <c r="M24" s="23"/>
      <c r="N24" s="23"/>
    </row>
    <row r="25" spans="1:18" ht="14.45">
      <c r="A25" s="23"/>
      <c r="B25" s="35"/>
      <c r="C25" s="23"/>
      <c r="D25" s="23"/>
      <c r="E25" s="23"/>
      <c r="F25" s="23"/>
      <c r="G25" s="23"/>
      <c r="H25" s="23"/>
      <c r="I25" s="23"/>
      <c r="J25" s="23"/>
      <c r="K25" s="23"/>
      <c r="L25" s="23"/>
      <c r="M25" s="23"/>
      <c r="N25" s="23"/>
    </row>
    <row r="26" spans="1:18" ht="14.45">
      <c r="A26" s="23"/>
      <c r="B26" s="35"/>
      <c r="C26" s="23"/>
      <c r="D26" s="23"/>
      <c r="E26" s="23"/>
      <c r="F26" s="23"/>
      <c r="G26" s="23"/>
      <c r="H26" s="23"/>
      <c r="I26" s="23"/>
      <c r="J26" s="23"/>
      <c r="K26" s="23"/>
      <c r="L26" s="23"/>
      <c r="M26" s="23"/>
      <c r="N26" s="23"/>
    </row>
    <row r="27" spans="1:18" ht="14.45">
      <c r="A27" s="23"/>
      <c r="B27" s="35"/>
      <c r="C27" s="23"/>
      <c r="D27" s="23"/>
      <c r="E27" s="23"/>
      <c r="F27" s="23"/>
      <c r="G27" s="23"/>
      <c r="H27" s="23"/>
      <c r="I27" s="23"/>
      <c r="J27" s="23"/>
      <c r="K27" s="23"/>
      <c r="L27" s="23"/>
      <c r="M27" s="23"/>
      <c r="N27" s="23"/>
    </row>
    <row r="28" spans="1:18" ht="14.45">
      <c r="A28" s="23"/>
      <c r="B28" s="35"/>
      <c r="C28" s="23"/>
      <c r="D28" s="23"/>
      <c r="E28" s="23"/>
      <c r="F28" s="23"/>
      <c r="G28" s="23"/>
      <c r="H28" s="23"/>
      <c r="I28" s="23"/>
      <c r="J28" s="23"/>
      <c r="K28" s="23"/>
      <c r="L28" s="23"/>
      <c r="M28" s="23"/>
      <c r="N28" s="23"/>
    </row>
    <row r="29" spans="1:18" ht="14.45">
      <c r="A29" s="23"/>
      <c r="B29" s="35"/>
      <c r="C29" s="23"/>
      <c r="D29" s="23"/>
      <c r="E29" s="23"/>
      <c r="F29" s="23"/>
      <c r="G29" s="23"/>
      <c r="H29" s="23"/>
      <c r="I29" s="23"/>
      <c r="J29" s="23"/>
      <c r="K29" s="23"/>
      <c r="L29" s="23"/>
      <c r="M29" s="23"/>
      <c r="N29" s="23"/>
    </row>
    <row r="30" spans="1:18" ht="14.45">
      <c r="A30" s="23"/>
      <c r="B30" s="35"/>
      <c r="C30" s="23"/>
      <c r="D30" s="23"/>
      <c r="E30" s="23"/>
      <c r="F30" s="23"/>
      <c r="G30" s="23"/>
      <c r="H30" s="23"/>
      <c r="I30" s="23"/>
      <c r="J30" s="23"/>
      <c r="K30" s="23"/>
      <c r="L30" s="23"/>
      <c r="M30" s="23"/>
      <c r="N30" s="23"/>
    </row>
    <row r="31" spans="1:18" ht="14.45">
      <c r="A31" s="23"/>
      <c r="B31" s="35"/>
      <c r="C31" s="23"/>
      <c r="D31" s="23"/>
      <c r="E31" s="23"/>
      <c r="F31" s="23"/>
      <c r="G31" s="23"/>
      <c r="H31" s="23"/>
      <c r="I31" s="23"/>
      <c r="J31" s="23"/>
      <c r="K31" s="23"/>
      <c r="L31" s="23"/>
      <c r="M31" s="23"/>
      <c r="N31" s="23"/>
    </row>
    <row r="32" spans="1:18" ht="14.45">
      <c r="A32" s="23"/>
      <c r="B32" s="35"/>
      <c r="C32" s="23"/>
      <c r="D32" s="23"/>
      <c r="E32" s="23"/>
      <c r="F32" s="23"/>
      <c r="G32" s="23"/>
      <c r="H32" s="23"/>
      <c r="I32" s="23"/>
      <c r="J32" s="23"/>
      <c r="K32" s="23"/>
      <c r="L32" s="23"/>
      <c r="M32" s="23"/>
      <c r="N32" s="23"/>
    </row>
    <row r="33" spans="1:14" ht="14.45">
      <c r="A33" s="23"/>
      <c r="B33" s="35"/>
      <c r="C33" s="23"/>
      <c r="D33" s="23"/>
      <c r="E33" s="23"/>
      <c r="F33" s="23"/>
      <c r="G33" s="23"/>
      <c r="H33" s="23"/>
      <c r="I33" s="24"/>
      <c r="J33" s="23"/>
      <c r="K33" s="23"/>
      <c r="L33" s="24"/>
      <c r="M33" s="23"/>
      <c r="N33" s="23"/>
    </row>
    <row r="34" spans="1:14" ht="14.45">
      <c r="A34" s="23"/>
      <c r="B34" s="35"/>
      <c r="C34" s="23"/>
      <c r="D34" s="23"/>
      <c r="E34" s="23"/>
      <c r="F34" s="23"/>
      <c r="G34" s="23"/>
      <c r="H34" s="23"/>
      <c r="I34" s="24"/>
      <c r="J34" s="23"/>
      <c r="K34" s="23"/>
      <c r="L34" s="24"/>
      <c r="M34" s="23"/>
      <c r="N34" s="23"/>
    </row>
    <row r="35" spans="1:14" ht="14.45">
      <c r="A35" s="23"/>
      <c r="B35" s="35"/>
      <c r="C35" s="23"/>
      <c r="D35" s="23"/>
      <c r="E35" s="23"/>
      <c r="F35" s="23"/>
      <c r="G35" s="23"/>
      <c r="H35" s="23"/>
      <c r="I35" s="24"/>
      <c r="J35" s="23"/>
      <c r="K35" s="23"/>
      <c r="L35" s="24"/>
      <c r="M35" s="23"/>
      <c r="N35" s="23"/>
    </row>
    <row r="36" spans="1:14" ht="14.45">
      <c r="A36" s="23"/>
      <c r="B36" s="35"/>
      <c r="C36" s="23"/>
      <c r="D36" s="23"/>
      <c r="E36" s="23"/>
      <c r="F36" s="23"/>
      <c r="G36" s="23"/>
      <c r="H36" s="23"/>
      <c r="I36" s="24"/>
      <c r="J36" s="23"/>
      <c r="K36" s="23"/>
      <c r="L36" s="24"/>
      <c r="M36" s="23"/>
      <c r="N36" s="23"/>
    </row>
    <row r="37" spans="1:14" ht="14.45">
      <c r="A37" s="23"/>
      <c r="B37" s="35"/>
      <c r="C37" s="23"/>
      <c r="D37" s="23"/>
      <c r="E37" s="23"/>
      <c r="F37" s="23"/>
      <c r="G37" s="23"/>
      <c r="H37" s="23"/>
      <c r="I37" s="24"/>
      <c r="J37" s="23"/>
      <c r="K37" s="23"/>
      <c r="L37" s="24"/>
      <c r="M37" s="23"/>
      <c r="N37" s="23"/>
    </row>
    <row r="38" spans="1:14" ht="14.45">
      <c r="A38" s="23"/>
      <c r="B38" s="35"/>
      <c r="C38" s="23"/>
      <c r="D38" s="23"/>
      <c r="E38" s="23"/>
      <c r="F38" s="23"/>
      <c r="G38" s="23"/>
      <c r="H38" s="23"/>
      <c r="I38" s="24"/>
      <c r="J38" s="23"/>
      <c r="K38" s="23"/>
      <c r="L38" s="24"/>
      <c r="M38" s="23"/>
      <c r="N38" s="23"/>
    </row>
    <row r="39" spans="1:14" ht="14.45">
      <c r="A39" s="23"/>
      <c r="B39" s="35"/>
      <c r="C39" s="23"/>
      <c r="D39" s="23"/>
      <c r="E39" s="23"/>
      <c r="F39" s="23"/>
      <c r="G39" s="23"/>
      <c r="H39" s="23"/>
      <c r="I39" s="24"/>
      <c r="J39" s="23"/>
      <c r="K39" s="23"/>
      <c r="L39" s="24"/>
      <c r="M39" s="23"/>
      <c r="N39" s="23"/>
    </row>
    <row r="40" spans="1:14" ht="14.45">
      <c r="A40" s="23"/>
      <c r="B40" s="35"/>
      <c r="C40" s="23"/>
      <c r="D40" s="23"/>
      <c r="E40" s="23"/>
      <c r="F40" s="23"/>
      <c r="G40" s="23"/>
      <c r="H40" s="23"/>
      <c r="I40" s="24"/>
      <c r="J40" s="23"/>
      <c r="K40" s="23"/>
      <c r="L40" s="24"/>
      <c r="M40" s="23"/>
      <c r="N40" s="23"/>
    </row>
    <row r="41" spans="1:14" ht="14.45">
      <c r="A41" s="23"/>
      <c r="B41" s="35"/>
      <c r="C41" s="23"/>
      <c r="D41" s="23"/>
      <c r="E41" s="23"/>
      <c r="F41" s="23"/>
      <c r="G41" s="23"/>
      <c r="H41" s="23"/>
      <c r="I41" s="24"/>
      <c r="J41" s="23"/>
      <c r="K41" s="23"/>
      <c r="L41" s="24"/>
      <c r="M41" s="23"/>
      <c r="N41" s="23"/>
    </row>
    <row r="42" spans="1:14" ht="14.45">
      <c r="A42" s="23"/>
      <c r="B42" s="35"/>
      <c r="C42" s="23"/>
      <c r="D42" s="23"/>
      <c r="E42" s="23"/>
      <c r="F42" s="23"/>
      <c r="G42" s="23"/>
      <c r="H42" s="23"/>
      <c r="I42" s="24"/>
      <c r="J42" s="23"/>
      <c r="K42" s="23"/>
      <c r="L42" s="24"/>
      <c r="M42" s="23"/>
      <c r="N42" s="23"/>
    </row>
    <row r="43" spans="1:14" ht="14.45">
      <c r="A43" s="23"/>
      <c r="B43" s="35"/>
      <c r="C43" s="23"/>
      <c r="D43" s="23"/>
      <c r="E43" s="23"/>
      <c r="F43" s="23"/>
      <c r="G43" s="23"/>
      <c r="H43" s="23"/>
      <c r="I43" s="24"/>
      <c r="J43" s="23"/>
      <c r="K43" s="23"/>
      <c r="L43" s="24"/>
      <c r="M43" s="23"/>
      <c r="N43" s="23"/>
    </row>
    <row r="44" spans="1:14" ht="14.45">
      <c r="A44" s="23"/>
      <c r="B44" s="35"/>
      <c r="C44" s="23"/>
      <c r="D44" s="23"/>
      <c r="E44" s="23"/>
      <c r="F44" s="23"/>
      <c r="G44" s="23"/>
      <c r="H44" s="23"/>
      <c r="I44" s="24"/>
      <c r="J44" s="23"/>
      <c r="K44" s="23"/>
      <c r="L44" s="24"/>
      <c r="M44" s="23"/>
      <c r="N44" s="23"/>
    </row>
    <row r="45" spans="1:14" ht="14.45">
      <c r="A45" s="23"/>
      <c r="B45" s="35"/>
      <c r="C45" s="23"/>
      <c r="D45" s="23"/>
      <c r="E45" s="23"/>
      <c r="F45" s="23"/>
      <c r="G45" s="23"/>
      <c r="H45" s="23"/>
      <c r="I45" s="24"/>
      <c r="J45" s="23"/>
      <c r="K45" s="23"/>
      <c r="L45" s="24"/>
      <c r="M45" s="23"/>
      <c r="N45" s="23"/>
    </row>
    <row r="46" spans="1:14" ht="14.45">
      <c r="A46" s="23"/>
      <c r="B46" s="35"/>
      <c r="C46" s="23"/>
      <c r="D46" s="23"/>
      <c r="E46" s="23"/>
      <c r="F46" s="23"/>
      <c r="G46" s="23"/>
      <c r="H46" s="23"/>
      <c r="I46" s="24"/>
      <c r="J46" s="23"/>
      <c r="K46" s="23"/>
      <c r="L46" s="24"/>
      <c r="M46" s="23"/>
      <c r="N46" s="23"/>
    </row>
    <row r="47" spans="1:14" ht="14.45">
      <c r="A47" s="23"/>
      <c r="B47" s="35"/>
      <c r="C47" s="23"/>
      <c r="D47" s="23"/>
      <c r="E47" s="23"/>
      <c r="F47" s="23"/>
      <c r="G47" s="23"/>
      <c r="H47" s="23"/>
      <c r="I47" s="24"/>
      <c r="J47" s="23"/>
      <c r="K47" s="23"/>
      <c r="L47" s="24"/>
      <c r="M47" s="23"/>
      <c r="N47" s="23"/>
    </row>
    <row r="48" spans="1:14" ht="14.45">
      <c r="A48" s="23"/>
      <c r="B48" s="35"/>
      <c r="C48" s="23"/>
      <c r="D48" s="23"/>
      <c r="E48" s="23"/>
      <c r="F48" s="23"/>
      <c r="G48" s="23"/>
      <c r="H48" s="23"/>
      <c r="I48" s="24"/>
      <c r="J48" s="23"/>
      <c r="K48" s="23"/>
      <c r="L48" s="24"/>
      <c r="M48" s="23"/>
      <c r="N48" s="23"/>
    </row>
    <row r="49" spans="1:14" ht="14.45">
      <c r="A49" s="23"/>
      <c r="B49" s="35"/>
      <c r="C49" s="23"/>
      <c r="D49" s="23"/>
      <c r="E49" s="23"/>
      <c r="F49" s="23"/>
      <c r="G49" s="23"/>
      <c r="H49" s="23"/>
      <c r="I49" s="24"/>
      <c r="J49" s="23"/>
      <c r="K49" s="23"/>
      <c r="L49" s="24"/>
      <c r="M49" s="23"/>
      <c r="N49" s="23"/>
    </row>
    <row r="50" spans="1:14" ht="14.45">
      <c r="A50" s="23"/>
      <c r="B50" s="35"/>
      <c r="C50" s="23"/>
      <c r="D50" s="23"/>
      <c r="E50" s="23"/>
      <c r="F50" s="23"/>
      <c r="G50" s="23"/>
      <c r="H50" s="23"/>
      <c r="I50" s="24"/>
      <c r="J50" s="23"/>
      <c r="K50" s="23"/>
      <c r="L50" s="24"/>
      <c r="M50" s="23"/>
      <c r="N50" s="23"/>
    </row>
    <row r="51" spans="1:14" ht="14.45">
      <c r="A51" s="23"/>
      <c r="B51" s="35"/>
      <c r="C51" s="23"/>
      <c r="D51" s="23"/>
      <c r="E51" s="23"/>
      <c r="F51" s="23"/>
      <c r="G51" s="23"/>
      <c r="H51" s="23"/>
      <c r="I51" s="24"/>
      <c r="J51" s="23"/>
      <c r="K51" s="23"/>
      <c r="L51" s="24"/>
      <c r="M51" s="23"/>
      <c r="N51" s="23"/>
    </row>
    <row r="52" spans="1:14" ht="14.45">
      <c r="A52" s="23"/>
      <c r="B52" s="35"/>
      <c r="C52" s="23"/>
      <c r="D52" s="23"/>
      <c r="E52" s="23"/>
      <c r="F52" s="23"/>
      <c r="G52" s="23"/>
      <c r="H52" s="23"/>
      <c r="I52" s="24"/>
      <c r="J52" s="23"/>
      <c r="K52" s="23"/>
      <c r="L52" s="24"/>
      <c r="M52" s="23"/>
      <c r="N52" s="23"/>
    </row>
    <row r="53" spans="1:14" ht="14.45">
      <c r="A53" s="23"/>
      <c r="B53" s="35"/>
      <c r="C53" s="23"/>
      <c r="D53" s="23"/>
      <c r="E53" s="23"/>
      <c r="F53" s="23"/>
      <c r="G53" s="23"/>
      <c r="H53" s="23"/>
      <c r="I53" s="24"/>
      <c r="J53" s="23"/>
      <c r="K53" s="23"/>
      <c r="L53" s="24"/>
      <c r="M53" s="23"/>
      <c r="N53" s="23"/>
    </row>
    <row r="54" spans="1:14" ht="14.45">
      <c r="A54" s="23"/>
      <c r="B54" s="35"/>
      <c r="C54" s="23"/>
      <c r="D54" s="23"/>
      <c r="E54" s="23"/>
      <c r="F54" s="23"/>
      <c r="G54" s="23"/>
      <c r="H54" s="23"/>
      <c r="I54" s="24"/>
      <c r="J54" s="23"/>
      <c r="K54" s="23"/>
      <c r="L54" s="24"/>
      <c r="M54" s="23"/>
      <c r="N54" s="23"/>
    </row>
    <row r="55" spans="1:14" ht="14.45">
      <c r="A55" s="23"/>
      <c r="B55" s="35"/>
      <c r="C55" s="23"/>
      <c r="D55" s="23"/>
      <c r="E55" s="23"/>
      <c r="F55" s="23"/>
      <c r="G55" s="23"/>
      <c r="H55" s="23"/>
      <c r="I55" s="24"/>
      <c r="J55" s="23"/>
      <c r="K55" s="23"/>
      <c r="L55" s="24"/>
      <c r="M55" s="23"/>
      <c r="N55" s="23"/>
    </row>
    <row r="56" spans="1:14" ht="14.45">
      <c r="A56" s="23"/>
      <c r="B56" s="35"/>
      <c r="C56" s="23"/>
      <c r="D56" s="23"/>
      <c r="E56" s="23"/>
      <c r="F56" s="23"/>
      <c r="G56" s="23"/>
      <c r="H56" s="23"/>
      <c r="I56" s="24"/>
      <c r="J56" s="23"/>
      <c r="K56" s="23"/>
      <c r="L56" s="24"/>
      <c r="M56" s="23"/>
      <c r="N56" s="23"/>
    </row>
    <row r="57" spans="1:14" ht="14.45">
      <c r="A57" s="23"/>
      <c r="B57" s="35"/>
      <c r="C57" s="23"/>
      <c r="D57" s="23"/>
      <c r="E57" s="23"/>
      <c r="F57" s="23"/>
      <c r="G57" s="23"/>
      <c r="H57" s="23"/>
      <c r="I57" s="24"/>
      <c r="J57" s="23"/>
      <c r="K57" s="23"/>
      <c r="L57" s="24"/>
      <c r="M57" s="23"/>
      <c r="N57" s="23"/>
    </row>
    <row r="58" spans="1:14" ht="14.45">
      <c r="A58" s="23"/>
      <c r="B58" s="35"/>
      <c r="C58" s="23"/>
      <c r="D58" s="23"/>
      <c r="E58" s="23"/>
      <c r="F58" s="23"/>
      <c r="G58" s="23"/>
      <c r="H58" s="23"/>
      <c r="I58" s="24"/>
      <c r="J58" s="23"/>
      <c r="K58" s="23"/>
      <c r="L58" s="24"/>
      <c r="M58" s="23"/>
      <c r="N58" s="23"/>
    </row>
    <row r="59" spans="1:14" ht="14.45">
      <c r="A59" s="23"/>
      <c r="B59" s="35"/>
      <c r="C59" s="23"/>
      <c r="D59" s="23"/>
      <c r="E59" s="23"/>
      <c r="F59" s="23"/>
      <c r="G59" s="23"/>
      <c r="H59" s="23"/>
      <c r="I59" s="24"/>
      <c r="J59" s="23"/>
      <c r="K59" s="23"/>
      <c r="L59" s="24"/>
      <c r="M59" s="23"/>
      <c r="N59" s="23"/>
    </row>
    <row r="60" spans="1:14" ht="14.45">
      <c r="A60" s="23"/>
      <c r="B60" s="35"/>
      <c r="C60" s="23"/>
      <c r="D60" s="23"/>
      <c r="E60" s="23"/>
      <c r="F60" s="23"/>
      <c r="G60" s="23"/>
      <c r="H60" s="23"/>
      <c r="I60" s="24"/>
      <c r="J60" s="23"/>
      <c r="K60" s="23"/>
      <c r="L60" s="24"/>
      <c r="M60" s="23"/>
      <c r="N60" s="23"/>
    </row>
    <row r="61" spans="1:14" ht="14.45">
      <c r="A61" s="23"/>
      <c r="B61" s="35"/>
      <c r="C61" s="23"/>
      <c r="D61" s="23"/>
      <c r="E61" s="23"/>
      <c r="F61" s="23"/>
      <c r="G61" s="23"/>
      <c r="H61" s="23"/>
      <c r="I61" s="24"/>
      <c r="J61" s="23"/>
      <c r="K61" s="23"/>
      <c r="L61" s="24"/>
      <c r="M61" s="23"/>
      <c r="N61" s="23"/>
    </row>
    <row r="62" spans="1:14" ht="14.45">
      <c r="A62" s="23"/>
      <c r="B62" s="35"/>
      <c r="C62" s="23"/>
      <c r="D62" s="23"/>
      <c r="E62" s="23"/>
      <c r="F62" s="23"/>
      <c r="G62" s="23"/>
      <c r="H62" s="23"/>
      <c r="I62" s="24"/>
      <c r="J62" s="23"/>
      <c r="K62" s="23"/>
      <c r="L62" s="24"/>
      <c r="M62" s="23"/>
      <c r="N62" s="23"/>
    </row>
    <row r="63" spans="1:14" ht="14.45">
      <c r="A63" s="23"/>
      <c r="B63" s="35"/>
      <c r="C63" s="23"/>
      <c r="D63" s="23"/>
      <c r="E63" s="23"/>
      <c r="F63" s="23"/>
      <c r="G63" s="23"/>
      <c r="H63" s="23"/>
      <c r="I63" s="24"/>
      <c r="J63" s="23"/>
      <c r="K63" s="23"/>
      <c r="L63" s="24"/>
      <c r="M63" s="23"/>
      <c r="N63" s="23"/>
    </row>
    <row r="64" spans="1:14" ht="14.45">
      <c r="A64" s="23"/>
      <c r="B64" s="35"/>
      <c r="C64" s="23"/>
      <c r="D64" s="23"/>
      <c r="E64" s="23"/>
      <c r="F64" s="23"/>
      <c r="G64" s="23"/>
      <c r="H64" s="23"/>
      <c r="I64" s="24"/>
      <c r="J64" s="23"/>
      <c r="K64" s="23"/>
      <c r="L64" s="24"/>
      <c r="M64" s="23"/>
      <c r="N64" s="23"/>
    </row>
    <row r="65" spans="1:14" ht="14.45">
      <c r="A65" s="23"/>
      <c r="B65" s="35"/>
      <c r="C65" s="23"/>
      <c r="D65" s="23"/>
      <c r="E65" s="23"/>
      <c r="F65" s="23"/>
      <c r="G65" s="23"/>
      <c r="H65" s="23"/>
      <c r="I65" s="24"/>
      <c r="J65" s="23"/>
      <c r="K65" s="23"/>
      <c r="L65" s="24"/>
      <c r="M65" s="23"/>
      <c r="N65" s="23"/>
    </row>
    <row r="66" spans="1:14" ht="14.45">
      <c r="A66" s="23"/>
      <c r="B66" s="35"/>
      <c r="C66" s="23"/>
      <c r="D66" s="23"/>
      <c r="E66" s="23"/>
      <c r="F66" s="23"/>
      <c r="G66" s="23"/>
      <c r="H66" s="23"/>
      <c r="I66" s="24"/>
      <c r="J66" s="23"/>
      <c r="K66" s="23"/>
      <c r="L66" s="24"/>
      <c r="M66" s="23"/>
      <c r="N66" s="23"/>
    </row>
    <row r="67" spans="1:14" ht="14.45">
      <c r="A67" s="23"/>
      <c r="B67" s="35"/>
      <c r="C67" s="23"/>
      <c r="D67" s="23"/>
      <c r="E67" s="23"/>
      <c r="F67" s="23"/>
      <c r="G67" s="23"/>
      <c r="H67" s="23"/>
      <c r="I67" s="24"/>
      <c r="J67" s="23"/>
      <c r="K67" s="23"/>
      <c r="L67" s="24"/>
      <c r="M67" s="23"/>
      <c r="N67" s="23"/>
    </row>
    <row r="68" spans="1:14" ht="14.45">
      <c r="A68" s="23"/>
      <c r="B68" s="35"/>
      <c r="C68" s="23"/>
      <c r="D68" s="23"/>
      <c r="E68" s="23"/>
      <c r="F68" s="23"/>
      <c r="G68" s="23"/>
      <c r="H68" s="23"/>
      <c r="I68" s="24"/>
      <c r="J68" s="23"/>
      <c r="K68" s="23"/>
      <c r="L68" s="24"/>
      <c r="M68" s="23"/>
      <c r="N68" s="23"/>
    </row>
    <row r="69" spans="1:14" ht="14.45">
      <c r="A69" s="23"/>
      <c r="B69" s="35"/>
      <c r="C69" s="23"/>
      <c r="D69" s="23"/>
      <c r="E69" s="23"/>
      <c r="F69" s="23"/>
      <c r="G69" s="23"/>
      <c r="H69" s="23"/>
      <c r="I69" s="24"/>
      <c r="J69" s="23"/>
      <c r="K69" s="23"/>
      <c r="L69" s="24"/>
      <c r="M69" s="23"/>
      <c r="N69" s="23"/>
    </row>
    <row r="70" spans="1:14" ht="14.45">
      <c r="A70" s="23"/>
      <c r="B70" s="35"/>
      <c r="C70" s="23"/>
      <c r="D70" s="23"/>
      <c r="E70" s="23"/>
      <c r="F70" s="23"/>
      <c r="G70" s="23"/>
      <c r="H70" s="23"/>
      <c r="I70" s="24"/>
      <c r="J70" s="23"/>
      <c r="K70" s="23"/>
      <c r="L70" s="24"/>
      <c r="M70" s="23"/>
      <c r="N70" s="23"/>
    </row>
    <row r="71" spans="1:14" ht="14.45">
      <c r="A71" s="23"/>
      <c r="B71" s="35"/>
      <c r="C71" s="23"/>
      <c r="D71" s="23"/>
      <c r="E71" s="23"/>
      <c r="F71" s="23"/>
      <c r="G71" s="23"/>
      <c r="H71" s="23"/>
      <c r="I71" s="24"/>
      <c r="J71" s="23"/>
      <c r="K71" s="23"/>
      <c r="L71" s="24"/>
      <c r="M71" s="23"/>
      <c r="N71" s="23"/>
    </row>
    <row r="72" spans="1:14" ht="14.45">
      <c r="A72" s="23"/>
      <c r="B72" s="35"/>
      <c r="C72" s="23"/>
      <c r="D72" s="23"/>
      <c r="E72" s="23"/>
      <c r="F72" s="23"/>
      <c r="G72" s="23"/>
      <c r="H72" s="23"/>
      <c r="I72" s="24"/>
      <c r="J72" s="23"/>
      <c r="K72" s="23"/>
      <c r="L72" s="24"/>
      <c r="M72" s="23"/>
      <c r="N72" s="23"/>
    </row>
    <row r="73" spans="1:14" ht="14.45">
      <c r="A73" s="23"/>
      <c r="B73" s="35"/>
      <c r="C73" s="23"/>
      <c r="D73" s="23"/>
      <c r="E73" s="23"/>
      <c r="F73" s="23"/>
      <c r="G73" s="23"/>
      <c r="H73" s="23"/>
      <c r="I73" s="24"/>
      <c r="J73" s="23"/>
      <c r="K73" s="23"/>
      <c r="L73" s="24"/>
      <c r="M73" s="23"/>
      <c r="N73" s="23"/>
    </row>
    <row r="74" spans="1:14" ht="14.45">
      <c r="A74" s="23"/>
      <c r="B74" s="35"/>
      <c r="C74" s="23"/>
      <c r="D74" s="23"/>
      <c r="E74" s="23"/>
      <c r="F74" s="23"/>
      <c r="G74" s="23"/>
      <c r="H74" s="23"/>
      <c r="I74" s="24"/>
      <c r="J74" s="23"/>
      <c r="K74" s="23"/>
      <c r="L74" s="24"/>
      <c r="M74" s="23"/>
      <c r="N74" s="23"/>
    </row>
    <row r="75" spans="1:14" ht="14.45">
      <c r="A75" s="23"/>
      <c r="B75" s="35"/>
      <c r="C75" s="23"/>
      <c r="D75" s="23"/>
      <c r="E75" s="23"/>
      <c r="F75" s="23"/>
      <c r="G75" s="23"/>
      <c r="H75" s="23"/>
      <c r="I75" s="24"/>
      <c r="J75" s="23"/>
      <c r="K75" s="23"/>
      <c r="L75" s="24"/>
      <c r="M75" s="23"/>
      <c r="N75" s="23"/>
    </row>
    <row r="76" spans="1:14" ht="14.45">
      <c r="A76" s="23"/>
      <c r="B76" s="35"/>
      <c r="C76" s="23"/>
      <c r="D76" s="23"/>
      <c r="E76" s="23"/>
      <c r="F76" s="23"/>
      <c r="G76" s="23"/>
      <c r="H76" s="23"/>
      <c r="I76" s="24"/>
      <c r="J76" s="23"/>
      <c r="K76" s="23"/>
      <c r="L76" s="24"/>
      <c r="M76" s="23"/>
      <c r="N76" s="23"/>
    </row>
    <row r="77" spans="1:14" ht="14.45">
      <c r="A77" s="23"/>
      <c r="B77" s="35"/>
      <c r="C77" s="23"/>
      <c r="D77" s="23"/>
      <c r="E77" s="23"/>
      <c r="F77" s="23"/>
      <c r="G77" s="23"/>
      <c r="H77" s="23"/>
      <c r="I77" s="24"/>
      <c r="J77" s="23"/>
      <c r="K77" s="23"/>
      <c r="L77" s="24"/>
      <c r="M77" s="23"/>
      <c r="N77" s="23"/>
    </row>
    <row r="78" spans="1:14" ht="14.45">
      <c r="A78" s="23"/>
      <c r="B78" s="35"/>
      <c r="C78" s="23"/>
      <c r="D78" s="23"/>
      <c r="E78" s="23"/>
      <c r="F78" s="23"/>
      <c r="G78" s="23"/>
      <c r="H78" s="23"/>
      <c r="I78" s="24"/>
      <c r="J78" s="23"/>
      <c r="K78" s="23"/>
      <c r="L78" s="24"/>
      <c r="M78" s="23"/>
      <c r="N78" s="23"/>
    </row>
    <row r="79" spans="1:14" ht="14.45">
      <c r="A79" s="23"/>
      <c r="B79" s="35"/>
      <c r="C79" s="23"/>
      <c r="D79" s="23"/>
      <c r="E79" s="23"/>
      <c r="F79" s="23"/>
      <c r="G79" s="23"/>
      <c r="H79" s="23"/>
      <c r="I79" s="24"/>
      <c r="J79" s="23"/>
      <c r="K79" s="23"/>
      <c r="L79" s="24"/>
      <c r="M79" s="23"/>
      <c r="N79" s="23"/>
    </row>
    <row r="80" spans="1:14" ht="14.45">
      <c r="A80" s="23"/>
      <c r="B80" s="35"/>
      <c r="C80" s="23"/>
      <c r="D80" s="23"/>
      <c r="E80" s="23"/>
      <c r="F80" s="23"/>
      <c r="G80" s="23"/>
      <c r="H80" s="23"/>
      <c r="I80" s="24"/>
      <c r="J80" s="23"/>
      <c r="K80" s="23"/>
      <c r="L80" s="24"/>
      <c r="M80" s="23"/>
      <c r="N80" s="23"/>
    </row>
    <row r="81" spans="1:14" ht="14.45">
      <c r="A81" s="23"/>
      <c r="B81" s="35"/>
      <c r="C81" s="23"/>
      <c r="D81" s="23"/>
      <c r="E81" s="23"/>
      <c r="F81" s="23"/>
      <c r="G81" s="23"/>
      <c r="H81" s="23"/>
      <c r="I81" s="24"/>
      <c r="J81" s="23"/>
      <c r="K81" s="23"/>
      <c r="L81" s="24"/>
      <c r="M81" s="23"/>
      <c r="N81" s="23"/>
    </row>
    <row r="82" spans="1:14" ht="14.45">
      <c r="A82" s="23"/>
      <c r="B82" s="35"/>
      <c r="C82" s="23"/>
      <c r="D82" s="23"/>
      <c r="E82" s="23"/>
      <c r="F82" s="23"/>
      <c r="G82" s="23"/>
      <c r="H82" s="23"/>
      <c r="I82" s="24"/>
      <c r="J82" s="23"/>
      <c r="K82" s="23"/>
      <c r="L82" s="24"/>
      <c r="M82" s="23"/>
      <c r="N82" s="23"/>
    </row>
    <row r="83" spans="1:14" ht="14.45">
      <c r="A83" s="23"/>
      <c r="B83" s="35"/>
      <c r="C83" s="23"/>
      <c r="D83" s="23"/>
      <c r="E83" s="23"/>
      <c r="F83" s="23"/>
      <c r="G83" s="23"/>
      <c r="H83" s="23"/>
      <c r="I83" s="24"/>
      <c r="J83" s="23"/>
      <c r="K83" s="23"/>
      <c r="L83" s="24"/>
      <c r="M83" s="23"/>
      <c r="N83" s="23"/>
    </row>
    <row r="84" spans="1:14" ht="14.45">
      <c r="A84" s="23"/>
      <c r="B84" s="35"/>
      <c r="C84" s="23"/>
      <c r="D84" s="23"/>
      <c r="E84" s="23"/>
      <c r="F84" s="23"/>
      <c r="G84" s="23"/>
      <c r="H84" s="23"/>
      <c r="I84" s="24"/>
      <c r="J84" s="23"/>
      <c r="K84" s="23"/>
      <c r="L84" s="24"/>
      <c r="M84" s="23"/>
      <c r="N84" s="23"/>
    </row>
    <row r="85" spans="1:14" ht="14.45">
      <c r="A85" s="23"/>
      <c r="B85" s="35"/>
      <c r="C85" s="23"/>
      <c r="D85" s="23"/>
      <c r="E85" s="23"/>
      <c r="F85" s="23"/>
      <c r="G85" s="23"/>
      <c r="H85" s="23"/>
      <c r="I85" s="24"/>
      <c r="J85" s="23"/>
      <c r="K85" s="23"/>
      <c r="L85" s="24"/>
      <c r="M85" s="23"/>
      <c r="N85" s="23"/>
    </row>
    <row r="86" spans="1:14" ht="14.45">
      <c r="A86" s="23"/>
      <c r="B86" s="35"/>
      <c r="C86" s="23"/>
      <c r="D86" s="23"/>
      <c r="E86" s="23"/>
      <c r="F86" s="23"/>
      <c r="G86" s="23"/>
      <c r="H86" s="23"/>
      <c r="I86" s="24"/>
      <c r="J86" s="23"/>
      <c r="K86" s="23"/>
      <c r="L86" s="24"/>
      <c r="M86" s="23"/>
      <c r="N86" s="23"/>
    </row>
    <row r="87" spans="1:14" ht="14.45">
      <c r="A87" s="23"/>
      <c r="B87" s="35"/>
      <c r="C87" s="23"/>
      <c r="D87" s="23"/>
      <c r="E87" s="23"/>
      <c r="F87" s="23"/>
      <c r="G87" s="23"/>
      <c r="H87" s="23"/>
      <c r="I87" s="24"/>
      <c r="J87" s="23"/>
      <c r="K87" s="23"/>
      <c r="L87" s="24"/>
      <c r="M87" s="23"/>
      <c r="N87" s="23"/>
    </row>
    <row r="88" spans="1:14" ht="14.45">
      <c r="A88" s="23"/>
      <c r="B88" s="35"/>
      <c r="C88" s="23"/>
      <c r="D88" s="23"/>
      <c r="E88" s="23"/>
      <c r="F88" s="23"/>
      <c r="G88" s="23"/>
      <c r="H88" s="23"/>
      <c r="I88" s="24"/>
      <c r="J88" s="23"/>
      <c r="K88" s="23"/>
      <c r="L88" s="24"/>
      <c r="M88" s="23"/>
      <c r="N88" s="23"/>
    </row>
    <row r="89" spans="1:14" ht="14.45">
      <c r="A89" s="23"/>
      <c r="B89" s="35"/>
      <c r="C89" s="23"/>
      <c r="D89" s="23"/>
      <c r="E89" s="23"/>
      <c r="F89" s="23"/>
      <c r="G89" s="23"/>
      <c r="H89" s="23"/>
      <c r="I89" s="24"/>
      <c r="J89" s="23"/>
      <c r="K89" s="23"/>
      <c r="L89" s="24"/>
      <c r="M89" s="23"/>
      <c r="N89" s="23"/>
    </row>
    <row r="90" spans="1:14" ht="14.45">
      <c r="A90" s="23"/>
      <c r="B90" s="35"/>
      <c r="C90" s="23"/>
      <c r="D90" s="23"/>
      <c r="E90" s="23"/>
      <c r="F90" s="23"/>
      <c r="G90" s="23"/>
      <c r="H90" s="23"/>
      <c r="I90" s="24"/>
      <c r="J90" s="23"/>
      <c r="K90" s="23"/>
      <c r="L90" s="24"/>
      <c r="M90" s="23"/>
      <c r="N90" s="23"/>
    </row>
    <row r="91" spans="1:14" ht="14.45">
      <c r="A91" s="23"/>
      <c r="B91" s="35"/>
      <c r="C91" s="23"/>
      <c r="D91" s="23"/>
      <c r="E91" s="23"/>
      <c r="F91" s="23"/>
      <c r="G91" s="23"/>
      <c r="H91" s="23"/>
      <c r="I91" s="24"/>
      <c r="J91" s="23"/>
      <c r="K91" s="23"/>
      <c r="L91" s="24"/>
      <c r="M91" s="23"/>
      <c r="N91" s="23"/>
    </row>
    <row r="92" spans="1:14" ht="14.45">
      <c r="A92" s="23"/>
      <c r="B92" s="35"/>
      <c r="C92" s="23"/>
      <c r="D92" s="23"/>
      <c r="E92" s="23"/>
      <c r="F92" s="23"/>
      <c r="G92" s="23"/>
      <c r="H92" s="23"/>
      <c r="I92" s="24"/>
      <c r="J92" s="23"/>
      <c r="K92" s="23"/>
      <c r="L92" s="24"/>
      <c r="M92" s="23"/>
      <c r="N92" s="23"/>
    </row>
    <row r="93" spans="1:14" ht="14.45">
      <c r="A93" s="23"/>
      <c r="B93" s="35"/>
      <c r="C93" s="23"/>
      <c r="D93" s="23"/>
      <c r="E93" s="23"/>
      <c r="F93" s="23"/>
      <c r="G93" s="23"/>
      <c r="H93" s="23"/>
      <c r="I93" s="24"/>
      <c r="J93" s="23"/>
      <c r="K93" s="23"/>
      <c r="L93" s="24"/>
      <c r="M93" s="23"/>
      <c r="N93" s="23"/>
    </row>
    <row r="94" spans="1:14" ht="14.45">
      <c r="A94" s="23"/>
      <c r="B94" s="35"/>
      <c r="C94" s="23"/>
      <c r="D94" s="23"/>
      <c r="E94" s="23"/>
      <c r="F94" s="23"/>
      <c r="G94" s="23"/>
      <c r="H94" s="23"/>
      <c r="I94" s="24"/>
      <c r="J94" s="23"/>
      <c r="K94" s="23"/>
      <c r="L94" s="24"/>
      <c r="M94" s="23"/>
      <c r="N94" s="23"/>
    </row>
    <row r="95" spans="1:14" ht="14.45">
      <c r="A95" s="23"/>
      <c r="B95" s="35"/>
      <c r="C95" s="23"/>
      <c r="D95" s="23"/>
      <c r="E95" s="23"/>
      <c r="F95" s="23"/>
      <c r="G95" s="23"/>
      <c r="H95" s="23"/>
      <c r="I95" s="24"/>
      <c r="J95" s="23"/>
      <c r="K95" s="23"/>
      <c r="L95" s="24"/>
      <c r="M95" s="23"/>
      <c r="N95" s="23"/>
    </row>
    <row r="96" spans="1:14" ht="14.45">
      <c r="A96" s="23"/>
      <c r="B96" s="35"/>
      <c r="C96" s="23"/>
      <c r="D96" s="23"/>
      <c r="E96" s="23"/>
      <c r="F96" s="23"/>
      <c r="G96" s="23"/>
      <c r="H96" s="23"/>
      <c r="I96" s="24"/>
      <c r="J96" s="23"/>
      <c r="K96" s="23"/>
      <c r="L96" s="24"/>
      <c r="M96" s="23"/>
      <c r="N96" s="23"/>
    </row>
    <row r="97" spans="1:14" ht="14.45">
      <c r="A97" s="23"/>
      <c r="B97" s="35"/>
      <c r="C97" s="23"/>
      <c r="D97" s="23"/>
      <c r="E97" s="23"/>
      <c r="F97" s="23"/>
      <c r="G97" s="23"/>
      <c r="H97" s="23"/>
      <c r="I97" s="24"/>
      <c r="J97" s="23"/>
      <c r="K97" s="23"/>
      <c r="L97" s="24"/>
      <c r="M97" s="23"/>
      <c r="N97" s="23"/>
    </row>
    <row r="98" spans="1:14" ht="14.45">
      <c r="A98" s="23"/>
      <c r="B98" s="35"/>
      <c r="C98" s="23"/>
      <c r="D98" s="23"/>
      <c r="E98" s="23"/>
      <c r="F98" s="23"/>
      <c r="G98" s="23"/>
      <c r="H98" s="23"/>
      <c r="I98" s="24"/>
      <c r="J98" s="23"/>
      <c r="K98" s="23"/>
      <c r="L98" s="24"/>
      <c r="M98" s="23"/>
      <c r="N98" s="23"/>
    </row>
    <row r="99" spans="1:14" ht="14.45">
      <c r="A99" s="23"/>
      <c r="B99" s="35"/>
      <c r="C99" s="23"/>
      <c r="D99" s="23"/>
      <c r="E99" s="23"/>
      <c r="F99" s="23"/>
      <c r="G99" s="23"/>
      <c r="H99" s="23"/>
      <c r="I99" s="24"/>
      <c r="J99" s="23"/>
      <c r="K99" s="23"/>
      <c r="L99" s="24"/>
      <c r="M99" s="23"/>
      <c r="N99" s="23"/>
    </row>
    <row r="100" spans="1:14" ht="14.45">
      <c r="A100" s="23"/>
      <c r="B100" s="35"/>
      <c r="C100" s="23"/>
      <c r="D100" s="23"/>
      <c r="E100" s="23"/>
      <c r="F100" s="23"/>
      <c r="G100" s="23"/>
      <c r="H100" s="23"/>
      <c r="I100" s="24"/>
      <c r="J100" s="23"/>
      <c r="K100" s="23"/>
      <c r="L100" s="24"/>
      <c r="M100" s="23"/>
      <c r="N100" s="23"/>
    </row>
    <row r="101" spans="1:14" ht="14.45">
      <c r="A101" s="23"/>
      <c r="B101" s="35"/>
      <c r="C101" s="23"/>
      <c r="D101" s="23"/>
      <c r="E101" s="23"/>
      <c r="F101" s="23"/>
      <c r="G101" s="23"/>
      <c r="H101" s="23"/>
      <c r="I101" s="24"/>
      <c r="J101" s="23"/>
      <c r="K101" s="23"/>
      <c r="L101" s="24"/>
      <c r="M101" s="23"/>
      <c r="N101" s="23"/>
    </row>
    <row r="102" spans="1:14" ht="14.45">
      <c r="A102" s="23"/>
      <c r="B102" s="35"/>
      <c r="C102" s="23"/>
      <c r="D102" s="23"/>
      <c r="E102" s="23"/>
      <c r="F102" s="23"/>
      <c r="G102" s="23"/>
      <c r="H102" s="23"/>
      <c r="I102" s="24"/>
      <c r="J102" s="23"/>
      <c r="K102" s="23"/>
      <c r="L102" s="24"/>
      <c r="M102" s="23"/>
      <c r="N102" s="23"/>
    </row>
    <row r="103" spans="1:14" ht="14.45">
      <c r="A103" s="23"/>
      <c r="B103" s="35"/>
      <c r="C103" s="23"/>
      <c r="D103" s="23"/>
      <c r="E103" s="23"/>
      <c r="F103" s="23"/>
      <c r="G103" s="23"/>
      <c r="H103" s="23"/>
      <c r="I103" s="24"/>
      <c r="J103" s="23"/>
      <c r="K103" s="23"/>
      <c r="L103" s="24"/>
      <c r="M103" s="23"/>
      <c r="N103" s="23"/>
    </row>
    <row r="104" spans="1:14" ht="14.45">
      <c r="A104" s="23"/>
      <c r="B104" s="35"/>
      <c r="C104" s="23"/>
      <c r="D104" s="23"/>
      <c r="E104" s="23"/>
      <c r="F104" s="23"/>
      <c r="G104" s="23"/>
      <c r="H104" s="23"/>
      <c r="I104" s="24"/>
      <c r="J104" s="23"/>
      <c r="K104" s="23"/>
      <c r="L104" s="24"/>
      <c r="M104" s="23"/>
      <c r="N104" s="23"/>
    </row>
    <row r="105" spans="1:14" ht="14.45">
      <c r="A105" s="23"/>
      <c r="B105" s="35"/>
      <c r="C105" s="23"/>
      <c r="D105" s="23"/>
      <c r="E105" s="23"/>
      <c r="F105" s="23"/>
      <c r="G105" s="23"/>
      <c r="H105" s="23"/>
      <c r="I105" s="24"/>
      <c r="J105" s="23"/>
      <c r="K105" s="23"/>
      <c r="L105" s="24"/>
      <c r="M105" s="23"/>
      <c r="N105" s="23"/>
    </row>
    <row r="106" spans="1:14" ht="14.45">
      <c r="A106" s="23"/>
      <c r="B106" s="35"/>
      <c r="C106" s="23"/>
      <c r="D106" s="23"/>
      <c r="E106" s="23"/>
      <c r="F106" s="23"/>
      <c r="G106" s="23"/>
      <c r="H106" s="23"/>
      <c r="I106" s="24"/>
      <c r="J106" s="23"/>
      <c r="K106" s="23"/>
      <c r="L106" s="24"/>
      <c r="M106" s="23"/>
      <c r="N106" s="23"/>
    </row>
    <row r="107" spans="1:14" ht="14.45">
      <c r="A107" s="23"/>
      <c r="B107" s="35"/>
      <c r="C107" s="23"/>
      <c r="D107" s="23"/>
      <c r="E107" s="23"/>
      <c r="F107" s="23"/>
      <c r="G107" s="23"/>
      <c r="H107" s="23"/>
      <c r="I107" s="24"/>
      <c r="J107" s="23"/>
      <c r="K107" s="23"/>
      <c r="L107" s="24"/>
      <c r="M107" s="23"/>
      <c r="N107" s="23"/>
    </row>
    <row r="108" spans="1:14" ht="14.45">
      <c r="A108" s="23"/>
      <c r="B108" s="35"/>
      <c r="C108" s="23"/>
      <c r="D108" s="23"/>
      <c r="E108" s="23"/>
      <c r="F108" s="23"/>
      <c r="G108" s="23"/>
      <c r="H108" s="23"/>
      <c r="I108" s="24"/>
      <c r="J108" s="23"/>
      <c r="K108" s="23"/>
      <c r="L108" s="24"/>
      <c r="M108" s="23"/>
      <c r="N108" s="23"/>
    </row>
    <row r="109" spans="1:14" ht="14.45">
      <c r="A109" s="23"/>
      <c r="B109" s="35"/>
      <c r="C109" s="23"/>
      <c r="D109" s="23"/>
      <c r="E109" s="23"/>
      <c r="F109" s="23"/>
      <c r="G109" s="23"/>
      <c r="H109" s="23"/>
      <c r="I109" s="24"/>
      <c r="J109" s="23"/>
      <c r="K109" s="23"/>
      <c r="L109" s="24"/>
      <c r="M109" s="23"/>
      <c r="N109" s="23"/>
    </row>
    <row r="110" spans="1:14" ht="14.45">
      <c r="A110" s="23"/>
      <c r="B110" s="35"/>
      <c r="C110" s="23"/>
      <c r="D110" s="23"/>
      <c r="E110" s="23"/>
      <c r="F110" s="23"/>
      <c r="G110" s="23"/>
      <c r="H110" s="23"/>
      <c r="I110" s="24"/>
      <c r="J110" s="23"/>
      <c r="K110" s="23"/>
      <c r="L110" s="24"/>
      <c r="M110" s="23"/>
      <c r="N110" s="23"/>
    </row>
    <row r="111" spans="1:14" ht="14.45">
      <c r="A111" s="23"/>
      <c r="B111" s="35"/>
      <c r="C111" s="23"/>
      <c r="D111" s="23"/>
      <c r="E111" s="23"/>
      <c r="F111" s="23"/>
      <c r="G111" s="23"/>
      <c r="H111" s="23"/>
      <c r="I111" s="24"/>
      <c r="J111" s="23"/>
      <c r="K111" s="23"/>
      <c r="L111" s="24"/>
      <c r="M111" s="23"/>
      <c r="N111" s="23"/>
    </row>
    <row r="112" spans="1:14" ht="14.45">
      <c r="A112" s="23"/>
      <c r="B112" s="35"/>
      <c r="C112" s="23"/>
      <c r="D112" s="23"/>
      <c r="E112" s="23"/>
      <c r="F112" s="23"/>
      <c r="G112" s="23"/>
      <c r="H112" s="23"/>
      <c r="I112" s="24"/>
      <c r="J112" s="23"/>
      <c r="K112" s="23"/>
      <c r="L112" s="24"/>
      <c r="M112" s="23"/>
      <c r="N112" s="23"/>
    </row>
    <row r="113" spans="1:14" ht="14.45">
      <c r="A113" s="23"/>
      <c r="B113" s="35"/>
      <c r="C113" s="23"/>
      <c r="D113" s="23"/>
      <c r="E113" s="23"/>
      <c r="F113" s="23"/>
      <c r="G113" s="23"/>
      <c r="H113" s="23"/>
      <c r="I113" s="24"/>
      <c r="J113" s="23"/>
      <c r="K113" s="23"/>
      <c r="L113" s="24"/>
      <c r="M113" s="23"/>
      <c r="N113" s="23"/>
    </row>
    <row r="114" spans="1:14" ht="14.45">
      <c r="A114" s="23"/>
      <c r="B114" s="35"/>
      <c r="C114" s="23"/>
      <c r="D114" s="23"/>
      <c r="E114" s="23"/>
      <c r="F114" s="23"/>
      <c r="G114" s="23"/>
      <c r="H114" s="23"/>
      <c r="I114" s="24"/>
      <c r="J114" s="23"/>
      <c r="K114" s="23"/>
      <c r="L114" s="24"/>
      <c r="M114" s="23"/>
      <c r="N114" s="23"/>
    </row>
    <row r="115" spans="1:14" ht="14.45">
      <c r="A115" s="23"/>
      <c r="B115" s="35"/>
      <c r="C115" s="23"/>
      <c r="D115" s="23"/>
      <c r="E115" s="23"/>
      <c r="F115" s="23"/>
      <c r="G115" s="23"/>
      <c r="H115" s="23"/>
      <c r="I115" s="24"/>
      <c r="J115" s="23"/>
      <c r="K115" s="23"/>
      <c r="L115" s="24"/>
      <c r="M115" s="23"/>
      <c r="N115" s="23"/>
    </row>
    <row r="116" spans="1:14" ht="14.45">
      <c r="A116" s="23"/>
      <c r="B116" s="35"/>
      <c r="C116" s="23"/>
      <c r="D116" s="23"/>
      <c r="E116" s="23"/>
      <c r="F116" s="23"/>
      <c r="G116" s="23"/>
      <c r="H116" s="23"/>
      <c r="I116" s="24"/>
      <c r="J116" s="23"/>
      <c r="K116" s="23"/>
      <c r="L116" s="24"/>
      <c r="M116" s="23"/>
      <c r="N116" s="23"/>
    </row>
    <row r="117" spans="1:14" ht="14.45">
      <c r="A117" s="23"/>
      <c r="B117" s="35"/>
      <c r="C117" s="23"/>
      <c r="D117" s="23"/>
      <c r="E117" s="23"/>
      <c r="F117" s="23"/>
      <c r="G117" s="23"/>
      <c r="H117" s="23"/>
      <c r="I117" s="24"/>
      <c r="J117" s="23"/>
      <c r="K117" s="23"/>
      <c r="L117" s="24"/>
      <c r="M117" s="23"/>
      <c r="N117" s="23"/>
    </row>
    <row r="118" spans="1:14" ht="14.45">
      <c r="A118" s="23"/>
      <c r="B118" s="35"/>
      <c r="C118" s="23"/>
      <c r="D118" s="23"/>
      <c r="E118" s="23"/>
      <c r="F118" s="23"/>
      <c r="G118" s="23"/>
      <c r="H118" s="23"/>
      <c r="I118" s="24"/>
      <c r="J118" s="23"/>
      <c r="K118" s="23"/>
      <c r="L118" s="24"/>
      <c r="M118" s="23"/>
      <c r="N118" s="23"/>
    </row>
    <row r="119" spans="1:14" ht="14.45">
      <c r="A119" s="23"/>
      <c r="B119" s="35"/>
      <c r="C119" s="23"/>
      <c r="D119" s="23"/>
      <c r="E119" s="23"/>
      <c r="F119" s="23"/>
      <c r="G119" s="23"/>
      <c r="H119" s="23"/>
      <c r="I119" s="24"/>
      <c r="J119" s="23"/>
      <c r="K119" s="23"/>
      <c r="L119" s="24"/>
      <c r="M119" s="23"/>
      <c r="N119" s="23"/>
    </row>
    <row r="120" spans="1:14" ht="14.45">
      <c r="A120" s="23"/>
      <c r="B120" s="35"/>
      <c r="C120" s="23"/>
      <c r="D120" s="23"/>
      <c r="E120" s="23"/>
      <c r="F120" s="23"/>
      <c r="G120" s="23"/>
      <c r="H120" s="23"/>
      <c r="I120" s="24"/>
      <c r="J120" s="23"/>
      <c r="K120" s="23"/>
      <c r="L120" s="24"/>
      <c r="M120" s="23"/>
      <c r="N120" s="23"/>
    </row>
    <row r="121" spans="1:14" ht="14.45">
      <c r="A121" s="23"/>
      <c r="B121" s="35"/>
      <c r="C121" s="23"/>
      <c r="D121" s="23"/>
      <c r="E121" s="23"/>
      <c r="F121" s="23"/>
      <c r="G121" s="23"/>
      <c r="H121" s="23"/>
      <c r="I121" s="24"/>
      <c r="J121" s="23"/>
      <c r="K121" s="23"/>
      <c r="L121" s="24"/>
      <c r="M121" s="23"/>
      <c r="N121" s="23"/>
    </row>
    <row r="122" spans="1:14" ht="14.45">
      <c r="A122" s="23"/>
      <c r="B122" s="35"/>
      <c r="C122" s="23"/>
      <c r="D122" s="23"/>
      <c r="E122" s="23"/>
      <c r="F122" s="23"/>
      <c r="G122" s="23"/>
      <c r="H122" s="23"/>
      <c r="I122" s="24"/>
      <c r="J122" s="23"/>
      <c r="K122" s="23"/>
      <c r="L122" s="24"/>
      <c r="M122" s="23"/>
      <c r="N122" s="23"/>
    </row>
    <row r="123" spans="1:14" ht="14.45">
      <c r="A123" s="23"/>
      <c r="B123" s="35"/>
      <c r="C123" s="23"/>
      <c r="D123" s="23"/>
      <c r="E123" s="23"/>
      <c r="F123" s="23"/>
      <c r="G123" s="23"/>
      <c r="H123" s="23"/>
      <c r="I123" s="24"/>
      <c r="J123" s="23"/>
      <c r="K123" s="23"/>
      <c r="L123" s="24"/>
      <c r="M123" s="23"/>
      <c r="N123" s="23"/>
    </row>
    <row r="124" spans="1:14" ht="14.45">
      <c r="A124" s="23"/>
      <c r="B124" s="35"/>
      <c r="C124" s="23"/>
      <c r="D124" s="23"/>
      <c r="E124" s="23"/>
      <c r="F124" s="23"/>
      <c r="G124" s="23"/>
      <c r="H124" s="23"/>
      <c r="I124" s="24"/>
      <c r="J124" s="23"/>
      <c r="K124" s="23"/>
      <c r="L124" s="24"/>
      <c r="M124" s="23"/>
      <c r="N124" s="23"/>
    </row>
    <row r="125" spans="1:14" ht="14.45">
      <c r="A125" s="23"/>
      <c r="B125" s="35"/>
      <c r="C125" s="23"/>
      <c r="D125" s="23"/>
      <c r="E125" s="23"/>
      <c r="F125" s="23"/>
      <c r="G125" s="23"/>
      <c r="H125" s="23"/>
      <c r="I125" s="24"/>
      <c r="J125" s="23"/>
      <c r="K125" s="23"/>
      <c r="L125" s="24"/>
      <c r="M125" s="23"/>
      <c r="N125" s="23"/>
    </row>
    <row r="126" spans="1:14" ht="14.45">
      <c r="A126" s="23"/>
      <c r="B126" s="35"/>
      <c r="C126" s="23"/>
      <c r="D126" s="23"/>
      <c r="E126" s="23"/>
      <c r="F126" s="23"/>
      <c r="G126" s="23"/>
      <c r="H126" s="23"/>
      <c r="I126" s="24"/>
      <c r="J126" s="23"/>
      <c r="K126" s="23"/>
      <c r="L126" s="24"/>
      <c r="M126" s="23"/>
      <c r="N126" s="23"/>
    </row>
    <row r="127" spans="1:14" ht="14.45">
      <c r="A127" s="23"/>
      <c r="B127" s="35"/>
      <c r="C127" s="23"/>
      <c r="D127" s="23"/>
      <c r="E127" s="23"/>
      <c r="F127" s="23"/>
      <c r="G127" s="23"/>
      <c r="H127" s="23"/>
      <c r="I127" s="24"/>
      <c r="J127" s="23"/>
      <c r="K127" s="23"/>
      <c r="L127" s="24"/>
      <c r="M127" s="23"/>
      <c r="N127" s="23"/>
    </row>
    <row r="128" spans="1:14" ht="14.45">
      <c r="A128" s="23"/>
      <c r="B128" s="35"/>
      <c r="C128" s="23"/>
      <c r="D128" s="23"/>
      <c r="E128" s="23"/>
      <c r="F128" s="23"/>
      <c r="G128" s="23"/>
      <c r="H128" s="23"/>
      <c r="I128" s="24"/>
      <c r="J128" s="23"/>
      <c r="K128" s="23"/>
      <c r="L128" s="24"/>
      <c r="M128" s="23"/>
      <c r="N128" s="23"/>
    </row>
    <row r="129" spans="1:14" ht="14.45">
      <c r="A129" s="23"/>
      <c r="B129" s="35"/>
      <c r="C129" s="23"/>
      <c r="D129" s="23"/>
      <c r="E129" s="23"/>
      <c r="F129" s="23"/>
      <c r="G129" s="23"/>
      <c r="H129" s="23"/>
      <c r="I129" s="24"/>
      <c r="J129" s="23"/>
      <c r="K129" s="23"/>
      <c r="L129" s="24"/>
      <c r="M129" s="23"/>
      <c r="N129" s="23"/>
    </row>
    <row r="130" spans="1:14" ht="14.45">
      <c r="A130" s="23"/>
      <c r="B130" s="35"/>
      <c r="C130" s="23"/>
      <c r="D130" s="23"/>
      <c r="E130" s="23"/>
      <c r="F130" s="23"/>
      <c r="G130" s="23"/>
      <c r="H130" s="23"/>
      <c r="I130" s="24"/>
      <c r="J130" s="23"/>
      <c r="K130" s="23"/>
      <c r="L130" s="24"/>
      <c r="M130" s="23"/>
      <c r="N130" s="23"/>
    </row>
    <row r="131" spans="1:14" ht="14.45">
      <c r="A131" s="23"/>
      <c r="B131" s="35"/>
      <c r="C131" s="23"/>
      <c r="D131" s="23"/>
      <c r="E131" s="23"/>
      <c r="F131" s="23"/>
      <c r="G131" s="23"/>
      <c r="H131" s="23"/>
      <c r="I131" s="24"/>
      <c r="J131" s="23"/>
      <c r="K131" s="23"/>
      <c r="L131" s="24"/>
      <c r="M131" s="23"/>
      <c r="N131" s="23"/>
    </row>
    <row r="132" spans="1:14" ht="14.45">
      <c r="A132" s="23"/>
      <c r="B132" s="35"/>
      <c r="C132" s="23"/>
      <c r="D132" s="23"/>
      <c r="E132" s="23"/>
      <c r="F132" s="23"/>
      <c r="G132" s="23"/>
      <c r="H132" s="23"/>
      <c r="I132" s="24"/>
      <c r="J132" s="23"/>
      <c r="K132" s="23"/>
      <c r="L132" s="24"/>
      <c r="M132" s="23"/>
      <c r="N132" s="23"/>
    </row>
    <row r="133" spans="1:14" ht="14.45">
      <c r="A133" s="23"/>
      <c r="B133" s="35"/>
      <c r="C133" s="23"/>
      <c r="D133" s="23"/>
      <c r="E133" s="23"/>
      <c r="F133" s="23"/>
      <c r="G133" s="23"/>
      <c r="H133" s="23"/>
      <c r="I133" s="24"/>
      <c r="J133" s="23"/>
      <c r="K133" s="23"/>
      <c r="L133" s="24"/>
      <c r="M133" s="23"/>
      <c r="N133" s="23"/>
    </row>
    <row r="134" spans="1:14" ht="14.45">
      <c r="A134" s="23"/>
      <c r="B134" s="35"/>
      <c r="C134" s="23"/>
      <c r="D134" s="23"/>
      <c r="E134" s="23"/>
      <c r="F134" s="23"/>
      <c r="G134" s="23"/>
      <c r="H134" s="23"/>
      <c r="I134" s="24"/>
      <c r="J134" s="23"/>
      <c r="K134" s="23"/>
      <c r="L134" s="24"/>
      <c r="M134" s="23"/>
      <c r="N134" s="23"/>
    </row>
    <row r="135" spans="1:14" ht="14.45">
      <c r="A135" s="23"/>
      <c r="B135" s="35"/>
      <c r="C135" s="23"/>
      <c r="D135" s="23"/>
      <c r="E135" s="23"/>
      <c r="F135" s="23"/>
      <c r="G135" s="23"/>
      <c r="H135" s="23"/>
      <c r="I135" s="24"/>
      <c r="J135" s="23"/>
      <c r="K135" s="23"/>
      <c r="L135" s="24"/>
      <c r="M135" s="23"/>
      <c r="N135" s="23"/>
    </row>
    <row r="136" spans="1:14" ht="14.45">
      <c r="A136" s="23"/>
      <c r="B136" s="35"/>
      <c r="C136" s="23"/>
      <c r="D136" s="23"/>
      <c r="E136" s="23"/>
      <c r="F136" s="23"/>
      <c r="G136" s="23"/>
      <c r="H136" s="23"/>
      <c r="I136" s="24"/>
      <c r="J136" s="23"/>
      <c r="K136" s="23"/>
      <c r="L136" s="24"/>
      <c r="M136" s="23"/>
      <c r="N136" s="23"/>
    </row>
    <row r="137" spans="1:14" ht="14.45">
      <c r="A137" s="23"/>
      <c r="B137" s="35"/>
      <c r="C137" s="23"/>
      <c r="D137" s="23"/>
      <c r="E137" s="23"/>
      <c r="F137" s="23"/>
      <c r="G137" s="23"/>
      <c r="H137" s="23"/>
      <c r="I137" s="24"/>
      <c r="J137" s="23"/>
      <c r="K137" s="23"/>
      <c r="L137" s="24"/>
      <c r="M137" s="23"/>
      <c r="N137" s="23"/>
    </row>
    <row r="138" spans="1:14" ht="14.45">
      <c r="A138" s="23"/>
      <c r="B138" s="35"/>
      <c r="C138" s="23"/>
      <c r="D138" s="23"/>
      <c r="E138" s="23"/>
      <c r="F138" s="23"/>
      <c r="G138" s="23"/>
      <c r="H138" s="23"/>
      <c r="I138" s="24"/>
      <c r="J138" s="23"/>
      <c r="K138" s="23"/>
      <c r="L138" s="24"/>
      <c r="M138" s="23"/>
      <c r="N138" s="23"/>
    </row>
    <row r="139" spans="1:14" ht="14.45">
      <c r="A139" s="23"/>
      <c r="B139" s="35"/>
      <c r="C139" s="23"/>
      <c r="D139" s="23"/>
      <c r="E139" s="23"/>
      <c r="F139" s="23"/>
      <c r="G139" s="23"/>
      <c r="H139" s="23"/>
      <c r="I139" s="24"/>
      <c r="J139" s="23"/>
      <c r="K139" s="23"/>
      <c r="L139" s="24"/>
      <c r="M139" s="23"/>
      <c r="N139" s="23"/>
    </row>
    <row r="140" spans="1:14" ht="14.45">
      <c r="A140" s="23"/>
      <c r="B140" s="35"/>
      <c r="C140" s="23"/>
      <c r="D140" s="23"/>
      <c r="E140" s="23"/>
      <c r="F140" s="23"/>
      <c r="G140" s="23"/>
      <c r="H140" s="23"/>
      <c r="I140" s="24"/>
      <c r="J140" s="23"/>
      <c r="K140" s="23"/>
      <c r="L140" s="24"/>
      <c r="M140" s="23"/>
      <c r="N140" s="23"/>
    </row>
    <row r="141" spans="1:14" ht="14.45">
      <c r="A141" s="23"/>
      <c r="B141" s="35"/>
      <c r="C141" s="23"/>
      <c r="D141" s="23"/>
      <c r="E141" s="23"/>
      <c r="F141" s="23"/>
      <c r="G141" s="23"/>
      <c r="H141" s="23"/>
      <c r="I141" s="24"/>
      <c r="J141" s="23"/>
      <c r="K141" s="23"/>
      <c r="L141" s="24"/>
      <c r="M141" s="23"/>
      <c r="N141" s="23"/>
    </row>
    <row r="142" spans="1:14" ht="14.45">
      <c r="A142" s="23"/>
      <c r="B142" s="35"/>
      <c r="C142" s="23"/>
      <c r="D142" s="23"/>
      <c r="E142" s="23"/>
      <c r="F142" s="23"/>
      <c r="G142" s="23"/>
      <c r="H142" s="23"/>
      <c r="I142" s="24"/>
      <c r="J142" s="23"/>
      <c r="K142" s="23"/>
      <c r="L142" s="24"/>
      <c r="M142" s="23"/>
      <c r="N142" s="23"/>
    </row>
    <row r="143" spans="1:14" ht="14.45">
      <c r="A143" s="23"/>
      <c r="B143" s="35"/>
      <c r="C143" s="23"/>
      <c r="D143" s="23"/>
      <c r="E143" s="23"/>
      <c r="F143" s="23"/>
      <c r="G143" s="23"/>
      <c r="H143" s="23"/>
      <c r="I143" s="24"/>
      <c r="J143" s="23"/>
      <c r="K143" s="23"/>
      <c r="L143" s="24"/>
      <c r="M143" s="23"/>
      <c r="N143" s="23"/>
    </row>
    <row r="144" spans="1:14" ht="14.45">
      <c r="A144" s="23"/>
      <c r="B144" s="35"/>
      <c r="C144" s="23"/>
      <c r="D144" s="23"/>
      <c r="E144" s="23"/>
      <c r="F144" s="23"/>
      <c r="G144" s="23"/>
      <c r="H144" s="23"/>
      <c r="I144" s="24"/>
      <c r="J144" s="23"/>
      <c r="K144" s="23"/>
      <c r="L144" s="24"/>
      <c r="M144" s="23"/>
      <c r="N144" s="23"/>
    </row>
    <row r="145" spans="1:14" ht="14.45">
      <c r="A145" s="23"/>
      <c r="B145" s="35"/>
      <c r="C145" s="23"/>
      <c r="D145" s="23"/>
      <c r="E145" s="23"/>
      <c r="F145" s="23"/>
      <c r="G145" s="23"/>
      <c r="H145" s="23"/>
      <c r="I145" s="24"/>
      <c r="J145" s="23"/>
      <c r="K145" s="23"/>
      <c r="L145" s="24"/>
      <c r="M145" s="23"/>
      <c r="N145" s="23"/>
    </row>
    <row r="146" spans="1:14" ht="14.45">
      <c r="A146" s="23"/>
      <c r="B146" s="35"/>
      <c r="C146" s="23"/>
      <c r="D146" s="23"/>
      <c r="E146" s="23"/>
      <c r="F146" s="23"/>
      <c r="G146" s="23"/>
      <c r="H146" s="23"/>
      <c r="I146" s="24"/>
      <c r="J146" s="23"/>
      <c r="K146" s="23"/>
      <c r="L146" s="24"/>
      <c r="M146" s="23"/>
      <c r="N146" s="23"/>
    </row>
    <row r="147" spans="1:14" ht="14.45">
      <c r="A147" s="23"/>
      <c r="B147" s="35"/>
      <c r="C147" s="23"/>
      <c r="D147" s="23"/>
      <c r="E147" s="23"/>
      <c r="F147" s="23"/>
      <c r="G147" s="23"/>
      <c r="H147" s="23"/>
      <c r="I147" s="24"/>
      <c r="J147" s="23"/>
      <c r="K147" s="23"/>
      <c r="L147" s="24"/>
      <c r="M147" s="23"/>
      <c r="N147" s="23"/>
    </row>
    <row r="148" spans="1:14" ht="14.45">
      <c r="A148" s="23"/>
      <c r="B148" s="35"/>
      <c r="C148" s="23"/>
      <c r="D148" s="23"/>
      <c r="E148" s="23"/>
      <c r="F148" s="23"/>
      <c r="G148" s="23"/>
      <c r="H148" s="23"/>
      <c r="I148" s="24"/>
      <c r="J148" s="23"/>
      <c r="K148" s="23"/>
      <c r="L148" s="24"/>
      <c r="M148" s="23"/>
      <c r="N148" s="23"/>
    </row>
    <row r="149" spans="1:14" ht="14.45">
      <c r="A149" s="23"/>
      <c r="B149" s="35"/>
      <c r="C149" s="23"/>
      <c r="D149" s="23"/>
      <c r="E149" s="23"/>
      <c r="F149" s="23"/>
      <c r="G149" s="23"/>
      <c r="H149" s="23"/>
      <c r="I149" s="24"/>
      <c r="J149" s="23"/>
      <c r="K149" s="23"/>
      <c r="L149" s="24"/>
      <c r="M149" s="23"/>
      <c r="N149" s="23"/>
    </row>
    <row r="150" spans="1:14" ht="14.45">
      <c r="A150" s="23"/>
      <c r="B150" s="35"/>
      <c r="C150" s="23"/>
      <c r="D150" s="23"/>
      <c r="E150" s="23"/>
      <c r="F150" s="23"/>
      <c r="G150" s="23"/>
      <c r="H150" s="23"/>
      <c r="I150" s="24"/>
      <c r="J150" s="23"/>
      <c r="K150" s="23"/>
      <c r="L150" s="24"/>
      <c r="M150" s="23"/>
      <c r="N150" s="23"/>
    </row>
    <row r="151" spans="1:14" ht="14.45">
      <c r="A151" s="23"/>
      <c r="B151" s="35"/>
      <c r="C151" s="23"/>
      <c r="D151" s="23"/>
      <c r="E151" s="23"/>
      <c r="F151" s="23"/>
      <c r="G151" s="23"/>
      <c r="H151" s="23"/>
      <c r="I151" s="24"/>
      <c r="J151" s="23"/>
      <c r="K151" s="23"/>
      <c r="L151" s="24"/>
      <c r="M151" s="23"/>
      <c r="N151" s="23"/>
    </row>
    <row r="152" spans="1:14" ht="14.45">
      <c r="A152" s="23"/>
      <c r="B152" s="35"/>
      <c r="C152" s="23"/>
      <c r="D152" s="23"/>
      <c r="E152" s="23"/>
      <c r="F152" s="23"/>
      <c r="G152" s="23"/>
      <c r="H152" s="23"/>
      <c r="I152" s="24"/>
      <c r="J152" s="23"/>
      <c r="K152" s="23"/>
      <c r="L152" s="24"/>
      <c r="M152" s="23"/>
      <c r="N152" s="23"/>
    </row>
    <row r="153" spans="1:14" ht="14.45">
      <c r="A153" s="23"/>
      <c r="B153" s="35"/>
      <c r="C153" s="23"/>
      <c r="D153" s="23"/>
      <c r="E153" s="23"/>
      <c r="F153" s="23"/>
      <c r="G153" s="23"/>
      <c r="H153" s="23"/>
      <c r="I153" s="24"/>
      <c r="J153" s="23"/>
      <c r="K153" s="23"/>
      <c r="L153" s="24"/>
      <c r="M153" s="23"/>
      <c r="N153" s="23"/>
    </row>
    <row r="154" spans="1:14" ht="14.45">
      <c r="A154" s="23"/>
      <c r="B154" s="35"/>
      <c r="C154" s="23"/>
      <c r="D154" s="23"/>
      <c r="E154" s="23"/>
      <c r="F154" s="23"/>
      <c r="G154" s="23"/>
      <c r="H154" s="23"/>
      <c r="I154" s="24"/>
      <c r="J154" s="23"/>
      <c r="K154" s="23"/>
      <c r="L154" s="24"/>
      <c r="M154" s="23"/>
      <c r="N154" s="23"/>
    </row>
    <row r="155" spans="1:14" ht="14.45">
      <c r="A155" s="23"/>
      <c r="B155" s="35"/>
      <c r="C155" s="23"/>
      <c r="D155" s="23"/>
      <c r="E155" s="23"/>
      <c r="F155" s="23"/>
      <c r="G155" s="23"/>
      <c r="H155" s="23"/>
      <c r="I155" s="24"/>
      <c r="J155" s="23"/>
      <c r="K155" s="23"/>
      <c r="L155" s="24"/>
      <c r="M155" s="23"/>
      <c r="N155" s="23"/>
    </row>
    <row r="156" spans="1:14" ht="14.45">
      <c r="A156" s="23"/>
      <c r="B156" s="35"/>
      <c r="C156" s="23"/>
      <c r="D156" s="23"/>
      <c r="E156" s="23"/>
      <c r="F156" s="23"/>
      <c r="G156" s="23"/>
      <c r="H156" s="23"/>
      <c r="I156" s="24"/>
      <c r="J156" s="23"/>
      <c r="K156" s="23"/>
      <c r="L156" s="24"/>
      <c r="M156" s="23"/>
      <c r="N156" s="23"/>
    </row>
    <row r="157" spans="1:14" ht="14.45">
      <c r="A157" s="23"/>
      <c r="B157" s="35"/>
      <c r="C157" s="23"/>
      <c r="D157" s="23"/>
      <c r="E157" s="23"/>
      <c r="F157" s="23"/>
      <c r="G157" s="23"/>
      <c r="H157" s="23"/>
      <c r="I157" s="24"/>
      <c r="J157" s="23"/>
      <c r="K157" s="23"/>
      <c r="L157" s="24"/>
      <c r="M157" s="23"/>
      <c r="N157" s="23"/>
    </row>
    <row r="158" spans="1:14" ht="14.45">
      <c r="A158" s="23"/>
      <c r="B158" s="35"/>
      <c r="C158" s="23"/>
      <c r="D158" s="23"/>
      <c r="E158" s="23"/>
      <c r="F158" s="23"/>
      <c r="G158" s="23"/>
      <c r="H158" s="23"/>
      <c r="I158" s="24"/>
      <c r="J158" s="23"/>
      <c r="K158" s="23"/>
      <c r="L158" s="24"/>
      <c r="M158" s="23"/>
      <c r="N158" s="23"/>
    </row>
    <row r="159" spans="1:14" ht="14.45">
      <c r="A159" s="23"/>
      <c r="B159" s="35"/>
      <c r="C159" s="23"/>
      <c r="D159" s="23"/>
      <c r="E159" s="23"/>
      <c r="F159" s="23"/>
      <c r="G159" s="23"/>
      <c r="H159" s="23"/>
      <c r="I159" s="24"/>
      <c r="J159" s="23"/>
      <c r="K159" s="23"/>
      <c r="L159" s="24"/>
      <c r="M159" s="23"/>
      <c r="N159" s="23"/>
    </row>
    <row r="160" spans="1:14" ht="14.45">
      <c r="A160" s="23"/>
      <c r="B160" s="35"/>
      <c r="C160" s="23"/>
      <c r="D160" s="23"/>
      <c r="E160" s="23"/>
      <c r="F160" s="23"/>
      <c r="G160" s="23"/>
      <c r="H160" s="23"/>
      <c r="I160" s="24"/>
      <c r="J160" s="23"/>
      <c r="K160" s="23"/>
      <c r="L160" s="24"/>
      <c r="M160" s="23"/>
      <c r="N160" s="23"/>
    </row>
    <row r="161" spans="1:14" ht="14.45">
      <c r="A161" s="23"/>
      <c r="B161" s="35"/>
      <c r="C161" s="23"/>
      <c r="D161" s="23"/>
      <c r="E161" s="23"/>
      <c r="F161" s="23"/>
      <c r="G161" s="23"/>
      <c r="H161" s="23"/>
      <c r="I161" s="24"/>
      <c r="J161" s="23"/>
      <c r="K161" s="23"/>
      <c r="L161" s="24"/>
      <c r="M161" s="23"/>
      <c r="N161" s="23"/>
    </row>
    <row r="162" spans="1:14" ht="14.45">
      <c r="A162" s="23"/>
      <c r="B162" s="35"/>
      <c r="C162" s="23"/>
      <c r="D162" s="23"/>
      <c r="E162" s="23"/>
      <c r="F162" s="23"/>
      <c r="G162" s="23"/>
      <c r="H162" s="23"/>
      <c r="I162" s="24"/>
      <c r="J162" s="23"/>
      <c r="K162" s="23"/>
      <c r="L162" s="24"/>
      <c r="M162" s="23"/>
      <c r="N162" s="23"/>
    </row>
    <row r="163" spans="1:14" ht="14.45">
      <c r="A163" s="23"/>
      <c r="B163" s="35"/>
      <c r="C163" s="23"/>
      <c r="D163" s="23"/>
      <c r="E163" s="23"/>
      <c r="F163" s="23"/>
      <c r="G163" s="23"/>
      <c r="H163" s="23"/>
      <c r="I163" s="24"/>
      <c r="J163" s="23"/>
      <c r="K163" s="23"/>
      <c r="L163" s="24"/>
      <c r="M163" s="23"/>
      <c r="N163" s="23"/>
    </row>
    <row r="164" spans="1:14" ht="14.45">
      <c r="A164" s="23"/>
      <c r="B164" s="35"/>
      <c r="C164" s="23"/>
      <c r="D164" s="23"/>
      <c r="E164" s="23"/>
      <c r="F164" s="23"/>
      <c r="G164" s="23"/>
      <c r="H164" s="23"/>
      <c r="I164" s="24"/>
      <c r="J164" s="23"/>
      <c r="K164" s="23"/>
      <c r="L164" s="24"/>
      <c r="M164" s="23"/>
      <c r="N164" s="23"/>
    </row>
    <row r="165" spans="1:14" ht="14.45">
      <c r="A165" s="23"/>
      <c r="B165" s="35"/>
      <c r="C165" s="23"/>
      <c r="D165" s="23"/>
      <c r="E165" s="23"/>
      <c r="F165" s="23"/>
      <c r="G165" s="23"/>
      <c r="H165" s="23"/>
      <c r="I165" s="24"/>
      <c r="J165" s="23"/>
      <c r="K165" s="23"/>
      <c r="L165" s="24"/>
      <c r="M165" s="23"/>
      <c r="N165" s="23"/>
    </row>
    <row r="166" spans="1:14" ht="14.45">
      <c r="A166" s="23"/>
      <c r="B166" s="35"/>
      <c r="C166" s="23"/>
      <c r="D166" s="23"/>
      <c r="E166" s="23"/>
      <c r="F166" s="23"/>
      <c r="G166" s="23"/>
      <c r="H166" s="23"/>
      <c r="I166" s="24"/>
      <c r="J166" s="23"/>
      <c r="K166" s="23"/>
      <c r="L166" s="24"/>
      <c r="M166" s="23"/>
      <c r="N166" s="23"/>
    </row>
    <row r="167" spans="1:14" ht="14.45">
      <c r="A167" s="23"/>
      <c r="B167" s="35"/>
      <c r="C167" s="23"/>
      <c r="D167" s="23"/>
      <c r="E167" s="23"/>
      <c r="F167" s="23"/>
      <c r="G167" s="23"/>
      <c r="H167" s="23"/>
      <c r="I167" s="24"/>
      <c r="J167" s="23"/>
      <c r="K167" s="23"/>
      <c r="L167" s="24"/>
      <c r="M167" s="23"/>
      <c r="N167" s="23"/>
    </row>
    <row r="168" spans="1:14" ht="14.45">
      <c r="A168" s="23"/>
      <c r="B168" s="35"/>
      <c r="C168" s="23"/>
      <c r="D168" s="23"/>
      <c r="E168" s="23"/>
      <c r="F168" s="23"/>
      <c r="G168" s="23"/>
      <c r="H168" s="23"/>
      <c r="I168" s="24"/>
      <c r="J168" s="23"/>
      <c r="K168" s="23"/>
      <c r="L168" s="24"/>
      <c r="M168" s="23"/>
      <c r="N168" s="23"/>
    </row>
    <row r="169" spans="1:14" ht="14.45">
      <c r="A169" s="23"/>
      <c r="B169" s="35"/>
      <c r="C169" s="23"/>
      <c r="D169" s="23"/>
      <c r="E169" s="23"/>
      <c r="F169" s="23"/>
      <c r="G169" s="23"/>
      <c r="H169" s="23"/>
      <c r="I169" s="24"/>
      <c r="J169" s="23"/>
      <c r="K169" s="23"/>
      <c r="L169" s="24"/>
      <c r="M169" s="23"/>
      <c r="N169" s="23"/>
    </row>
    <row r="170" spans="1:14" ht="14.45">
      <c r="A170" s="23"/>
      <c r="B170" s="35"/>
      <c r="C170" s="23"/>
      <c r="D170" s="23"/>
      <c r="E170" s="23"/>
      <c r="F170" s="23"/>
      <c r="G170" s="23"/>
      <c r="H170" s="23"/>
      <c r="I170" s="24"/>
      <c r="J170" s="23"/>
      <c r="K170" s="23"/>
      <c r="L170" s="24"/>
      <c r="M170" s="23"/>
      <c r="N170" s="23"/>
    </row>
    <row r="171" spans="1:14" ht="14.45">
      <c r="A171" s="23"/>
      <c r="B171" s="35"/>
      <c r="C171" s="23"/>
      <c r="D171" s="23"/>
      <c r="E171" s="23"/>
      <c r="F171" s="23"/>
      <c r="G171" s="23"/>
      <c r="H171" s="23"/>
      <c r="I171" s="24"/>
      <c r="J171" s="23"/>
      <c r="K171" s="23"/>
      <c r="L171" s="24"/>
      <c r="M171" s="23"/>
      <c r="N171" s="23"/>
    </row>
    <row r="172" spans="1:14" ht="14.45">
      <c r="A172" s="23"/>
      <c r="B172" s="35"/>
      <c r="C172" s="23"/>
      <c r="D172" s="23"/>
      <c r="E172" s="23"/>
      <c r="F172" s="23"/>
      <c r="G172" s="23"/>
      <c r="H172" s="23"/>
      <c r="I172" s="24"/>
      <c r="J172" s="23"/>
      <c r="K172" s="23"/>
      <c r="L172" s="24"/>
      <c r="M172" s="23"/>
      <c r="N172" s="23"/>
    </row>
    <row r="173" spans="1:14" ht="14.45">
      <c r="A173" s="23"/>
      <c r="B173" s="35"/>
      <c r="C173" s="23"/>
      <c r="D173" s="23"/>
      <c r="E173" s="23"/>
      <c r="F173" s="23"/>
      <c r="G173" s="23"/>
      <c r="H173" s="23"/>
      <c r="I173" s="24"/>
      <c r="J173" s="23"/>
      <c r="K173" s="23"/>
      <c r="L173" s="24"/>
      <c r="M173" s="23"/>
      <c r="N173" s="23"/>
    </row>
    <row r="174" spans="1:14" ht="14.45">
      <c r="A174" s="23"/>
      <c r="B174" s="35"/>
      <c r="C174" s="23"/>
      <c r="D174" s="23"/>
      <c r="E174" s="23"/>
      <c r="F174" s="23"/>
      <c r="G174" s="23"/>
      <c r="H174" s="23"/>
      <c r="I174" s="24"/>
      <c r="J174" s="23"/>
      <c r="K174" s="23"/>
      <c r="L174" s="24"/>
      <c r="M174" s="23"/>
      <c r="N174" s="23"/>
    </row>
    <row r="175" spans="1:14" ht="14.45">
      <c r="A175" s="23"/>
      <c r="B175" s="35"/>
      <c r="C175" s="23"/>
      <c r="D175" s="23"/>
      <c r="E175" s="23"/>
      <c r="F175" s="23"/>
      <c r="G175" s="23"/>
      <c r="H175" s="23"/>
      <c r="I175" s="24"/>
      <c r="J175" s="23"/>
      <c r="K175" s="23"/>
      <c r="L175" s="24"/>
      <c r="M175" s="23"/>
      <c r="N175" s="23"/>
    </row>
    <row r="176" spans="1:14" ht="14.45">
      <c r="A176" s="23"/>
      <c r="B176" s="35"/>
      <c r="C176" s="23"/>
      <c r="D176" s="23"/>
      <c r="E176" s="23"/>
      <c r="F176" s="23"/>
      <c r="G176" s="23"/>
      <c r="H176" s="23"/>
      <c r="I176" s="24"/>
      <c r="J176" s="23"/>
      <c r="K176" s="23"/>
      <c r="L176" s="24"/>
      <c r="M176" s="23"/>
      <c r="N176" s="23"/>
    </row>
    <row r="177" spans="1:14" ht="14.45">
      <c r="A177" s="23"/>
      <c r="B177" s="35"/>
      <c r="C177" s="23"/>
      <c r="D177" s="23"/>
      <c r="E177" s="23"/>
      <c r="F177" s="23"/>
      <c r="G177" s="23"/>
      <c r="H177" s="23"/>
      <c r="I177" s="24"/>
      <c r="J177" s="23"/>
      <c r="K177" s="23"/>
      <c r="L177" s="24"/>
      <c r="M177" s="23"/>
      <c r="N177" s="23"/>
    </row>
    <row r="178" spans="1:14" ht="14.45">
      <c r="A178" s="23"/>
      <c r="B178" s="35"/>
      <c r="C178" s="23"/>
      <c r="D178" s="23"/>
      <c r="E178" s="23"/>
      <c r="F178" s="23"/>
      <c r="G178" s="23"/>
      <c r="H178" s="23"/>
      <c r="I178" s="24"/>
      <c r="J178" s="23"/>
      <c r="K178" s="23"/>
      <c r="L178" s="24"/>
      <c r="M178" s="23"/>
      <c r="N178" s="23"/>
    </row>
    <row r="179" spans="1:14" ht="14.45">
      <c r="A179" s="23"/>
      <c r="B179" s="35"/>
      <c r="C179" s="23"/>
      <c r="D179" s="23"/>
      <c r="E179" s="23"/>
      <c r="F179" s="23"/>
      <c r="G179" s="23"/>
      <c r="H179" s="23"/>
      <c r="I179" s="24"/>
      <c r="J179" s="23"/>
      <c r="K179" s="23"/>
      <c r="L179" s="24"/>
      <c r="M179" s="23"/>
      <c r="N179" s="23"/>
    </row>
    <row r="180" spans="1:14" ht="14.45">
      <c r="A180" s="23"/>
      <c r="B180" s="35"/>
      <c r="C180" s="23"/>
      <c r="D180" s="23"/>
      <c r="E180" s="23"/>
      <c r="F180" s="23"/>
      <c r="G180" s="23"/>
      <c r="H180" s="23"/>
      <c r="I180" s="24"/>
      <c r="J180" s="23"/>
      <c r="K180" s="23"/>
      <c r="L180" s="24"/>
      <c r="M180" s="23"/>
      <c r="N180" s="23"/>
    </row>
    <row r="181" spans="1:14" ht="14.45">
      <c r="A181" s="23"/>
      <c r="B181" s="35"/>
      <c r="C181" s="23"/>
      <c r="D181" s="23"/>
      <c r="E181" s="23"/>
      <c r="F181" s="23"/>
      <c r="G181" s="23"/>
      <c r="H181" s="23"/>
      <c r="I181" s="24"/>
      <c r="J181" s="23"/>
      <c r="K181" s="23"/>
      <c r="L181" s="24"/>
      <c r="M181" s="23"/>
      <c r="N181" s="23"/>
    </row>
    <row r="182" spans="1:14" ht="14.45">
      <c r="A182" s="23"/>
      <c r="B182" s="35"/>
      <c r="C182" s="23"/>
      <c r="D182" s="23"/>
      <c r="E182" s="23"/>
      <c r="F182" s="23"/>
      <c r="G182" s="23"/>
      <c r="H182" s="23"/>
      <c r="I182" s="24"/>
      <c r="J182" s="23"/>
      <c r="K182" s="23"/>
      <c r="L182" s="24"/>
      <c r="M182" s="23"/>
      <c r="N182" s="23"/>
    </row>
    <row r="183" spans="1:14" ht="14.45">
      <c r="A183" s="23"/>
      <c r="B183" s="35"/>
      <c r="C183" s="23"/>
      <c r="D183" s="23"/>
      <c r="E183" s="23"/>
      <c r="F183" s="23"/>
      <c r="G183" s="23"/>
      <c r="H183" s="23"/>
      <c r="I183" s="24"/>
      <c r="J183" s="23"/>
      <c r="K183" s="23"/>
      <c r="L183" s="24"/>
      <c r="M183" s="23"/>
      <c r="N183" s="23"/>
    </row>
    <row r="184" spans="1:14" ht="14.45">
      <c r="A184" s="23"/>
      <c r="B184" s="35"/>
      <c r="C184" s="23"/>
      <c r="D184" s="23"/>
      <c r="E184" s="23"/>
      <c r="F184" s="23"/>
      <c r="G184" s="23"/>
      <c r="H184" s="23"/>
      <c r="I184" s="24"/>
      <c r="J184" s="23"/>
      <c r="K184" s="23"/>
      <c r="L184" s="24"/>
      <c r="M184" s="23"/>
      <c r="N184" s="23"/>
    </row>
    <row r="185" spans="1:14" ht="14.45">
      <c r="A185" s="23"/>
      <c r="B185" s="35"/>
      <c r="C185" s="23"/>
      <c r="D185" s="23"/>
      <c r="E185" s="23"/>
      <c r="F185" s="23"/>
      <c r="G185" s="23"/>
      <c r="H185" s="23"/>
      <c r="I185" s="24"/>
      <c r="J185" s="23"/>
      <c r="K185" s="23"/>
      <c r="L185" s="24"/>
      <c r="M185" s="23"/>
      <c r="N185" s="23"/>
    </row>
    <row r="186" spans="1:14" ht="14.45">
      <c r="A186" s="23"/>
      <c r="B186" s="35"/>
      <c r="C186" s="23"/>
      <c r="D186" s="23"/>
      <c r="E186" s="23"/>
      <c r="F186" s="23"/>
      <c r="G186" s="23"/>
      <c r="H186" s="23"/>
      <c r="I186" s="24"/>
      <c r="J186" s="23"/>
      <c r="K186" s="23"/>
      <c r="L186" s="24"/>
      <c r="M186" s="23"/>
      <c r="N186" s="23"/>
    </row>
    <row r="187" spans="1:14" ht="14.45">
      <c r="A187" s="23"/>
      <c r="B187" s="35"/>
      <c r="C187" s="23"/>
      <c r="D187" s="23"/>
      <c r="E187" s="23"/>
      <c r="F187" s="23"/>
      <c r="G187" s="23"/>
      <c r="H187" s="23"/>
      <c r="I187" s="24"/>
      <c r="J187" s="23"/>
      <c r="K187" s="23"/>
      <c r="L187" s="24"/>
      <c r="M187" s="23"/>
      <c r="N187" s="23"/>
    </row>
    <row r="188" spans="1:14" ht="14.45">
      <c r="A188" s="23"/>
      <c r="B188" s="35"/>
      <c r="C188" s="23"/>
      <c r="D188" s="23"/>
      <c r="E188" s="23"/>
      <c r="F188" s="23"/>
      <c r="G188" s="23"/>
      <c r="H188" s="23"/>
      <c r="I188" s="24"/>
      <c r="J188" s="23"/>
      <c r="K188" s="23"/>
      <c r="L188" s="24"/>
      <c r="M188" s="23"/>
      <c r="N188" s="23"/>
    </row>
    <row r="189" spans="1:14" ht="14.45">
      <c r="A189" s="23"/>
      <c r="B189" s="35"/>
      <c r="C189" s="23"/>
      <c r="D189" s="23"/>
      <c r="E189" s="23"/>
      <c r="F189" s="23"/>
      <c r="G189" s="23"/>
      <c r="H189" s="23"/>
      <c r="I189" s="24"/>
      <c r="J189" s="23"/>
      <c r="K189" s="23"/>
      <c r="L189" s="24"/>
      <c r="M189" s="23"/>
      <c r="N189" s="23"/>
    </row>
    <row r="190" spans="1:14" ht="14.45">
      <c r="A190" s="23"/>
      <c r="B190" s="35"/>
      <c r="C190" s="23"/>
      <c r="D190" s="23"/>
      <c r="E190" s="23"/>
      <c r="F190" s="23"/>
      <c r="G190" s="23"/>
      <c r="H190" s="23"/>
      <c r="I190" s="24"/>
      <c r="J190" s="23"/>
      <c r="K190" s="23"/>
      <c r="L190" s="24"/>
      <c r="M190" s="23"/>
      <c r="N190" s="23"/>
    </row>
    <row r="191" spans="1:14" ht="14.45">
      <c r="A191" s="23"/>
      <c r="B191" s="35"/>
      <c r="C191" s="23"/>
      <c r="D191" s="23"/>
      <c r="E191" s="23"/>
      <c r="F191" s="23"/>
      <c r="G191" s="23"/>
      <c r="H191" s="23"/>
      <c r="I191" s="24"/>
      <c r="J191" s="23"/>
      <c r="K191" s="23"/>
      <c r="L191" s="24"/>
      <c r="M191" s="23"/>
      <c r="N191" s="23"/>
    </row>
    <row r="192" spans="1:14" ht="14.45">
      <c r="A192" s="23"/>
      <c r="B192" s="35"/>
      <c r="C192" s="23"/>
      <c r="D192" s="23"/>
      <c r="E192" s="23"/>
      <c r="F192" s="23"/>
      <c r="G192" s="23"/>
      <c r="H192" s="23"/>
      <c r="I192" s="24"/>
      <c r="J192" s="23"/>
      <c r="K192" s="23"/>
      <c r="L192" s="24"/>
      <c r="M192" s="23"/>
      <c r="N192" s="23"/>
    </row>
    <row r="193" spans="1:14" ht="14.45">
      <c r="A193" s="23"/>
      <c r="B193" s="35"/>
      <c r="C193" s="23"/>
      <c r="D193" s="23"/>
      <c r="E193" s="23"/>
      <c r="F193" s="23"/>
      <c r="G193" s="23"/>
      <c r="H193" s="23"/>
      <c r="I193" s="24"/>
      <c r="J193" s="23"/>
      <c r="K193" s="23"/>
      <c r="L193" s="24"/>
      <c r="M193" s="23"/>
      <c r="N193" s="23"/>
    </row>
    <row r="194" spans="1:14" ht="14.45">
      <c r="A194" s="23"/>
      <c r="B194" s="35"/>
      <c r="C194" s="23"/>
      <c r="D194" s="23"/>
      <c r="E194" s="23"/>
      <c r="F194" s="23"/>
      <c r="G194" s="23"/>
      <c r="H194" s="23"/>
      <c r="I194" s="24"/>
      <c r="J194" s="23"/>
      <c r="K194" s="23"/>
      <c r="L194" s="24"/>
      <c r="M194" s="23"/>
      <c r="N194" s="23"/>
    </row>
    <row r="195" spans="1:14" ht="14.45">
      <c r="A195" s="23"/>
      <c r="B195" s="35"/>
      <c r="C195" s="23"/>
      <c r="D195" s="23"/>
      <c r="E195" s="23"/>
      <c r="F195" s="23"/>
      <c r="G195" s="23"/>
      <c r="H195" s="23"/>
      <c r="I195" s="24"/>
      <c r="J195" s="23"/>
      <c r="K195" s="23"/>
      <c r="L195" s="24"/>
      <c r="M195" s="23"/>
      <c r="N195" s="23"/>
    </row>
    <row r="196" spans="1:14" ht="14.45">
      <c r="A196" s="23"/>
      <c r="B196" s="35"/>
      <c r="C196" s="23"/>
      <c r="D196" s="23"/>
      <c r="E196" s="23"/>
      <c r="F196" s="23"/>
      <c r="G196" s="23"/>
      <c r="H196" s="23"/>
      <c r="I196" s="24"/>
      <c r="J196" s="23"/>
      <c r="K196" s="23"/>
      <c r="L196" s="24"/>
      <c r="M196" s="23"/>
      <c r="N196" s="23"/>
    </row>
    <row r="197" spans="1:14" ht="14.45">
      <c r="A197" s="23"/>
      <c r="B197" s="35"/>
      <c r="C197" s="23"/>
      <c r="D197" s="23"/>
      <c r="E197" s="23"/>
      <c r="F197" s="23"/>
      <c r="G197" s="23"/>
      <c r="H197" s="23"/>
      <c r="I197" s="24"/>
      <c r="J197" s="23"/>
      <c r="K197" s="23"/>
      <c r="L197" s="24"/>
      <c r="M197" s="23"/>
      <c r="N197" s="23"/>
    </row>
    <row r="198" spans="1:14" ht="14.45">
      <c r="A198" s="23"/>
      <c r="B198" s="35"/>
      <c r="C198" s="23"/>
      <c r="D198" s="23"/>
      <c r="E198" s="23"/>
      <c r="F198" s="23"/>
      <c r="G198" s="23"/>
      <c r="H198" s="23"/>
      <c r="I198" s="24"/>
      <c r="J198" s="23"/>
      <c r="K198" s="23"/>
      <c r="L198" s="24"/>
      <c r="M198" s="23"/>
      <c r="N198" s="23"/>
    </row>
    <row r="199" spans="1:14" ht="14.45">
      <c r="A199" s="23"/>
      <c r="B199" s="35"/>
      <c r="C199" s="23"/>
      <c r="D199" s="23"/>
      <c r="E199" s="23"/>
      <c r="F199" s="23"/>
      <c r="G199" s="23"/>
      <c r="H199" s="23"/>
      <c r="I199" s="24"/>
      <c r="J199" s="23"/>
      <c r="K199" s="23"/>
      <c r="L199" s="24"/>
      <c r="M199" s="23"/>
      <c r="N199" s="23"/>
    </row>
    <row r="200" spans="1:14" ht="14.45">
      <c r="A200" s="23"/>
      <c r="B200" s="35"/>
      <c r="C200" s="23"/>
      <c r="D200" s="23"/>
      <c r="E200" s="23"/>
      <c r="F200" s="23"/>
      <c r="G200" s="23"/>
      <c r="H200" s="23"/>
      <c r="I200" s="24"/>
      <c r="J200" s="23"/>
      <c r="K200" s="23"/>
      <c r="L200" s="24"/>
      <c r="M200" s="23"/>
      <c r="N200" s="23"/>
    </row>
    <row r="201" spans="1:14" ht="14.45">
      <c r="A201" s="23"/>
      <c r="B201" s="35"/>
      <c r="C201" s="23"/>
      <c r="D201" s="23"/>
      <c r="E201" s="23"/>
      <c r="F201" s="23"/>
      <c r="G201" s="23"/>
      <c r="H201" s="23"/>
      <c r="I201" s="24"/>
      <c r="J201" s="23"/>
      <c r="K201" s="23"/>
      <c r="L201" s="24"/>
      <c r="M201" s="23"/>
      <c r="N201" s="23"/>
    </row>
    <row r="202" spans="1:14" ht="14.45">
      <c r="A202" s="23"/>
      <c r="B202" s="35"/>
      <c r="C202" s="23"/>
      <c r="D202" s="23"/>
      <c r="E202" s="23"/>
      <c r="F202" s="23"/>
      <c r="G202" s="23"/>
      <c r="H202" s="23"/>
      <c r="I202" s="24"/>
      <c r="J202" s="23"/>
      <c r="K202" s="23"/>
      <c r="L202" s="24"/>
      <c r="M202" s="23"/>
      <c r="N202" s="23"/>
    </row>
    <row r="203" spans="1:14" ht="14.45">
      <c r="A203" s="23"/>
      <c r="B203" s="35"/>
      <c r="C203" s="23"/>
      <c r="D203" s="23"/>
      <c r="E203" s="23"/>
      <c r="F203" s="23"/>
      <c r="G203" s="23"/>
      <c r="H203" s="23"/>
      <c r="I203" s="24"/>
      <c r="J203" s="23"/>
      <c r="K203" s="23"/>
      <c r="L203" s="24"/>
      <c r="M203" s="23"/>
      <c r="N203" s="23"/>
    </row>
    <row r="204" spans="1:14" ht="14.45">
      <c r="A204" s="23"/>
      <c r="B204" s="35"/>
      <c r="C204" s="23"/>
      <c r="D204" s="23"/>
      <c r="E204" s="23"/>
      <c r="F204" s="23"/>
      <c r="G204" s="23"/>
      <c r="H204" s="23"/>
      <c r="I204" s="24"/>
      <c r="J204" s="23"/>
      <c r="K204" s="23"/>
      <c r="L204" s="24"/>
      <c r="M204" s="23"/>
      <c r="N204" s="23"/>
    </row>
    <row r="205" spans="1:14" ht="14.45">
      <c r="A205" s="23"/>
      <c r="B205" s="35"/>
      <c r="C205" s="23"/>
      <c r="D205" s="23"/>
      <c r="E205" s="23"/>
      <c r="F205" s="23"/>
      <c r="G205" s="23"/>
      <c r="H205" s="23"/>
      <c r="I205" s="24"/>
      <c r="J205" s="23"/>
      <c r="K205" s="23"/>
      <c r="L205" s="24"/>
      <c r="M205" s="23"/>
      <c r="N205" s="23"/>
    </row>
    <row r="206" spans="1:14" ht="14.45">
      <c r="A206" s="23"/>
      <c r="B206" s="35"/>
      <c r="C206" s="23"/>
      <c r="D206" s="23"/>
      <c r="E206" s="23"/>
      <c r="F206" s="23"/>
      <c r="G206" s="23"/>
      <c r="H206" s="23"/>
      <c r="I206" s="24"/>
      <c r="J206" s="23"/>
      <c r="K206" s="23"/>
      <c r="L206" s="24"/>
      <c r="M206" s="23"/>
      <c r="N206" s="23"/>
    </row>
    <row r="207" spans="1:14" ht="14.45">
      <c r="A207" s="23"/>
      <c r="B207" s="35"/>
      <c r="C207" s="23"/>
      <c r="D207" s="23"/>
      <c r="E207" s="23"/>
      <c r="F207" s="23"/>
      <c r="G207" s="23"/>
      <c r="H207" s="23"/>
      <c r="I207" s="24"/>
      <c r="J207" s="23"/>
      <c r="K207" s="23"/>
      <c r="L207" s="24"/>
      <c r="M207" s="23"/>
      <c r="N207" s="23"/>
    </row>
    <row r="208" spans="1:14" ht="14.45">
      <c r="A208" s="23"/>
      <c r="B208" s="35"/>
      <c r="C208" s="23"/>
      <c r="D208" s="23"/>
      <c r="E208" s="23"/>
      <c r="F208" s="23"/>
      <c r="G208" s="23"/>
      <c r="H208" s="23"/>
      <c r="I208" s="24"/>
      <c r="J208" s="23"/>
      <c r="K208" s="23"/>
      <c r="L208" s="24"/>
      <c r="M208" s="23"/>
      <c r="N208" s="23"/>
    </row>
    <row r="209" spans="1:14" ht="14.45">
      <c r="A209" s="23"/>
      <c r="B209" s="35"/>
      <c r="C209" s="23"/>
      <c r="D209" s="23"/>
      <c r="E209" s="23"/>
      <c r="F209" s="23"/>
      <c r="G209" s="23"/>
      <c r="H209" s="23"/>
      <c r="I209" s="24"/>
      <c r="J209" s="23"/>
      <c r="K209" s="23"/>
      <c r="L209" s="24"/>
      <c r="M209" s="23"/>
      <c r="N209" s="23"/>
    </row>
    <row r="210" spans="1:14" ht="14.45">
      <c r="A210" s="23"/>
      <c r="B210" s="35"/>
      <c r="C210" s="23"/>
      <c r="D210" s="23"/>
      <c r="E210" s="23"/>
      <c r="F210" s="23"/>
      <c r="G210" s="23"/>
      <c r="H210" s="23"/>
      <c r="I210" s="24"/>
      <c r="J210" s="23"/>
      <c r="K210" s="23"/>
      <c r="L210" s="24"/>
      <c r="M210" s="23"/>
      <c r="N210" s="23"/>
    </row>
    <row r="211" spans="1:14" ht="14.45">
      <c r="A211" s="23"/>
      <c r="B211" s="35"/>
      <c r="C211" s="23"/>
      <c r="D211" s="23"/>
      <c r="E211" s="23"/>
      <c r="F211" s="23"/>
      <c r="G211" s="23"/>
      <c r="H211" s="23"/>
      <c r="I211" s="24"/>
      <c r="J211" s="23"/>
      <c r="K211" s="23"/>
      <c r="L211" s="24"/>
      <c r="M211" s="23"/>
      <c r="N211" s="23"/>
    </row>
    <row r="212" spans="1:14" ht="14.45">
      <c r="A212" s="23"/>
      <c r="B212" s="35"/>
      <c r="C212" s="23"/>
      <c r="D212" s="23"/>
      <c r="E212" s="23"/>
      <c r="F212" s="23"/>
      <c r="G212" s="23"/>
      <c r="H212" s="23"/>
      <c r="I212" s="24"/>
      <c r="J212" s="23"/>
      <c r="K212" s="23"/>
      <c r="L212" s="24"/>
      <c r="M212" s="23"/>
      <c r="N212" s="23"/>
    </row>
    <row r="213" spans="1:14" ht="14.45">
      <c r="A213" s="23"/>
      <c r="B213" s="35"/>
      <c r="C213" s="23"/>
      <c r="D213" s="23"/>
      <c r="E213" s="23"/>
      <c r="F213" s="23"/>
      <c r="G213" s="23"/>
      <c r="H213" s="23"/>
      <c r="I213" s="24"/>
      <c r="J213" s="23"/>
      <c r="K213" s="23"/>
      <c r="L213" s="24"/>
      <c r="M213" s="23"/>
      <c r="N213" s="23"/>
    </row>
    <row r="214" spans="1:14" ht="14.45">
      <c r="A214" s="23"/>
      <c r="B214" s="35"/>
      <c r="C214" s="23"/>
      <c r="D214" s="23"/>
      <c r="E214" s="23"/>
      <c r="F214" s="23"/>
      <c r="G214" s="23"/>
      <c r="H214" s="23"/>
      <c r="I214" s="24"/>
      <c r="J214" s="23"/>
      <c r="K214" s="23"/>
      <c r="L214" s="24"/>
      <c r="M214" s="23"/>
      <c r="N214" s="23"/>
    </row>
    <row r="215" spans="1:14" ht="14.45">
      <c r="A215" s="23"/>
      <c r="B215" s="35"/>
      <c r="C215" s="23"/>
      <c r="D215" s="23"/>
      <c r="E215" s="23"/>
      <c r="F215" s="23"/>
      <c r="G215" s="23"/>
      <c r="H215" s="23"/>
      <c r="I215" s="24"/>
      <c r="J215" s="23"/>
      <c r="K215" s="23"/>
      <c r="L215" s="24"/>
      <c r="M215" s="23"/>
      <c r="N215" s="23"/>
    </row>
    <row r="216" spans="1:14" ht="14.45">
      <c r="A216" s="23"/>
      <c r="B216" s="35"/>
      <c r="C216" s="23"/>
      <c r="D216" s="23"/>
      <c r="E216" s="23"/>
      <c r="F216" s="23"/>
      <c r="G216" s="23"/>
      <c r="H216" s="23"/>
      <c r="I216" s="24"/>
      <c r="J216" s="23"/>
      <c r="K216" s="23"/>
      <c r="L216" s="24"/>
      <c r="M216" s="23"/>
      <c r="N216" s="23"/>
    </row>
    <row r="217" spans="1:14" ht="14.45">
      <c r="A217" s="23"/>
      <c r="B217" s="35"/>
      <c r="C217" s="23"/>
      <c r="D217" s="23"/>
      <c r="E217" s="23"/>
      <c r="F217" s="23"/>
      <c r="G217" s="23"/>
      <c r="H217" s="23"/>
      <c r="I217" s="24"/>
      <c r="J217" s="23"/>
      <c r="K217" s="23"/>
      <c r="L217" s="24"/>
      <c r="M217" s="23"/>
      <c r="N217" s="23"/>
    </row>
    <row r="218" spans="1:14" ht="14.45">
      <c r="A218" s="23"/>
      <c r="B218" s="35"/>
      <c r="C218" s="23"/>
      <c r="D218" s="23"/>
      <c r="E218" s="23"/>
      <c r="F218" s="23"/>
      <c r="G218" s="23"/>
      <c r="H218" s="23"/>
      <c r="I218" s="24"/>
      <c r="J218" s="23"/>
      <c r="K218" s="23"/>
      <c r="L218" s="24"/>
      <c r="M218" s="23"/>
      <c r="N218" s="23"/>
    </row>
    <row r="219" spans="1:14" ht="14.45">
      <c r="A219" s="23"/>
      <c r="B219" s="35"/>
      <c r="C219" s="23"/>
      <c r="D219" s="23"/>
      <c r="E219" s="23"/>
      <c r="F219" s="23"/>
      <c r="G219" s="23"/>
      <c r="H219" s="23"/>
      <c r="I219" s="24"/>
      <c r="J219" s="23"/>
      <c r="K219" s="23"/>
      <c r="L219" s="24"/>
      <c r="M219" s="23"/>
      <c r="N219" s="23"/>
    </row>
    <row r="220" spans="1:14" ht="14.45">
      <c r="A220" s="23"/>
      <c r="B220" s="35"/>
      <c r="C220" s="23"/>
      <c r="D220" s="23"/>
      <c r="E220" s="23"/>
      <c r="F220" s="23"/>
      <c r="G220" s="23"/>
      <c r="H220" s="23"/>
      <c r="I220" s="24"/>
      <c r="J220" s="23"/>
      <c r="K220" s="23"/>
      <c r="L220" s="24"/>
      <c r="M220" s="23"/>
      <c r="N220" s="23"/>
    </row>
    <row r="221" spans="1:14" ht="14.45">
      <c r="A221" s="23"/>
      <c r="B221" s="35"/>
      <c r="C221" s="23"/>
      <c r="D221" s="23"/>
      <c r="E221" s="23"/>
      <c r="F221" s="23"/>
      <c r="G221" s="23"/>
      <c r="H221" s="23"/>
      <c r="I221" s="24"/>
      <c r="J221" s="23"/>
      <c r="K221" s="23"/>
      <c r="L221" s="24"/>
      <c r="M221" s="23"/>
      <c r="N221" s="23"/>
    </row>
    <row r="222" spans="1:14" ht="14.45">
      <c r="A222" s="23"/>
      <c r="B222" s="35"/>
      <c r="C222" s="23"/>
      <c r="D222" s="23"/>
      <c r="E222" s="23"/>
      <c r="F222" s="23"/>
      <c r="G222" s="23"/>
      <c r="H222" s="23"/>
      <c r="I222" s="24"/>
      <c r="J222" s="23"/>
      <c r="K222" s="23"/>
      <c r="L222" s="24"/>
      <c r="M222" s="23"/>
      <c r="N222" s="23"/>
    </row>
    <row r="223" spans="1:14" ht="14.45">
      <c r="A223" s="23"/>
      <c r="B223" s="35"/>
      <c r="C223" s="23"/>
      <c r="D223" s="23"/>
      <c r="E223" s="23"/>
      <c r="F223" s="23"/>
      <c r="G223" s="23"/>
      <c r="H223" s="23"/>
      <c r="I223" s="24"/>
      <c r="J223" s="23"/>
      <c r="K223" s="23"/>
      <c r="L223" s="24"/>
      <c r="M223" s="23"/>
      <c r="N223" s="23"/>
    </row>
    <row r="224" spans="1:14" ht="14.45">
      <c r="A224" s="23"/>
      <c r="B224" s="35"/>
      <c r="C224" s="23"/>
      <c r="D224" s="23"/>
      <c r="E224" s="23"/>
      <c r="F224" s="23"/>
      <c r="G224" s="23"/>
      <c r="H224" s="23"/>
      <c r="I224" s="24"/>
      <c r="J224" s="23"/>
      <c r="K224" s="23"/>
      <c r="L224" s="24"/>
      <c r="M224" s="23"/>
      <c r="N224" s="23"/>
    </row>
    <row r="225" spans="1:14" ht="14.45">
      <c r="A225" s="23"/>
      <c r="B225" s="35"/>
      <c r="C225" s="23"/>
      <c r="D225" s="23"/>
      <c r="E225" s="23"/>
      <c r="F225" s="23"/>
      <c r="G225" s="23"/>
      <c r="H225" s="23"/>
      <c r="I225" s="24"/>
      <c r="J225" s="23"/>
      <c r="K225" s="23"/>
      <c r="L225" s="24"/>
      <c r="M225" s="23"/>
      <c r="N225" s="23"/>
    </row>
    <row r="226" spans="1:14" ht="14.45">
      <c r="A226" s="23"/>
      <c r="B226" s="35"/>
      <c r="C226" s="23"/>
      <c r="D226" s="23"/>
      <c r="E226" s="23"/>
      <c r="F226" s="23"/>
      <c r="G226" s="23"/>
      <c r="H226" s="23"/>
      <c r="I226" s="24"/>
      <c r="J226" s="23"/>
      <c r="K226" s="23"/>
      <c r="L226" s="24"/>
      <c r="M226" s="23"/>
      <c r="N226" s="23"/>
    </row>
    <row r="227" spans="1:14" ht="14.45">
      <c r="A227" s="23"/>
      <c r="B227" s="35"/>
      <c r="C227" s="23"/>
      <c r="D227" s="23"/>
      <c r="E227" s="23"/>
      <c r="F227" s="23"/>
      <c r="G227" s="23"/>
      <c r="H227" s="23"/>
      <c r="I227" s="24"/>
      <c r="J227" s="23"/>
      <c r="K227" s="23"/>
      <c r="L227" s="24"/>
      <c r="M227" s="23"/>
      <c r="N227" s="23"/>
    </row>
    <row r="228" spans="1:14" ht="14.45">
      <c r="A228" s="23"/>
      <c r="B228" s="35"/>
      <c r="C228" s="23"/>
      <c r="D228" s="23"/>
      <c r="E228" s="23"/>
      <c r="F228" s="23"/>
      <c r="G228" s="23"/>
      <c r="H228" s="23"/>
      <c r="I228" s="24"/>
      <c r="J228" s="23"/>
      <c r="K228" s="23"/>
      <c r="L228" s="24"/>
      <c r="M228" s="23"/>
      <c r="N228" s="23"/>
    </row>
    <row r="229" spans="1:14" ht="14.45">
      <c r="A229" s="23"/>
      <c r="B229" s="35"/>
      <c r="C229" s="23"/>
      <c r="D229" s="23"/>
      <c r="E229" s="23"/>
      <c r="F229" s="23"/>
      <c r="G229" s="23"/>
      <c r="H229" s="23"/>
      <c r="I229" s="24"/>
      <c r="J229" s="23"/>
      <c r="K229" s="23"/>
      <c r="L229" s="24"/>
      <c r="M229" s="23"/>
      <c r="N229" s="23"/>
    </row>
    <row r="230" spans="1:14" ht="14.45">
      <c r="A230" s="23"/>
      <c r="B230" s="35"/>
      <c r="C230" s="23"/>
      <c r="D230" s="23"/>
      <c r="E230" s="23"/>
      <c r="F230" s="23"/>
      <c r="G230" s="23"/>
      <c r="H230" s="23"/>
      <c r="I230" s="24"/>
      <c r="J230" s="23"/>
      <c r="K230" s="23"/>
      <c r="L230" s="24"/>
      <c r="M230" s="23"/>
      <c r="N230" s="23"/>
    </row>
    <row r="231" spans="1:14" ht="14.45">
      <c r="A231" s="23"/>
      <c r="B231" s="35"/>
      <c r="C231" s="23"/>
      <c r="D231" s="23"/>
      <c r="E231" s="23"/>
      <c r="F231" s="23"/>
      <c r="G231" s="23"/>
      <c r="H231" s="23"/>
      <c r="I231" s="24"/>
      <c r="J231" s="23"/>
      <c r="K231" s="23"/>
      <c r="L231" s="24"/>
      <c r="M231" s="23"/>
      <c r="N231" s="23"/>
    </row>
    <row r="232" spans="1:14" ht="14.45">
      <c r="A232" s="23"/>
      <c r="B232" s="35"/>
      <c r="C232" s="23"/>
      <c r="D232" s="23"/>
      <c r="E232" s="23"/>
      <c r="F232" s="23"/>
      <c r="G232" s="23"/>
      <c r="H232" s="23"/>
      <c r="I232" s="24"/>
      <c r="J232" s="23"/>
      <c r="K232" s="23"/>
      <c r="L232" s="24"/>
      <c r="M232" s="23"/>
      <c r="N232" s="23"/>
    </row>
    <row r="233" spans="1:14" ht="14.45">
      <c r="A233" s="23"/>
      <c r="B233" s="35"/>
      <c r="C233" s="23"/>
      <c r="D233" s="23"/>
      <c r="E233" s="23"/>
      <c r="F233" s="23"/>
      <c r="G233" s="23"/>
      <c r="H233" s="23"/>
      <c r="I233" s="24"/>
      <c r="J233" s="23"/>
      <c r="K233" s="23"/>
      <c r="L233" s="24"/>
      <c r="M233" s="23"/>
      <c r="N233" s="23"/>
    </row>
    <row r="234" spans="1:14" ht="14.45">
      <c r="A234" s="23"/>
      <c r="B234" s="35"/>
      <c r="C234" s="23"/>
      <c r="D234" s="23"/>
      <c r="E234" s="23"/>
      <c r="F234" s="23"/>
      <c r="G234" s="23"/>
      <c r="H234" s="23"/>
      <c r="I234" s="24"/>
      <c r="J234" s="23"/>
      <c r="K234" s="23"/>
      <c r="L234" s="24"/>
      <c r="M234" s="23"/>
      <c r="N234" s="23"/>
    </row>
    <row r="235" spans="1:14" ht="14.45">
      <c r="A235" s="23"/>
      <c r="B235" s="35"/>
      <c r="C235" s="23"/>
      <c r="D235" s="23"/>
      <c r="E235" s="23"/>
      <c r="F235" s="23"/>
      <c r="G235" s="23"/>
      <c r="H235" s="23"/>
      <c r="I235" s="24"/>
      <c r="J235" s="23"/>
      <c r="K235" s="23"/>
      <c r="L235" s="24"/>
      <c r="M235" s="23"/>
      <c r="N235" s="23"/>
    </row>
    <row r="236" spans="1:14" ht="14.45">
      <c r="A236" s="23"/>
      <c r="B236" s="35"/>
      <c r="C236" s="23"/>
      <c r="D236" s="23"/>
      <c r="E236" s="23"/>
      <c r="F236" s="23"/>
      <c r="G236" s="23"/>
      <c r="H236" s="23"/>
      <c r="I236" s="24"/>
      <c r="J236" s="23"/>
      <c r="K236" s="23"/>
      <c r="L236" s="24"/>
      <c r="M236" s="23"/>
      <c r="N236" s="23"/>
    </row>
    <row r="237" spans="1:14" ht="14.45">
      <c r="A237" s="23"/>
      <c r="B237" s="35"/>
      <c r="C237" s="23"/>
      <c r="D237" s="23"/>
      <c r="E237" s="23"/>
      <c r="F237" s="23"/>
      <c r="G237" s="23"/>
      <c r="H237" s="23"/>
      <c r="I237" s="24"/>
      <c r="J237" s="23"/>
      <c r="K237" s="23"/>
      <c r="L237" s="24"/>
      <c r="M237" s="23"/>
      <c r="N237" s="23"/>
    </row>
    <row r="238" spans="1:14" ht="14.45">
      <c r="A238" s="23"/>
      <c r="B238" s="35"/>
      <c r="C238" s="23"/>
      <c r="D238" s="23"/>
      <c r="E238" s="23"/>
      <c r="F238" s="23"/>
      <c r="G238" s="23"/>
      <c r="H238" s="23"/>
      <c r="I238" s="24"/>
      <c r="J238" s="23"/>
      <c r="K238" s="23"/>
      <c r="L238" s="24"/>
      <c r="M238" s="23"/>
      <c r="N238" s="23"/>
    </row>
    <row r="239" spans="1:14" ht="14.45">
      <c r="A239" s="23"/>
      <c r="B239" s="35"/>
      <c r="C239" s="23"/>
      <c r="D239" s="23"/>
      <c r="E239" s="23"/>
      <c r="F239" s="23"/>
      <c r="G239" s="23"/>
      <c r="H239" s="23"/>
      <c r="I239" s="24"/>
      <c r="J239" s="23"/>
      <c r="K239" s="23"/>
      <c r="L239" s="24"/>
      <c r="M239" s="23"/>
      <c r="N239" s="23"/>
    </row>
    <row r="240" spans="1:14" ht="14.45">
      <c r="A240" s="23"/>
      <c r="B240" s="35"/>
      <c r="C240" s="23"/>
      <c r="D240" s="23"/>
      <c r="E240" s="23"/>
      <c r="F240" s="23"/>
      <c r="G240" s="23"/>
      <c r="H240" s="23"/>
      <c r="I240" s="24"/>
      <c r="J240" s="23"/>
      <c r="K240" s="23"/>
      <c r="L240" s="24"/>
      <c r="M240" s="23"/>
      <c r="N240" s="23"/>
    </row>
    <row r="241" spans="1:14" ht="14.45">
      <c r="A241" s="23"/>
      <c r="B241" s="35"/>
      <c r="C241" s="23"/>
      <c r="D241" s="23"/>
      <c r="E241" s="23"/>
      <c r="F241" s="23"/>
      <c r="G241" s="23"/>
      <c r="H241" s="23"/>
      <c r="I241" s="24"/>
      <c r="J241" s="23"/>
      <c r="K241" s="23"/>
      <c r="L241" s="24"/>
      <c r="M241" s="23"/>
      <c r="N241" s="23"/>
    </row>
    <row r="242" spans="1:14" ht="14.45">
      <c r="A242" s="23"/>
      <c r="B242" s="35"/>
      <c r="C242" s="23"/>
      <c r="D242" s="23"/>
      <c r="E242" s="23"/>
      <c r="F242" s="23"/>
      <c r="G242" s="23"/>
      <c r="H242" s="23"/>
      <c r="I242" s="24"/>
      <c r="J242" s="23"/>
      <c r="K242" s="23"/>
      <c r="L242" s="24"/>
      <c r="M242" s="23"/>
      <c r="N242" s="23"/>
    </row>
    <row r="243" spans="1:14" ht="14.45">
      <c r="A243" s="23"/>
      <c r="B243" s="35"/>
      <c r="C243" s="23"/>
      <c r="D243" s="23"/>
      <c r="E243" s="23"/>
      <c r="F243" s="23"/>
      <c r="G243" s="23"/>
      <c r="H243" s="23"/>
      <c r="I243" s="24"/>
      <c r="J243" s="23"/>
      <c r="K243" s="23"/>
      <c r="L243" s="24"/>
      <c r="M243" s="23"/>
      <c r="N243" s="23"/>
    </row>
    <row r="244" spans="1:14" ht="14.45">
      <c r="A244" s="23"/>
      <c r="B244" s="35"/>
      <c r="C244" s="23"/>
      <c r="D244" s="23"/>
      <c r="E244" s="23"/>
      <c r="F244" s="23"/>
      <c r="G244" s="23"/>
      <c r="H244" s="23"/>
      <c r="I244" s="24"/>
      <c r="J244" s="23"/>
      <c r="K244" s="23"/>
      <c r="L244" s="24"/>
      <c r="M244" s="23"/>
      <c r="N244" s="23"/>
    </row>
    <row r="245" spans="1:14" ht="14.45">
      <c r="A245" s="23"/>
      <c r="B245" s="35"/>
      <c r="C245" s="23"/>
      <c r="D245" s="23"/>
      <c r="E245" s="23"/>
      <c r="F245" s="23"/>
      <c r="G245" s="23"/>
      <c r="H245" s="23"/>
      <c r="I245" s="24"/>
      <c r="J245" s="23"/>
      <c r="K245" s="23"/>
      <c r="L245" s="24"/>
      <c r="M245" s="23"/>
      <c r="N245" s="23"/>
    </row>
    <row r="246" spans="1:14" ht="14.45">
      <c r="A246" s="23"/>
      <c r="B246" s="35"/>
      <c r="C246" s="23"/>
      <c r="D246" s="23"/>
      <c r="E246" s="23"/>
      <c r="F246" s="23"/>
      <c r="G246" s="23"/>
      <c r="H246" s="23"/>
      <c r="I246" s="24"/>
      <c r="J246" s="23"/>
      <c r="K246" s="23"/>
      <c r="L246" s="24"/>
      <c r="M246" s="23"/>
      <c r="N246" s="23"/>
    </row>
    <row r="247" spans="1:14" ht="14.45">
      <c r="A247" s="23"/>
      <c r="B247" s="35"/>
      <c r="C247" s="23"/>
      <c r="D247" s="23"/>
      <c r="E247" s="23"/>
      <c r="F247" s="23"/>
      <c r="G247" s="23"/>
      <c r="H247" s="23"/>
      <c r="I247" s="24"/>
      <c r="J247" s="23"/>
      <c r="K247" s="23"/>
      <c r="L247" s="24"/>
      <c r="M247" s="23"/>
      <c r="N247" s="23"/>
    </row>
    <row r="248" spans="1:14" ht="14.45">
      <c r="A248" s="23"/>
      <c r="B248" s="35"/>
      <c r="C248" s="23"/>
      <c r="D248" s="23"/>
      <c r="E248" s="23"/>
      <c r="F248" s="23"/>
      <c r="G248" s="23"/>
      <c r="H248" s="23"/>
      <c r="I248" s="24"/>
      <c r="J248" s="23"/>
      <c r="K248" s="23"/>
      <c r="L248" s="24"/>
      <c r="M248" s="23"/>
      <c r="N248" s="23"/>
    </row>
    <row r="249" spans="1:14" ht="14.45">
      <c r="A249" s="23"/>
      <c r="B249" s="35"/>
      <c r="C249" s="23"/>
      <c r="D249" s="23"/>
      <c r="E249" s="23"/>
      <c r="F249" s="23"/>
      <c r="G249" s="23"/>
      <c r="H249" s="23"/>
      <c r="I249" s="24"/>
      <c r="J249" s="23"/>
      <c r="K249" s="23"/>
      <c r="L249" s="24"/>
      <c r="M249" s="23"/>
      <c r="N249" s="23"/>
    </row>
    <row r="250" spans="1:14" ht="14.45">
      <c r="A250" s="23"/>
      <c r="B250" s="35"/>
      <c r="C250" s="23"/>
      <c r="D250" s="23"/>
      <c r="E250" s="23"/>
      <c r="F250" s="23"/>
      <c r="G250" s="23"/>
      <c r="H250" s="23"/>
      <c r="I250" s="24"/>
      <c r="J250" s="23"/>
      <c r="K250" s="23"/>
      <c r="L250" s="24"/>
      <c r="M250" s="23"/>
      <c r="N250" s="23"/>
    </row>
    <row r="251" spans="1:14" ht="14.45">
      <c r="A251" s="23"/>
      <c r="B251" s="35"/>
      <c r="C251" s="23"/>
      <c r="D251" s="23"/>
      <c r="E251" s="23"/>
      <c r="F251" s="23"/>
      <c r="G251" s="23"/>
      <c r="H251" s="23"/>
      <c r="I251" s="24"/>
      <c r="J251" s="23"/>
      <c r="K251" s="23"/>
      <c r="L251" s="24"/>
      <c r="M251" s="23"/>
      <c r="N251" s="23"/>
    </row>
    <row r="252" spans="1:14" ht="14.45">
      <c r="A252" s="23"/>
      <c r="B252" s="35"/>
      <c r="C252" s="23"/>
      <c r="D252" s="23"/>
      <c r="E252" s="23"/>
      <c r="F252" s="23"/>
      <c r="G252" s="23"/>
      <c r="H252" s="23"/>
      <c r="I252" s="24"/>
      <c r="J252" s="23"/>
      <c r="K252" s="23"/>
      <c r="L252" s="24"/>
      <c r="M252" s="23"/>
      <c r="N252" s="23"/>
    </row>
    <row r="253" spans="1:14" ht="14.45">
      <c r="A253" s="23"/>
      <c r="B253" s="35"/>
      <c r="C253" s="23"/>
      <c r="D253" s="23"/>
      <c r="E253" s="23"/>
      <c r="F253" s="23"/>
      <c r="G253" s="23"/>
      <c r="H253" s="23"/>
      <c r="I253" s="24"/>
      <c r="J253" s="23"/>
      <c r="K253" s="23"/>
      <c r="L253" s="24"/>
      <c r="M253" s="23"/>
      <c r="N253" s="23"/>
    </row>
    <row r="254" spans="1:14" ht="14.45">
      <c r="A254" s="23"/>
      <c r="B254" s="35"/>
      <c r="C254" s="23"/>
      <c r="D254" s="23"/>
      <c r="E254" s="23"/>
      <c r="F254" s="23"/>
      <c r="G254" s="23"/>
      <c r="H254" s="23"/>
      <c r="I254" s="24"/>
      <c r="J254" s="23"/>
      <c r="K254" s="23"/>
      <c r="L254" s="24"/>
      <c r="M254" s="23"/>
      <c r="N254" s="23"/>
    </row>
    <row r="255" spans="1:14" ht="14.45">
      <c r="A255" s="23"/>
      <c r="B255" s="35"/>
      <c r="C255" s="23"/>
      <c r="D255" s="23"/>
      <c r="E255" s="23"/>
      <c r="F255" s="23"/>
      <c r="G255" s="23"/>
      <c r="H255" s="23"/>
      <c r="I255" s="24"/>
      <c r="J255" s="23"/>
      <c r="K255" s="23"/>
      <c r="L255" s="24"/>
      <c r="M255" s="23"/>
      <c r="N255" s="23"/>
    </row>
    <row r="256" spans="1:14" ht="14.45">
      <c r="A256" s="23"/>
      <c r="B256" s="35"/>
      <c r="C256" s="23"/>
      <c r="D256" s="23"/>
      <c r="E256" s="23"/>
      <c r="F256" s="23"/>
      <c r="G256" s="23"/>
      <c r="H256" s="23"/>
      <c r="I256" s="24"/>
      <c r="J256" s="23"/>
      <c r="K256" s="23"/>
      <c r="L256" s="24"/>
      <c r="M256" s="23"/>
      <c r="N256" s="23"/>
    </row>
    <row r="257" spans="1:14" ht="14.45">
      <c r="A257" s="23"/>
      <c r="B257" s="35"/>
      <c r="C257" s="23"/>
      <c r="D257" s="23"/>
      <c r="E257" s="23"/>
      <c r="F257" s="23"/>
      <c r="G257" s="23"/>
      <c r="H257" s="23"/>
      <c r="I257" s="24"/>
      <c r="J257" s="23"/>
      <c r="K257" s="23"/>
      <c r="L257" s="24"/>
      <c r="M257" s="23"/>
      <c r="N257" s="23"/>
    </row>
    <row r="258" spans="1:14" ht="14.45">
      <c r="A258" s="23"/>
      <c r="B258" s="35"/>
      <c r="C258" s="23"/>
      <c r="D258" s="23"/>
      <c r="E258" s="23"/>
      <c r="F258" s="23"/>
      <c r="G258" s="23"/>
      <c r="H258" s="23"/>
      <c r="I258" s="24"/>
      <c r="J258" s="23"/>
      <c r="K258" s="23"/>
      <c r="L258" s="24"/>
      <c r="M258" s="23"/>
      <c r="N258" s="23"/>
    </row>
    <row r="259" spans="1:14" ht="14.45">
      <c r="A259" s="23"/>
      <c r="B259" s="35"/>
      <c r="C259" s="23"/>
      <c r="D259" s="23"/>
      <c r="E259" s="23"/>
      <c r="F259" s="23"/>
      <c r="G259" s="23"/>
      <c r="H259" s="23"/>
      <c r="I259" s="24"/>
      <c r="J259" s="23"/>
      <c r="K259" s="23"/>
      <c r="L259" s="24"/>
      <c r="M259" s="23"/>
      <c r="N259" s="23"/>
    </row>
    <row r="260" spans="1:14" ht="14.45">
      <c r="A260" s="23"/>
      <c r="B260" s="35"/>
      <c r="C260" s="23"/>
      <c r="D260" s="23"/>
      <c r="E260" s="23"/>
      <c r="F260" s="23"/>
      <c r="G260" s="23"/>
      <c r="H260" s="23"/>
      <c r="I260" s="24"/>
      <c r="J260" s="23"/>
      <c r="K260" s="23"/>
      <c r="L260" s="24"/>
      <c r="M260" s="23"/>
      <c r="N260" s="23"/>
    </row>
    <row r="261" spans="1:14" ht="14.45">
      <c r="A261" s="23"/>
      <c r="B261" s="35"/>
      <c r="C261" s="23"/>
      <c r="D261" s="23"/>
      <c r="E261" s="23"/>
      <c r="F261" s="23"/>
      <c r="G261" s="23"/>
      <c r="H261" s="23"/>
      <c r="I261" s="24"/>
      <c r="J261" s="23"/>
      <c r="K261" s="23"/>
      <c r="L261" s="24"/>
      <c r="M261" s="23"/>
      <c r="N261" s="23"/>
    </row>
    <row r="262" spans="1:14" ht="14.45">
      <c r="A262" s="23"/>
      <c r="B262" s="35"/>
      <c r="C262" s="23"/>
      <c r="D262" s="23"/>
      <c r="E262" s="23"/>
      <c r="F262" s="23"/>
      <c r="G262" s="23"/>
      <c r="H262" s="23"/>
      <c r="I262" s="24"/>
      <c r="J262" s="23"/>
      <c r="K262" s="23"/>
      <c r="L262" s="24"/>
      <c r="M262" s="23"/>
      <c r="N262" s="23"/>
    </row>
    <row r="263" spans="1:14" ht="14.45">
      <c r="A263" s="23"/>
      <c r="B263" s="35"/>
      <c r="C263" s="23"/>
      <c r="D263" s="23"/>
      <c r="E263" s="23"/>
      <c r="F263" s="23"/>
      <c r="G263" s="23"/>
      <c r="H263" s="23"/>
      <c r="I263" s="24"/>
      <c r="J263" s="23"/>
      <c r="K263" s="23"/>
      <c r="L263" s="24"/>
      <c r="M263" s="23"/>
      <c r="N263" s="23"/>
    </row>
    <row r="264" spans="1:14" ht="14.45">
      <c r="A264" s="23"/>
      <c r="B264" s="35"/>
      <c r="C264" s="23"/>
      <c r="D264" s="23"/>
      <c r="E264" s="23"/>
      <c r="F264" s="23"/>
      <c r="G264" s="23"/>
      <c r="H264" s="23"/>
      <c r="I264" s="24"/>
      <c r="J264" s="23"/>
      <c r="K264" s="23"/>
      <c r="L264" s="24"/>
      <c r="M264" s="23"/>
      <c r="N264" s="23"/>
    </row>
    <row r="265" spans="1:14" ht="14.45">
      <c r="A265" s="23"/>
      <c r="B265" s="35"/>
      <c r="C265" s="23"/>
      <c r="D265" s="23"/>
      <c r="E265" s="23"/>
      <c r="F265" s="23"/>
      <c r="G265" s="23"/>
      <c r="H265" s="23"/>
      <c r="I265" s="24"/>
      <c r="J265" s="23"/>
      <c r="K265" s="23"/>
      <c r="L265" s="24"/>
      <c r="M265" s="23"/>
      <c r="N265" s="23"/>
    </row>
    <row r="266" spans="1:14" ht="14.45">
      <c r="A266" s="23"/>
      <c r="B266" s="35"/>
      <c r="C266" s="23"/>
      <c r="D266" s="23"/>
      <c r="E266" s="23"/>
      <c r="F266" s="23"/>
      <c r="G266" s="23"/>
      <c r="H266" s="23"/>
      <c r="I266" s="24"/>
      <c r="J266" s="23"/>
      <c r="K266" s="23"/>
      <c r="L266" s="24"/>
      <c r="M266" s="23"/>
      <c r="N266" s="23"/>
    </row>
    <row r="267" spans="1:14" ht="14.45">
      <c r="A267" s="23"/>
      <c r="B267" s="35"/>
      <c r="C267" s="23"/>
      <c r="D267" s="23"/>
      <c r="E267" s="23"/>
      <c r="F267" s="23"/>
      <c r="G267" s="23"/>
      <c r="H267" s="23"/>
      <c r="I267" s="24"/>
      <c r="J267" s="23"/>
      <c r="K267" s="23"/>
      <c r="L267" s="24"/>
      <c r="M267" s="23"/>
      <c r="N267" s="23"/>
    </row>
    <row r="268" spans="1:14" ht="14.45">
      <c r="A268" s="23"/>
      <c r="B268" s="35"/>
      <c r="C268" s="23"/>
      <c r="D268" s="23"/>
      <c r="E268" s="23"/>
      <c r="F268" s="23"/>
      <c r="G268" s="23"/>
      <c r="H268" s="23"/>
      <c r="I268" s="24"/>
      <c r="J268" s="23"/>
      <c r="K268" s="23"/>
      <c r="L268" s="24"/>
      <c r="M268" s="23"/>
      <c r="N268" s="23"/>
    </row>
    <row r="269" spans="1:14" ht="14.45">
      <c r="A269" s="23"/>
      <c r="B269" s="35"/>
      <c r="C269" s="23"/>
      <c r="D269" s="23"/>
      <c r="E269" s="23"/>
      <c r="F269" s="23"/>
      <c r="G269" s="23"/>
      <c r="H269" s="23"/>
      <c r="I269" s="24"/>
      <c r="J269" s="23"/>
      <c r="K269" s="23"/>
      <c r="L269" s="24"/>
      <c r="M269" s="23"/>
      <c r="N269" s="23"/>
    </row>
    <row r="270" spans="1:14" ht="14.45">
      <c r="A270" s="23"/>
      <c r="B270" s="35"/>
      <c r="C270" s="23"/>
      <c r="D270" s="23"/>
      <c r="E270" s="23"/>
      <c r="F270" s="23"/>
      <c r="G270" s="23"/>
      <c r="H270" s="23"/>
      <c r="I270" s="24"/>
      <c r="J270" s="23"/>
      <c r="K270" s="23"/>
      <c r="L270" s="24"/>
      <c r="M270" s="23"/>
      <c r="N270" s="23"/>
    </row>
    <row r="271" spans="1:14" ht="14.45">
      <c r="A271" s="23"/>
      <c r="B271" s="35"/>
      <c r="C271" s="23"/>
      <c r="D271" s="23"/>
      <c r="E271" s="23"/>
      <c r="F271" s="23"/>
      <c r="G271" s="23"/>
      <c r="H271" s="23"/>
      <c r="I271" s="24"/>
      <c r="J271" s="23"/>
      <c r="K271" s="23"/>
      <c r="L271" s="24"/>
      <c r="M271" s="23"/>
      <c r="N271" s="23"/>
    </row>
    <row r="272" spans="1:14" ht="14.45">
      <c r="A272" s="23"/>
      <c r="B272" s="35"/>
      <c r="C272" s="23"/>
      <c r="D272" s="23"/>
      <c r="E272" s="23"/>
      <c r="F272" s="23"/>
      <c r="G272" s="23"/>
      <c r="H272" s="23"/>
      <c r="I272" s="24"/>
      <c r="J272" s="23"/>
      <c r="K272" s="23"/>
      <c r="L272" s="24"/>
      <c r="M272" s="23"/>
      <c r="N272" s="23"/>
    </row>
    <row r="273" spans="1:14" ht="14.45">
      <c r="A273" s="23"/>
      <c r="B273" s="35"/>
      <c r="C273" s="23"/>
      <c r="D273" s="23"/>
      <c r="E273" s="23"/>
      <c r="F273" s="23"/>
      <c r="G273" s="23"/>
      <c r="H273" s="23"/>
      <c r="I273" s="24"/>
      <c r="J273" s="23"/>
      <c r="K273" s="23"/>
      <c r="L273" s="24"/>
      <c r="M273" s="23"/>
      <c r="N273" s="23"/>
    </row>
    <row r="274" spans="1:14" ht="14.45">
      <c r="A274" s="23"/>
      <c r="B274" s="35"/>
      <c r="C274" s="23"/>
      <c r="D274" s="23"/>
      <c r="E274" s="23"/>
      <c r="F274" s="23"/>
      <c r="G274" s="23"/>
      <c r="H274" s="23"/>
      <c r="I274" s="24"/>
      <c r="J274" s="23"/>
      <c r="K274" s="23"/>
      <c r="L274" s="24"/>
      <c r="M274" s="23"/>
      <c r="N274" s="23"/>
    </row>
    <row r="275" spans="1:14" ht="14.45">
      <c r="A275" s="23"/>
      <c r="B275" s="35"/>
      <c r="C275" s="23"/>
      <c r="D275" s="23"/>
      <c r="E275" s="23"/>
      <c r="F275" s="23"/>
      <c r="G275" s="23"/>
      <c r="H275" s="23"/>
      <c r="I275" s="24"/>
      <c r="J275" s="23"/>
      <c r="K275" s="23"/>
      <c r="L275" s="24"/>
      <c r="M275" s="23"/>
      <c r="N275" s="23"/>
    </row>
    <row r="276" spans="1:14" ht="14.45">
      <c r="A276" s="23"/>
      <c r="B276" s="35"/>
      <c r="C276" s="23"/>
      <c r="D276" s="23"/>
      <c r="E276" s="23"/>
      <c r="F276" s="23"/>
      <c r="G276" s="23"/>
      <c r="H276" s="23"/>
      <c r="I276" s="24"/>
      <c r="J276" s="23"/>
      <c r="K276" s="23"/>
      <c r="L276" s="24"/>
      <c r="M276" s="23"/>
      <c r="N276" s="23"/>
    </row>
    <row r="277" spans="1:14" ht="14.45">
      <c r="A277" s="23"/>
      <c r="B277" s="35"/>
      <c r="C277" s="23"/>
      <c r="D277" s="23"/>
      <c r="E277" s="23"/>
      <c r="F277" s="23"/>
      <c r="G277" s="23"/>
      <c r="H277" s="23"/>
      <c r="I277" s="24"/>
      <c r="J277" s="23"/>
      <c r="K277" s="23"/>
      <c r="L277" s="24"/>
      <c r="M277" s="23"/>
      <c r="N277" s="23"/>
    </row>
    <row r="278" spans="1:14" ht="14.45">
      <c r="A278" s="23"/>
      <c r="B278" s="35"/>
      <c r="C278" s="23"/>
      <c r="D278" s="23"/>
      <c r="E278" s="23"/>
      <c r="F278" s="23"/>
      <c r="G278" s="23"/>
      <c r="H278" s="23"/>
      <c r="I278" s="24"/>
      <c r="J278" s="23"/>
      <c r="K278" s="23"/>
      <c r="L278" s="24"/>
      <c r="M278" s="23"/>
      <c r="N278" s="23"/>
    </row>
    <row r="279" spans="1:14" ht="14.45">
      <c r="A279" s="23"/>
      <c r="B279" s="35"/>
      <c r="C279" s="23"/>
      <c r="D279" s="23"/>
      <c r="E279" s="23"/>
      <c r="F279" s="23"/>
      <c r="G279" s="23"/>
      <c r="H279" s="23"/>
      <c r="I279" s="24"/>
      <c r="J279" s="23"/>
      <c r="K279" s="23"/>
      <c r="L279" s="24"/>
      <c r="M279" s="23"/>
      <c r="N279" s="23"/>
    </row>
    <row r="280" spans="1:14" ht="14.45">
      <c r="A280" s="23"/>
      <c r="B280" s="35"/>
      <c r="C280" s="23"/>
      <c r="D280" s="23"/>
      <c r="E280" s="23"/>
      <c r="F280" s="23"/>
      <c r="G280" s="23"/>
      <c r="H280" s="23"/>
      <c r="I280" s="24"/>
      <c r="J280" s="23"/>
      <c r="K280" s="23"/>
      <c r="L280" s="24"/>
      <c r="M280" s="23"/>
      <c r="N280" s="23"/>
    </row>
    <row r="281" spans="1:14" ht="14.45">
      <c r="A281" s="23"/>
      <c r="B281" s="35"/>
      <c r="C281" s="23"/>
      <c r="D281" s="23"/>
      <c r="E281" s="23"/>
      <c r="F281" s="23"/>
      <c r="G281" s="23"/>
      <c r="H281" s="23"/>
      <c r="I281" s="24"/>
      <c r="J281" s="23"/>
      <c r="K281" s="23"/>
      <c r="L281" s="24"/>
      <c r="M281" s="23"/>
      <c r="N281" s="23"/>
    </row>
    <row r="282" spans="1:14" ht="14.45">
      <c r="A282" s="23"/>
      <c r="B282" s="35"/>
      <c r="C282" s="23"/>
      <c r="D282" s="23"/>
      <c r="E282" s="23"/>
      <c r="F282" s="23"/>
      <c r="G282" s="23"/>
      <c r="H282" s="23"/>
      <c r="I282" s="24"/>
      <c r="J282" s="23"/>
      <c r="K282" s="23"/>
      <c r="L282" s="24"/>
      <c r="M282" s="23"/>
      <c r="N282" s="23"/>
    </row>
    <row r="283" spans="1:14" ht="14.45">
      <c r="A283" s="23"/>
      <c r="B283" s="35"/>
      <c r="C283" s="23"/>
      <c r="D283" s="23"/>
      <c r="E283" s="23"/>
      <c r="F283" s="23"/>
      <c r="G283" s="23"/>
      <c r="H283" s="23"/>
      <c r="I283" s="24"/>
      <c r="J283" s="23"/>
      <c r="K283" s="23"/>
      <c r="L283" s="24"/>
      <c r="M283" s="23"/>
      <c r="N283" s="23"/>
    </row>
    <row r="284" spans="1:14" ht="14.45">
      <c r="A284" s="23"/>
      <c r="B284" s="35"/>
      <c r="C284" s="23"/>
      <c r="D284" s="23"/>
      <c r="E284" s="23"/>
      <c r="F284" s="23"/>
      <c r="G284" s="23"/>
      <c r="H284" s="23"/>
      <c r="I284" s="24"/>
      <c r="J284" s="23"/>
      <c r="K284" s="23"/>
      <c r="L284" s="24"/>
      <c r="M284" s="23"/>
      <c r="N284" s="23"/>
    </row>
    <row r="285" spans="1:14" ht="14.45">
      <c r="A285" s="23"/>
      <c r="B285" s="35"/>
      <c r="C285" s="23"/>
      <c r="D285" s="23"/>
      <c r="E285" s="23"/>
      <c r="F285" s="23"/>
      <c r="G285" s="23"/>
      <c r="H285" s="23"/>
      <c r="I285" s="24"/>
      <c r="J285" s="23"/>
      <c r="K285" s="23"/>
      <c r="L285" s="24"/>
      <c r="M285" s="23"/>
      <c r="N285" s="23"/>
    </row>
    <row r="286" spans="1:14" ht="14.45">
      <c r="A286" s="23"/>
      <c r="B286" s="35"/>
      <c r="C286" s="23"/>
      <c r="D286" s="23"/>
      <c r="E286" s="23"/>
      <c r="F286" s="23"/>
      <c r="G286" s="23"/>
      <c r="H286" s="23"/>
      <c r="I286" s="24"/>
      <c r="J286" s="23"/>
      <c r="K286" s="23"/>
      <c r="L286" s="24"/>
      <c r="M286" s="23"/>
      <c r="N286" s="23"/>
    </row>
    <row r="287" spans="1:14" ht="14.45">
      <c r="A287" s="23"/>
      <c r="B287" s="35"/>
      <c r="C287" s="23"/>
      <c r="D287" s="23"/>
      <c r="E287" s="23"/>
      <c r="F287" s="23"/>
      <c r="G287" s="23"/>
      <c r="H287" s="23"/>
      <c r="I287" s="24"/>
      <c r="J287" s="23"/>
      <c r="K287" s="23"/>
      <c r="L287" s="24"/>
      <c r="M287" s="23"/>
      <c r="N287" s="23"/>
    </row>
    <row r="288" spans="1:14" ht="14.45">
      <c r="A288" s="23"/>
      <c r="B288" s="35"/>
      <c r="C288" s="23"/>
      <c r="D288" s="23"/>
      <c r="E288" s="23"/>
      <c r="F288" s="23"/>
      <c r="G288" s="23"/>
      <c r="H288" s="23"/>
      <c r="I288" s="24"/>
      <c r="J288" s="23"/>
      <c r="K288" s="23"/>
      <c r="L288" s="24"/>
      <c r="M288" s="23"/>
      <c r="N288" s="23"/>
    </row>
    <row r="289" spans="1:14" ht="14.45">
      <c r="A289" s="23"/>
      <c r="B289" s="35"/>
      <c r="C289" s="23"/>
      <c r="D289" s="23"/>
      <c r="E289" s="23"/>
      <c r="F289" s="23"/>
      <c r="G289" s="23"/>
      <c r="H289" s="23"/>
      <c r="I289" s="24"/>
      <c r="J289" s="23"/>
      <c r="K289" s="23"/>
      <c r="L289" s="24"/>
      <c r="M289" s="23"/>
      <c r="N289" s="23"/>
    </row>
    <row r="290" spans="1:14" ht="14.45">
      <c r="A290" s="23"/>
      <c r="B290" s="35"/>
      <c r="C290" s="23"/>
      <c r="D290" s="23"/>
      <c r="E290" s="23"/>
      <c r="F290" s="23"/>
      <c r="G290" s="23"/>
      <c r="H290" s="23"/>
      <c r="I290" s="24"/>
      <c r="J290" s="23"/>
      <c r="K290" s="23"/>
      <c r="L290" s="24"/>
      <c r="M290" s="23"/>
      <c r="N290" s="23"/>
    </row>
    <row r="291" spans="1:14" ht="14.45">
      <c r="A291" s="23"/>
      <c r="B291" s="35"/>
      <c r="C291" s="23"/>
      <c r="D291" s="23"/>
      <c r="E291" s="23"/>
      <c r="F291" s="23"/>
      <c r="G291" s="23"/>
      <c r="H291" s="23"/>
      <c r="I291" s="24"/>
      <c r="J291" s="23"/>
      <c r="K291" s="23"/>
      <c r="L291" s="24"/>
      <c r="M291" s="23"/>
      <c r="N291" s="23"/>
    </row>
    <row r="292" spans="1:14" ht="14.45">
      <c r="A292" s="23"/>
      <c r="B292" s="35"/>
      <c r="C292" s="23"/>
      <c r="D292" s="23"/>
      <c r="E292" s="23"/>
      <c r="F292" s="23"/>
      <c r="G292" s="23"/>
      <c r="H292" s="23"/>
      <c r="I292" s="24"/>
      <c r="J292" s="23"/>
      <c r="K292" s="23"/>
      <c r="L292" s="24"/>
      <c r="M292" s="23"/>
      <c r="N292" s="23"/>
    </row>
    <row r="293" spans="1:14" ht="14.45">
      <c r="A293" s="23"/>
      <c r="B293" s="35"/>
      <c r="C293" s="23"/>
      <c r="D293" s="23"/>
      <c r="E293" s="23"/>
      <c r="F293" s="23"/>
      <c r="G293" s="23"/>
      <c r="H293" s="23"/>
      <c r="I293" s="24"/>
      <c r="J293" s="23"/>
      <c r="K293" s="23"/>
      <c r="L293" s="24"/>
      <c r="M293" s="23"/>
      <c r="N293" s="23"/>
    </row>
    <row r="294" spans="1:14" ht="14.45">
      <c r="A294" s="23"/>
      <c r="B294" s="35"/>
      <c r="C294" s="23"/>
      <c r="D294" s="23"/>
      <c r="E294" s="23"/>
      <c r="F294" s="23"/>
      <c r="G294" s="23"/>
      <c r="H294" s="23"/>
      <c r="I294" s="24"/>
      <c r="J294" s="23"/>
      <c r="K294" s="23"/>
      <c r="L294" s="24"/>
      <c r="M294" s="23"/>
      <c r="N294" s="23"/>
    </row>
    <row r="295" spans="1:14" ht="14.45">
      <c r="A295" s="23"/>
      <c r="B295" s="35"/>
      <c r="C295" s="23"/>
      <c r="D295" s="23"/>
      <c r="E295" s="23"/>
      <c r="F295" s="23"/>
      <c r="G295" s="23"/>
      <c r="H295" s="23"/>
      <c r="I295" s="24"/>
      <c r="J295" s="23"/>
      <c r="K295" s="23"/>
      <c r="L295" s="24"/>
      <c r="M295" s="23"/>
      <c r="N295" s="23"/>
    </row>
    <row r="296" spans="1:14" ht="14.45">
      <c r="A296" s="23"/>
      <c r="B296" s="35"/>
      <c r="C296" s="23"/>
      <c r="D296" s="23"/>
      <c r="E296" s="23"/>
      <c r="F296" s="23"/>
      <c r="G296" s="23"/>
      <c r="H296" s="23"/>
      <c r="I296" s="24"/>
      <c r="J296" s="23"/>
      <c r="K296" s="23"/>
      <c r="L296" s="24"/>
      <c r="M296" s="23"/>
      <c r="N296" s="23"/>
    </row>
    <row r="297" spans="1:14" ht="14.45">
      <c r="A297" s="23"/>
      <c r="B297" s="35"/>
      <c r="C297" s="23"/>
      <c r="D297" s="23"/>
      <c r="E297" s="23"/>
      <c r="F297" s="23"/>
      <c r="G297" s="23"/>
      <c r="H297" s="23"/>
      <c r="I297" s="24"/>
      <c r="J297" s="23"/>
      <c r="K297" s="23"/>
      <c r="L297" s="24"/>
      <c r="M297" s="23"/>
      <c r="N297" s="23"/>
    </row>
    <row r="298" spans="1:14" ht="14.45">
      <c r="A298" s="23"/>
      <c r="B298" s="35"/>
      <c r="C298" s="23"/>
      <c r="D298" s="23"/>
      <c r="E298" s="23"/>
      <c r="F298" s="23"/>
      <c r="G298" s="23"/>
      <c r="H298" s="23"/>
      <c r="I298" s="24"/>
      <c r="J298" s="23"/>
      <c r="K298" s="23"/>
      <c r="L298" s="24"/>
      <c r="M298" s="23"/>
      <c r="N298" s="23"/>
    </row>
    <row r="299" spans="1:14" ht="14.45">
      <c r="A299" s="23"/>
      <c r="B299" s="35"/>
      <c r="C299" s="23"/>
      <c r="D299" s="23"/>
      <c r="E299" s="23"/>
      <c r="F299" s="23"/>
      <c r="G299" s="23"/>
      <c r="H299" s="23"/>
      <c r="I299" s="24"/>
      <c r="J299" s="23"/>
      <c r="K299" s="23"/>
      <c r="L299" s="24"/>
      <c r="M299" s="23"/>
      <c r="N299" s="23"/>
    </row>
    <row r="300" spans="1:14" ht="14.45">
      <c r="A300" s="23"/>
      <c r="B300" s="35"/>
      <c r="C300" s="23"/>
      <c r="D300" s="23"/>
      <c r="E300" s="23"/>
      <c r="F300" s="23"/>
      <c r="G300" s="23"/>
      <c r="H300" s="23"/>
      <c r="I300" s="24"/>
      <c r="J300" s="23"/>
      <c r="K300" s="23"/>
      <c r="L300" s="24"/>
      <c r="M300" s="23"/>
      <c r="N300" s="23"/>
    </row>
    <row r="301" spans="1:14" ht="14.45">
      <c r="A301" s="23"/>
      <c r="B301" s="35"/>
      <c r="C301" s="23"/>
      <c r="D301" s="23"/>
      <c r="E301" s="23"/>
      <c r="F301" s="23"/>
      <c r="G301" s="23"/>
      <c r="H301" s="23"/>
      <c r="I301" s="24"/>
      <c r="J301" s="23"/>
      <c r="K301" s="23"/>
      <c r="L301" s="24"/>
      <c r="M301" s="23"/>
      <c r="N301" s="23"/>
    </row>
    <row r="302" spans="1:14" ht="14.45">
      <c r="A302" s="23"/>
      <c r="B302" s="35"/>
      <c r="C302" s="23"/>
      <c r="D302" s="23"/>
      <c r="E302" s="23"/>
      <c r="F302" s="23"/>
      <c r="G302" s="23"/>
      <c r="H302" s="23"/>
      <c r="I302" s="24"/>
      <c r="J302" s="23"/>
      <c r="K302" s="23"/>
      <c r="L302" s="24"/>
      <c r="M302" s="23"/>
      <c r="N302" s="23"/>
    </row>
    <row r="303" spans="1:14" ht="14.45">
      <c r="A303" s="23"/>
      <c r="B303" s="35"/>
      <c r="C303" s="23"/>
      <c r="D303" s="23"/>
      <c r="E303" s="23"/>
      <c r="F303" s="23"/>
      <c r="G303" s="23"/>
      <c r="H303" s="23"/>
      <c r="I303" s="24"/>
      <c r="J303" s="23"/>
      <c r="K303" s="23"/>
      <c r="L303" s="24"/>
      <c r="M303" s="23"/>
      <c r="N303" s="23"/>
    </row>
    <row r="304" spans="1:14" ht="14.45">
      <c r="A304" s="23"/>
      <c r="B304" s="35"/>
      <c r="C304" s="23"/>
      <c r="D304" s="23"/>
      <c r="E304" s="23"/>
      <c r="F304" s="23"/>
      <c r="G304" s="23"/>
      <c r="H304" s="23"/>
      <c r="I304" s="24"/>
      <c r="J304" s="23"/>
      <c r="K304" s="23"/>
      <c r="L304" s="24"/>
      <c r="M304" s="23"/>
      <c r="N304" s="23"/>
    </row>
    <row r="305" spans="1:14" ht="14.45">
      <c r="A305" s="23"/>
      <c r="B305" s="35"/>
      <c r="C305" s="23"/>
      <c r="D305" s="23"/>
      <c r="E305" s="23"/>
      <c r="F305" s="23"/>
      <c r="G305" s="23"/>
      <c r="H305" s="23"/>
      <c r="I305" s="24"/>
      <c r="J305" s="23"/>
      <c r="K305" s="23"/>
      <c r="L305" s="24"/>
      <c r="M305" s="23"/>
      <c r="N305" s="23"/>
    </row>
    <row r="306" spans="1:14" ht="14.45">
      <c r="A306" s="23"/>
      <c r="B306" s="35"/>
      <c r="C306" s="23"/>
      <c r="D306" s="23"/>
      <c r="E306" s="23"/>
      <c r="F306" s="23"/>
      <c r="G306" s="23"/>
      <c r="H306" s="23"/>
      <c r="I306" s="24"/>
      <c r="J306" s="23"/>
      <c r="K306" s="23"/>
      <c r="L306" s="24"/>
      <c r="M306" s="23"/>
      <c r="N306" s="23"/>
    </row>
    <row r="307" spans="1:14" ht="14.45">
      <c r="A307" s="23"/>
      <c r="B307" s="35"/>
      <c r="C307" s="23"/>
      <c r="D307" s="23"/>
      <c r="E307" s="23"/>
      <c r="F307" s="23"/>
      <c r="G307" s="23"/>
      <c r="H307" s="23"/>
      <c r="I307" s="24"/>
      <c r="J307" s="23"/>
      <c r="K307" s="23"/>
      <c r="L307" s="24"/>
      <c r="M307" s="23"/>
      <c r="N307" s="23"/>
    </row>
    <row r="308" spans="1:14" ht="14.45">
      <c r="A308" s="23"/>
      <c r="B308" s="35"/>
      <c r="C308" s="23"/>
      <c r="D308" s="23"/>
      <c r="E308" s="23"/>
      <c r="F308" s="23"/>
      <c r="G308" s="23"/>
      <c r="H308" s="23"/>
      <c r="I308" s="24"/>
      <c r="J308" s="23"/>
      <c r="K308" s="23"/>
      <c r="L308" s="24"/>
      <c r="M308" s="23"/>
      <c r="N308" s="23"/>
    </row>
    <row r="309" spans="1:14" ht="14.45">
      <c r="A309" s="23"/>
      <c r="B309" s="35"/>
      <c r="C309" s="23"/>
      <c r="D309" s="23"/>
      <c r="E309" s="23"/>
      <c r="F309" s="23"/>
      <c r="G309" s="23"/>
      <c r="H309" s="23"/>
      <c r="I309" s="24"/>
      <c r="J309" s="23"/>
      <c r="K309" s="23"/>
      <c r="L309" s="24"/>
      <c r="M309" s="23"/>
      <c r="N309" s="23"/>
    </row>
    <row r="310" spans="1:14" ht="14.45">
      <c r="A310" s="23"/>
      <c r="B310" s="35"/>
      <c r="C310" s="23"/>
      <c r="D310" s="23"/>
      <c r="E310" s="23"/>
      <c r="F310" s="23"/>
      <c r="G310" s="23"/>
      <c r="H310" s="23"/>
      <c r="I310" s="24"/>
      <c r="J310" s="23"/>
      <c r="K310" s="23"/>
      <c r="L310" s="24"/>
      <c r="M310" s="23"/>
      <c r="N310" s="23"/>
    </row>
    <row r="311" spans="1:14" ht="14.45">
      <c r="A311" s="23"/>
      <c r="B311" s="35"/>
      <c r="C311" s="23"/>
      <c r="D311" s="23"/>
      <c r="E311" s="23"/>
      <c r="F311" s="23"/>
      <c r="G311" s="23"/>
      <c r="H311" s="23"/>
      <c r="I311" s="24"/>
      <c r="J311" s="23"/>
      <c r="K311" s="23"/>
      <c r="L311" s="24"/>
      <c r="M311" s="23"/>
      <c r="N311" s="23"/>
    </row>
    <row r="312" spans="1:14" ht="14.45">
      <c r="A312" s="23"/>
      <c r="B312" s="35"/>
      <c r="C312" s="23"/>
      <c r="D312" s="23"/>
      <c r="E312" s="23"/>
      <c r="F312" s="23"/>
      <c r="G312" s="23"/>
      <c r="H312" s="23"/>
      <c r="I312" s="24"/>
      <c r="J312" s="23"/>
      <c r="K312" s="23"/>
      <c r="L312" s="24"/>
      <c r="M312" s="23"/>
      <c r="N312" s="23"/>
    </row>
    <row r="313" spans="1:14" ht="14.45">
      <c r="A313" s="23"/>
      <c r="B313" s="35"/>
      <c r="C313" s="23"/>
      <c r="D313" s="23"/>
      <c r="E313" s="23"/>
      <c r="F313" s="23"/>
      <c r="G313" s="23"/>
      <c r="H313" s="23"/>
      <c r="I313" s="24"/>
      <c r="J313" s="23"/>
      <c r="K313" s="23"/>
      <c r="L313" s="24"/>
      <c r="M313" s="23"/>
      <c r="N313" s="23"/>
    </row>
    <row r="314" spans="1:14" ht="14.45">
      <c r="A314" s="23"/>
      <c r="B314" s="35"/>
      <c r="C314" s="23"/>
      <c r="D314" s="23"/>
      <c r="E314" s="23"/>
      <c r="F314" s="23"/>
      <c r="G314" s="23"/>
      <c r="H314" s="23"/>
      <c r="I314" s="24"/>
      <c r="J314" s="23"/>
      <c r="K314" s="23"/>
      <c r="L314" s="24"/>
      <c r="M314" s="23"/>
      <c r="N314" s="23"/>
    </row>
    <row r="315" spans="1:14" ht="14.45">
      <c r="A315" s="23"/>
      <c r="B315" s="35"/>
      <c r="C315" s="23"/>
      <c r="D315" s="23"/>
      <c r="E315" s="23"/>
      <c r="F315" s="23"/>
      <c r="G315" s="23"/>
      <c r="H315" s="23"/>
      <c r="I315" s="24"/>
      <c r="J315" s="23"/>
      <c r="K315" s="23"/>
      <c r="L315" s="24"/>
      <c r="M315" s="23"/>
      <c r="N315" s="23"/>
    </row>
    <row r="316" spans="1:14" ht="14.45">
      <c r="A316" s="23"/>
      <c r="B316" s="35"/>
      <c r="C316" s="23"/>
      <c r="D316" s="23"/>
      <c r="E316" s="23"/>
      <c r="F316" s="23"/>
      <c r="G316" s="23"/>
      <c r="H316" s="23"/>
      <c r="I316" s="24"/>
      <c r="J316" s="23"/>
      <c r="K316" s="23"/>
      <c r="L316" s="24"/>
      <c r="M316" s="23"/>
      <c r="N316" s="23"/>
    </row>
    <row r="317" spans="1:14" ht="14.45">
      <c r="A317" s="23"/>
      <c r="B317" s="35"/>
      <c r="C317" s="23"/>
      <c r="D317" s="23"/>
      <c r="E317" s="23"/>
      <c r="F317" s="23"/>
      <c r="G317" s="23"/>
      <c r="H317" s="23"/>
      <c r="I317" s="24"/>
      <c r="J317" s="23"/>
      <c r="K317" s="23"/>
      <c r="L317" s="24"/>
      <c r="M317" s="23"/>
      <c r="N317" s="23"/>
    </row>
    <row r="318" spans="1:14" ht="14.45">
      <c r="A318" s="23"/>
      <c r="B318" s="35"/>
      <c r="C318" s="23"/>
      <c r="D318" s="23"/>
      <c r="E318" s="23"/>
      <c r="F318" s="23"/>
      <c r="G318" s="23"/>
      <c r="H318" s="23"/>
      <c r="I318" s="24"/>
      <c r="J318" s="23"/>
      <c r="K318" s="23"/>
      <c r="L318" s="24"/>
      <c r="M318" s="23"/>
      <c r="N318" s="23"/>
    </row>
    <row r="319" spans="1:14" ht="14.45">
      <c r="A319" s="23"/>
      <c r="B319" s="35"/>
      <c r="C319" s="23"/>
      <c r="D319" s="23"/>
      <c r="E319" s="23"/>
      <c r="F319" s="23"/>
      <c r="G319" s="23"/>
      <c r="H319" s="23"/>
      <c r="I319" s="24"/>
      <c r="J319" s="23"/>
      <c r="K319" s="23"/>
      <c r="L319" s="24"/>
      <c r="M319" s="23"/>
      <c r="N319" s="23"/>
    </row>
    <row r="320" spans="1:14" ht="14.45">
      <c r="A320" s="23"/>
      <c r="B320" s="35"/>
      <c r="C320" s="23"/>
      <c r="D320" s="23"/>
      <c r="E320" s="23"/>
      <c r="F320" s="23"/>
      <c r="G320" s="23"/>
      <c r="H320" s="23"/>
      <c r="I320" s="24"/>
      <c r="J320" s="23"/>
      <c r="K320" s="23"/>
      <c r="L320" s="24"/>
      <c r="M320" s="23"/>
      <c r="N320" s="23"/>
    </row>
    <row r="321" spans="1:14" ht="14.45">
      <c r="A321" s="23"/>
      <c r="B321" s="35"/>
      <c r="C321" s="23"/>
      <c r="D321" s="23"/>
      <c r="E321" s="23"/>
      <c r="F321" s="23"/>
      <c r="G321" s="23"/>
      <c r="H321" s="23"/>
      <c r="I321" s="24"/>
      <c r="J321" s="23"/>
      <c r="K321" s="23"/>
      <c r="L321" s="24"/>
      <c r="M321" s="23"/>
      <c r="N321" s="23"/>
    </row>
    <row r="322" spans="1:14" ht="14.45">
      <c r="A322" s="23"/>
      <c r="B322" s="35"/>
      <c r="C322" s="23"/>
      <c r="D322" s="23"/>
      <c r="E322" s="23"/>
      <c r="F322" s="23"/>
      <c r="G322" s="23"/>
      <c r="H322" s="23"/>
      <c r="I322" s="24"/>
      <c r="J322" s="23"/>
      <c r="K322" s="23"/>
      <c r="L322" s="24"/>
      <c r="M322" s="23"/>
      <c r="N322" s="23"/>
    </row>
    <row r="323" spans="1:14" ht="14.45">
      <c r="A323" s="23"/>
      <c r="B323" s="35"/>
      <c r="C323" s="23"/>
      <c r="D323" s="23"/>
      <c r="E323" s="23"/>
      <c r="F323" s="23"/>
      <c r="G323" s="23"/>
      <c r="H323" s="23"/>
      <c r="I323" s="24"/>
      <c r="J323" s="23"/>
      <c r="K323" s="23"/>
      <c r="L323" s="24"/>
      <c r="M323" s="23"/>
      <c r="N323" s="23"/>
    </row>
    <row r="324" spans="1:14" ht="14.45">
      <c r="A324" s="23"/>
      <c r="B324" s="35"/>
      <c r="C324" s="23"/>
      <c r="D324" s="23"/>
      <c r="E324" s="23"/>
      <c r="F324" s="23"/>
      <c r="G324" s="23"/>
      <c r="H324" s="23"/>
      <c r="I324" s="24"/>
      <c r="J324" s="23"/>
      <c r="K324" s="23"/>
      <c r="L324" s="24"/>
      <c r="M324" s="23"/>
      <c r="N324" s="23"/>
    </row>
    <row r="325" spans="1:14" ht="14.45">
      <c r="A325" s="23"/>
      <c r="B325" s="35"/>
      <c r="C325" s="23"/>
      <c r="D325" s="23"/>
      <c r="E325" s="23"/>
      <c r="F325" s="23"/>
      <c r="G325" s="23"/>
      <c r="H325" s="23"/>
      <c r="I325" s="24"/>
      <c r="J325" s="23"/>
      <c r="K325" s="23"/>
      <c r="L325" s="24"/>
      <c r="M325" s="23"/>
      <c r="N325" s="23"/>
    </row>
    <row r="326" spans="1:14" ht="14.45">
      <c r="A326" s="23"/>
      <c r="B326" s="35"/>
      <c r="C326" s="23"/>
      <c r="D326" s="23"/>
      <c r="E326" s="23"/>
      <c r="F326" s="23"/>
      <c r="G326" s="23"/>
      <c r="H326" s="23"/>
      <c r="I326" s="24"/>
      <c r="J326" s="23"/>
      <c r="K326" s="23"/>
      <c r="L326" s="24"/>
      <c r="M326" s="23"/>
      <c r="N326" s="23"/>
    </row>
    <row r="327" spans="1:14" ht="14.45">
      <c r="A327" s="23"/>
      <c r="B327" s="35"/>
      <c r="C327" s="23"/>
      <c r="D327" s="23"/>
      <c r="E327" s="23"/>
      <c r="F327" s="23"/>
      <c r="G327" s="23"/>
      <c r="H327" s="23"/>
      <c r="I327" s="24"/>
      <c r="J327" s="23"/>
      <c r="K327" s="23"/>
      <c r="L327" s="24"/>
      <c r="M327" s="23"/>
      <c r="N327" s="23"/>
    </row>
    <row r="328" spans="1:14" ht="14.45">
      <c r="A328" s="23"/>
      <c r="B328" s="35"/>
      <c r="C328" s="23"/>
      <c r="D328" s="23"/>
      <c r="E328" s="23"/>
      <c r="F328" s="23"/>
      <c r="G328" s="23"/>
      <c r="H328" s="23"/>
      <c r="I328" s="24"/>
      <c r="J328" s="23"/>
      <c r="K328" s="23"/>
      <c r="L328" s="24"/>
      <c r="M328" s="23"/>
      <c r="N328" s="23"/>
    </row>
    <row r="329" spans="1:14" ht="14.45">
      <c r="A329" s="23"/>
      <c r="B329" s="35"/>
      <c r="C329" s="23"/>
      <c r="D329" s="23"/>
      <c r="E329" s="23"/>
      <c r="F329" s="23"/>
      <c r="G329" s="23"/>
      <c r="H329" s="23"/>
      <c r="I329" s="24"/>
      <c r="J329" s="23"/>
      <c r="K329" s="23"/>
      <c r="L329" s="24"/>
      <c r="M329" s="23"/>
      <c r="N329" s="23"/>
    </row>
    <row r="330" spans="1:14" ht="14.45">
      <c r="A330" s="23"/>
      <c r="B330" s="35"/>
      <c r="C330" s="23"/>
      <c r="D330" s="23"/>
      <c r="E330" s="23"/>
      <c r="F330" s="23"/>
      <c r="G330" s="23"/>
      <c r="H330" s="23"/>
      <c r="I330" s="24"/>
      <c r="J330" s="23"/>
      <c r="K330" s="23"/>
      <c r="L330" s="24"/>
      <c r="M330" s="23"/>
      <c r="N330" s="23"/>
    </row>
    <row r="331" spans="1:14" ht="14.45">
      <c r="A331" s="23"/>
      <c r="B331" s="35"/>
      <c r="C331" s="23"/>
      <c r="D331" s="23"/>
      <c r="E331" s="23"/>
      <c r="F331" s="23"/>
      <c r="G331" s="23"/>
      <c r="H331" s="23"/>
      <c r="I331" s="24"/>
      <c r="J331" s="23"/>
      <c r="K331" s="23"/>
      <c r="L331" s="24"/>
      <c r="M331" s="23"/>
      <c r="N331" s="23"/>
    </row>
    <row r="332" spans="1:14" ht="14.45">
      <c r="A332" s="23"/>
      <c r="B332" s="35"/>
      <c r="C332" s="23"/>
      <c r="D332" s="23"/>
      <c r="E332" s="23"/>
      <c r="F332" s="23"/>
      <c r="G332" s="23"/>
      <c r="H332" s="23"/>
      <c r="I332" s="24"/>
      <c r="J332" s="23"/>
      <c r="K332" s="23"/>
      <c r="L332" s="24"/>
      <c r="M332" s="23"/>
      <c r="N332" s="23"/>
    </row>
    <row r="333" spans="1:14" ht="14.45">
      <c r="A333" s="23"/>
      <c r="B333" s="35"/>
      <c r="C333" s="23"/>
      <c r="D333" s="23"/>
      <c r="E333" s="23"/>
      <c r="F333" s="23"/>
      <c r="G333" s="23"/>
      <c r="H333" s="23"/>
      <c r="I333" s="24"/>
      <c r="J333" s="23"/>
      <c r="K333" s="23"/>
      <c r="L333" s="24"/>
      <c r="M333" s="23"/>
      <c r="N333" s="23"/>
    </row>
    <row r="334" spans="1:14" ht="14.45">
      <c r="A334" s="23"/>
      <c r="B334" s="35"/>
      <c r="C334" s="23"/>
      <c r="D334" s="23"/>
      <c r="E334" s="23"/>
      <c r="F334" s="23"/>
      <c r="G334" s="23"/>
      <c r="H334" s="23"/>
      <c r="I334" s="24"/>
      <c r="J334" s="23"/>
      <c r="K334" s="23"/>
      <c r="L334" s="24"/>
      <c r="M334" s="23"/>
      <c r="N334" s="23"/>
    </row>
    <row r="335" spans="1:14" ht="14.45">
      <c r="A335" s="23"/>
      <c r="B335" s="35"/>
      <c r="C335" s="23"/>
      <c r="D335" s="23"/>
      <c r="E335" s="23"/>
      <c r="F335" s="23"/>
      <c r="G335" s="23"/>
      <c r="H335" s="23"/>
      <c r="I335" s="24"/>
      <c r="J335" s="23"/>
      <c r="K335" s="23"/>
      <c r="L335" s="24"/>
      <c r="M335" s="23"/>
      <c r="N335" s="23"/>
    </row>
    <row r="336" spans="1:14" ht="14.45">
      <c r="A336" s="23"/>
      <c r="B336" s="35"/>
      <c r="C336" s="23"/>
      <c r="D336" s="23"/>
      <c r="E336" s="23"/>
      <c r="F336" s="23"/>
      <c r="G336" s="23"/>
      <c r="H336" s="23"/>
      <c r="I336" s="24"/>
      <c r="J336" s="23"/>
      <c r="K336" s="23"/>
      <c r="L336" s="24"/>
      <c r="M336" s="23"/>
      <c r="N336" s="23"/>
    </row>
    <row r="337" spans="1:14" ht="14.45">
      <c r="A337" s="23"/>
      <c r="B337" s="35"/>
      <c r="C337" s="23"/>
      <c r="D337" s="23"/>
      <c r="E337" s="23"/>
      <c r="F337" s="23"/>
      <c r="G337" s="23"/>
      <c r="H337" s="23"/>
      <c r="I337" s="24"/>
      <c r="J337" s="23"/>
      <c r="K337" s="23"/>
      <c r="L337" s="24"/>
      <c r="M337" s="23"/>
      <c r="N337" s="23"/>
    </row>
    <row r="338" spans="1:14" ht="14.45">
      <c r="A338" s="23"/>
      <c r="B338" s="35"/>
      <c r="C338" s="23"/>
      <c r="D338" s="23"/>
      <c r="E338" s="23"/>
      <c r="F338" s="23"/>
      <c r="G338" s="23"/>
      <c r="H338" s="23"/>
      <c r="I338" s="24"/>
      <c r="J338" s="23"/>
      <c r="K338" s="23"/>
      <c r="L338" s="24"/>
      <c r="M338" s="23"/>
      <c r="N338" s="23"/>
    </row>
    <row r="339" spans="1:14" ht="14.45">
      <c r="A339" s="23"/>
      <c r="B339" s="35"/>
      <c r="C339" s="23"/>
      <c r="D339" s="23"/>
      <c r="E339" s="23"/>
      <c r="F339" s="23"/>
      <c r="G339" s="23"/>
      <c r="H339" s="23"/>
      <c r="I339" s="24"/>
      <c r="J339" s="23"/>
      <c r="K339" s="23"/>
      <c r="L339" s="24"/>
      <c r="M339" s="23"/>
      <c r="N339" s="23"/>
    </row>
    <row r="340" spans="1:14" ht="14.45">
      <c r="A340" s="23"/>
      <c r="B340" s="35"/>
      <c r="C340" s="23"/>
      <c r="D340" s="23"/>
      <c r="E340" s="23"/>
      <c r="F340" s="23"/>
      <c r="G340" s="23"/>
      <c r="H340" s="23"/>
      <c r="I340" s="24"/>
      <c r="J340" s="23"/>
      <c r="K340" s="23"/>
      <c r="L340" s="24"/>
      <c r="M340" s="23"/>
      <c r="N340" s="23"/>
    </row>
    <row r="341" spans="1:14" ht="14.45">
      <c r="A341" s="23"/>
      <c r="B341" s="35"/>
      <c r="C341" s="23"/>
      <c r="D341" s="23"/>
      <c r="E341" s="23"/>
      <c r="F341" s="23"/>
      <c r="G341" s="23"/>
      <c r="H341" s="23"/>
      <c r="I341" s="24"/>
      <c r="J341" s="23"/>
      <c r="K341" s="23"/>
      <c r="L341" s="24"/>
      <c r="M341" s="23"/>
      <c r="N341" s="23"/>
    </row>
    <row r="342" spans="1:14" ht="14.45">
      <c r="C342" s="23"/>
      <c r="D342" s="23"/>
      <c r="E342" s="23"/>
      <c r="F342" s="23"/>
      <c r="G342" s="23"/>
      <c r="H342" s="23"/>
      <c r="I342" s="24"/>
      <c r="J342" s="23"/>
      <c r="K342" s="23"/>
      <c r="L342" s="24"/>
      <c r="M342" s="23"/>
      <c r="N342" s="23"/>
    </row>
  </sheetData>
  <mergeCells count="4">
    <mergeCell ref="J1:L1"/>
    <mergeCell ref="A1:C1"/>
    <mergeCell ref="G1:I1"/>
    <mergeCell ref="A2:B2"/>
  </mergeCells>
  <conditionalFormatting sqref="I2 L2 I4:I100 L4:L100">
    <cfRule type="cellIs" dxfId="14" priority="1" stopIfTrue="1" operator="lessThanOrEqual">
      <formula>-0.1</formula>
    </cfRule>
    <cfRule type="expression" dxfId="13" priority="2">
      <formula>AND(ISNUMBER(I2), I2&gt;=0.1)</formula>
    </cfRule>
  </conditionalFormatting>
  <hyperlinks>
    <hyperlink ref="N6" r:id="rId1" display="https://us3.assetplanner.com/service_request?ID=099622" xr:uid="{D7451388-43BD-418C-8D55-50E703FE9243}"/>
    <hyperlink ref="N8" r:id="rId2" display="https://us3.assetplanner.com/service_request?ID=009943" xr:uid="{98B3C1CC-5CAE-4CA7-8040-836BC5CB4EEE}"/>
    <hyperlink ref="N10" r:id="rId3" display="https://us3.assetplanner.com/service_request?ID=103832" xr:uid="{D823A470-930D-474A-B1A9-F93C5D782171}"/>
    <hyperlink ref="N11" r:id="rId4" display="https://us3.assetplanner.com/service_request?ID=099861" xr:uid="{CFCB20B5-E6DF-4DC0-B069-034E0D7AB653}"/>
    <hyperlink ref="N12" r:id="rId5" display="https://us3.assetplanner.com/service_request?ID=098674" xr:uid="{D8B1EFC2-1EBB-4D82-891B-E44F8805C787}"/>
    <hyperlink ref="N13" r:id="rId6" display="https://us3.assetplanner.com/service_request?ID=099433" xr:uid="{7723A2F2-279D-4A23-8F59-4DDBAA66F154}"/>
    <hyperlink ref="O13" r:id="rId7" display="https://us3.assetplanner.com/service_request?ID=100933" xr:uid="{1285E3F4-5DC9-4157-B45A-7F5940546BE5}"/>
    <hyperlink ref="N14" r:id="rId8" display="https://us3.assetplanner.com/service_request?ID=099231" xr:uid="{E8A77865-F2B1-4E7A-B070-742F20E87276}"/>
    <hyperlink ref="O14" r:id="rId9" display="https://us3.assetplanner.com/service_request?ID=099339" xr:uid="{67FE9812-F997-43AD-B7EF-9A00E5DA8BD1}"/>
    <hyperlink ref="N15" r:id="rId10" display="https://us3.assetplanner.com/service_request?ID=102225" xr:uid="{2538227A-E954-469F-AD7A-2A45AE579C93}"/>
    <hyperlink ref="O15" r:id="rId11" display="https://us3.assetplanner.com/service_request?ID=103154" xr:uid="{7710B2A5-73A4-4811-97D0-96C1AD9479F1}"/>
    <hyperlink ref="N17" r:id="rId12" display="https://us3.assetplanner.com/service_request?ID=097653" xr:uid="{DDA1BA78-4DEB-4923-9E8B-F2AB940186EC}"/>
    <hyperlink ref="O17" r:id="rId13" display="https://us3.assetplanner.com/service_request?ID=098986" xr:uid="{293AEB4A-77DD-483A-87B2-08CC681F0335}"/>
    <hyperlink ref="P17" r:id="rId14" display="https://us3.assetplanner.com/service_request?ID=103688" xr:uid="{883D14FF-5F79-496B-B7FA-728E5B70CA8B}"/>
    <hyperlink ref="N18" r:id="rId15" display="https://us3.assetplanner.com/service_request?ID=098874" xr:uid="{81BECEB2-24C9-43C2-AD05-DA69B1C8FBBC}"/>
    <hyperlink ref="O18" r:id="rId16" display="https://us3.assetplanner.com/service_request?ID=101694" xr:uid="{47AFA4E8-F138-46F6-9190-9191C487FFC0}"/>
    <hyperlink ref="P18" r:id="rId17" display="https://us3.assetplanner.com/service_request?ID=101694" xr:uid="{70C6F762-E690-4F02-AA51-6D61F7AF3DCB}"/>
    <hyperlink ref="N19" r:id="rId18" display="https://us3.assetplanner.com/service_request?ID=099435" xr:uid="{C2EA4649-8D88-45BA-8FFB-41AF1625E79D}"/>
    <hyperlink ref="N21" r:id="rId19" display="https://us3.assetplanner.com/service_request?ID=100428" xr:uid="{9C4FC833-21A7-4F8F-9756-911F6FBCB598}"/>
    <hyperlink ref="N22" r:id="rId20" display="https://us3.assetplanner.com/service_request?ID=101695" xr:uid="{E4F4F36B-77CF-4698-A9D9-BF8B61E4888C}"/>
    <hyperlink ref="O22" r:id="rId21" display="https://us3.assetplanner.com/service_request?ID=099704" xr:uid="{422EB8B1-F915-4D53-A360-11FB207C482A}"/>
    <hyperlink ref="N23" r:id="rId22" display="https://us3.assetplanner.com/service_request?ID=102064" xr:uid="{CF745745-09E5-4DA5-93E9-BBB166700564}"/>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M342"/>
  <sheetViews>
    <sheetView zoomScale="50" zoomScaleNormal="50" workbookViewId="0">
      <pane ySplit="2" topLeftCell="L22" activePane="bottomLeft" state="frozen"/>
      <selection pane="bottomLeft" activeCell="L49" sqref="L49"/>
      <selection activeCell="M45" sqref="M45"/>
    </sheetView>
  </sheetViews>
  <sheetFormatPr defaultRowHeight="13.9"/>
  <cols>
    <col min="1" max="1" width="35.85546875" bestFit="1" customWidth="1"/>
    <col min="2" max="2" width="8.42578125" style="36" customWidth="1"/>
    <col min="3" max="3" width="11.7109375" customWidth="1"/>
    <col min="4" max="4" width="22.7109375" bestFit="1" customWidth="1"/>
    <col min="5" max="5" width="22.7109375" customWidth="1"/>
    <col min="6" max="7" width="13.28515625" customWidth="1"/>
    <col min="8" max="8" width="13.28515625" style="1" customWidth="1"/>
    <col min="9" max="10" width="13.28515625" customWidth="1"/>
    <col min="11" max="11" width="13.28515625" style="1" customWidth="1"/>
    <col min="12" max="12" width="71.5703125" customWidth="1"/>
    <col min="13" max="13" width="23.85546875" customWidth="1"/>
  </cols>
  <sheetData>
    <row r="1" spans="1:13" ht="19.5" customHeight="1" thickBot="1">
      <c r="A1" s="129" t="str" cm="1">
        <f t="array" ref="A1">portfolio</f>
        <v>CITI</v>
      </c>
      <c r="B1" s="129"/>
      <c r="C1" s="129"/>
      <c r="D1" s="74" t="s">
        <v>0</v>
      </c>
      <c r="E1" s="75" t="s">
        <v>1</v>
      </c>
      <c r="F1" s="130" t="s">
        <v>203</v>
      </c>
      <c r="G1" s="130"/>
      <c r="H1" s="130"/>
      <c r="I1" s="128" t="s">
        <v>204</v>
      </c>
      <c r="J1" s="128"/>
      <c r="K1" s="128"/>
      <c r="L1" s="5"/>
      <c r="M1" s="5"/>
    </row>
    <row r="2" spans="1:13" ht="19.5" customHeight="1">
      <c r="A2" s="131" t="s">
        <v>4</v>
      </c>
      <c r="B2" s="131"/>
      <c r="C2" s="6">
        <f>SUM(C4:C100)</f>
        <v>0</v>
      </c>
      <c r="D2" s="6">
        <f>SUM(D3:D22)</f>
        <v>0</v>
      </c>
      <c r="E2" s="68" t="e">
        <f>C2/D2</f>
        <v>#DIV/0!</v>
      </c>
      <c r="F2" s="6">
        <f>SUM(F4:F100)</f>
        <v>0</v>
      </c>
      <c r="G2" s="6">
        <f>C2-F2</f>
        <v>0</v>
      </c>
      <c r="H2" s="7">
        <f>IFERROR(G2/F2, 0)</f>
        <v>0</v>
      </c>
      <c r="I2" s="6">
        <f>SUM(I4:I100)</f>
        <v>0</v>
      </c>
      <c r="J2" s="8">
        <f>C2-I2</f>
        <v>0</v>
      </c>
      <c r="K2" s="7">
        <f>IFERROR(J2/I2, 0)</f>
        <v>0</v>
      </c>
      <c r="L2" s="28"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M2" s="5"/>
    </row>
    <row r="3" spans="1:13" ht="14.25" customHeight="1">
      <c r="A3" s="9" t="s">
        <v>5</v>
      </c>
      <c r="B3" s="9" t="s">
        <v>6</v>
      </c>
      <c r="C3" s="25" t="s">
        <v>7</v>
      </c>
      <c r="D3" s="69"/>
      <c r="E3" s="70"/>
      <c r="F3" s="49" t="s">
        <v>8</v>
      </c>
      <c r="G3" s="49" t="s">
        <v>9</v>
      </c>
      <c r="H3" s="50" t="s">
        <v>10</v>
      </c>
      <c r="I3" s="51" t="s">
        <v>11</v>
      </c>
      <c r="J3" s="52" t="s">
        <v>9</v>
      </c>
      <c r="K3" s="53" t="s">
        <v>10</v>
      </c>
      <c r="L3" s="27" t="s">
        <v>22</v>
      </c>
      <c r="M3" s="27" t="s">
        <v>23</v>
      </c>
    </row>
    <row r="4" spans="1:13" ht="15.6">
      <c r="A4" s="34" t="str" cm="1">
        <f t="array" ref="A4:A23">Sites[Site]</f>
        <v>CA: Antioch Deer Valley - Citi</v>
      </c>
      <c r="B4" s="31" t="str" cm="1">
        <f t="array" ref="B4:B23">Sites[State]</f>
        <v>CA</v>
      </c>
      <c r="C4" s="26"/>
      <c r="D4" s="71"/>
      <c r="E4" s="82" t="e">
        <f>C4/D4</f>
        <v>#DIV/0!</v>
      </c>
      <c r="F4" s="14"/>
      <c r="G4" s="14"/>
      <c r="H4" s="15" t="str">
        <f t="shared" ref="H4:H22" si="0">IFERROR(G4/F4, "")</f>
        <v/>
      </c>
      <c r="I4" s="16"/>
      <c r="J4" s="16"/>
      <c r="K4" s="17" t="str">
        <f>IFERROR(J4/I4, "")</f>
        <v/>
      </c>
      <c r="L4" s="18"/>
      <c r="M4" s="18"/>
    </row>
    <row r="5" spans="1:13" ht="15.6">
      <c r="A5" s="32" t="str">
        <v>CA: Antioch MC CUP - Citi</v>
      </c>
      <c r="B5" s="33" t="str">
        <v>CA</v>
      </c>
      <c r="C5" s="12"/>
      <c r="D5" s="12"/>
      <c r="E5" s="80" t="e">
        <f t="shared" ref="E5:E22" si="1">C5/D5</f>
        <v>#DIV/0!</v>
      </c>
      <c r="F5" s="20"/>
      <c r="G5" s="20"/>
      <c r="H5" s="21" t="str">
        <f t="shared" si="0"/>
        <v/>
      </c>
      <c r="I5" s="22"/>
      <c r="J5" s="22"/>
      <c r="K5" s="21" t="str">
        <f t="shared" ref="K5:K15" si="2">IFERROR(J5/I5, "")</f>
        <v/>
      </c>
      <c r="L5" s="11"/>
      <c r="M5" s="19"/>
    </row>
    <row r="6" spans="1:13" ht="15.6">
      <c r="A6" s="30" t="str">
        <v>CA: Clovis - Citi</v>
      </c>
      <c r="B6" s="31" t="str">
        <v>CA</v>
      </c>
      <c r="C6" s="26"/>
      <c r="D6" s="71"/>
      <c r="E6" s="82" t="e">
        <f t="shared" si="1"/>
        <v>#DIV/0!</v>
      </c>
      <c r="F6" s="14"/>
      <c r="G6" s="14"/>
      <c r="H6" s="15" t="str">
        <f t="shared" si="0"/>
        <v/>
      </c>
      <c r="I6" s="16"/>
      <c r="J6" s="16"/>
      <c r="K6" s="17" t="str">
        <f t="shared" si="2"/>
        <v/>
      </c>
      <c r="L6" s="18"/>
      <c r="M6" s="18"/>
    </row>
    <row r="7" spans="1:13" ht="15.6">
      <c r="A7" s="32" t="str">
        <v>CA: Elk Grove MOB - Citi</v>
      </c>
      <c r="B7" s="33" t="str">
        <v>CA</v>
      </c>
      <c r="C7" s="12"/>
      <c r="D7" s="12"/>
      <c r="E7" s="80" t="e">
        <f t="shared" si="1"/>
        <v>#DIV/0!</v>
      </c>
      <c r="F7" s="20"/>
      <c r="G7" s="20"/>
      <c r="H7" s="21" t="str">
        <f t="shared" si="0"/>
        <v/>
      </c>
      <c r="I7" s="22"/>
      <c r="J7" s="22"/>
      <c r="K7" s="21" t="str">
        <f t="shared" si="2"/>
        <v/>
      </c>
      <c r="L7" s="84"/>
      <c r="M7" s="84"/>
    </row>
    <row r="8" spans="1:13" ht="15.6">
      <c r="A8" s="30" t="str">
        <v>CA: Elk Grove Promenade - Citi</v>
      </c>
      <c r="B8" s="31" t="str">
        <v>CA</v>
      </c>
      <c r="C8" s="26"/>
      <c r="D8" s="71"/>
      <c r="E8" s="82" t="e">
        <f t="shared" si="1"/>
        <v>#DIV/0!</v>
      </c>
      <c r="F8" s="14"/>
      <c r="G8" s="14"/>
      <c r="H8" s="15" t="str">
        <f t="shared" si="0"/>
        <v/>
      </c>
      <c r="I8" s="16"/>
      <c r="J8" s="16"/>
      <c r="K8" s="17" t="str">
        <f t="shared" si="2"/>
        <v/>
      </c>
      <c r="L8" s="18"/>
      <c r="M8" s="18"/>
    </row>
    <row r="9" spans="1:13" ht="15.6">
      <c r="A9" s="32" t="str">
        <v>CA: Fresno Sequioa - Citi</v>
      </c>
      <c r="B9" s="33" t="str">
        <v>CA</v>
      </c>
      <c r="C9" s="12"/>
      <c r="D9" s="12"/>
      <c r="E9" s="80" t="e">
        <f t="shared" si="1"/>
        <v>#DIV/0!</v>
      </c>
      <c r="F9" s="20"/>
      <c r="G9" s="20"/>
      <c r="H9" s="21" t="str">
        <f t="shared" si="0"/>
        <v/>
      </c>
      <c r="I9" s="22"/>
      <c r="J9" s="22"/>
      <c r="K9" s="21" t="str">
        <f t="shared" si="2"/>
        <v/>
      </c>
      <c r="L9" s="11"/>
      <c r="M9" s="19"/>
    </row>
    <row r="10" spans="1:13" ht="15.6">
      <c r="A10" s="30" t="str">
        <v>CA: Fresno MOB - Citi</v>
      </c>
      <c r="B10" s="31" t="str">
        <v>CA</v>
      </c>
      <c r="C10" s="26"/>
      <c r="D10" s="71"/>
      <c r="E10" s="82" t="e">
        <f t="shared" si="1"/>
        <v>#DIV/0!</v>
      </c>
      <c r="F10" s="14"/>
      <c r="G10" s="14"/>
      <c r="H10" s="15" t="str">
        <f t="shared" si="0"/>
        <v/>
      </c>
      <c r="I10" s="16"/>
      <c r="J10" s="16"/>
      <c r="K10" s="17" t="str">
        <f t="shared" si="2"/>
        <v/>
      </c>
      <c r="L10" s="18"/>
      <c r="M10" s="18"/>
    </row>
    <row r="11" spans="1:13" ht="15.6">
      <c r="A11" s="32" t="str">
        <v>CA: Modesto Bangs - Citi</v>
      </c>
      <c r="B11" s="33" t="str">
        <v>CA</v>
      </c>
      <c r="C11" s="12"/>
      <c r="D11" s="12"/>
      <c r="E11" s="80" t="e">
        <f t="shared" si="1"/>
        <v>#DIV/0!</v>
      </c>
      <c r="F11" s="20"/>
      <c r="G11" s="20"/>
      <c r="H11" s="21" t="str">
        <f t="shared" si="0"/>
        <v/>
      </c>
      <c r="I11" s="22"/>
      <c r="J11" s="22"/>
      <c r="K11" s="21" t="str">
        <f t="shared" si="2"/>
        <v/>
      </c>
      <c r="L11" s="84"/>
      <c r="M11" s="84"/>
    </row>
    <row r="12" spans="1:13" ht="15.6">
      <c r="A12" s="30" t="str">
        <v>CA: Napa Data Center - Citi</v>
      </c>
      <c r="B12" s="31" t="str">
        <v>CA</v>
      </c>
      <c r="C12" s="26"/>
      <c r="D12" s="71"/>
      <c r="E12" s="82" t="e">
        <f t="shared" si="1"/>
        <v>#DIV/0!</v>
      </c>
      <c r="F12" s="14"/>
      <c r="G12" s="14"/>
      <c r="H12" s="15" t="str">
        <f t="shared" si="0"/>
        <v/>
      </c>
      <c r="I12" s="16"/>
      <c r="J12" s="16"/>
      <c r="K12" s="17" t="str">
        <f t="shared" si="2"/>
        <v/>
      </c>
      <c r="L12" s="18"/>
      <c r="M12" s="18"/>
    </row>
    <row r="13" spans="1:13" ht="49.5" customHeight="1">
      <c r="A13" s="32" t="str">
        <v>CA: Petaluma MOB - Citi</v>
      </c>
      <c r="B13" s="33" t="str">
        <v>CA</v>
      </c>
      <c r="C13" s="12"/>
      <c r="D13" s="12"/>
      <c r="E13" s="80" t="e">
        <f t="shared" si="1"/>
        <v>#DIV/0!</v>
      </c>
      <c r="F13" s="20"/>
      <c r="G13" s="20"/>
      <c r="H13" s="21" t="str">
        <f t="shared" si="0"/>
        <v/>
      </c>
      <c r="I13" s="22"/>
      <c r="J13" s="22"/>
      <c r="K13" s="21" t="str">
        <f t="shared" si="2"/>
        <v/>
      </c>
      <c r="L13" s="84"/>
      <c r="M13" s="84"/>
    </row>
    <row r="14" spans="1:13" ht="15.6">
      <c r="A14" s="30" t="str">
        <v>CA: Pleasanton Tec Ctr - Citi</v>
      </c>
      <c r="B14" s="31" t="str">
        <v>CA</v>
      </c>
      <c r="C14" s="26"/>
      <c r="D14" s="71"/>
      <c r="E14" s="82" t="e">
        <f t="shared" si="1"/>
        <v>#DIV/0!</v>
      </c>
      <c r="F14" s="14"/>
      <c r="G14" s="14"/>
      <c r="H14" s="15" t="str">
        <f t="shared" si="0"/>
        <v/>
      </c>
      <c r="I14" s="16"/>
      <c r="J14" s="16"/>
      <c r="K14" s="17" t="str">
        <f t="shared" si="2"/>
        <v/>
      </c>
      <c r="L14" s="18"/>
      <c r="M14" s="18"/>
    </row>
    <row r="15" spans="1:13" ht="15.6">
      <c r="A15" s="32" t="str">
        <v>CA: Rancho Cordova - Citi</v>
      </c>
      <c r="B15" s="33" t="str">
        <v>CA</v>
      </c>
      <c r="C15" s="12"/>
      <c r="D15" s="12"/>
      <c r="E15" s="80" t="e">
        <f t="shared" si="1"/>
        <v>#DIV/0!</v>
      </c>
      <c r="F15" s="20"/>
      <c r="G15" s="20"/>
      <c r="H15" s="21" t="str">
        <f t="shared" si="0"/>
        <v/>
      </c>
      <c r="I15" s="22"/>
      <c r="J15" s="22"/>
      <c r="K15" s="21" t="str">
        <f t="shared" si="2"/>
        <v/>
      </c>
      <c r="L15" s="11"/>
      <c r="M15" s="19"/>
    </row>
    <row r="16" spans="1:13" ht="15.6">
      <c r="A16" s="30" t="str">
        <v>CA: S Sacramento Wyndham - Citi</v>
      </c>
      <c r="B16" s="31" t="str">
        <v>CA</v>
      </c>
      <c r="C16" s="37"/>
      <c r="D16" s="72"/>
      <c r="E16" s="82" t="e">
        <f t="shared" si="1"/>
        <v>#DIV/0!</v>
      </c>
      <c r="F16" s="14"/>
      <c r="G16" s="14"/>
      <c r="H16" s="38" t="str">
        <f t="shared" si="0"/>
        <v/>
      </c>
      <c r="I16" s="39"/>
      <c r="J16" s="39"/>
      <c r="K16" s="40" t="str">
        <f t="shared" ref="K16:K22" si="3">IFERROR(J16/I16, "")</f>
        <v/>
      </c>
      <c r="L16" s="41"/>
      <c r="M16" s="41"/>
    </row>
    <row r="17" spans="1:13" ht="15.6">
      <c r="A17" s="32" t="str">
        <v>CA: Sacramento Point West - Citi</v>
      </c>
      <c r="B17" s="33" t="str">
        <v>CA</v>
      </c>
      <c r="C17" s="42"/>
      <c r="D17" s="42"/>
      <c r="E17" s="80" t="e">
        <f t="shared" si="1"/>
        <v>#DIV/0!</v>
      </c>
      <c r="F17" s="20"/>
      <c r="G17" s="20"/>
      <c r="H17" s="43" t="str">
        <f t="shared" si="0"/>
        <v/>
      </c>
      <c r="I17" s="44"/>
      <c r="J17" s="44"/>
      <c r="K17" s="43" t="str">
        <f t="shared" si="3"/>
        <v/>
      </c>
      <c r="L17" s="57"/>
      <c r="M17" s="57"/>
    </row>
    <row r="18" spans="1:13" ht="12.75" customHeight="1">
      <c r="A18" s="30" t="str">
        <v>CA: San Jose FHC - Citi</v>
      </c>
      <c r="B18" s="31" t="str">
        <v>CA</v>
      </c>
      <c r="C18" s="37"/>
      <c r="D18" s="72"/>
      <c r="E18" s="82" t="e">
        <f t="shared" si="1"/>
        <v>#DIV/0!</v>
      </c>
      <c r="F18" s="14"/>
      <c r="G18" s="14"/>
      <c r="H18" s="38" t="str">
        <f t="shared" si="0"/>
        <v/>
      </c>
      <c r="I18" s="39"/>
      <c r="J18" s="39"/>
      <c r="K18" s="40" t="str">
        <f t="shared" si="3"/>
        <v/>
      </c>
      <c r="L18" s="41"/>
      <c r="M18" s="41"/>
    </row>
    <row r="19" spans="1:13" ht="15.6">
      <c r="A19" s="32" t="str">
        <v>CA: San Jose MOB - Citi</v>
      </c>
      <c r="B19" s="33" t="str">
        <v>CA</v>
      </c>
      <c r="C19" s="42"/>
      <c r="D19" s="42"/>
      <c r="E19" s="80" t="e">
        <f t="shared" si="1"/>
        <v>#DIV/0!</v>
      </c>
      <c r="F19" s="20"/>
      <c r="G19" s="20"/>
      <c r="H19" s="43" t="str">
        <f t="shared" si="0"/>
        <v/>
      </c>
      <c r="I19" s="44"/>
      <c r="J19" s="44"/>
      <c r="K19" s="43" t="str">
        <f t="shared" si="3"/>
        <v/>
      </c>
      <c r="L19" s="11"/>
      <c r="M19" s="19"/>
    </row>
    <row r="20" spans="1:13" ht="15.6">
      <c r="A20" s="30" t="str">
        <v>CA: Selma - Citi</v>
      </c>
      <c r="B20" s="31" t="str">
        <v>CA</v>
      </c>
      <c r="C20" s="37"/>
      <c r="D20" s="72"/>
      <c r="E20" s="82" t="e">
        <f t="shared" si="1"/>
        <v>#DIV/0!</v>
      </c>
      <c r="F20" s="14"/>
      <c r="G20" s="14"/>
      <c r="H20" s="38" t="str">
        <f t="shared" si="0"/>
        <v/>
      </c>
      <c r="I20" s="39"/>
      <c r="J20" s="39"/>
      <c r="K20" s="40" t="str">
        <f t="shared" si="3"/>
        <v/>
      </c>
      <c r="L20" s="41"/>
      <c r="M20" s="41"/>
    </row>
    <row r="21" spans="1:13" ht="15.6">
      <c r="A21" s="32" t="str">
        <v>CA: Vacaville Hospital</v>
      </c>
      <c r="B21" s="33" t="str">
        <v>CA</v>
      </c>
      <c r="C21" s="42"/>
      <c r="D21" s="42"/>
      <c r="E21" s="80" t="e">
        <f t="shared" si="1"/>
        <v>#DIV/0!</v>
      </c>
      <c r="F21" s="20"/>
      <c r="G21" s="20"/>
      <c r="H21" s="43" t="str">
        <f t="shared" si="0"/>
        <v/>
      </c>
      <c r="I21" s="44"/>
      <c r="J21" s="44"/>
      <c r="K21" s="43" t="str">
        <f t="shared" si="3"/>
        <v/>
      </c>
      <c r="L21" s="11"/>
      <c r="M21" s="19"/>
    </row>
    <row r="22" spans="1:13" ht="15.6">
      <c r="A22" s="30" t="str">
        <v>CA: Manteca - KP Manteca Hospital</v>
      </c>
      <c r="B22" s="31" t="str">
        <v>CA</v>
      </c>
      <c r="C22" s="37"/>
      <c r="D22" s="72"/>
      <c r="E22" s="82" t="e">
        <f t="shared" si="1"/>
        <v>#DIV/0!</v>
      </c>
      <c r="F22" s="14"/>
      <c r="G22" s="14"/>
      <c r="H22" s="38" t="str">
        <f t="shared" si="0"/>
        <v/>
      </c>
      <c r="I22" s="39"/>
      <c r="J22" s="39"/>
      <c r="K22" s="40" t="str">
        <f t="shared" si="3"/>
        <v/>
      </c>
      <c r="L22" s="41"/>
      <c r="M22" s="41"/>
    </row>
    <row r="23" spans="1:13" ht="14.45">
      <c r="A23" s="23" t="str">
        <v>Sacramento - KP South Sacramento HSP</v>
      </c>
      <c r="B23" s="35" t="str">
        <v>CA</v>
      </c>
      <c r="C23" s="23"/>
      <c r="D23" s="23"/>
      <c r="E23" s="23"/>
      <c r="F23" s="23"/>
      <c r="G23" s="23"/>
      <c r="H23" s="23"/>
      <c r="I23" s="23"/>
      <c r="J23" s="23"/>
      <c r="K23" s="23"/>
      <c r="L23" s="23"/>
      <c r="M23" s="23"/>
    </row>
    <row r="24" spans="1:13" ht="14.45">
      <c r="A24" s="23"/>
      <c r="B24" s="35"/>
      <c r="C24" s="23"/>
      <c r="D24" s="23"/>
      <c r="E24" s="23"/>
      <c r="F24" s="23"/>
      <c r="G24" s="23"/>
      <c r="H24" s="23"/>
      <c r="I24" s="23"/>
      <c r="J24" s="23"/>
      <c r="K24" s="23"/>
      <c r="L24" s="23"/>
      <c r="M24" s="23"/>
    </row>
    <row r="25" spans="1:13" ht="14.45">
      <c r="A25" s="23"/>
      <c r="B25" s="35"/>
      <c r="C25" s="23"/>
      <c r="D25" s="23"/>
      <c r="E25" s="73"/>
      <c r="F25" s="23"/>
      <c r="G25" s="23"/>
      <c r="H25" s="23"/>
      <c r="I25" s="23"/>
      <c r="J25" s="23"/>
      <c r="K25" s="23"/>
      <c r="L25" s="23"/>
      <c r="M25" s="23"/>
    </row>
    <row r="26" spans="1:13" ht="14.45">
      <c r="A26" s="23"/>
      <c r="B26" s="35"/>
      <c r="C26" s="23"/>
      <c r="D26" s="23"/>
      <c r="E26" s="23"/>
      <c r="F26" s="23"/>
      <c r="G26" s="23"/>
      <c r="H26" s="23"/>
      <c r="I26" s="23"/>
      <c r="J26" s="23"/>
      <c r="K26" s="23"/>
      <c r="L26" s="23"/>
      <c r="M26" s="23"/>
    </row>
    <row r="27" spans="1:13" ht="14.45">
      <c r="A27" s="23"/>
      <c r="B27" s="35"/>
      <c r="C27" s="23"/>
      <c r="D27" s="23"/>
      <c r="E27" s="23"/>
      <c r="F27" s="23"/>
      <c r="G27" s="23"/>
      <c r="H27" s="23"/>
      <c r="I27" s="23"/>
      <c r="J27" s="23"/>
      <c r="K27" s="23"/>
      <c r="L27" s="23"/>
      <c r="M27" s="23"/>
    </row>
    <row r="28" spans="1:13" ht="14.45">
      <c r="A28" s="23"/>
      <c r="B28" s="35"/>
      <c r="C28" s="23"/>
      <c r="D28" s="23"/>
      <c r="E28" s="23"/>
      <c r="F28" s="23"/>
      <c r="G28" s="23"/>
      <c r="H28" s="23"/>
      <c r="I28" s="23"/>
      <c r="J28" s="23"/>
      <c r="K28" s="23"/>
      <c r="L28" s="23"/>
      <c r="M28" s="23"/>
    </row>
    <row r="29" spans="1:13" ht="14.45">
      <c r="A29" s="23"/>
      <c r="B29" s="35"/>
      <c r="C29" s="23"/>
      <c r="D29" s="23"/>
      <c r="E29" s="23"/>
      <c r="F29" s="23"/>
      <c r="G29" s="23"/>
      <c r="H29" s="23"/>
      <c r="I29" s="23"/>
      <c r="J29" s="23"/>
      <c r="K29" s="23"/>
      <c r="L29" s="23"/>
      <c r="M29" s="23"/>
    </row>
    <row r="30" spans="1:13" ht="14.45">
      <c r="A30" s="23"/>
      <c r="B30" s="35"/>
      <c r="C30" s="23"/>
      <c r="D30" s="23"/>
      <c r="E30" s="23"/>
      <c r="F30" s="23"/>
      <c r="G30" s="23"/>
      <c r="H30" s="23"/>
      <c r="I30" s="23"/>
      <c r="J30" s="23"/>
      <c r="K30" s="23"/>
      <c r="L30" s="23"/>
      <c r="M30" s="23"/>
    </row>
    <row r="31" spans="1:13" ht="14.45">
      <c r="A31" s="23"/>
      <c r="B31" s="35"/>
      <c r="C31" s="23"/>
      <c r="D31" s="23"/>
      <c r="E31" s="23"/>
      <c r="F31" s="23"/>
      <c r="G31" s="23"/>
      <c r="H31" s="23"/>
      <c r="I31" s="23"/>
      <c r="J31" s="23"/>
      <c r="K31" s="23"/>
      <c r="L31" s="23"/>
      <c r="M31" s="23"/>
    </row>
    <row r="32" spans="1:13" ht="14.45">
      <c r="A32" s="23"/>
      <c r="B32" s="35"/>
      <c r="C32" s="23"/>
      <c r="D32" s="23"/>
      <c r="E32" s="23"/>
      <c r="F32" s="23"/>
      <c r="G32" s="23"/>
      <c r="H32" s="23"/>
      <c r="I32" s="23"/>
      <c r="J32" s="23"/>
      <c r="K32" s="23"/>
      <c r="L32" s="23"/>
      <c r="M32" s="23"/>
    </row>
    <row r="33" spans="1:13" ht="14.45">
      <c r="A33" s="23"/>
      <c r="B33" s="35"/>
      <c r="C33" s="23"/>
      <c r="D33" s="23"/>
      <c r="E33" s="23"/>
      <c r="F33" s="23"/>
      <c r="G33" s="23"/>
      <c r="H33" s="24"/>
      <c r="I33" s="23"/>
      <c r="J33" s="23"/>
      <c r="K33" s="24"/>
      <c r="L33" s="23"/>
      <c r="M33" s="23"/>
    </row>
    <row r="34" spans="1:13" ht="14.45">
      <c r="A34" s="23"/>
      <c r="B34" s="35"/>
      <c r="C34" s="23"/>
      <c r="D34" s="23"/>
      <c r="E34" s="23"/>
      <c r="F34" s="23"/>
      <c r="G34" s="23"/>
      <c r="H34" s="24"/>
      <c r="I34" s="23"/>
      <c r="J34" s="23"/>
      <c r="K34" s="24"/>
      <c r="L34" s="23"/>
      <c r="M34" s="23"/>
    </row>
    <row r="35" spans="1:13" ht="14.45">
      <c r="A35" s="23"/>
      <c r="B35" s="35"/>
      <c r="C35" s="23"/>
      <c r="D35" s="23"/>
      <c r="E35" s="23"/>
      <c r="F35" s="23"/>
      <c r="G35" s="23"/>
      <c r="H35" s="24"/>
      <c r="I35" s="23"/>
      <c r="J35" s="23"/>
      <c r="K35" s="24"/>
      <c r="L35" s="23"/>
      <c r="M35" s="23"/>
    </row>
    <row r="36" spans="1:13" ht="14.45">
      <c r="A36" s="23"/>
      <c r="B36" s="35"/>
      <c r="C36" s="23"/>
      <c r="D36" s="23"/>
      <c r="E36" s="23"/>
      <c r="F36" s="23"/>
      <c r="G36" s="23"/>
      <c r="H36" s="24"/>
      <c r="I36" s="23"/>
      <c r="J36" s="23"/>
      <c r="K36" s="24"/>
      <c r="L36" s="23"/>
      <c r="M36" s="23"/>
    </row>
    <row r="37" spans="1:13" ht="14.45">
      <c r="A37" s="23"/>
      <c r="B37" s="35"/>
      <c r="C37" s="23"/>
      <c r="D37" s="23"/>
      <c r="E37" s="23"/>
      <c r="F37" s="23"/>
      <c r="G37" s="23"/>
      <c r="H37" s="24"/>
      <c r="I37" s="23"/>
      <c r="J37" s="23"/>
      <c r="K37" s="24"/>
      <c r="L37" s="23"/>
      <c r="M37" s="23"/>
    </row>
    <row r="38" spans="1:13" ht="14.45">
      <c r="A38" s="23"/>
      <c r="B38" s="35"/>
      <c r="C38" s="23"/>
      <c r="D38" s="23"/>
      <c r="E38" s="23"/>
      <c r="F38" s="23"/>
      <c r="G38" s="23"/>
      <c r="H38" s="24"/>
      <c r="I38" s="23"/>
      <c r="J38" s="23"/>
      <c r="K38" s="24"/>
      <c r="L38" s="23"/>
      <c r="M38" s="23"/>
    </row>
    <row r="39" spans="1:13" ht="14.45">
      <c r="A39" s="23"/>
      <c r="B39" s="35"/>
      <c r="C39" s="23"/>
      <c r="D39" s="23"/>
      <c r="E39" s="23"/>
      <c r="F39" s="23"/>
      <c r="G39" s="23"/>
      <c r="H39" s="24"/>
      <c r="I39" s="23"/>
      <c r="J39" s="23"/>
      <c r="K39" s="24"/>
      <c r="L39" s="23"/>
      <c r="M39" s="23"/>
    </row>
    <row r="40" spans="1:13" ht="14.45">
      <c r="A40" s="23"/>
      <c r="B40" s="35"/>
      <c r="C40" s="23"/>
      <c r="D40" s="23"/>
      <c r="E40" s="23"/>
      <c r="F40" s="23"/>
      <c r="G40" s="23"/>
      <c r="H40" s="24"/>
      <c r="I40" s="23"/>
      <c r="J40" s="23"/>
      <c r="K40" s="24"/>
      <c r="L40" s="23"/>
      <c r="M40" s="23"/>
    </row>
    <row r="41" spans="1:13" ht="14.45">
      <c r="A41" s="23"/>
      <c r="B41" s="35"/>
      <c r="C41" s="23"/>
      <c r="D41" s="23"/>
      <c r="E41" s="23"/>
      <c r="F41" s="23"/>
      <c r="G41" s="23"/>
      <c r="H41" s="24"/>
      <c r="I41" s="23"/>
      <c r="J41" s="23"/>
      <c r="K41" s="24"/>
      <c r="L41" s="23"/>
      <c r="M41" s="23"/>
    </row>
    <row r="42" spans="1:13" ht="14.45">
      <c r="A42" s="23"/>
      <c r="B42" s="35"/>
      <c r="C42" s="23"/>
      <c r="D42" s="23"/>
      <c r="E42" s="23"/>
      <c r="F42" s="23"/>
      <c r="G42" s="23"/>
      <c r="H42" s="24"/>
      <c r="I42" s="23"/>
      <c r="J42" s="23"/>
      <c r="K42" s="24"/>
      <c r="L42" s="23"/>
      <c r="M42" s="23"/>
    </row>
    <row r="43" spans="1:13" ht="14.45">
      <c r="A43" s="23"/>
      <c r="B43" s="35"/>
      <c r="C43" s="23"/>
      <c r="D43" s="23"/>
      <c r="E43" s="23"/>
      <c r="F43" s="23"/>
      <c r="G43" s="23"/>
      <c r="H43" s="24"/>
      <c r="I43" s="23"/>
      <c r="J43" s="23"/>
      <c r="K43" s="24"/>
      <c r="L43" s="23"/>
      <c r="M43" s="23"/>
    </row>
    <row r="44" spans="1:13" ht="14.45">
      <c r="A44" s="23"/>
      <c r="B44" s="35"/>
      <c r="C44" s="23"/>
      <c r="D44" s="23"/>
      <c r="E44" s="23"/>
      <c r="F44" s="23"/>
      <c r="G44" s="23"/>
      <c r="H44" s="24"/>
      <c r="I44" s="23"/>
      <c r="J44" s="23"/>
      <c r="K44" s="24"/>
      <c r="L44" s="23"/>
      <c r="M44" s="23"/>
    </row>
    <row r="45" spans="1:13" ht="14.45">
      <c r="A45" s="23"/>
      <c r="B45" s="35"/>
      <c r="C45" s="23"/>
      <c r="D45" s="23"/>
      <c r="E45" s="23"/>
      <c r="F45" s="23"/>
      <c r="G45" s="23"/>
      <c r="H45" s="24"/>
      <c r="I45" s="23"/>
      <c r="J45" s="23"/>
      <c r="K45" s="24"/>
      <c r="L45" s="23"/>
      <c r="M45" s="23"/>
    </row>
    <row r="46" spans="1:13" ht="14.45">
      <c r="A46" s="23"/>
      <c r="B46" s="35"/>
      <c r="C46" s="23"/>
      <c r="D46" s="23"/>
      <c r="E46" s="23"/>
      <c r="F46" s="23"/>
      <c r="G46" s="23"/>
      <c r="H46" s="24"/>
      <c r="I46" s="23"/>
      <c r="J46" s="23"/>
      <c r="K46" s="24"/>
      <c r="L46" s="23"/>
      <c r="M46" s="23"/>
    </row>
    <row r="47" spans="1:13" ht="14.45">
      <c r="A47" s="23"/>
      <c r="B47" s="35"/>
      <c r="C47" s="23"/>
      <c r="D47" s="23"/>
      <c r="E47" s="23"/>
      <c r="F47" s="23"/>
      <c r="G47" s="23"/>
      <c r="H47" s="24"/>
      <c r="I47" s="23"/>
      <c r="J47" s="23"/>
      <c r="K47" s="24"/>
      <c r="L47" s="23"/>
      <c r="M47" s="23"/>
    </row>
    <row r="48" spans="1:13" ht="14.45">
      <c r="A48" s="23"/>
      <c r="B48" s="35"/>
      <c r="C48" s="23"/>
      <c r="D48" s="23"/>
      <c r="E48" s="23"/>
      <c r="F48" s="23"/>
      <c r="G48" s="23"/>
      <c r="H48" s="24"/>
      <c r="I48" s="23"/>
      <c r="J48" s="23"/>
      <c r="K48" s="24"/>
      <c r="L48" s="23"/>
      <c r="M48" s="23"/>
    </row>
    <row r="49" spans="1:13" ht="14.45">
      <c r="A49" s="23"/>
      <c r="B49" s="35"/>
      <c r="C49" s="23"/>
      <c r="D49" s="23"/>
      <c r="E49" s="23"/>
      <c r="F49" s="23"/>
      <c r="G49" s="23"/>
      <c r="H49" s="24"/>
      <c r="I49" s="23"/>
      <c r="J49" s="23"/>
      <c r="K49" s="24"/>
      <c r="L49" s="23"/>
      <c r="M49" s="23"/>
    </row>
    <row r="50" spans="1:13" ht="14.45">
      <c r="A50" s="23"/>
      <c r="B50" s="35"/>
      <c r="C50" s="23"/>
      <c r="D50" s="23"/>
      <c r="E50" s="23"/>
      <c r="F50" s="23"/>
      <c r="G50" s="23"/>
      <c r="H50" s="24"/>
      <c r="I50" s="23"/>
      <c r="J50" s="23"/>
      <c r="K50" s="24"/>
      <c r="L50" s="23"/>
      <c r="M50" s="23"/>
    </row>
    <row r="51" spans="1:13" ht="14.45">
      <c r="A51" s="23"/>
      <c r="B51" s="35"/>
      <c r="C51" s="23"/>
      <c r="D51" s="23"/>
      <c r="E51" s="23"/>
      <c r="F51" s="23"/>
      <c r="G51" s="23"/>
      <c r="H51" s="24"/>
      <c r="I51" s="23"/>
      <c r="J51" s="23"/>
      <c r="K51" s="24"/>
      <c r="L51" s="23"/>
      <c r="M51" s="23"/>
    </row>
    <row r="52" spans="1:13" ht="14.45">
      <c r="A52" s="23"/>
      <c r="B52" s="35"/>
      <c r="C52" s="23"/>
      <c r="D52" s="23"/>
      <c r="E52" s="23"/>
      <c r="F52" s="23"/>
      <c r="G52" s="23"/>
      <c r="H52" s="24"/>
      <c r="I52" s="23"/>
      <c r="J52" s="23"/>
      <c r="K52" s="24"/>
      <c r="L52" s="23"/>
      <c r="M52" s="23"/>
    </row>
    <row r="53" spans="1:13" ht="14.45">
      <c r="A53" s="23"/>
      <c r="B53" s="35"/>
      <c r="C53" s="23"/>
      <c r="D53" s="23"/>
      <c r="E53" s="23"/>
      <c r="F53" s="23"/>
      <c r="G53" s="23"/>
      <c r="H53" s="24"/>
      <c r="I53" s="23"/>
      <c r="J53" s="23"/>
      <c r="K53" s="24"/>
      <c r="L53" s="23"/>
      <c r="M53" s="23"/>
    </row>
    <row r="54" spans="1:13" ht="14.45">
      <c r="A54" s="23"/>
      <c r="B54" s="35"/>
      <c r="C54" s="23"/>
      <c r="D54" s="23"/>
      <c r="E54" s="23"/>
      <c r="F54" s="23"/>
      <c r="G54" s="23"/>
      <c r="H54" s="24"/>
      <c r="I54" s="23"/>
      <c r="J54" s="23"/>
      <c r="K54" s="24"/>
      <c r="L54" s="23"/>
      <c r="M54" s="23"/>
    </row>
    <row r="55" spans="1:13" ht="14.45">
      <c r="A55" s="23"/>
      <c r="B55" s="35"/>
      <c r="C55" s="23"/>
      <c r="D55" s="23"/>
      <c r="E55" s="23"/>
      <c r="F55" s="23"/>
      <c r="G55" s="23"/>
      <c r="H55" s="24"/>
      <c r="I55" s="23"/>
      <c r="J55" s="23"/>
      <c r="K55" s="24"/>
      <c r="L55" s="23"/>
      <c r="M55" s="23"/>
    </row>
    <row r="56" spans="1:13" ht="14.45">
      <c r="A56" s="23"/>
      <c r="B56" s="35"/>
      <c r="C56" s="23"/>
      <c r="D56" s="23"/>
      <c r="E56" s="23"/>
      <c r="F56" s="23"/>
      <c r="G56" s="23"/>
      <c r="H56" s="24"/>
      <c r="I56" s="23"/>
      <c r="J56" s="23"/>
      <c r="K56" s="24"/>
      <c r="L56" s="23"/>
      <c r="M56" s="23"/>
    </row>
    <row r="57" spans="1:13" ht="14.45">
      <c r="A57" s="23"/>
      <c r="B57" s="35"/>
      <c r="C57" s="23"/>
      <c r="D57" s="23"/>
      <c r="E57" s="23"/>
      <c r="F57" s="23"/>
      <c r="G57" s="23"/>
      <c r="H57" s="24"/>
      <c r="I57" s="23"/>
      <c r="J57" s="23"/>
      <c r="K57" s="24"/>
      <c r="L57" s="23"/>
      <c r="M57" s="23"/>
    </row>
    <row r="58" spans="1:13" ht="14.45">
      <c r="A58" s="23"/>
      <c r="B58" s="35"/>
      <c r="C58" s="23"/>
      <c r="D58" s="23"/>
      <c r="E58" s="23"/>
      <c r="F58" s="23"/>
      <c r="G58" s="23"/>
      <c r="H58" s="24"/>
      <c r="I58" s="23"/>
      <c r="J58" s="23"/>
      <c r="K58" s="24"/>
      <c r="L58" s="23"/>
      <c r="M58" s="23"/>
    </row>
    <row r="59" spans="1:13" ht="14.45">
      <c r="A59" s="23"/>
      <c r="B59" s="35"/>
      <c r="C59" s="23"/>
      <c r="D59" s="23"/>
      <c r="E59" s="23"/>
      <c r="F59" s="23"/>
      <c r="G59" s="23"/>
      <c r="H59" s="24"/>
      <c r="I59" s="23"/>
      <c r="J59" s="23"/>
      <c r="K59" s="24"/>
      <c r="L59" s="23"/>
      <c r="M59" s="23"/>
    </row>
    <row r="60" spans="1:13" ht="14.45">
      <c r="A60" s="23"/>
      <c r="B60" s="35"/>
      <c r="C60" s="23"/>
      <c r="D60" s="23"/>
      <c r="E60" s="23"/>
      <c r="F60" s="23"/>
      <c r="G60" s="23"/>
      <c r="H60" s="24"/>
      <c r="I60" s="23"/>
      <c r="J60" s="23"/>
      <c r="K60" s="24"/>
      <c r="L60" s="23"/>
      <c r="M60" s="23"/>
    </row>
    <row r="61" spans="1:13" ht="14.45">
      <c r="A61" s="23"/>
      <c r="B61" s="35"/>
      <c r="C61" s="23"/>
      <c r="D61" s="23"/>
      <c r="E61" s="23"/>
      <c r="F61" s="23"/>
      <c r="G61" s="23"/>
      <c r="H61" s="24"/>
      <c r="I61" s="23"/>
      <c r="J61" s="23"/>
      <c r="K61" s="24"/>
      <c r="L61" s="23"/>
      <c r="M61" s="23"/>
    </row>
    <row r="62" spans="1:13" ht="14.45">
      <c r="A62" s="23"/>
      <c r="B62" s="35"/>
      <c r="C62" s="23"/>
      <c r="D62" s="23"/>
      <c r="E62" s="23"/>
      <c r="F62" s="23"/>
      <c r="G62" s="23"/>
      <c r="H62" s="24"/>
      <c r="I62" s="23"/>
      <c r="J62" s="23"/>
      <c r="K62" s="24"/>
      <c r="L62" s="23"/>
      <c r="M62" s="23"/>
    </row>
    <row r="63" spans="1:13" ht="14.45">
      <c r="A63" s="23"/>
      <c r="B63" s="35"/>
      <c r="C63" s="23"/>
      <c r="D63" s="23"/>
      <c r="E63" s="23"/>
      <c r="F63" s="23"/>
      <c r="G63" s="23"/>
      <c r="H63" s="24"/>
      <c r="I63" s="23"/>
      <c r="J63" s="23"/>
      <c r="K63" s="24"/>
      <c r="L63" s="23"/>
      <c r="M63" s="23"/>
    </row>
    <row r="64" spans="1:13" ht="14.45">
      <c r="A64" s="23"/>
      <c r="B64" s="35"/>
      <c r="C64" s="23"/>
      <c r="D64" s="23"/>
      <c r="E64" s="23"/>
      <c r="F64" s="23"/>
      <c r="G64" s="23"/>
      <c r="H64" s="24"/>
      <c r="I64" s="23"/>
      <c r="J64" s="23"/>
      <c r="K64" s="24"/>
      <c r="L64" s="23"/>
      <c r="M64" s="23"/>
    </row>
    <row r="65" spans="1:13" ht="14.45">
      <c r="A65" s="23"/>
      <c r="B65" s="35"/>
      <c r="C65" s="23"/>
      <c r="D65" s="23"/>
      <c r="E65" s="23"/>
      <c r="F65" s="23"/>
      <c r="G65" s="23"/>
      <c r="H65" s="24"/>
      <c r="I65" s="23"/>
      <c r="J65" s="23"/>
      <c r="K65" s="24"/>
      <c r="L65" s="23"/>
      <c r="M65" s="23"/>
    </row>
    <row r="66" spans="1:13" ht="14.45">
      <c r="A66" s="23"/>
      <c r="B66" s="35"/>
      <c r="C66" s="23"/>
      <c r="D66" s="23"/>
      <c r="E66" s="23"/>
      <c r="F66" s="23"/>
      <c r="G66" s="23"/>
      <c r="H66" s="24"/>
      <c r="I66" s="23"/>
      <c r="J66" s="23"/>
      <c r="K66" s="24"/>
      <c r="L66" s="23"/>
      <c r="M66" s="23"/>
    </row>
    <row r="67" spans="1:13" ht="14.45">
      <c r="A67" s="23"/>
      <c r="B67" s="35"/>
      <c r="C67" s="23"/>
      <c r="D67" s="23"/>
      <c r="E67" s="23"/>
      <c r="F67" s="23"/>
      <c r="G67" s="23"/>
      <c r="H67" s="24"/>
      <c r="I67" s="23"/>
      <c r="J67" s="23"/>
      <c r="K67" s="24"/>
      <c r="L67" s="23"/>
      <c r="M67" s="23"/>
    </row>
    <row r="68" spans="1:13" ht="14.45">
      <c r="A68" s="23"/>
      <c r="B68" s="35"/>
      <c r="C68" s="23"/>
      <c r="D68" s="23"/>
      <c r="E68" s="23"/>
      <c r="F68" s="23"/>
      <c r="G68" s="23"/>
      <c r="H68" s="24"/>
      <c r="I68" s="23"/>
      <c r="J68" s="23"/>
      <c r="K68" s="24"/>
      <c r="L68" s="23"/>
      <c r="M68" s="23"/>
    </row>
    <row r="69" spans="1:13" ht="14.45">
      <c r="A69" s="23"/>
      <c r="B69" s="35"/>
      <c r="C69" s="23"/>
      <c r="D69" s="23"/>
      <c r="E69" s="23"/>
      <c r="F69" s="23"/>
      <c r="G69" s="23"/>
      <c r="H69" s="24"/>
      <c r="I69" s="23"/>
      <c r="J69" s="23"/>
      <c r="K69" s="24"/>
      <c r="L69" s="23"/>
      <c r="M69" s="23"/>
    </row>
    <row r="70" spans="1:13" ht="14.45">
      <c r="A70" s="23"/>
      <c r="B70" s="35"/>
      <c r="C70" s="23"/>
      <c r="D70" s="23"/>
      <c r="E70" s="23"/>
      <c r="F70" s="23"/>
      <c r="G70" s="23"/>
      <c r="H70" s="24"/>
      <c r="I70" s="23"/>
      <c r="J70" s="23"/>
      <c r="K70" s="24"/>
      <c r="L70" s="23"/>
      <c r="M70" s="23"/>
    </row>
    <row r="71" spans="1:13" ht="14.45">
      <c r="A71" s="23"/>
      <c r="B71" s="35"/>
      <c r="C71" s="23"/>
      <c r="D71" s="23"/>
      <c r="E71" s="23"/>
      <c r="F71" s="23"/>
      <c r="G71" s="23"/>
      <c r="H71" s="24"/>
      <c r="I71" s="23"/>
      <c r="J71" s="23"/>
      <c r="K71" s="24"/>
      <c r="L71" s="23"/>
      <c r="M71" s="23"/>
    </row>
    <row r="72" spans="1:13" ht="14.45">
      <c r="A72" s="23"/>
      <c r="B72" s="35"/>
      <c r="C72" s="23"/>
      <c r="D72" s="23"/>
      <c r="E72" s="23"/>
      <c r="F72" s="23"/>
      <c r="G72" s="23"/>
      <c r="H72" s="24"/>
      <c r="I72" s="23"/>
      <c r="J72" s="23"/>
      <c r="K72" s="24"/>
      <c r="L72" s="23"/>
      <c r="M72" s="23"/>
    </row>
    <row r="73" spans="1:13" ht="14.45">
      <c r="A73" s="23"/>
      <c r="B73" s="35"/>
      <c r="C73" s="23"/>
      <c r="D73" s="23"/>
      <c r="E73" s="23"/>
      <c r="F73" s="23"/>
      <c r="G73" s="23"/>
      <c r="H73" s="24"/>
      <c r="I73" s="23"/>
      <c r="J73" s="23"/>
      <c r="K73" s="24"/>
      <c r="L73" s="23"/>
      <c r="M73" s="23"/>
    </row>
    <row r="74" spans="1:13" ht="14.45">
      <c r="A74" s="23"/>
      <c r="B74" s="35"/>
      <c r="C74" s="23"/>
      <c r="D74" s="23"/>
      <c r="E74" s="23"/>
      <c r="F74" s="23"/>
      <c r="G74" s="23"/>
      <c r="H74" s="24"/>
      <c r="I74" s="23"/>
      <c r="J74" s="23"/>
      <c r="K74" s="24"/>
      <c r="L74" s="23"/>
      <c r="M74" s="23"/>
    </row>
    <row r="75" spans="1:13" ht="14.45">
      <c r="A75" s="23"/>
      <c r="B75" s="35"/>
      <c r="C75" s="23"/>
      <c r="D75" s="23"/>
      <c r="E75" s="23"/>
      <c r="F75" s="23"/>
      <c r="G75" s="23"/>
      <c r="H75" s="24"/>
      <c r="I75" s="23"/>
      <c r="J75" s="23"/>
      <c r="K75" s="24"/>
      <c r="L75" s="23"/>
      <c r="M75" s="23"/>
    </row>
    <row r="76" spans="1:13" ht="14.45">
      <c r="A76" s="23"/>
      <c r="B76" s="35"/>
      <c r="C76" s="23"/>
      <c r="D76" s="23"/>
      <c r="E76" s="23"/>
      <c r="F76" s="23"/>
      <c r="G76" s="23"/>
      <c r="H76" s="24"/>
      <c r="I76" s="23"/>
      <c r="J76" s="23"/>
      <c r="K76" s="24"/>
      <c r="L76" s="23"/>
      <c r="M76" s="23"/>
    </row>
    <row r="77" spans="1:13" ht="14.45">
      <c r="A77" s="23"/>
      <c r="B77" s="35"/>
      <c r="C77" s="23"/>
      <c r="D77" s="23"/>
      <c r="E77" s="23"/>
      <c r="F77" s="23"/>
      <c r="G77" s="23"/>
      <c r="H77" s="24"/>
      <c r="I77" s="23"/>
      <c r="J77" s="23"/>
      <c r="K77" s="24"/>
      <c r="L77" s="23"/>
      <c r="M77" s="23"/>
    </row>
    <row r="78" spans="1:13" ht="14.45">
      <c r="A78" s="23"/>
      <c r="B78" s="35"/>
      <c r="C78" s="23"/>
      <c r="D78" s="23"/>
      <c r="E78" s="23"/>
      <c r="F78" s="23"/>
      <c r="G78" s="23"/>
      <c r="H78" s="24"/>
      <c r="I78" s="23"/>
      <c r="J78" s="23"/>
      <c r="K78" s="24"/>
      <c r="L78" s="23"/>
      <c r="M78" s="23"/>
    </row>
    <row r="79" spans="1:13" ht="14.45">
      <c r="A79" s="23"/>
      <c r="B79" s="35"/>
      <c r="C79" s="23"/>
      <c r="D79" s="23"/>
      <c r="E79" s="23"/>
      <c r="F79" s="23"/>
      <c r="G79" s="23"/>
      <c r="H79" s="24"/>
      <c r="I79" s="23"/>
      <c r="J79" s="23"/>
      <c r="K79" s="24"/>
      <c r="L79" s="23"/>
      <c r="M79" s="23"/>
    </row>
    <row r="80" spans="1:13" ht="14.45">
      <c r="A80" s="23"/>
      <c r="B80" s="35"/>
      <c r="C80" s="23"/>
      <c r="D80" s="23"/>
      <c r="E80" s="23"/>
      <c r="F80" s="23"/>
      <c r="G80" s="23"/>
      <c r="H80" s="24"/>
      <c r="I80" s="23"/>
      <c r="J80" s="23"/>
      <c r="K80" s="24"/>
      <c r="L80" s="23"/>
      <c r="M80" s="23"/>
    </row>
    <row r="81" spans="1:13" ht="14.45">
      <c r="A81" s="23"/>
      <c r="B81" s="35"/>
      <c r="C81" s="23"/>
      <c r="D81" s="23"/>
      <c r="E81" s="23"/>
      <c r="F81" s="23"/>
      <c r="G81" s="23"/>
      <c r="H81" s="24"/>
      <c r="I81" s="23"/>
      <c r="J81" s="23"/>
      <c r="K81" s="24"/>
      <c r="L81" s="23"/>
      <c r="M81" s="23"/>
    </row>
    <row r="82" spans="1:13" ht="14.45">
      <c r="A82" s="23"/>
      <c r="B82" s="35"/>
      <c r="C82" s="23"/>
      <c r="D82" s="23"/>
      <c r="E82" s="23"/>
      <c r="F82" s="23"/>
      <c r="G82" s="23"/>
      <c r="H82" s="24"/>
      <c r="I82" s="23"/>
      <c r="J82" s="23"/>
      <c r="K82" s="24"/>
      <c r="L82" s="23"/>
      <c r="M82" s="23"/>
    </row>
    <row r="83" spans="1:13" ht="14.45">
      <c r="A83" s="23"/>
      <c r="B83" s="35"/>
      <c r="C83" s="23"/>
      <c r="D83" s="23"/>
      <c r="E83" s="23"/>
      <c r="F83" s="23"/>
      <c r="G83" s="23"/>
      <c r="H83" s="24"/>
      <c r="I83" s="23"/>
      <c r="J83" s="23"/>
      <c r="K83" s="24"/>
      <c r="L83" s="23"/>
      <c r="M83" s="23"/>
    </row>
    <row r="84" spans="1:13" ht="14.45">
      <c r="A84" s="23"/>
      <c r="B84" s="35"/>
      <c r="C84" s="23"/>
      <c r="D84" s="23"/>
      <c r="E84" s="23"/>
      <c r="F84" s="23"/>
      <c r="G84" s="23"/>
      <c r="H84" s="24"/>
      <c r="I84" s="23"/>
      <c r="J84" s="23"/>
      <c r="K84" s="24"/>
      <c r="L84" s="23"/>
      <c r="M84" s="23"/>
    </row>
    <row r="85" spans="1:13" ht="14.45">
      <c r="A85" s="23"/>
      <c r="B85" s="35"/>
      <c r="C85" s="23"/>
      <c r="D85" s="23"/>
      <c r="E85" s="23"/>
      <c r="F85" s="23"/>
      <c r="G85" s="23"/>
      <c r="H85" s="24"/>
      <c r="I85" s="23"/>
      <c r="J85" s="23"/>
      <c r="K85" s="24"/>
      <c r="L85" s="23"/>
      <c r="M85" s="23"/>
    </row>
    <row r="86" spans="1:13" ht="14.45">
      <c r="A86" s="23"/>
      <c r="B86" s="35"/>
      <c r="C86" s="23"/>
      <c r="D86" s="23"/>
      <c r="E86" s="23"/>
      <c r="F86" s="23"/>
      <c r="G86" s="23"/>
      <c r="H86" s="24"/>
      <c r="I86" s="23"/>
      <c r="J86" s="23"/>
      <c r="K86" s="24"/>
      <c r="L86" s="23"/>
      <c r="M86" s="23"/>
    </row>
    <row r="87" spans="1:13" ht="14.45">
      <c r="A87" s="23"/>
      <c r="B87" s="35"/>
      <c r="C87" s="23"/>
      <c r="D87" s="23"/>
      <c r="E87" s="23"/>
      <c r="F87" s="23"/>
      <c r="G87" s="23"/>
      <c r="H87" s="24"/>
      <c r="I87" s="23"/>
      <c r="J87" s="23"/>
      <c r="K87" s="24"/>
      <c r="L87" s="23"/>
      <c r="M87" s="23"/>
    </row>
    <row r="88" spans="1:13" ht="14.45">
      <c r="A88" s="23"/>
      <c r="B88" s="35"/>
      <c r="C88" s="23"/>
      <c r="D88" s="23"/>
      <c r="E88" s="23"/>
      <c r="F88" s="23"/>
      <c r="G88" s="23"/>
      <c r="H88" s="24"/>
      <c r="I88" s="23"/>
      <c r="J88" s="23"/>
      <c r="K88" s="24"/>
      <c r="L88" s="23"/>
      <c r="M88" s="23"/>
    </row>
    <row r="89" spans="1:13" ht="14.45">
      <c r="A89" s="23"/>
      <c r="B89" s="35"/>
      <c r="C89" s="23"/>
      <c r="D89" s="23"/>
      <c r="E89" s="23"/>
      <c r="F89" s="23"/>
      <c r="G89" s="23"/>
      <c r="H89" s="24"/>
      <c r="I89" s="23"/>
      <c r="J89" s="23"/>
      <c r="K89" s="24"/>
      <c r="L89" s="23"/>
      <c r="M89" s="23"/>
    </row>
    <row r="90" spans="1:13" ht="14.45">
      <c r="A90" s="23"/>
      <c r="B90" s="35"/>
      <c r="C90" s="23"/>
      <c r="D90" s="23"/>
      <c r="E90" s="23"/>
      <c r="F90" s="23"/>
      <c r="G90" s="23"/>
      <c r="H90" s="24"/>
      <c r="I90" s="23"/>
      <c r="J90" s="23"/>
      <c r="K90" s="24"/>
      <c r="L90" s="23"/>
      <c r="M90" s="23"/>
    </row>
    <row r="91" spans="1:13" ht="14.45">
      <c r="A91" s="23"/>
      <c r="B91" s="35"/>
      <c r="C91" s="23"/>
      <c r="D91" s="23"/>
      <c r="E91" s="23"/>
      <c r="F91" s="23"/>
      <c r="G91" s="23"/>
      <c r="H91" s="24"/>
      <c r="I91" s="23"/>
      <c r="J91" s="23"/>
      <c r="K91" s="24"/>
      <c r="L91" s="23"/>
      <c r="M91" s="23"/>
    </row>
    <row r="92" spans="1:13" ht="14.45">
      <c r="A92" s="23"/>
      <c r="B92" s="35"/>
      <c r="C92" s="23"/>
      <c r="D92" s="23"/>
      <c r="E92" s="23"/>
      <c r="F92" s="23"/>
      <c r="G92" s="23"/>
      <c r="H92" s="24"/>
      <c r="I92" s="23"/>
      <c r="J92" s="23"/>
      <c r="K92" s="24"/>
      <c r="L92" s="23"/>
      <c r="M92" s="23"/>
    </row>
    <row r="93" spans="1:13" ht="14.45">
      <c r="A93" s="23"/>
      <c r="B93" s="35"/>
      <c r="C93" s="23"/>
      <c r="D93" s="23"/>
      <c r="E93" s="23"/>
      <c r="F93" s="23"/>
      <c r="G93" s="23"/>
      <c r="H93" s="24"/>
      <c r="I93" s="23"/>
      <c r="J93" s="23"/>
      <c r="K93" s="24"/>
      <c r="L93" s="23"/>
      <c r="M93" s="23"/>
    </row>
    <row r="94" spans="1:13" ht="14.45">
      <c r="A94" s="23"/>
      <c r="B94" s="35"/>
      <c r="C94" s="23"/>
      <c r="D94" s="23"/>
      <c r="E94" s="23"/>
      <c r="F94" s="23"/>
      <c r="G94" s="23"/>
      <c r="H94" s="24"/>
      <c r="I94" s="23"/>
      <c r="J94" s="23"/>
      <c r="K94" s="24"/>
      <c r="L94" s="23"/>
      <c r="M94" s="23"/>
    </row>
    <row r="95" spans="1:13" ht="14.45">
      <c r="A95" s="23"/>
      <c r="B95" s="35"/>
      <c r="C95" s="23"/>
      <c r="D95" s="23"/>
      <c r="E95" s="23"/>
      <c r="F95" s="23"/>
      <c r="G95" s="23"/>
      <c r="H95" s="24"/>
      <c r="I95" s="23"/>
      <c r="J95" s="23"/>
      <c r="K95" s="24"/>
      <c r="L95" s="23"/>
      <c r="M95" s="23"/>
    </row>
    <row r="96" spans="1:13" ht="14.45">
      <c r="A96" s="23"/>
      <c r="B96" s="35"/>
      <c r="C96" s="23"/>
      <c r="D96" s="23"/>
      <c r="E96" s="23"/>
      <c r="F96" s="23"/>
      <c r="G96" s="23"/>
      <c r="H96" s="24"/>
      <c r="I96" s="23"/>
      <c r="J96" s="23"/>
      <c r="K96" s="24"/>
      <c r="L96" s="23"/>
      <c r="M96" s="23"/>
    </row>
    <row r="97" spans="1:13" ht="14.45">
      <c r="A97" s="23"/>
      <c r="B97" s="35"/>
      <c r="C97" s="23"/>
      <c r="D97" s="23"/>
      <c r="E97" s="23"/>
      <c r="F97" s="23"/>
      <c r="G97" s="23"/>
      <c r="H97" s="24"/>
      <c r="I97" s="23"/>
      <c r="J97" s="23"/>
      <c r="K97" s="24"/>
      <c r="L97" s="23"/>
      <c r="M97" s="23"/>
    </row>
    <row r="98" spans="1:13" ht="14.45">
      <c r="A98" s="23"/>
      <c r="B98" s="35"/>
      <c r="C98" s="23"/>
      <c r="D98" s="23"/>
      <c r="E98" s="23"/>
      <c r="F98" s="23"/>
      <c r="G98" s="23"/>
      <c r="H98" s="24"/>
      <c r="I98" s="23"/>
      <c r="J98" s="23"/>
      <c r="K98" s="24"/>
      <c r="L98" s="23"/>
      <c r="M98" s="23"/>
    </row>
    <row r="99" spans="1:13" ht="14.45">
      <c r="A99" s="23"/>
      <c r="B99" s="35"/>
      <c r="C99" s="23"/>
      <c r="D99" s="23"/>
      <c r="E99" s="23"/>
      <c r="F99" s="23"/>
      <c r="G99" s="23"/>
      <c r="H99" s="24"/>
      <c r="I99" s="23"/>
      <c r="J99" s="23"/>
      <c r="K99" s="24"/>
      <c r="L99" s="23"/>
      <c r="M99" s="23"/>
    </row>
    <row r="100" spans="1:13" ht="14.45">
      <c r="A100" s="23"/>
      <c r="B100" s="35"/>
      <c r="C100" s="23"/>
      <c r="D100" s="23"/>
      <c r="E100" s="23"/>
      <c r="F100" s="23"/>
      <c r="G100" s="23"/>
      <c r="H100" s="24"/>
      <c r="I100" s="23"/>
      <c r="J100" s="23"/>
      <c r="K100" s="24"/>
      <c r="L100" s="23"/>
      <c r="M100" s="23"/>
    </row>
    <row r="101" spans="1:13" ht="14.45">
      <c r="A101" s="23"/>
      <c r="B101" s="35"/>
      <c r="C101" s="23"/>
      <c r="D101" s="23"/>
      <c r="E101" s="23"/>
      <c r="F101" s="23"/>
      <c r="G101" s="23"/>
      <c r="H101" s="24"/>
      <c r="I101" s="23"/>
      <c r="J101" s="23"/>
      <c r="K101" s="24"/>
      <c r="L101" s="23"/>
      <c r="M101" s="23"/>
    </row>
    <row r="102" spans="1:13" ht="14.45">
      <c r="A102" s="23"/>
      <c r="B102" s="35"/>
      <c r="C102" s="23"/>
      <c r="D102" s="23"/>
      <c r="E102" s="23"/>
      <c r="F102" s="23"/>
      <c r="G102" s="23"/>
      <c r="H102" s="24"/>
      <c r="I102" s="23"/>
      <c r="J102" s="23"/>
      <c r="K102" s="24"/>
      <c r="L102" s="23"/>
      <c r="M102" s="23"/>
    </row>
    <row r="103" spans="1:13" ht="14.45">
      <c r="A103" s="23"/>
      <c r="B103" s="35"/>
      <c r="C103" s="23"/>
      <c r="D103" s="23"/>
      <c r="E103" s="23"/>
      <c r="F103" s="23"/>
      <c r="G103" s="23"/>
      <c r="H103" s="24"/>
      <c r="I103" s="23"/>
      <c r="J103" s="23"/>
      <c r="K103" s="24"/>
      <c r="L103" s="23"/>
      <c r="M103" s="23"/>
    </row>
    <row r="104" spans="1:13" ht="14.45">
      <c r="A104" s="23"/>
      <c r="B104" s="35"/>
      <c r="C104" s="23"/>
      <c r="D104" s="23"/>
      <c r="E104" s="23"/>
      <c r="F104" s="23"/>
      <c r="G104" s="23"/>
      <c r="H104" s="24"/>
      <c r="I104" s="23"/>
      <c r="J104" s="23"/>
      <c r="K104" s="24"/>
      <c r="L104" s="23"/>
      <c r="M104" s="23"/>
    </row>
    <row r="105" spans="1:13" ht="14.45">
      <c r="A105" s="23"/>
      <c r="B105" s="35"/>
      <c r="C105" s="23"/>
      <c r="D105" s="23"/>
      <c r="E105" s="23"/>
      <c r="F105" s="23"/>
      <c r="G105" s="23"/>
      <c r="H105" s="24"/>
      <c r="I105" s="23"/>
      <c r="J105" s="23"/>
      <c r="K105" s="24"/>
      <c r="L105" s="23"/>
      <c r="M105" s="23"/>
    </row>
    <row r="106" spans="1:13" ht="14.45">
      <c r="A106" s="23"/>
      <c r="B106" s="35"/>
      <c r="C106" s="23"/>
      <c r="D106" s="23"/>
      <c r="E106" s="23"/>
      <c r="F106" s="23"/>
      <c r="G106" s="23"/>
      <c r="H106" s="24"/>
      <c r="I106" s="23"/>
      <c r="J106" s="23"/>
      <c r="K106" s="24"/>
      <c r="L106" s="23"/>
      <c r="M106" s="23"/>
    </row>
    <row r="107" spans="1:13" ht="14.45">
      <c r="A107" s="23"/>
      <c r="B107" s="35"/>
      <c r="C107" s="23"/>
      <c r="D107" s="23"/>
      <c r="E107" s="23"/>
      <c r="F107" s="23"/>
      <c r="G107" s="23"/>
      <c r="H107" s="24"/>
      <c r="I107" s="23"/>
      <c r="J107" s="23"/>
      <c r="K107" s="24"/>
      <c r="L107" s="23"/>
      <c r="M107" s="23"/>
    </row>
    <row r="108" spans="1:13" ht="14.45">
      <c r="A108" s="23"/>
      <c r="B108" s="35"/>
      <c r="C108" s="23"/>
      <c r="D108" s="23"/>
      <c r="E108" s="23"/>
      <c r="F108" s="23"/>
      <c r="G108" s="23"/>
      <c r="H108" s="24"/>
      <c r="I108" s="23"/>
      <c r="J108" s="23"/>
      <c r="K108" s="24"/>
      <c r="L108" s="23"/>
      <c r="M108" s="23"/>
    </row>
    <row r="109" spans="1:13" ht="14.45">
      <c r="A109" s="23"/>
      <c r="B109" s="35"/>
      <c r="C109" s="23"/>
      <c r="D109" s="23"/>
      <c r="E109" s="23"/>
      <c r="F109" s="23"/>
      <c r="G109" s="23"/>
      <c r="H109" s="24"/>
      <c r="I109" s="23"/>
      <c r="J109" s="23"/>
      <c r="K109" s="24"/>
      <c r="L109" s="23"/>
      <c r="M109" s="23"/>
    </row>
    <row r="110" spans="1:13" ht="14.45">
      <c r="A110" s="23"/>
      <c r="B110" s="35"/>
      <c r="C110" s="23"/>
      <c r="D110" s="23"/>
      <c r="E110" s="23"/>
      <c r="F110" s="23"/>
      <c r="G110" s="23"/>
      <c r="H110" s="24"/>
      <c r="I110" s="23"/>
      <c r="J110" s="23"/>
      <c r="K110" s="24"/>
      <c r="L110" s="23"/>
      <c r="M110" s="23"/>
    </row>
    <row r="111" spans="1:13" ht="14.45">
      <c r="A111" s="23"/>
      <c r="B111" s="35"/>
      <c r="C111" s="23"/>
      <c r="D111" s="23"/>
      <c r="E111" s="23"/>
      <c r="F111" s="23"/>
      <c r="G111" s="23"/>
      <c r="H111" s="24"/>
      <c r="I111" s="23"/>
      <c r="J111" s="23"/>
      <c r="K111" s="24"/>
      <c r="L111" s="23"/>
      <c r="M111" s="23"/>
    </row>
    <row r="112" spans="1:13" ht="14.45">
      <c r="A112" s="23"/>
      <c r="B112" s="35"/>
      <c r="C112" s="23"/>
      <c r="D112" s="23"/>
      <c r="E112" s="23"/>
      <c r="F112" s="23"/>
      <c r="G112" s="23"/>
      <c r="H112" s="24"/>
      <c r="I112" s="23"/>
      <c r="J112" s="23"/>
      <c r="K112" s="24"/>
      <c r="L112" s="23"/>
      <c r="M112" s="23"/>
    </row>
    <row r="113" spans="1:13" ht="14.45">
      <c r="A113" s="23"/>
      <c r="B113" s="35"/>
      <c r="C113" s="23"/>
      <c r="D113" s="23"/>
      <c r="E113" s="23"/>
      <c r="F113" s="23"/>
      <c r="G113" s="23"/>
      <c r="H113" s="24"/>
      <c r="I113" s="23"/>
      <c r="J113" s="23"/>
      <c r="K113" s="24"/>
      <c r="L113" s="23"/>
      <c r="M113" s="23"/>
    </row>
    <row r="114" spans="1:13" ht="14.45">
      <c r="A114" s="23"/>
      <c r="B114" s="35"/>
      <c r="C114" s="23"/>
      <c r="D114" s="23"/>
      <c r="E114" s="23"/>
      <c r="F114" s="23"/>
      <c r="G114" s="23"/>
      <c r="H114" s="24"/>
      <c r="I114" s="23"/>
      <c r="J114" s="23"/>
      <c r="K114" s="24"/>
      <c r="L114" s="23"/>
      <c r="M114" s="23"/>
    </row>
    <row r="115" spans="1:13" ht="14.45">
      <c r="A115" s="23"/>
      <c r="B115" s="35"/>
      <c r="C115" s="23"/>
      <c r="D115" s="23"/>
      <c r="E115" s="23"/>
      <c r="F115" s="23"/>
      <c r="G115" s="23"/>
      <c r="H115" s="24"/>
      <c r="I115" s="23"/>
      <c r="J115" s="23"/>
      <c r="K115" s="24"/>
      <c r="L115" s="23"/>
      <c r="M115" s="23"/>
    </row>
    <row r="116" spans="1:13" ht="14.45">
      <c r="A116" s="23"/>
      <c r="B116" s="35"/>
      <c r="C116" s="23"/>
      <c r="D116" s="23"/>
      <c r="E116" s="23"/>
      <c r="F116" s="23"/>
      <c r="G116" s="23"/>
      <c r="H116" s="24"/>
      <c r="I116" s="23"/>
      <c r="J116" s="23"/>
      <c r="K116" s="24"/>
      <c r="L116" s="23"/>
      <c r="M116" s="23"/>
    </row>
    <row r="117" spans="1:13" ht="14.45">
      <c r="A117" s="23"/>
      <c r="B117" s="35"/>
      <c r="C117" s="23"/>
      <c r="D117" s="23"/>
      <c r="E117" s="23"/>
      <c r="F117" s="23"/>
      <c r="G117" s="23"/>
      <c r="H117" s="24"/>
      <c r="I117" s="23"/>
      <c r="J117" s="23"/>
      <c r="K117" s="24"/>
      <c r="L117" s="23"/>
      <c r="M117" s="23"/>
    </row>
    <row r="118" spans="1:13" ht="14.45">
      <c r="A118" s="23"/>
      <c r="B118" s="35"/>
      <c r="C118" s="23"/>
      <c r="D118" s="23"/>
      <c r="E118" s="23"/>
      <c r="F118" s="23"/>
      <c r="G118" s="23"/>
      <c r="H118" s="24"/>
      <c r="I118" s="23"/>
      <c r="J118" s="23"/>
      <c r="K118" s="24"/>
      <c r="L118" s="23"/>
      <c r="M118" s="23"/>
    </row>
    <row r="119" spans="1:13" ht="14.45">
      <c r="A119" s="23"/>
      <c r="B119" s="35"/>
      <c r="C119" s="23"/>
      <c r="D119" s="23"/>
      <c r="E119" s="23"/>
      <c r="F119" s="23"/>
      <c r="G119" s="23"/>
      <c r="H119" s="24"/>
      <c r="I119" s="23"/>
      <c r="J119" s="23"/>
      <c r="K119" s="24"/>
      <c r="L119" s="23"/>
      <c r="M119" s="23"/>
    </row>
    <row r="120" spans="1:13" ht="14.45">
      <c r="A120" s="23"/>
      <c r="B120" s="35"/>
      <c r="C120" s="23"/>
      <c r="D120" s="23"/>
      <c r="E120" s="23"/>
      <c r="F120" s="23"/>
      <c r="G120" s="23"/>
      <c r="H120" s="24"/>
      <c r="I120" s="23"/>
      <c r="J120" s="23"/>
      <c r="K120" s="24"/>
      <c r="L120" s="23"/>
      <c r="M120" s="23"/>
    </row>
    <row r="121" spans="1:13" ht="14.45">
      <c r="A121" s="23"/>
      <c r="B121" s="35"/>
      <c r="C121" s="23"/>
      <c r="D121" s="23"/>
      <c r="E121" s="23"/>
      <c r="F121" s="23"/>
      <c r="G121" s="23"/>
      <c r="H121" s="24"/>
      <c r="I121" s="23"/>
      <c r="J121" s="23"/>
      <c r="K121" s="24"/>
      <c r="L121" s="23"/>
      <c r="M121" s="23"/>
    </row>
    <row r="122" spans="1:13" ht="14.45">
      <c r="A122" s="23"/>
      <c r="B122" s="35"/>
      <c r="C122" s="23"/>
      <c r="D122" s="23"/>
      <c r="E122" s="23"/>
      <c r="F122" s="23"/>
      <c r="G122" s="23"/>
      <c r="H122" s="24"/>
      <c r="I122" s="23"/>
      <c r="J122" s="23"/>
      <c r="K122" s="24"/>
      <c r="L122" s="23"/>
      <c r="M122" s="23"/>
    </row>
    <row r="123" spans="1:13" ht="14.45">
      <c r="A123" s="23"/>
      <c r="B123" s="35"/>
      <c r="C123" s="23"/>
      <c r="D123" s="23"/>
      <c r="E123" s="23"/>
      <c r="F123" s="23"/>
      <c r="G123" s="23"/>
      <c r="H123" s="24"/>
      <c r="I123" s="23"/>
      <c r="J123" s="23"/>
      <c r="K123" s="24"/>
      <c r="L123" s="23"/>
      <c r="M123" s="23"/>
    </row>
    <row r="124" spans="1:13" ht="14.45">
      <c r="A124" s="23"/>
      <c r="B124" s="35"/>
      <c r="C124" s="23"/>
      <c r="D124" s="23"/>
      <c r="E124" s="23"/>
      <c r="F124" s="23"/>
      <c r="G124" s="23"/>
      <c r="H124" s="24"/>
      <c r="I124" s="23"/>
      <c r="J124" s="23"/>
      <c r="K124" s="24"/>
      <c r="L124" s="23"/>
      <c r="M124" s="23"/>
    </row>
    <row r="125" spans="1:13" ht="14.45">
      <c r="A125" s="23"/>
      <c r="B125" s="35"/>
      <c r="C125" s="23"/>
      <c r="D125" s="23"/>
      <c r="E125" s="23"/>
      <c r="F125" s="23"/>
      <c r="G125" s="23"/>
      <c r="H125" s="24"/>
      <c r="I125" s="23"/>
      <c r="J125" s="23"/>
      <c r="K125" s="24"/>
      <c r="L125" s="23"/>
      <c r="M125" s="23"/>
    </row>
    <row r="126" spans="1:13" ht="14.45">
      <c r="A126" s="23"/>
      <c r="B126" s="35"/>
      <c r="C126" s="23"/>
      <c r="D126" s="23"/>
      <c r="E126" s="23"/>
      <c r="F126" s="23"/>
      <c r="G126" s="23"/>
      <c r="H126" s="24"/>
      <c r="I126" s="23"/>
      <c r="J126" s="23"/>
      <c r="K126" s="24"/>
      <c r="L126" s="23"/>
      <c r="M126" s="23"/>
    </row>
    <row r="127" spans="1:13" ht="14.45">
      <c r="A127" s="23"/>
      <c r="B127" s="35"/>
      <c r="C127" s="23"/>
      <c r="D127" s="23"/>
      <c r="E127" s="23"/>
      <c r="F127" s="23"/>
      <c r="G127" s="23"/>
      <c r="H127" s="24"/>
      <c r="I127" s="23"/>
      <c r="J127" s="23"/>
      <c r="K127" s="24"/>
      <c r="L127" s="23"/>
      <c r="M127" s="23"/>
    </row>
    <row r="128" spans="1:13" ht="14.45">
      <c r="A128" s="23"/>
      <c r="B128" s="35"/>
      <c r="C128" s="23"/>
      <c r="D128" s="23"/>
      <c r="E128" s="23"/>
      <c r="F128" s="23"/>
      <c r="G128" s="23"/>
      <c r="H128" s="24"/>
      <c r="I128" s="23"/>
      <c r="J128" s="23"/>
      <c r="K128" s="24"/>
      <c r="L128" s="23"/>
      <c r="M128" s="23"/>
    </row>
    <row r="129" spans="1:13" ht="14.45">
      <c r="A129" s="23"/>
      <c r="B129" s="35"/>
      <c r="C129" s="23"/>
      <c r="D129" s="23"/>
      <c r="E129" s="23"/>
      <c r="F129" s="23"/>
      <c r="G129" s="23"/>
      <c r="H129" s="24"/>
      <c r="I129" s="23"/>
      <c r="J129" s="23"/>
      <c r="K129" s="24"/>
      <c r="L129" s="23"/>
      <c r="M129" s="23"/>
    </row>
    <row r="130" spans="1:13" ht="14.45">
      <c r="A130" s="23"/>
      <c r="B130" s="35"/>
      <c r="C130" s="23"/>
      <c r="D130" s="23"/>
      <c r="E130" s="23"/>
      <c r="F130" s="23"/>
      <c r="G130" s="23"/>
      <c r="H130" s="24"/>
      <c r="I130" s="23"/>
      <c r="J130" s="23"/>
      <c r="K130" s="24"/>
      <c r="L130" s="23"/>
      <c r="M130" s="23"/>
    </row>
    <row r="131" spans="1:13" ht="14.45">
      <c r="A131" s="23"/>
      <c r="B131" s="35"/>
      <c r="C131" s="23"/>
      <c r="D131" s="23"/>
      <c r="E131" s="23"/>
      <c r="F131" s="23"/>
      <c r="G131" s="23"/>
      <c r="H131" s="24"/>
      <c r="I131" s="23"/>
      <c r="J131" s="23"/>
      <c r="K131" s="24"/>
      <c r="L131" s="23"/>
      <c r="M131" s="23"/>
    </row>
    <row r="132" spans="1:13" ht="14.45">
      <c r="A132" s="23"/>
      <c r="B132" s="35"/>
      <c r="C132" s="23"/>
      <c r="D132" s="23"/>
      <c r="E132" s="23"/>
      <c r="F132" s="23"/>
      <c r="G132" s="23"/>
      <c r="H132" s="24"/>
      <c r="I132" s="23"/>
      <c r="J132" s="23"/>
      <c r="K132" s="24"/>
      <c r="L132" s="23"/>
      <c r="M132" s="23"/>
    </row>
    <row r="133" spans="1:13" ht="14.45">
      <c r="A133" s="23"/>
      <c r="B133" s="35"/>
      <c r="C133" s="23"/>
      <c r="D133" s="23"/>
      <c r="E133" s="23"/>
      <c r="F133" s="23"/>
      <c r="G133" s="23"/>
      <c r="H133" s="24"/>
      <c r="I133" s="23"/>
      <c r="J133" s="23"/>
      <c r="K133" s="24"/>
      <c r="L133" s="23"/>
      <c r="M133" s="23"/>
    </row>
    <row r="134" spans="1:13" ht="14.45">
      <c r="A134" s="23"/>
      <c r="B134" s="35"/>
      <c r="C134" s="23"/>
      <c r="D134" s="23"/>
      <c r="E134" s="23"/>
      <c r="F134" s="23"/>
      <c r="G134" s="23"/>
      <c r="H134" s="24"/>
      <c r="I134" s="23"/>
      <c r="J134" s="23"/>
      <c r="K134" s="24"/>
      <c r="L134" s="23"/>
      <c r="M134" s="23"/>
    </row>
    <row r="135" spans="1:13" ht="14.45">
      <c r="A135" s="23"/>
      <c r="B135" s="35"/>
      <c r="C135" s="23"/>
      <c r="D135" s="23"/>
      <c r="E135" s="23"/>
      <c r="F135" s="23"/>
      <c r="G135" s="23"/>
      <c r="H135" s="24"/>
      <c r="I135" s="23"/>
      <c r="J135" s="23"/>
      <c r="K135" s="24"/>
      <c r="L135" s="23"/>
      <c r="M135" s="23"/>
    </row>
    <row r="136" spans="1:13" ht="14.45">
      <c r="A136" s="23"/>
      <c r="B136" s="35"/>
      <c r="C136" s="23"/>
      <c r="D136" s="23"/>
      <c r="E136" s="23"/>
      <c r="F136" s="23"/>
      <c r="G136" s="23"/>
      <c r="H136" s="24"/>
      <c r="I136" s="23"/>
      <c r="J136" s="23"/>
      <c r="K136" s="24"/>
      <c r="L136" s="23"/>
      <c r="M136" s="23"/>
    </row>
    <row r="137" spans="1:13" ht="14.45">
      <c r="A137" s="23"/>
      <c r="B137" s="35"/>
      <c r="C137" s="23"/>
      <c r="D137" s="23"/>
      <c r="E137" s="23"/>
      <c r="F137" s="23"/>
      <c r="G137" s="23"/>
      <c r="H137" s="24"/>
      <c r="I137" s="23"/>
      <c r="J137" s="23"/>
      <c r="K137" s="24"/>
      <c r="L137" s="23"/>
      <c r="M137" s="23"/>
    </row>
    <row r="138" spans="1:13" ht="14.45">
      <c r="A138" s="23"/>
      <c r="B138" s="35"/>
      <c r="C138" s="23"/>
      <c r="D138" s="23"/>
      <c r="E138" s="23"/>
      <c r="F138" s="23"/>
      <c r="G138" s="23"/>
      <c r="H138" s="24"/>
      <c r="I138" s="23"/>
      <c r="J138" s="23"/>
      <c r="K138" s="24"/>
      <c r="L138" s="23"/>
      <c r="M138" s="23"/>
    </row>
    <row r="139" spans="1:13" ht="14.45">
      <c r="A139" s="23"/>
      <c r="B139" s="35"/>
      <c r="C139" s="23"/>
      <c r="D139" s="23"/>
      <c r="E139" s="23"/>
      <c r="F139" s="23"/>
      <c r="G139" s="23"/>
      <c r="H139" s="24"/>
      <c r="I139" s="23"/>
      <c r="J139" s="23"/>
      <c r="K139" s="24"/>
      <c r="L139" s="23"/>
      <c r="M139" s="23"/>
    </row>
    <row r="140" spans="1:13" ht="14.45">
      <c r="A140" s="23"/>
      <c r="B140" s="35"/>
      <c r="C140" s="23"/>
      <c r="D140" s="23"/>
      <c r="E140" s="23"/>
      <c r="F140" s="23"/>
      <c r="G140" s="23"/>
      <c r="H140" s="24"/>
      <c r="I140" s="23"/>
      <c r="J140" s="23"/>
      <c r="K140" s="24"/>
      <c r="L140" s="23"/>
      <c r="M140" s="23"/>
    </row>
    <row r="141" spans="1:13" ht="14.45">
      <c r="A141" s="23"/>
      <c r="B141" s="35"/>
      <c r="C141" s="23"/>
      <c r="D141" s="23"/>
      <c r="E141" s="23"/>
      <c r="F141" s="23"/>
      <c r="G141" s="23"/>
      <c r="H141" s="24"/>
      <c r="I141" s="23"/>
      <c r="J141" s="23"/>
      <c r="K141" s="24"/>
      <c r="L141" s="23"/>
      <c r="M141" s="23"/>
    </row>
    <row r="142" spans="1:13" ht="14.45">
      <c r="A142" s="23"/>
      <c r="B142" s="35"/>
      <c r="C142" s="23"/>
      <c r="D142" s="23"/>
      <c r="E142" s="23"/>
      <c r="F142" s="23"/>
      <c r="G142" s="23"/>
      <c r="H142" s="24"/>
      <c r="I142" s="23"/>
      <c r="J142" s="23"/>
      <c r="K142" s="24"/>
      <c r="L142" s="23"/>
      <c r="M142" s="23"/>
    </row>
    <row r="143" spans="1:13" ht="14.45">
      <c r="A143" s="23"/>
      <c r="B143" s="35"/>
      <c r="C143" s="23"/>
      <c r="D143" s="23"/>
      <c r="E143" s="23"/>
      <c r="F143" s="23"/>
      <c r="G143" s="23"/>
      <c r="H143" s="24"/>
      <c r="I143" s="23"/>
      <c r="J143" s="23"/>
      <c r="K143" s="24"/>
      <c r="L143" s="23"/>
      <c r="M143" s="23"/>
    </row>
    <row r="144" spans="1:13" ht="14.45">
      <c r="A144" s="23"/>
      <c r="B144" s="35"/>
      <c r="C144" s="23"/>
      <c r="D144" s="23"/>
      <c r="E144" s="23"/>
      <c r="F144" s="23"/>
      <c r="G144" s="23"/>
      <c r="H144" s="24"/>
      <c r="I144" s="23"/>
      <c r="J144" s="23"/>
      <c r="K144" s="24"/>
      <c r="L144" s="23"/>
      <c r="M144" s="23"/>
    </row>
    <row r="145" spans="1:13" ht="14.45">
      <c r="A145" s="23"/>
      <c r="B145" s="35"/>
      <c r="C145" s="23"/>
      <c r="D145" s="23"/>
      <c r="E145" s="23"/>
      <c r="F145" s="23"/>
      <c r="G145" s="23"/>
      <c r="H145" s="24"/>
      <c r="I145" s="23"/>
      <c r="J145" s="23"/>
      <c r="K145" s="24"/>
      <c r="L145" s="23"/>
      <c r="M145" s="23"/>
    </row>
    <row r="146" spans="1:13" ht="14.45">
      <c r="A146" s="23"/>
      <c r="B146" s="35"/>
      <c r="C146" s="23"/>
      <c r="D146" s="23"/>
      <c r="E146" s="23"/>
      <c r="F146" s="23"/>
      <c r="G146" s="23"/>
      <c r="H146" s="24"/>
      <c r="I146" s="23"/>
      <c r="J146" s="23"/>
      <c r="K146" s="24"/>
      <c r="L146" s="23"/>
      <c r="M146" s="23"/>
    </row>
    <row r="147" spans="1:13" ht="14.45">
      <c r="A147" s="23"/>
      <c r="B147" s="35"/>
      <c r="C147" s="23"/>
      <c r="D147" s="23"/>
      <c r="E147" s="23"/>
      <c r="F147" s="23"/>
      <c r="G147" s="23"/>
      <c r="H147" s="24"/>
      <c r="I147" s="23"/>
      <c r="J147" s="23"/>
      <c r="K147" s="24"/>
      <c r="L147" s="23"/>
      <c r="M147" s="23"/>
    </row>
    <row r="148" spans="1:13" ht="14.45">
      <c r="A148" s="23"/>
      <c r="B148" s="35"/>
      <c r="C148" s="23"/>
      <c r="D148" s="23"/>
      <c r="E148" s="23"/>
      <c r="F148" s="23"/>
      <c r="G148" s="23"/>
      <c r="H148" s="24"/>
      <c r="I148" s="23"/>
      <c r="J148" s="23"/>
      <c r="K148" s="24"/>
      <c r="L148" s="23"/>
      <c r="M148" s="23"/>
    </row>
    <row r="149" spans="1:13" ht="14.45">
      <c r="A149" s="23"/>
      <c r="B149" s="35"/>
      <c r="C149" s="23"/>
      <c r="D149" s="23"/>
      <c r="E149" s="23"/>
      <c r="F149" s="23"/>
      <c r="G149" s="23"/>
      <c r="H149" s="24"/>
      <c r="I149" s="23"/>
      <c r="J149" s="23"/>
      <c r="K149" s="24"/>
      <c r="L149" s="23"/>
      <c r="M149" s="23"/>
    </row>
    <row r="150" spans="1:13" ht="14.45">
      <c r="A150" s="23"/>
      <c r="B150" s="35"/>
      <c r="C150" s="23"/>
      <c r="D150" s="23"/>
      <c r="E150" s="23"/>
      <c r="F150" s="23"/>
      <c r="G150" s="23"/>
      <c r="H150" s="24"/>
      <c r="I150" s="23"/>
      <c r="J150" s="23"/>
      <c r="K150" s="24"/>
      <c r="L150" s="23"/>
      <c r="M150" s="23"/>
    </row>
    <row r="151" spans="1:13" ht="14.45">
      <c r="A151" s="23"/>
      <c r="B151" s="35"/>
      <c r="C151" s="23"/>
      <c r="D151" s="23"/>
      <c r="E151" s="23"/>
      <c r="F151" s="23"/>
      <c r="G151" s="23"/>
      <c r="H151" s="24"/>
      <c r="I151" s="23"/>
      <c r="J151" s="23"/>
      <c r="K151" s="24"/>
      <c r="L151" s="23"/>
      <c r="M151" s="23"/>
    </row>
    <row r="152" spans="1:13" ht="14.45">
      <c r="A152" s="23"/>
      <c r="B152" s="35"/>
      <c r="C152" s="23"/>
      <c r="D152" s="23"/>
      <c r="E152" s="23"/>
      <c r="F152" s="23"/>
      <c r="G152" s="23"/>
      <c r="H152" s="24"/>
      <c r="I152" s="23"/>
      <c r="J152" s="23"/>
      <c r="K152" s="24"/>
      <c r="L152" s="23"/>
      <c r="M152" s="23"/>
    </row>
    <row r="153" spans="1:13" ht="14.45">
      <c r="A153" s="23"/>
      <c r="B153" s="35"/>
      <c r="C153" s="23"/>
      <c r="D153" s="23"/>
      <c r="E153" s="23"/>
      <c r="F153" s="23"/>
      <c r="G153" s="23"/>
      <c r="H153" s="24"/>
      <c r="I153" s="23"/>
      <c r="J153" s="23"/>
      <c r="K153" s="24"/>
      <c r="L153" s="23"/>
      <c r="M153" s="23"/>
    </row>
    <row r="154" spans="1:13" ht="14.45">
      <c r="A154" s="23"/>
      <c r="B154" s="35"/>
      <c r="C154" s="23"/>
      <c r="D154" s="23"/>
      <c r="E154" s="23"/>
      <c r="F154" s="23"/>
      <c r="G154" s="23"/>
      <c r="H154" s="24"/>
      <c r="I154" s="23"/>
      <c r="J154" s="23"/>
      <c r="K154" s="24"/>
      <c r="L154" s="23"/>
      <c r="M154" s="23"/>
    </row>
    <row r="155" spans="1:13" ht="14.45">
      <c r="A155" s="23"/>
      <c r="B155" s="35"/>
      <c r="C155" s="23"/>
      <c r="D155" s="23"/>
      <c r="E155" s="23"/>
      <c r="F155" s="23"/>
      <c r="G155" s="23"/>
      <c r="H155" s="24"/>
      <c r="I155" s="23"/>
      <c r="J155" s="23"/>
      <c r="K155" s="24"/>
      <c r="L155" s="23"/>
      <c r="M155" s="23"/>
    </row>
    <row r="156" spans="1:13" ht="14.45">
      <c r="A156" s="23"/>
      <c r="B156" s="35"/>
      <c r="C156" s="23"/>
      <c r="D156" s="23"/>
      <c r="E156" s="23"/>
      <c r="F156" s="23"/>
      <c r="G156" s="23"/>
      <c r="H156" s="24"/>
      <c r="I156" s="23"/>
      <c r="J156" s="23"/>
      <c r="K156" s="24"/>
      <c r="L156" s="23"/>
      <c r="M156" s="23"/>
    </row>
    <row r="157" spans="1:13" ht="14.45">
      <c r="A157" s="23"/>
      <c r="B157" s="35"/>
      <c r="C157" s="23"/>
      <c r="D157" s="23"/>
      <c r="E157" s="23"/>
      <c r="F157" s="23"/>
      <c r="G157" s="23"/>
      <c r="H157" s="24"/>
      <c r="I157" s="23"/>
      <c r="J157" s="23"/>
      <c r="K157" s="24"/>
      <c r="L157" s="23"/>
      <c r="M157" s="23"/>
    </row>
    <row r="158" spans="1:13" ht="14.45">
      <c r="A158" s="23"/>
      <c r="B158" s="35"/>
      <c r="C158" s="23"/>
      <c r="D158" s="23"/>
      <c r="E158" s="23"/>
      <c r="F158" s="23"/>
      <c r="G158" s="23"/>
      <c r="H158" s="24"/>
      <c r="I158" s="23"/>
      <c r="J158" s="23"/>
      <c r="K158" s="24"/>
      <c r="L158" s="23"/>
      <c r="M158" s="23"/>
    </row>
    <row r="159" spans="1:13" ht="14.45">
      <c r="A159" s="23"/>
      <c r="B159" s="35"/>
      <c r="C159" s="23"/>
      <c r="D159" s="23"/>
      <c r="E159" s="23"/>
      <c r="F159" s="23"/>
      <c r="G159" s="23"/>
      <c r="H159" s="24"/>
      <c r="I159" s="23"/>
      <c r="J159" s="23"/>
      <c r="K159" s="24"/>
      <c r="L159" s="23"/>
      <c r="M159" s="23"/>
    </row>
    <row r="160" spans="1:13" ht="14.45">
      <c r="A160" s="23"/>
      <c r="B160" s="35"/>
      <c r="C160" s="23"/>
      <c r="D160" s="23"/>
      <c r="E160" s="23"/>
      <c r="F160" s="23"/>
      <c r="G160" s="23"/>
      <c r="H160" s="24"/>
      <c r="I160" s="23"/>
      <c r="J160" s="23"/>
      <c r="K160" s="24"/>
      <c r="L160" s="23"/>
      <c r="M160" s="23"/>
    </row>
    <row r="161" spans="1:13" ht="14.45">
      <c r="A161" s="23"/>
      <c r="B161" s="35"/>
      <c r="C161" s="23"/>
      <c r="D161" s="23"/>
      <c r="E161" s="23"/>
      <c r="F161" s="23"/>
      <c r="G161" s="23"/>
      <c r="H161" s="24"/>
      <c r="I161" s="23"/>
      <c r="J161" s="23"/>
      <c r="K161" s="24"/>
      <c r="L161" s="23"/>
      <c r="M161" s="23"/>
    </row>
    <row r="162" spans="1:13" ht="14.45">
      <c r="A162" s="23"/>
      <c r="B162" s="35"/>
      <c r="C162" s="23"/>
      <c r="D162" s="23"/>
      <c r="E162" s="23"/>
      <c r="F162" s="23"/>
      <c r="G162" s="23"/>
      <c r="H162" s="24"/>
      <c r="I162" s="23"/>
      <c r="J162" s="23"/>
      <c r="K162" s="24"/>
      <c r="L162" s="23"/>
      <c r="M162" s="23"/>
    </row>
    <row r="163" spans="1:13" ht="14.45">
      <c r="A163" s="23"/>
      <c r="B163" s="35"/>
      <c r="C163" s="23"/>
      <c r="D163" s="23"/>
      <c r="E163" s="23"/>
      <c r="F163" s="23"/>
      <c r="G163" s="23"/>
      <c r="H163" s="24"/>
      <c r="I163" s="23"/>
      <c r="J163" s="23"/>
      <c r="K163" s="24"/>
      <c r="L163" s="23"/>
      <c r="M163" s="23"/>
    </row>
    <row r="164" spans="1:13" ht="14.45">
      <c r="A164" s="23"/>
      <c r="B164" s="35"/>
      <c r="C164" s="23"/>
      <c r="D164" s="23"/>
      <c r="E164" s="23"/>
      <c r="F164" s="23"/>
      <c r="G164" s="23"/>
      <c r="H164" s="24"/>
      <c r="I164" s="23"/>
      <c r="J164" s="23"/>
      <c r="K164" s="24"/>
      <c r="L164" s="23"/>
      <c r="M164" s="23"/>
    </row>
    <row r="165" spans="1:13" ht="14.45">
      <c r="A165" s="23"/>
      <c r="B165" s="35"/>
      <c r="C165" s="23"/>
      <c r="D165" s="23"/>
      <c r="E165" s="23"/>
      <c r="F165" s="23"/>
      <c r="G165" s="23"/>
      <c r="H165" s="24"/>
      <c r="I165" s="23"/>
      <c r="J165" s="23"/>
      <c r="K165" s="24"/>
      <c r="L165" s="23"/>
      <c r="M165" s="23"/>
    </row>
    <row r="166" spans="1:13" ht="14.45">
      <c r="A166" s="23"/>
      <c r="B166" s="35"/>
      <c r="C166" s="23"/>
      <c r="D166" s="23"/>
      <c r="E166" s="23"/>
      <c r="F166" s="23"/>
      <c r="G166" s="23"/>
      <c r="H166" s="24"/>
      <c r="I166" s="23"/>
      <c r="J166" s="23"/>
      <c r="K166" s="24"/>
      <c r="L166" s="23"/>
      <c r="M166" s="23"/>
    </row>
    <row r="167" spans="1:13" ht="14.45">
      <c r="A167" s="23"/>
      <c r="B167" s="35"/>
      <c r="C167" s="23"/>
      <c r="D167" s="23"/>
      <c r="E167" s="23"/>
      <c r="F167" s="23"/>
      <c r="G167" s="23"/>
      <c r="H167" s="24"/>
      <c r="I167" s="23"/>
      <c r="J167" s="23"/>
      <c r="K167" s="24"/>
      <c r="L167" s="23"/>
      <c r="M167" s="23"/>
    </row>
    <row r="168" spans="1:13" ht="14.45">
      <c r="A168" s="23"/>
      <c r="B168" s="35"/>
      <c r="C168" s="23"/>
      <c r="D168" s="23"/>
      <c r="E168" s="23"/>
      <c r="F168" s="23"/>
      <c r="G168" s="23"/>
      <c r="H168" s="24"/>
      <c r="I168" s="23"/>
      <c r="J168" s="23"/>
      <c r="K168" s="24"/>
      <c r="L168" s="23"/>
      <c r="M168" s="23"/>
    </row>
    <row r="169" spans="1:13" ht="14.45">
      <c r="A169" s="23"/>
      <c r="B169" s="35"/>
      <c r="C169" s="23"/>
      <c r="D169" s="23"/>
      <c r="E169" s="23"/>
      <c r="F169" s="23"/>
      <c r="G169" s="23"/>
      <c r="H169" s="24"/>
      <c r="I169" s="23"/>
      <c r="J169" s="23"/>
      <c r="K169" s="24"/>
      <c r="L169" s="23"/>
      <c r="M169" s="23"/>
    </row>
    <row r="170" spans="1:13" ht="14.45">
      <c r="A170" s="23"/>
      <c r="B170" s="35"/>
      <c r="C170" s="23"/>
      <c r="D170" s="23"/>
      <c r="E170" s="23"/>
      <c r="F170" s="23"/>
      <c r="G170" s="23"/>
      <c r="H170" s="24"/>
      <c r="I170" s="23"/>
      <c r="J170" s="23"/>
      <c r="K170" s="24"/>
      <c r="L170" s="23"/>
      <c r="M170" s="23"/>
    </row>
    <row r="171" spans="1:13" ht="14.45">
      <c r="A171" s="23"/>
      <c r="B171" s="35"/>
      <c r="C171" s="23"/>
      <c r="D171" s="23"/>
      <c r="E171" s="23"/>
      <c r="F171" s="23"/>
      <c r="G171" s="23"/>
      <c r="H171" s="24"/>
      <c r="I171" s="23"/>
      <c r="J171" s="23"/>
      <c r="K171" s="24"/>
      <c r="L171" s="23"/>
      <c r="M171" s="23"/>
    </row>
    <row r="172" spans="1:13" ht="14.45">
      <c r="A172" s="23"/>
      <c r="B172" s="35"/>
      <c r="C172" s="23"/>
      <c r="D172" s="23"/>
      <c r="E172" s="23"/>
      <c r="F172" s="23"/>
      <c r="G172" s="23"/>
      <c r="H172" s="24"/>
      <c r="I172" s="23"/>
      <c r="J172" s="23"/>
      <c r="K172" s="24"/>
      <c r="L172" s="23"/>
      <c r="M172" s="23"/>
    </row>
    <row r="173" spans="1:13" ht="14.45">
      <c r="A173" s="23"/>
      <c r="B173" s="35"/>
      <c r="C173" s="23"/>
      <c r="D173" s="23"/>
      <c r="E173" s="23"/>
      <c r="F173" s="23"/>
      <c r="G173" s="23"/>
      <c r="H173" s="24"/>
      <c r="I173" s="23"/>
      <c r="J173" s="23"/>
      <c r="K173" s="24"/>
      <c r="L173" s="23"/>
      <c r="M173" s="23"/>
    </row>
    <row r="174" spans="1:13" ht="14.45">
      <c r="A174" s="23"/>
      <c r="B174" s="35"/>
      <c r="C174" s="23"/>
      <c r="D174" s="23"/>
      <c r="E174" s="23"/>
      <c r="F174" s="23"/>
      <c r="G174" s="23"/>
      <c r="H174" s="24"/>
      <c r="I174" s="23"/>
      <c r="J174" s="23"/>
      <c r="K174" s="24"/>
      <c r="L174" s="23"/>
      <c r="M174" s="23"/>
    </row>
    <row r="175" spans="1:13" ht="14.45">
      <c r="A175" s="23"/>
      <c r="B175" s="35"/>
      <c r="C175" s="23"/>
      <c r="D175" s="23"/>
      <c r="E175" s="23"/>
      <c r="F175" s="23"/>
      <c r="G175" s="23"/>
      <c r="H175" s="24"/>
      <c r="I175" s="23"/>
      <c r="J175" s="23"/>
      <c r="K175" s="24"/>
      <c r="L175" s="23"/>
      <c r="M175" s="23"/>
    </row>
    <row r="176" spans="1:13" ht="14.45">
      <c r="A176" s="23"/>
      <c r="B176" s="35"/>
      <c r="C176" s="23"/>
      <c r="D176" s="23"/>
      <c r="E176" s="23"/>
      <c r="F176" s="23"/>
      <c r="G176" s="23"/>
      <c r="H176" s="24"/>
      <c r="I176" s="23"/>
      <c r="J176" s="23"/>
      <c r="K176" s="24"/>
      <c r="L176" s="23"/>
      <c r="M176" s="23"/>
    </row>
    <row r="177" spans="1:13" ht="14.45">
      <c r="A177" s="23"/>
      <c r="B177" s="35"/>
      <c r="C177" s="23"/>
      <c r="D177" s="23"/>
      <c r="E177" s="23"/>
      <c r="F177" s="23"/>
      <c r="G177" s="23"/>
      <c r="H177" s="24"/>
      <c r="I177" s="23"/>
      <c r="J177" s="23"/>
      <c r="K177" s="24"/>
      <c r="L177" s="23"/>
      <c r="M177" s="23"/>
    </row>
    <row r="178" spans="1:13" ht="14.45">
      <c r="A178" s="23"/>
      <c r="B178" s="35"/>
      <c r="C178" s="23"/>
      <c r="D178" s="23"/>
      <c r="E178" s="23"/>
      <c r="F178" s="23"/>
      <c r="G178" s="23"/>
      <c r="H178" s="24"/>
      <c r="I178" s="23"/>
      <c r="J178" s="23"/>
      <c r="K178" s="24"/>
      <c r="L178" s="23"/>
      <c r="M178" s="23"/>
    </row>
    <row r="179" spans="1:13" ht="14.45">
      <c r="A179" s="23"/>
      <c r="B179" s="35"/>
      <c r="C179" s="23"/>
      <c r="D179" s="23"/>
      <c r="E179" s="23"/>
      <c r="F179" s="23"/>
      <c r="G179" s="23"/>
      <c r="H179" s="24"/>
      <c r="I179" s="23"/>
      <c r="J179" s="23"/>
      <c r="K179" s="24"/>
      <c r="L179" s="23"/>
      <c r="M179" s="23"/>
    </row>
    <row r="180" spans="1:13" ht="14.45">
      <c r="A180" s="23"/>
      <c r="B180" s="35"/>
      <c r="C180" s="23"/>
      <c r="D180" s="23"/>
      <c r="E180" s="23"/>
      <c r="F180" s="23"/>
      <c r="G180" s="23"/>
      <c r="H180" s="24"/>
      <c r="I180" s="23"/>
      <c r="J180" s="23"/>
      <c r="K180" s="24"/>
      <c r="L180" s="23"/>
      <c r="M180" s="23"/>
    </row>
    <row r="181" spans="1:13" ht="14.45">
      <c r="A181" s="23"/>
      <c r="B181" s="35"/>
      <c r="C181" s="23"/>
      <c r="D181" s="23"/>
      <c r="E181" s="23"/>
      <c r="F181" s="23"/>
      <c r="G181" s="23"/>
      <c r="H181" s="24"/>
      <c r="I181" s="23"/>
      <c r="J181" s="23"/>
      <c r="K181" s="24"/>
      <c r="L181" s="23"/>
      <c r="M181" s="23"/>
    </row>
    <row r="182" spans="1:13" ht="14.45">
      <c r="A182" s="23"/>
      <c r="B182" s="35"/>
      <c r="C182" s="23"/>
      <c r="D182" s="23"/>
      <c r="E182" s="23"/>
      <c r="F182" s="23"/>
      <c r="G182" s="23"/>
      <c r="H182" s="24"/>
      <c r="I182" s="23"/>
      <c r="J182" s="23"/>
      <c r="K182" s="24"/>
      <c r="L182" s="23"/>
      <c r="M182" s="23"/>
    </row>
    <row r="183" spans="1:13" ht="14.45">
      <c r="A183" s="23"/>
      <c r="B183" s="35"/>
      <c r="C183" s="23"/>
      <c r="D183" s="23"/>
      <c r="E183" s="23"/>
      <c r="F183" s="23"/>
      <c r="G183" s="23"/>
      <c r="H183" s="24"/>
      <c r="I183" s="23"/>
      <c r="J183" s="23"/>
      <c r="K183" s="24"/>
      <c r="L183" s="23"/>
      <c r="M183" s="23"/>
    </row>
    <row r="184" spans="1:13" ht="14.45">
      <c r="A184" s="23"/>
      <c r="B184" s="35"/>
      <c r="C184" s="23"/>
      <c r="D184" s="23"/>
      <c r="E184" s="23"/>
      <c r="F184" s="23"/>
      <c r="G184" s="23"/>
      <c r="H184" s="24"/>
      <c r="I184" s="23"/>
      <c r="J184" s="23"/>
      <c r="K184" s="24"/>
      <c r="L184" s="23"/>
      <c r="M184" s="23"/>
    </row>
    <row r="185" spans="1:13" ht="14.45">
      <c r="A185" s="23"/>
      <c r="B185" s="35"/>
      <c r="C185" s="23"/>
      <c r="D185" s="23"/>
      <c r="E185" s="23"/>
      <c r="F185" s="23"/>
      <c r="G185" s="23"/>
      <c r="H185" s="24"/>
      <c r="I185" s="23"/>
      <c r="J185" s="23"/>
      <c r="K185" s="24"/>
      <c r="L185" s="23"/>
      <c r="M185" s="23"/>
    </row>
    <row r="186" spans="1:13" ht="14.45">
      <c r="A186" s="23"/>
      <c r="B186" s="35"/>
      <c r="C186" s="23"/>
      <c r="D186" s="23"/>
      <c r="E186" s="23"/>
      <c r="F186" s="23"/>
      <c r="G186" s="23"/>
      <c r="H186" s="24"/>
      <c r="I186" s="23"/>
      <c r="J186" s="23"/>
      <c r="K186" s="24"/>
      <c r="L186" s="23"/>
      <c r="M186" s="23"/>
    </row>
    <row r="187" spans="1:13" ht="14.45">
      <c r="A187" s="23"/>
      <c r="B187" s="35"/>
      <c r="C187" s="23"/>
      <c r="D187" s="23"/>
      <c r="E187" s="23"/>
      <c r="F187" s="23"/>
      <c r="G187" s="23"/>
      <c r="H187" s="24"/>
      <c r="I187" s="23"/>
      <c r="J187" s="23"/>
      <c r="K187" s="24"/>
      <c r="L187" s="23"/>
      <c r="M187" s="23"/>
    </row>
    <row r="188" spans="1:13" ht="14.45">
      <c r="A188" s="23"/>
      <c r="B188" s="35"/>
      <c r="C188" s="23"/>
      <c r="D188" s="23"/>
      <c r="E188" s="23"/>
      <c r="F188" s="23"/>
      <c r="G188" s="23"/>
      <c r="H188" s="24"/>
      <c r="I188" s="23"/>
      <c r="J188" s="23"/>
      <c r="K188" s="24"/>
      <c r="L188" s="23"/>
      <c r="M188" s="23"/>
    </row>
    <row r="189" spans="1:13" ht="14.45">
      <c r="A189" s="23"/>
      <c r="B189" s="35"/>
      <c r="C189" s="23"/>
      <c r="D189" s="23"/>
      <c r="E189" s="23"/>
      <c r="F189" s="23"/>
      <c r="G189" s="23"/>
      <c r="H189" s="24"/>
      <c r="I189" s="23"/>
      <c r="J189" s="23"/>
      <c r="K189" s="24"/>
      <c r="L189" s="23"/>
      <c r="M189" s="23"/>
    </row>
    <row r="190" spans="1:13" ht="14.45">
      <c r="A190" s="23"/>
      <c r="B190" s="35"/>
      <c r="C190" s="23"/>
      <c r="D190" s="23"/>
      <c r="E190" s="23"/>
      <c r="F190" s="23"/>
      <c r="G190" s="23"/>
      <c r="H190" s="24"/>
      <c r="I190" s="23"/>
      <c r="J190" s="23"/>
      <c r="K190" s="24"/>
      <c r="L190" s="23"/>
      <c r="M190" s="23"/>
    </row>
    <row r="191" spans="1:13" ht="14.45">
      <c r="A191" s="23"/>
      <c r="B191" s="35"/>
      <c r="C191" s="23"/>
      <c r="D191" s="23"/>
      <c r="E191" s="23"/>
      <c r="F191" s="23"/>
      <c r="G191" s="23"/>
      <c r="H191" s="24"/>
      <c r="I191" s="23"/>
      <c r="J191" s="23"/>
      <c r="K191" s="24"/>
      <c r="L191" s="23"/>
      <c r="M191" s="23"/>
    </row>
    <row r="192" spans="1:13" ht="14.45">
      <c r="A192" s="23"/>
      <c r="B192" s="35"/>
      <c r="C192" s="23"/>
      <c r="D192" s="23"/>
      <c r="E192" s="23"/>
      <c r="F192" s="23"/>
      <c r="G192" s="23"/>
      <c r="H192" s="24"/>
      <c r="I192" s="23"/>
      <c r="J192" s="23"/>
      <c r="K192" s="24"/>
      <c r="L192" s="23"/>
      <c r="M192" s="23"/>
    </row>
    <row r="193" spans="1:13" ht="14.45">
      <c r="A193" s="23"/>
      <c r="B193" s="35"/>
      <c r="C193" s="23"/>
      <c r="D193" s="23"/>
      <c r="E193" s="23"/>
      <c r="F193" s="23"/>
      <c r="G193" s="23"/>
      <c r="H193" s="24"/>
      <c r="I193" s="23"/>
      <c r="J193" s="23"/>
      <c r="K193" s="24"/>
      <c r="L193" s="23"/>
      <c r="M193" s="23"/>
    </row>
    <row r="194" spans="1:13" ht="14.45">
      <c r="A194" s="23"/>
      <c r="B194" s="35"/>
      <c r="C194" s="23"/>
      <c r="D194" s="23"/>
      <c r="E194" s="23"/>
      <c r="F194" s="23"/>
      <c r="G194" s="23"/>
      <c r="H194" s="24"/>
      <c r="I194" s="23"/>
      <c r="J194" s="23"/>
      <c r="K194" s="24"/>
      <c r="L194" s="23"/>
      <c r="M194" s="23"/>
    </row>
    <row r="195" spans="1:13" ht="14.45">
      <c r="A195" s="23"/>
      <c r="B195" s="35"/>
      <c r="C195" s="23"/>
      <c r="D195" s="23"/>
      <c r="E195" s="23"/>
      <c r="F195" s="23"/>
      <c r="G195" s="23"/>
      <c r="H195" s="24"/>
      <c r="I195" s="23"/>
      <c r="J195" s="23"/>
      <c r="K195" s="24"/>
      <c r="L195" s="23"/>
      <c r="M195" s="23"/>
    </row>
    <row r="196" spans="1:13" ht="14.45">
      <c r="A196" s="23"/>
      <c r="B196" s="35"/>
      <c r="C196" s="23"/>
      <c r="D196" s="23"/>
      <c r="E196" s="23"/>
      <c r="F196" s="23"/>
      <c r="G196" s="23"/>
      <c r="H196" s="24"/>
      <c r="I196" s="23"/>
      <c r="J196" s="23"/>
      <c r="K196" s="24"/>
      <c r="L196" s="23"/>
      <c r="M196" s="23"/>
    </row>
    <row r="197" spans="1:13" ht="14.45">
      <c r="A197" s="23"/>
      <c r="B197" s="35"/>
      <c r="C197" s="23"/>
      <c r="D197" s="23"/>
      <c r="E197" s="23"/>
      <c r="F197" s="23"/>
      <c r="G197" s="23"/>
      <c r="H197" s="24"/>
      <c r="I197" s="23"/>
      <c r="J197" s="23"/>
      <c r="K197" s="24"/>
      <c r="L197" s="23"/>
      <c r="M197" s="23"/>
    </row>
    <row r="198" spans="1:13" ht="14.45">
      <c r="A198" s="23"/>
      <c r="B198" s="35"/>
      <c r="C198" s="23"/>
      <c r="D198" s="23"/>
      <c r="E198" s="23"/>
      <c r="F198" s="23"/>
      <c r="G198" s="23"/>
      <c r="H198" s="24"/>
      <c r="I198" s="23"/>
      <c r="J198" s="23"/>
      <c r="K198" s="24"/>
      <c r="L198" s="23"/>
      <c r="M198" s="23"/>
    </row>
    <row r="199" spans="1:13" ht="14.45">
      <c r="A199" s="23"/>
      <c r="B199" s="35"/>
      <c r="C199" s="23"/>
      <c r="D199" s="23"/>
      <c r="E199" s="23"/>
      <c r="F199" s="23"/>
      <c r="G199" s="23"/>
      <c r="H199" s="24"/>
      <c r="I199" s="23"/>
      <c r="J199" s="23"/>
      <c r="K199" s="24"/>
      <c r="L199" s="23"/>
      <c r="M199" s="23"/>
    </row>
    <row r="200" spans="1:13" ht="14.45">
      <c r="A200" s="23"/>
      <c r="B200" s="35"/>
      <c r="C200" s="23"/>
      <c r="D200" s="23"/>
      <c r="E200" s="23"/>
      <c r="F200" s="23"/>
      <c r="G200" s="23"/>
      <c r="H200" s="24"/>
      <c r="I200" s="23"/>
      <c r="J200" s="23"/>
      <c r="K200" s="24"/>
      <c r="L200" s="23"/>
      <c r="M200" s="23"/>
    </row>
    <row r="201" spans="1:13" ht="14.45">
      <c r="A201" s="23"/>
      <c r="B201" s="35"/>
      <c r="C201" s="23"/>
      <c r="D201" s="23"/>
      <c r="E201" s="23"/>
      <c r="F201" s="23"/>
      <c r="G201" s="23"/>
      <c r="H201" s="24"/>
      <c r="I201" s="23"/>
      <c r="J201" s="23"/>
      <c r="K201" s="24"/>
      <c r="L201" s="23"/>
      <c r="M201" s="23"/>
    </row>
    <row r="202" spans="1:13" ht="14.45">
      <c r="A202" s="23"/>
      <c r="B202" s="35"/>
      <c r="C202" s="23"/>
      <c r="D202" s="23"/>
      <c r="E202" s="23"/>
      <c r="F202" s="23"/>
      <c r="G202" s="23"/>
      <c r="H202" s="24"/>
      <c r="I202" s="23"/>
      <c r="J202" s="23"/>
      <c r="K202" s="24"/>
      <c r="L202" s="23"/>
      <c r="M202" s="23"/>
    </row>
    <row r="203" spans="1:13" ht="14.45">
      <c r="A203" s="23"/>
      <c r="B203" s="35"/>
      <c r="C203" s="23"/>
      <c r="D203" s="23"/>
      <c r="E203" s="23"/>
      <c r="F203" s="23"/>
      <c r="G203" s="23"/>
      <c r="H203" s="24"/>
      <c r="I203" s="23"/>
      <c r="J203" s="23"/>
      <c r="K203" s="24"/>
      <c r="L203" s="23"/>
      <c r="M203" s="23"/>
    </row>
    <row r="204" spans="1:13" ht="14.45">
      <c r="A204" s="23"/>
      <c r="B204" s="35"/>
      <c r="C204" s="23"/>
      <c r="D204" s="23"/>
      <c r="E204" s="23"/>
      <c r="F204" s="23"/>
      <c r="G204" s="23"/>
      <c r="H204" s="24"/>
      <c r="I204" s="23"/>
      <c r="J204" s="23"/>
      <c r="K204" s="24"/>
      <c r="L204" s="23"/>
      <c r="M204" s="23"/>
    </row>
    <row r="205" spans="1:13" ht="14.45">
      <c r="A205" s="23"/>
      <c r="B205" s="35"/>
      <c r="C205" s="23"/>
      <c r="D205" s="23"/>
      <c r="E205" s="23"/>
      <c r="F205" s="23"/>
      <c r="G205" s="23"/>
      <c r="H205" s="24"/>
      <c r="I205" s="23"/>
      <c r="J205" s="23"/>
      <c r="K205" s="24"/>
      <c r="L205" s="23"/>
      <c r="M205" s="23"/>
    </row>
    <row r="206" spans="1:13" ht="14.45">
      <c r="A206" s="23"/>
      <c r="B206" s="35"/>
      <c r="C206" s="23"/>
      <c r="D206" s="23"/>
      <c r="E206" s="23"/>
      <c r="F206" s="23"/>
      <c r="G206" s="23"/>
      <c r="H206" s="24"/>
      <c r="I206" s="23"/>
      <c r="J206" s="23"/>
      <c r="K206" s="24"/>
      <c r="L206" s="23"/>
      <c r="M206" s="23"/>
    </row>
    <row r="207" spans="1:13" ht="14.45">
      <c r="A207" s="23"/>
      <c r="B207" s="35"/>
      <c r="C207" s="23"/>
      <c r="D207" s="23"/>
      <c r="E207" s="23"/>
      <c r="F207" s="23"/>
      <c r="G207" s="23"/>
      <c r="H207" s="24"/>
      <c r="I207" s="23"/>
      <c r="J207" s="23"/>
      <c r="K207" s="24"/>
      <c r="L207" s="23"/>
      <c r="M207" s="23"/>
    </row>
    <row r="208" spans="1:13" ht="14.45">
      <c r="A208" s="23"/>
      <c r="B208" s="35"/>
      <c r="C208" s="23"/>
      <c r="D208" s="23"/>
      <c r="E208" s="23"/>
      <c r="F208" s="23"/>
      <c r="G208" s="23"/>
      <c r="H208" s="24"/>
      <c r="I208" s="23"/>
      <c r="J208" s="23"/>
      <c r="K208" s="24"/>
      <c r="L208" s="23"/>
      <c r="M208" s="23"/>
    </row>
    <row r="209" spans="1:13" ht="14.45">
      <c r="A209" s="23"/>
      <c r="B209" s="35"/>
      <c r="C209" s="23"/>
      <c r="D209" s="23"/>
      <c r="E209" s="23"/>
      <c r="F209" s="23"/>
      <c r="G209" s="23"/>
      <c r="H209" s="24"/>
      <c r="I209" s="23"/>
      <c r="J209" s="23"/>
      <c r="K209" s="24"/>
      <c r="L209" s="23"/>
      <c r="M209" s="23"/>
    </row>
    <row r="210" spans="1:13" ht="14.45">
      <c r="A210" s="23"/>
      <c r="B210" s="35"/>
      <c r="C210" s="23"/>
      <c r="D210" s="23"/>
      <c r="E210" s="23"/>
      <c r="F210" s="23"/>
      <c r="G210" s="23"/>
      <c r="H210" s="24"/>
      <c r="I210" s="23"/>
      <c r="J210" s="23"/>
      <c r="K210" s="24"/>
      <c r="L210" s="23"/>
      <c r="M210" s="23"/>
    </row>
    <row r="211" spans="1:13" ht="14.45">
      <c r="A211" s="23"/>
      <c r="B211" s="35"/>
      <c r="C211" s="23"/>
      <c r="D211" s="23"/>
      <c r="E211" s="23"/>
      <c r="F211" s="23"/>
      <c r="G211" s="23"/>
      <c r="H211" s="24"/>
      <c r="I211" s="23"/>
      <c r="J211" s="23"/>
      <c r="K211" s="24"/>
      <c r="L211" s="23"/>
      <c r="M211" s="23"/>
    </row>
    <row r="212" spans="1:13" ht="14.45">
      <c r="A212" s="23"/>
      <c r="B212" s="35"/>
      <c r="C212" s="23"/>
      <c r="D212" s="23"/>
      <c r="E212" s="23"/>
      <c r="F212" s="23"/>
      <c r="G212" s="23"/>
      <c r="H212" s="24"/>
      <c r="I212" s="23"/>
      <c r="J212" s="23"/>
      <c r="K212" s="24"/>
      <c r="L212" s="23"/>
      <c r="M212" s="23"/>
    </row>
    <row r="213" spans="1:13" ht="14.45">
      <c r="A213" s="23"/>
      <c r="B213" s="35"/>
      <c r="C213" s="23"/>
      <c r="D213" s="23"/>
      <c r="E213" s="23"/>
      <c r="F213" s="23"/>
      <c r="G213" s="23"/>
      <c r="H213" s="24"/>
      <c r="I213" s="23"/>
      <c r="J213" s="23"/>
      <c r="K213" s="24"/>
      <c r="L213" s="23"/>
      <c r="M213" s="23"/>
    </row>
    <row r="214" spans="1:13" ht="14.45">
      <c r="A214" s="23"/>
      <c r="B214" s="35"/>
      <c r="C214" s="23"/>
      <c r="D214" s="23"/>
      <c r="E214" s="23"/>
      <c r="F214" s="23"/>
      <c r="G214" s="23"/>
      <c r="H214" s="24"/>
      <c r="I214" s="23"/>
      <c r="J214" s="23"/>
      <c r="K214" s="24"/>
      <c r="L214" s="23"/>
      <c r="M214" s="23"/>
    </row>
    <row r="215" spans="1:13" ht="14.45">
      <c r="A215" s="23"/>
      <c r="B215" s="35"/>
      <c r="C215" s="23"/>
      <c r="D215" s="23"/>
      <c r="E215" s="23"/>
      <c r="F215" s="23"/>
      <c r="G215" s="23"/>
      <c r="H215" s="24"/>
      <c r="I215" s="23"/>
      <c r="J215" s="23"/>
      <c r="K215" s="24"/>
      <c r="L215" s="23"/>
      <c r="M215" s="23"/>
    </row>
    <row r="216" spans="1:13" ht="14.45">
      <c r="A216" s="23"/>
      <c r="B216" s="35"/>
      <c r="C216" s="23"/>
      <c r="D216" s="23"/>
      <c r="E216" s="23"/>
      <c r="F216" s="23"/>
      <c r="G216" s="23"/>
      <c r="H216" s="24"/>
      <c r="I216" s="23"/>
      <c r="J216" s="23"/>
      <c r="K216" s="24"/>
      <c r="L216" s="23"/>
      <c r="M216" s="23"/>
    </row>
    <row r="217" spans="1:13" ht="14.45">
      <c r="A217" s="23"/>
      <c r="B217" s="35"/>
      <c r="C217" s="23"/>
      <c r="D217" s="23"/>
      <c r="E217" s="23"/>
      <c r="F217" s="23"/>
      <c r="G217" s="23"/>
      <c r="H217" s="24"/>
      <c r="I217" s="23"/>
      <c r="J217" s="23"/>
      <c r="K217" s="24"/>
      <c r="L217" s="23"/>
      <c r="M217" s="23"/>
    </row>
    <row r="218" spans="1:13" ht="14.45">
      <c r="A218" s="23"/>
      <c r="B218" s="35"/>
      <c r="C218" s="23"/>
      <c r="D218" s="23"/>
      <c r="E218" s="23"/>
      <c r="F218" s="23"/>
      <c r="G218" s="23"/>
      <c r="H218" s="24"/>
      <c r="I218" s="23"/>
      <c r="J218" s="23"/>
      <c r="K218" s="24"/>
      <c r="L218" s="23"/>
      <c r="M218" s="23"/>
    </row>
    <row r="219" spans="1:13" ht="14.45">
      <c r="A219" s="23"/>
      <c r="B219" s="35"/>
      <c r="C219" s="23"/>
      <c r="D219" s="23"/>
      <c r="E219" s="23"/>
      <c r="F219" s="23"/>
      <c r="G219" s="23"/>
      <c r="H219" s="24"/>
      <c r="I219" s="23"/>
      <c r="J219" s="23"/>
      <c r="K219" s="24"/>
      <c r="L219" s="23"/>
      <c r="M219" s="23"/>
    </row>
    <row r="220" spans="1:13" ht="14.45">
      <c r="A220" s="23"/>
      <c r="B220" s="35"/>
      <c r="C220" s="23"/>
      <c r="D220" s="23"/>
      <c r="E220" s="23"/>
      <c r="F220" s="23"/>
      <c r="G220" s="23"/>
      <c r="H220" s="24"/>
      <c r="I220" s="23"/>
      <c r="J220" s="23"/>
      <c r="K220" s="24"/>
      <c r="L220" s="23"/>
      <c r="M220" s="23"/>
    </row>
    <row r="221" spans="1:13" ht="14.45">
      <c r="A221" s="23"/>
      <c r="B221" s="35"/>
      <c r="C221" s="23"/>
      <c r="D221" s="23"/>
      <c r="E221" s="23"/>
      <c r="F221" s="23"/>
      <c r="G221" s="23"/>
      <c r="H221" s="24"/>
      <c r="I221" s="23"/>
      <c r="J221" s="23"/>
      <c r="K221" s="24"/>
      <c r="L221" s="23"/>
      <c r="M221" s="23"/>
    </row>
    <row r="222" spans="1:13" ht="14.45">
      <c r="A222" s="23"/>
      <c r="B222" s="35"/>
      <c r="C222" s="23"/>
      <c r="D222" s="23"/>
      <c r="E222" s="23"/>
      <c r="F222" s="23"/>
      <c r="G222" s="23"/>
      <c r="H222" s="24"/>
      <c r="I222" s="23"/>
      <c r="J222" s="23"/>
      <c r="K222" s="24"/>
      <c r="L222" s="23"/>
      <c r="M222" s="23"/>
    </row>
    <row r="223" spans="1:13" ht="14.45">
      <c r="A223" s="23"/>
      <c r="B223" s="35"/>
      <c r="C223" s="23"/>
      <c r="D223" s="23"/>
      <c r="E223" s="23"/>
      <c r="F223" s="23"/>
      <c r="G223" s="23"/>
      <c r="H223" s="24"/>
      <c r="I223" s="23"/>
      <c r="J223" s="23"/>
      <c r="K223" s="24"/>
      <c r="L223" s="23"/>
      <c r="M223" s="23"/>
    </row>
    <row r="224" spans="1:13" ht="14.45">
      <c r="A224" s="23"/>
      <c r="B224" s="35"/>
      <c r="C224" s="23"/>
      <c r="D224" s="23"/>
      <c r="E224" s="23"/>
      <c r="F224" s="23"/>
      <c r="G224" s="23"/>
      <c r="H224" s="24"/>
      <c r="I224" s="23"/>
      <c r="J224" s="23"/>
      <c r="K224" s="24"/>
      <c r="L224" s="23"/>
      <c r="M224" s="23"/>
    </row>
    <row r="225" spans="1:13" ht="14.45">
      <c r="A225" s="23"/>
      <c r="B225" s="35"/>
      <c r="C225" s="23"/>
      <c r="D225" s="23"/>
      <c r="E225" s="23"/>
      <c r="F225" s="23"/>
      <c r="G225" s="23"/>
      <c r="H225" s="24"/>
      <c r="I225" s="23"/>
      <c r="J225" s="23"/>
      <c r="K225" s="24"/>
      <c r="L225" s="23"/>
      <c r="M225" s="23"/>
    </row>
    <row r="226" spans="1:13" ht="14.45">
      <c r="A226" s="23"/>
      <c r="B226" s="35"/>
      <c r="C226" s="23"/>
      <c r="D226" s="23"/>
      <c r="E226" s="23"/>
      <c r="F226" s="23"/>
      <c r="G226" s="23"/>
      <c r="H226" s="24"/>
      <c r="I226" s="23"/>
      <c r="J226" s="23"/>
      <c r="K226" s="24"/>
      <c r="L226" s="23"/>
      <c r="M226" s="23"/>
    </row>
    <row r="227" spans="1:13" ht="14.45">
      <c r="A227" s="23"/>
      <c r="B227" s="35"/>
      <c r="C227" s="23"/>
      <c r="D227" s="23"/>
      <c r="E227" s="23"/>
      <c r="F227" s="23"/>
      <c r="G227" s="23"/>
      <c r="H227" s="24"/>
      <c r="I227" s="23"/>
      <c r="J227" s="23"/>
      <c r="K227" s="24"/>
      <c r="L227" s="23"/>
      <c r="M227" s="23"/>
    </row>
    <row r="228" spans="1:13" ht="14.45">
      <c r="A228" s="23"/>
      <c r="B228" s="35"/>
      <c r="C228" s="23"/>
      <c r="D228" s="23"/>
      <c r="E228" s="23"/>
      <c r="F228" s="23"/>
      <c r="G228" s="23"/>
      <c r="H228" s="24"/>
      <c r="I228" s="23"/>
      <c r="J228" s="23"/>
      <c r="K228" s="24"/>
      <c r="L228" s="23"/>
      <c r="M228" s="23"/>
    </row>
    <row r="229" spans="1:13" ht="14.45">
      <c r="A229" s="23"/>
      <c r="B229" s="35"/>
      <c r="C229" s="23"/>
      <c r="D229" s="23"/>
      <c r="E229" s="23"/>
      <c r="F229" s="23"/>
      <c r="G229" s="23"/>
      <c r="H229" s="24"/>
      <c r="I229" s="23"/>
      <c r="J229" s="23"/>
      <c r="K229" s="24"/>
      <c r="L229" s="23"/>
      <c r="M229" s="23"/>
    </row>
    <row r="230" spans="1:13" ht="14.45">
      <c r="A230" s="23"/>
      <c r="B230" s="35"/>
      <c r="C230" s="23"/>
      <c r="D230" s="23"/>
      <c r="E230" s="23"/>
      <c r="F230" s="23"/>
      <c r="G230" s="23"/>
      <c r="H230" s="24"/>
      <c r="I230" s="23"/>
      <c r="J230" s="23"/>
      <c r="K230" s="24"/>
      <c r="L230" s="23"/>
      <c r="M230" s="23"/>
    </row>
    <row r="231" spans="1:13" ht="14.45">
      <c r="A231" s="23"/>
      <c r="B231" s="35"/>
      <c r="C231" s="23"/>
      <c r="D231" s="23"/>
      <c r="E231" s="23"/>
      <c r="F231" s="23"/>
      <c r="G231" s="23"/>
      <c r="H231" s="24"/>
      <c r="I231" s="23"/>
      <c r="J231" s="23"/>
      <c r="K231" s="24"/>
      <c r="L231" s="23"/>
      <c r="M231" s="23"/>
    </row>
    <row r="232" spans="1:13" ht="14.45">
      <c r="A232" s="23"/>
      <c r="B232" s="35"/>
      <c r="C232" s="23"/>
      <c r="D232" s="23"/>
      <c r="E232" s="23"/>
      <c r="F232" s="23"/>
      <c r="G232" s="23"/>
      <c r="H232" s="24"/>
      <c r="I232" s="23"/>
      <c r="J232" s="23"/>
      <c r="K232" s="24"/>
      <c r="L232" s="23"/>
      <c r="M232" s="23"/>
    </row>
    <row r="233" spans="1:13" ht="14.45">
      <c r="A233" s="23"/>
      <c r="B233" s="35"/>
      <c r="C233" s="23"/>
      <c r="D233" s="23"/>
      <c r="E233" s="23"/>
      <c r="F233" s="23"/>
      <c r="G233" s="23"/>
      <c r="H233" s="24"/>
      <c r="I233" s="23"/>
      <c r="J233" s="23"/>
      <c r="K233" s="24"/>
      <c r="L233" s="23"/>
      <c r="M233" s="23"/>
    </row>
    <row r="234" spans="1:13" ht="14.45">
      <c r="A234" s="23"/>
      <c r="B234" s="35"/>
      <c r="C234" s="23"/>
      <c r="D234" s="23"/>
      <c r="E234" s="23"/>
      <c r="F234" s="23"/>
      <c r="G234" s="23"/>
      <c r="H234" s="24"/>
      <c r="I234" s="23"/>
      <c r="J234" s="23"/>
      <c r="K234" s="24"/>
      <c r="L234" s="23"/>
      <c r="M234" s="23"/>
    </row>
    <row r="235" spans="1:13" ht="14.45">
      <c r="A235" s="23"/>
      <c r="B235" s="35"/>
      <c r="C235" s="23"/>
      <c r="D235" s="23"/>
      <c r="E235" s="23"/>
      <c r="F235" s="23"/>
      <c r="G235" s="23"/>
      <c r="H235" s="24"/>
      <c r="I235" s="23"/>
      <c r="J235" s="23"/>
      <c r="K235" s="24"/>
      <c r="L235" s="23"/>
      <c r="M235" s="23"/>
    </row>
    <row r="236" spans="1:13" ht="14.45">
      <c r="A236" s="23"/>
      <c r="B236" s="35"/>
      <c r="C236" s="23"/>
      <c r="D236" s="23"/>
      <c r="E236" s="23"/>
      <c r="F236" s="23"/>
      <c r="G236" s="23"/>
      <c r="H236" s="24"/>
      <c r="I236" s="23"/>
      <c r="J236" s="23"/>
      <c r="K236" s="24"/>
      <c r="L236" s="23"/>
      <c r="M236" s="23"/>
    </row>
    <row r="237" spans="1:13" ht="14.45">
      <c r="A237" s="23"/>
      <c r="B237" s="35"/>
      <c r="C237" s="23"/>
      <c r="D237" s="23"/>
      <c r="E237" s="23"/>
      <c r="F237" s="23"/>
      <c r="G237" s="23"/>
      <c r="H237" s="24"/>
      <c r="I237" s="23"/>
      <c r="J237" s="23"/>
      <c r="K237" s="24"/>
      <c r="L237" s="23"/>
      <c r="M237" s="23"/>
    </row>
    <row r="238" spans="1:13" ht="14.45">
      <c r="A238" s="23"/>
      <c r="B238" s="35"/>
      <c r="C238" s="23"/>
      <c r="D238" s="23"/>
      <c r="E238" s="23"/>
      <c r="F238" s="23"/>
      <c r="G238" s="23"/>
      <c r="H238" s="24"/>
      <c r="I238" s="23"/>
      <c r="J238" s="23"/>
      <c r="K238" s="24"/>
      <c r="L238" s="23"/>
      <c r="M238" s="23"/>
    </row>
    <row r="239" spans="1:13" ht="14.45">
      <c r="A239" s="23"/>
      <c r="B239" s="35"/>
      <c r="C239" s="23"/>
      <c r="D239" s="23"/>
      <c r="E239" s="23"/>
      <c r="F239" s="23"/>
      <c r="G239" s="23"/>
      <c r="H239" s="24"/>
      <c r="I239" s="23"/>
      <c r="J239" s="23"/>
      <c r="K239" s="24"/>
      <c r="L239" s="23"/>
      <c r="M239" s="23"/>
    </row>
    <row r="240" spans="1:13" ht="14.45">
      <c r="A240" s="23"/>
      <c r="B240" s="35"/>
      <c r="C240" s="23"/>
      <c r="D240" s="23"/>
      <c r="E240" s="23"/>
      <c r="F240" s="23"/>
      <c r="G240" s="23"/>
      <c r="H240" s="24"/>
      <c r="I240" s="23"/>
      <c r="J240" s="23"/>
      <c r="K240" s="24"/>
      <c r="L240" s="23"/>
      <c r="M240" s="23"/>
    </row>
    <row r="241" spans="1:13" ht="14.45">
      <c r="A241" s="23"/>
      <c r="B241" s="35"/>
      <c r="C241" s="23"/>
      <c r="D241" s="23"/>
      <c r="E241" s="23"/>
      <c r="F241" s="23"/>
      <c r="G241" s="23"/>
      <c r="H241" s="24"/>
      <c r="I241" s="23"/>
      <c r="J241" s="23"/>
      <c r="K241" s="24"/>
      <c r="L241" s="23"/>
      <c r="M241" s="23"/>
    </row>
    <row r="242" spans="1:13" ht="14.45">
      <c r="A242" s="23"/>
      <c r="B242" s="35"/>
      <c r="C242" s="23"/>
      <c r="D242" s="23"/>
      <c r="E242" s="23"/>
      <c r="F242" s="23"/>
      <c r="G242" s="23"/>
      <c r="H242" s="24"/>
      <c r="I242" s="23"/>
      <c r="J242" s="23"/>
      <c r="K242" s="24"/>
      <c r="L242" s="23"/>
      <c r="M242" s="23"/>
    </row>
    <row r="243" spans="1:13" ht="14.45">
      <c r="A243" s="23"/>
      <c r="B243" s="35"/>
      <c r="C243" s="23"/>
      <c r="D243" s="23"/>
      <c r="E243" s="23"/>
      <c r="F243" s="23"/>
      <c r="G243" s="23"/>
      <c r="H243" s="24"/>
      <c r="I243" s="23"/>
      <c r="J243" s="23"/>
      <c r="K243" s="24"/>
      <c r="L243" s="23"/>
      <c r="M243" s="23"/>
    </row>
    <row r="244" spans="1:13" ht="14.45">
      <c r="A244" s="23"/>
      <c r="B244" s="35"/>
      <c r="C244" s="23"/>
      <c r="D244" s="23"/>
      <c r="E244" s="23"/>
      <c r="F244" s="23"/>
      <c r="G244" s="23"/>
      <c r="H244" s="24"/>
      <c r="I244" s="23"/>
      <c r="J244" s="23"/>
      <c r="K244" s="24"/>
      <c r="L244" s="23"/>
      <c r="M244" s="23"/>
    </row>
    <row r="245" spans="1:13" ht="14.45">
      <c r="A245" s="23"/>
      <c r="B245" s="35"/>
      <c r="C245" s="23"/>
      <c r="D245" s="23"/>
      <c r="E245" s="23"/>
      <c r="F245" s="23"/>
      <c r="G245" s="23"/>
      <c r="H245" s="24"/>
      <c r="I245" s="23"/>
      <c r="J245" s="23"/>
      <c r="K245" s="24"/>
      <c r="L245" s="23"/>
      <c r="M245" s="23"/>
    </row>
    <row r="246" spans="1:13" ht="14.45">
      <c r="A246" s="23"/>
      <c r="B246" s="35"/>
      <c r="C246" s="23"/>
      <c r="D246" s="23"/>
      <c r="E246" s="23"/>
      <c r="F246" s="23"/>
      <c r="G246" s="23"/>
      <c r="H246" s="24"/>
      <c r="I246" s="23"/>
      <c r="J246" s="23"/>
      <c r="K246" s="24"/>
      <c r="L246" s="23"/>
      <c r="M246" s="23"/>
    </row>
    <row r="247" spans="1:13" ht="14.45">
      <c r="A247" s="23"/>
      <c r="B247" s="35"/>
      <c r="C247" s="23"/>
      <c r="D247" s="23"/>
      <c r="E247" s="23"/>
      <c r="F247" s="23"/>
      <c r="G247" s="23"/>
      <c r="H247" s="24"/>
      <c r="I247" s="23"/>
      <c r="J247" s="23"/>
      <c r="K247" s="24"/>
      <c r="L247" s="23"/>
      <c r="M247" s="23"/>
    </row>
    <row r="248" spans="1:13" ht="14.45">
      <c r="A248" s="23"/>
      <c r="B248" s="35"/>
      <c r="C248" s="23"/>
      <c r="D248" s="23"/>
      <c r="E248" s="23"/>
      <c r="F248" s="23"/>
      <c r="G248" s="23"/>
      <c r="H248" s="24"/>
      <c r="I248" s="23"/>
      <c r="J248" s="23"/>
      <c r="K248" s="24"/>
      <c r="L248" s="23"/>
      <c r="M248" s="23"/>
    </row>
    <row r="249" spans="1:13" ht="14.45">
      <c r="A249" s="23"/>
      <c r="B249" s="35"/>
      <c r="C249" s="23"/>
      <c r="D249" s="23"/>
      <c r="E249" s="23"/>
      <c r="F249" s="23"/>
      <c r="G249" s="23"/>
      <c r="H249" s="24"/>
      <c r="I249" s="23"/>
      <c r="J249" s="23"/>
      <c r="K249" s="24"/>
      <c r="L249" s="23"/>
      <c r="M249" s="23"/>
    </row>
    <row r="250" spans="1:13" ht="14.45">
      <c r="A250" s="23"/>
      <c r="B250" s="35"/>
      <c r="C250" s="23"/>
      <c r="D250" s="23"/>
      <c r="E250" s="23"/>
      <c r="F250" s="23"/>
      <c r="G250" s="23"/>
      <c r="H250" s="24"/>
      <c r="I250" s="23"/>
      <c r="J250" s="23"/>
      <c r="K250" s="24"/>
      <c r="L250" s="23"/>
      <c r="M250" s="23"/>
    </row>
    <row r="251" spans="1:13" ht="14.45">
      <c r="A251" s="23"/>
      <c r="B251" s="35"/>
      <c r="C251" s="23"/>
      <c r="D251" s="23"/>
      <c r="E251" s="23"/>
      <c r="F251" s="23"/>
      <c r="G251" s="23"/>
      <c r="H251" s="24"/>
      <c r="I251" s="23"/>
      <c r="J251" s="23"/>
      <c r="K251" s="24"/>
      <c r="L251" s="23"/>
      <c r="M251" s="23"/>
    </row>
    <row r="252" spans="1:13" ht="14.45">
      <c r="A252" s="23"/>
      <c r="B252" s="35"/>
      <c r="C252" s="23"/>
      <c r="D252" s="23"/>
      <c r="E252" s="23"/>
      <c r="F252" s="23"/>
      <c r="G252" s="23"/>
      <c r="H252" s="24"/>
      <c r="I252" s="23"/>
      <c r="J252" s="23"/>
      <c r="K252" s="24"/>
      <c r="L252" s="23"/>
      <c r="M252" s="23"/>
    </row>
    <row r="253" spans="1:13" ht="14.45">
      <c r="A253" s="23"/>
      <c r="B253" s="35"/>
      <c r="C253" s="23"/>
      <c r="D253" s="23"/>
      <c r="E253" s="23"/>
      <c r="F253" s="23"/>
      <c r="G253" s="23"/>
      <c r="H253" s="24"/>
      <c r="I253" s="23"/>
      <c r="J253" s="23"/>
      <c r="K253" s="24"/>
      <c r="L253" s="23"/>
      <c r="M253" s="23"/>
    </row>
    <row r="254" spans="1:13" ht="14.45">
      <c r="A254" s="23"/>
      <c r="B254" s="35"/>
      <c r="C254" s="23"/>
      <c r="D254" s="23"/>
      <c r="E254" s="23"/>
      <c r="F254" s="23"/>
      <c r="G254" s="23"/>
      <c r="H254" s="24"/>
      <c r="I254" s="23"/>
      <c r="J254" s="23"/>
      <c r="K254" s="24"/>
      <c r="L254" s="23"/>
      <c r="M254" s="23"/>
    </row>
    <row r="255" spans="1:13" ht="14.45">
      <c r="A255" s="23"/>
      <c r="B255" s="35"/>
      <c r="C255" s="23"/>
      <c r="D255" s="23"/>
      <c r="E255" s="23"/>
      <c r="F255" s="23"/>
      <c r="G255" s="23"/>
      <c r="H255" s="24"/>
      <c r="I255" s="23"/>
      <c r="J255" s="23"/>
      <c r="K255" s="24"/>
      <c r="L255" s="23"/>
      <c r="M255" s="23"/>
    </row>
    <row r="256" spans="1:13" ht="14.45">
      <c r="A256" s="23"/>
      <c r="B256" s="35"/>
      <c r="C256" s="23"/>
      <c r="D256" s="23"/>
      <c r="E256" s="23"/>
      <c r="F256" s="23"/>
      <c r="G256" s="23"/>
      <c r="H256" s="24"/>
      <c r="I256" s="23"/>
      <c r="J256" s="23"/>
      <c r="K256" s="24"/>
      <c r="L256" s="23"/>
      <c r="M256" s="23"/>
    </row>
    <row r="257" spans="1:13" ht="14.45">
      <c r="A257" s="23"/>
      <c r="B257" s="35"/>
      <c r="C257" s="23"/>
      <c r="D257" s="23"/>
      <c r="E257" s="23"/>
      <c r="F257" s="23"/>
      <c r="G257" s="23"/>
      <c r="H257" s="24"/>
      <c r="I257" s="23"/>
      <c r="J257" s="23"/>
      <c r="K257" s="24"/>
      <c r="L257" s="23"/>
      <c r="M257" s="23"/>
    </row>
    <row r="258" spans="1:13" ht="14.45">
      <c r="A258" s="23"/>
      <c r="B258" s="35"/>
      <c r="C258" s="23"/>
      <c r="D258" s="23"/>
      <c r="E258" s="23"/>
      <c r="F258" s="23"/>
      <c r="G258" s="23"/>
      <c r="H258" s="24"/>
      <c r="I258" s="23"/>
      <c r="J258" s="23"/>
      <c r="K258" s="24"/>
      <c r="L258" s="23"/>
      <c r="M258" s="23"/>
    </row>
    <row r="259" spans="1:13" ht="14.45">
      <c r="A259" s="23"/>
      <c r="B259" s="35"/>
      <c r="C259" s="23"/>
      <c r="D259" s="23"/>
      <c r="E259" s="23"/>
      <c r="F259" s="23"/>
      <c r="G259" s="23"/>
      <c r="H259" s="24"/>
      <c r="I259" s="23"/>
      <c r="J259" s="23"/>
      <c r="K259" s="24"/>
      <c r="L259" s="23"/>
      <c r="M259" s="23"/>
    </row>
    <row r="260" spans="1:13" ht="14.45">
      <c r="A260" s="23"/>
      <c r="B260" s="35"/>
      <c r="C260" s="23"/>
      <c r="D260" s="23"/>
      <c r="E260" s="23"/>
      <c r="F260" s="23"/>
      <c r="G260" s="23"/>
      <c r="H260" s="24"/>
      <c r="I260" s="23"/>
      <c r="J260" s="23"/>
      <c r="K260" s="24"/>
      <c r="L260" s="23"/>
      <c r="M260" s="23"/>
    </row>
    <row r="261" spans="1:13" ht="14.45">
      <c r="A261" s="23"/>
      <c r="B261" s="35"/>
      <c r="C261" s="23"/>
      <c r="D261" s="23"/>
      <c r="E261" s="23"/>
      <c r="F261" s="23"/>
      <c r="G261" s="23"/>
      <c r="H261" s="24"/>
      <c r="I261" s="23"/>
      <c r="J261" s="23"/>
      <c r="K261" s="24"/>
      <c r="L261" s="23"/>
      <c r="M261" s="23"/>
    </row>
    <row r="262" spans="1:13" ht="14.45">
      <c r="A262" s="23"/>
      <c r="B262" s="35"/>
      <c r="C262" s="23"/>
      <c r="D262" s="23"/>
      <c r="E262" s="23"/>
      <c r="F262" s="23"/>
      <c r="G262" s="23"/>
      <c r="H262" s="24"/>
      <c r="I262" s="23"/>
      <c r="J262" s="23"/>
      <c r="K262" s="24"/>
      <c r="L262" s="23"/>
      <c r="M262" s="23"/>
    </row>
    <row r="263" spans="1:13" ht="14.45">
      <c r="A263" s="23"/>
      <c r="B263" s="35"/>
      <c r="C263" s="23"/>
      <c r="D263" s="23"/>
      <c r="E263" s="23"/>
      <c r="F263" s="23"/>
      <c r="G263" s="23"/>
      <c r="H263" s="24"/>
      <c r="I263" s="23"/>
      <c r="J263" s="23"/>
      <c r="K263" s="24"/>
      <c r="L263" s="23"/>
      <c r="M263" s="23"/>
    </row>
    <row r="264" spans="1:13" ht="14.45">
      <c r="A264" s="23"/>
      <c r="B264" s="35"/>
      <c r="C264" s="23"/>
      <c r="D264" s="23"/>
      <c r="E264" s="23"/>
      <c r="F264" s="23"/>
      <c r="G264" s="23"/>
      <c r="H264" s="24"/>
      <c r="I264" s="23"/>
      <c r="J264" s="23"/>
      <c r="K264" s="24"/>
      <c r="L264" s="23"/>
      <c r="M264" s="23"/>
    </row>
    <row r="265" spans="1:13" ht="14.45">
      <c r="A265" s="23"/>
      <c r="B265" s="35"/>
      <c r="C265" s="23"/>
      <c r="D265" s="23"/>
      <c r="E265" s="23"/>
      <c r="F265" s="23"/>
      <c r="G265" s="23"/>
      <c r="H265" s="24"/>
      <c r="I265" s="23"/>
      <c r="J265" s="23"/>
      <c r="K265" s="24"/>
      <c r="L265" s="23"/>
      <c r="M265" s="23"/>
    </row>
    <row r="266" spans="1:13" ht="14.45">
      <c r="A266" s="23"/>
      <c r="B266" s="35"/>
      <c r="C266" s="23"/>
      <c r="D266" s="23"/>
      <c r="E266" s="23"/>
      <c r="F266" s="23"/>
      <c r="G266" s="23"/>
      <c r="H266" s="24"/>
      <c r="I266" s="23"/>
      <c r="J266" s="23"/>
      <c r="K266" s="24"/>
      <c r="L266" s="23"/>
      <c r="M266" s="23"/>
    </row>
    <row r="267" spans="1:13" ht="14.45">
      <c r="A267" s="23"/>
      <c r="B267" s="35"/>
      <c r="C267" s="23"/>
      <c r="D267" s="23"/>
      <c r="E267" s="23"/>
      <c r="F267" s="23"/>
      <c r="G267" s="23"/>
      <c r="H267" s="24"/>
      <c r="I267" s="23"/>
      <c r="J267" s="23"/>
      <c r="K267" s="24"/>
      <c r="L267" s="23"/>
      <c r="M267" s="23"/>
    </row>
    <row r="268" spans="1:13" ht="14.45">
      <c r="A268" s="23"/>
      <c r="B268" s="35"/>
      <c r="C268" s="23"/>
      <c r="D268" s="23"/>
      <c r="E268" s="23"/>
      <c r="F268" s="23"/>
      <c r="G268" s="23"/>
      <c r="H268" s="24"/>
      <c r="I268" s="23"/>
      <c r="J268" s="23"/>
      <c r="K268" s="24"/>
      <c r="L268" s="23"/>
      <c r="M268" s="23"/>
    </row>
    <row r="269" spans="1:13" ht="14.45">
      <c r="A269" s="23"/>
      <c r="B269" s="35"/>
      <c r="C269" s="23"/>
      <c r="D269" s="23"/>
      <c r="E269" s="23"/>
      <c r="F269" s="23"/>
      <c r="G269" s="23"/>
      <c r="H269" s="24"/>
      <c r="I269" s="23"/>
      <c r="J269" s="23"/>
      <c r="K269" s="24"/>
      <c r="L269" s="23"/>
      <c r="M269" s="23"/>
    </row>
    <row r="270" spans="1:13" ht="14.45">
      <c r="A270" s="23"/>
      <c r="B270" s="35"/>
      <c r="C270" s="23"/>
      <c r="D270" s="23"/>
      <c r="E270" s="23"/>
      <c r="F270" s="23"/>
      <c r="G270" s="23"/>
      <c r="H270" s="24"/>
      <c r="I270" s="23"/>
      <c r="J270" s="23"/>
      <c r="K270" s="24"/>
      <c r="L270" s="23"/>
      <c r="M270" s="23"/>
    </row>
    <row r="271" spans="1:13" ht="14.45">
      <c r="A271" s="23"/>
      <c r="B271" s="35"/>
      <c r="C271" s="23"/>
      <c r="D271" s="23"/>
      <c r="E271" s="23"/>
      <c r="F271" s="23"/>
      <c r="G271" s="23"/>
      <c r="H271" s="24"/>
      <c r="I271" s="23"/>
      <c r="J271" s="23"/>
      <c r="K271" s="24"/>
      <c r="L271" s="23"/>
      <c r="M271" s="23"/>
    </row>
    <row r="272" spans="1:13" ht="14.45">
      <c r="A272" s="23"/>
      <c r="B272" s="35"/>
      <c r="C272" s="23"/>
      <c r="D272" s="23"/>
      <c r="E272" s="23"/>
      <c r="F272" s="23"/>
      <c r="G272" s="23"/>
      <c r="H272" s="24"/>
      <c r="I272" s="23"/>
      <c r="J272" s="23"/>
      <c r="K272" s="24"/>
      <c r="L272" s="23"/>
      <c r="M272" s="23"/>
    </row>
    <row r="273" spans="1:13" ht="14.45">
      <c r="A273" s="23"/>
      <c r="B273" s="35"/>
      <c r="C273" s="23"/>
      <c r="D273" s="23"/>
      <c r="E273" s="23"/>
      <c r="F273" s="23"/>
      <c r="G273" s="23"/>
      <c r="H273" s="24"/>
      <c r="I273" s="23"/>
      <c r="J273" s="23"/>
      <c r="K273" s="24"/>
      <c r="L273" s="23"/>
      <c r="M273" s="23"/>
    </row>
    <row r="274" spans="1:13" ht="14.45">
      <c r="A274" s="23"/>
      <c r="B274" s="35"/>
      <c r="C274" s="23"/>
      <c r="D274" s="23"/>
      <c r="E274" s="23"/>
      <c r="F274" s="23"/>
      <c r="G274" s="23"/>
      <c r="H274" s="24"/>
      <c r="I274" s="23"/>
      <c r="J274" s="23"/>
      <c r="K274" s="24"/>
      <c r="L274" s="23"/>
      <c r="M274" s="23"/>
    </row>
    <row r="275" spans="1:13" ht="14.45">
      <c r="A275" s="23"/>
      <c r="B275" s="35"/>
      <c r="C275" s="23"/>
      <c r="D275" s="23"/>
      <c r="E275" s="23"/>
      <c r="F275" s="23"/>
      <c r="G275" s="23"/>
      <c r="H275" s="24"/>
      <c r="I275" s="23"/>
      <c r="J275" s="23"/>
      <c r="K275" s="24"/>
      <c r="L275" s="23"/>
      <c r="M275" s="23"/>
    </row>
    <row r="276" spans="1:13" ht="14.45">
      <c r="A276" s="23"/>
      <c r="B276" s="35"/>
      <c r="C276" s="23"/>
      <c r="D276" s="23"/>
      <c r="E276" s="23"/>
      <c r="F276" s="23"/>
      <c r="G276" s="23"/>
      <c r="H276" s="24"/>
      <c r="I276" s="23"/>
      <c r="J276" s="23"/>
      <c r="K276" s="24"/>
      <c r="L276" s="23"/>
      <c r="M276" s="23"/>
    </row>
    <row r="277" spans="1:13" ht="14.45">
      <c r="A277" s="23"/>
      <c r="B277" s="35"/>
      <c r="C277" s="23"/>
      <c r="D277" s="23"/>
      <c r="E277" s="23"/>
      <c r="F277" s="23"/>
      <c r="G277" s="23"/>
      <c r="H277" s="24"/>
      <c r="I277" s="23"/>
      <c r="J277" s="23"/>
      <c r="K277" s="24"/>
      <c r="L277" s="23"/>
      <c r="M277" s="23"/>
    </row>
    <row r="278" spans="1:13" ht="14.45">
      <c r="A278" s="23"/>
      <c r="B278" s="35"/>
      <c r="C278" s="23"/>
      <c r="D278" s="23"/>
      <c r="E278" s="23"/>
      <c r="F278" s="23"/>
      <c r="G278" s="23"/>
      <c r="H278" s="24"/>
      <c r="I278" s="23"/>
      <c r="J278" s="23"/>
      <c r="K278" s="24"/>
      <c r="L278" s="23"/>
      <c r="M278" s="23"/>
    </row>
    <row r="279" spans="1:13" ht="14.45">
      <c r="A279" s="23"/>
      <c r="B279" s="35"/>
      <c r="C279" s="23"/>
      <c r="D279" s="23"/>
      <c r="E279" s="23"/>
      <c r="F279" s="23"/>
      <c r="G279" s="23"/>
      <c r="H279" s="24"/>
      <c r="I279" s="23"/>
      <c r="J279" s="23"/>
      <c r="K279" s="24"/>
      <c r="L279" s="23"/>
      <c r="M279" s="23"/>
    </row>
    <row r="280" spans="1:13" ht="14.45">
      <c r="A280" s="23"/>
      <c r="B280" s="35"/>
      <c r="C280" s="23"/>
      <c r="D280" s="23"/>
      <c r="E280" s="23"/>
      <c r="F280" s="23"/>
      <c r="G280" s="23"/>
      <c r="H280" s="24"/>
      <c r="I280" s="23"/>
      <c r="J280" s="23"/>
      <c r="K280" s="24"/>
      <c r="L280" s="23"/>
      <c r="M280" s="23"/>
    </row>
    <row r="281" spans="1:13" ht="14.45">
      <c r="A281" s="23"/>
      <c r="B281" s="35"/>
      <c r="C281" s="23"/>
      <c r="D281" s="23"/>
      <c r="E281" s="23"/>
      <c r="F281" s="23"/>
      <c r="G281" s="23"/>
      <c r="H281" s="24"/>
      <c r="I281" s="23"/>
      <c r="J281" s="23"/>
      <c r="K281" s="24"/>
      <c r="L281" s="23"/>
      <c r="M281" s="23"/>
    </row>
    <row r="282" spans="1:13" ht="14.45">
      <c r="A282" s="23"/>
      <c r="B282" s="35"/>
      <c r="C282" s="23"/>
      <c r="D282" s="23"/>
      <c r="E282" s="23"/>
      <c r="F282" s="23"/>
      <c r="G282" s="23"/>
      <c r="H282" s="24"/>
      <c r="I282" s="23"/>
      <c r="J282" s="23"/>
      <c r="K282" s="24"/>
      <c r="L282" s="23"/>
      <c r="M282" s="23"/>
    </row>
    <row r="283" spans="1:13" ht="14.45">
      <c r="A283" s="23"/>
      <c r="B283" s="35"/>
      <c r="C283" s="23"/>
      <c r="D283" s="23"/>
      <c r="E283" s="23"/>
      <c r="F283" s="23"/>
      <c r="G283" s="23"/>
      <c r="H283" s="24"/>
      <c r="I283" s="23"/>
      <c r="J283" s="23"/>
      <c r="K283" s="24"/>
      <c r="L283" s="23"/>
      <c r="M283" s="23"/>
    </row>
    <row r="284" spans="1:13" ht="14.45">
      <c r="A284" s="23"/>
      <c r="B284" s="35"/>
      <c r="C284" s="23"/>
      <c r="D284" s="23"/>
      <c r="E284" s="23"/>
      <c r="F284" s="23"/>
      <c r="G284" s="23"/>
      <c r="H284" s="24"/>
      <c r="I284" s="23"/>
      <c r="J284" s="23"/>
      <c r="K284" s="24"/>
      <c r="L284" s="23"/>
      <c r="M284" s="23"/>
    </row>
    <row r="285" spans="1:13" ht="14.45">
      <c r="A285" s="23"/>
      <c r="B285" s="35"/>
      <c r="C285" s="23"/>
      <c r="D285" s="23"/>
      <c r="E285" s="23"/>
      <c r="F285" s="23"/>
      <c r="G285" s="23"/>
      <c r="H285" s="24"/>
      <c r="I285" s="23"/>
      <c r="J285" s="23"/>
      <c r="K285" s="24"/>
      <c r="L285" s="23"/>
      <c r="M285" s="23"/>
    </row>
    <row r="286" spans="1:13" ht="14.45">
      <c r="A286" s="23"/>
      <c r="B286" s="35"/>
      <c r="C286" s="23"/>
      <c r="D286" s="23"/>
      <c r="E286" s="23"/>
      <c r="F286" s="23"/>
      <c r="G286" s="23"/>
      <c r="H286" s="24"/>
      <c r="I286" s="23"/>
      <c r="J286" s="23"/>
      <c r="K286" s="24"/>
      <c r="L286" s="23"/>
      <c r="M286" s="23"/>
    </row>
    <row r="287" spans="1:13" ht="14.45">
      <c r="A287" s="23"/>
      <c r="B287" s="35"/>
      <c r="C287" s="23"/>
      <c r="D287" s="23"/>
      <c r="E287" s="23"/>
      <c r="F287" s="23"/>
      <c r="G287" s="23"/>
      <c r="H287" s="24"/>
      <c r="I287" s="23"/>
      <c r="J287" s="23"/>
      <c r="K287" s="24"/>
      <c r="L287" s="23"/>
      <c r="M287" s="23"/>
    </row>
    <row r="288" spans="1:13" ht="14.45">
      <c r="A288" s="23"/>
      <c r="B288" s="35"/>
      <c r="C288" s="23"/>
      <c r="D288" s="23"/>
      <c r="E288" s="23"/>
      <c r="F288" s="23"/>
      <c r="G288" s="23"/>
      <c r="H288" s="24"/>
      <c r="I288" s="23"/>
      <c r="J288" s="23"/>
      <c r="K288" s="24"/>
      <c r="L288" s="23"/>
      <c r="M288" s="23"/>
    </row>
    <row r="289" spans="1:13" ht="14.45">
      <c r="A289" s="23"/>
      <c r="B289" s="35"/>
      <c r="C289" s="23"/>
      <c r="D289" s="23"/>
      <c r="E289" s="23"/>
      <c r="F289" s="23"/>
      <c r="G289" s="23"/>
      <c r="H289" s="24"/>
      <c r="I289" s="23"/>
      <c r="J289" s="23"/>
      <c r="K289" s="24"/>
      <c r="L289" s="23"/>
      <c r="M289" s="23"/>
    </row>
    <row r="290" spans="1:13" ht="14.45">
      <c r="A290" s="23"/>
      <c r="B290" s="35"/>
      <c r="C290" s="23"/>
      <c r="D290" s="23"/>
      <c r="E290" s="23"/>
      <c r="F290" s="23"/>
      <c r="G290" s="23"/>
      <c r="H290" s="24"/>
      <c r="I290" s="23"/>
      <c r="J290" s="23"/>
      <c r="K290" s="24"/>
      <c r="L290" s="23"/>
      <c r="M290" s="23"/>
    </row>
    <row r="291" spans="1:13" ht="14.45">
      <c r="A291" s="23"/>
      <c r="B291" s="35"/>
      <c r="C291" s="23"/>
      <c r="D291" s="23"/>
      <c r="E291" s="23"/>
      <c r="F291" s="23"/>
      <c r="G291" s="23"/>
      <c r="H291" s="24"/>
      <c r="I291" s="23"/>
      <c r="J291" s="23"/>
      <c r="K291" s="24"/>
      <c r="L291" s="23"/>
      <c r="M291" s="23"/>
    </row>
    <row r="292" spans="1:13" ht="14.45">
      <c r="A292" s="23"/>
      <c r="B292" s="35"/>
      <c r="C292" s="23"/>
      <c r="D292" s="23"/>
      <c r="E292" s="23"/>
      <c r="F292" s="23"/>
      <c r="G292" s="23"/>
      <c r="H292" s="24"/>
      <c r="I292" s="23"/>
      <c r="J292" s="23"/>
      <c r="K292" s="24"/>
      <c r="L292" s="23"/>
      <c r="M292" s="23"/>
    </row>
    <row r="293" spans="1:13" ht="14.45">
      <c r="A293" s="23"/>
      <c r="B293" s="35"/>
      <c r="C293" s="23"/>
      <c r="D293" s="23"/>
      <c r="E293" s="23"/>
      <c r="F293" s="23"/>
      <c r="G293" s="23"/>
      <c r="H293" s="24"/>
      <c r="I293" s="23"/>
      <c r="J293" s="23"/>
      <c r="K293" s="24"/>
      <c r="L293" s="23"/>
      <c r="M293" s="23"/>
    </row>
    <row r="294" spans="1:13" ht="14.45">
      <c r="A294" s="23"/>
      <c r="B294" s="35"/>
      <c r="C294" s="23"/>
      <c r="D294" s="23"/>
      <c r="E294" s="23"/>
      <c r="F294" s="23"/>
      <c r="G294" s="23"/>
      <c r="H294" s="24"/>
      <c r="I294" s="23"/>
      <c r="J294" s="23"/>
      <c r="K294" s="24"/>
      <c r="L294" s="23"/>
      <c r="M294" s="23"/>
    </row>
    <row r="295" spans="1:13" ht="14.45">
      <c r="A295" s="23"/>
      <c r="B295" s="35"/>
      <c r="C295" s="23"/>
      <c r="D295" s="23"/>
      <c r="E295" s="23"/>
      <c r="F295" s="23"/>
      <c r="G295" s="23"/>
      <c r="H295" s="24"/>
      <c r="I295" s="23"/>
      <c r="J295" s="23"/>
      <c r="K295" s="24"/>
      <c r="L295" s="23"/>
      <c r="M295" s="23"/>
    </row>
    <row r="296" spans="1:13" ht="14.45">
      <c r="A296" s="23"/>
      <c r="B296" s="35"/>
      <c r="C296" s="23"/>
      <c r="D296" s="23"/>
      <c r="E296" s="23"/>
      <c r="F296" s="23"/>
      <c r="G296" s="23"/>
      <c r="H296" s="24"/>
      <c r="I296" s="23"/>
      <c r="J296" s="23"/>
      <c r="K296" s="24"/>
      <c r="L296" s="23"/>
      <c r="M296" s="23"/>
    </row>
    <row r="297" spans="1:13" ht="14.45">
      <c r="A297" s="23"/>
      <c r="B297" s="35"/>
      <c r="C297" s="23"/>
      <c r="D297" s="23"/>
      <c r="E297" s="23"/>
      <c r="F297" s="23"/>
      <c r="G297" s="23"/>
      <c r="H297" s="24"/>
      <c r="I297" s="23"/>
      <c r="J297" s="23"/>
      <c r="K297" s="24"/>
      <c r="L297" s="23"/>
      <c r="M297" s="23"/>
    </row>
    <row r="298" spans="1:13" ht="14.45">
      <c r="A298" s="23"/>
      <c r="B298" s="35"/>
      <c r="C298" s="23"/>
      <c r="D298" s="23"/>
      <c r="E298" s="23"/>
      <c r="F298" s="23"/>
      <c r="G298" s="23"/>
      <c r="H298" s="24"/>
      <c r="I298" s="23"/>
      <c r="J298" s="23"/>
      <c r="K298" s="24"/>
      <c r="L298" s="23"/>
      <c r="M298" s="23"/>
    </row>
    <row r="299" spans="1:13" ht="14.45">
      <c r="A299" s="23"/>
      <c r="B299" s="35"/>
      <c r="C299" s="23"/>
      <c r="D299" s="23"/>
      <c r="E299" s="23"/>
      <c r="F299" s="23"/>
      <c r="G299" s="23"/>
      <c r="H299" s="24"/>
      <c r="I299" s="23"/>
      <c r="J299" s="23"/>
      <c r="K299" s="24"/>
      <c r="L299" s="23"/>
      <c r="M299" s="23"/>
    </row>
    <row r="300" spans="1:13" ht="14.45">
      <c r="A300" s="23"/>
      <c r="B300" s="35"/>
      <c r="C300" s="23"/>
      <c r="D300" s="23"/>
      <c r="E300" s="23"/>
      <c r="F300" s="23"/>
      <c r="G300" s="23"/>
      <c r="H300" s="24"/>
      <c r="I300" s="23"/>
      <c r="J300" s="23"/>
      <c r="K300" s="24"/>
      <c r="L300" s="23"/>
      <c r="M300" s="23"/>
    </row>
    <row r="301" spans="1:13" ht="14.45">
      <c r="A301" s="23"/>
      <c r="B301" s="35"/>
      <c r="C301" s="23"/>
      <c r="D301" s="23"/>
      <c r="E301" s="23"/>
      <c r="F301" s="23"/>
      <c r="G301" s="23"/>
      <c r="H301" s="24"/>
      <c r="I301" s="23"/>
      <c r="J301" s="23"/>
      <c r="K301" s="24"/>
      <c r="L301" s="23"/>
      <c r="M301" s="23"/>
    </row>
    <row r="302" spans="1:13" ht="14.45">
      <c r="A302" s="23"/>
      <c r="B302" s="35"/>
      <c r="C302" s="23"/>
      <c r="D302" s="23"/>
      <c r="E302" s="23"/>
      <c r="F302" s="23"/>
      <c r="G302" s="23"/>
      <c r="H302" s="24"/>
      <c r="I302" s="23"/>
      <c r="J302" s="23"/>
      <c r="K302" s="24"/>
      <c r="L302" s="23"/>
      <c r="M302" s="23"/>
    </row>
    <row r="303" spans="1:13" ht="14.45">
      <c r="A303" s="23"/>
      <c r="B303" s="35"/>
      <c r="C303" s="23"/>
      <c r="D303" s="23"/>
      <c r="E303" s="23"/>
      <c r="F303" s="23"/>
      <c r="G303" s="23"/>
      <c r="H303" s="24"/>
      <c r="I303" s="23"/>
      <c r="J303" s="23"/>
      <c r="K303" s="24"/>
      <c r="L303" s="23"/>
      <c r="M303" s="23"/>
    </row>
    <row r="304" spans="1:13" ht="14.45">
      <c r="A304" s="23"/>
      <c r="B304" s="35"/>
      <c r="C304" s="23"/>
      <c r="D304" s="23"/>
      <c r="E304" s="23"/>
      <c r="F304" s="23"/>
      <c r="G304" s="23"/>
      <c r="H304" s="24"/>
      <c r="I304" s="23"/>
      <c r="J304" s="23"/>
      <c r="K304" s="24"/>
      <c r="L304" s="23"/>
      <c r="M304" s="23"/>
    </row>
    <row r="305" spans="1:13" ht="14.45">
      <c r="A305" s="23"/>
      <c r="B305" s="35"/>
      <c r="C305" s="23"/>
      <c r="D305" s="23"/>
      <c r="E305" s="23"/>
      <c r="F305" s="23"/>
      <c r="G305" s="23"/>
      <c r="H305" s="24"/>
      <c r="I305" s="23"/>
      <c r="J305" s="23"/>
      <c r="K305" s="24"/>
      <c r="L305" s="23"/>
      <c r="M305" s="23"/>
    </row>
    <row r="306" spans="1:13" ht="14.45">
      <c r="A306" s="23"/>
      <c r="B306" s="35"/>
      <c r="C306" s="23"/>
      <c r="D306" s="23"/>
      <c r="E306" s="23"/>
      <c r="F306" s="23"/>
      <c r="G306" s="23"/>
      <c r="H306" s="24"/>
      <c r="I306" s="23"/>
      <c r="J306" s="23"/>
      <c r="K306" s="24"/>
      <c r="L306" s="23"/>
      <c r="M306" s="23"/>
    </row>
    <row r="307" spans="1:13" ht="14.45">
      <c r="A307" s="23"/>
      <c r="B307" s="35"/>
      <c r="C307" s="23"/>
      <c r="D307" s="23"/>
      <c r="E307" s="23"/>
      <c r="F307" s="23"/>
      <c r="G307" s="23"/>
      <c r="H307" s="24"/>
      <c r="I307" s="23"/>
      <c r="J307" s="23"/>
      <c r="K307" s="24"/>
      <c r="L307" s="23"/>
      <c r="M307" s="23"/>
    </row>
    <row r="308" spans="1:13" ht="14.45">
      <c r="A308" s="23"/>
      <c r="B308" s="35"/>
      <c r="C308" s="23"/>
      <c r="D308" s="23"/>
      <c r="E308" s="23"/>
      <c r="F308" s="23"/>
      <c r="G308" s="23"/>
      <c r="H308" s="24"/>
      <c r="I308" s="23"/>
      <c r="J308" s="23"/>
      <c r="K308" s="24"/>
      <c r="L308" s="23"/>
      <c r="M308" s="23"/>
    </row>
    <row r="309" spans="1:13" ht="14.45">
      <c r="A309" s="23"/>
      <c r="B309" s="35"/>
      <c r="C309" s="23"/>
      <c r="D309" s="23"/>
      <c r="E309" s="23"/>
      <c r="F309" s="23"/>
      <c r="G309" s="23"/>
      <c r="H309" s="24"/>
      <c r="I309" s="23"/>
      <c r="J309" s="23"/>
      <c r="K309" s="24"/>
      <c r="L309" s="23"/>
      <c r="M309" s="23"/>
    </row>
    <row r="310" spans="1:13" ht="14.45">
      <c r="A310" s="23"/>
      <c r="B310" s="35"/>
      <c r="C310" s="23"/>
      <c r="D310" s="23"/>
      <c r="E310" s="23"/>
      <c r="F310" s="23"/>
      <c r="G310" s="23"/>
      <c r="H310" s="24"/>
      <c r="I310" s="23"/>
      <c r="J310" s="23"/>
      <c r="K310" s="24"/>
      <c r="L310" s="23"/>
      <c r="M310" s="23"/>
    </row>
    <row r="311" spans="1:13" ht="14.45">
      <c r="A311" s="23"/>
      <c r="B311" s="35"/>
      <c r="C311" s="23"/>
      <c r="D311" s="23"/>
      <c r="E311" s="23"/>
      <c r="F311" s="23"/>
      <c r="G311" s="23"/>
      <c r="H311" s="24"/>
      <c r="I311" s="23"/>
      <c r="J311" s="23"/>
      <c r="K311" s="24"/>
      <c r="L311" s="23"/>
      <c r="M311" s="23"/>
    </row>
    <row r="312" spans="1:13" ht="14.45">
      <c r="A312" s="23"/>
      <c r="B312" s="35"/>
      <c r="C312" s="23"/>
      <c r="D312" s="23"/>
      <c r="E312" s="23"/>
      <c r="F312" s="23"/>
      <c r="G312" s="23"/>
      <c r="H312" s="24"/>
      <c r="I312" s="23"/>
      <c r="J312" s="23"/>
      <c r="K312" s="24"/>
      <c r="L312" s="23"/>
      <c r="M312" s="23"/>
    </row>
    <row r="313" spans="1:13" ht="14.45">
      <c r="A313" s="23"/>
      <c r="B313" s="35"/>
      <c r="C313" s="23"/>
      <c r="D313" s="23"/>
      <c r="E313" s="23"/>
      <c r="F313" s="23"/>
      <c r="G313" s="23"/>
      <c r="H313" s="24"/>
      <c r="I313" s="23"/>
      <c r="J313" s="23"/>
      <c r="K313" s="24"/>
      <c r="L313" s="23"/>
      <c r="M313" s="23"/>
    </row>
    <row r="314" spans="1:13" ht="14.45">
      <c r="A314" s="23"/>
      <c r="B314" s="35"/>
      <c r="C314" s="23"/>
      <c r="D314" s="23"/>
      <c r="E314" s="23"/>
      <c r="F314" s="23"/>
      <c r="G314" s="23"/>
      <c r="H314" s="24"/>
      <c r="I314" s="23"/>
      <c r="J314" s="23"/>
      <c r="K314" s="24"/>
      <c r="L314" s="23"/>
      <c r="M314" s="23"/>
    </row>
    <row r="315" spans="1:13" ht="14.45">
      <c r="A315" s="23"/>
      <c r="B315" s="35"/>
      <c r="C315" s="23"/>
      <c r="D315" s="23"/>
      <c r="E315" s="23"/>
      <c r="F315" s="23"/>
      <c r="G315" s="23"/>
      <c r="H315" s="24"/>
      <c r="I315" s="23"/>
      <c r="J315" s="23"/>
      <c r="K315" s="24"/>
      <c r="L315" s="23"/>
      <c r="M315" s="23"/>
    </row>
    <row r="316" spans="1:13" ht="14.45">
      <c r="A316" s="23"/>
      <c r="B316" s="35"/>
      <c r="C316" s="23"/>
      <c r="D316" s="23"/>
      <c r="E316" s="23"/>
      <c r="F316" s="23"/>
      <c r="G316" s="23"/>
      <c r="H316" s="24"/>
      <c r="I316" s="23"/>
      <c r="J316" s="23"/>
      <c r="K316" s="24"/>
      <c r="L316" s="23"/>
      <c r="M316" s="23"/>
    </row>
    <row r="317" spans="1:13" ht="14.45">
      <c r="A317" s="23"/>
      <c r="B317" s="35"/>
      <c r="C317" s="23"/>
      <c r="D317" s="23"/>
      <c r="E317" s="23"/>
      <c r="F317" s="23"/>
      <c r="G317" s="23"/>
      <c r="H317" s="24"/>
      <c r="I317" s="23"/>
      <c r="J317" s="23"/>
      <c r="K317" s="24"/>
      <c r="L317" s="23"/>
      <c r="M317" s="23"/>
    </row>
    <row r="318" spans="1:13" ht="14.45">
      <c r="A318" s="23"/>
      <c r="B318" s="35"/>
      <c r="C318" s="23"/>
      <c r="D318" s="23"/>
      <c r="E318" s="23"/>
      <c r="F318" s="23"/>
      <c r="G318" s="23"/>
      <c r="H318" s="24"/>
      <c r="I318" s="23"/>
      <c r="J318" s="23"/>
      <c r="K318" s="24"/>
      <c r="L318" s="23"/>
      <c r="M318" s="23"/>
    </row>
    <row r="319" spans="1:13" ht="14.45">
      <c r="A319" s="23"/>
      <c r="B319" s="35"/>
      <c r="C319" s="23"/>
      <c r="D319" s="23"/>
      <c r="E319" s="23"/>
      <c r="F319" s="23"/>
      <c r="G319" s="23"/>
      <c r="H319" s="24"/>
      <c r="I319" s="23"/>
      <c r="J319" s="23"/>
      <c r="K319" s="24"/>
      <c r="L319" s="23"/>
      <c r="M319" s="23"/>
    </row>
    <row r="320" spans="1:13" ht="14.45">
      <c r="A320" s="23"/>
      <c r="B320" s="35"/>
      <c r="C320" s="23"/>
      <c r="D320" s="23"/>
      <c r="E320" s="23"/>
      <c r="F320" s="23"/>
      <c r="G320" s="23"/>
      <c r="H320" s="24"/>
      <c r="I320" s="23"/>
      <c r="J320" s="23"/>
      <c r="K320" s="24"/>
      <c r="L320" s="23"/>
      <c r="M320" s="23"/>
    </row>
    <row r="321" spans="1:13" ht="14.45">
      <c r="A321" s="23"/>
      <c r="B321" s="35"/>
      <c r="C321" s="23"/>
      <c r="D321" s="23"/>
      <c r="E321" s="23"/>
      <c r="F321" s="23"/>
      <c r="G321" s="23"/>
      <c r="H321" s="24"/>
      <c r="I321" s="23"/>
      <c r="J321" s="23"/>
      <c r="K321" s="24"/>
      <c r="L321" s="23"/>
      <c r="M321" s="23"/>
    </row>
    <row r="322" spans="1:13" ht="14.45">
      <c r="A322" s="23"/>
      <c r="B322" s="35"/>
      <c r="C322" s="23"/>
      <c r="D322" s="23"/>
      <c r="E322" s="23"/>
      <c r="F322" s="23"/>
      <c r="G322" s="23"/>
      <c r="H322" s="24"/>
      <c r="I322" s="23"/>
      <c r="J322" s="23"/>
      <c r="K322" s="24"/>
      <c r="L322" s="23"/>
      <c r="M322" s="23"/>
    </row>
    <row r="323" spans="1:13" ht="14.45">
      <c r="A323" s="23"/>
      <c r="B323" s="35"/>
      <c r="C323" s="23"/>
      <c r="D323" s="23"/>
      <c r="E323" s="23"/>
      <c r="F323" s="23"/>
      <c r="G323" s="23"/>
      <c r="H323" s="24"/>
      <c r="I323" s="23"/>
      <c r="J323" s="23"/>
      <c r="K323" s="24"/>
      <c r="L323" s="23"/>
      <c r="M323" s="23"/>
    </row>
    <row r="324" spans="1:13" ht="14.45">
      <c r="A324" s="23"/>
      <c r="B324" s="35"/>
      <c r="C324" s="23"/>
      <c r="D324" s="23"/>
      <c r="E324" s="23"/>
      <c r="F324" s="23"/>
      <c r="G324" s="23"/>
      <c r="H324" s="24"/>
      <c r="I324" s="23"/>
      <c r="J324" s="23"/>
      <c r="K324" s="24"/>
      <c r="L324" s="23"/>
      <c r="M324" s="23"/>
    </row>
    <row r="325" spans="1:13" ht="14.45">
      <c r="A325" s="23"/>
      <c r="B325" s="35"/>
      <c r="C325" s="23"/>
      <c r="D325" s="23"/>
      <c r="E325" s="23"/>
      <c r="F325" s="23"/>
      <c r="G325" s="23"/>
      <c r="H325" s="24"/>
      <c r="I325" s="23"/>
      <c r="J325" s="23"/>
      <c r="K325" s="24"/>
      <c r="L325" s="23"/>
      <c r="M325" s="23"/>
    </row>
    <row r="326" spans="1:13" ht="14.45">
      <c r="A326" s="23"/>
      <c r="B326" s="35"/>
      <c r="C326" s="23"/>
      <c r="D326" s="23"/>
      <c r="E326" s="23"/>
      <c r="F326" s="23"/>
      <c r="G326" s="23"/>
      <c r="H326" s="24"/>
      <c r="I326" s="23"/>
      <c r="J326" s="23"/>
      <c r="K326" s="24"/>
      <c r="L326" s="23"/>
      <c r="M326" s="23"/>
    </row>
    <row r="327" spans="1:13" ht="14.45">
      <c r="A327" s="23"/>
      <c r="B327" s="35"/>
      <c r="C327" s="23"/>
      <c r="D327" s="23"/>
      <c r="E327" s="23"/>
      <c r="F327" s="23"/>
      <c r="G327" s="23"/>
      <c r="H327" s="24"/>
      <c r="I327" s="23"/>
      <c r="J327" s="23"/>
      <c r="K327" s="24"/>
      <c r="L327" s="23"/>
      <c r="M327" s="23"/>
    </row>
    <row r="328" spans="1:13" ht="14.45">
      <c r="A328" s="23"/>
      <c r="B328" s="35"/>
      <c r="C328" s="23"/>
      <c r="D328" s="23"/>
      <c r="E328" s="23"/>
      <c r="F328" s="23"/>
      <c r="G328" s="23"/>
      <c r="H328" s="24"/>
      <c r="I328" s="23"/>
      <c r="J328" s="23"/>
      <c r="K328" s="24"/>
      <c r="L328" s="23"/>
      <c r="M328" s="23"/>
    </row>
    <row r="329" spans="1:13" ht="14.45">
      <c r="A329" s="23"/>
      <c r="B329" s="35"/>
      <c r="C329" s="23"/>
      <c r="D329" s="23"/>
      <c r="E329" s="23"/>
      <c r="F329" s="23"/>
      <c r="G329" s="23"/>
      <c r="H329" s="24"/>
      <c r="I329" s="23"/>
      <c r="J329" s="23"/>
      <c r="K329" s="24"/>
      <c r="L329" s="23"/>
      <c r="M329" s="23"/>
    </row>
    <row r="330" spans="1:13" ht="14.45">
      <c r="A330" s="23"/>
      <c r="B330" s="35"/>
      <c r="C330" s="23"/>
      <c r="D330" s="23"/>
      <c r="E330" s="23"/>
      <c r="F330" s="23"/>
      <c r="G330" s="23"/>
      <c r="H330" s="24"/>
      <c r="I330" s="23"/>
      <c r="J330" s="23"/>
      <c r="K330" s="24"/>
      <c r="L330" s="23"/>
      <c r="M330" s="23"/>
    </row>
    <row r="331" spans="1:13" ht="14.45">
      <c r="A331" s="23"/>
      <c r="B331" s="35"/>
      <c r="C331" s="23"/>
      <c r="D331" s="23"/>
      <c r="E331" s="23"/>
      <c r="F331" s="23"/>
      <c r="G331" s="23"/>
      <c r="H331" s="24"/>
      <c r="I331" s="23"/>
      <c r="J331" s="23"/>
      <c r="K331" s="24"/>
      <c r="L331" s="23"/>
      <c r="M331" s="23"/>
    </row>
    <row r="332" spans="1:13" ht="14.45">
      <c r="A332" s="23"/>
      <c r="B332" s="35"/>
      <c r="C332" s="23"/>
      <c r="D332" s="23"/>
      <c r="E332" s="23"/>
      <c r="F332" s="23"/>
      <c r="G332" s="23"/>
      <c r="H332" s="24"/>
      <c r="I332" s="23"/>
      <c r="J332" s="23"/>
      <c r="K332" s="24"/>
      <c r="L332" s="23"/>
      <c r="M332" s="23"/>
    </row>
    <row r="333" spans="1:13" ht="14.45">
      <c r="A333" s="23"/>
      <c r="B333" s="35"/>
      <c r="C333" s="23"/>
      <c r="D333" s="23"/>
      <c r="E333" s="23"/>
      <c r="F333" s="23"/>
      <c r="G333" s="23"/>
      <c r="H333" s="24"/>
      <c r="I333" s="23"/>
      <c r="J333" s="23"/>
      <c r="K333" s="24"/>
      <c r="L333" s="23"/>
      <c r="M333" s="23"/>
    </row>
    <row r="334" spans="1:13" ht="14.45">
      <c r="A334" s="23"/>
      <c r="B334" s="35"/>
      <c r="C334" s="23"/>
      <c r="D334" s="23"/>
      <c r="E334" s="23"/>
      <c r="F334" s="23"/>
      <c r="G334" s="23"/>
      <c r="H334" s="24"/>
      <c r="I334" s="23"/>
      <c r="J334" s="23"/>
      <c r="K334" s="24"/>
      <c r="L334" s="23"/>
      <c r="M334" s="23"/>
    </row>
    <row r="335" spans="1:13" ht="14.45">
      <c r="A335" s="23"/>
      <c r="B335" s="35"/>
      <c r="C335" s="23"/>
      <c r="D335" s="23"/>
      <c r="E335" s="23"/>
      <c r="F335" s="23"/>
      <c r="G335" s="23"/>
      <c r="H335" s="24"/>
      <c r="I335" s="23"/>
      <c r="J335" s="23"/>
      <c r="K335" s="24"/>
      <c r="L335" s="23"/>
      <c r="M335" s="23"/>
    </row>
    <row r="336" spans="1:13" ht="14.45">
      <c r="A336" s="23"/>
      <c r="B336" s="35"/>
      <c r="C336" s="23"/>
      <c r="D336" s="23"/>
      <c r="E336" s="23"/>
      <c r="F336" s="23"/>
      <c r="G336" s="23"/>
      <c r="H336" s="24"/>
      <c r="I336" s="23"/>
      <c r="J336" s="23"/>
      <c r="K336" s="24"/>
      <c r="L336" s="23"/>
      <c r="M336" s="23"/>
    </row>
    <row r="337" spans="1:13" ht="14.45">
      <c r="A337" s="23"/>
      <c r="B337" s="35"/>
      <c r="C337" s="23"/>
      <c r="D337" s="23"/>
      <c r="E337" s="23"/>
      <c r="F337" s="23"/>
      <c r="G337" s="23"/>
      <c r="H337" s="24"/>
      <c r="I337" s="23"/>
      <c r="J337" s="23"/>
      <c r="K337" s="24"/>
      <c r="L337" s="23"/>
      <c r="M337" s="23"/>
    </row>
    <row r="338" spans="1:13" ht="14.45">
      <c r="A338" s="23"/>
      <c r="B338" s="35"/>
      <c r="C338" s="23"/>
      <c r="D338" s="23"/>
      <c r="E338" s="23"/>
      <c r="F338" s="23"/>
      <c r="G338" s="23"/>
      <c r="H338" s="24"/>
      <c r="I338" s="23"/>
      <c r="J338" s="23"/>
      <c r="K338" s="24"/>
      <c r="L338" s="23"/>
      <c r="M338" s="23"/>
    </row>
    <row r="339" spans="1:13" ht="14.45">
      <c r="A339" s="23"/>
      <c r="B339" s="35"/>
      <c r="C339" s="23"/>
      <c r="D339" s="23"/>
      <c r="E339" s="23"/>
      <c r="F339" s="23"/>
      <c r="G339" s="23"/>
      <c r="H339" s="24"/>
      <c r="I339" s="23"/>
      <c r="J339" s="23"/>
      <c r="K339" s="24"/>
      <c r="L339" s="23"/>
      <c r="M339" s="23"/>
    </row>
    <row r="340" spans="1:13" ht="14.45">
      <c r="A340" s="23"/>
      <c r="B340" s="35"/>
      <c r="C340" s="23"/>
      <c r="D340" s="23"/>
      <c r="E340" s="23"/>
      <c r="F340" s="23"/>
      <c r="G340" s="23"/>
      <c r="H340" s="24"/>
      <c r="I340" s="23"/>
      <c r="J340" s="23"/>
      <c r="K340" s="24"/>
      <c r="L340" s="23"/>
      <c r="M340" s="23"/>
    </row>
    <row r="341" spans="1:13" ht="14.45">
      <c r="A341" s="23"/>
      <c r="B341" s="35"/>
      <c r="C341" s="23"/>
      <c r="D341" s="23"/>
      <c r="E341" s="23"/>
      <c r="F341" s="23"/>
      <c r="G341" s="23"/>
      <c r="H341" s="24"/>
      <c r="I341" s="23"/>
      <c r="J341" s="23"/>
      <c r="K341" s="24"/>
      <c r="L341" s="23"/>
      <c r="M341" s="23"/>
    </row>
    <row r="342" spans="1:13" ht="14.45">
      <c r="C342" s="23"/>
      <c r="D342" s="23"/>
      <c r="E342" s="23"/>
      <c r="F342" s="23"/>
      <c r="G342" s="23"/>
      <c r="H342" s="24"/>
      <c r="I342" s="23"/>
      <c r="J342" s="23"/>
      <c r="K342" s="24"/>
      <c r="L342" s="23"/>
      <c r="M342" s="23"/>
    </row>
  </sheetData>
  <sortState xmlns:xlrd2="http://schemas.microsoft.com/office/spreadsheetml/2017/richdata2" ref="A3:M15">
    <sortCondition ref="A3:A15"/>
  </sortState>
  <mergeCells count="4">
    <mergeCell ref="I1:K1"/>
    <mergeCell ref="A1:C1"/>
    <mergeCell ref="F1:H1"/>
    <mergeCell ref="A2:B2"/>
  </mergeCells>
  <conditionalFormatting sqref="H2 K2 H4:H100 K4:K100">
    <cfRule type="cellIs" dxfId="12" priority="1" stopIfTrue="1" operator="lessThanOrEqual">
      <formula>-0.1</formula>
    </cfRule>
    <cfRule type="expression" dxfId="11" priority="2">
      <formula>AND(ISNUMBER(H2), H2&gt;=0.1)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M323"/>
  <sheetViews>
    <sheetView zoomScale="50" zoomScaleNormal="50" workbookViewId="0">
      <pane ySplit="2" topLeftCell="A3" activePane="bottomLeft" state="frozen"/>
      <selection pane="bottomLeft" activeCell="J32" sqref="J32"/>
      <selection activeCell="M45" sqref="M45"/>
    </sheetView>
  </sheetViews>
  <sheetFormatPr defaultRowHeight="14.25" customHeight="1"/>
  <cols>
    <col min="1" max="1" width="35.85546875" bestFit="1" customWidth="1"/>
    <col min="2" max="2" width="8.42578125" style="36" customWidth="1"/>
    <col min="3" max="3" width="11.7109375" customWidth="1"/>
    <col min="4" max="4" width="13.5703125" customWidth="1"/>
    <col min="5" max="5" width="11.7109375" customWidth="1"/>
    <col min="6" max="7" width="13.28515625" customWidth="1"/>
    <col min="8" max="8" width="13.28515625" style="1" customWidth="1"/>
    <col min="9" max="10" width="13.28515625" customWidth="1"/>
    <col min="11" max="11" width="11" style="1" customWidth="1"/>
    <col min="12" max="12" width="71.5703125" customWidth="1"/>
    <col min="13" max="13" width="20.5703125" bestFit="1" customWidth="1"/>
  </cols>
  <sheetData>
    <row r="1" spans="1:13" ht="28.5" customHeight="1">
      <c r="A1" s="129" t="str" cm="1">
        <f t="array" ref="A1">portfolio</f>
        <v>CITI</v>
      </c>
      <c r="B1" s="129"/>
      <c r="C1" s="129"/>
      <c r="D1" s="74" t="s">
        <v>0</v>
      </c>
      <c r="E1" s="75" t="s">
        <v>1</v>
      </c>
      <c r="F1" s="132" t="s">
        <v>205</v>
      </c>
      <c r="G1" s="133"/>
      <c r="H1" s="134"/>
      <c r="I1" s="128" t="s">
        <v>206</v>
      </c>
      <c r="J1" s="128"/>
      <c r="K1" s="128"/>
      <c r="L1" s="5"/>
      <c r="M1" s="5"/>
    </row>
    <row r="2" spans="1:13" ht="19.5" customHeight="1">
      <c r="A2" s="131" t="s">
        <v>4</v>
      </c>
      <c r="B2" s="131"/>
      <c r="C2" s="6">
        <f>SUM(C4:C81)</f>
        <v>0</v>
      </c>
      <c r="D2" s="6">
        <f>SUM(D3:D22)</f>
        <v>0</v>
      </c>
      <c r="E2" s="68" t="e">
        <f>C2/D2</f>
        <v>#DIV/0!</v>
      </c>
      <c r="F2" s="6">
        <f>SUM(F4:F81)</f>
        <v>0</v>
      </c>
      <c r="G2" s="6">
        <f>C2-F2</f>
        <v>0</v>
      </c>
      <c r="H2" s="7">
        <f>IFERROR(G2/F2, 0)</f>
        <v>0</v>
      </c>
      <c r="I2" s="6">
        <f>SUM(I4:I81)</f>
        <v>0</v>
      </c>
      <c r="J2" s="8">
        <f>C2-I2</f>
        <v>0</v>
      </c>
      <c r="K2" s="7">
        <f>IFERROR(J2/I2, 0)</f>
        <v>0</v>
      </c>
      <c r="L2" s="28"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M2" s="5"/>
    </row>
    <row r="3" spans="1:13" ht="14.25" customHeight="1">
      <c r="A3" s="9" t="s">
        <v>5</v>
      </c>
      <c r="B3" s="9" t="s">
        <v>6</v>
      </c>
      <c r="C3" s="25" t="s">
        <v>7</v>
      </c>
      <c r="D3" s="69"/>
      <c r="E3" s="70"/>
      <c r="F3" s="49" t="s">
        <v>8</v>
      </c>
      <c r="G3" s="49" t="s">
        <v>9</v>
      </c>
      <c r="H3" s="50" t="s">
        <v>10</v>
      </c>
      <c r="I3" s="51" t="s">
        <v>11</v>
      </c>
      <c r="J3" s="52" t="s">
        <v>9</v>
      </c>
      <c r="K3" s="53" t="s">
        <v>10</v>
      </c>
      <c r="L3" s="27" t="s">
        <v>22</v>
      </c>
      <c r="M3" s="27" t="s">
        <v>23</v>
      </c>
    </row>
    <row r="4" spans="1:13" ht="15.6" customHeight="1">
      <c r="A4" s="34" t="str" cm="1">
        <f t="array" ref="A4:A23">Sites[Site]</f>
        <v>CA: Antioch Deer Valley - Citi</v>
      </c>
      <c r="B4" s="31" t="str" cm="1">
        <f t="array" ref="B4:B23">Sites[State]</f>
        <v>CA</v>
      </c>
      <c r="C4" s="26"/>
      <c r="D4" s="71"/>
      <c r="E4" s="82" t="e">
        <f t="shared" ref="E4:E22" si="0">C4/D4</f>
        <v>#DIV/0!</v>
      </c>
      <c r="F4" s="14"/>
      <c r="G4" s="14"/>
      <c r="H4" s="15" t="str">
        <f>IFERROR(G4/F4, "")</f>
        <v/>
      </c>
      <c r="I4" s="16"/>
      <c r="J4" s="16"/>
      <c r="K4" s="17" t="str">
        <f>IFERROR(J4/I4, "")</f>
        <v/>
      </c>
      <c r="L4" s="18"/>
      <c r="M4" s="18"/>
    </row>
    <row r="5" spans="1:13" ht="15.6" customHeight="1">
      <c r="A5" s="32" t="str">
        <v>CA: Antioch MC CUP - Citi</v>
      </c>
      <c r="B5" s="33" t="str">
        <v>CA</v>
      </c>
      <c r="C5" s="12"/>
      <c r="D5" s="12"/>
      <c r="E5" s="80" t="e">
        <f t="shared" si="0"/>
        <v>#DIV/0!</v>
      </c>
      <c r="F5" s="20"/>
      <c r="G5" s="20"/>
      <c r="H5" s="21" t="str">
        <f>IFERROR(G5/F5, "")</f>
        <v/>
      </c>
      <c r="I5" s="22"/>
      <c r="J5" s="22"/>
      <c r="K5" s="21" t="str">
        <f t="shared" ref="K5:K15" si="1">IFERROR(J5/I5, "")</f>
        <v/>
      </c>
      <c r="L5" s="11"/>
      <c r="M5" s="19"/>
    </row>
    <row r="6" spans="1:13" ht="15.6" customHeight="1">
      <c r="A6" s="30" t="str">
        <v>CA: Clovis - Citi</v>
      </c>
      <c r="B6" s="31" t="str">
        <v>CA</v>
      </c>
      <c r="C6" s="26"/>
      <c r="D6" s="71"/>
      <c r="E6" s="82" t="e">
        <f t="shared" si="0"/>
        <v>#DIV/0!</v>
      </c>
      <c r="F6" s="14"/>
      <c r="G6" s="14"/>
      <c r="H6" s="15" t="str">
        <f t="shared" ref="H6:H15" si="2">IFERROR(G6/F6, "")</f>
        <v/>
      </c>
      <c r="I6" s="16"/>
      <c r="J6" s="16"/>
      <c r="K6" s="17" t="str">
        <f t="shared" si="1"/>
        <v/>
      </c>
      <c r="L6" s="18"/>
      <c r="M6" s="18"/>
    </row>
    <row r="7" spans="1:13" ht="39.75" customHeight="1">
      <c r="A7" s="32" t="str">
        <v>CA: Elk Grove MOB - Citi</v>
      </c>
      <c r="B7" s="33" t="str">
        <v>CA</v>
      </c>
      <c r="C7" s="12"/>
      <c r="D7" s="12"/>
      <c r="E7" s="80" t="e">
        <f t="shared" si="0"/>
        <v>#DIV/0!</v>
      </c>
      <c r="F7" s="20"/>
      <c r="G7" s="20"/>
      <c r="H7" s="21" t="str">
        <f t="shared" si="2"/>
        <v/>
      </c>
      <c r="I7" s="22"/>
      <c r="J7" s="22"/>
      <c r="K7" s="21" t="str">
        <f t="shared" si="1"/>
        <v/>
      </c>
      <c r="L7" s="84"/>
      <c r="M7" s="84"/>
    </row>
    <row r="8" spans="1:13" ht="15.6" customHeight="1">
      <c r="A8" s="30" t="str">
        <v>CA: Elk Grove Promenade - Citi</v>
      </c>
      <c r="B8" s="31" t="str">
        <v>CA</v>
      </c>
      <c r="C8" s="26"/>
      <c r="D8" s="71"/>
      <c r="E8" s="82" t="e">
        <f t="shared" si="0"/>
        <v>#DIV/0!</v>
      </c>
      <c r="F8" s="14"/>
      <c r="G8" s="14"/>
      <c r="H8" s="15" t="str">
        <f t="shared" si="2"/>
        <v/>
      </c>
      <c r="I8" s="16"/>
      <c r="J8" s="16"/>
      <c r="K8" s="17" t="str">
        <f t="shared" si="1"/>
        <v/>
      </c>
      <c r="L8" s="18"/>
      <c r="M8" s="18"/>
    </row>
    <row r="9" spans="1:13" ht="15.6" customHeight="1">
      <c r="A9" s="32" t="str">
        <v>CA: Fresno Sequioa - Citi</v>
      </c>
      <c r="B9" s="33" t="str">
        <v>CA</v>
      </c>
      <c r="C9" s="12"/>
      <c r="D9" s="12"/>
      <c r="E9" s="80" t="e">
        <f t="shared" si="0"/>
        <v>#DIV/0!</v>
      </c>
      <c r="F9" s="20"/>
      <c r="G9" s="20"/>
      <c r="H9" s="21" t="str">
        <f t="shared" si="2"/>
        <v/>
      </c>
      <c r="I9" s="22"/>
      <c r="J9" s="22"/>
      <c r="K9" s="21" t="str">
        <f t="shared" si="1"/>
        <v/>
      </c>
      <c r="L9" s="11"/>
      <c r="M9" s="19"/>
    </row>
    <row r="10" spans="1:13" ht="15.6" customHeight="1">
      <c r="A10" s="30" t="str">
        <v>CA: Fresno MOB - Citi</v>
      </c>
      <c r="B10" s="31" t="str">
        <v>CA</v>
      </c>
      <c r="C10" s="26"/>
      <c r="D10" s="71"/>
      <c r="E10" s="82" t="e">
        <f t="shared" si="0"/>
        <v>#DIV/0!</v>
      </c>
      <c r="F10" s="14"/>
      <c r="G10" s="14"/>
      <c r="H10" s="15" t="str">
        <f t="shared" si="2"/>
        <v/>
      </c>
      <c r="I10" s="16"/>
      <c r="J10" s="16"/>
      <c r="K10" s="17" t="str">
        <f t="shared" si="1"/>
        <v/>
      </c>
      <c r="L10" s="18"/>
      <c r="M10" s="18"/>
    </row>
    <row r="11" spans="1:13" ht="15.6" customHeight="1">
      <c r="A11" s="32" t="str">
        <v>CA: Modesto Bangs - Citi</v>
      </c>
      <c r="B11" s="33" t="str">
        <v>CA</v>
      </c>
      <c r="C11" s="12"/>
      <c r="D11" s="12"/>
      <c r="E11" s="80" t="e">
        <f t="shared" si="0"/>
        <v>#DIV/0!</v>
      </c>
      <c r="F11" s="20"/>
      <c r="G11" s="20"/>
      <c r="H11" s="21" t="str">
        <f t="shared" si="2"/>
        <v/>
      </c>
      <c r="I11" s="22"/>
      <c r="J11" s="22"/>
      <c r="K11" s="21" t="str">
        <f t="shared" si="1"/>
        <v/>
      </c>
      <c r="L11" s="84"/>
      <c r="M11" s="57"/>
    </row>
    <row r="12" spans="1:13" ht="46.5" customHeight="1">
      <c r="A12" s="30" t="str">
        <v>CA: Napa Data Center - Citi</v>
      </c>
      <c r="B12" s="31" t="str">
        <v>CA</v>
      </c>
      <c r="C12" s="26"/>
      <c r="D12" s="71"/>
      <c r="E12" s="82" t="e">
        <f t="shared" si="0"/>
        <v>#DIV/0!</v>
      </c>
      <c r="F12" s="14"/>
      <c r="G12" s="14"/>
      <c r="H12" s="15" t="str">
        <f t="shared" si="2"/>
        <v/>
      </c>
      <c r="I12" s="16"/>
      <c r="J12" s="16"/>
      <c r="K12" s="17" t="str">
        <f t="shared" si="1"/>
        <v/>
      </c>
      <c r="L12" s="18"/>
      <c r="M12" s="18"/>
    </row>
    <row r="13" spans="1:13" ht="15.6" customHeight="1">
      <c r="A13" s="32" t="str">
        <v>CA: Petaluma MOB - Citi</v>
      </c>
      <c r="B13" s="33" t="str">
        <v>CA</v>
      </c>
      <c r="C13" s="12"/>
      <c r="D13" s="12"/>
      <c r="E13" s="80" t="e">
        <f t="shared" si="0"/>
        <v>#DIV/0!</v>
      </c>
      <c r="F13" s="20"/>
      <c r="G13" s="20"/>
      <c r="H13" s="21" t="str">
        <f t="shared" si="2"/>
        <v/>
      </c>
      <c r="I13" s="22"/>
      <c r="J13" s="22"/>
      <c r="K13" s="21" t="str">
        <f t="shared" si="1"/>
        <v/>
      </c>
      <c r="L13" s="57"/>
      <c r="M13" s="57"/>
    </row>
    <row r="14" spans="1:13" ht="15.6" customHeight="1">
      <c r="A14" s="30" t="str">
        <v>CA: Pleasanton Tec Ctr - Citi</v>
      </c>
      <c r="B14" s="31" t="str">
        <v>CA</v>
      </c>
      <c r="C14" s="26"/>
      <c r="D14" s="71"/>
      <c r="E14" s="82" t="e">
        <f t="shared" si="0"/>
        <v>#DIV/0!</v>
      </c>
      <c r="F14" s="14"/>
      <c r="G14" s="14"/>
      <c r="H14" s="15" t="str">
        <f t="shared" si="2"/>
        <v/>
      </c>
      <c r="I14" s="16"/>
      <c r="J14" s="16"/>
      <c r="K14" s="17" t="str">
        <f t="shared" si="1"/>
        <v/>
      </c>
      <c r="L14" s="18"/>
      <c r="M14" s="18"/>
    </row>
    <row r="15" spans="1:13" ht="32.25" customHeight="1">
      <c r="A15" s="32" t="str">
        <v>CA: Rancho Cordova - Citi</v>
      </c>
      <c r="B15" s="33" t="str">
        <v>CA</v>
      </c>
      <c r="C15" s="12"/>
      <c r="D15" s="12"/>
      <c r="E15" s="80" t="e">
        <f t="shared" si="0"/>
        <v>#DIV/0!</v>
      </c>
      <c r="F15" s="20"/>
      <c r="G15" s="20"/>
      <c r="H15" s="21" t="str">
        <f t="shared" si="2"/>
        <v/>
      </c>
      <c r="I15" s="22"/>
      <c r="J15" s="22"/>
      <c r="K15" s="21" t="str">
        <f t="shared" si="1"/>
        <v/>
      </c>
    </row>
    <row r="16" spans="1:13" ht="15.6" customHeight="1">
      <c r="A16" s="30" t="str">
        <v>CA: S Sacramento Wyndham - Citi</v>
      </c>
      <c r="B16" s="31" t="str">
        <v>CA</v>
      </c>
      <c r="C16" s="37"/>
      <c r="D16" s="72"/>
      <c r="E16" s="82" t="e">
        <f t="shared" si="0"/>
        <v>#DIV/0!</v>
      </c>
      <c r="F16" s="14"/>
      <c r="G16" s="14"/>
      <c r="H16" s="38" t="str">
        <f t="shared" ref="H16:H22" si="3">IFERROR(G16/F16, "")</f>
        <v/>
      </c>
      <c r="I16" s="39"/>
      <c r="J16" s="39"/>
      <c r="K16" s="40" t="str">
        <f t="shared" ref="K16:K20" si="4">IFERROR(J16/I16, "")</f>
        <v/>
      </c>
      <c r="L16" s="41"/>
      <c r="M16" s="41"/>
    </row>
    <row r="17" spans="1:13" ht="52.5" customHeight="1">
      <c r="A17" s="32" t="str">
        <v>CA: Sacramento Point West - Citi</v>
      </c>
      <c r="B17" s="33" t="str">
        <v>CA</v>
      </c>
      <c r="C17" s="42"/>
      <c r="D17" s="42"/>
      <c r="E17" s="80" t="e">
        <f t="shared" si="0"/>
        <v>#DIV/0!</v>
      </c>
      <c r="F17" s="20"/>
      <c r="G17" s="20"/>
      <c r="H17" s="43" t="str">
        <f t="shared" si="3"/>
        <v/>
      </c>
      <c r="I17" s="44"/>
      <c r="J17" s="44"/>
      <c r="K17" s="43" t="str">
        <f t="shared" si="4"/>
        <v/>
      </c>
      <c r="L17" s="84"/>
      <c r="M17" s="57"/>
    </row>
    <row r="18" spans="1:13" ht="12.75" customHeight="1">
      <c r="A18" s="30" t="str">
        <v>CA: San Jose FHC - Citi</v>
      </c>
      <c r="B18" s="31" t="str">
        <v>CA</v>
      </c>
      <c r="C18" s="37"/>
      <c r="D18" s="72"/>
      <c r="E18" s="82" t="e">
        <f t="shared" si="0"/>
        <v>#DIV/0!</v>
      </c>
      <c r="F18" s="14"/>
      <c r="G18" s="14"/>
      <c r="H18" s="38" t="str">
        <f t="shared" si="3"/>
        <v/>
      </c>
      <c r="I18" s="39"/>
      <c r="J18" s="39"/>
      <c r="K18" s="40" t="str">
        <f t="shared" si="4"/>
        <v/>
      </c>
      <c r="L18" s="41"/>
      <c r="M18" s="41"/>
    </row>
    <row r="19" spans="1:13" ht="15.6" customHeight="1">
      <c r="A19" s="32" t="str">
        <v>CA: San Jose MOB - Citi</v>
      </c>
      <c r="B19" s="33" t="str">
        <v>CA</v>
      </c>
      <c r="C19" s="42"/>
      <c r="D19" s="42"/>
      <c r="E19" s="80" t="e">
        <f t="shared" si="0"/>
        <v>#DIV/0!</v>
      </c>
      <c r="F19" s="20"/>
      <c r="G19" s="20"/>
      <c r="H19" s="43" t="str">
        <f t="shared" si="3"/>
        <v/>
      </c>
      <c r="I19" s="44"/>
      <c r="J19" s="44"/>
      <c r="K19" s="43" t="str">
        <f t="shared" si="4"/>
        <v/>
      </c>
      <c r="L19" s="11"/>
      <c r="M19" s="19"/>
    </row>
    <row r="20" spans="1:13" ht="15.6" customHeight="1">
      <c r="A20" s="30" t="str">
        <v>CA: Selma - Citi</v>
      </c>
      <c r="B20" s="31" t="str">
        <v>CA</v>
      </c>
      <c r="C20" s="37"/>
      <c r="D20" s="72"/>
      <c r="E20" s="82" t="e">
        <f t="shared" si="0"/>
        <v>#DIV/0!</v>
      </c>
      <c r="F20" s="14"/>
      <c r="G20" s="14"/>
      <c r="H20" s="38" t="str">
        <f t="shared" si="3"/>
        <v/>
      </c>
      <c r="I20" s="39"/>
      <c r="J20" s="39"/>
      <c r="K20" s="40" t="str">
        <f t="shared" si="4"/>
        <v/>
      </c>
      <c r="L20" s="41"/>
      <c r="M20" s="41"/>
    </row>
    <row r="21" spans="1:13" ht="15.6" customHeight="1">
      <c r="A21" s="32" t="str">
        <v>CA: Vacaville Hospital</v>
      </c>
      <c r="B21" s="33" t="str">
        <v>CA</v>
      </c>
      <c r="C21" s="42"/>
      <c r="D21" s="42"/>
      <c r="E21" s="80" t="e">
        <f t="shared" si="0"/>
        <v>#DIV/0!</v>
      </c>
      <c r="F21" s="20"/>
      <c r="G21" s="20"/>
      <c r="H21" s="43" t="str">
        <f t="shared" si="3"/>
        <v/>
      </c>
      <c r="I21" s="44"/>
      <c r="J21" s="44"/>
      <c r="K21" s="43" t="str">
        <f>IFERROR(J21/I21, "")</f>
        <v/>
      </c>
      <c r="L21" s="57"/>
      <c r="M21" s="57"/>
    </row>
    <row r="22" spans="1:13" ht="15.6" customHeight="1">
      <c r="A22" s="30" t="str">
        <v>CA: Manteca - KP Manteca Hospital</v>
      </c>
      <c r="B22" s="31" t="str">
        <v>CA</v>
      </c>
      <c r="C22" s="37"/>
      <c r="D22" s="72"/>
      <c r="E22" s="82" t="e">
        <f t="shared" si="0"/>
        <v>#DIV/0!</v>
      </c>
      <c r="F22" s="14"/>
      <c r="G22" s="14"/>
      <c r="H22" s="38" t="str">
        <f t="shared" si="3"/>
        <v/>
      </c>
      <c r="I22" s="39"/>
      <c r="J22" s="39"/>
      <c r="K22" s="40" t="str">
        <f>IFERROR(J22/I22, "")</f>
        <v/>
      </c>
      <c r="L22" s="41"/>
      <c r="M22" s="41"/>
    </row>
    <row r="23" spans="1:13" ht="14.45" customHeight="1">
      <c r="A23" s="23" t="str">
        <v>Sacramento - KP South Sacramento HSP</v>
      </c>
      <c r="B23" s="35" t="str">
        <v>CA</v>
      </c>
      <c r="C23" s="23"/>
      <c r="D23" s="23"/>
      <c r="E23" s="23"/>
      <c r="F23" s="23"/>
      <c r="G23" s="23"/>
      <c r="H23" s="23"/>
      <c r="I23" s="23"/>
      <c r="J23" s="23"/>
      <c r="K23" s="23"/>
      <c r="L23" s="23"/>
      <c r="M23" s="23"/>
    </row>
    <row r="24" spans="1:13" ht="14.45" customHeight="1">
      <c r="A24" s="23"/>
      <c r="B24" s="35"/>
      <c r="C24" s="23"/>
      <c r="D24" s="23"/>
      <c r="E24" s="23"/>
      <c r="F24" s="23"/>
      <c r="G24" s="23"/>
      <c r="H24" s="23"/>
      <c r="I24" s="23"/>
      <c r="J24" s="23"/>
      <c r="K24" s="23"/>
      <c r="L24" s="23"/>
      <c r="M24" s="23"/>
    </row>
    <row r="25" spans="1:13" ht="14.45" customHeight="1">
      <c r="A25" s="23"/>
      <c r="B25" s="35"/>
      <c r="C25" s="23"/>
      <c r="D25" s="23"/>
      <c r="E25" s="73"/>
      <c r="F25" s="23"/>
      <c r="G25" s="23"/>
      <c r="H25" s="23"/>
      <c r="I25" s="23"/>
      <c r="J25" s="23"/>
      <c r="K25" s="23"/>
      <c r="L25" s="23"/>
      <c r="M25" s="23"/>
    </row>
    <row r="26" spans="1:13" ht="14.45" customHeight="1">
      <c r="A26" s="23"/>
      <c r="B26" s="35"/>
      <c r="C26" s="23"/>
      <c r="D26" s="23"/>
      <c r="E26" s="23"/>
      <c r="F26" s="23"/>
      <c r="G26" s="23"/>
      <c r="H26" s="23"/>
      <c r="I26" s="23"/>
      <c r="J26" s="23"/>
      <c r="K26" s="23"/>
      <c r="L26" s="23"/>
      <c r="M26" s="23"/>
    </row>
    <row r="27" spans="1:13" ht="14.45" customHeight="1">
      <c r="A27" s="23"/>
      <c r="B27" s="35"/>
      <c r="C27" s="23"/>
      <c r="D27" s="23"/>
      <c r="E27" s="23"/>
      <c r="F27" s="23"/>
      <c r="G27" s="23"/>
      <c r="H27" s="23"/>
      <c r="I27" s="23"/>
      <c r="J27" s="23"/>
      <c r="K27" s="23"/>
      <c r="L27" s="23"/>
      <c r="M27" s="23"/>
    </row>
    <row r="28" spans="1:13" ht="14.45" customHeight="1">
      <c r="A28" s="23"/>
      <c r="B28" s="35"/>
      <c r="C28" s="23"/>
      <c r="D28" s="23"/>
      <c r="E28" s="23"/>
      <c r="F28" s="23"/>
      <c r="G28" s="23"/>
      <c r="H28" s="23"/>
      <c r="I28" s="23"/>
      <c r="J28" s="23"/>
      <c r="K28" s="23"/>
      <c r="L28" s="23"/>
      <c r="M28" s="23"/>
    </row>
    <row r="29" spans="1:13" ht="14.45" customHeight="1">
      <c r="A29" s="23"/>
      <c r="B29" s="35"/>
      <c r="C29" s="23"/>
      <c r="D29" s="23"/>
      <c r="E29" s="23"/>
      <c r="F29" s="23"/>
      <c r="G29" s="23"/>
      <c r="H29" s="23"/>
      <c r="I29" s="23"/>
      <c r="J29" s="23"/>
      <c r="K29" s="23"/>
      <c r="L29" s="23"/>
      <c r="M29" s="23"/>
    </row>
    <row r="30" spans="1:13" ht="14.45" customHeight="1">
      <c r="A30" s="23"/>
      <c r="B30" s="35"/>
      <c r="C30" s="23"/>
      <c r="D30" s="23"/>
      <c r="E30" s="23"/>
      <c r="F30" s="23"/>
      <c r="G30" s="23"/>
      <c r="H30" s="23"/>
      <c r="I30" s="23"/>
      <c r="J30" s="23"/>
      <c r="K30" s="23"/>
      <c r="L30" s="23"/>
      <c r="M30" s="23"/>
    </row>
    <row r="31" spans="1:13" ht="14.45" customHeight="1">
      <c r="A31" s="23"/>
      <c r="B31" s="35"/>
      <c r="C31" s="23"/>
      <c r="D31" s="23"/>
      <c r="E31" s="23"/>
      <c r="F31" s="23"/>
      <c r="G31" s="23"/>
      <c r="H31" s="24"/>
      <c r="I31" s="23"/>
      <c r="J31" s="23"/>
      <c r="K31" s="24"/>
      <c r="L31" s="23"/>
      <c r="M31" s="23"/>
    </row>
    <row r="32" spans="1:13" ht="14.45" customHeight="1">
      <c r="A32" s="23"/>
      <c r="B32" s="35"/>
      <c r="C32" s="23"/>
      <c r="D32" s="23"/>
      <c r="E32" s="23"/>
      <c r="F32" s="23"/>
      <c r="G32" s="23"/>
      <c r="H32" s="24"/>
      <c r="I32" s="23"/>
      <c r="J32" s="23"/>
      <c r="K32" s="24"/>
      <c r="L32" s="23"/>
      <c r="M32" s="23"/>
    </row>
    <row r="33" spans="1:13" ht="14.45" customHeight="1">
      <c r="A33" s="23"/>
      <c r="B33" s="35"/>
      <c r="C33" s="23"/>
      <c r="D33" s="23"/>
      <c r="E33" s="23"/>
      <c r="F33" s="23"/>
      <c r="G33" s="23"/>
      <c r="H33" s="24"/>
      <c r="I33" s="23"/>
      <c r="J33" s="23"/>
      <c r="K33" s="24"/>
      <c r="L33" s="23"/>
      <c r="M33" s="23"/>
    </row>
    <row r="34" spans="1:13" ht="14.45" customHeight="1">
      <c r="A34" s="23"/>
      <c r="B34" s="35"/>
      <c r="C34" s="23"/>
      <c r="D34" s="23"/>
      <c r="E34" s="23"/>
      <c r="F34" s="23"/>
      <c r="G34" s="23"/>
      <c r="H34" s="24"/>
      <c r="I34" s="23"/>
      <c r="J34" s="23"/>
      <c r="K34" s="24"/>
      <c r="L34" s="23"/>
      <c r="M34" s="23"/>
    </row>
    <row r="35" spans="1:13" ht="14.45" customHeight="1">
      <c r="A35" s="23"/>
      <c r="B35" s="35"/>
      <c r="C35" s="23"/>
      <c r="D35" s="23"/>
      <c r="E35" s="23"/>
      <c r="F35" s="23"/>
      <c r="G35" s="23"/>
      <c r="H35" s="24"/>
      <c r="I35" s="23"/>
      <c r="J35" s="23"/>
      <c r="K35" s="24"/>
      <c r="L35" s="23"/>
      <c r="M35" s="23"/>
    </row>
    <row r="36" spans="1:13" ht="14.45" customHeight="1">
      <c r="A36" s="23"/>
      <c r="B36" s="35"/>
      <c r="C36" s="23"/>
      <c r="D36" s="23"/>
      <c r="E36" s="23"/>
      <c r="F36" s="23"/>
      <c r="G36" s="23"/>
      <c r="H36" s="24"/>
      <c r="I36" s="23"/>
      <c r="J36" s="23"/>
      <c r="K36" s="24"/>
      <c r="L36" s="23"/>
      <c r="M36" s="23"/>
    </row>
    <row r="37" spans="1:13" ht="14.45" customHeight="1">
      <c r="A37" s="23"/>
      <c r="B37" s="35"/>
      <c r="C37" s="23"/>
      <c r="D37" s="23"/>
      <c r="E37" s="23"/>
      <c r="F37" s="23"/>
      <c r="G37" s="23"/>
      <c r="H37" s="24"/>
      <c r="I37" s="23"/>
      <c r="J37" s="23"/>
      <c r="K37" s="24"/>
      <c r="L37" s="23"/>
      <c r="M37" s="23"/>
    </row>
    <row r="38" spans="1:13" ht="14.45" customHeight="1">
      <c r="A38" s="23"/>
      <c r="B38" s="35"/>
      <c r="C38" s="23"/>
      <c r="D38" s="23"/>
      <c r="E38" s="23"/>
      <c r="F38" s="23"/>
      <c r="G38" s="23"/>
      <c r="H38" s="24"/>
      <c r="I38" s="23"/>
      <c r="J38" s="23"/>
      <c r="K38" s="24"/>
      <c r="L38" s="23"/>
      <c r="M38" s="23"/>
    </row>
    <row r="39" spans="1:13" ht="14.45" customHeight="1">
      <c r="A39" s="23"/>
      <c r="B39" s="35"/>
      <c r="C39" s="23"/>
      <c r="D39" s="23"/>
      <c r="E39" s="23"/>
      <c r="F39" s="23"/>
      <c r="G39" s="23"/>
      <c r="H39" s="24"/>
      <c r="I39" s="23"/>
      <c r="J39" s="23"/>
      <c r="K39" s="24"/>
      <c r="L39" s="23"/>
      <c r="M39" s="23"/>
    </row>
    <row r="40" spans="1:13" ht="14.45" customHeight="1">
      <c r="A40" s="23"/>
      <c r="B40" s="35"/>
      <c r="C40" s="23"/>
      <c r="D40" s="23"/>
      <c r="E40" s="23"/>
      <c r="F40" s="23"/>
      <c r="G40" s="23"/>
      <c r="H40" s="24"/>
      <c r="I40" s="23"/>
      <c r="J40" s="23"/>
      <c r="K40" s="24"/>
      <c r="L40" s="23"/>
      <c r="M40" s="23"/>
    </row>
    <row r="41" spans="1:13" ht="14.45" customHeight="1">
      <c r="A41" s="23"/>
      <c r="B41" s="35"/>
      <c r="C41" s="23"/>
      <c r="D41" s="23"/>
      <c r="E41" s="23"/>
      <c r="F41" s="23"/>
      <c r="G41" s="23"/>
      <c r="H41" s="24"/>
      <c r="I41" s="23"/>
      <c r="J41" s="23"/>
      <c r="K41" s="24"/>
      <c r="L41" s="23"/>
      <c r="M41" s="23"/>
    </row>
    <row r="42" spans="1:13" ht="14.45" customHeight="1">
      <c r="A42" s="23"/>
      <c r="B42" s="35"/>
      <c r="C42" s="23"/>
      <c r="D42" s="23"/>
      <c r="E42" s="23"/>
      <c r="F42" s="23"/>
      <c r="G42" s="23"/>
      <c r="H42" s="24"/>
      <c r="I42" s="23"/>
      <c r="J42" s="23"/>
      <c r="K42" s="24"/>
      <c r="L42" s="23"/>
      <c r="M42" s="23"/>
    </row>
    <row r="43" spans="1:13" ht="14.45" customHeight="1">
      <c r="A43" s="23"/>
      <c r="B43" s="35"/>
      <c r="C43" s="23"/>
      <c r="D43" s="23"/>
      <c r="E43" s="23"/>
      <c r="F43" s="23"/>
      <c r="G43" s="23"/>
      <c r="H43" s="24"/>
      <c r="I43" s="23"/>
      <c r="J43" s="23"/>
      <c r="K43" s="24"/>
      <c r="L43" s="23"/>
      <c r="M43" s="23"/>
    </row>
    <row r="44" spans="1:13" ht="14.45" customHeight="1">
      <c r="A44" s="23"/>
      <c r="B44" s="35"/>
      <c r="C44" s="23"/>
      <c r="D44" s="23"/>
      <c r="E44" s="23"/>
      <c r="F44" s="23"/>
      <c r="G44" s="23"/>
      <c r="H44" s="24"/>
      <c r="I44" s="23"/>
      <c r="J44" s="23"/>
      <c r="K44" s="24"/>
      <c r="L44" s="23"/>
      <c r="M44" s="23"/>
    </row>
    <row r="45" spans="1:13" ht="14.45" customHeight="1">
      <c r="A45" s="23"/>
      <c r="B45" s="35"/>
      <c r="C45" s="23"/>
      <c r="D45" s="23"/>
      <c r="E45" s="23"/>
      <c r="F45" s="23"/>
      <c r="G45" s="23"/>
      <c r="H45" s="24"/>
      <c r="I45" s="23"/>
      <c r="J45" s="23"/>
      <c r="K45" s="24"/>
      <c r="L45" s="23"/>
      <c r="M45" s="23"/>
    </row>
    <row r="46" spans="1:13" ht="14.45" customHeight="1">
      <c r="A46" s="23"/>
      <c r="B46" s="35"/>
      <c r="C46" s="23"/>
      <c r="D46" s="23"/>
      <c r="E46" s="23"/>
      <c r="F46" s="23"/>
      <c r="G46" s="23"/>
      <c r="H46" s="24"/>
      <c r="I46" s="23"/>
      <c r="J46" s="23"/>
      <c r="K46" s="24"/>
      <c r="L46" s="23"/>
      <c r="M46" s="23"/>
    </row>
    <row r="47" spans="1:13" ht="14.45" customHeight="1">
      <c r="A47" s="23"/>
      <c r="B47" s="35"/>
      <c r="C47" s="23"/>
      <c r="D47" s="23"/>
      <c r="E47" s="23"/>
      <c r="F47" s="23"/>
      <c r="G47" s="23"/>
      <c r="H47" s="24"/>
      <c r="I47" s="23"/>
      <c r="J47" s="23"/>
      <c r="K47" s="24"/>
      <c r="L47" s="23"/>
      <c r="M47" s="23"/>
    </row>
    <row r="48" spans="1:13" ht="14.45" customHeight="1">
      <c r="A48" s="23"/>
      <c r="B48" s="35"/>
      <c r="C48" s="23"/>
      <c r="D48" s="23"/>
      <c r="E48" s="23"/>
      <c r="F48" s="23"/>
      <c r="G48" s="23"/>
      <c r="H48" s="24"/>
      <c r="I48" s="23"/>
      <c r="J48" s="23"/>
      <c r="K48" s="24"/>
      <c r="L48" s="23"/>
      <c r="M48" s="23"/>
    </row>
    <row r="49" spans="1:13" ht="14.45" customHeight="1">
      <c r="A49" s="23"/>
      <c r="B49" s="35"/>
      <c r="C49" s="23"/>
      <c r="D49" s="23"/>
      <c r="E49" s="23"/>
      <c r="F49" s="23"/>
      <c r="G49" s="23"/>
      <c r="H49" s="24"/>
      <c r="I49" s="23"/>
      <c r="J49" s="23"/>
      <c r="K49" s="24"/>
      <c r="L49" s="23"/>
      <c r="M49" s="23"/>
    </row>
    <row r="50" spans="1:13" ht="14.45" customHeight="1">
      <c r="A50" s="23"/>
      <c r="B50" s="35"/>
      <c r="C50" s="23"/>
      <c r="D50" s="23"/>
      <c r="E50" s="23"/>
      <c r="F50" s="23"/>
      <c r="G50" s="23"/>
      <c r="H50" s="24"/>
      <c r="I50" s="23"/>
      <c r="J50" s="23"/>
      <c r="K50" s="24"/>
      <c r="L50" s="23"/>
      <c r="M50" s="23"/>
    </row>
    <row r="51" spans="1:13" ht="14.45" customHeight="1">
      <c r="A51" s="23"/>
      <c r="B51" s="35"/>
      <c r="C51" s="23"/>
      <c r="D51" s="23"/>
      <c r="E51" s="23"/>
      <c r="F51" s="23"/>
      <c r="G51" s="23"/>
      <c r="H51" s="24"/>
      <c r="I51" s="23"/>
      <c r="J51" s="23"/>
      <c r="K51" s="24"/>
      <c r="L51" s="23"/>
      <c r="M51" s="23"/>
    </row>
    <row r="52" spans="1:13" ht="14.45" customHeight="1">
      <c r="A52" s="23"/>
      <c r="B52" s="35"/>
      <c r="C52" s="23"/>
      <c r="D52" s="23"/>
      <c r="E52" s="23"/>
      <c r="F52" s="23"/>
      <c r="G52" s="23"/>
      <c r="H52" s="24"/>
      <c r="I52" s="23"/>
      <c r="J52" s="23"/>
      <c r="K52" s="24"/>
      <c r="L52" s="23"/>
      <c r="M52" s="23"/>
    </row>
    <row r="53" spans="1:13" ht="14.45" customHeight="1">
      <c r="A53" s="23"/>
      <c r="B53" s="35"/>
      <c r="C53" s="23"/>
      <c r="D53" s="23"/>
      <c r="E53" s="23"/>
      <c r="F53" s="23"/>
      <c r="G53" s="23"/>
      <c r="H53" s="24"/>
      <c r="I53" s="23"/>
      <c r="J53" s="23"/>
      <c r="K53" s="24"/>
      <c r="L53" s="23"/>
      <c r="M53" s="23"/>
    </row>
    <row r="54" spans="1:13" ht="14.45" customHeight="1">
      <c r="A54" s="23"/>
      <c r="B54" s="35"/>
      <c r="C54" s="23"/>
      <c r="D54" s="23"/>
      <c r="E54" s="23"/>
      <c r="F54" s="23"/>
      <c r="G54" s="23"/>
      <c r="H54" s="24"/>
      <c r="I54" s="23"/>
      <c r="J54" s="23"/>
      <c r="K54" s="24"/>
      <c r="L54" s="23"/>
      <c r="M54" s="23"/>
    </row>
    <row r="55" spans="1:13" ht="14.45" customHeight="1">
      <c r="A55" s="23"/>
      <c r="B55" s="35"/>
      <c r="C55" s="23"/>
      <c r="D55" s="23"/>
      <c r="E55" s="23"/>
      <c r="F55" s="23"/>
      <c r="G55" s="23"/>
      <c r="H55" s="24"/>
      <c r="I55" s="23"/>
      <c r="J55" s="23"/>
      <c r="K55" s="24"/>
      <c r="L55" s="23"/>
      <c r="M55" s="23"/>
    </row>
    <row r="56" spans="1:13" ht="14.45" customHeight="1">
      <c r="A56" s="23"/>
      <c r="B56" s="35"/>
      <c r="C56" s="23"/>
      <c r="D56" s="23"/>
      <c r="E56" s="23"/>
      <c r="F56" s="23"/>
      <c r="G56" s="23"/>
      <c r="H56" s="24"/>
      <c r="I56" s="23"/>
      <c r="J56" s="23"/>
      <c r="K56" s="24"/>
      <c r="L56" s="23"/>
      <c r="M56" s="23"/>
    </row>
    <row r="57" spans="1:13" ht="14.45" customHeight="1">
      <c r="A57" s="23"/>
      <c r="B57" s="35"/>
      <c r="C57" s="23"/>
      <c r="D57" s="23"/>
      <c r="E57" s="23"/>
      <c r="F57" s="23"/>
      <c r="G57" s="23"/>
      <c r="H57" s="24"/>
      <c r="I57" s="23"/>
      <c r="J57" s="23"/>
      <c r="K57" s="24"/>
      <c r="L57" s="23"/>
      <c r="M57" s="23"/>
    </row>
    <row r="58" spans="1:13" ht="14.45" customHeight="1">
      <c r="A58" s="23"/>
      <c r="B58" s="35"/>
      <c r="C58" s="23"/>
      <c r="D58" s="23"/>
      <c r="E58" s="23"/>
      <c r="F58" s="23"/>
      <c r="G58" s="23"/>
      <c r="H58" s="24"/>
      <c r="I58" s="23"/>
      <c r="J58" s="23"/>
      <c r="K58" s="24"/>
      <c r="L58" s="23"/>
      <c r="M58" s="23"/>
    </row>
    <row r="59" spans="1:13" ht="14.45" customHeight="1">
      <c r="A59" s="23"/>
      <c r="B59" s="35"/>
      <c r="C59" s="23"/>
      <c r="D59" s="23"/>
      <c r="E59" s="23"/>
      <c r="F59" s="23"/>
      <c r="G59" s="23"/>
      <c r="H59" s="24"/>
      <c r="I59" s="23"/>
      <c r="J59" s="23"/>
      <c r="K59" s="24"/>
      <c r="L59" s="23"/>
      <c r="M59" s="23"/>
    </row>
    <row r="60" spans="1:13" ht="14.45" customHeight="1">
      <c r="A60" s="23"/>
      <c r="B60" s="35"/>
      <c r="C60" s="23"/>
      <c r="D60" s="23"/>
      <c r="E60" s="23"/>
      <c r="F60" s="23"/>
      <c r="G60" s="23"/>
      <c r="H60" s="24"/>
      <c r="I60" s="23"/>
      <c r="J60" s="23"/>
      <c r="K60" s="24"/>
      <c r="L60" s="23"/>
      <c r="M60" s="23"/>
    </row>
    <row r="61" spans="1:13" ht="14.45" customHeight="1">
      <c r="A61" s="23"/>
      <c r="B61" s="35"/>
      <c r="C61" s="23"/>
      <c r="D61" s="23"/>
      <c r="E61" s="23"/>
      <c r="F61" s="23"/>
      <c r="G61" s="23"/>
      <c r="H61" s="24"/>
      <c r="I61" s="23"/>
      <c r="J61" s="23"/>
      <c r="K61" s="24"/>
      <c r="L61" s="23"/>
      <c r="M61" s="23"/>
    </row>
    <row r="62" spans="1:13" ht="14.45" customHeight="1">
      <c r="A62" s="23"/>
      <c r="B62" s="35"/>
      <c r="C62" s="23"/>
      <c r="D62" s="23"/>
      <c r="E62" s="23"/>
      <c r="F62" s="23"/>
      <c r="G62" s="23"/>
      <c r="H62" s="24"/>
      <c r="I62" s="23"/>
      <c r="J62" s="23"/>
      <c r="K62" s="24"/>
      <c r="L62" s="23"/>
      <c r="M62" s="23"/>
    </row>
    <row r="63" spans="1:13" ht="14.45" customHeight="1">
      <c r="A63" s="23"/>
      <c r="B63" s="35"/>
      <c r="C63" s="23"/>
      <c r="D63" s="23"/>
      <c r="E63" s="23"/>
      <c r="F63" s="23"/>
      <c r="G63" s="23"/>
      <c r="H63" s="24"/>
      <c r="I63" s="23"/>
      <c r="J63" s="23"/>
      <c r="K63" s="24"/>
      <c r="L63" s="23"/>
      <c r="M63" s="23"/>
    </row>
    <row r="64" spans="1:13" ht="14.45" customHeight="1">
      <c r="A64" s="23"/>
      <c r="B64" s="35"/>
      <c r="C64" s="23"/>
      <c r="D64" s="23"/>
      <c r="E64" s="23"/>
      <c r="F64" s="23"/>
      <c r="G64" s="23"/>
      <c r="H64" s="24"/>
      <c r="I64" s="23"/>
      <c r="J64" s="23"/>
      <c r="K64" s="24"/>
      <c r="L64" s="23"/>
      <c r="M64" s="23"/>
    </row>
    <row r="65" spans="1:13" ht="14.45" customHeight="1">
      <c r="A65" s="23"/>
      <c r="B65" s="35"/>
      <c r="C65" s="23"/>
      <c r="D65" s="23"/>
      <c r="E65" s="23"/>
      <c r="F65" s="23"/>
      <c r="G65" s="23"/>
      <c r="H65" s="24"/>
      <c r="I65" s="23"/>
      <c r="J65" s="23"/>
      <c r="K65" s="24"/>
      <c r="L65" s="23"/>
      <c r="M65" s="23"/>
    </row>
    <row r="66" spans="1:13" ht="14.45" customHeight="1">
      <c r="A66" s="23"/>
      <c r="B66" s="35"/>
      <c r="C66" s="23"/>
      <c r="D66" s="23"/>
      <c r="E66" s="23"/>
      <c r="F66" s="23"/>
      <c r="G66" s="23"/>
      <c r="H66" s="24"/>
      <c r="I66" s="23"/>
      <c r="J66" s="23"/>
      <c r="K66" s="24"/>
      <c r="L66" s="23"/>
      <c r="M66" s="23"/>
    </row>
    <row r="67" spans="1:13" ht="14.45" customHeight="1">
      <c r="A67" s="23"/>
      <c r="B67" s="35"/>
      <c r="C67" s="23"/>
      <c r="D67" s="23"/>
      <c r="E67" s="23"/>
      <c r="F67" s="23"/>
      <c r="G67" s="23"/>
      <c r="H67" s="24"/>
      <c r="I67" s="23"/>
      <c r="J67" s="23"/>
      <c r="K67" s="24"/>
      <c r="L67" s="23"/>
      <c r="M67" s="23"/>
    </row>
    <row r="68" spans="1:13" ht="14.45" customHeight="1">
      <c r="A68" s="23"/>
      <c r="B68" s="35"/>
      <c r="C68" s="23"/>
      <c r="D68" s="23"/>
      <c r="E68" s="23"/>
      <c r="F68" s="23"/>
      <c r="G68" s="23"/>
      <c r="H68" s="24"/>
      <c r="I68" s="23"/>
      <c r="J68" s="23"/>
      <c r="K68" s="24"/>
      <c r="L68" s="23"/>
      <c r="M68" s="23"/>
    </row>
    <row r="69" spans="1:13" ht="14.45" customHeight="1">
      <c r="A69" s="23"/>
      <c r="B69" s="35"/>
      <c r="C69" s="23"/>
      <c r="D69" s="23"/>
      <c r="E69" s="23"/>
      <c r="F69" s="23"/>
      <c r="G69" s="23"/>
      <c r="H69" s="24"/>
      <c r="I69" s="23"/>
      <c r="J69" s="23"/>
      <c r="K69" s="24"/>
      <c r="L69" s="23"/>
      <c r="M69" s="23"/>
    </row>
    <row r="70" spans="1:13" ht="14.45" customHeight="1">
      <c r="A70" s="23"/>
      <c r="B70" s="35"/>
      <c r="C70" s="23"/>
      <c r="D70" s="23"/>
      <c r="E70" s="23"/>
      <c r="F70" s="23"/>
      <c r="G70" s="23"/>
      <c r="H70" s="24"/>
      <c r="I70" s="23"/>
      <c r="J70" s="23"/>
      <c r="K70" s="24"/>
      <c r="L70" s="23"/>
      <c r="M70" s="23"/>
    </row>
    <row r="71" spans="1:13" ht="14.45" customHeight="1">
      <c r="A71" s="23"/>
      <c r="B71" s="35"/>
      <c r="C71" s="23"/>
      <c r="D71" s="23"/>
      <c r="E71" s="23"/>
      <c r="F71" s="23"/>
      <c r="G71" s="23"/>
      <c r="H71" s="24"/>
      <c r="I71" s="23"/>
      <c r="J71" s="23"/>
      <c r="K71" s="24"/>
      <c r="L71" s="23"/>
      <c r="M71" s="23"/>
    </row>
    <row r="72" spans="1:13" ht="14.45" customHeight="1">
      <c r="A72" s="23"/>
      <c r="B72" s="35"/>
      <c r="C72" s="23"/>
      <c r="D72" s="23"/>
      <c r="E72" s="23"/>
      <c r="F72" s="23"/>
      <c r="G72" s="23"/>
      <c r="H72" s="24"/>
      <c r="I72" s="23"/>
      <c r="J72" s="23"/>
      <c r="K72" s="24"/>
      <c r="L72" s="23"/>
      <c r="M72" s="23"/>
    </row>
    <row r="73" spans="1:13" ht="14.45" customHeight="1">
      <c r="A73" s="23"/>
      <c r="B73" s="35"/>
      <c r="C73" s="23"/>
      <c r="D73" s="23"/>
      <c r="E73" s="23"/>
      <c r="F73" s="23"/>
      <c r="G73" s="23"/>
      <c r="H73" s="24"/>
      <c r="I73" s="23"/>
      <c r="J73" s="23"/>
      <c r="K73" s="24"/>
      <c r="L73" s="23"/>
      <c r="M73" s="23"/>
    </row>
    <row r="74" spans="1:13" ht="14.45" customHeight="1">
      <c r="A74" s="23"/>
      <c r="B74" s="35"/>
      <c r="C74" s="23"/>
      <c r="D74" s="23"/>
      <c r="E74" s="23"/>
      <c r="F74" s="23"/>
      <c r="G74" s="23"/>
      <c r="H74" s="24"/>
      <c r="I74" s="23"/>
      <c r="J74" s="23"/>
      <c r="K74" s="24"/>
      <c r="L74" s="23"/>
      <c r="M74" s="23"/>
    </row>
    <row r="75" spans="1:13" ht="14.45" customHeight="1">
      <c r="A75" s="23"/>
      <c r="B75" s="35"/>
      <c r="C75" s="23"/>
      <c r="D75" s="23"/>
      <c r="E75" s="23"/>
      <c r="F75" s="23"/>
      <c r="G75" s="23"/>
      <c r="H75" s="24"/>
      <c r="I75" s="23"/>
      <c r="J75" s="23"/>
      <c r="K75" s="24"/>
      <c r="L75" s="23"/>
      <c r="M75" s="23"/>
    </row>
    <row r="76" spans="1:13" ht="14.45" customHeight="1">
      <c r="A76" s="23"/>
      <c r="B76" s="35"/>
      <c r="C76" s="23"/>
      <c r="D76" s="23"/>
      <c r="E76" s="23"/>
      <c r="F76" s="23"/>
      <c r="G76" s="23"/>
      <c r="H76" s="24"/>
      <c r="I76" s="23"/>
      <c r="J76" s="23"/>
      <c r="K76" s="24"/>
      <c r="L76" s="23"/>
      <c r="M76" s="23"/>
    </row>
    <row r="77" spans="1:13" ht="14.45" customHeight="1">
      <c r="A77" s="23"/>
      <c r="B77" s="35"/>
      <c r="C77" s="23"/>
      <c r="D77" s="23"/>
      <c r="E77" s="23"/>
      <c r="F77" s="23"/>
      <c r="G77" s="23"/>
      <c r="H77" s="24"/>
      <c r="I77" s="23"/>
      <c r="J77" s="23"/>
      <c r="K77" s="24"/>
      <c r="L77" s="23"/>
      <c r="M77" s="23"/>
    </row>
    <row r="78" spans="1:13" ht="14.45" customHeight="1">
      <c r="A78" s="23"/>
      <c r="B78" s="35"/>
      <c r="C78" s="23"/>
      <c r="D78" s="23"/>
      <c r="E78" s="23"/>
      <c r="F78" s="23"/>
      <c r="G78" s="23"/>
      <c r="H78" s="24"/>
      <c r="I78" s="23"/>
      <c r="J78" s="23"/>
      <c r="K78" s="24"/>
      <c r="L78" s="23"/>
      <c r="M78" s="23"/>
    </row>
    <row r="79" spans="1:13" ht="14.45" customHeight="1">
      <c r="A79" s="23"/>
      <c r="B79" s="35"/>
      <c r="C79" s="23"/>
      <c r="D79" s="23"/>
      <c r="E79" s="23"/>
      <c r="F79" s="23"/>
      <c r="G79" s="23"/>
      <c r="H79" s="24"/>
      <c r="I79" s="23"/>
      <c r="J79" s="23"/>
      <c r="K79" s="24"/>
      <c r="L79" s="23"/>
      <c r="M79" s="23"/>
    </row>
    <row r="80" spans="1:13" ht="14.45" customHeight="1">
      <c r="A80" s="23"/>
      <c r="B80" s="35"/>
      <c r="C80" s="23"/>
      <c r="D80" s="23"/>
      <c r="E80" s="23"/>
      <c r="F80" s="23"/>
      <c r="G80" s="23"/>
      <c r="H80" s="24"/>
      <c r="I80" s="23"/>
      <c r="J80" s="23"/>
      <c r="K80" s="24"/>
      <c r="L80" s="23"/>
      <c r="M80" s="23"/>
    </row>
    <row r="81" spans="1:13" ht="14.45" customHeight="1">
      <c r="A81" s="23"/>
      <c r="B81" s="35"/>
      <c r="C81" s="23"/>
      <c r="D81" s="23"/>
      <c r="E81" s="23"/>
      <c r="F81" s="23"/>
      <c r="G81" s="23"/>
      <c r="H81" s="24"/>
      <c r="I81" s="23"/>
      <c r="J81" s="23"/>
      <c r="K81" s="24"/>
      <c r="L81" s="23"/>
      <c r="M81" s="23"/>
    </row>
    <row r="82" spans="1:13" ht="14.45" customHeight="1">
      <c r="A82" s="23"/>
      <c r="B82" s="35"/>
      <c r="C82" s="23"/>
      <c r="D82" s="23"/>
      <c r="E82" s="23"/>
      <c r="F82" s="23"/>
      <c r="G82" s="23"/>
      <c r="H82" s="24"/>
      <c r="I82" s="23"/>
      <c r="J82" s="23"/>
      <c r="K82" s="24"/>
      <c r="L82" s="23"/>
      <c r="M82" s="23"/>
    </row>
    <row r="83" spans="1:13" ht="14.45" customHeight="1">
      <c r="A83" s="23"/>
      <c r="B83" s="35"/>
      <c r="C83" s="23"/>
      <c r="D83" s="23"/>
      <c r="E83" s="23"/>
      <c r="F83" s="23"/>
      <c r="G83" s="23"/>
      <c r="H83" s="24"/>
      <c r="I83" s="23"/>
      <c r="J83" s="23"/>
      <c r="K83" s="24"/>
      <c r="L83" s="23"/>
      <c r="M83" s="23"/>
    </row>
    <row r="84" spans="1:13" ht="14.45" customHeight="1">
      <c r="A84" s="23"/>
      <c r="B84" s="35"/>
      <c r="C84" s="23"/>
      <c r="D84" s="23"/>
      <c r="E84" s="23"/>
      <c r="F84" s="23"/>
      <c r="G84" s="23"/>
      <c r="H84" s="24"/>
      <c r="I84" s="23"/>
      <c r="J84" s="23"/>
      <c r="K84" s="24"/>
      <c r="L84" s="23"/>
      <c r="M84" s="23"/>
    </row>
    <row r="85" spans="1:13" ht="14.45" customHeight="1">
      <c r="A85" s="23"/>
      <c r="B85" s="35"/>
      <c r="C85" s="23"/>
      <c r="D85" s="23"/>
      <c r="E85" s="23"/>
      <c r="F85" s="23"/>
      <c r="G85" s="23"/>
      <c r="H85" s="24"/>
      <c r="I85" s="23"/>
      <c r="J85" s="23"/>
      <c r="K85" s="24"/>
      <c r="L85" s="23"/>
      <c r="M85" s="23"/>
    </row>
    <row r="86" spans="1:13" ht="14.45" customHeight="1">
      <c r="A86" s="23"/>
      <c r="B86" s="35"/>
      <c r="C86" s="23"/>
      <c r="D86" s="23"/>
      <c r="E86" s="23"/>
      <c r="F86" s="23"/>
      <c r="G86" s="23"/>
      <c r="H86" s="24"/>
      <c r="I86" s="23"/>
      <c r="J86" s="23"/>
      <c r="K86" s="24"/>
      <c r="L86" s="23"/>
      <c r="M86" s="23"/>
    </row>
    <row r="87" spans="1:13" ht="14.45" customHeight="1">
      <c r="A87" s="23"/>
      <c r="B87" s="35"/>
      <c r="C87" s="23"/>
      <c r="D87" s="23"/>
      <c r="E87" s="23"/>
      <c r="F87" s="23"/>
      <c r="G87" s="23"/>
      <c r="H87" s="24"/>
      <c r="I87" s="23"/>
      <c r="J87" s="23"/>
      <c r="K87" s="24"/>
      <c r="L87" s="23"/>
      <c r="M87" s="23"/>
    </row>
    <row r="88" spans="1:13" ht="14.45" customHeight="1">
      <c r="A88" s="23"/>
      <c r="B88" s="35"/>
      <c r="C88" s="23"/>
      <c r="D88" s="23"/>
      <c r="E88" s="23"/>
      <c r="F88" s="23"/>
      <c r="G88" s="23"/>
      <c r="H88" s="24"/>
      <c r="I88" s="23"/>
      <c r="J88" s="23"/>
      <c r="K88" s="24"/>
      <c r="L88" s="23"/>
      <c r="M88" s="23"/>
    </row>
    <row r="89" spans="1:13" ht="14.45" customHeight="1">
      <c r="A89" s="23"/>
      <c r="B89" s="35"/>
      <c r="C89" s="23"/>
      <c r="D89" s="23"/>
      <c r="E89" s="23"/>
      <c r="F89" s="23"/>
      <c r="G89" s="23"/>
      <c r="H89" s="24"/>
      <c r="I89" s="23"/>
      <c r="J89" s="23"/>
      <c r="K89" s="24"/>
      <c r="L89" s="23"/>
      <c r="M89" s="23"/>
    </row>
    <row r="90" spans="1:13" ht="14.45" customHeight="1">
      <c r="A90" s="23"/>
      <c r="B90" s="35"/>
      <c r="C90" s="23"/>
      <c r="D90" s="23"/>
      <c r="E90" s="23"/>
      <c r="F90" s="23"/>
      <c r="G90" s="23"/>
      <c r="H90" s="24"/>
      <c r="I90" s="23"/>
      <c r="J90" s="23"/>
      <c r="K90" s="24"/>
      <c r="L90" s="23"/>
      <c r="M90" s="23"/>
    </row>
    <row r="91" spans="1:13" ht="14.45" customHeight="1">
      <c r="A91" s="23"/>
      <c r="B91" s="35"/>
      <c r="C91" s="23"/>
      <c r="D91" s="23"/>
      <c r="E91" s="23"/>
      <c r="F91" s="23"/>
      <c r="G91" s="23"/>
      <c r="H91" s="24"/>
      <c r="I91" s="23"/>
      <c r="J91" s="23"/>
      <c r="K91" s="24"/>
      <c r="L91" s="23"/>
      <c r="M91" s="23"/>
    </row>
    <row r="92" spans="1:13" ht="14.45" customHeight="1">
      <c r="A92" s="23"/>
      <c r="B92" s="35"/>
      <c r="C92" s="23"/>
      <c r="D92" s="23"/>
      <c r="E92" s="23"/>
      <c r="F92" s="23"/>
      <c r="G92" s="23"/>
      <c r="H92" s="24"/>
      <c r="I92" s="23"/>
      <c r="J92" s="23"/>
      <c r="K92" s="24"/>
      <c r="L92" s="23"/>
      <c r="M92" s="23"/>
    </row>
    <row r="93" spans="1:13" ht="14.45" customHeight="1">
      <c r="A93" s="23"/>
      <c r="B93" s="35"/>
      <c r="C93" s="23"/>
      <c r="D93" s="23"/>
      <c r="E93" s="23"/>
      <c r="F93" s="23"/>
      <c r="G93" s="23"/>
      <c r="H93" s="24"/>
      <c r="I93" s="23"/>
      <c r="J93" s="23"/>
      <c r="K93" s="24"/>
      <c r="L93" s="23"/>
      <c r="M93" s="23"/>
    </row>
    <row r="94" spans="1:13" ht="14.45" customHeight="1">
      <c r="A94" s="23"/>
      <c r="B94" s="35"/>
      <c r="C94" s="23"/>
      <c r="D94" s="23"/>
      <c r="E94" s="23"/>
      <c r="F94" s="23"/>
      <c r="G94" s="23"/>
      <c r="H94" s="24"/>
      <c r="I94" s="23"/>
      <c r="J94" s="23"/>
      <c r="K94" s="24"/>
      <c r="L94" s="23"/>
      <c r="M94" s="23"/>
    </row>
    <row r="95" spans="1:13" ht="14.45" customHeight="1">
      <c r="A95" s="23"/>
      <c r="B95" s="35"/>
      <c r="C95" s="23"/>
      <c r="D95" s="23"/>
      <c r="E95" s="23"/>
      <c r="F95" s="23"/>
      <c r="G95" s="23"/>
      <c r="H95" s="24"/>
      <c r="I95" s="23"/>
      <c r="J95" s="23"/>
      <c r="K95" s="24"/>
      <c r="L95" s="23"/>
      <c r="M95" s="23"/>
    </row>
    <row r="96" spans="1:13" ht="14.45" customHeight="1">
      <c r="A96" s="23"/>
      <c r="B96" s="35"/>
      <c r="C96" s="23"/>
      <c r="D96" s="23"/>
      <c r="E96" s="23"/>
      <c r="F96" s="23"/>
      <c r="G96" s="23"/>
      <c r="H96" s="24"/>
      <c r="I96" s="23"/>
      <c r="J96" s="23"/>
      <c r="K96" s="24"/>
      <c r="L96" s="23"/>
      <c r="M96" s="23"/>
    </row>
    <row r="97" spans="1:13" ht="14.45" customHeight="1">
      <c r="A97" s="23"/>
      <c r="B97" s="35"/>
      <c r="C97" s="23"/>
      <c r="D97" s="23"/>
      <c r="E97" s="23"/>
      <c r="F97" s="23"/>
      <c r="G97" s="23"/>
      <c r="H97" s="24"/>
      <c r="I97" s="23"/>
      <c r="J97" s="23"/>
      <c r="K97" s="24"/>
      <c r="L97" s="23"/>
      <c r="M97" s="23"/>
    </row>
    <row r="98" spans="1:13" ht="14.45" customHeight="1">
      <c r="A98" s="23"/>
      <c r="B98" s="35"/>
      <c r="C98" s="23"/>
      <c r="D98" s="23"/>
      <c r="E98" s="23"/>
      <c r="F98" s="23"/>
      <c r="G98" s="23"/>
      <c r="H98" s="24"/>
      <c r="I98" s="23"/>
      <c r="J98" s="23"/>
      <c r="K98" s="24"/>
      <c r="L98" s="23"/>
      <c r="M98" s="23"/>
    </row>
    <row r="99" spans="1:13" ht="14.45" customHeight="1">
      <c r="A99" s="23"/>
      <c r="B99" s="35"/>
      <c r="C99" s="23"/>
      <c r="D99" s="23"/>
      <c r="E99" s="23"/>
      <c r="F99" s="23"/>
      <c r="G99" s="23"/>
      <c r="H99" s="24"/>
      <c r="I99" s="23"/>
      <c r="J99" s="23"/>
      <c r="K99" s="24"/>
      <c r="L99" s="23"/>
      <c r="M99" s="23"/>
    </row>
    <row r="100" spans="1:13" ht="14.45" customHeight="1">
      <c r="A100" s="23"/>
      <c r="B100" s="35"/>
      <c r="C100" s="23"/>
      <c r="D100" s="23"/>
      <c r="E100" s="23"/>
      <c r="F100" s="23"/>
      <c r="G100" s="23"/>
      <c r="H100" s="24"/>
      <c r="I100" s="23"/>
      <c r="J100" s="23"/>
      <c r="K100" s="24"/>
      <c r="L100" s="23"/>
      <c r="M100" s="23"/>
    </row>
    <row r="101" spans="1:13" ht="14.45" customHeight="1">
      <c r="A101" s="23"/>
      <c r="B101" s="35"/>
      <c r="C101" s="23"/>
      <c r="D101" s="23"/>
      <c r="E101" s="23"/>
      <c r="F101" s="23"/>
      <c r="G101" s="23"/>
      <c r="H101" s="24"/>
      <c r="I101" s="23"/>
      <c r="J101" s="23"/>
      <c r="K101" s="24"/>
      <c r="L101" s="23"/>
      <c r="M101" s="23"/>
    </row>
    <row r="102" spans="1:13" ht="14.45" customHeight="1">
      <c r="A102" s="23"/>
      <c r="B102" s="35"/>
      <c r="C102" s="23"/>
      <c r="D102" s="23"/>
      <c r="E102" s="23"/>
      <c r="F102" s="23"/>
      <c r="G102" s="23"/>
      <c r="H102" s="24"/>
      <c r="I102" s="23"/>
      <c r="J102" s="23"/>
      <c r="K102" s="24"/>
      <c r="L102" s="23"/>
      <c r="M102" s="23"/>
    </row>
    <row r="103" spans="1:13" ht="14.45" customHeight="1">
      <c r="A103" s="23"/>
      <c r="B103" s="35"/>
      <c r="C103" s="23"/>
      <c r="D103" s="23"/>
      <c r="E103" s="23"/>
      <c r="F103" s="23"/>
      <c r="G103" s="23"/>
      <c r="H103" s="24"/>
      <c r="I103" s="23"/>
      <c r="J103" s="23"/>
      <c r="K103" s="24"/>
      <c r="L103" s="23"/>
      <c r="M103" s="23"/>
    </row>
    <row r="104" spans="1:13" ht="14.45" customHeight="1">
      <c r="A104" s="23"/>
      <c r="B104" s="35"/>
      <c r="C104" s="23"/>
      <c r="D104" s="23"/>
      <c r="E104" s="23"/>
      <c r="F104" s="23"/>
      <c r="G104" s="23"/>
      <c r="H104" s="24"/>
      <c r="I104" s="23"/>
      <c r="J104" s="23"/>
      <c r="K104" s="24"/>
      <c r="L104" s="23"/>
      <c r="M104" s="23"/>
    </row>
    <row r="105" spans="1:13" ht="14.45" customHeight="1">
      <c r="A105" s="23"/>
      <c r="B105" s="35"/>
      <c r="C105" s="23"/>
      <c r="D105" s="23"/>
      <c r="E105" s="23"/>
      <c r="F105" s="23"/>
      <c r="G105" s="23"/>
      <c r="H105" s="24"/>
      <c r="I105" s="23"/>
      <c r="J105" s="23"/>
      <c r="K105" s="24"/>
      <c r="L105" s="23"/>
      <c r="M105" s="23"/>
    </row>
    <row r="106" spans="1:13" ht="14.45" customHeight="1">
      <c r="A106" s="23"/>
      <c r="B106" s="35"/>
      <c r="C106" s="23"/>
      <c r="D106" s="23"/>
      <c r="E106" s="23"/>
      <c r="F106" s="23"/>
      <c r="G106" s="23"/>
      <c r="H106" s="24"/>
      <c r="I106" s="23"/>
      <c r="J106" s="23"/>
      <c r="K106" s="24"/>
      <c r="L106" s="23"/>
      <c r="M106" s="23"/>
    </row>
    <row r="107" spans="1:13" ht="14.45" customHeight="1">
      <c r="A107" s="23"/>
      <c r="B107" s="35"/>
      <c r="C107" s="23"/>
      <c r="D107" s="23"/>
      <c r="E107" s="23"/>
      <c r="F107" s="23"/>
      <c r="G107" s="23"/>
      <c r="H107" s="24"/>
      <c r="I107" s="23"/>
      <c r="J107" s="23"/>
      <c r="K107" s="24"/>
      <c r="L107" s="23"/>
      <c r="M107" s="23"/>
    </row>
    <row r="108" spans="1:13" ht="14.45" customHeight="1">
      <c r="A108" s="23"/>
      <c r="B108" s="35"/>
      <c r="C108" s="23"/>
      <c r="D108" s="23"/>
      <c r="E108" s="23"/>
      <c r="F108" s="23"/>
      <c r="G108" s="23"/>
      <c r="H108" s="24"/>
      <c r="I108" s="23"/>
      <c r="J108" s="23"/>
      <c r="K108" s="24"/>
      <c r="L108" s="23"/>
      <c r="M108" s="23"/>
    </row>
    <row r="109" spans="1:13" ht="14.45" customHeight="1">
      <c r="A109" s="23"/>
      <c r="B109" s="35"/>
      <c r="C109" s="23"/>
      <c r="D109" s="23"/>
      <c r="E109" s="23"/>
      <c r="F109" s="23"/>
      <c r="G109" s="23"/>
      <c r="H109" s="24"/>
      <c r="I109" s="23"/>
      <c r="J109" s="23"/>
      <c r="K109" s="24"/>
      <c r="L109" s="23"/>
      <c r="M109" s="23"/>
    </row>
    <row r="110" spans="1:13" ht="14.45" customHeight="1">
      <c r="A110" s="23"/>
      <c r="B110" s="35"/>
      <c r="C110" s="23"/>
      <c r="D110" s="23"/>
      <c r="E110" s="23"/>
      <c r="F110" s="23"/>
      <c r="G110" s="23"/>
      <c r="H110" s="24"/>
      <c r="I110" s="23"/>
      <c r="J110" s="23"/>
      <c r="K110" s="24"/>
      <c r="L110" s="23"/>
      <c r="M110" s="23"/>
    </row>
    <row r="111" spans="1:13" ht="14.45" customHeight="1">
      <c r="A111" s="23"/>
      <c r="B111" s="35"/>
      <c r="C111" s="23"/>
      <c r="D111" s="23"/>
      <c r="E111" s="23"/>
      <c r="F111" s="23"/>
      <c r="G111" s="23"/>
      <c r="H111" s="24"/>
      <c r="I111" s="23"/>
      <c r="J111" s="23"/>
      <c r="K111" s="24"/>
      <c r="L111" s="23"/>
      <c r="M111" s="23"/>
    </row>
    <row r="112" spans="1:13" ht="14.45" customHeight="1">
      <c r="A112" s="23"/>
      <c r="B112" s="35"/>
      <c r="C112" s="23"/>
      <c r="D112" s="23"/>
      <c r="E112" s="23"/>
      <c r="F112" s="23"/>
      <c r="G112" s="23"/>
      <c r="H112" s="24"/>
      <c r="I112" s="23"/>
      <c r="J112" s="23"/>
      <c r="K112" s="24"/>
      <c r="L112" s="23"/>
      <c r="M112" s="23"/>
    </row>
    <row r="113" spans="1:13" ht="14.45" customHeight="1">
      <c r="A113" s="23"/>
      <c r="B113" s="35"/>
      <c r="C113" s="23"/>
      <c r="D113" s="23"/>
      <c r="E113" s="23"/>
      <c r="F113" s="23"/>
      <c r="G113" s="23"/>
      <c r="H113" s="24"/>
      <c r="I113" s="23"/>
      <c r="J113" s="23"/>
      <c r="K113" s="24"/>
      <c r="L113" s="23"/>
      <c r="M113" s="23"/>
    </row>
    <row r="114" spans="1:13" ht="14.45" customHeight="1">
      <c r="A114" s="23"/>
      <c r="B114" s="35"/>
      <c r="C114" s="23"/>
      <c r="D114" s="23"/>
      <c r="E114" s="23"/>
      <c r="F114" s="23"/>
      <c r="G114" s="23"/>
      <c r="H114" s="24"/>
      <c r="I114" s="23"/>
      <c r="J114" s="23"/>
      <c r="K114" s="24"/>
      <c r="L114" s="23"/>
      <c r="M114" s="23"/>
    </row>
    <row r="115" spans="1:13" ht="14.45" customHeight="1">
      <c r="A115" s="23"/>
      <c r="B115" s="35"/>
      <c r="C115" s="23"/>
      <c r="D115" s="23"/>
      <c r="E115" s="23"/>
      <c r="F115" s="23"/>
      <c r="G115" s="23"/>
      <c r="H115" s="24"/>
      <c r="I115" s="23"/>
      <c r="J115" s="23"/>
      <c r="K115" s="24"/>
      <c r="L115" s="23"/>
      <c r="M115" s="23"/>
    </row>
    <row r="116" spans="1:13" ht="14.45" customHeight="1">
      <c r="A116" s="23"/>
      <c r="B116" s="35"/>
      <c r="C116" s="23"/>
      <c r="D116" s="23"/>
      <c r="E116" s="23"/>
      <c r="F116" s="23"/>
      <c r="G116" s="23"/>
      <c r="H116" s="24"/>
      <c r="I116" s="23"/>
      <c r="J116" s="23"/>
      <c r="K116" s="24"/>
      <c r="L116" s="23"/>
      <c r="M116" s="23"/>
    </row>
    <row r="117" spans="1:13" ht="14.45" customHeight="1">
      <c r="A117" s="23"/>
      <c r="B117" s="35"/>
      <c r="C117" s="23"/>
      <c r="D117" s="23"/>
      <c r="E117" s="23"/>
      <c r="F117" s="23"/>
      <c r="G117" s="23"/>
      <c r="H117" s="24"/>
      <c r="I117" s="23"/>
      <c r="J117" s="23"/>
      <c r="K117" s="24"/>
      <c r="L117" s="23"/>
      <c r="M117" s="23"/>
    </row>
    <row r="118" spans="1:13" ht="14.45" customHeight="1">
      <c r="A118" s="23"/>
      <c r="B118" s="35"/>
      <c r="C118" s="23"/>
      <c r="D118" s="23"/>
      <c r="E118" s="23"/>
      <c r="F118" s="23"/>
      <c r="G118" s="23"/>
      <c r="H118" s="24"/>
      <c r="I118" s="23"/>
      <c r="J118" s="23"/>
      <c r="K118" s="24"/>
      <c r="L118" s="23"/>
      <c r="M118" s="23"/>
    </row>
    <row r="119" spans="1:13" ht="14.45" customHeight="1">
      <c r="A119" s="23"/>
      <c r="B119" s="35"/>
      <c r="C119" s="23"/>
      <c r="D119" s="23"/>
      <c r="E119" s="23"/>
      <c r="F119" s="23"/>
      <c r="G119" s="23"/>
      <c r="H119" s="24"/>
      <c r="I119" s="23"/>
      <c r="J119" s="23"/>
      <c r="K119" s="24"/>
      <c r="L119" s="23"/>
      <c r="M119" s="23"/>
    </row>
    <row r="120" spans="1:13" ht="14.45" customHeight="1">
      <c r="A120" s="23"/>
      <c r="B120" s="35"/>
      <c r="C120" s="23"/>
      <c r="D120" s="23"/>
      <c r="E120" s="23"/>
      <c r="F120" s="23"/>
      <c r="G120" s="23"/>
      <c r="H120" s="24"/>
      <c r="I120" s="23"/>
      <c r="J120" s="23"/>
      <c r="K120" s="24"/>
      <c r="L120" s="23"/>
      <c r="M120" s="23"/>
    </row>
    <row r="121" spans="1:13" ht="14.45" customHeight="1">
      <c r="A121" s="23"/>
      <c r="B121" s="35"/>
      <c r="C121" s="23"/>
      <c r="D121" s="23"/>
      <c r="E121" s="23"/>
      <c r="F121" s="23"/>
      <c r="G121" s="23"/>
      <c r="H121" s="24"/>
      <c r="I121" s="23"/>
      <c r="J121" s="23"/>
      <c r="K121" s="24"/>
      <c r="L121" s="23"/>
      <c r="M121" s="23"/>
    </row>
    <row r="122" spans="1:13" ht="14.45" customHeight="1">
      <c r="A122" s="23"/>
      <c r="B122" s="35"/>
      <c r="C122" s="23"/>
      <c r="D122" s="23"/>
      <c r="E122" s="23"/>
      <c r="F122" s="23"/>
      <c r="G122" s="23"/>
      <c r="H122" s="24"/>
      <c r="I122" s="23"/>
      <c r="J122" s="23"/>
      <c r="K122" s="24"/>
      <c r="L122" s="23"/>
      <c r="M122" s="23"/>
    </row>
    <row r="123" spans="1:13" ht="14.45" customHeight="1">
      <c r="A123" s="23"/>
      <c r="B123" s="35"/>
      <c r="C123" s="23"/>
      <c r="D123" s="23"/>
      <c r="E123" s="23"/>
      <c r="F123" s="23"/>
      <c r="G123" s="23"/>
      <c r="H123" s="24"/>
      <c r="I123" s="23"/>
      <c r="J123" s="23"/>
      <c r="K123" s="24"/>
      <c r="L123" s="23"/>
      <c r="M123" s="23"/>
    </row>
    <row r="124" spans="1:13" ht="14.45" customHeight="1">
      <c r="A124" s="23"/>
      <c r="B124" s="35"/>
      <c r="C124" s="23"/>
      <c r="D124" s="23"/>
      <c r="E124" s="23"/>
      <c r="F124" s="23"/>
      <c r="G124" s="23"/>
      <c r="H124" s="24"/>
      <c r="I124" s="23"/>
      <c r="J124" s="23"/>
      <c r="K124" s="24"/>
      <c r="L124" s="23"/>
      <c r="M124" s="23"/>
    </row>
    <row r="125" spans="1:13" ht="14.45" customHeight="1">
      <c r="A125" s="23"/>
      <c r="B125" s="35"/>
      <c r="C125" s="23"/>
      <c r="D125" s="23"/>
      <c r="E125" s="23"/>
      <c r="F125" s="23"/>
      <c r="G125" s="23"/>
      <c r="H125" s="24"/>
      <c r="I125" s="23"/>
      <c r="J125" s="23"/>
      <c r="K125" s="24"/>
      <c r="L125" s="23"/>
      <c r="M125" s="23"/>
    </row>
    <row r="126" spans="1:13" ht="14.45" customHeight="1">
      <c r="A126" s="23"/>
      <c r="B126" s="35"/>
      <c r="C126" s="23"/>
      <c r="D126" s="23"/>
      <c r="E126" s="23"/>
      <c r="F126" s="23"/>
      <c r="G126" s="23"/>
      <c r="H126" s="24"/>
      <c r="I126" s="23"/>
      <c r="J126" s="23"/>
      <c r="K126" s="24"/>
      <c r="L126" s="23"/>
      <c r="M126" s="23"/>
    </row>
    <row r="127" spans="1:13" ht="14.45" customHeight="1">
      <c r="A127" s="23"/>
      <c r="B127" s="35"/>
      <c r="C127" s="23"/>
      <c r="D127" s="23"/>
      <c r="E127" s="23"/>
      <c r="F127" s="23"/>
      <c r="G127" s="23"/>
      <c r="H127" s="24"/>
      <c r="I127" s="23"/>
      <c r="J127" s="23"/>
      <c r="K127" s="24"/>
      <c r="L127" s="23"/>
      <c r="M127" s="23"/>
    </row>
    <row r="128" spans="1:13" ht="14.45" customHeight="1">
      <c r="A128" s="23"/>
      <c r="B128" s="35"/>
      <c r="C128" s="23"/>
      <c r="D128" s="23"/>
      <c r="E128" s="23"/>
      <c r="F128" s="23"/>
      <c r="G128" s="23"/>
      <c r="H128" s="24"/>
      <c r="I128" s="23"/>
      <c r="J128" s="23"/>
      <c r="K128" s="24"/>
      <c r="L128" s="23"/>
      <c r="M128" s="23"/>
    </row>
    <row r="129" spans="1:13" ht="14.45" customHeight="1">
      <c r="A129" s="23"/>
      <c r="B129" s="35"/>
      <c r="C129" s="23"/>
      <c r="D129" s="23"/>
      <c r="E129" s="23"/>
      <c r="F129" s="23"/>
      <c r="G129" s="23"/>
      <c r="H129" s="24"/>
      <c r="I129" s="23"/>
      <c r="J129" s="23"/>
      <c r="K129" s="24"/>
      <c r="L129" s="23"/>
      <c r="M129" s="23"/>
    </row>
    <row r="130" spans="1:13" ht="14.45" customHeight="1">
      <c r="A130" s="23"/>
      <c r="B130" s="35"/>
      <c r="C130" s="23"/>
      <c r="D130" s="23"/>
      <c r="E130" s="23"/>
      <c r="F130" s="23"/>
      <c r="G130" s="23"/>
      <c r="H130" s="24"/>
      <c r="I130" s="23"/>
      <c r="J130" s="23"/>
      <c r="K130" s="24"/>
      <c r="L130" s="23"/>
      <c r="M130" s="23"/>
    </row>
    <row r="131" spans="1:13" ht="14.45" customHeight="1">
      <c r="A131" s="23"/>
      <c r="B131" s="35"/>
      <c r="C131" s="23"/>
      <c r="D131" s="23"/>
      <c r="E131" s="23"/>
      <c r="F131" s="23"/>
      <c r="G131" s="23"/>
      <c r="H131" s="24"/>
      <c r="I131" s="23"/>
      <c r="J131" s="23"/>
      <c r="K131" s="24"/>
      <c r="L131" s="23"/>
      <c r="M131" s="23"/>
    </row>
    <row r="132" spans="1:13" ht="14.45" customHeight="1">
      <c r="A132" s="23"/>
      <c r="B132" s="35"/>
      <c r="C132" s="23"/>
      <c r="D132" s="23"/>
      <c r="E132" s="23"/>
      <c r="F132" s="23"/>
      <c r="G132" s="23"/>
      <c r="H132" s="24"/>
      <c r="I132" s="23"/>
      <c r="J132" s="23"/>
      <c r="K132" s="24"/>
      <c r="L132" s="23"/>
      <c r="M132" s="23"/>
    </row>
    <row r="133" spans="1:13" ht="14.45" customHeight="1">
      <c r="A133" s="23"/>
      <c r="B133" s="35"/>
      <c r="C133" s="23"/>
      <c r="D133" s="23"/>
      <c r="E133" s="23"/>
      <c r="F133" s="23"/>
      <c r="G133" s="23"/>
      <c r="H133" s="24"/>
      <c r="I133" s="23"/>
      <c r="J133" s="23"/>
      <c r="K133" s="24"/>
      <c r="L133" s="23"/>
      <c r="M133" s="23"/>
    </row>
    <row r="134" spans="1:13" ht="14.45" customHeight="1">
      <c r="A134" s="23"/>
      <c r="B134" s="35"/>
      <c r="C134" s="23"/>
      <c r="D134" s="23"/>
      <c r="E134" s="23"/>
      <c r="F134" s="23"/>
      <c r="G134" s="23"/>
      <c r="H134" s="24"/>
      <c r="I134" s="23"/>
      <c r="J134" s="23"/>
      <c r="K134" s="24"/>
      <c r="L134" s="23"/>
      <c r="M134" s="23"/>
    </row>
    <row r="135" spans="1:13" ht="14.45" customHeight="1">
      <c r="A135" s="23"/>
      <c r="B135" s="35"/>
      <c r="C135" s="23"/>
      <c r="D135" s="23"/>
      <c r="E135" s="23"/>
      <c r="F135" s="23"/>
      <c r="G135" s="23"/>
      <c r="H135" s="24"/>
      <c r="I135" s="23"/>
      <c r="J135" s="23"/>
      <c r="K135" s="24"/>
      <c r="L135" s="23"/>
      <c r="M135" s="23"/>
    </row>
    <row r="136" spans="1:13" ht="14.45" customHeight="1">
      <c r="A136" s="23"/>
      <c r="B136" s="35"/>
      <c r="C136" s="23"/>
      <c r="D136" s="23"/>
      <c r="E136" s="23"/>
      <c r="F136" s="23"/>
      <c r="G136" s="23"/>
      <c r="H136" s="24"/>
      <c r="I136" s="23"/>
      <c r="J136" s="23"/>
      <c r="K136" s="24"/>
      <c r="L136" s="23"/>
      <c r="M136" s="23"/>
    </row>
    <row r="137" spans="1:13" ht="14.45" customHeight="1">
      <c r="A137" s="23"/>
      <c r="B137" s="35"/>
      <c r="C137" s="23"/>
      <c r="D137" s="23"/>
      <c r="E137" s="23"/>
      <c r="F137" s="23"/>
      <c r="G137" s="23"/>
      <c r="H137" s="24"/>
      <c r="I137" s="23"/>
      <c r="J137" s="23"/>
      <c r="K137" s="24"/>
      <c r="L137" s="23"/>
      <c r="M137" s="23"/>
    </row>
    <row r="138" spans="1:13" ht="14.45" customHeight="1">
      <c r="A138" s="23"/>
      <c r="B138" s="35"/>
      <c r="C138" s="23"/>
      <c r="D138" s="23"/>
      <c r="E138" s="23"/>
      <c r="F138" s="23"/>
      <c r="G138" s="23"/>
      <c r="H138" s="24"/>
      <c r="I138" s="23"/>
      <c r="J138" s="23"/>
      <c r="K138" s="24"/>
      <c r="L138" s="23"/>
      <c r="M138" s="23"/>
    </row>
    <row r="139" spans="1:13" ht="14.45" customHeight="1">
      <c r="A139" s="23"/>
      <c r="B139" s="35"/>
      <c r="C139" s="23"/>
      <c r="D139" s="23"/>
      <c r="E139" s="23"/>
      <c r="F139" s="23"/>
      <c r="G139" s="23"/>
      <c r="H139" s="24"/>
      <c r="I139" s="23"/>
      <c r="J139" s="23"/>
      <c r="K139" s="24"/>
      <c r="L139" s="23"/>
      <c r="M139" s="23"/>
    </row>
    <row r="140" spans="1:13" ht="14.45" customHeight="1">
      <c r="A140" s="23"/>
      <c r="B140" s="35"/>
      <c r="C140" s="23"/>
      <c r="D140" s="23"/>
      <c r="E140" s="23"/>
      <c r="F140" s="23"/>
      <c r="G140" s="23"/>
      <c r="H140" s="24"/>
      <c r="I140" s="23"/>
      <c r="J140" s="23"/>
      <c r="K140" s="24"/>
      <c r="L140" s="23"/>
      <c r="M140" s="23"/>
    </row>
    <row r="141" spans="1:13" ht="14.45" customHeight="1">
      <c r="A141" s="23"/>
      <c r="B141" s="35"/>
      <c r="C141" s="23"/>
      <c r="D141" s="23"/>
      <c r="E141" s="23"/>
      <c r="F141" s="23"/>
      <c r="G141" s="23"/>
      <c r="H141" s="24"/>
      <c r="I141" s="23"/>
      <c r="J141" s="23"/>
      <c r="K141" s="24"/>
      <c r="L141" s="23"/>
      <c r="M141" s="23"/>
    </row>
    <row r="142" spans="1:13" ht="14.45" customHeight="1">
      <c r="A142" s="23"/>
      <c r="B142" s="35"/>
      <c r="C142" s="23"/>
      <c r="D142" s="23"/>
      <c r="E142" s="23"/>
      <c r="F142" s="23"/>
      <c r="G142" s="23"/>
      <c r="H142" s="24"/>
      <c r="I142" s="23"/>
      <c r="J142" s="23"/>
      <c r="K142" s="24"/>
      <c r="L142" s="23"/>
      <c r="M142" s="23"/>
    </row>
    <row r="143" spans="1:13" ht="14.45" customHeight="1">
      <c r="A143" s="23"/>
      <c r="B143" s="35"/>
      <c r="C143" s="23"/>
      <c r="D143" s="23"/>
      <c r="E143" s="23"/>
      <c r="F143" s="23"/>
      <c r="G143" s="23"/>
      <c r="H143" s="24"/>
      <c r="I143" s="23"/>
      <c r="J143" s="23"/>
      <c r="K143" s="24"/>
      <c r="L143" s="23"/>
      <c r="M143" s="23"/>
    </row>
    <row r="144" spans="1:13" ht="14.45" customHeight="1">
      <c r="A144" s="23"/>
      <c r="B144" s="35"/>
      <c r="C144" s="23"/>
      <c r="D144" s="23"/>
      <c r="E144" s="23"/>
      <c r="F144" s="23"/>
      <c r="G144" s="23"/>
      <c r="H144" s="24"/>
      <c r="I144" s="23"/>
      <c r="J144" s="23"/>
      <c r="K144" s="24"/>
      <c r="L144" s="23"/>
      <c r="M144" s="23"/>
    </row>
    <row r="145" spans="1:13" ht="14.45" customHeight="1">
      <c r="A145" s="23"/>
      <c r="B145" s="35"/>
      <c r="C145" s="23"/>
      <c r="D145" s="23"/>
      <c r="E145" s="23"/>
      <c r="F145" s="23"/>
      <c r="G145" s="23"/>
      <c r="H145" s="24"/>
      <c r="I145" s="23"/>
      <c r="J145" s="23"/>
      <c r="K145" s="24"/>
      <c r="L145" s="23"/>
      <c r="M145" s="23"/>
    </row>
    <row r="146" spans="1:13" ht="14.45" customHeight="1">
      <c r="A146" s="23"/>
      <c r="B146" s="35"/>
      <c r="C146" s="23"/>
      <c r="D146" s="23"/>
      <c r="E146" s="23"/>
      <c r="F146" s="23"/>
      <c r="G146" s="23"/>
      <c r="H146" s="24"/>
      <c r="I146" s="23"/>
      <c r="J146" s="23"/>
      <c r="K146" s="24"/>
      <c r="L146" s="23"/>
      <c r="M146" s="23"/>
    </row>
    <row r="147" spans="1:13" ht="14.45" customHeight="1">
      <c r="A147" s="23"/>
      <c r="B147" s="35"/>
      <c r="C147" s="23"/>
      <c r="D147" s="23"/>
      <c r="E147" s="23"/>
      <c r="F147" s="23"/>
      <c r="G147" s="23"/>
      <c r="H147" s="24"/>
      <c r="I147" s="23"/>
      <c r="J147" s="23"/>
      <c r="K147" s="24"/>
      <c r="L147" s="23"/>
      <c r="M147" s="23"/>
    </row>
    <row r="148" spans="1:13" ht="14.45" customHeight="1">
      <c r="A148" s="23"/>
      <c r="B148" s="35"/>
      <c r="C148" s="23"/>
      <c r="D148" s="23"/>
      <c r="E148" s="23"/>
      <c r="F148" s="23"/>
      <c r="G148" s="23"/>
      <c r="H148" s="24"/>
      <c r="I148" s="23"/>
      <c r="J148" s="23"/>
      <c r="K148" s="24"/>
      <c r="L148" s="23"/>
      <c r="M148" s="23"/>
    </row>
    <row r="149" spans="1:13" ht="14.45" customHeight="1">
      <c r="A149" s="23"/>
      <c r="B149" s="35"/>
      <c r="C149" s="23"/>
      <c r="D149" s="23"/>
      <c r="E149" s="23"/>
      <c r="F149" s="23"/>
      <c r="G149" s="23"/>
      <c r="H149" s="24"/>
      <c r="I149" s="23"/>
      <c r="J149" s="23"/>
      <c r="K149" s="24"/>
      <c r="L149" s="23"/>
      <c r="M149" s="23"/>
    </row>
    <row r="150" spans="1:13" ht="14.45" customHeight="1">
      <c r="A150" s="23"/>
      <c r="B150" s="35"/>
      <c r="C150" s="23"/>
      <c r="D150" s="23"/>
      <c r="E150" s="23"/>
      <c r="F150" s="23"/>
      <c r="G150" s="23"/>
      <c r="H150" s="24"/>
      <c r="I150" s="23"/>
      <c r="J150" s="23"/>
      <c r="K150" s="24"/>
      <c r="L150" s="23"/>
      <c r="M150" s="23"/>
    </row>
    <row r="151" spans="1:13" ht="14.45" customHeight="1">
      <c r="A151" s="23"/>
      <c r="B151" s="35"/>
      <c r="C151" s="23"/>
      <c r="D151" s="23"/>
      <c r="E151" s="23"/>
      <c r="F151" s="23"/>
      <c r="G151" s="23"/>
      <c r="H151" s="24"/>
      <c r="I151" s="23"/>
      <c r="J151" s="23"/>
      <c r="K151" s="24"/>
      <c r="L151" s="23"/>
      <c r="M151" s="23"/>
    </row>
    <row r="152" spans="1:13" ht="14.45" customHeight="1">
      <c r="A152" s="23"/>
      <c r="B152" s="35"/>
      <c r="C152" s="23"/>
      <c r="D152" s="23"/>
      <c r="E152" s="23"/>
      <c r="F152" s="23"/>
      <c r="G152" s="23"/>
      <c r="H152" s="24"/>
      <c r="I152" s="23"/>
      <c r="J152" s="23"/>
      <c r="K152" s="24"/>
      <c r="L152" s="23"/>
      <c r="M152" s="23"/>
    </row>
    <row r="153" spans="1:13" ht="14.45" customHeight="1">
      <c r="A153" s="23"/>
      <c r="B153" s="35"/>
      <c r="C153" s="23"/>
      <c r="D153" s="23"/>
      <c r="E153" s="23"/>
      <c r="F153" s="23"/>
      <c r="G153" s="23"/>
      <c r="H153" s="24"/>
      <c r="I153" s="23"/>
      <c r="J153" s="23"/>
      <c r="K153" s="24"/>
      <c r="L153" s="23"/>
      <c r="M153" s="23"/>
    </row>
    <row r="154" spans="1:13" ht="14.45" customHeight="1">
      <c r="A154" s="23"/>
      <c r="B154" s="35"/>
      <c r="C154" s="23"/>
      <c r="D154" s="23"/>
      <c r="E154" s="23"/>
      <c r="F154" s="23"/>
      <c r="G154" s="23"/>
      <c r="H154" s="24"/>
      <c r="I154" s="23"/>
      <c r="J154" s="23"/>
      <c r="K154" s="24"/>
      <c r="L154" s="23"/>
      <c r="M154" s="23"/>
    </row>
    <row r="155" spans="1:13" ht="14.45" customHeight="1">
      <c r="A155" s="23"/>
      <c r="B155" s="35"/>
      <c r="C155" s="23"/>
      <c r="D155" s="23"/>
      <c r="E155" s="23"/>
      <c r="F155" s="23"/>
      <c r="G155" s="23"/>
      <c r="H155" s="24"/>
      <c r="I155" s="23"/>
      <c r="J155" s="23"/>
      <c r="K155" s="24"/>
      <c r="L155" s="23"/>
      <c r="M155" s="23"/>
    </row>
    <row r="156" spans="1:13" ht="14.45" customHeight="1">
      <c r="A156" s="23"/>
      <c r="B156" s="35"/>
      <c r="C156" s="23"/>
      <c r="D156" s="23"/>
      <c r="E156" s="23"/>
      <c r="F156" s="23"/>
      <c r="G156" s="23"/>
      <c r="H156" s="24"/>
      <c r="I156" s="23"/>
      <c r="J156" s="23"/>
      <c r="K156" s="24"/>
      <c r="L156" s="23"/>
      <c r="M156" s="23"/>
    </row>
    <row r="157" spans="1:13" ht="14.45" customHeight="1">
      <c r="A157" s="23"/>
      <c r="B157" s="35"/>
      <c r="C157" s="23"/>
      <c r="D157" s="23"/>
      <c r="E157" s="23"/>
      <c r="F157" s="23"/>
      <c r="G157" s="23"/>
      <c r="H157" s="24"/>
      <c r="I157" s="23"/>
      <c r="J157" s="23"/>
      <c r="K157" s="24"/>
      <c r="L157" s="23"/>
      <c r="M157" s="23"/>
    </row>
    <row r="158" spans="1:13" ht="14.45" customHeight="1">
      <c r="A158" s="23"/>
      <c r="B158" s="35"/>
      <c r="C158" s="23"/>
      <c r="D158" s="23"/>
      <c r="E158" s="23"/>
      <c r="F158" s="23"/>
      <c r="G158" s="23"/>
      <c r="H158" s="24"/>
      <c r="I158" s="23"/>
      <c r="J158" s="23"/>
      <c r="K158" s="24"/>
      <c r="L158" s="23"/>
      <c r="M158" s="23"/>
    </row>
    <row r="159" spans="1:13" ht="14.45" customHeight="1">
      <c r="A159" s="23"/>
      <c r="B159" s="35"/>
      <c r="C159" s="23"/>
      <c r="D159" s="23"/>
      <c r="E159" s="23"/>
      <c r="F159" s="23"/>
      <c r="G159" s="23"/>
      <c r="H159" s="24"/>
      <c r="I159" s="23"/>
      <c r="J159" s="23"/>
      <c r="K159" s="24"/>
      <c r="L159" s="23"/>
      <c r="M159" s="23"/>
    </row>
    <row r="160" spans="1:13" ht="14.45" customHeight="1">
      <c r="A160" s="23"/>
      <c r="B160" s="35"/>
      <c r="C160" s="23"/>
      <c r="D160" s="23"/>
      <c r="E160" s="23"/>
      <c r="F160" s="23"/>
      <c r="G160" s="23"/>
      <c r="H160" s="24"/>
      <c r="I160" s="23"/>
      <c r="J160" s="23"/>
      <c r="K160" s="24"/>
      <c r="L160" s="23"/>
      <c r="M160" s="23"/>
    </row>
    <row r="161" spans="1:13" ht="14.45" customHeight="1">
      <c r="A161" s="23"/>
      <c r="B161" s="35"/>
      <c r="C161" s="23"/>
      <c r="D161" s="23"/>
      <c r="E161" s="23"/>
      <c r="F161" s="23"/>
      <c r="G161" s="23"/>
      <c r="H161" s="24"/>
      <c r="I161" s="23"/>
      <c r="J161" s="23"/>
      <c r="K161" s="24"/>
      <c r="L161" s="23"/>
      <c r="M161" s="23"/>
    </row>
    <row r="162" spans="1:13" ht="14.45" customHeight="1">
      <c r="A162" s="23"/>
      <c r="B162" s="35"/>
      <c r="C162" s="23"/>
      <c r="D162" s="23"/>
      <c r="E162" s="23"/>
      <c r="F162" s="23"/>
      <c r="G162" s="23"/>
      <c r="H162" s="24"/>
      <c r="I162" s="23"/>
      <c r="J162" s="23"/>
      <c r="K162" s="24"/>
      <c r="L162" s="23"/>
      <c r="M162" s="23"/>
    </row>
    <row r="163" spans="1:13" ht="14.45" customHeight="1">
      <c r="A163" s="23"/>
      <c r="B163" s="35"/>
      <c r="C163" s="23"/>
      <c r="D163" s="23"/>
      <c r="E163" s="23"/>
      <c r="F163" s="23"/>
      <c r="G163" s="23"/>
      <c r="H163" s="24"/>
      <c r="I163" s="23"/>
      <c r="J163" s="23"/>
      <c r="K163" s="24"/>
      <c r="L163" s="23"/>
      <c r="M163" s="23"/>
    </row>
    <row r="164" spans="1:13" ht="14.45" customHeight="1">
      <c r="A164" s="23"/>
      <c r="B164" s="35"/>
      <c r="C164" s="23"/>
      <c r="D164" s="23"/>
      <c r="E164" s="23"/>
      <c r="F164" s="23"/>
      <c r="G164" s="23"/>
      <c r="H164" s="24"/>
      <c r="I164" s="23"/>
      <c r="J164" s="23"/>
      <c r="K164" s="24"/>
      <c r="L164" s="23"/>
      <c r="M164" s="23"/>
    </row>
    <row r="165" spans="1:13" ht="14.45" customHeight="1">
      <c r="A165" s="23"/>
      <c r="B165" s="35"/>
      <c r="C165" s="23"/>
      <c r="D165" s="23"/>
      <c r="E165" s="23"/>
      <c r="F165" s="23"/>
      <c r="G165" s="23"/>
      <c r="H165" s="24"/>
      <c r="I165" s="23"/>
      <c r="J165" s="23"/>
      <c r="K165" s="24"/>
      <c r="L165" s="23"/>
      <c r="M165" s="23"/>
    </row>
    <row r="166" spans="1:13" ht="14.45" customHeight="1">
      <c r="A166" s="23"/>
      <c r="B166" s="35"/>
      <c r="C166" s="23"/>
      <c r="D166" s="23"/>
      <c r="E166" s="23"/>
      <c r="F166" s="23"/>
      <c r="G166" s="23"/>
      <c r="H166" s="24"/>
      <c r="I166" s="23"/>
      <c r="J166" s="23"/>
      <c r="K166" s="24"/>
      <c r="L166" s="23"/>
      <c r="M166" s="23"/>
    </row>
    <row r="167" spans="1:13" ht="14.45" customHeight="1">
      <c r="A167" s="23"/>
      <c r="B167" s="35"/>
      <c r="C167" s="23"/>
      <c r="D167" s="23"/>
      <c r="E167" s="23"/>
      <c r="F167" s="23"/>
      <c r="G167" s="23"/>
      <c r="H167" s="24"/>
      <c r="I167" s="23"/>
      <c r="J167" s="23"/>
      <c r="K167" s="24"/>
      <c r="L167" s="23"/>
      <c r="M167" s="23"/>
    </row>
    <row r="168" spans="1:13" ht="14.45" customHeight="1">
      <c r="A168" s="23"/>
      <c r="B168" s="35"/>
      <c r="C168" s="23"/>
      <c r="D168" s="23"/>
      <c r="E168" s="23"/>
      <c r="F168" s="23"/>
      <c r="G168" s="23"/>
      <c r="H168" s="24"/>
      <c r="I168" s="23"/>
      <c r="J168" s="23"/>
      <c r="K168" s="24"/>
      <c r="L168" s="23"/>
      <c r="M168" s="23"/>
    </row>
    <row r="169" spans="1:13" ht="14.45" customHeight="1">
      <c r="A169" s="23"/>
      <c r="B169" s="35"/>
      <c r="C169" s="23"/>
      <c r="D169" s="23"/>
      <c r="E169" s="23"/>
      <c r="F169" s="23"/>
      <c r="G169" s="23"/>
      <c r="H169" s="24"/>
      <c r="I169" s="23"/>
      <c r="J169" s="23"/>
      <c r="K169" s="24"/>
      <c r="L169" s="23"/>
      <c r="M169" s="23"/>
    </row>
    <row r="170" spans="1:13" ht="14.45" customHeight="1">
      <c r="A170" s="23"/>
      <c r="B170" s="35"/>
      <c r="C170" s="23"/>
      <c r="D170" s="23"/>
      <c r="E170" s="23"/>
      <c r="F170" s="23"/>
      <c r="G170" s="23"/>
      <c r="H170" s="24"/>
      <c r="I170" s="23"/>
      <c r="J170" s="23"/>
      <c r="K170" s="24"/>
      <c r="L170" s="23"/>
      <c r="M170" s="23"/>
    </row>
    <row r="171" spans="1:13" ht="14.45" customHeight="1">
      <c r="A171" s="23"/>
      <c r="B171" s="35"/>
      <c r="C171" s="23"/>
      <c r="D171" s="23"/>
      <c r="E171" s="23"/>
      <c r="F171" s="23"/>
      <c r="G171" s="23"/>
      <c r="H171" s="24"/>
      <c r="I171" s="23"/>
      <c r="J171" s="23"/>
      <c r="K171" s="24"/>
      <c r="L171" s="23"/>
      <c r="M171" s="23"/>
    </row>
    <row r="172" spans="1:13" ht="14.45" customHeight="1">
      <c r="A172" s="23"/>
      <c r="B172" s="35"/>
      <c r="C172" s="23"/>
      <c r="D172" s="23"/>
      <c r="E172" s="23"/>
      <c r="F172" s="23"/>
      <c r="G172" s="23"/>
      <c r="H172" s="24"/>
      <c r="I172" s="23"/>
      <c r="J172" s="23"/>
      <c r="K172" s="24"/>
      <c r="L172" s="23"/>
      <c r="M172" s="23"/>
    </row>
    <row r="173" spans="1:13" ht="14.45" customHeight="1">
      <c r="A173" s="23"/>
      <c r="B173" s="35"/>
      <c r="C173" s="23"/>
      <c r="D173" s="23"/>
      <c r="E173" s="23"/>
      <c r="F173" s="23"/>
      <c r="G173" s="23"/>
      <c r="H173" s="24"/>
      <c r="I173" s="23"/>
      <c r="J173" s="23"/>
      <c r="K173" s="24"/>
      <c r="L173" s="23"/>
      <c r="M173" s="23"/>
    </row>
    <row r="174" spans="1:13" ht="14.45" customHeight="1">
      <c r="A174" s="23"/>
      <c r="B174" s="35"/>
      <c r="C174" s="23"/>
      <c r="D174" s="23"/>
      <c r="E174" s="23"/>
      <c r="F174" s="23"/>
      <c r="G174" s="23"/>
      <c r="H174" s="24"/>
      <c r="I174" s="23"/>
      <c r="J174" s="23"/>
      <c r="K174" s="24"/>
      <c r="L174" s="23"/>
      <c r="M174" s="23"/>
    </row>
    <row r="175" spans="1:13" ht="14.45" customHeight="1">
      <c r="A175" s="23"/>
      <c r="B175" s="35"/>
      <c r="C175" s="23"/>
      <c r="D175" s="23"/>
      <c r="E175" s="23"/>
      <c r="F175" s="23"/>
      <c r="G175" s="23"/>
      <c r="H175" s="24"/>
      <c r="I175" s="23"/>
      <c r="J175" s="23"/>
      <c r="K175" s="24"/>
      <c r="L175" s="23"/>
      <c r="M175" s="23"/>
    </row>
    <row r="176" spans="1:13" ht="14.45" customHeight="1">
      <c r="A176" s="23"/>
      <c r="B176" s="35"/>
      <c r="C176" s="23"/>
      <c r="D176" s="23"/>
      <c r="E176" s="23"/>
      <c r="F176" s="23"/>
      <c r="G176" s="23"/>
      <c r="H176" s="24"/>
      <c r="I176" s="23"/>
      <c r="J176" s="23"/>
      <c r="K176" s="24"/>
      <c r="L176" s="23"/>
      <c r="M176" s="23"/>
    </row>
    <row r="177" spans="1:13" ht="14.45" customHeight="1">
      <c r="A177" s="23"/>
      <c r="B177" s="35"/>
      <c r="C177" s="23"/>
      <c r="D177" s="23"/>
      <c r="E177" s="23"/>
      <c r="F177" s="23"/>
      <c r="G177" s="23"/>
      <c r="H177" s="24"/>
      <c r="I177" s="23"/>
      <c r="J177" s="23"/>
      <c r="K177" s="24"/>
      <c r="L177" s="23"/>
      <c r="M177" s="23"/>
    </row>
    <row r="178" spans="1:13" ht="14.45" customHeight="1">
      <c r="A178" s="23"/>
      <c r="B178" s="35"/>
      <c r="C178" s="23"/>
      <c r="D178" s="23"/>
      <c r="E178" s="23"/>
      <c r="F178" s="23"/>
      <c r="G178" s="23"/>
      <c r="H178" s="24"/>
      <c r="I178" s="23"/>
      <c r="J178" s="23"/>
      <c r="K178" s="24"/>
      <c r="L178" s="23"/>
      <c r="M178" s="23"/>
    </row>
    <row r="179" spans="1:13" ht="14.45" customHeight="1">
      <c r="A179" s="23"/>
      <c r="B179" s="35"/>
      <c r="C179" s="23"/>
      <c r="D179" s="23"/>
      <c r="E179" s="23"/>
      <c r="F179" s="23"/>
      <c r="G179" s="23"/>
      <c r="H179" s="24"/>
      <c r="I179" s="23"/>
      <c r="J179" s="23"/>
      <c r="K179" s="24"/>
      <c r="L179" s="23"/>
      <c r="M179" s="23"/>
    </row>
    <row r="180" spans="1:13" ht="14.45" customHeight="1">
      <c r="A180" s="23"/>
      <c r="B180" s="35"/>
      <c r="C180" s="23"/>
      <c r="D180" s="23"/>
      <c r="E180" s="23"/>
      <c r="F180" s="23"/>
      <c r="G180" s="23"/>
      <c r="H180" s="24"/>
      <c r="I180" s="23"/>
      <c r="J180" s="23"/>
      <c r="K180" s="24"/>
      <c r="L180" s="23"/>
      <c r="M180" s="23"/>
    </row>
    <row r="181" spans="1:13" ht="14.45" customHeight="1">
      <c r="A181" s="23"/>
      <c r="B181" s="35"/>
      <c r="C181" s="23"/>
      <c r="D181" s="23"/>
      <c r="E181" s="23"/>
      <c r="F181" s="23"/>
      <c r="G181" s="23"/>
      <c r="H181" s="24"/>
      <c r="I181" s="23"/>
      <c r="J181" s="23"/>
      <c r="K181" s="24"/>
      <c r="L181" s="23"/>
      <c r="M181" s="23"/>
    </row>
    <row r="182" spans="1:13" ht="14.45" customHeight="1">
      <c r="A182" s="23"/>
      <c r="B182" s="35"/>
      <c r="C182" s="23"/>
      <c r="D182" s="23"/>
      <c r="E182" s="23"/>
      <c r="F182" s="23"/>
      <c r="G182" s="23"/>
      <c r="H182" s="24"/>
      <c r="I182" s="23"/>
      <c r="J182" s="23"/>
      <c r="K182" s="24"/>
      <c r="L182" s="23"/>
      <c r="M182" s="23"/>
    </row>
    <row r="183" spans="1:13" ht="14.45" customHeight="1">
      <c r="A183" s="23"/>
      <c r="B183" s="35"/>
      <c r="C183" s="23"/>
      <c r="D183" s="23"/>
      <c r="E183" s="23"/>
      <c r="F183" s="23"/>
      <c r="G183" s="23"/>
      <c r="H183" s="24"/>
      <c r="I183" s="23"/>
      <c r="J183" s="23"/>
      <c r="K183" s="24"/>
      <c r="L183" s="23"/>
      <c r="M183" s="23"/>
    </row>
    <row r="184" spans="1:13" ht="14.45" customHeight="1">
      <c r="A184" s="23"/>
      <c r="B184" s="35"/>
      <c r="C184" s="23"/>
      <c r="D184" s="23"/>
      <c r="E184" s="23"/>
      <c r="F184" s="23"/>
      <c r="G184" s="23"/>
      <c r="H184" s="24"/>
      <c r="I184" s="23"/>
      <c r="J184" s="23"/>
      <c r="K184" s="24"/>
      <c r="L184" s="23"/>
      <c r="M184" s="23"/>
    </row>
    <row r="185" spans="1:13" ht="14.45" customHeight="1">
      <c r="A185" s="23"/>
      <c r="B185" s="35"/>
      <c r="C185" s="23"/>
      <c r="D185" s="23"/>
      <c r="E185" s="23"/>
      <c r="F185" s="23"/>
      <c r="G185" s="23"/>
      <c r="H185" s="24"/>
      <c r="I185" s="23"/>
      <c r="J185" s="23"/>
      <c r="K185" s="24"/>
      <c r="L185" s="23"/>
      <c r="M185" s="23"/>
    </row>
    <row r="186" spans="1:13" ht="14.45" customHeight="1">
      <c r="A186" s="23"/>
      <c r="B186" s="35"/>
      <c r="C186" s="23"/>
      <c r="D186" s="23"/>
      <c r="E186" s="23"/>
      <c r="F186" s="23"/>
      <c r="G186" s="23"/>
      <c r="H186" s="24"/>
      <c r="I186" s="23"/>
      <c r="J186" s="23"/>
      <c r="K186" s="24"/>
      <c r="L186" s="23"/>
      <c r="M186" s="23"/>
    </row>
    <row r="187" spans="1:13" ht="14.45" customHeight="1">
      <c r="A187" s="23"/>
      <c r="B187" s="35"/>
      <c r="C187" s="23"/>
      <c r="D187" s="23"/>
      <c r="E187" s="23"/>
      <c r="F187" s="23"/>
      <c r="G187" s="23"/>
      <c r="H187" s="24"/>
      <c r="I187" s="23"/>
      <c r="J187" s="23"/>
      <c r="K187" s="24"/>
      <c r="L187" s="23"/>
      <c r="M187" s="23"/>
    </row>
    <row r="188" spans="1:13" ht="14.45" customHeight="1">
      <c r="A188" s="23"/>
      <c r="B188" s="35"/>
      <c r="C188" s="23"/>
      <c r="D188" s="23"/>
      <c r="E188" s="23"/>
      <c r="F188" s="23"/>
      <c r="G188" s="23"/>
      <c r="H188" s="24"/>
      <c r="I188" s="23"/>
      <c r="J188" s="23"/>
      <c r="K188" s="24"/>
      <c r="L188" s="23"/>
      <c r="M188" s="23"/>
    </row>
    <row r="189" spans="1:13" ht="14.45" customHeight="1">
      <c r="A189" s="23"/>
      <c r="B189" s="35"/>
      <c r="C189" s="23"/>
      <c r="D189" s="23"/>
      <c r="E189" s="23"/>
      <c r="F189" s="23"/>
      <c r="G189" s="23"/>
      <c r="H189" s="24"/>
      <c r="I189" s="23"/>
      <c r="J189" s="23"/>
      <c r="K189" s="24"/>
      <c r="L189" s="23"/>
      <c r="M189" s="23"/>
    </row>
    <row r="190" spans="1:13" ht="14.45" customHeight="1">
      <c r="A190" s="23"/>
      <c r="B190" s="35"/>
      <c r="C190" s="23"/>
      <c r="D190" s="23"/>
      <c r="E190" s="23"/>
      <c r="F190" s="23"/>
      <c r="G190" s="23"/>
      <c r="H190" s="24"/>
      <c r="I190" s="23"/>
      <c r="J190" s="23"/>
      <c r="K190" s="24"/>
      <c r="L190" s="23"/>
      <c r="M190" s="23"/>
    </row>
    <row r="191" spans="1:13" ht="14.45" customHeight="1">
      <c r="A191" s="23"/>
      <c r="B191" s="35"/>
      <c r="C191" s="23"/>
      <c r="D191" s="23"/>
      <c r="E191" s="23"/>
      <c r="F191" s="23"/>
      <c r="G191" s="23"/>
      <c r="H191" s="24"/>
      <c r="I191" s="23"/>
      <c r="J191" s="23"/>
      <c r="K191" s="24"/>
      <c r="L191" s="23"/>
      <c r="M191" s="23"/>
    </row>
    <row r="192" spans="1:13" ht="14.45" customHeight="1">
      <c r="A192" s="23"/>
      <c r="B192" s="35"/>
      <c r="C192" s="23"/>
      <c r="D192" s="23"/>
      <c r="E192" s="23"/>
      <c r="F192" s="23"/>
      <c r="G192" s="23"/>
      <c r="H192" s="24"/>
      <c r="I192" s="23"/>
      <c r="J192" s="23"/>
      <c r="K192" s="24"/>
      <c r="L192" s="23"/>
      <c r="M192" s="23"/>
    </row>
    <row r="193" spans="1:13" ht="14.45" customHeight="1">
      <c r="A193" s="23"/>
      <c r="B193" s="35"/>
      <c r="C193" s="23"/>
      <c r="D193" s="23"/>
      <c r="E193" s="23"/>
      <c r="F193" s="23"/>
      <c r="G193" s="23"/>
      <c r="H193" s="24"/>
      <c r="I193" s="23"/>
      <c r="J193" s="23"/>
      <c r="K193" s="24"/>
      <c r="L193" s="23"/>
      <c r="M193" s="23"/>
    </row>
    <row r="194" spans="1:13" ht="14.45" customHeight="1">
      <c r="A194" s="23"/>
      <c r="B194" s="35"/>
      <c r="C194" s="23"/>
      <c r="D194" s="23"/>
      <c r="E194" s="23"/>
      <c r="F194" s="23"/>
      <c r="G194" s="23"/>
      <c r="H194" s="24"/>
      <c r="I194" s="23"/>
      <c r="J194" s="23"/>
      <c r="K194" s="24"/>
      <c r="L194" s="23"/>
      <c r="M194" s="23"/>
    </row>
    <row r="195" spans="1:13" ht="14.45" customHeight="1">
      <c r="A195" s="23"/>
      <c r="B195" s="35"/>
      <c r="C195" s="23"/>
      <c r="D195" s="23"/>
      <c r="E195" s="23"/>
      <c r="F195" s="23"/>
      <c r="G195" s="23"/>
      <c r="H195" s="24"/>
      <c r="I195" s="23"/>
      <c r="J195" s="23"/>
      <c r="K195" s="24"/>
      <c r="L195" s="23"/>
      <c r="M195" s="23"/>
    </row>
    <row r="196" spans="1:13" ht="14.45" customHeight="1">
      <c r="A196" s="23"/>
      <c r="B196" s="35"/>
      <c r="C196" s="23"/>
      <c r="D196" s="23"/>
      <c r="E196" s="23"/>
      <c r="F196" s="23"/>
      <c r="G196" s="23"/>
      <c r="H196" s="24"/>
      <c r="I196" s="23"/>
      <c r="J196" s="23"/>
      <c r="K196" s="24"/>
      <c r="L196" s="23"/>
      <c r="M196" s="23"/>
    </row>
    <row r="197" spans="1:13" ht="14.45" customHeight="1">
      <c r="A197" s="23"/>
      <c r="B197" s="35"/>
      <c r="C197" s="23"/>
      <c r="D197" s="23"/>
      <c r="E197" s="23"/>
      <c r="F197" s="23"/>
      <c r="G197" s="23"/>
      <c r="H197" s="24"/>
      <c r="I197" s="23"/>
      <c r="J197" s="23"/>
      <c r="K197" s="24"/>
      <c r="L197" s="23"/>
      <c r="M197" s="23"/>
    </row>
    <row r="198" spans="1:13" ht="14.45" customHeight="1">
      <c r="A198" s="23"/>
      <c r="B198" s="35"/>
      <c r="C198" s="23"/>
      <c r="D198" s="23"/>
      <c r="E198" s="23"/>
      <c r="F198" s="23"/>
      <c r="G198" s="23"/>
      <c r="H198" s="24"/>
      <c r="I198" s="23"/>
      <c r="J198" s="23"/>
      <c r="K198" s="24"/>
      <c r="L198" s="23"/>
      <c r="M198" s="23"/>
    </row>
    <row r="199" spans="1:13" ht="14.45" customHeight="1">
      <c r="A199" s="23"/>
      <c r="B199" s="35"/>
      <c r="C199" s="23"/>
      <c r="D199" s="23"/>
      <c r="E199" s="23"/>
      <c r="F199" s="23"/>
      <c r="G199" s="23"/>
      <c r="H199" s="24"/>
      <c r="I199" s="23"/>
      <c r="J199" s="23"/>
      <c r="K199" s="24"/>
      <c r="L199" s="23"/>
      <c r="M199" s="23"/>
    </row>
    <row r="200" spans="1:13" ht="14.45" customHeight="1">
      <c r="A200" s="23"/>
      <c r="B200" s="35"/>
      <c r="C200" s="23"/>
      <c r="D200" s="23"/>
      <c r="E200" s="23"/>
      <c r="F200" s="23"/>
      <c r="G200" s="23"/>
      <c r="H200" s="24"/>
      <c r="I200" s="23"/>
      <c r="J200" s="23"/>
      <c r="K200" s="24"/>
      <c r="L200" s="23"/>
      <c r="M200" s="23"/>
    </row>
    <row r="201" spans="1:13" ht="14.45" customHeight="1">
      <c r="A201" s="23"/>
      <c r="B201" s="35"/>
      <c r="C201" s="23"/>
      <c r="D201" s="23"/>
      <c r="E201" s="23"/>
      <c r="F201" s="23"/>
      <c r="G201" s="23"/>
      <c r="H201" s="24"/>
      <c r="I201" s="23"/>
      <c r="J201" s="23"/>
      <c r="K201" s="24"/>
      <c r="L201" s="23"/>
      <c r="M201" s="23"/>
    </row>
    <row r="202" spans="1:13" ht="14.45" customHeight="1">
      <c r="A202" s="23"/>
      <c r="B202" s="35"/>
      <c r="C202" s="23"/>
      <c r="D202" s="23"/>
      <c r="E202" s="23"/>
      <c r="F202" s="23"/>
      <c r="G202" s="23"/>
      <c r="H202" s="24"/>
      <c r="I202" s="23"/>
      <c r="J202" s="23"/>
      <c r="K202" s="24"/>
      <c r="L202" s="23"/>
      <c r="M202" s="23"/>
    </row>
    <row r="203" spans="1:13" ht="14.45" customHeight="1">
      <c r="A203" s="23"/>
      <c r="B203" s="35"/>
      <c r="C203" s="23"/>
      <c r="D203" s="23"/>
      <c r="E203" s="23"/>
      <c r="F203" s="23"/>
      <c r="G203" s="23"/>
      <c r="H203" s="24"/>
      <c r="I203" s="23"/>
      <c r="J203" s="23"/>
      <c r="K203" s="24"/>
      <c r="L203" s="23"/>
      <c r="M203" s="23"/>
    </row>
    <row r="204" spans="1:13" ht="14.45" customHeight="1">
      <c r="A204" s="23"/>
      <c r="B204" s="35"/>
      <c r="C204" s="23"/>
      <c r="D204" s="23"/>
      <c r="E204" s="23"/>
      <c r="F204" s="23"/>
      <c r="G204" s="23"/>
      <c r="H204" s="24"/>
      <c r="I204" s="23"/>
      <c r="J204" s="23"/>
      <c r="K204" s="24"/>
      <c r="L204" s="23"/>
      <c r="M204" s="23"/>
    </row>
    <row r="205" spans="1:13" ht="14.45" customHeight="1">
      <c r="A205" s="23"/>
      <c r="B205" s="35"/>
      <c r="C205" s="23"/>
      <c r="D205" s="23"/>
      <c r="E205" s="23"/>
      <c r="F205" s="23"/>
      <c r="G205" s="23"/>
      <c r="H205" s="24"/>
      <c r="I205" s="23"/>
      <c r="J205" s="23"/>
      <c r="K205" s="24"/>
      <c r="L205" s="23"/>
      <c r="M205" s="23"/>
    </row>
    <row r="206" spans="1:13" ht="14.45" customHeight="1">
      <c r="A206" s="23"/>
      <c r="B206" s="35"/>
      <c r="C206" s="23"/>
      <c r="D206" s="23"/>
      <c r="E206" s="23"/>
      <c r="F206" s="23"/>
      <c r="G206" s="23"/>
      <c r="H206" s="24"/>
      <c r="I206" s="23"/>
      <c r="J206" s="23"/>
      <c r="K206" s="24"/>
      <c r="L206" s="23"/>
      <c r="M206" s="23"/>
    </row>
    <row r="207" spans="1:13" ht="14.45" customHeight="1">
      <c r="A207" s="23"/>
      <c r="B207" s="35"/>
      <c r="C207" s="23"/>
      <c r="D207" s="23"/>
      <c r="E207" s="23"/>
      <c r="F207" s="23"/>
      <c r="G207" s="23"/>
      <c r="H207" s="24"/>
      <c r="I207" s="23"/>
      <c r="J207" s="23"/>
      <c r="K207" s="24"/>
      <c r="L207" s="23"/>
      <c r="M207" s="23"/>
    </row>
    <row r="208" spans="1:13" ht="14.45" customHeight="1">
      <c r="A208" s="23"/>
      <c r="B208" s="35"/>
      <c r="C208" s="23"/>
      <c r="D208" s="23"/>
      <c r="E208" s="23"/>
      <c r="F208" s="23"/>
      <c r="G208" s="23"/>
      <c r="H208" s="24"/>
      <c r="I208" s="23"/>
      <c r="J208" s="23"/>
      <c r="K208" s="24"/>
      <c r="L208" s="23"/>
      <c r="M208" s="23"/>
    </row>
    <row r="209" spans="1:13" ht="14.45" customHeight="1">
      <c r="A209" s="23"/>
      <c r="B209" s="35"/>
      <c r="C209" s="23"/>
      <c r="D209" s="23"/>
      <c r="E209" s="23"/>
      <c r="F209" s="23"/>
      <c r="G209" s="23"/>
      <c r="H209" s="24"/>
      <c r="I209" s="23"/>
      <c r="J209" s="23"/>
      <c r="K209" s="24"/>
      <c r="L209" s="23"/>
      <c r="M209" s="23"/>
    </row>
    <row r="210" spans="1:13" ht="14.45" customHeight="1">
      <c r="A210" s="23"/>
      <c r="B210" s="35"/>
      <c r="C210" s="23"/>
      <c r="D210" s="23"/>
      <c r="E210" s="23"/>
      <c r="F210" s="23"/>
      <c r="G210" s="23"/>
      <c r="H210" s="24"/>
      <c r="I210" s="23"/>
      <c r="J210" s="23"/>
      <c r="K210" s="24"/>
      <c r="L210" s="23"/>
      <c r="M210" s="23"/>
    </row>
    <row r="211" spans="1:13" ht="14.45" customHeight="1">
      <c r="A211" s="23"/>
      <c r="B211" s="35"/>
      <c r="C211" s="23"/>
      <c r="D211" s="23"/>
      <c r="E211" s="23"/>
      <c r="F211" s="23"/>
      <c r="G211" s="23"/>
      <c r="H211" s="24"/>
      <c r="I211" s="23"/>
      <c r="J211" s="23"/>
      <c r="K211" s="24"/>
      <c r="L211" s="23"/>
      <c r="M211" s="23"/>
    </row>
    <row r="212" spans="1:13" ht="14.45" customHeight="1">
      <c r="A212" s="23"/>
      <c r="B212" s="35"/>
      <c r="C212" s="23"/>
      <c r="D212" s="23"/>
      <c r="E212" s="23"/>
      <c r="F212" s="23"/>
      <c r="G212" s="23"/>
      <c r="H212" s="24"/>
      <c r="I212" s="23"/>
      <c r="J212" s="23"/>
      <c r="K212" s="24"/>
      <c r="L212" s="23"/>
      <c r="M212" s="23"/>
    </row>
    <row r="213" spans="1:13" ht="14.45" customHeight="1">
      <c r="A213" s="23"/>
      <c r="B213" s="35"/>
      <c r="C213" s="23"/>
      <c r="D213" s="23"/>
      <c r="E213" s="23"/>
      <c r="F213" s="23"/>
      <c r="G213" s="23"/>
      <c r="H213" s="24"/>
      <c r="I213" s="23"/>
      <c r="J213" s="23"/>
      <c r="K213" s="24"/>
      <c r="L213" s="23"/>
      <c r="M213" s="23"/>
    </row>
    <row r="214" spans="1:13" ht="14.45" customHeight="1">
      <c r="A214" s="23"/>
      <c r="B214" s="35"/>
      <c r="C214" s="23"/>
      <c r="D214" s="23"/>
      <c r="E214" s="23"/>
      <c r="F214" s="23"/>
      <c r="G214" s="23"/>
      <c r="H214" s="24"/>
      <c r="I214" s="23"/>
      <c r="J214" s="23"/>
      <c r="K214" s="24"/>
      <c r="L214" s="23"/>
      <c r="M214" s="23"/>
    </row>
    <row r="215" spans="1:13" ht="14.45" customHeight="1">
      <c r="A215" s="23"/>
      <c r="B215" s="35"/>
      <c r="C215" s="23"/>
      <c r="D215" s="23"/>
      <c r="E215" s="23"/>
      <c r="F215" s="23"/>
      <c r="G215" s="23"/>
      <c r="H215" s="24"/>
      <c r="I215" s="23"/>
      <c r="J215" s="23"/>
      <c r="K215" s="24"/>
      <c r="L215" s="23"/>
      <c r="M215" s="23"/>
    </row>
    <row r="216" spans="1:13" ht="14.45" customHeight="1">
      <c r="A216" s="23"/>
      <c r="B216" s="35"/>
      <c r="C216" s="23"/>
      <c r="D216" s="23"/>
      <c r="E216" s="23"/>
      <c r="F216" s="23"/>
      <c r="G216" s="23"/>
      <c r="H216" s="24"/>
      <c r="I216" s="23"/>
      <c r="J216" s="23"/>
      <c r="K216" s="24"/>
      <c r="L216" s="23"/>
      <c r="M216" s="23"/>
    </row>
    <row r="217" spans="1:13" ht="14.45" customHeight="1">
      <c r="A217" s="23"/>
      <c r="B217" s="35"/>
      <c r="C217" s="23"/>
      <c r="D217" s="23"/>
      <c r="E217" s="23"/>
      <c r="F217" s="23"/>
      <c r="G217" s="23"/>
      <c r="H217" s="24"/>
      <c r="I217" s="23"/>
      <c r="J217" s="23"/>
      <c r="K217" s="24"/>
      <c r="L217" s="23"/>
      <c r="M217" s="23"/>
    </row>
    <row r="218" spans="1:13" ht="14.45" customHeight="1">
      <c r="A218" s="23"/>
      <c r="B218" s="35"/>
      <c r="C218" s="23"/>
      <c r="D218" s="23"/>
      <c r="E218" s="23"/>
      <c r="F218" s="23"/>
      <c r="G218" s="23"/>
      <c r="H218" s="24"/>
      <c r="I218" s="23"/>
      <c r="J218" s="23"/>
      <c r="K218" s="24"/>
      <c r="L218" s="23"/>
      <c r="M218" s="23"/>
    </row>
    <row r="219" spans="1:13" ht="14.45" customHeight="1">
      <c r="A219" s="23"/>
      <c r="B219" s="35"/>
      <c r="C219" s="23"/>
      <c r="D219" s="23"/>
      <c r="E219" s="23"/>
      <c r="F219" s="23"/>
      <c r="G219" s="23"/>
      <c r="H219" s="24"/>
      <c r="I219" s="23"/>
      <c r="J219" s="23"/>
      <c r="K219" s="24"/>
      <c r="L219" s="23"/>
      <c r="M219" s="23"/>
    </row>
    <row r="220" spans="1:13" ht="14.45" customHeight="1">
      <c r="A220" s="23"/>
      <c r="B220" s="35"/>
      <c r="C220" s="23"/>
      <c r="D220" s="23"/>
      <c r="E220" s="23"/>
      <c r="F220" s="23"/>
      <c r="G220" s="23"/>
      <c r="H220" s="24"/>
      <c r="I220" s="23"/>
      <c r="J220" s="23"/>
      <c r="K220" s="24"/>
      <c r="L220" s="23"/>
      <c r="M220" s="23"/>
    </row>
    <row r="221" spans="1:13" ht="14.45" customHeight="1">
      <c r="A221" s="23"/>
      <c r="B221" s="35"/>
      <c r="C221" s="23"/>
      <c r="D221" s="23"/>
      <c r="E221" s="23"/>
      <c r="F221" s="23"/>
      <c r="G221" s="23"/>
      <c r="H221" s="24"/>
      <c r="I221" s="23"/>
      <c r="J221" s="23"/>
      <c r="K221" s="24"/>
      <c r="L221" s="23"/>
      <c r="M221" s="23"/>
    </row>
    <row r="222" spans="1:13" ht="14.45" customHeight="1">
      <c r="A222" s="23"/>
      <c r="B222" s="35"/>
      <c r="C222" s="23"/>
      <c r="D222" s="23"/>
      <c r="E222" s="23"/>
      <c r="F222" s="23"/>
      <c r="G222" s="23"/>
      <c r="H222" s="24"/>
      <c r="I222" s="23"/>
      <c r="J222" s="23"/>
      <c r="K222" s="24"/>
      <c r="L222" s="23"/>
      <c r="M222" s="23"/>
    </row>
    <row r="223" spans="1:13" ht="14.45" customHeight="1">
      <c r="A223" s="23"/>
      <c r="B223" s="35"/>
      <c r="C223" s="23"/>
      <c r="D223" s="23"/>
      <c r="E223" s="23"/>
      <c r="F223" s="23"/>
      <c r="G223" s="23"/>
      <c r="H223" s="24"/>
      <c r="I223" s="23"/>
      <c r="J223" s="23"/>
      <c r="K223" s="24"/>
      <c r="L223" s="23"/>
      <c r="M223" s="23"/>
    </row>
    <row r="224" spans="1:13" ht="14.45" customHeight="1">
      <c r="A224" s="23"/>
      <c r="B224" s="35"/>
      <c r="C224" s="23"/>
      <c r="D224" s="23"/>
      <c r="E224" s="23"/>
      <c r="F224" s="23"/>
      <c r="G224" s="23"/>
      <c r="H224" s="24"/>
      <c r="I224" s="23"/>
      <c r="J224" s="23"/>
      <c r="K224" s="24"/>
      <c r="L224" s="23"/>
      <c r="M224" s="23"/>
    </row>
    <row r="225" spans="1:13" ht="14.45" customHeight="1">
      <c r="A225" s="23"/>
      <c r="B225" s="35"/>
      <c r="C225" s="23"/>
      <c r="D225" s="23"/>
      <c r="E225" s="23"/>
      <c r="F225" s="23"/>
      <c r="G225" s="23"/>
      <c r="H225" s="24"/>
      <c r="I225" s="23"/>
      <c r="J225" s="23"/>
      <c r="K225" s="24"/>
      <c r="L225" s="23"/>
      <c r="M225" s="23"/>
    </row>
    <row r="226" spans="1:13" ht="14.45" customHeight="1">
      <c r="A226" s="23"/>
      <c r="B226" s="35"/>
      <c r="C226" s="23"/>
      <c r="D226" s="23"/>
      <c r="E226" s="23"/>
      <c r="F226" s="23"/>
      <c r="G226" s="23"/>
      <c r="H226" s="24"/>
      <c r="I226" s="23"/>
      <c r="J226" s="23"/>
      <c r="K226" s="24"/>
      <c r="L226" s="23"/>
      <c r="M226" s="23"/>
    </row>
    <row r="227" spans="1:13" ht="14.45" customHeight="1">
      <c r="A227" s="23"/>
      <c r="B227" s="35"/>
      <c r="C227" s="23"/>
      <c r="D227" s="23"/>
      <c r="E227" s="23"/>
      <c r="F227" s="23"/>
      <c r="G227" s="23"/>
      <c r="H227" s="24"/>
      <c r="I227" s="23"/>
      <c r="J227" s="23"/>
      <c r="K227" s="24"/>
      <c r="L227" s="23"/>
      <c r="M227" s="23"/>
    </row>
    <row r="228" spans="1:13" ht="14.45" customHeight="1">
      <c r="A228" s="23"/>
      <c r="B228" s="35"/>
      <c r="C228" s="23"/>
      <c r="D228" s="23"/>
      <c r="E228" s="23"/>
      <c r="F228" s="23"/>
      <c r="G228" s="23"/>
      <c r="H228" s="24"/>
      <c r="I228" s="23"/>
      <c r="J228" s="23"/>
      <c r="K228" s="24"/>
      <c r="L228" s="23"/>
      <c r="M228" s="23"/>
    </row>
    <row r="229" spans="1:13" ht="14.45" customHeight="1">
      <c r="A229" s="23"/>
      <c r="B229" s="35"/>
      <c r="C229" s="23"/>
      <c r="D229" s="23"/>
      <c r="E229" s="23"/>
      <c r="F229" s="23"/>
      <c r="G229" s="23"/>
      <c r="H229" s="24"/>
      <c r="I229" s="23"/>
      <c r="J229" s="23"/>
      <c r="K229" s="24"/>
      <c r="L229" s="23"/>
      <c r="M229" s="23"/>
    </row>
    <row r="230" spans="1:13" ht="14.45" customHeight="1">
      <c r="A230" s="23"/>
      <c r="B230" s="35"/>
      <c r="C230" s="23"/>
      <c r="D230" s="23"/>
      <c r="E230" s="23"/>
      <c r="F230" s="23"/>
      <c r="G230" s="23"/>
      <c r="H230" s="24"/>
      <c r="I230" s="23"/>
      <c r="J230" s="23"/>
      <c r="K230" s="24"/>
      <c r="L230" s="23"/>
      <c r="M230" s="23"/>
    </row>
    <row r="231" spans="1:13" ht="14.45" customHeight="1">
      <c r="A231" s="23"/>
      <c r="B231" s="35"/>
      <c r="C231" s="23"/>
      <c r="D231" s="23"/>
      <c r="E231" s="23"/>
      <c r="F231" s="23"/>
      <c r="G231" s="23"/>
      <c r="H231" s="24"/>
      <c r="I231" s="23"/>
      <c r="J231" s="23"/>
      <c r="K231" s="24"/>
      <c r="L231" s="23"/>
      <c r="M231" s="23"/>
    </row>
    <row r="232" spans="1:13" ht="14.45" customHeight="1">
      <c r="A232" s="23"/>
      <c r="B232" s="35"/>
      <c r="C232" s="23"/>
      <c r="D232" s="23"/>
      <c r="E232" s="23"/>
      <c r="F232" s="23"/>
      <c r="G232" s="23"/>
      <c r="H232" s="24"/>
      <c r="I232" s="23"/>
      <c r="J232" s="23"/>
      <c r="K232" s="24"/>
      <c r="L232" s="23"/>
      <c r="M232" s="23"/>
    </row>
    <row r="233" spans="1:13" ht="14.45" customHeight="1">
      <c r="A233" s="23"/>
      <c r="B233" s="35"/>
      <c r="C233" s="23"/>
      <c r="D233" s="23"/>
      <c r="E233" s="23"/>
      <c r="F233" s="23"/>
      <c r="G233" s="23"/>
      <c r="H233" s="24"/>
      <c r="I233" s="23"/>
      <c r="J233" s="23"/>
      <c r="K233" s="24"/>
      <c r="L233" s="23"/>
      <c r="M233" s="23"/>
    </row>
    <row r="234" spans="1:13" ht="14.45" customHeight="1">
      <c r="A234" s="23"/>
      <c r="B234" s="35"/>
      <c r="C234" s="23"/>
      <c r="D234" s="23"/>
      <c r="E234" s="23"/>
      <c r="F234" s="23"/>
      <c r="G234" s="23"/>
      <c r="H234" s="24"/>
      <c r="I234" s="23"/>
      <c r="J234" s="23"/>
      <c r="K234" s="24"/>
      <c r="L234" s="23"/>
      <c r="M234" s="23"/>
    </row>
    <row r="235" spans="1:13" ht="14.45" customHeight="1">
      <c r="A235" s="23"/>
      <c r="B235" s="35"/>
      <c r="C235" s="23"/>
      <c r="D235" s="23"/>
      <c r="E235" s="23"/>
      <c r="F235" s="23"/>
      <c r="G235" s="23"/>
      <c r="H235" s="24"/>
      <c r="I235" s="23"/>
      <c r="J235" s="23"/>
      <c r="K235" s="24"/>
      <c r="L235" s="23"/>
      <c r="M235" s="23"/>
    </row>
    <row r="236" spans="1:13" ht="14.45" customHeight="1">
      <c r="A236" s="23"/>
      <c r="B236" s="35"/>
      <c r="C236" s="23"/>
      <c r="D236" s="23"/>
      <c r="E236" s="23"/>
      <c r="F236" s="23"/>
      <c r="G236" s="23"/>
      <c r="H236" s="24"/>
      <c r="I236" s="23"/>
      <c r="J236" s="23"/>
      <c r="K236" s="24"/>
      <c r="L236" s="23"/>
      <c r="M236" s="23"/>
    </row>
    <row r="237" spans="1:13" ht="14.45" customHeight="1">
      <c r="A237" s="23"/>
      <c r="B237" s="35"/>
      <c r="C237" s="23"/>
      <c r="D237" s="23"/>
      <c r="E237" s="23"/>
      <c r="F237" s="23"/>
      <c r="G237" s="23"/>
      <c r="H237" s="24"/>
      <c r="I237" s="23"/>
      <c r="J237" s="23"/>
      <c r="K237" s="24"/>
      <c r="L237" s="23"/>
      <c r="M237" s="23"/>
    </row>
    <row r="238" spans="1:13" ht="14.45" customHeight="1">
      <c r="A238" s="23"/>
      <c r="B238" s="35"/>
      <c r="C238" s="23"/>
      <c r="D238" s="23"/>
      <c r="E238" s="23"/>
      <c r="F238" s="23"/>
      <c r="G238" s="23"/>
      <c r="H238" s="24"/>
      <c r="I238" s="23"/>
      <c r="J238" s="23"/>
      <c r="K238" s="24"/>
      <c r="L238" s="23"/>
      <c r="M238" s="23"/>
    </row>
    <row r="239" spans="1:13" ht="14.45" customHeight="1">
      <c r="A239" s="23"/>
      <c r="B239" s="35"/>
      <c r="C239" s="23"/>
      <c r="D239" s="23"/>
      <c r="E239" s="23"/>
      <c r="F239" s="23"/>
      <c r="G239" s="23"/>
      <c r="H239" s="24"/>
      <c r="I239" s="23"/>
      <c r="J239" s="23"/>
      <c r="K239" s="24"/>
      <c r="L239" s="23"/>
      <c r="M239" s="23"/>
    </row>
    <row r="240" spans="1:13" ht="14.45" customHeight="1">
      <c r="A240" s="23"/>
      <c r="B240" s="35"/>
      <c r="C240" s="23"/>
      <c r="D240" s="23"/>
      <c r="E240" s="23"/>
      <c r="F240" s="23"/>
      <c r="G240" s="23"/>
      <c r="H240" s="24"/>
      <c r="I240" s="23"/>
      <c r="J240" s="23"/>
      <c r="K240" s="24"/>
      <c r="L240" s="23"/>
      <c r="M240" s="23"/>
    </row>
    <row r="241" spans="1:13" ht="14.45" customHeight="1">
      <c r="A241" s="23"/>
      <c r="B241" s="35"/>
      <c r="C241" s="23"/>
      <c r="D241" s="23"/>
      <c r="E241" s="23"/>
      <c r="F241" s="23"/>
      <c r="G241" s="23"/>
      <c r="H241" s="24"/>
      <c r="I241" s="23"/>
      <c r="J241" s="23"/>
      <c r="K241" s="24"/>
      <c r="L241" s="23"/>
      <c r="M241" s="23"/>
    </row>
    <row r="242" spans="1:13" ht="14.45" customHeight="1">
      <c r="A242" s="23"/>
      <c r="B242" s="35"/>
      <c r="C242" s="23"/>
      <c r="D242" s="23"/>
      <c r="E242" s="23"/>
      <c r="F242" s="23"/>
      <c r="G242" s="23"/>
      <c r="H242" s="24"/>
      <c r="I242" s="23"/>
      <c r="J242" s="23"/>
      <c r="K242" s="24"/>
      <c r="L242" s="23"/>
      <c r="M242" s="23"/>
    </row>
    <row r="243" spans="1:13" ht="14.45" customHeight="1">
      <c r="A243" s="23"/>
      <c r="B243" s="35"/>
      <c r="C243" s="23"/>
      <c r="D243" s="23"/>
      <c r="E243" s="23"/>
      <c r="F243" s="23"/>
      <c r="G243" s="23"/>
      <c r="H243" s="24"/>
      <c r="I243" s="23"/>
      <c r="J243" s="23"/>
      <c r="K243" s="24"/>
      <c r="L243" s="23"/>
      <c r="M243" s="23"/>
    </row>
    <row r="244" spans="1:13" ht="14.45" customHeight="1">
      <c r="A244" s="23"/>
      <c r="B244" s="35"/>
      <c r="C244" s="23"/>
      <c r="D244" s="23"/>
      <c r="E244" s="23"/>
      <c r="F244" s="23"/>
      <c r="G244" s="23"/>
      <c r="H244" s="24"/>
      <c r="I244" s="23"/>
      <c r="J244" s="23"/>
      <c r="K244" s="24"/>
      <c r="L244" s="23"/>
      <c r="M244" s="23"/>
    </row>
    <row r="245" spans="1:13" ht="14.45" customHeight="1">
      <c r="A245" s="23"/>
      <c r="B245" s="35"/>
      <c r="C245" s="23"/>
      <c r="D245" s="23"/>
      <c r="E245" s="23"/>
      <c r="F245" s="23"/>
      <c r="G245" s="23"/>
      <c r="H245" s="24"/>
      <c r="I245" s="23"/>
      <c r="J245" s="23"/>
      <c r="K245" s="24"/>
      <c r="L245" s="23"/>
      <c r="M245" s="23"/>
    </row>
    <row r="246" spans="1:13" ht="14.45" customHeight="1">
      <c r="A246" s="23"/>
      <c r="B246" s="35"/>
      <c r="C246" s="23"/>
      <c r="D246" s="23"/>
      <c r="E246" s="23"/>
      <c r="F246" s="23"/>
      <c r="G246" s="23"/>
      <c r="H246" s="24"/>
      <c r="I246" s="23"/>
      <c r="J246" s="23"/>
      <c r="K246" s="24"/>
      <c r="L246" s="23"/>
      <c r="M246" s="23"/>
    </row>
    <row r="247" spans="1:13" ht="14.45" customHeight="1">
      <c r="A247" s="23"/>
      <c r="B247" s="35"/>
      <c r="C247" s="23"/>
      <c r="D247" s="23"/>
      <c r="E247" s="23"/>
      <c r="F247" s="23"/>
      <c r="G247" s="23"/>
      <c r="H247" s="24"/>
      <c r="I247" s="23"/>
      <c r="J247" s="23"/>
      <c r="K247" s="24"/>
      <c r="L247" s="23"/>
      <c r="M247" s="23"/>
    </row>
    <row r="248" spans="1:13" ht="14.45" customHeight="1">
      <c r="A248" s="23"/>
      <c r="B248" s="35"/>
      <c r="C248" s="23"/>
      <c r="D248" s="23"/>
      <c r="E248" s="23"/>
      <c r="F248" s="23"/>
      <c r="G248" s="23"/>
      <c r="H248" s="24"/>
      <c r="I248" s="23"/>
      <c r="J248" s="23"/>
      <c r="K248" s="24"/>
      <c r="L248" s="23"/>
      <c r="M248" s="23"/>
    </row>
    <row r="249" spans="1:13" ht="14.45" customHeight="1">
      <c r="A249" s="23"/>
      <c r="B249" s="35"/>
      <c r="C249" s="23"/>
      <c r="D249" s="23"/>
      <c r="E249" s="23"/>
      <c r="F249" s="23"/>
      <c r="G249" s="23"/>
      <c r="H249" s="24"/>
      <c r="I249" s="23"/>
      <c r="J249" s="23"/>
      <c r="K249" s="24"/>
      <c r="L249" s="23"/>
      <c r="M249" s="23"/>
    </row>
    <row r="250" spans="1:13" ht="14.45" customHeight="1">
      <c r="A250" s="23"/>
      <c r="B250" s="35"/>
      <c r="C250" s="23"/>
      <c r="D250" s="23"/>
      <c r="E250" s="23"/>
      <c r="F250" s="23"/>
      <c r="G250" s="23"/>
      <c r="H250" s="24"/>
      <c r="I250" s="23"/>
      <c r="J250" s="23"/>
      <c r="K250" s="24"/>
      <c r="L250" s="23"/>
      <c r="M250" s="23"/>
    </row>
    <row r="251" spans="1:13" ht="14.45" customHeight="1">
      <c r="A251" s="23"/>
      <c r="B251" s="35"/>
      <c r="C251" s="23"/>
      <c r="D251" s="23"/>
      <c r="E251" s="23"/>
      <c r="F251" s="23"/>
      <c r="G251" s="23"/>
      <c r="H251" s="24"/>
      <c r="I251" s="23"/>
      <c r="J251" s="23"/>
      <c r="K251" s="24"/>
      <c r="L251" s="23"/>
      <c r="M251" s="23"/>
    </row>
    <row r="252" spans="1:13" ht="14.45" customHeight="1">
      <c r="A252" s="23"/>
      <c r="B252" s="35"/>
      <c r="C252" s="23"/>
      <c r="D252" s="23"/>
      <c r="E252" s="23"/>
      <c r="F252" s="23"/>
      <c r="G252" s="23"/>
      <c r="H252" s="24"/>
      <c r="I252" s="23"/>
      <c r="J252" s="23"/>
      <c r="K252" s="24"/>
      <c r="L252" s="23"/>
      <c r="M252" s="23"/>
    </row>
    <row r="253" spans="1:13" ht="14.45" customHeight="1">
      <c r="A253" s="23"/>
      <c r="B253" s="35"/>
      <c r="C253" s="23"/>
      <c r="D253" s="23"/>
      <c r="E253" s="23"/>
      <c r="F253" s="23"/>
      <c r="G253" s="23"/>
      <c r="H253" s="24"/>
      <c r="I253" s="23"/>
      <c r="J253" s="23"/>
      <c r="K253" s="24"/>
      <c r="L253" s="23"/>
      <c r="M253" s="23"/>
    </row>
    <row r="254" spans="1:13" ht="14.45" customHeight="1">
      <c r="A254" s="23"/>
      <c r="B254" s="35"/>
      <c r="C254" s="23"/>
      <c r="D254" s="23"/>
      <c r="E254" s="23"/>
      <c r="F254" s="23"/>
      <c r="G254" s="23"/>
      <c r="H254" s="24"/>
      <c r="I254" s="23"/>
      <c r="J254" s="23"/>
      <c r="K254" s="24"/>
      <c r="L254" s="23"/>
      <c r="M254" s="23"/>
    </row>
    <row r="255" spans="1:13" ht="14.45" customHeight="1">
      <c r="A255" s="23"/>
      <c r="B255" s="35"/>
      <c r="C255" s="23"/>
      <c r="D255" s="23"/>
      <c r="E255" s="23"/>
      <c r="F255" s="23"/>
      <c r="G255" s="23"/>
      <c r="H255" s="24"/>
      <c r="I255" s="23"/>
      <c r="J255" s="23"/>
      <c r="K255" s="24"/>
      <c r="L255" s="23"/>
      <c r="M255" s="23"/>
    </row>
    <row r="256" spans="1:13" ht="14.45" customHeight="1">
      <c r="A256" s="23"/>
      <c r="B256" s="35"/>
      <c r="C256" s="23"/>
      <c r="D256" s="23"/>
      <c r="E256" s="23"/>
      <c r="F256" s="23"/>
      <c r="G256" s="23"/>
      <c r="H256" s="24"/>
      <c r="I256" s="23"/>
      <c r="J256" s="23"/>
      <c r="K256" s="24"/>
      <c r="L256" s="23"/>
      <c r="M256" s="23"/>
    </row>
    <row r="257" spans="1:13" ht="14.45" customHeight="1">
      <c r="A257" s="23"/>
      <c r="B257" s="35"/>
      <c r="C257" s="23"/>
      <c r="D257" s="23"/>
      <c r="E257" s="23"/>
      <c r="F257" s="23"/>
      <c r="G257" s="23"/>
      <c r="H257" s="24"/>
      <c r="I257" s="23"/>
      <c r="J257" s="23"/>
      <c r="K257" s="24"/>
      <c r="L257" s="23"/>
      <c r="M257" s="23"/>
    </row>
    <row r="258" spans="1:13" ht="14.45" customHeight="1">
      <c r="A258" s="23"/>
      <c r="B258" s="35"/>
      <c r="C258" s="23"/>
      <c r="D258" s="23"/>
      <c r="E258" s="23"/>
      <c r="F258" s="23"/>
      <c r="G258" s="23"/>
      <c r="H258" s="24"/>
      <c r="I258" s="23"/>
      <c r="J258" s="23"/>
      <c r="K258" s="24"/>
      <c r="L258" s="23"/>
      <c r="M258" s="23"/>
    </row>
    <row r="259" spans="1:13" ht="14.45" customHeight="1">
      <c r="A259" s="23"/>
      <c r="B259" s="35"/>
      <c r="C259" s="23"/>
      <c r="D259" s="23"/>
      <c r="E259" s="23"/>
      <c r="F259" s="23"/>
      <c r="G259" s="23"/>
      <c r="H259" s="24"/>
      <c r="I259" s="23"/>
      <c r="J259" s="23"/>
      <c r="K259" s="24"/>
      <c r="L259" s="23"/>
      <c r="M259" s="23"/>
    </row>
    <row r="260" spans="1:13" ht="14.45" customHeight="1">
      <c r="A260" s="23"/>
      <c r="B260" s="35"/>
      <c r="C260" s="23"/>
      <c r="D260" s="23"/>
      <c r="E260" s="23"/>
      <c r="F260" s="23"/>
      <c r="G260" s="23"/>
      <c r="H260" s="24"/>
      <c r="I260" s="23"/>
      <c r="J260" s="23"/>
      <c r="K260" s="24"/>
      <c r="L260" s="23"/>
      <c r="M260" s="23"/>
    </row>
    <row r="261" spans="1:13" ht="14.45" customHeight="1">
      <c r="A261" s="23"/>
      <c r="B261" s="35"/>
      <c r="C261" s="23"/>
      <c r="D261" s="23"/>
      <c r="E261" s="23"/>
      <c r="F261" s="23"/>
      <c r="G261" s="23"/>
      <c r="H261" s="24"/>
      <c r="I261" s="23"/>
      <c r="J261" s="23"/>
      <c r="K261" s="24"/>
      <c r="L261" s="23"/>
      <c r="M261" s="23"/>
    </row>
    <row r="262" spans="1:13" ht="14.45" customHeight="1">
      <c r="A262" s="23"/>
      <c r="B262" s="35"/>
      <c r="C262" s="23"/>
      <c r="D262" s="23"/>
      <c r="E262" s="23"/>
      <c r="F262" s="23"/>
      <c r="G262" s="23"/>
      <c r="H262" s="24"/>
      <c r="I262" s="23"/>
      <c r="J262" s="23"/>
      <c r="K262" s="24"/>
      <c r="L262" s="23"/>
      <c r="M262" s="23"/>
    </row>
    <row r="263" spans="1:13" ht="14.45" customHeight="1">
      <c r="A263" s="23"/>
      <c r="B263" s="35"/>
      <c r="C263" s="23"/>
      <c r="D263" s="23"/>
      <c r="E263" s="23"/>
      <c r="F263" s="23"/>
      <c r="G263" s="23"/>
      <c r="H263" s="24"/>
      <c r="I263" s="23"/>
      <c r="J263" s="23"/>
      <c r="K263" s="24"/>
      <c r="L263" s="23"/>
      <c r="M263" s="23"/>
    </row>
    <row r="264" spans="1:13" ht="14.45" customHeight="1">
      <c r="A264" s="23"/>
      <c r="B264" s="35"/>
      <c r="C264" s="23"/>
      <c r="D264" s="23"/>
      <c r="E264" s="23"/>
      <c r="F264" s="23"/>
      <c r="G264" s="23"/>
      <c r="H264" s="24"/>
      <c r="I264" s="23"/>
      <c r="J264" s="23"/>
      <c r="K264" s="24"/>
      <c r="L264" s="23"/>
      <c r="M264" s="23"/>
    </row>
    <row r="265" spans="1:13" ht="14.45" customHeight="1">
      <c r="A265" s="23"/>
      <c r="B265" s="35"/>
      <c r="C265" s="23"/>
      <c r="D265" s="23"/>
      <c r="E265" s="23"/>
      <c r="F265" s="23"/>
      <c r="G265" s="23"/>
      <c r="H265" s="24"/>
      <c r="I265" s="23"/>
      <c r="J265" s="23"/>
      <c r="K265" s="24"/>
      <c r="L265" s="23"/>
      <c r="M265" s="23"/>
    </row>
    <row r="266" spans="1:13" ht="14.45" customHeight="1">
      <c r="A266" s="23"/>
      <c r="B266" s="35"/>
      <c r="C266" s="23"/>
      <c r="D266" s="23"/>
      <c r="E266" s="23"/>
      <c r="F266" s="23"/>
      <c r="G266" s="23"/>
      <c r="H266" s="24"/>
      <c r="I266" s="23"/>
      <c r="J266" s="23"/>
      <c r="K266" s="24"/>
      <c r="L266" s="23"/>
      <c r="M266" s="23"/>
    </row>
    <row r="267" spans="1:13" ht="14.45" customHeight="1">
      <c r="A267" s="23"/>
      <c r="B267" s="35"/>
      <c r="C267" s="23"/>
      <c r="D267" s="23"/>
      <c r="E267" s="23"/>
      <c r="F267" s="23"/>
      <c r="G267" s="23"/>
      <c r="H267" s="24"/>
      <c r="I267" s="23"/>
      <c r="J267" s="23"/>
      <c r="K267" s="24"/>
      <c r="L267" s="23"/>
      <c r="M267" s="23"/>
    </row>
    <row r="268" spans="1:13" ht="14.45" customHeight="1">
      <c r="A268" s="23"/>
      <c r="B268" s="35"/>
      <c r="C268" s="23"/>
      <c r="D268" s="23"/>
      <c r="E268" s="23"/>
      <c r="F268" s="23"/>
      <c r="G268" s="23"/>
      <c r="H268" s="24"/>
      <c r="I268" s="23"/>
      <c r="J268" s="23"/>
      <c r="K268" s="24"/>
      <c r="L268" s="23"/>
      <c r="M268" s="23"/>
    </row>
    <row r="269" spans="1:13" ht="14.45" customHeight="1">
      <c r="A269" s="23"/>
      <c r="B269" s="35"/>
      <c r="C269" s="23"/>
      <c r="D269" s="23"/>
      <c r="E269" s="23"/>
      <c r="F269" s="23"/>
      <c r="G269" s="23"/>
      <c r="H269" s="24"/>
      <c r="I269" s="23"/>
      <c r="J269" s="23"/>
      <c r="K269" s="24"/>
      <c r="L269" s="23"/>
      <c r="M269" s="23"/>
    </row>
    <row r="270" spans="1:13" ht="14.45" customHeight="1">
      <c r="A270" s="23"/>
      <c r="B270" s="35"/>
      <c r="C270" s="23"/>
      <c r="D270" s="23"/>
      <c r="E270" s="23"/>
      <c r="F270" s="23"/>
      <c r="G270" s="23"/>
      <c r="H270" s="24"/>
      <c r="I270" s="23"/>
      <c r="J270" s="23"/>
      <c r="K270" s="24"/>
      <c r="L270" s="23"/>
      <c r="M270" s="23"/>
    </row>
    <row r="271" spans="1:13" ht="14.45" customHeight="1">
      <c r="A271" s="23"/>
      <c r="B271" s="35"/>
      <c r="C271" s="23"/>
      <c r="D271" s="23"/>
      <c r="E271" s="23"/>
      <c r="F271" s="23"/>
      <c r="G271" s="23"/>
      <c r="H271" s="24"/>
      <c r="I271" s="23"/>
      <c r="J271" s="23"/>
      <c r="K271" s="24"/>
      <c r="L271" s="23"/>
      <c r="M271" s="23"/>
    </row>
    <row r="272" spans="1:13" ht="14.45" customHeight="1">
      <c r="A272" s="23"/>
      <c r="B272" s="35"/>
      <c r="C272" s="23"/>
      <c r="D272" s="23"/>
      <c r="E272" s="23"/>
      <c r="F272" s="23"/>
      <c r="G272" s="23"/>
      <c r="H272" s="24"/>
      <c r="I272" s="23"/>
      <c r="J272" s="23"/>
      <c r="K272" s="24"/>
      <c r="L272" s="23"/>
      <c r="M272" s="23"/>
    </row>
    <row r="273" spans="1:13" ht="14.45" customHeight="1">
      <c r="A273" s="23"/>
      <c r="B273" s="35"/>
      <c r="C273" s="23"/>
      <c r="D273" s="23"/>
      <c r="E273" s="23"/>
      <c r="F273" s="23"/>
      <c r="G273" s="23"/>
      <c r="H273" s="24"/>
      <c r="I273" s="23"/>
      <c r="J273" s="23"/>
      <c r="K273" s="24"/>
      <c r="L273" s="23"/>
      <c r="M273" s="23"/>
    </row>
    <row r="274" spans="1:13" ht="14.45" customHeight="1">
      <c r="A274" s="23"/>
      <c r="B274" s="35"/>
      <c r="C274" s="23"/>
      <c r="D274" s="23"/>
      <c r="E274" s="23"/>
      <c r="F274" s="23"/>
      <c r="G274" s="23"/>
      <c r="H274" s="24"/>
      <c r="I274" s="23"/>
      <c r="J274" s="23"/>
      <c r="K274" s="24"/>
      <c r="L274" s="23"/>
      <c r="M274" s="23"/>
    </row>
    <row r="275" spans="1:13" ht="14.45" customHeight="1">
      <c r="A275" s="23"/>
      <c r="B275" s="35"/>
      <c r="C275" s="23"/>
      <c r="D275" s="23"/>
      <c r="E275" s="23"/>
      <c r="F275" s="23"/>
      <c r="G275" s="23"/>
      <c r="H275" s="24"/>
      <c r="I275" s="23"/>
      <c r="J275" s="23"/>
      <c r="K275" s="24"/>
      <c r="L275" s="23"/>
      <c r="M275" s="23"/>
    </row>
    <row r="276" spans="1:13" ht="14.45" customHeight="1">
      <c r="A276" s="23"/>
      <c r="B276" s="35"/>
      <c r="C276" s="23"/>
      <c r="D276" s="23"/>
      <c r="E276" s="23"/>
      <c r="F276" s="23"/>
      <c r="G276" s="23"/>
      <c r="H276" s="24"/>
      <c r="I276" s="23"/>
      <c r="J276" s="23"/>
      <c r="K276" s="24"/>
      <c r="L276" s="23"/>
      <c r="M276" s="23"/>
    </row>
    <row r="277" spans="1:13" ht="14.45" customHeight="1">
      <c r="A277" s="23"/>
      <c r="B277" s="35"/>
      <c r="C277" s="23"/>
      <c r="D277" s="23"/>
      <c r="E277" s="23"/>
      <c r="F277" s="23"/>
      <c r="G277" s="23"/>
      <c r="H277" s="24"/>
      <c r="I277" s="23"/>
      <c r="J277" s="23"/>
      <c r="K277" s="24"/>
      <c r="L277" s="23"/>
      <c r="M277" s="23"/>
    </row>
    <row r="278" spans="1:13" ht="14.45" customHeight="1">
      <c r="A278" s="23"/>
      <c r="B278" s="35"/>
      <c r="C278" s="23"/>
      <c r="D278" s="23"/>
      <c r="E278" s="23"/>
      <c r="F278" s="23"/>
      <c r="G278" s="23"/>
      <c r="H278" s="24"/>
      <c r="I278" s="23"/>
      <c r="J278" s="23"/>
      <c r="K278" s="24"/>
      <c r="L278" s="23"/>
      <c r="M278" s="23"/>
    </row>
    <row r="279" spans="1:13" ht="14.45" customHeight="1">
      <c r="A279" s="23"/>
      <c r="B279" s="35"/>
      <c r="C279" s="23"/>
      <c r="D279" s="23"/>
      <c r="E279" s="23"/>
      <c r="F279" s="23"/>
      <c r="G279" s="23"/>
      <c r="H279" s="24"/>
      <c r="I279" s="23"/>
      <c r="J279" s="23"/>
      <c r="K279" s="24"/>
      <c r="L279" s="23"/>
      <c r="M279" s="23"/>
    </row>
    <row r="280" spans="1:13" ht="14.45" customHeight="1">
      <c r="A280" s="23"/>
      <c r="B280" s="35"/>
      <c r="C280" s="23"/>
      <c r="D280" s="23"/>
      <c r="E280" s="23"/>
      <c r="F280" s="23"/>
      <c r="G280" s="23"/>
      <c r="H280" s="24"/>
      <c r="I280" s="23"/>
      <c r="J280" s="23"/>
      <c r="K280" s="24"/>
      <c r="L280" s="23"/>
      <c r="M280" s="23"/>
    </row>
    <row r="281" spans="1:13" ht="14.45" customHeight="1">
      <c r="A281" s="23"/>
      <c r="B281" s="35"/>
      <c r="C281" s="23"/>
      <c r="D281" s="23"/>
      <c r="E281" s="23"/>
      <c r="F281" s="23"/>
      <c r="G281" s="23"/>
      <c r="H281" s="24"/>
      <c r="I281" s="23"/>
      <c r="J281" s="23"/>
      <c r="K281" s="24"/>
      <c r="L281" s="23"/>
      <c r="M281" s="23"/>
    </row>
    <row r="282" spans="1:13" ht="14.45" customHeight="1">
      <c r="A282" s="23"/>
      <c r="B282" s="35"/>
      <c r="C282" s="23"/>
      <c r="D282" s="23"/>
      <c r="E282" s="23"/>
      <c r="F282" s="23"/>
      <c r="G282" s="23"/>
      <c r="H282" s="24"/>
      <c r="I282" s="23"/>
      <c r="J282" s="23"/>
      <c r="K282" s="24"/>
      <c r="L282" s="23"/>
      <c r="M282" s="23"/>
    </row>
    <row r="283" spans="1:13" ht="14.45" customHeight="1">
      <c r="A283" s="23"/>
      <c r="B283" s="35"/>
      <c r="C283" s="23"/>
      <c r="D283" s="23"/>
      <c r="E283" s="23"/>
      <c r="F283" s="23"/>
      <c r="G283" s="23"/>
      <c r="H283" s="24"/>
      <c r="I283" s="23"/>
      <c r="J283" s="23"/>
      <c r="K283" s="24"/>
      <c r="L283" s="23"/>
      <c r="M283" s="23"/>
    </row>
    <row r="284" spans="1:13" ht="14.45" customHeight="1">
      <c r="A284" s="23"/>
      <c r="B284" s="35"/>
      <c r="C284" s="23"/>
      <c r="D284" s="23"/>
      <c r="E284" s="23"/>
      <c r="F284" s="23"/>
      <c r="G284" s="23"/>
      <c r="H284" s="24"/>
      <c r="I284" s="23"/>
      <c r="J284" s="23"/>
      <c r="K284" s="24"/>
      <c r="L284" s="23"/>
      <c r="M284" s="23"/>
    </row>
    <row r="285" spans="1:13" ht="14.45" customHeight="1">
      <c r="A285" s="23"/>
      <c r="B285" s="35"/>
      <c r="C285" s="23"/>
      <c r="D285" s="23"/>
      <c r="E285" s="23"/>
      <c r="F285" s="23"/>
      <c r="G285" s="23"/>
      <c r="H285" s="24"/>
      <c r="I285" s="23"/>
      <c r="J285" s="23"/>
      <c r="K285" s="24"/>
      <c r="L285" s="23"/>
      <c r="M285" s="23"/>
    </row>
    <row r="286" spans="1:13" ht="14.45" customHeight="1">
      <c r="A286" s="23"/>
      <c r="B286" s="35"/>
      <c r="C286" s="23"/>
      <c r="D286" s="23"/>
      <c r="E286" s="23"/>
      <c r="F286" s="23"/>
      <c r="G286" s="23"/>
      <c r="H286" s="24"/>
      <c r="I286" s="23"/>
      <c r="J286" s="23"/>
      <c r="K286" s="24"/>
      <c r="L286" s="23"/>
      <c r="M286" s="23"/>
    </row>
    <row r="287" spans="1:13" ht="14.45" customHeight="1">
      <c r="A287" s="23"/>
      <c r="B287" s="35"/>
      <c r="C287" s="23"/>
      <c r="D287" s="23"/>
      <c r="E287" s="23"/>
      <c r="F287" s="23"/>
      <c r="G287" s="23"/>
      <c r="H287" s="24"/>
      <c r="I287" s="23"/>
      <c r="J287" s="23"/>
      <c r="K287" s="24"/>
      <c r="L287" s="23"/>
      <c r="M287" s="23"/>
    </row>
    <row r="288" spans="1:13" ht="14.45" customHeight="1">
      <c r="A288" s="23"/>
      <c r="B288" s="35"/>
      <c r="C288" s="23"/>
      <c r="D288" s="23"/>
      <c r="E288" s="23"/>
      <c r="F288" s="23"/>
      <c r="G288" s="23"/>
      <c r="H288" s="24"/>
      <c r="I288" s="23"/>
      <c r="J288" s="23"/>
      <c r="K288" s="24"/>
      <c r="L288" s="23"/>
      <c r="M288" s="23"/>
    </row>
    <row r="289" spans="1:13" ht="14.45" customHeight="1">
      <c r="A289" s="23"/>
      <c r="B289" s="35"/>
      <c r="C289" s="23"/>
      <c r="D289" s="23"/>
      <c r="E289" s="23"/>
      <c r="F289" s="23"/>
      <c r="G289" s="23"/>
      <c r="H289" s="24"/>
      <c r="I289" s="23"/>
      <c r="J289" s="23"/>
      <c r="K289" s="24"/>
      <c r="L289" s="23"/>
      <c r="M289" s="23"/>
    </row>
    <row r="290" spans="1:13" ht="14.45" customHeight="1">
      <c r="A290" s="23"/>
      <c r="B290" s="35"/>
      <c r="C290" s="23"/>
      <c r="D290" s="23"/>
      <c r="E290" s="23"/>
      <c r="F290" s="23"/>
      <c r="G290" s="23"/>
      <c r="H290" s="24"/>
      <c r="I290" s="23"/>
      <c r="J290" s="23"/>
      <c r="K290" s="24"/>
      <c r="L290" s="23"/>
      <c r="M290" s="23"/>
    </row>
    <row r="291" spans="1:13" ht="14.45" customHeight="1">
      <c r="A291" s="23"/>
      <c r="B291" s="35"/>
      <c r="C291" s="23"/>
      <c r="D291" s="23"/>
      <c r="E291" s="23"/>
      <c r="F291" s="23"/>
      <c r="G291" s="23"/>
      <c r="H291" s="24"/>
      <c r="I291" s="23"/>
      <c r="J291" s="23"/>
      <c r="K291" s="24"/>
      <c r="L291" s="23"/>
      <c r="M291" s="23"/>
    </row>
    <row r="292" spans="1:13" ht="14.45" customHeight="1">
      <c r="A292" s="23"/>
      <c r="B292" s="35"/>
      <c r="C292" s="23"/>
      <c r="D292" s="23"/>
      <c r="E292" s="23"/>
      <c r="F292" s="23"/>
      <c r="G292" s="23"/>
      <c r="H292" s="24"/>
      <c r="I292" s="23"/>
      <c r="J292" s="23"/>
      <c r="K292" s="24"/>
      <c r="L292" s="23"/>
      <c r="M292" s="23"/>
    </row>
    <row r="293" spans="1:13" ht="14.45" customHeight="1">
      <c r="A293" s="23"/>
      <c r="B293" s="35"/>
      <c r="C293" s="23"/>
      <c r="D293" s="23"/>
      <c r="E293" s="23"/>
      <c r="F293" s="23"/>
      <c r="G293" s="23"/>
      <c r="H293" s="24"/>
      <c r="I293" s="23"/>
      <c r="J293" s="23"/>
      <c r="K293" s="24"/>
      <c r="L293" s="23"/>
      <c r="M293" s="23"/>
    </row>
    <row r="294" spans="1:13" ht="14.45" customHeight="1">
      <c r="A294" s="23"/>
      <c r="B294" s="35"/>
      <c r="C294" s="23"/>
      <c r="D294" s="23"/>
      <c r="E294" s="23"/>
      <c r="F294" s="23"/>
      <c r="G294" s="23"/>
      <c r="H294" s="24"/>
      <c r="I294" s="23"/>
      <c r="J294" s="23"/>
      <c r="K294" s="24"/>
      <c r="L294" s="23"/>
      <c r="M294" s="23"/>
    </row>
    <row r="295" spans="1:13" ht="14.45" customHeight="1">
      <c r="A295" s="23"/>
      <c r="B295" s="35"/>
      <c r="C295" s="23"/>
      <c r="D295" s="23"/>
      <c r="E295" s="23"/>
      <c r="F295" s="23"/>
      <c r="G295" s="23"/>
      <c r="H295" s="24"/>
      <c r="I295" s="23"/>
      <c r="J295" s="23"/>
      <c r="K295" s="24"/>
      <c r="L295" s="23"/>
      <c r="M295" s="23"/>
    </row>
    <row r="296" spans="1:13" ht="14.45" customHeight="1">
      <c r="A296" s="23"/>
      <c r="B296" s="35"/>
      <c r="C296" s="23"/>
      <c r="D296" s="23"/>
      <c r="E296" s="23"/>
      <c r="F296" s="23"/>
      <c r="G296" s="23"/>
      <c r="H296" s="24"/>
      <c r="I296" s="23"/>
      <c r="J296" s="23"/>
      <c r="K296" s="24"/>
      <c r="L296" s="23"/>
      <c r="M296" s="23"/>
    </row>
    <row r="297" spans="1:13" ht="14.45" customHeight="1">
      <c r="A297" s="23"/>
      <c r="B297" s="35"/>
      <c r="C297" s="23"/>
      <c r="D297" s="23"/>
      <c r="E297" s="23"/>
      <c r="F297" s="23"/>
      <c r="G297" s="23"/>
      <c r="H297" s="24"/>
      <c r="I297" s="23"/>
      <c r="J297" s="23"/>
      <c r="K297" s="24"/>
      <c r="L297" s="23"/>
      <c r="M297" s="23"/>
    </row>
    <row r="298" spans="1:13" ht="14.45" customHeight="1">
      <c r="A298" s="23"/>
      <c r="B298" s="35"/>
      <c r="C298" s="23"/>
      <c r="D298" s="23"/>
      <c r="E298" s="23"/>
      <c r="F298" s="23"/>
      <c r="G298" s="23"/>
      <c r="H298" s="24"/>
      <c r="I298" s="23"/>
      <c r="J298" s="23"/>
      <c r="K298" s="24"/>
      <c r="L298" s="23"/>
      <c r="M298" s="23"/>
    </row>
    <row r="299" spans="1:13" ht="14.45" customHeight="1">
      <c r="A299" s="23"/>
      <c r="B299" s="35"/>
      <c r="C299" s="23"/>
      <c r="D299" s="23"/>
      <c r="E299" s="23"/>
      <c r="F299" s="23"/>
      <c r="G299" s="23"/>
      <c r="H299" s="24"/>
      <c r="I299" s="23"/>
      <c r="J299" s="23"/>
      <c r="K299" s="24"/>
      <c r="L299" s="23"/>
      <c r="M299" s="23"/>
    </row>
    <row r="300" spans="1:13" ht="14.45" customHeight="1">
      <c r="A300" s="23"/>
      <c r="B300" s="35"/>
      <c r="C300" s="23"/>
      <c r="D300" s="23"/>
      <c r="E300" s="23"/>
      <c r="F300" s="23"/>
      <c r="G300" s="23"/>
      <c r="H300" s="24"/>
      <c r="I300" s="23"/>
      <c r="J300" s="23"/>
      <c r="K300" s="24"/>
      <c r="L300" s="23"/>
      <c r="M300" s="23"/>
    </row>
    <row r="301" spans="1:13" ht="14.45" customHeight="1">
      <c r="A301" s="23"/>
      <c r="B301" s="35"/>
      <c r="C301" s="23"/>
      <c r="D301" s="23"/>
      <c r="E301" s="23"/>
      <c r="F301" s="23"/>
      <c r="G301" s="23"/>
      <c r="H301" s="24"/>
      <c r="I301" s="23"/>
      <c r="J301" s="23"/>
      <c r="K301" s="24"/>
      <c r="L301" s="23"/>
      <c r="M301" s="23"/>
    </row>
    <row r="302" spans="1:13" ht="14.45" customHeight="1">
      <c r="A302" s="23"/>
      <c r="B302" s="35"/>
      <c r="C302" s="23"/>
      <c r="D302" s="23"/>
      <c r="E302" s="23"/>
      <c r="F302" s="23"/>
      <c r="G302" s="23"/>
      <c r="H302" s="24"/>
      <c r="I302" s="23"/>
      <c r="J302" s="23"/>
      <c r="K302" s="24"/>
      <c r="L302" s="23"/>
      <c r="M302" s="23"/>
    </row>
    <row r="303" spans="1:13" ht="14.45" customHeight="1">
      <c r="A303" s="23"/>
      <c r="B303" s="35"/>
      <c r="C303" s="23"/>
      <c r="D303" s="23"/>
      <c r="E303" s="23"/>
      <c r="F303" s="23"/>
      <c r="G303" s="23"/>
      <c r="H303" s="24"/>
      <c r="I303" s="23"/>
      <c r="J303" s="23"/>
      <c r="K303" s="24"/>
      <c r="L303" s="23"/>
      <c r="M303" s="23"/>
    </row>
    <row r="304" spans="1:13" ht="14.45" customHeight="1">
      <c r="A304" s="23"/>
      <c r="B304" s="35"/>
      <c r="C304" s="23"/>
      <c r="D304" s="23"/>
      <c r="E304" s="23"/>
      <c r="F304" s="23"/>
      <c r="G304" s="23"/>
      <c r="H304" s="24"/>
      <c r="I304" s="23"/>
      <c r="J304" s="23"/>
      <c r="K304" s="24"/>
      <c r="L304" s="23"/>
      <c r="M304" s="23"/>
    </row>
    <row r="305" spans="1:13" ht="14.45" customHeight="1">
      <c r="A305" s="23"/>
      <c r="B305" s="35"/>
      <c r="C305" s="23"/>
      <c r="D305" s="23"/>
      <c r="E305" s="23"/>
      <c r="F305" s="23"/>
      <c r="G305" s="23"/>
      <c r="H305" s="24"/>
      <c r="I305" s="23"/>
      <c r="J305" s="23"/>
      <c r="K305" s="24"/>
      <c r="L305" s="23"/>
      <c r="M305" s="23"/>
    </row>
    <row r="306" spans="1:13" ht="14.45" customHeight="1">
      <c r="A306" s="23"/>
      <c r="B306" s="35"/>
      <c r="C306" s="23"/>
      <c r="D306" s="23"/>
      <c r="E306" s="23"/>
      <c r="F306" s="23"/>
      <c r="G306" s="23"/>
      <c r="H306" s="24"/>
      <c r="I306" s="23"/>
      <c r="J306" s="23"/>
      <c r="K306" s="24"/>
      <c r="L306" s="23"/>
      <c r="M306" s="23"/>
    </row>
    <row r="307" spans="1:13" ht="14.45" customHeight="1">
      <c r="A307" s="23"/>
      <c r="B307" s="35"/>
      <c r="C307" s="23"/>
      <c r="D307" s="23"/>
      <c r="E307" s="23"/>
      <c r="F307" s="23"/>
      <c r="G307" s="23"/>
      <c r="H307" s="24"/>
      <c r="I307" s="23"/>
      <c r="J307" s="23"/>
      <c r="K307" s="24"/>
      <c r="L307" s="23"/>
      <c r="M307" s="23"/>
    </row>
    <row r="308" spans="1:13" ht="14.45" customHeight="1">
      <c r="A308" s="23"/>
      <c r="B308" s="35"/>
      <c r="C308" s="23"/>
      <c r="D308" s="23"/>
      <c r="E308" s="23"/>
      <c r="F308" s="23"/>
      <c r="G308" s="23"/>
      <c r="H308" s="24"/>
      <c r="I308" s="23"/>
      <c r="J308" s="23"/>
      <c r="K308" s="24"/>
      <c r="L308" s="23"/>
      <c r="M308" s="23"/>
    </row>
    <row r="309" spans="1:13" ht="14.45" customHeight="1">
      <c r="A309" s="23"/>
      <c r="B309" s="35"/>
      <c r="C309" s="23"/>
      <c r="D309" s="23"/>
      <c r="E309" s="23"/>
      <c r="F309" s="23"/>
      <c r="G309" s="23"/>
      <c r="H309" s="24"/>
      <c r="I309" s="23"/>
      <c r="J309" s="23"/>
      <c r="K309" s="24"/>
      <c r="L309" s="23"/>
      <c r="M309" s="23"/>
    </row>
    <row r="310" spans="1:13" ht="14.45" customHeight="1">
      <c r="A310" s="23"/>
      <c r="B310" s="35"/>
      <c r="C310" s="23"/>
      <c r="D310" s="23"/>
      <c r="E310" s="23"/>
      <c r="F310" s="23"/>
      <c r="G310" s="23"/>
      <c r="H310" s="24"/>
      <c r="I310" s="23"/>
      <c r="J310" s="23"/>
      <c r="K310" s="24"/>
      <c r="L310" s="23"/>
      <c r="M310" s="23"/>
    </row>
    <row r="311" spans="1:13" ht="14.45" customHeight="1">
      <c r="A311" s="23"/>
      <c r="B311" s="35"/>
      <c r="C311" s="23"/>
      <c r="D311" s="23"/>
      <c r="E311" s="23"/>
      <c r="F311" s="23"/>
      <c r="G311" s="23"/>
      <c r="H311" s="24"/>
      <c r="I311" s="23"/>
      <c r="J311" s="23"/>
      <c r="K311" s="24"/>
      <c r="L311" s="23"/>
      <c r="M311" s="23"/>
    </row>
    <row r="312" spans="1:13" ht="14.45" customHeight="1">
      <c r="A312" s="23"/>
      <c r="B312" s="35"/>
      <c r="C312" s="23"/>
      <c r="D312" s="23"/>
      <c r="E312" s="23"/>
      <c r="F312" s="23"/>
      <c r="G312" s="23"/>
      <c r="H312" s="24"/>
      <c r="I312" s="23"/>
      <c r="J312" s="23"/>
      <c r="K312" s="24"/>
      <c r="L312" s="23"/>
      <c r="M312" s="23"/>
    </row>
    <row r="313" spans="1:13" ht="14.45" customHeight="1">
      <c r="A313" s="23"/>
      <c r="B313" s="35"/>
      <c r="C313" s="23"/>
      <c r="D313" s="23"/>
      <c r="E313" s="23"/>
      <c r="F313" s="23"/>
      <c r="G313" s="23"/>
      <c r="H313" s="24"/>
      <c r="I313" s="23"/>
      <c r="J313" s="23"/>
      <c r="K313" s="24"/>
      <c r="L313" s="23"/>
      <c r="M313" s="23"/>
    </row>
    <row r="314" spans="1:13" ht="14.45" customHeight="1">
      <c r="A314" s="23"/>
      <c r="B314" s="35"/>
      <c r="C314" s="23"/>
      <c r="D314" s="23"/>
      <c r="E314" s="23"/>
      <c r="F314" s="23"/>
      <c r="G314" s="23"/>
      <c r="H314" s="24"/>
      <c r="I314" s="23"/>
      <c r="J314" s="23"/>
      <c r="K314" s="24"/>
      <c r="L314" s="23"/>
      <c r="M314" s="23"/>
    </row>
    <row r="315" spans="1:13" ht="14.45" customHeight="1">
      <c r="A315" s="23"/>
      <c r="B315" s="35"/>
      <c r="C315" s="23"/>
      <c r="D315" s="23"/>
      <c r="E315" s="23"/>
      <c r="F315" s="23"/>
      <c r="G315" s="23"/>
      <c r="H315" s="24"/>
      <c r="I315" s="23"/>
      <c r="J315" s="23"/>
      <c r="K315" s="24"/>
      <c r="L315" s="23"/>
      <c r="M315" s="23"/>
    </row>
    <row r="316" spans="1:13" ht="14.45" customHeight="1">
      <c r="A316" s="23"/>
      <c r="B316" s="35"/>
      <c r="C316" s="23"/>
      <c r="D316" s="23"/>
      <c r="E316" s="23"/>
      <c r="F316" s="23"/>
      <c r="G316" s="23"/>
      <c r="H316" s="24"/>
      <c r="I316" s="23"/>
      <c r="J316" s="23"/>
      <c r="K316" s="24"/>
      <c r="L316" s="23"/>
      <c r="M316" s="23"/>
    </row>
    <row r="317" spans="1:13" ht="14.45" customHeight="1">
      <c r="A317" s="23"/>
      <c r="B317" s="35"/>
      <c r="C317" s="23"/>
      <c r="D317" s="23"/>
      <c r="E317" s="23"/>
      <c r="F317" s="23"/>
      <c r="G317" s="23"/>
      <c r="H317" s="24"/>
      <c r="I317" s="23"/>
      <c r="J317" s="23"/>
      <c r="K317" s="24"/>
      <c r="L317" s="23"/>
      <c r="M317" s="23"/>
    </row>
    <row r="318" spans="1:13" ht="14.45" customHeight="1">
      <c r="A318" s="23"/>
      <c r="B318" s="35"/>
      <c r="C318" s="23"/>
      <c r="D318" s="23"/>
      <c r="E318" s="23"/>
      <c r="F318" s="23"/>
      <c r="G318" s="23"/>
      <c r="H318" s="24"/>
      <c r="I318" s="23"/>
      <c r="J318" s="23"/>
      <c r="K318" s="24"/>
      <c r="L318" s="23"/>
      <c r="M318" s="23"/>
    </row>
    <row r="319" spans="1:13" ht="14.45" customHeight="1">
      <c r="A319" s="23"/>
      <c r="B319" s="35"/>
      <c r="C319" s="23"/>
      <c r="D319" s="23"/>
      <c r="E319" s="23"/>
      <c r="F319" s="23"/>
      <c r="G319" s="23"/>
      <c r="H319" s="24"/>
      <c r="I319" s="23"/>
      <c r="J319" s="23"/>
      <c r="K319" s="24"/>
      <c r="L319" s="23"/>
      <c r="M319" s="23"/>
    </row>
    <row r="320" spans="1:13" ht="14.45" customHeight="1">
      <c r="A320" s="23"/>
      <c r="B320" s="35"/>
      <c r="C320" s="23"/>
      <c r="D320" s="23"/>
      <c r="E320" s="23"/>
      <c r="F320" s="23"/>
      <c r="G320" s="23"/>
      <c r="H320" s="24"/>
      <c r="I320" s="23"/>
      <c r="J320" s="23"/>
      <c r="K320" s="24"/>
      <c r="L320" s="23"/>
      <c r="M320" s="23"/>
    </row>
    <row r="321" spans="1:13" ht="14.45" customHeight="1">
      <c r="A321" s="23"/>
      <c r="B321" s="35"/>
      <c r="C321" s="23"/>
      <c r="D321" s="23"/>
      <c r="E321" s="23"/>
      <c r="F321" s="23"/>
      <c r="G321" s="23"/>
      <c r="H321" s="24"/>
      <c r="I321" s="23"/>
      <c r="J321" s="23"/>
      <c r="K321" s="24"/>
      <c r="L321" s="23"/>
      <c r="M321" s="23"/>
    </row>
    <row r="322" spans="1:13" ht="14.45" customHeight="1">
      <c r="A322" s="23"/>
      <c r="B322" s="35"/>
      <c r="C322" s="23"/>
      <c r="D322" s="23"/>
      <c r="E322" s="23"/>
      <c r="F322" s="23"/>
      <c r="G322" s="23"/>
      <c r="H322" s="24"/>
      <c r="I322" s="23"/>
      <c r="J322" s="23"/>
      <c r="K322" s="24"/>
      <c r="L322" s="23"/>
      <c r="M322" s="23"/>
    </row>
    <row r="323" spans="1:13" ht="14.45" customHeight="1">
      <c r="C323" s="23"/>
      <c r="D323" s="23"/>
      <c r="E323" s="23"/>
      <c r="F323" s="23"/>
      <c r="G323" s="23"/>
      <c r="H323" s="24"/>
      <c r="I323" s="23"/>
      <c r="J323" s="23"/>
      <c r="K323" s="24"/>
      <c r="L323" s="23"/>
      <c r="M323" s="23"/>
    </row>
  </sheetData>
  <mergeCells count="4">
    <mergeCell ref="I1:K1"/>
    <mergeCell ref="A1:C1"/>
    <mergeCell ref="F1:H1"/>
    <mergeCell ref="A2:B2"/>
  </mergeCells>
  <conditionalFormatting sqref="H2 K2 H4:H81 K4:K81">
    <cfRule type="cellIs" dxfId="10" priority="1" stopIfTrue="1" operator="lessThanOrEqual">
      <formula>-0.1</formula>
    </cfRule>
    <cfRule type="expression" dxfId="9" priority="2">
      <formula>AND(ISNUMBER(H2), H2&gt;=0.1)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N342"/>
  <sheetViews>
    <sheetView zoomScale="50" zoomScaleNormal="50" workbookViewId="0">
      <pane ySplit="2" topLeftCell="A3" activePane="bottomLeft" state="frozen"/>
      <selection pane="bottomLeft" activeCell="M45" sqref="M45"/>
      <selection activeCell="M45" sqref="M45"/>
    </sheetView>
  </sheetViews>
  <sheetFormatPr defaultRowHeight="13.9"/>
  <cols>
    <col min="1" max="1" width="35.85546875" bestFit="1" customWidth="1"/>
    <col min="2" max="2" width="8.42578125" style="36" customWidth="1"/>
    <col min="3" max="3" width="11.7109375" customWidth="1"/>
    <col min="4" max="4" width="13.5703125" customWidth="1"/>
    <col min="5" max="5" width="11.7109375" customWidth="1"/>
    <col min="6" max="6" width="24.5703125" customWidth="1"/>
    <col min="7" max="8" width="13.28515625" customWidth="1"/>
    <col min="9" max="9" width="13.28515625" style="1" customWidth="1"/>
    <col min="10" max="11" width="13.28515625" customWidth="1"/>
    <col min="12" max="12" width="13.28515625" style="1" customWidth="1"/>
    <col min="13" max="13" width="77.7109375" customWidth="1"/>
    <col min="14" max="14" width="20.5703125" bestFit="1" customWidth="1"/>
  </cols>
  <sheetData>
    <row r="1" spans="1:14" ht="41.45">
      <c r="A1" s="129" t="str" cm="1">
        <f t="array" ref="A1">portfolio</f>
        <v>CITI</v>
      </c>
      <c r="B1" s="129"/>
      <c r="C1" s="129"/>
      <c r="D1" s="74" t="s">
        <v>0</v>
      </c>
      <c r="E1" s="75" t="s">
        <v>1</v>
      </c>
      <c r="F1" s="76" t="s">
        <v>207</v>
      </c>
      <c r="G1" s="130" t="s">
        <v>208</v>
      </c>
      <c r="H1" s="130"/>
      <c r="I1" s="130"/>
      <c r="J1" s="128" t="s">
        <v>209</v>
      </c>
      <c r="K1" s="128"/>
      <c r="L1" s="128"/>
      <c r="M1" s="5"/>
      <c r="N1" s="5"/>
    </row>
    <row r="2" spans="1:14" ht="19.5" customHeight="1">
      <c r="A2" s="131" t="s">
        <v>4</v>
      </c>
      <c r="B2" s="131"/>
      <c r="C2" s="6">
        <f>SUM(C4:C100)</f>
        <v>0</v>
      </c>
      <c r="D2" s="6">
        <f>SUM(D3:D22)</f>
        <v>0</v>
      </c>
      <c r="E2" s="68" t="e">
        <f>C2/D2</f>
        <v>#DIV/0!</v>
      </c>
      <c r="F2" s="7">
        <v>0.89</v>
      </c>
      <c r="G2" s="6">
        <f>SUM(G4:G100)</f>
        <v>0</v>
      </c>
      <c r="H2" s="6">
        <f>C2-G2</f>
        <v>0</v>
      </c>
      <c r="I2" s="7">
        <f>IFERROR(H2/G2, 0)</f>
        <v>0</v>
      </c>
      <c r="J2" s="6">
        <f>SUM(J4:J100)</f>
        <v>0</v>
      </c>
      <c r="K2" s="8">
        <f>C2-J2</f>
        <v>0</v>
      </c>
      <c r="L2" s="7">
        <f>IFERROR(K2/J2, 0)</f>
        <v>0</v>
      </c>
      <c r="M2" s="28"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N2" s="5"/>
    </row>
    <row r="3" spans="1:14" ht="14.25" customHeight="1">
      <c r="A3" s="9" t="s">
        <v>5</v>
      </c>
      <c r="B3" s="9" t="s">
        <v>6</v>
      </c>
      <c r="C3" s="25" t="s">
        <v>7</v>
      </c>
      <c r="D3" s="69"/>
      <c r="E3" s="70"/>
      <c r="F3" s="83"/>
      <c r="G3" s="49" t="s">
        <v>8</v>
      </c>
      <c r="H3" s="49" t="s">
        <v>9</v>
      </c>
      <c r="I3" s="50" t="s">
        <v>10</v>
      </c>
      <c r="J3" s="51" t="s">
        <v>11</v>
      </c>
      <c r="K3" s="52" t="s">
        <v>9</v>
      </c>
      <c r="L3" s="53" t="s">
        <v>10</v>
      </c>
      <c r="M3" s="27" t="s">
        <v>22</v>
      </c>
      <c r="N3" s="27" t="s">
        <v>23</v>
      </c>
    </row>
    <row r="4" spans="1:14" ht="15.6">
      <c r="A4" s="34" t="str" cm="1">
        <f t="array" ref="A4:A23">Sites[Site]</f>
        <v>CA: Antioch Deer Valley - Citi</v>
      </c>
      <c r="B4" s="31" t="str" cm="1">
        <f t="array" ref="B4:B23">Sites[State]</f>
        <v>CA</v>
      </c>
      <c r="C4" s="26"/>
      <c r="D4" s="71"/>
      <c r="E4" s="82" t="e">
        <f t="shared" ref="E4:E22" si="0">C4/D4</f>
        <v>#DIV/0!</v>
      </c>
      <c r="F4" s="79"/>
      <c r="G4" s="14"/>
      <c r="H4" s="14" t="str">
        <f t="shared" ref="H4:H22" si="1">IF(AND(ISNUMBER(C4),ISNUMBER(G4)), C4-G4, "")</f>
        <v/>
      </c>
      <c r="I4" s="15"/>
      <c r="J4" s="16"/>
      <c r="K4" s="16" t="str">
        <f t="shared" ref="K4:K22" si="2">IF(AND(ISNUMBER(C4),ISNUMBER(J4)), C4-J4, "")</f>
        <v/>
      </c>
      <c r="L4" s="17"/>
      <c r="M4" s="18"/>
      <c r="N4" s="18"/>
    </row>
    <row r="5" spans="1:14" ht="39.6" customHeight="1">
      <c r="A5" s="32" t="str">
        <v>CA: Antioch MC CUP - Citi</v>
      </c>
      <c r="B5" s="33" t="str">
        <v>CA</v>
      </c>
      <c r="C5" s="12"/>
      <c r="D5" s="12"/>
      <c r="E5" s="80" t="e">
        <f t="shared" si="0"/>
        <v>#DIV/0!</v>
      </c>
      <c r="F5" s="80"/>
      <c r="G5" s="20"/>
      <c r="H5" s="20" t="str">
        <f t="shared" si="1"/>
        <v/>
      </c>
      <c r="I5" s="21"/>
      <c r="J5" s="22"/>
      <c r="K5" s="22" t="str">
        <f t="shared" si="2"/>
        <v/>
      </c>
      <c r="L5" s="21"/>
      <c r="M5" s="84"/>
      <c r="N5" s="86"/>
    </row>
    <row r="6" spans="1:14" ht="15.6">
      <c r="A6" s="30" t="str">
        <v>CA: Clovis - Citi</v>
      </c>
      <c r="B6" s="31" t="str">
        <v>CA</v>
      </c>
      <c r="C6" s="26"/>
      <c r="D6" s="71"/>
      <c r="E6" s="82" t="e">
        <f t="shared" si="0"/>
        <v>#DIV/0!</v>
      </c>
      <c r="F6" s="79"/>
      <c r="G6" s="14"/>
      <c r="H6" s="14" t="str">
        <f t="shared" si="1"/>
        <v/>
      </c>
      <c r="I6" s="15"/>
      <c r="J6" s="16"/>
      <c r="K6" s="16" t="str">
        <f t="shared" si="2"/>
        <v/>
      </c>
      <c r="L6" s="17"/>
      <c r="M6" s="18"/>
      <c r="N6" s="18"/>
    </row>
    <row r="7" spans="1:14" ht="15.6">
      <c r="A7" s="32" t="str">
        <v>CA: Elk Grove MOB - Citi</v>
      </c>
      <c r="B7" s="33" t="str">
        <v>CA</v>
      </c>
      <c r="C7" s="12"/>
      <c r="D7" s="12"/>
      <c r="E7" s="80" t="e">
        <f t="shared" si="0"/>
        <v>#DIV/0!</v>
      </c>
      <c r="F7" s="80"/>
      <c r="G7" s="20"/>
      <c r="H7" s="20" t="str">
        <f t="shared" si="1"/>
        <v/>
      </c>
      <c r="I7" s="21"/>
      <c r="J7" s="22"/>
      <c r="K7" s="22" t="str">
        <f t="shared" si="2"/>
        <v/>
      </c>
      <c r="L7" s="21"/>
      <c r="M7" s="85"/>
      <c r="N7" s="94"/>
    </row>
    <row r="8" spans="1:14" ht="15.6">
      <c r="A8" s="30" t="str">
        <v>CA: Elk Grove Promenade - Citi</v>
      </c>
      <c r="B8" s="31" t="str">
        <v>CA</v>
      </c>
      <c r="C8" s="26"/>
      <c r="D8" s="71"/>
      <c r="E8" s="82" t="e">
        <f t="shared" si="0"/>
        <v>#DIV/0!</v>
      </c>
      <c r="F8" s="79"/>
      <c r="G8" s="14"/>
      <c r="H8" s="14" t="str">
        <f t="shared" si="1"/>
        <v/>
      </c>
      <c r="I8" s="15"/>
      <c r="J8" s="16"/>
      <c r="K8" s="16" t="str">
        <f t="shared" si="2"/>
        <v/>
      </c>
      <c r="L8" s="17"/>
      <c r="M8" s="18"/>
      <c r="N8" s="18"/>
    </row>
    <row r="9" spans="1:14" ht="15.6">
      <c r="A9" s="32" t="str">
        <v>CA: Fresno Sequioa - Citi</v>
      </c>
      <c r="B9" s="33" t="str">
        <v>CA</v>
      </c>
      <c r="C9" s="12"/>
      <c r="D9" s="12"/>
      <c r="E9" s="80" t="e">
        <f t="shared" si="0"/>
        <v>#DIV/0!</v>
      </c>
      <c r="F9" s="80"/>
      <c r="G9" s="20"/>
      <c r="H9" s="20" t="str">
        <f t="shared" si="1"/>
        <v/>
      </c>
      <c r="I9" s="21"/>
      <c r="J9" s="22"/>
      <c r="K9" s="22" t="str">
        <f t="shared" si="2"/>
        <v/>
      </c>
      <c r="L9" s="21"/>
      <c r="M9" s="61"/>
      <c r="N9" s="62"/>
    </row>
    <row r="10" spans="1:14" ht="15.6">
      <c r="A10" s="30" t="str">
        <v>CA: Fresno MOB - Citi</v>
      </c>
      <c r="B10" s="31" t="str">
        <v>CA</v>
      </c>
      <c r="C10" s="26"/>
      <c r="D10" s="71"/>
      <c r="E10" s="82" t="e">
        <f t="shared" si="0"/>
        <v>#DIV/0!</v>
      </c>
      <c r="F10" s="79"/>
      <c r="G10" s="14"/>
      <c r="H10" s="14" t="str">
        <f t="shared" si="1"/>
        <v/>
      </c>
      <c r="I10" s="15"/>
      <c r="J10" s="16"/>
      <c r="K10" s="16" t="str">
        <f t="shared" si="2"/>
        <v/>
      </c>
      <c r="L10" s="17"/>
      <c r="M10" s="18"/>
      <c r="N10" s="18"/>
    </row>
    <row r="11" spans="1:14" ht="15.6">
      <c r="A11" s="32" t="str">
        <v>CA: Modesto Bangs - Citi</v>
      </c>
      <c r="B11" s="33" t="str">
        <v>CA</v>
      </c>
      <c r="C11" s="12"/>
      <c r="D11" s="12"/>
      <c r="E11" s="80" t="e">
        <f t="shared" si="0"/>
        <v>#DIV/0!</v>
      </c>
      <c r="F11" s="80"/>
      <c r="G11" s="20"/>
      <c r="H11" s="20" t="str">
        <f t="shared" si="1"/>
        <v/>
      </c>
      <c r="I11" s="21"/>
      <c r="J11" s="22"/>
      <c r="K11" s="22" t="str">
        <f t="shared" si="2"/>
        <v/>
      </c>
      <c r="L11" s="21"/>
      <c r="M11" s="84"/>
      <c r="N11" s="87"/>
    </row>
    <row r="12" spans="1:14" ht="15.6">
      <c r="A12" s="30" t="str">
        <v>CA: Napa Data Center - Citi</v>
      </c>
      <c r="B12" s="31" t="str">
        <v>CA</v>
      </c>
      <c r="C12" s="26"/>
      <c r="D12" s="71"/>
      <c r="E12" s="82" t="e">
        <f t="shared" si="0"/>
        <v>#DIV/0!</v>
      </c>
      <c r="F12" s="79"/>
      <c r="G12" s="14"/>
      <c r="H12" s="14" t="str">
        <f t="shared" si="1"/>
        <v/>
      </c>
      <c r="I12" s="15"/>
      <c r="J12" s="16"/>
      <c r="K12" s="16" t="str">
        <f t="shared" si="2"/>
        <v/>
      </c>
      <c r="L12" s="17"/>
      <c r="M12" s="18"/>
      <c r="N12" s="18"/>
    </row>
    <row r="13" spans="1:14" ht="15.6">
      <c r="A13" s="32" t="str">
        <v>CA: Petaluma MOB - Citi</v>
      </c>
      <c r="B13" s="33" t="str">
        <v>CA</v>
      </c>
      <c r="C13" s="12"/>
      <c r="D13" s="12"/>
      <c r="E13" s="80" t="e">
        <f t="shared" si="0"/>
        <v>#DIV/0!</v>
      </c>
      <c r="F13" s="80"/>
      <c r="G13" s="20"/>
      <c r="H13" s="20" t="str">
        <f t="shared" si="1"/>
        <v/>
      </c>
      <c r="I13" s="21"/>
      <c r="J13" s="22"/>
      <c r="K13" s="22" t="str">
        <f t="shared" si="2"/>
        <v/>
      </c>
      <c r="L13" s="21"/>
      <c r="M13" s="61"/>
      <c r="N13" s="62"/>
    </row>
    <row r="14" spans="1:14" ht="15.6">
      <c r="A14" s="30" t="str">
        <v>CA: Pleasanton Tec Ctr - Citi</v>
      </c>
      <c r="B14" s="31" t="str">
        <v>CA</v>
      </c>
      <c r="C14" s="26"/>
      <c r="D14" s="71"/>
      <c r="E14" s="82" t="e">
        <f t="shared" si="0"/>
        <v>#DIV/0!</v>
      </c>
      <c r="F14" s="79"/>
      <c r="G14" s="14"/>
      <c r="H14" s="14" t="str">
        <f t="shared" si="1"/>
        <v/>
      </c>
      <c r="I14" s="15"/>
      <c r="J14" s="16"/>
      <c r="K14" s="16" t="str">
        <f t="shared" si="2"/>
        <v/>
      </c>
      <c r="L14" s="17"/>
      <c r="M14" s="18"/>
      <c r="N14" s="18"/>
    </row>
    <row r="15" spans="1:14" ht="15.6">
      <c r="A15" s="32" t="str">
        <v>CA: Rancho Cordova - Citi</v>
      </c>
      <c r="B15" s="33" t="str">
        <v>CA</v>
      </c>
      <c r="C15" s="12"/>
      <c r="D15" s="12"/>
      <c r="E15" s="80" t="e">
        <f t="shared" si="0"/>
        <v>#DIV/0!</v>
      </c>
      <c r="F15" s="80"/>
      <c r="G15" s="20"/>
      <c r="H15" s="20" t="str">
        <f t="shared" si="1"/>
        <v/>
      </c>
      <c r="I15" s="21"/>
      <c r="J15" s="22"/>
      <c r="K15" s="22" t="str">
        <f t="shared" si="2"/>
        <v/>
      </c>
      <c r="L15" s="21"/>
      <c r="M15" s="11"/>
      <c r="N15" s="19"/>
    </row>
    <row r="16" spans="1:14" ht="15.6">
      <c r="A16" s="30" t="str">
        <v>CA: S Sacramento Wyndham - Citi</v>
      </c>
      <c r="B16" s="31" t="str">
        <v>CA</v>
      </c>
      <c r="C16" s="37"/>
      <c r="D16" s="72"/>
      <c r="E16" s="82" t="e">
        <f t="shared" si="0"/>
        <v>#DIV/0!</v>
      </c>
      <c r="F16" s="79"/>
      <c r="G16" s="14"/>
      <c r="H16" s="14" t="str">
        <f t="shared" si="1"/>
        <v/>
      </c>
      <c r="I16" s="38"/>
      <c r="J16" s="39"/>
      <c r="K16" s="39" t="str">
        <f t="shared" si="2"/>
        <v/>
      </c>
      <c r="L16" s="40"/>
      <c r="M16" s="41"/>
      <c r="N16" s="41"/>
    </row>
    <row r="17" spans="1:14" ht="15.6">
      <c r="A17" s="32" t="str">
        <v>CA: Sacramento Point West - Citi</v>
      </c>
      <c r="B17" s="33" t="str">
        <v>CA</v>
      </c>
      <c r="C17" s="42"/>
      <c r="D17" s="42"/>
      <c r="E17" s="80" t="e">
        <f t="shared" si="0"/>
        <v>#DIV/0!</v>
      </c>
      <c r="F17" s="80"/>
      <c r="G17" s="20"/>
      <c r="H17" s="20" t="str">
        <f t="shared" si="1"/>
        <v/>
      </c>
      <c r="I17" s="43"/>
      <c r="J17" s="44"/>
      <c r="K17" s="44" t="str">
        <f t="shared" si="2"/>
        <v/>
      </c>
      <c r="L17" s="43"/>
      <c r="M17" s="85"/>
      <c r="N17" s="60"/>
    </row>
    <row r="18" spans="1:14" ht="12.75" customHeight="1">
      <c r="A18" s="30" t="str">
        <v>CA: San Jose FHC - Citi</v>
      </c>
      <c r="B18" s="31" t="str">
        <v>CA</v>
      </c>
      <c r="C18" s="37"/>
      <c r="D18" s="72"/>
      <c r="E18" s="82" t="e">
        <f t="shared" si="0"/>
        <v>#DIV/0!</v>
      </c>
      <c r="F18" s="79"/>
      <c r="G18" s="14"/>
      <c r="H18" s="14" t="str">
        <f t="shared" si="1"/>
        <v/>
      </c>
      <c r="I18" s="38"/>
      <c r="J18" s="39"/>
      <c r="K18" s="39" t="str">
        <f t="shared" si="2"/>
        <v/>
      </c>
      <c r="L18" s="40"/>
      <c r="M18" s="41"/>
      <c r="N18" s="41"/>
    </row>
    <row r="19" spans="1:14" ht="15.6">
      <c r="A19" s="32" t="str">
        <v>CA: San Jose MOB - Citi</v>
      </c>
      <c r="B19" s="33" t="str">
        <v>CA</v>
      </c>
      <c r="C19" s="42"/>
      <c r="D19" s="42"/>
      <c r="E19" s="80" t="e">
        <f t="shared" si="0"/>
        <v>#DIV/0!</v>
      </c>
      <c r="F19" s="80"/>
      <c r="G19" s="20"/>
      <c r="H19" s="20" t="str">
        <f t="shared" si="1"/>
        <v/>
      </c>
      <c r="I19" s="43"/>
      <c r="J19" s="44"/>
      <c r="K19" s="44" t="str">
        <f t="shared" si="2"/>
        <v/>
      </c>
      <c r="L19" s="43"/>
      <c r="M19" s="11"/>
      <c r="N19" s="19"/>
    </row>
    <row r="20" spans="1:14" ht="15.6">
      <c r="A20" s="30" t="str">
        <v>CA: Selma - Citi</v>
      </c>
      <c r="B20" s="31" t="str">
        <v>CA</v>
      </c>
      <c r="C20" s="37"/>
      <c r="D20" s="72"/>
      <c r="E20" s="82" t="e">
        <f t="shared" si="0"/>
        <v>#DIV/0!</v>
      </c>
      <c r="F20" s="79"/>
      <c r="G20" s="14"/>
      <c r="H20" s="14" t="str">
        <f t="shared" si="1"/>
        <v/>
      </c>
      <c r="I20" s="38"/>
      <c r="J20" s="39"/>
      <c r="K20" s="39" t="str">
        <f t="shared" si="2"/>
        <v/>
      </c>
      <c r="L20" s="40"/>
      <c r="M20" s="41"/>
      <c r="N20" s="41"/>
    </row>
    <row r="21" spans="1:14" ht="15.6">
      <c r="A21" s="32" t="str">
        <v>CA: Vacaville Hospital</v>
      </c>
      <c r="B21" s="33" t="str">
        <v>CA</v>
      </c>
      <c r="C21" s="42"/>
      <c r="D21" s="42"/>
      <c r="E21" s="80" t="e">
        <f t="shared" si="0"/>
        <v>#DIV/0!</v>
      </c>
      <c r="F21" s="80"/>
      <c r="G21" s="20"/>
      <c r="H21" s="20" t="str">
        <f t="shared" si="1"/>
        <v/>
      </c>
      <c r="I21" s="43"/>
      <c r="J21" s="44"/>
      <c r="K21" s="44" t="str">
        <f t="shared" si="2"/>
        <v/>
      </c>
      <c r="L21" s="43"/>
      <c r="M21" s="61"/>
      <c r="N21" s="62"/>
    </row>
    <row r="22" spans="1:14" ht="15.6">
      <c r="A22" s="30" t="str">
        <v>CA: Manteca - KP Manteca Hospital</v>
      </c>
      <c r="B22" s="31" t="str">
        <v>CA</v>
      </c>
      <c r="C22" s="37"/>
      <c r="D22" s="72"/>
      <c r="E22" s="82" t="e">
        <f t="shared" si="0"/>
        <v>#DIV/0!</v>
      </c>
      <c r="F22" s="79"/>
      <c r="G22" s="14"/>
      <c r="H22" s="14" t="str">
        <f t="shared" si="1"/>
        <v/>
      </c>
      <c r="I22" s="38"/>
      <c r="J22" s="39"/>
      <c r="K22" s="39" t="str">
        <f t="shared" si="2"/>
        <v/>
      </c>
      <c r="L22" s="40"/>
      <c r="M22" s="41"/>
      <c r="N22" s="41"/>
    </row>
    <row r="23" spans="1:14" ht="14.45">
      <c r="A23" s="23" t="str">
        <v>Sacramento - KP South Sacramento HSP</v>
      </c>
      <c r="B23" s="35" t="str">
        <v>CA</v>
      </c>
      <c r="C23" s="23"/>
      <c r="D23" s="23"/>
      <c r="E23" s="23"/>
      <c r="F23" s="23"/>
      <c r="G23" s="23"/>
      <c r="H23" s="23"/>
      <c r="I23" s="23"/>
      <c r="J23" s="23"/>
      <c r="K23" s="23"/>
      <c r="L23" s="23"/>
      <c r="M23" s="23"/>
      <c r="N23" s="23"/>
    </row>
    <row r="24" spans="1:14" ht="14.45">
      <c r="A24" s="23"/>
      <c r="B24" s="35"/>
      <c r="C24" s="23"/>
      <c r="D24" s="23"/>
      <c r="E24" s="23"/>
      <c r="F24" s="23"/>
      <c r="G24" s="23"/>
      <c r="H24" s="23"/>
      <c r="I24" s="23"/>
      <c r="J24" s="23"/>
      <c r="K24" s="23"/>
      <c r="L24" s="23"/>
      <c r="M24" s="23"/>
      <c r="N24" s="23"/>
    </row>
    <row r="25" spans="1:14" ht="14.45">
      <c r="A25" s="23"/>
      <c r="B25" s="35"/>
      <c r="C25" s="23"/>
      <c r="D25" s="23"/>
      <c r="E25" s="73"/>
      <c r="F25" s="23"/>
      <c r="G25" s="23"/>
      <c r="H25" s="23"/>
      <c r="I25" s="23"/>
      <c r="J25" s="23"/>
      <c r="K25" s="23"/>
      <c r="L25" s="23"/>
      <c r="M25" s="23"/>
      <c r="N25" s="23"/>
    </row>
    <row r="26" spans="1:14" ht="14.45">
      <c r="A26" s="23"/>
      <c r="B26" s="35"/>
      <c r="C26" s="23"/>
      <c r="D26" s="23"/>
      <c r="E26" s="23"/>
      <c r="F26" s="23"/>
      <c r="G26" s="23"/>
      <c r="H26" s="23"/>
      <c r="I26" s="23"/>
      <c r="J26" s="23"/>
      <c r="K26" s="23"/>
      <c r="L26" s="23"/>
      <c r="M26" s="23"/>
      <c r="N26" s="23"/>
    </row>
    <row r="27" spans="1:14" ht="14.45">
      <c r="A27" s="23"/>
      <c r="B27" s="35"/>
      <c r="C27" s="23"/>
      <c r="D27" s="23"/>
      <c r="E27" s="23"/>
      <c r="F27" s="23"/>
      <c r="G27" s="23"/>
      <c r="H27" s="23"/>
      <c r="I27" s="23"/>
      <c r="J27" s="23"/>
      <c r="K27" s="23"/>
      <c r="L27" s="23"/>
      <c r="M27" s="23"/>
      <c r="N27" s="23"/>
    </row>
    <row r="28" spans="1:14" ht="14.45">
      <c r="A28" s="23"/>
      <c r="B28" s="35"/>
      <c r="C28" s="23"/>
      <c r="D28" s="23"/>
      <c r="E28" s="23"/>
      <c r="F28" s="23"/>
      <c r="G28" s="23"/>
      <c r="H28" s="23"/>
      <c r="I28" s="23"/>
      <c r="J28" s="23"/>
      <c r="K28" s="23"/>
      <c r="L28" s="23"/>
      <c r="M28" s="23"/>
      <c r="N28" s="23"/>
    </row>
    <row r="29" spans="1:14" ht="14.45">
      <c r="A29" s="23"/>
      <c r="B29" s="35"/>
      <c r="C29" s="23"/>
      <c r="D29" s="23"/>
      <c r="E29" s="23"/>
      <c r="F29" s="23"/>
      <c r="G29" s="23"/>
      <c r="H29" s="23"/>
      <c r="I29" s="23"/>
      <c r="J29" s="23"/>
      <c r="K29" s="23"/>
      <c r="L29" s="23"/>
      <c r="M29" s="23"/>
      <c r="N29" s="23"/>
    </row>
    <row r="30" spans="1:14" ht="14.45">
      <c r="A30" s="23"/>
      <c r="B30" s="35"/>
      <c r="C30" s="23"/>
      <c r="D30" s="23"/>
      <c r="E30" s="23"/>
      <c r="F30" s="23"/>
      <c r="G30" s="23"/>
      <c r="H30" s="23"/>
      <c r="I30" s="23"/>
      <c r="J30" s="23"/>
      <c r="K30" s="23"/>
      <c r="L30" s="23"/>
      <c r="M30" s="23"/>
      <c r="N30" s="23"/>
    </row>
    <row r="31" spans="1:14" ht="14.45">
      <c r="A31" s="23"/>
      <c r="B31" s="35"/>
      <c r="C31" s="23"/>
      <c r="D31" s="23"/>
      <c r="E31" s="23"/>
      <c r="F31" s="23"/>
      <c r="G31" s="23"/>
      <c r="H31" s="23"/>
      <c r="I31" s="23"/>
      <c r="J31" s="23"/>
      <c r="K31" s="23"/>
      <c r="L31" s="23"/>
      <c r="M31" s="23"/>
      <c r="N31" s="23"/>
    </row>
    <row r="32" spans="1:14" ht="14.45">
      <c r="A32" s="23"/>
      <c r="B32" s="35"/>
      <c r="C32" s="23"/>
      <c r="D32" s="23"/>
      <c r="E32" s="23"/>
      <c r="F32" s="23"/>
      <c r="G32" s="23"/>
      <c r="H32" s="23"/>
      <c r="I32" s="23"/>
      <c r="J32" s="23"/>
      <c r="K32" s="23"/>
      <c r="L32" s="23"/>
      <c r="M32" s="23"/>
      <c r="N32" s="23"/>
    </row>
    <row r="33" spans="1:14" ht="14.45">
      <c r="A33" s="23"/>
      <c r="B33" s="35"/>
      <c r="C33" s="23"/>
      <c r="D33" s="23"/>
      <c r="E33" s="23"/>
      <c r="F33" s="23"/>
      <c r="G33" s="23"/>
      <c r="H33" s="23"/>
      <c r="I33" s="24"/>
      <c r="J33" s="23"/>
      <c r="K33" s="23"/>
      <c r="L33" s="24"/>
      <c r="M33" s="23"/>
      <c r="N33" s="23"/>
    </row>
    <row r="34" spans="1:14" ht="14.45">
      <c r="A34" s="23"/>
      <c r="B34" s="35"/>
      <c r="C34" s="23"/>
      <c r="D34" s="23"/>
      <c r="E34" s="23"/>
      <c r="F34" s="23"/>
      <c r="G34" s="23"/>
      <c r="H34" s="23"/>
      <c r="I34" s="24"/>
      <c r="J34" s="23"/>
      <c r="K34" s="23"/>
      <c r="L34" s="24"/>
      <c r="M34" s="23"/>
      <c r="N34" s="23"/>
    </row>
    <row r="35" spans="1:14" ht="14.45">
      <c r="A35" s="23"/>
      <c r="B35" s="35"/>
      <c r="C35" s="23"/>
      <c r="D35" s="23"/>
      <c r="E35" s="23"/>
      <c r="F35" s="23"/>
      <c r="G35" s="23"/>
      <c r="H35" s="23"/>
      <c r="I35" s="24"/>
      <c r="J35" s="23"/>
      <c r="K35" s="23"/>
      <c r="L35" s="24"/>
      <c r="M35" s="23"/>
      <c r="N35" s="23"/>
    </row>
    <row r="36" spans="1:14" ht="14.45">
      <c r="A36" s="23"/>
      <c r="B36" s="35"/>
      <c r="C36" s="23"/>
      <c r="D36" s="23"/>
      <c r="E36" s="23"/>
      <c r="F36" s="23"/>
      <c r="G36" s="23"/>
      <c r="H36" s="23"/>
      <c r="I36" s="24"/>
      <c r="J36" s="23"/>
      <c r="K36" s="23"/>
      <c r="L36" s="24"/>
      <c r="M36" s="23"/>
      <c r="N36" s="23"/>
    </row>
    <row r="37" spans="1:14" ht="14.45">
      <c r="A37" s="23"/>
      <c r="B37" s="35"/>
      <c r="C37" s="23"/>
      <c r="D37" s="23"/>
      <c r="E37" s="23"/>
      <c r="F37" s="23"/>
      <c r="G37" s="23"/>
      <c r="H37" s="23"/>
      <c r="I37" s="24"/>
      <c r="J37" s="23"/>
      <c r="K37" s="23"/>
      <c r="L37" s="24"/>
      <c r="M37" s="23"/>
      <c r="N37" s="23"/>
    </row>
    <row r="38" spans="1:14" ht="14.45">
      <c r="A38" s="23"/>
      <c r="B38" s="35"/>
      <c r="C38" s="23"/>
      <c r="D38" s="23"/>
      <c r="E38" s="23"/>
      <c r="F38" s="23"/>
      <c r="G38" s="23"/>
      <c r="H38" s="23"/>
      <c r="I38" s="24"/>
      <c r="J38" s="23"/>
      <c r="K38" s="23"/>
      <c r="L38" s="24"/>
      <c r="M38" s="23"/>
      <c r="N38" s="23"/>
    </row>
    <row r="39" spans="1:14" ht="14.45">
      <c r="A39" s="23"/>
      <c r="B39" s="35"/>
      <c r="C39" s="23"/>
      <c r="D39" s="23"/>
      <c r="E39" s="23"/>
      <c r="F39" s="23"/>
      <c r="G39" s="23"/>
      <c r="H39" s="23"/>
      <c r="I39" s="24"/>
      <c r="J39" s="23"/>
      <c r="K39" s="23"/>
      <c r="L39" s="24"/>
      <c r="M39" s="23"/>
      <c r="N39" s="23"/>
    </row>
    <row r="40" spans="1:14" ht="14.45">
      <c r="A40" s="23"/>
      <c r="B40" s="35"/>
      <c r="C40" s="23"/>
      <c r="D40" s="23"/>
      <c r="E40" s="23"/>
      <c r="F40" s="23"/>
      <c r="G40" s="23"/>
      <c r="H40" s="23"/>
      <c r="I40" s="24"/>
      <c r="J40" s="23"/>
      <c r="K40" s="23"/>
      <c r="L40" s="24"/>
      <c r="M40" s="23"/>
      <c r="N40" s="23"/>
    </row>
    <row r="41" spans="1:14" ht="14.45">
      <c r="A41" s="23"/>
      <c r="B41" s="35"/>
      <c r="C41" s="23"/>
      <c r="D41" s="23"/>
      <c r="E41" s="23"/>
      <c r="F41" s="23"/>
      <c r="G41" s="23"/>
      <c r="H41" s="23"/>
      <c r="I41" s="24"/>
      <c r="J41" s="23"/>
      <c r="K41" s="23"/>
      <c r="L41" s="24"/>
      <c r="M41" s="23"/>
      <c r="N41" s="23"/>
    </row>
    <row r="42" spans="1:14" ht="14.45">
      <c r="A42" s="23"/>
      <c r="B42" s="35"/>
      <c r="C42" s="23"/>
      <c r="D42" s="23"/>
      <c r="E42" s="23"/>
      <c r="F42" s="23"/>
      <c r="G42" s="23"/>
      <c r="H42" s="23"/>
      <c r="I42" s="24"/>
      <c r="J42" s="23"/>
      <c r="K42" s="23"/>
      <c r="L42" s="24"/>
      <c r="M42" s="23"/>
      <c r="N42" s="23"/>
    </row>
    <row r="43" spans="1:14" ht="14.45">
      <c r="A43" s="23"/>
      <c r="B43" s="35"/>
      <c r="C43" s="23"/>
      <c r="D43" s="23"/>
      <c r="E43" s="23"/>
      <c r="F43" s="23"/>
      <c r="G43" s="23"/>
      <c r="H43" s="23"/>
      <c r="I43" s="24"/>
      <c r="J43" s="23"/>
      <c r="K43" s="23"/>
      <c r="L43" s="24"/>
      <c r="M43" s="23"/>
      <c r="N43" s="23"/>
    </row>
    <row r="44" spans="1:14" ht="14.45">
      <c r="A44" s="23"/>
      <c r="B44" s="35"/>
      <c r="C44" s="23"/>
      <c r="D44" s="23"/>
      <c r="E44" s="23"/>
      <c r="F44" s="23"/>
      <c r="G44" s="23"/>
      <c r="H44" s="23"/>
      <c r="I44" s="24"/>
      <c r="J44" s="23"/>
      <c r="K44" s="23"/>
      <c r="L44" s="24"/>
      <c r="M44" s="23"/>
      <c r="N44" s="23"/>
    </row>
    <row r="45" spans="1:14" ht="14.45">
      <c r="A45" s="23"/>
      <c r="B45" s="35"/>
      <c r="C45" s="23"/>
      <c r="D45" s="23"/>
      <c r="E45" s="23"/>
      <c r="F45" s="23"/>
      <c r="G45" s="23"/>
      <c r="H45" s="23"/>
      <c r="I45" s="24"/>
      <c r="J45" s="23"/>
      <c r="K45" s="23"/>
      <c r="L45" s="24"/>
      <c r="M45" s="23"/>
      <c r="N45" s="23"/>
    </row>
    <row r="46" spans="1:14" ht="14.45">
      <c r="A46" s="23"/>
      <c r="B46" s="35"/>
      <c r="C46" s="23"/>
      <c r="D46" s="23"/>
      <c r="E46" s="23"/>
      <c r="F46" s="23"/>
      <c r="G46" s="23"/>
      <c r="H46" s="23"/>
      <c r="I46" s="24"/>
      <c r="J46" s="23"/>
      <c r="K46" s="23"/>
      <c r="L46" s="24"/>
      <c r="M46" s="23"/>
      <c r="N46" s="23"/>
    </row>
    <row r="47" spans="1:14" ht="14.45">
      <c r="A47" s="23"/>
      <c r="B47" s="35"/>
      <c r="C47" s="23"/>
      <c r="D47" s="23"/>
      <c r="E47" s="23"/>
      <c r="F47" s="23"/>
      <c r="G47" s="23"/>
      <c r="H47" s="23"/>
      <c r="I47" s="24"/>
      <c r="J47" s="23"/>
      <c r="K47" s="23"/>
      <c r="L47" s="24"/>
      <c r="M47" s="23"/>
      <c r="N47" s="23"/>
    </row>
    <row r="48" spans="1:14" ht="14.45">
      <c r="A48" s="23"/>
      <c r="B48" s="35"/>
      <c r="C48" s="23"/>
      <c r="D48" s="23"/>
      <c r="E48" s="23"/>
      <c r="F48" s="23"/>
      <c r="G48" s="23"/>
      <c r="H48" s="23"/>
      <c r="I48" s="24"/>
      <c r="J48" s="23"/>
      <c r="K48" s="23"/>
      <c r="L48" s="24"/>
      <c r="M48" s="23"/>
      <c r="N48" s="23"/>
    </row>
    <row r="49" spans="1:14" ht="14.45">
      <c r="A49" s="23"/>
      <c r="B49" s="35"/>
      <c r="C49" s="23"/>
      <c r="D49" s="23"/>
      <c r="E49" s="23"/>
      <c r="F49" s="23"/>
      <c r="G49" s="23"/>
      <c r="H49" s="23"/>
      <c r="I49" s="24"/>
      <c r="J49" s="23"/>
      <c r="K49" s="23"/>
      <c r="L49" s="24"/>
      <c r="M49" s="23"/>
      <c r="N49" s="23"/>
    </row>
    <row r="50" spans="1:14" ht="14.45">
      <c r="A50" s="23"/>
      <c r="B50" s="35"/>
      <c r="C50" s="23"/>
      <c r="D50" s="23"/>
      <c r="E50" s="23"/>
      <c r="F50" s="23"/>
      <c r="G50" s="23"/>
      <c r="H50" s="23"/>
      <c r="I50" s="24"/>
      <c r="J50" s="23"/>
      <c r="K50" s="23"/>
      <c r="L50" s="24"/>
      <c r="M50" s="23"/>
      <c r="N50" s="23"/>
    </row>
    <row r="51" spans="1:14" ht="14.45">
      <c r="A51" s="23"/>
      <c r="B51" s="35"/>
      <c r="C51" s="23"/>
      <c r="D51" s="23"/>
      <c r="E51" s="23"/>
      <c r="F51" s="23"/>
      <c r="G51" s="23"/>
      <c r="H51" s="23"/>
      <c r="I51" s="24"/>
      <c r="J51" s="23"/>
      <c r="K51" s="23"/>
      <c r="L51" s="24"/>
      <c r="M51" s="23"/>
      <c r="N51" s="23"/>
    </row>
    <row r="52" spans="1:14" ht="14.45">
      <c r="A52" s="23"/>
      <c r="B52" s="35"/>
      <c r="C52" s="23"/>
      <c r="D52" s="23"/>
      <c r="E52" s="23"/>
      <c r="F52" s="23"/>
      <c r="G52" s="23"/>
      <c r="H52" s="23"/>
      <c r="I52" s="24"/>
      <c r="J52" s="23"/>
      <c r="K52" s="23"/>
      <c r="L52" s="24"/>
      <c r="M52" s="23"/>
      <c r="N52" s="23"/>
    </row>
    <row r="53" spans="1:14" ht="14.45">
      <c r="A53" s="23"/>
      <c r="B53" s="35"/>
      <c r="C53" s="23"/>
      <c r="D53" s="23"/>
      <c r="E53" s="23"/>
      <c r="F53" s="23"/>
      <c r="G53" s="23"/>
      <c r="H53" s="23"/>
      <c r="I53" s="24"/>
      <c r="J53" s="23"/>
      <c r="K53" s="23"/>
      <c r="L53" s="24"/>
      <c r="M53" s="23"/>
      <c r="N53" s="23"/>
    </row>
    <row r="54" spans="1:14" ht="14.45">
      <c r="A54" s="23"/>
      <c r="B54" s="35"/>
      <c r="C54" s="23"/>
      <c r="D54" s="23"/>
      <c r="E54" s="23"/>
      <c r="F54" s="23"/>
      <c r="G54" s="23"/>
      <c r="H54" s="23"/>
      <c r="I54" s="24"/>
      <c r="J54" s="23"/>
      <c r="K54" s="23"/>
      <c r="L54" s="24"/>
      <c r="M54" s="23"/>
      <c r="N54" s="23"/>
    </row>
    <row r="55" spans="1:14" ht="14.45">
      <c r="A55" s="23"/>
      <c r="B55" s="35"/>
      <c r="C55" s="23"/>
      <c r="D55" s="23"/>
      <c r="E55" s="23"/>
      <c r="F55" s="23"/>
      <c r="G55" s="23"/>
      <c r="H55" s="23"/>
      <c r="I55" s="24"/>
      <c r="J55" s="23"/>
      <c r="K55" s="23"/>
      <c r="L55" s="24"/>
      <c r="M55" s="23"/>
      <c r="N55" s="23"/>
    </row>
    <row r="56" spans="1:14" ht="14.45">
      <c r="A56" s="23"/>
      <c r="B56" s="35"/>
      <c r="C56" s="23"/>
      <c r="D56" s="23"/>
      <c r="E56" s="23"/>
      <c r="F56" s="23"/>
      <c r="G56" s="23"/>
      <c r="H56" s="23"/>
      <c r="I56" s="24"/>
      <c r="J56" s="23"/>
      <c r="K56" s="23"/>
      <c r="L56" s="24"/>
      <c r="M56" s="23"/>
      <c r="N56" s="23"/>
    </row>
    <row r="57" spans="1:14" ht="14.45">
      <c r="A57" s="23"/>
      <c r="B57" s="35"/>
      <c r="C57" s="23"/>
      <c r="D57" s="23"/>
      <c r="E57" s="23"/>
      <c r="F57" s="23"/>
      <c r="G57" s="23"/>
      <c r="H57" s="23"/>
      <c r="I57" s="24"/>
      <c r="J57" s="23"/>
      <c r="K57" s="23"/>
      <c r="L57" s="24"/>
      <c r="M57" s="23"/>
      <c r="N57" s="23"/>
    </row>
    <row r="58" spans="1:14" ht="14.45">
      <c r="A58" s="23"/>
      <c r="B58" s="35"/>
      <c r="C58" s="23"/>
      <c r="D58" s="23"/>
      <c r="E58" s="23"/>
      <c r="F58" s="23"/>
      <c r="G58" s="23"/>
      <c r="H58" s="23"/>
      <c r="I58" s="24"/>
      <c r="J58" s="23"/>
      <c r="K58" s="23"/>
      <c r="L58" s="24"/>
      <c r="M58" s="23"/>
      <c r="N58" s="23"/>
    </row>
    <row r="59" spans="1:14" ht="14.45">
      <c r="A59" s="23"/>
      <c r="B59" s="35"/>
      <c r="C59" s="23"/>
      <c r="D59" s="23"/>
      <c r="E59" s="23"/>
      <c r="F59" s="23"/>
      <c r="G59" s="23"/>
      <c r="H59" s="23"/>
      <c r="I59" s="24"/>
      <c r="J59" s="23"/>
      <c r="K59" s="23"/>
      <c r="L59" s="24"/>
      <c r="M59" s="23"/>
      <c r="N59" s="23"/>
    </row>
    <row r="60" spans="1:14" ht="14.45">
      <c r="A60" s="23"/>
      <c r="B60" s="35"/>
      <c r="C60" s="23"/>
      <c r="D60" s="23"/>
      <c r="E60" s="23"/>
      <c r="F60" s="23"/>
      <c r="G60" s="23"/>
      <c r="H60" s="23"/>
      <c r="I60" s="24"/>
      <c r="J60" s="23"/>
      <c r="K60" s="23"/>
      <c r="L60" s="24"/>
      <c r="M60" s="23"/>
      <c r="N60" s="23"/>
    </row>
    <row r="61" spans="1:14" ht="14.45">
      <c r="A61" s="23"/>
      <c r="B61" s="35"/>
      <c r="C61" s="23"/>
      <c r="D61" s="23"/>
      <c r="E61" s="23"/>
      <c r="F61" s="23"/>
      <c r="G61" s="23"/>
      <c r="H61" s="23"/>
      <c r="I61" s="24"/>
      <c r="J61" s="23"/>
      <c r="K61" s="23"/>
      <c r="L61" s="24"/>
      <c r="M61" s="23"/>
      <c r="N61" s="23"/>
    </row>
    <row r="62" spans="1:14" ht="14.45">
      <c r="A62" s="23"/>
      <c r="B62" s="35"/>
      <c r="C62" s="23"/>
      <c r="D62" s="23"/>
      <c r="E62" s="23"/>
      <c r="F62" s="23"/>
      <c r="G62" s="23"/>
      <c r="H62" s="23"/>
      <c r="I62" s="24"/>
      <c r="J62" s="23"/>
      <c r="K62" s="23"/>
      <c r="L62" s="24"/>
      <c r="M62" s="23"/>
      <c r="N62" s="23"/>
    </row>
    <row r="63" spans="1:14" ht="14.45">
      <c r="A63" s="23"/>
      <c r="B63" s="35"/>
      <c r="C63" s="23"/>
      <c r="D63" s="23"/>
      <c r="E63" s="23"/>
      <c r="F63" s="23"/>
      <c r="G63" s="23"/>
      <c r="H63" s="23"/>
      <c r="I63" s="24"/>
      <c r="J63" s="23"/>
      <c r="K63" s="23"/>
      <c r="L63" s="24"/>
      <c r="M63" s="23"/>
      <c r="N63" s="23"/>
    </row>
    <row r="64" spans="1:14" ht="14.45">
      <c r="A64" s="23"/>
      <c r="B64" s="35"/>
      <c r="C64" s="23"/>
      <c r="D64" s="23"/>
      <c r="E64" s="23"/>
      <c r="F64" s="23"/>
      <c r="G64" s="23"/>
      <c r="H64" s="23"/>
      <c r="I64" s="24"/>
      <c r="J64" s="23"/>
      <c r="K64" s="23"/>
      <c r="L64" s="24"/>
      <c r="M64" s="23"/>
      <c r="N64" s="23"/>
    </row>
    <row r="65" spans="1:14" ht="14.45">
      <c r="A65" s="23"/>
      <c r="B65" s="35"/>
      <c r="C65" s="23"/>
      <c r="D65" s="23"/>
      <c r="E65" s="23"/>
      <c r="F65" s="23"/>
      <c r="G65" s="23"/>
      <c r="H65" s="23"/>
      <c r="I65" s="24"/>
      <c r="J65" s="23"/>
      <c r="K65" s="23"/>
      <c r="L65" s="24"/>
      <c r="M65" s="23"/>
      <c r="N65" s="23"/>
    </row>
    <row r="66" spans="1:14" ht="14.45">
      <c r="A66" s="23"/>
      <c r="B66" s="35"/>
      <c r="C66" s="23"/>
      <c r="D66" s="23"/>
      <c r="E66" s="23"/>
      <c r="F66" s="23"/>
      <c r="G66" s="23"/>
      <c r="H66" s="23"/>
      <c r="I66" s="24"/>
      <c r="J66" s="23"/>
      <c r="K66" s="23"/>
      <c r="L66" s="24"/>
      <c r="M66" s="23"/>
      <c r="N66" s="23"/>
    </row>
    <row r="67" spans="1:14" ht="14.45">
      <c r="A67" s="23"/>
      <c r="B67" s="35"/>
      <c r="C67" s="23"/>
      <c r="D67" s="23"/>
      <c r="E67" s="23"/>
      <c r="F67" s="23"/>
      <c r="G67" s="23"/>
      <c r="H67" s="23"/>
      <c r="I67" s="24"/>
      <c r="J67" s="23"/>
      <c r="K67" s="23"/>
      <c r="L67" s="24"/>
      <c r="M67" s="23"/>
      <c r="N67" s="23"/>
    </row>
    <row r="68" spans="1:14" ht="14.45">
      <c r="A68" s="23"/>
      <c r="B68" s="35"/>
      <c r="C68" s="23"/>
      <c r="D68" s="23"/>
      <c r="E68" s="23"/>
      <c r="F68" s="23"/>
      <c r="G68" s="23"/>
      <c r="H68" s="23"/>
      <c r="I68" s="24"/>
      <c r="J68" s="23"/>
      <c r="K68" s="23"/>
      <c r="L68" s="24"/>
      <c r="M68" s="23"/>
      <c r="N68" s="23"/>
    </row>
    <row r="69" spans="1:14" ht="14.45">
      <c r="A69" s="23"/>
      <c r="B69" s="35"/>
      <c r="C69" s="23"/>
      <c r="D69" s="23"/>
      <c r="E69" s="23"/>
      <c r="F69" s="23"/>
      <c r="G69" s="23"/>
      <c r="H69" s="23"/>
      <c r="I69" s="24"/>
      <c r="J69" s="23"/>
      <c r="K69" s="23"/>
      <c r="L69" s="24"/>
      <c r="M69" s="23"/>
      <c r="N69" s="23"/>
    </row>
    <row r="70" spans="1:14" ht="14.45">
      <c r="A70" s="23"/>
      <c r="B70" s="35"/>
      <c r="C70" s="23"/>
      <c r="D70" s="23"/>
      <c r="E70" s="23"/>
      <c r="F70" s="23"/>
      <c r="G70" s="23"/>
      <c r="H70" s="23"/>
      <c r="I70" s="24"/>
      <c r="J70" s="23"/>
      <c r="K70" s="23"/>
      <c r="L70" s="24"/>
      <c r="M70" s="23"/>
      <c r="N70" s="23"/>
    </row>
    <row r="71" spans="1:14" ht="14.45">
      <c r="A71" s="23"/>
      <c r="B71" s="35"/>
      <c r="C71" s="23"/>
      <c r="D71" s="23"/>
      <c r="E71" s="23"/>
      <c r="F71" s="23"/>
      <c r="G71" s="23"/>
      <c r="H71" s="23"/>
      <c r="I71" s="24"/>
      <c r="J71" s="23"/>
      <c r="K71" s="23"/>
      <c r="L71" s="24"/>
      <c r="M71" s="23"/>
      <c r="N71" s="23"/>
    </row>
    <row r="72" spans="1:14" ht="14.45">
      <c r="A72" s="23"/>
      <c r="B72" s="35"/>
      <c r="C72" s="23"/>
      <c r="D72" s="23"/>
      <c r="E72" s="23"/>
      <c r="F72" s="23"/>
      <c r="G72" s="23"/>
      <c r="H72" s="23"/>
      <c r="I72" s="24"/>
      <c r="J72" s="23"/>
      <c r="K72" s="23"/>
      <c r="L72" s="24"/>
      <c r="M72" s="23"/>
      <c r="N72" s="23"/>
    </row>
    <row r="73" spans="1:14" ht="14.45">
      <c r="A73" s="23"/>
      <c r="B73" s="35"/>
      <c r="C73" s="23"/>
      <c r="D73" s="23"/>
      <c r="E73" s="23"/>
      <c r="F73" s="23"/>
      <c r="G73" s="23"/>
      <c r="H73" s="23"/>
      <c r="I73" s="24"/>
      <c r="J73" s="23"/>
      <c r="K73" s="23"/>
      <c r="L73" s="24"/>
      <c r="M73" s="23"/>
      <c r="N73" s="23"/>
    </row>
    <row r="74" spans="1:14" ht="14.45">
      <c r="A74" s="23"/>
      <c r="B74" s="35"/>
      <c r="C74" s="23"/>
      <c r="D74" s="23"/>
      <c r="E74" s="23"/>
      <c r="F74" s="23"/>
      <c r="G74" s="23"/>
      <c r="H74" s="23"/>
      <c r="I74" s="24"/>
      <c r="J74" s="23"/>
      <c r="K74" s="23"/>
      <c r="L74" s="24"/>
      <c r="M74" s="23"/>
      <c r="N74" s="23"/>
    </row>
    <row r="75" spans="1:14" ht="14.45">
      <c r="A75" s="23"/>
      <c r="B75" s="35"/>
      <c r="C75" s="23"/>
      <c r="D75" s="23"/>
      <c r="E75" s="23"/>
      <c r="F75" s="23"/>
      <c r="G75" s="23"/>
      <c r="H75" s="23"/>
      <c r="I75" s="24"/>
      <c r="J75" s="23"/>
      <c r="K75" s="23"/>
      <c r="L75" s="24"/>
      <c r="M75" s="23"/>
      <c r="N75" s="23"/>
    </row>
    <row r="76" spans="1:14" ht="14.45">
      <c r="A76" s="23"/>
      <c r="B76" s="35"/>
      <c r="C76" s="23"/>
      <c r="D76" s="23"/>
      <c r="E76" s="23"/>
      <c r="F76" s="23"/>
      <c r="G76" s="23"/>
      <c r="H76" s="23"/>
      <c r="I76" s="24"/>
      <c r="J76" s="23"/>
      <c r="K76" s="23"/>
      <c r="L76" s="24"/>
      <c r="M76" s="23"/>
      <c r="N76" s="23"/>
    </row>
    <row r="77" spans="1:14" ht="14.45">
      <c r="A77" s="23"/>
      <c r="B77" s="35"/>
      <c r="C77" s="23"/>
      <c r="D77" s="23"/>
      <c r="E77" s="23"/>
      <c r="F77" s="23"/>
      <c r="G77" s="23"/>
      <c r="H77" s="23"/>
      <c r="I77" s="24"/>
      <c r="J77" s="23"/>
      <c r="K77" s="23"/>
      <c r="L77" s="24"/>
      <c r="M77" s="23"/>
      <c r="N77" s="23"/>
    </row>
    <row r="78" spans="1:14" ht="14.45">
      <c r="A78" s="23"/>
      <c r="B78" s="35"/>
      <c r="C78" s="23"/>
      <c r="D78" s="23"/>
      <c r="E78" s="23"/>
      <c r="F78" s="23"/>
      <c r="G78" s="23"/>
      <c r="H78" s="23"/>
      <c r="I78" s="24"/>
      <c r="J78" s="23"/>
      <c r="K78" s="23"/>
      <c r="L78" s="24"/>
      <c r="M78" s="23"/>
      <c r="N78" s="23"/>
    </row>
    <row r="79" spans="1:14" ht="14.45">
      <c r="A79" s="23"/>
      <c r="B79" s="35"/>
      <c r="C79" s="23"/>
      <c r="D79" s="23"/>
      <c r="E79" s="23"/>
      <c r="F79" s="23"/>
      <c r="G79" s="23"/>
      <c r="H79" s="23"/>
      <c r="I79" s="24"/>
      <c r="J79" s="23"/>
      <c r="K79" s="23"/>
      <c r="L79" s="24"/>
      <c r="M79" s="23"/>
      <c r="N79" s="23"/>
    </row>
    <row r="80" spans="1:14" ht="14.45">
      <c r="A80" s="23"/>
      <c r="B80" s="35"/>
      <c r="C80" s="23"/>
      <c r="D80" s="23"/>
      <c r="E80" s="23"/>
      <c r="F80" s="23"/>
      <c r="G80" s="23"/>
      <c r="H80" s="23"/>
      <c r="I80" s="24"/>
      <c r="J80" s="23"/>
      <c r="K80" s="23"/>
      <c r="L80" s="24"/>
      <c r="M80" s="23"/>
      <c r="N80" s="23"/>
    </row>
    <row r="81" spans="1:14" ht="14.45">
      <c r="A81" s="23"/>
      <c r="B81" s="35"/>
      <c r="C81" s="23"/>
      <c r="D81" s="23"/>
      <c r="E81" s="23"/>
      <c r="F81" s="23"/>
      <c r="G81" s="23"/>
      <c r="H81" s="23"/>
      <c r="I81" s="24"/>
      <c r="J81" s="23"/>
      <c r="K81" s="23"/>
      <c r="L81" s="24"/>
      <c r="M81" s="23"/>
      <c r="N81" s="23"/>
    </row>
    <row r="82" spans="1:14" ht="14.45">
      <c r="A82" s="23"/>
      <c r="B82" s="35"/>
      <c r="C82" s="23"/>
      <c r="D82" s="23"/>
      <c r="E82" s="23"/>
      <c r="F82" s="23"/>
      <c r="G82" s="23"/>
      <c r="H82" s="23"/>
      <c r="I82" s="24"/>
      <c r="J82" s="23"/>
      <c r="K82" s="23"/>
      <c r="L82" s="24"/>
      <c r="M82" s="23"/>
      <c r="N82" s="23"/>
    </row>
    <row r="83" spans="1:14" ht="14.45">
      <c r="A83" s="23"/>
      <c r="B83" s="35"/>
      <c r="C83" s="23"/>
      <c r="D83" s="23"/>
      <c r="E83" s="23"/>
      <c r="F83" s="23"/>
      <c r="G83" s="23"/>
      <c r="H83" s="23"/>
      <c r="I83" s="24"/>
      <c r="J83" s="23"/>
      <c r="K83" s="23"/>
      <c r="L83" s="24"/>
      <c r="M83" s="23"/>
      <c r="N83" s="23"/>
    </row>
    <row r="84" spans="1:14" ht="14.45">
      <c r="A84" s="23"/>
      <c r="B84" s="35"/>
      <c r="C84" s="23"/>
      <c r="D84" s="23"/>
      <c r="E84" s="23"/>
      <c r="F84" s="23"/>
      <c r="G84" s="23"/>
      <c r="H84" s="23"/>
      <c r="I84" s="24"/>
      <c r="J84" s="23"/>
      <c r="K84" s="23"/>
      <c r="L84" s="24"/>
      <c r="M84" s="23"/>
      <c r="N84" s="23"/>
    </row>
    <row r="85" spans="1:14" ht="14.45">
      <c r="A85" s="23"/>
      <c r="B85" s="35"/>
      <c r="C85" s="23"/>
      <c r="D85" s="23"/>
      <c r="E85" s="23"/>
      <c r="F85" s="23"/>
      <c r="G85" s="23"/>
      <c r="H85" s="23"/>
      <c r="I85" s="24"/>
      <c r="J85" s="23"/>
      <c r="K85" s="23"/>
      <c r="L85" s="24"/>
      <c r="M85" s="23"/>
      <c r="N85" s="23"/>
    </row>
    <row r="86" spans="1:14" ht="14.45">
      <c r="A86" s="23"/>
      <c r="B86" s="35"/>
      <c r="C86" s="23"/>
      <c r="D86" s="23"/>
      <c r="E86" s="23"/>
      <c r="F86" s="23"/>
      <c r="G86" s="23"/>
      <c r="H86" s="23"/>
      <c r="I86" s="24"/>
      <c r="J86" s="23"/>
      <c r="K86" s="23"/>
      <c r="L86" s="24"/>
      <c r="M86" s="23"/>
      <c r="N86" s="23"/>
    </row>
    <row r="87" spans="1:14" ht="14.45">
      <c r="A87" s="23"/>
      <c r="B87" s="35"/>
      <c r="C87" s="23"/>
      <c r="D87" s="23"/>
      <c r="E87" s="23"/>
      <c r="F87" s="23"/>
      <c r="G87" s="23"/>
      <c r="H87" s="23"/>
      <c r="I87" s="24"/>
      <c r="J87" s="23"/>
      <c r="K87" s="23"/>
      <c r="L87" s="24"/>
      <c r="M87" s="23"/>
      <c r="N87" s="23"/>
    </row>
    <row r="88" spans="1:14" ht="14.45">
      <c r="A88" s="23"/>
      <c r="B88" s="35"/>
      <c r="C88" s="23"/>
      <c r="D88" s="23"/>
      <c r="E88" s="23"/>
      <c r="F88" s="23"/>
      <c r="G88" s="23"/>
      <c r="H88" s="23"/>
      <c r="I88" s="24"/>
      <c r="J88" s="23"/>
      <c r="K88" s="23"/>
      <c r="L88" s="24"/>
      <c r="M88" s="23"/>
      <c r="N88" s="23"/>
    </row>
    <row r="89" spans="1:14" ht="14.45">
      <c r="A89" s="23"/>
      <c r="B89" s="35"/>
      <c r="C89" s="23"/>
      <c r="D89" s="23"/>
      <c r="E89" s="23"/>
      <c r="F89" s="23"/>
      <c r="G89" s="23"/>
      <c r="H89" s="23"/>
      <c r="I89" s="24"/>
      <c r="J89" s="23"/>
      <c r="K89" s="23"/>
      <c r="L89" s="24"/>
      <c r="M89" s="23"/>
      <c r="N89" s="23"/>
    </row>
    <row r="90" spans="1:14" ht="14.45">
      <c r="A90" s="23"/>
      <c r="B90" s="35"/>
      <c r="C90" s="23"/>
      <c r="D90" s="23"/>
      <c r="E90" s="23"/>
      <c r="F90" s="23"/>
      <c r="G90" s="23"/>
      <c r="H90" s="23"/>
      <c r="I90" s="24"/>
      <c r="J90" s="23"/>
      <c r="K90" s="23"/>
      <c r="L90" s="24"/>
      <c r="M90" s="23"/>
      <c r="N90" s="23"/>
    </row>
    <row r="91" spans="1:14" ht="14.45">
      <c r="A91" s="23"/>
      <c r="B91" s="35"/>
      <c r="C91" s="23"/>
      <c r="D91" s="23"/>
      <c r="E91" s="23"/>
      <c r="F91" s="23"/>
      <c r="G91" s="23"/>
      <c r="H91" s="23"/>
      <c r="I91" s="24"/>
      <c r="J91" s="23"/>
      <c r="K91" s="23"/>
      <c r="L91" s="24"/>
      <c r="M91" s="23"/>
      <c r="N91" s="23"/>
    </row>
    <row r="92" spans="1:14" ht="14.45">
      <c r="A92" s="23"/>
      <c r="B92" s="35"/>
      <c r="C92" s="23"/>
      <c r="D92" s="23"/>
      <c r="E92" s="23"/>
      <c r="F92" s="23"/>
      <c r="G92" s="23"/>
      <c r="H92" s="23"/>
      <c r="I92" s="24"/>
      <c r="J92" s="23"/>
      <c r="K92" s="23"/>
      <c r="L92" s="24"/>
      <c r="M92" s="23"/>
      <c r="N92" s="23"/>
    </row>
    <row r="93" spans="1:14" ht="14.45">
      <c r="A93" s="23"/>
      <c r="B93" s="35"/>
      <c r="C93" s="23"/>
      <c r="D93" s="23"/>
      <c r="E93" s="23"/>
      <c r="F93" s="23"/>
      <c r="G93" s="23"/>
      <c r="H93" s="23"/>
      <c r="I93" s="24"/>
      <c r="J93" s="23"/>
      <c r="K93" s="23"/>
      <c r="L93" s="24"/>
      <c r="M93" s="23"/>
      <c r="N93" s="23"/>
    </row>
    <row r="94" spans="1:14" ht="14.45">
      <c r="A94" s="23"/>
      <c r="B94" s="35"/>
      <c r="C94" s="23"/>
      <c r="D94" s="23"/>
      <c r="E94" s="23"/>
      <c r="F94" s="23"/>
      <c r="G94" s="23"/>
      <c r="H94" s="23"/>
      <c r="I94" s="24"/>
      <c r="J94" s="23"/>
      <c r="K94" s="23"/>
      <c r="L94" s="24"/>
      <c r="M94" s="23"/>
      <c r="N94" s="23"/>
    </row>
    <row r="95" spans="1:14" ht="14.45">
      <c r="A95" s="23"/>
      <c r="B95" s="35"/>
      <c r="C95" s="23"/>
      <c r="D95" s="23"/>
      <c r="E95" s="23"/>
      <c r="F95" s="23"/>
      <c r="G95" s="23"/>
      <c r="H95" s="23"/>
      <c r="I95" s="24"/>
      <c r="J95" s="23"/>
      <c r="K95" s="23"/>
      <c r="L95" s="24"/>
      <c r="M95" s="23"/>
      <c r="N95" s="23"/>
    </row>
    <row r="96" spans="1:14" ht="14.45">
      <c r="A96" s="23"/>
      <c r="B96" s="35"/>
      <c r="C96" s="23"/>
      <c r="D96" s="23"/>
      <c r="E96" s="23"/>
      <c r="F96" s="23"/>
      <c r="G96" s="23"/>
      <c r="H96" s="23"/>
      <c r="I96" s="24"/>
      <c r="J96" s="23"/>
      <c r="K96" s="23"/>
      <c r="L96" s="24"/>
      <c r="M96" s="23"/>
      <c r="N96" s="23"/>
    </row>
    <row r="97" spans="1:14" ht="14.45">
      <c r="A97" s="23"/>
      <c r="B97" s="35"/>
      <c r="C97" s="23"/>
      <c r="D97" s="23"/>
      <c r="E97" s="23"/>
      <c r="F97" s="23"/>
      <c r="G97" s="23"/>
      <c r="H97" s="23"/>
      <c r="I97" s="24"/>
      <c r="J97" s="23"/>
      <c r="K97" s="23"/>
      <c r="L97" s="24"/>
      <c r="M97" s="23"/>
      <c r="N97" s="23"/>
    </row>
    <row r="98" spans="1:14" ht="14.45">
      <c r="A98" s="23"/>
      <c r="B98" s="35"/>
      <c r="C98" s="23"/>
      <c r="D98" s="23"/>
      <c r="E98" s="23"/>
      <c r="F98" s="23"/>
      <c r="G98" s="23"/>
      <c r="H98" s="23"/>
      <c r="I98" s="24"/>
      <c r="J98" s="23"/>
      <c r="K98" s="23"/>
      <c r="L98" s="24"/>
      <c r="M98" s="23"/>
      <c r="N98" s="23"/>
    </row>
    <row r="99" spans="1:14" ht="14.45">
      <c r="A99" s="23"/>
      <c r="B99" s="35"/>
      <c r="C99" s="23"/>
      <c r="D99" s="23"/>
      <c r="E99" s="23"/>
      <c r="F99" s="23"/>
      <c r="G99" s="23"/>
      <c r="H99" s="23"/>
      <c r="I99" s="24"/>
      <c r="J99" s="23"/>
      <c r="K99" s="23"/>
      <c r="L99" s="24"/>
      <c r="M99" s="23"/>
      <c r="N99" s="23"/>
    </row>
    <row r="100" spans="1:14" ht="14.45">
      <c r="A100" s="23"/>
      <c r="B100" s="35"/>
      <c r="C100" s="23"/>
      <c r="D100" s="23"/>
      <c r="E100" s="23"/>
      <c r="F100" s="23"/>
      <c r="G100" s="23"/>
      <c r="H100" s="23"/>
      <c r="I100" s="24"/>
      <c r="J100" s="23"/>
      <c r="K100" s="23"/>
      <c r="L100" s="24"/>
      <c r="M100" s="23"/>
      <c r="N100" s="23"/>
    </row>
    <row r="101" spans="1:14" ht="14.45">
      <c r="A101" s="23"/>
      <c r="B101" s="35"/>
      <c r="C101" s="23"/>
      <c r="D101" s="23"/>
      <c r="E101" s="23"/>
      <c r="F101" s="23"/>
      <c r="G101" s="23"/>
      <c r="H101" s="23"/>
      <c r="I101" s="24"/>
      <c r="J101" s="23"/>
      <c r="K101" s="23"/>
      <c r="L101" s="24"/>
      <c r="M101" s="23"/>
      <c r="N101" s="23"/>
    </row>
    <row r="102" spans="1:14" ht="14.45">
      <c r="A102" s="23"/>
      <c r="B102" s="35"/>
      <c r="C102" s="23"/>
      <c r="D102" s="23"/>
      <c r="E102" s="23"/>
      <c r="F102" s="23"/>
      <c r="G102" s="23"/>
      <c r="H102" s="23"/>
      <c r="I102" s="24"/>
      <c r="J102" s="23"/>
      <c r="K102" s="23"/>
      <c r="L102" s="24"/>
      <c r="M102" s="23"/>
      <c r="N102" s="23"/>
    </row>
    <row r="103" spans="1:14" ht="14.45">
      <c r="A103" s="23"/>
      <c r="B103" s="35"/>
      <c r="C103" s="23"/>
      <c r="D103" s="23"/>
      <c r="E103" s="23"/>
      <c r="F103" s="23"/>
      <c r="G103" s="23"/>
      <c r="H103" s="23"/>
      <c r="I103" s="24"/>
      <c r="J103" s="23"/>
      <c r="K103" s="23"/>
      <c r="L103" s="24"/>
      <c r="M103" s="23"/>
      <c r="N103" s="23"/>
    </row>
    <row r="104" spans="1:14" ht="14.45">
      <c r="A104" s="23"/>
      <c r="B104" s="35"/>
      <c r="C104" s="23"/>
      <c r="D104" s="23"/>
      <c r="E104" s="23"/>
      <c r="F104" s="23"/>
      <c r="G104" s="23"/>
      <c r="H104" s="23"/>
      <c r="I104" s="24"/>
      <c r="J104" s="23"/>
      <c r="K104" s="23"/>
      <c r="L104" s="24"/>
      <c r="M104" s="23"/>
      <c r="N104" s="23"/>
    </row>
    <row r="105" spans="1:14" ht="14.45">
      <c r="A105" s="23"/>
      <c r="B105" s="35"/>
      <c r="C105" s="23"/>
      <c r="D105" s="23"/>
      <c r="E105" s="23"/>
      <c r="F105" s="23"/>
      <c r="G105" s="23"/>
      <c r="H105" s="23"/>
      <c r="I105" s="24"/>
      <c r="J105" s="23"/>
      <c r="K105" s="23"/>
      <c r="L105" s="24"/>
      <c r="M105" s="23"/>
      <c r="N105" s="23"/>
    </row>
    <row r="106" spans="1:14" ht="14.45">
      <c r="A106" s="23"/>
      <c r="B106" s="35"/>
      <c r="C106" s="23"/>
      <c r="D106" s="23"/>
      <c r="E106" s="23"/>
      <c r="F106" s="23"/>
      <c r="G106" s="23"/>
      <c r="H106" s="23"/>
      <c r="I106" s="24"/>
      <c r="J106" s="23"/>
      <c r="K106" s="23"/>
      <c r="L106" s="24"/>
      <c r="M106" s="23"/>
      <c r="N106" s="23"/>
    </row>
    <row r="107" spans="1:14" ht="14.45">
      <c r="A107" s="23"/>
      <c r="B107" s="35"/>
      <c r="C107" s="23"/>
      <c r="D107" s="23"/>
      <c r="E107" s="23"/>
      <c r="F107" s="23"/>
      <c r="G107" s="23"/>
      <c r="H107" s="23"/>
      <c r="I107" s="24"/>
      <c r="J107" s="23"/>
      <c r="K107" s="23"/>
      <c r="L107" s="24"/>
      <c r="M107" s="23"/>
      <c r="N107" s="23"/>
    </row>
    <row r="108" spans="1:14" ht="14.45">
      <c r="A108" s="23"/>
      <c r="B108" s="35"/>
      <c r="C108" s="23"/>
      <c r="D108" s="23"/>
      <c r="E108" s="23"/>
      <c r="F108" s="23"/>
      <c r="G108" s="23"/>
      <c r="H108" s="23"/>
      <c r="I108" s="24"/>
      <c r="J108" s="23"/>
      <c r="K108" s="23"/>
      <c r="L108" s="24"/>
      <c r="M108" s="23"/>
      <c r="N108" s="23"/>
    </row>
    <row r="109" spans="1:14" ht="14.45">
      <c r="A109" s="23"/>
      <c r="B109" s="35"/>
      <c r="C109" s="23"/>
      <c r="D109" s="23"/>
      <c r="E109" s="23"/>
      <c r="F109" s="23"/>
      <c r="G109" s="23"/>
      <c r="H109" s="23"/>
      <c r="I109" s="24"/>
      <c r="J109" s="23"/>
      <c r="K109" s="23"/>
      <c r="L109" s="24"/>
      <c r="M109" s="23"/>
      <c r="N109" s="23"/>
    </row>
    <row r="110" spans="1:14" ht="14.45">
      <c r="A110" s="23"/>
      <c r="B110" s="35"/>
      <c r="C110" s="23"/>
      <c r="D110" s="23"/>
      <c r="E110" s="23"/>
      <c r="F110" s="23"/>
      <c r="G110" s="23"/>
      <c r="H110" s="23"/>
      <c r="I110" s="24"/>
      <c r="J110" s="23"/>
      <c r="K110" s="23"/>
      <c r="L110" s="24"/>
      <c r="M110" s="23"/>
      <c r="N110" s="23"/>
    </row>
    <row r="111" spans="1:14" ht="14.45">
      <c r="A111" s="23"/>
      <c r="B111" s="35"/>
      <c r="C111" s="23"/>
      <c r="D111" s="23"/>
      <c r="E111" s="23"/>
      <c r="F111" s="23"/>
      <c r="G111" s="23"/>
      <c r="H111" s="23"/>
      <c r="I111" s="24"/>
      <c r="J111" s="23"/>
      <c r="K111" s="23"/>
      <c r="L111" s="24"/>
      <c r="M111" s="23"/>
      <c r="N111" s="23"/>
    </row>
    <row r="112" spans="1:14" ht="14.45">
      <c r="A112" s="23"/>
      <c r="B112" s="35"/>
      <c r="C112" s="23"/>
      <c r="D112" s="23"/>
      <c r="E112" s="23"/>
      <c r="F112" s="23"/>
      <c r="G112" s="23"/>
      <c r="H112" s="23"/>
      <c r="I112" s="24"/>
      <c r="J112" s="23"/>
      <c r="K112" s="23"/>
      <c r="L112" s="24"/>
      <c r="M112" s="23"/>
      <c r="N112" s="23"/>
    </row>
    <row r="113" spans="1:14" ht="14.45">
      <c r="A113" s="23"/>
      <c r="B113" s="35"/>
      <c r="C113" s="23"/>
      <c r="D113" s="23"/>
      <c r="E113" s="23"/>
      <c r="F113" s="23"/>
      <c r="G113" s="23"/>
      <c r="H113" s="23"/>
      <c r="I113" s="24"/>
      <c r="J113" s="23"/>
      <c r="K113" s="23"/>
      <c r="L113" s="24"/>
      <c r="M113" s="23"/>
      <c r="N113" s="23"/>
    </row>
    <row r="114" spans="1:14" ht="14.45">
      <c r="A114" s="23"/>
      <c r="B114" s="35"/>
      <c r="C114" s="23"/>
      <c r="D114" s="23"/>
      <c r="E114" s="23"/>
      <c r="F114" s="23"/>
      <c r="G114" s="23"/>
      <c r="H114" s="23"/>
      <c r="I114" s="24"/>
      <c r="J114" s="23"/>
      <c r="K114" s="23"/>
      <c r="L114" s="24"/>
      <c r="M114" s="23"/>
      <c r="N114" s="23"/>
    </row>
    <row r="115" spans="1:14" ht="14.45">
      <c r="A115" s="23"/>
      <c r="B115" s="35"/>
      <c r="C115" s="23"/>
      <c r="D115" s="23"/>
      <c r="E115" s="23"/>
      <c r="F115" s="23"/>
      <c r="G115" s="23"/>
      <c r="H115" s="23"/>
      <c r="I115" s="24"/>
      <c r="J115" s="23"/>
      <c r="K115" s="23"/>
      <c r="L115" s="24"/>
      <c r="M115" s="23"/>
      <c r="N115" s="23"/>
    </row>
    <row r="116" spans="1:14" ht="14.45">
      <c r="A116" s="23"/>
      <c r="B116" s="35"/>
      <c r="C116" s="23"/>
      <c r="D116" s="23"/>
      <c r="E116" s="23"/>
      <c r="F116" s="23"/>
      <c r="G116" s="23"/>
      <c r="H116" s="23"/>
      <c r="I116" s="24"/>
      <c r="J116" s="23"/>
      <c r="K116" s="23"/>
      <c r="L116" s="24"/>
      <c r="M116" s="23"/>
      <c r="N116" s="23"/>
    </row>
    <row r="117" spans="1:14" ht="14.45">
      <c r="A117" s="23"/>
      <c r="B117" s="35"/>
      <c r="C117" s="23"/>
      <c r="D117" s="23"/>
      <c r="E117" s="23"/>
      <c r="F117" s="23"/>
      <c r="G117" s="23"/>
      <c r="H117" s="23"/>
      <c r="I117" s="24"/>
      <c r="J117" s="23"/>
      <c r="K117" s="23"/>
      <c r="L117" s="24"/>
      <c r="M117" s="23"/>
      <c r="N117" s="23"/>
    </row>
    <row r="118" spans="1:14" ht="14.45">
      <c r="A118" s="23"/>
      <c r="B118" s="35"/>
      <c r="C118" s="23"/>
      <c r="D118" s="23"/>
      <c r="E118" s="23"/>
      <c r="F118" s="23"/>
      <c r="G118" s="23"/>
      <c r="H118" s="23"/>
      <c r="I118" s="24"/>
      <c r="J118" s="23"/>
      <c r="K118" s="23"/>
      <c r="L118" s="24"/>
      <c r="M118" s="23"/>
      <c r="N118" s="23"/>
    </row>
    <row r="119" spans="1:14" ht="14.45">
      <c r="A119" s="23"/>
      <c r="B119" s="35"/>
      <c r="C119" s="23"/>
      <c r="D119" s="23"/>
      <c r="E119" s="23"/>
      <c r="F119" s="23"/>
      <c r="G119" s="23"/>
      <c r="H119" s="23"/>
      <c r="I119" s="24"/>
      <c r="J119" s="23"/>
      <c r="K119" s="23"/>
      <c r="L119" s="24"/>
      <c r="M119" s="23"/>
      <c r="N119" s="23"/>
    </row>
    <row r="120" spans="1:14" ht="14.45">
      <c r="A120" s="23"/>
      <c r="B120" s="35"/>
      <c r="C120" s="23"/>
      <c r="D120" s="23"/>
      <c r="E120" s="23"/>
      <c r="F120" s="23"/>
      <c r="G120" s="23"/>
      <c r="H120" s="23"/>
      <c r="I120" s="24"/>
      <c r="J120" s="23"/>
      <c r="K120" s="23"/>
      <c r="L120" s="24"/>
      <c r="M120" s="23"/>
      <c r="N120" s="23"/>
    </row>
    <row r="121" spans="1:14" ht="14.45">
      <c r="A121" s="23"/>
      <c r="B121" s="35"/>
      <c r="C121" s="23"/>
      <c r="D121" s="23"/>
      <c r="E121" s="23"/>
      <c r="F121" s="23"/>
      <c r="G121" s="23"/>
      <c r="H121" s="23"/>
      <c r="I121" s="24"/>
      <c r="J121" s="23"/>
      <c r="K121" s="23"/>
      <c r="L121" s="24"/>
      <c r="M121" s="23"/>
      <c r="N121" s="23"/>
    </row>
    <row r="122" spans="1:14" ht="14.45">
      <c r="A122" s="23"/>
      <c r="B122" s="35"/>
      <c r="C122" s="23"/>
      <c r="D122" s="23"/>
      <c r="E122" s="23"/>
      <c r="F122" s="23"/>
      <c r="G122" s="23"/>
      <c r="H122" s="23"/>
      <c r="I122" s="24"/>
      <c r="J122" s="23"/>
      <c r="K122" s="23"/>
      <c r="L122" s="24"/>
      <c r="M122" s="23"/>
      <c r="N122" s="23"/>
    </row>
    <row r="123" spans="1:14" ht="14.45">
      <c r="A123" s="23"/>
      <c r="B123" s="35"/>
      <c r="C123" s="23"/>
      <c r="D123" s="23"/>
      <c r="E123" s="23"/>
      <c r="F123" s="23"/>
      <c r="G123" s="23"/>
      <c r="H123" s="23"/>
      <c r="I123" s="24"/>
      <c r="J123" s="23"/>
      <c r="K123" s="23"/>
      <c r="L123" s="24"/>
      <c r="M123" s="23"/>
      <c r="N123" s="23"/>
    </row>
    <row r="124" spans="1:14" ht="14.45">
      <c r="A124" s="23"/>
      <c r="B124" s="35"/>
      <c r="C124" s="23"/>
      <c r="D124" s="23"/>
      <c r="E124" s="23"/>
      <c r="F124" s="23"/>
      <c r="G124" s="23"/>
      <c r="H124" s="23"/>
      <c r="I124" s="24"/>
      <c r="J124" s="23"/>
      <c r="K124" s="23"/>
      <c r="L124" s="24"/>
      <c r="M124" s="23"/>
      <c r="N124" s="23"/>
    </row>
    <row r="125" spans="1:14" ht="14.45">
      <c r="A125" s="23"/>
      <c r="B125" s="35"/>
      <c r="C125" s="23"/>
      <c r="D125" s="23"/>
      <c r="E125" s="23"/>
      <c r="F125" s="23"/>
      <c r="G125" s="23"/>
      <c r="H125" s="23"/>
      <c r="I125" s="24"/>
      <c r="J125" s="23"/>
      <c r="K125" s="23"/>
      <c r="L125" s="24"/>
      <c r="M125" s="23"/>
      <c r="N125" s="23"/>
    </row>
    <row r="126" spans="1:14" ht="14.45">
      <c r="A126" s="23"/>
      <c r="B126" s="35"/>
      <c r="C126" s="23"/>
      <c r="D126" s="23"/>
      <c r="E126" s="23"/>
      <c r="F126" s="23"/>
      <c r="G126" s="23"/>
      <c r="H126" s="23"/>
      <c r="I126" s="24"/>
      <c r="J126" s="23"/>
      <c r="K126" s="23"/>
      <c r="L126" s="24"/>
      <c r="M126" s="23"/>
      <c r="N126" s="23"/>
    </row>
    <row r="127" spans="1:14" ht="14.45">
      <c r="A127" s="23"/>
      <c r="B127" s="35"/>
      <c r="C127" s="23"/>
      <c r="D127" s="23"/>
      <c r="E127" s="23"/>
      <c r="F127" s="23"/>
      <c r="G127" s="23"/>
      <c r="H127" s="23"/>
      <c r="I127" s="24"/>
      <c r="J127" s="23"/>
      <c r="K127" s="23"/>
      <c r="L127" s="24"/>
      <c r="M127" s="23"/>
      <c r="N127" s="23"/>
    </row>
    <row r="128" spans="1:14" ht="14.45">
      <c r="A128" s="23"/>
      <c r="B128" s="35"/>
      <c r="C128" s="23"/>
      <c r="D128" s="23"/>
      <c r="E128" s="23"/>
      <c r="F128" s="23"/>
      <c r="G128" s="23"/>
      <c r="H128" s="23"/>
      <c r="I128" s="24"/>
      <c r="J128" s="23"/>
      <c r="K128" s="23"/>
      <c r="L128" s="24"/>
      <c r="M128" s="23"/>
      <c r="N128" s="23"/>
    </row>
    <row r="129" spans="1:14" ht="14.45">
      <c r="A129" s="23"/>
      <c r="B129" s="35"/>
      <c r="C129" s="23"/>
      <c r="D129" s="23"/>
      <c r="E129" s="23"/>
      <c r="F129" s="23"/>
      <c r="G129" s="23"/>
      <c r="H129" s="23"/>
      <c r="I129" s="24"/>
      <c r="J129" s="23"/>
      <c r="K129" s="23"/>
      <c r="L129" s="24"/>
      <c r="M129" s="23"/>
      <c r="N129" s="23"/>
    </row>
    <row r="130" spans="1:14" ht="14.45">
      <c r="A130" s="23"/>
      <c r="B130" s="35"/>
      <c r="C130" s="23"/>
      <c r="D130" s="23"/>
      <c r="E130" s="23"/>
      <c r="F130" s="23"/>
      <c r="G130" s="23"/>
      <c r="H130" s="23"/>
      <c r="I130" s="24"/>
      <c r="J130" s="23"/>
      <c r="K130" s="23"/>
      <c r="L130" s="24"/>
      <c r="M130" s="23"/>
      <c r="N130" s="23"/>
    </row>
    <row r="131" spans="1:14" ht="14.45">
      <c r="A131" s="23"/>
      <c r="B131" s="35"/>
      <c r="C131" s="23"/>
      <c r="D131" s="23"/>
      <c r="E131" s="23"/>
      <c r="F131" s="23"/>
      <c r="G131" s="23"/>
      <c r="H131" s="23"/>
      <c r="I131" s="24"/>
      <c r="J131" s="23"/>
      <c r="K131" s="23"/>
      <c r="L131" s="24"/>
      <c r="M131" s="23"/>
      <c r="N131" s="23"/>
    </row>
    <row r="132" spans="1:14" ht="14.45">
      <c r="A132" s="23"/>
      <c r="B132" s="35"/>
      <c r="C132" s="23"/>
      <c r="D132" s="23"/>
      <c r="E132" s="23"/>
      <c r="F132" s="23"/>
      <c r="G132" s="23"/>
      <c r="H132" s="23"/>
      <c r="I132" s="24"/>
      <c r="J132" s="23"/>
      <c r="K132" s="23"/>
      <c r="L132" s="24"/>
      <c r="M132" s="23"/>
      <c r="N132" s="23"/>
    </row>
    <row r="133" spans="1:14" ht="14.45">
      <c r="A133" s="23"/>
      <c r="B133" s="35"/>
      <c r="C133" s="23"/>
      <c r="D133" s="23"/>
      <c r="E133" s="23"/>
      <c r="F133" s="23"/>
      <c r="G133" s="23"/>
      <c r="H133" s="23"/>
      <c r="I133" s="24"/>
      <c r="J133" s="23"/>
      <c r="K133" s="23"/>
      <c r="L133" s="24"/>
      <c r="M133" s="23"/>
      <c r="N133" s="23"/>
    </row>
    <row r="134" spans="1:14" ht="14.45">
      <c r="A134" s="23"/>
      <c r="B134" s="35"/>
      <c r="C134" s="23"/>
      <c r="D134" s="23"/>
      <c r="E134" s="23"/>
      <c r="F134" s="23"/>
      <c r="G134" s="23"/>
      <c r="H134" s="23"/>
      <c r="I134" s="24"/>
      <c r="J134" s="23"/>
      <c r="K134" s="23"/>
      <c r="L134" s="24"/>
      <c r="M134" s="23"/>
      <c r="N134" s="23"/>
    </row>
    <row r="135" spans="1:14" ht="14.45">
      <c r="A135" s="23"/>
      <c r="B135" s="35"/>
      <c r="C135" s="23"/>
      <c r="D135" s="23"/>
      <c r="E135" s="23"/>
      <c r="F135" s="23"/>
      <c r="G135" s="23"/>
      <c r="H135" s="23"/>
      <c r="I135" s="24"/>
      <c r="J135" s="23"/>
      <c r="K135" s="23"/>
      <c r="L135" s="24"/>
      <c r="M135" s="23"/>
      <c r="N135" s="23"/>
    </row>
    <row r="136" spans="1:14" ht="14.45">
      <c r="A136" s="23"/>
      <c r="B136" s="35"/>
      <c r="C136" s="23"/>
      <c r="D136" s="23"/>
      <c r="E136" s="23"/>
      <c r="F136" s="23"/>
      <c r="G136" s="23"/>
      <c r="H136" s="23"/>
      <c r="I136" s="24"/>
      <c r="J136" s="23"/>
      <c r="K136" s="23"/>
      <c r="L136" s="24"/>
      <c r="M136" s="23"/>
      <c r="N136" s="23"/>
    </row>
    <row r="137" spans="1:14" ht="14.45">
      <c r="A137" s="23"/>
      <c r="B137" s="35"/>
      <c r="C137" s="23"/>
      <c r="D137" s="23"/>
      <c r="E137" s="23"/>
      <c r="F137" s="23"/>
      <c r="G137" s="23"/>
      <c r="H137" s="23"/>
      <c r="I137" s="24"/>
      <c r="J137" s="23"/>
      <c r="K137" s="23"/>
      <c r="L137" s="24"/>
      <c r="M137" s="23"/>
      <c r="N137" s="23"/>
    </row>
    <row r="138" spans="1:14" ht="14.45">
      <c r="A138" s="23"/>
      <c r="B138" s="35"/>
      <c r="C138" s="23"/>
      <c r="D138" s="23"/>
      <c r="E138" s="23"/>
      <c r="F138" s="23"/>
      <c r="G138" s="23"/>
      <c r="H138" s="23"/>
      <c r="I138" s="24"/>
      <c r="J138" s="23"/>
      <c r="K138" s="23"/>
      <c r="L138" s="24"/>
      <c r="M138" s="23"/>
      <c r="N138" s="23"/>
    </row>
    <row r="139" spans="1:14" ht="14.45">
      <c r="A139" s="23"/>
      <c r="B139" s="35"/>
      <c r="C139" s="23"/>
      <c r="D139" s="23"/>
      <c r="E139" s="23"/>
      <c r="F139" s="23"/>
      <c r="G139" s="23"/>
      <c r="H139" s="23"/>
      <c r="I139" s="24"/>
      <c r="J139" s="23"/>
      <c r="K139" s="23"/>
      <c r="L139" s="24"/>
      <c r="M139" s="23"/>
      <c r="N139" s="23"/>
    </row>
    <row r="140" spans="1:14" ht="14.45">
      <c r="A140" s="23"/>
      <c r="B140" s="35"/>
      <c r="C140" s="23"/>
      <c r="D140" s="23"/>
      <c r="E140" s="23"/>
      <c r="F140" s="23"/>
      <c r="G140" s="23"/>
      <c r="H140" s="23"/>
      <c r="I140" s="24"/>
      <c r="J140" s="23"/>
      <c r="K140" s="23"/>
      <c r="L140" s="24"/>
      <c r="M140" s="23"/>
      <c r="N140" s="23"/>
    </row>
    <row r="141" spans="1:14" ht="14.45">
      <c r="A141" s="23"/>
      <c r="B141" s="35"/>
      <c r="C141" s="23"/>
      <c r="D141" s="23"/>
      <c r="E141" s="23"/>
      <c r="F141" s="23"/>
      <c r="G141" s="23"/>
      <c r="H141" s="23"/>
      <c r="I141" s="24"/>
      <c r="J141" s="23"/>
      <c r="K141" s="23"/>
      <c r="L141" s="24"/>
      <c r="M141" s="23"/>
      <c r="N141" s="23"/>
    </row>
    <row r="142" spans="1:14" ht="14.45">
      <c r="A142" s="23"/>
      <c r="B142" s="35"/>
      <c r="C142" s="23"/>
      <c r="D142" s="23"/>
      <c r="E142" s="23"/>
      <c r="F142" s="23"/>
      <c r="G142" s="23"/>
      <c r="H142" s="23"/>
      <c r="I142" s="24"/>
      <c r="J142" s="23"/>
      <c r="K142" s="23"/>
      <c r="L142" s="24"/>
      <c r="M142" s="23"/>
      <c r="N142" s="23"/>
    </row>
    <row r="143" spans="1:14" ht="14.45">
      <c r="A143" s="23"/>
      <c r="B143" s="35"/>
      <c r="C143" s="23"/>
      <c r="D143" s="23"/>
      <c r="E143" s="23"/>
      <c r="F143" s="23"/>
      <c r="G143" s="23"/>
      <c r="H143" s="23"/>
      <c r="I143" s="24"/>
      <c r="J143" s="23"/>
      <c r="K143" s="23"/>
      <c r="L143" s="24"/>
      <c r="M143" s="23"/>
      <c r="N143" s="23"/>
    </row>
    <row r="144" spans="1:14" ht="14.45">
      <c r="A144" s="23"/>
      <c r="B144" s="35"/>
      <c r="C144" s="23"/>
      <c r="D144" s="23"/>
      <c r="E144" s="23"/>
      <c r="F144" s="23"/>
      <c r="G144" s="23"/>
      <c r="H144" s="23"/>
      <c r="I144" s="24"/>
      <c r="J144" s="23"/>
      <c r="K144" s="23"/>
      <c r="L144" s="24"/>
      <c r="M144" s="23"/>
      <c r="N144" s="23"/>
    </row>
    <row r="145" spans="1:14" ht="14.45">
      <c r="A145" s="23"/>
      <c r="B145" s="35"/>
      <c r="C145" s="23"/>
      <c r="D145" s="23"/>
      <c r="E145" s="23"/>
      <c r="F145" s="23"/>
      <c r="G145" s="23"/>
      <c r="H145" s="23"/>
      <c r="I145" s="24"/>
      <c r="J145" s="23"/>
      <c r="K145" s="23"/>
      <c r="L145" s="24"/>
      <c r="M145" s="23"/>
      <c r="N145" s="23"/>
    </row>
    <row r="146" spans="1:14" ht="14.45">
      <c r="A146" s="23"/>
      <c r="B146" s="35"/>
      <c r="C146" s="23"/>
      <c r="D146" s="23"/>
      <c r="E146" s="23"/>
      <c r="F146" s="23"/>
      <c r="G146" s="23"/>
      <c r="H146" s="23"/>
      <c r="I146" s="24"/>
      <c r="J146" s="23"/>
      <c r="K146" s="23"/>
      <c r="L146" s="24"/>
      <c r="M146" s="23"/>
      <c r="N146" s="23"/>
    </row>
    <row r="147" spans="1:14" ht="14.45">
      <c r="A147" s="23"/>
      <c r="B147" s="35"/>
      <c r="C147" s="23"/>
      <c r="D147" s="23"/>
      <c r="E147" s="23"/>
      <c r="F147" s="23"/>
      <c r="G147" s="23"/>
      <c r="H147" s="23"/>
      <c r="I147" s="24"/>
      <c r="J147" s="23"/>
      <c r="K147" s="23"/>
      <c r="L147" s="24"/>
      <c r="M147" s="23"/>
      <c r="N147" s="23"/>
    </row>
    <row r="148" spans="1:14" ht="14.45">
      <c r="A148" s="23"/>
      <c r="B148" s="35"/>
      <c r="C148" s="23"/>
      <c r="D148" s="23"/>
      <c r="E148" s="23"/>
      <c r="F148" s="23"/>
      <c r="G148" s="23"/>
      <c r="H148" s="23"/>
      <c r="I148" s="24"/>
      <c r="J148" s="23"/>
      <c r="K148" s="23"/>
      <c r="L148" s="24"/>
      <c r="M148" s="23"/>
      <c r="N148" s="23"/>
    </row>
    <row r="149" spans="1:14" ht="14.45">
      <c r="A149" s="23"/>
      <c r="B149" s="35"/>
      <c r="C149" s="23"/>
      <c r="D149" s="23"/>
      <c r="E149" s="23"/>
      <c r="F149" s="23"/>
      <c r="G149" s="23"/>
      <c r="H149" s="23"/>
      <c r="I149" s="24"/>
      <c r="J149" s="23"/>
      <c r="K149" s="23"/>
      <c r="L149" s="24"/>
      <c r="M149" s="23"/>
      <c r="N149" s="23"/>
    </row>
    <row r="150" spans="1:14" ht="14.45">
      <c r="A150" s="23"/>
      <c r="B150" s="35"/>
      <c r="C150" s="23"/>
      <c r="D150" s="23"/>
      <c r="E150" s="23"/>
      <c r="F150" s="23"/>
      <c r="G150" s="23"/>
      <c r="H150" s="23"/>
      <c r="I150" s="24"/>
      <c r="J150" s="23"/>
      <c r="K150" s="23"/>
      <c r="L150" s="24"/>
      <c r="M150" s="23"/>
      <c r="N150" s="23"/>
    </row>
    <row r="151" spans="1:14" ht="14.45">
      <c r="A151" s="23"/>
      <c r="B151" s="35"/>
      <c r="C151" s="23"/>
      <c r="D151" s="23"/>
      <c r="E151" s="23"/>
      <c r="F151" s="23"/>
      <c r="G151" s="23"/>
      <c r="H151" s="23"/>
      <c r="I151" s="24"/>
      <c r="J151" s="23"/>
      <c r="K151" s="23"/>
      <c r="L151" s="24"/>
      <c r="M151" s="23"/>
      <c r="N151" s="23"/>
    </row>
    <row r="152" spans="1:14" ht="14.45">
      <c r="A152" s="23"/>
      <c r="B152" s="35"/>
      <c r="C152" s="23"/>
      <c r="D152" s="23"/>
      <c r="E152" s="23"/>
      <c r="F152" s="23"/>
      <c r="G152" s="23"/>
      <c r="H152" s="23"/>
      <c r="I152" s="24"/>
      <c r="J152" s="23"/>
      <c r="K152" s="23"/>
      <c r="L152" s="24"/>
      <c r="M152" s="23"/>
      <c r="N152" s="23"/>
    </row>
    <row r="153" spans="1:14" ht="14.45">
      <c r="A153" s="23"/>
      <c r="B153" s="35"/>
      <c r="C153" s="23"/>
      <c r="D153" s="23"/>
      <c r="E153" s="23"/>
      <c r="F153" s="23"/>
      <c r="G153" s="23"/>
      <c r="H153" s="23"/>
      <c r="I153" s="24"/>
      <c r="J153" s="23"/>
      <c r="K153" s="23"/>
      <c r="L153" s="24"/>
      <c r="M153" s="23"/>
      <c r="N153" s="23"/>
    </row>
    <row r="154" spans="1:14" ht="14.45">
      <c r="A154" s="23"/>
      <c r="B154" s="35"/>
      <c r="C154" s="23"/>
      <c r="D154" s="23"/>
      <c r="E154" s="23"/>
      <c r="F154" s="23"/>
      <c r="G154" s="23"/>
      <c r="H154" s="23"/>
      <c r="I154" s="24"/>
      <c r="J154" s="23"/>
      <c r="K154" s="23"/>
      <c r="L154" s="24"/>
      <c r="M154" s="23"/>
      <c r="N154" s="23"/>
    </row>
    <row r="155" spans="1:14" ht="14.45">
      <c r="A155" s="23"/>
      <c r="B155" s="35"/>
      <c r="C155" s="23"/>
      <c r="D155" s="23"/>
      <c r="E155" s="23"/>
      <c r="F155" s="23"/>
      <c r="G155" s="23"/>
      <c r="H155" s="23"/>
      <c r="I155" s="24"/>
      <c r="J155" s="23"/>
      <c r="K155" s="23"/>
      <c r="L155" s="24"/>
      <c r="M155" s="23"/>
      <c r="N155" s="23"/>
    </row>
    <row r="156" spans="1:14" ht="14.45">
      <c r="A156" s="23"/>
      <c r="B156" s="35"/>
      <c r="C156" s="23"/>
      <c r="D156" s="23"/>
      <c r="E156" s="23"/>
      <c r="F156" s="23"/>
      <c r="G156" s="23"/>
      <c r="H156" s="23"/>
      <c r="I156" s="24"/>
      <c r="J156" s="23"/>
      <c r="K156" s="23"/>
      <c r="L156" s="24"/>
      <c r="M156" s="23"/>
      <c r="N156" s="23"/>
    </row>
    <row r="157" spans="1:14" ht="14.45">
      <c r="A157" s="23"/>
      <c r="B157" s="35"/>
      <c r="C157" s="23"/>
      <c r="D157" s="23"/>
      <c r="E157" s="23"/>
      <c r="F157" s="23"/>
      <c r="G157" s="23"/>
      <c r="H157" s="23"/>
      <c r="I157" s="24"/>
      <c r="J157" s="23"/>
      <c r="K157" s="23"/>
      <c r="L157" s="24"/>
      <c r="M157" s="23"/>
      <c r="N157" s="23"/>
    </row>
    <row r="158" spans="1:14" ht="14.45">
      <c r="A158" s="23"/>
      <c r="B158" s="35"/>
      <c r="C158" s="23"/>
      <c r="D158" s="23"/>
      <c r="E158" s="23"/>
      <c r="F158" s="23"/>
      <c r="G158" s="23"/>
      <c r="H158" s="23"/>
      <c r="I158" s="24"/>
      <c r="J158" s="23"/>
      <c r="K158" s="23"/>
      <c r="L158" s="24"/>
      <c r="M158" s="23"/>
      <c r="N158" s="23"/>
    </row>
    <row r="159" spans="1:14" ht="14.45">
      <c r="A159" s="23"/>
      <c r="B159" s="35"/>
      <c r="C159" s="23"/>
      <c r="D159" s="23"/>
      <c r="E159" s="23"/>
      <c r="F159" s="23"/>
      <c r="G159" s="23"/>
      <c r="H159" s="23"/>
      <c r="I159" s="24"/>
      <c r="J159" s="23"/>
      <c r="K159" s="23"/>
      <c r="L159" s="24"/>
      <c r="M159" s="23"/>
      <c r="N159" s="23"/>
    </row>
    <row r="160" spans="1:14" ht="14.45">
      <c r="A160" s="23"/>
      <c r="B160" s="35"/>
      <c r="C160" s="23"/>
      <c r="D160" s="23"/>
      <c r="E160" s="23"/>
      <c r="F160" s="23"/>
      <c r="G160" s="23"/>
      <c r="H160" s="23"/>
      <c r="I160" s="24"/>
      <c r="J160" s="23"/>
      <c r="K160" s="23"/>
      <c r="L160" s="24"/>
      <c r="M160" s="23"/>
      <c r="N160" s="23"/>
    </row>
    <row r="161" spans="1:14" ht="14.45">
      <c r="A161" s="23"/>
      <c r="B161" s="35"/>
      <c r="C161" s="23"/>
      <c r="D161" s="23"/>
      <c r="E161" s="23"/>
      <c r="F161" s="23"/>
      <c r="G161" s="23"/>
      <c r="H161" s="23"/>
      <c r="I161" s="24"/>
      <c r="J161" s="23"/>
      <c r="K161" s="23"/>
      <c r="L161" s="24"/>
      <c r="M161" s="23"/>
      <c r="N161" s="23"/>
    </row>
    <row r="162" spans="1:14" ht="14.45">
      <c r="A162" s="23"/>
      <c r="B162" s="35"/>
      <c r="C162" s="23"/>
      <c r="D162" s="23"/>
      <c r="E162" s="23"/>
      <c r="F162" s="23"/>
      <c r="G162" s="23"/>
      <c r="H162" s="23"/>
      <c r="I162" s="24"/>
      <c r="J162" s="23"/>
      <c r="K162" s="23"/>
      <c r="L162" s="24"/>
      <c r="M162" s="23"/>
      <c r="N162" s="23"/>
    </row>
    <row r="163" spans="1:14" ht="14.45">
      <c r="A163" s="23"/>
      <c r="B163" s="35"/>
      <c r="C163" s="23"/>
      <c r="D163" s="23"/>
      <c r="E163" s="23"/>
      <c r="F163" s="23"/>
      <c r="G163" s="23"/>
      <c r="H163" s="23"/>
      <c r="I163" s="24"/>
      <c r="J163" s="23"/>
      <c r="K163" s="23"/>
      <c r="L163" s="24"/>
      <c r="M163" s="23"/>
      <c r="N163" s="23"/>
    </row>
    <row r="164" spans="1:14" ht="14.45">
      <c r="A164" s="23"/>
      <c r="B164" s="35"/>
      <c r="C164" s="23"/>
      <c r="D164" s="23"/>
      <c r="E164" s="23"/>
      <c r="F164" s="23"/>
      <c r="G164" s="23"/>
      <c r="H164" s="23"/>
      <c r="I164" s="24"/>
      <c r="J164" s="23"/>
      <c r="K164" s="23"/>
      <c r="L164" s="24"/>
      <c r="M164" s="23"/>
      <c r="N164" s="23"/>
    </row>
    <row r="165" spans="1:14" ht="14.45">
      <c r="A165" s="23"/>
      <c r="B165" s="35"/>
      <c r="C165" s="23"/>
      <c r="D165" s="23"/>
      <c r="E165" s="23"/>
      <c r="F165" s="23"/>
      <c r="G165" s="23"/>
      <c r="H165" s="23"/>
      <c r="I165" s="24"/>
      <c r="J165" s="23"/>
      <c r="K165" s="23"/>
      <c r="L165" s="24"/>
      <c r="M165" s="23"/>
      <c r="N165" s="23"/>
    </row>
    <row r="166" spans="1:14" ht="14.45">
      <c r="A166" s="23"/>
      <c r="B166" s="35"/>
      <c r="C166" s="23"/>
      <c r="D166" s="23"/>
      <c r="E166" s="23"/>
      <c r="F166" s="23"/>
      <c r="G166" s="23"/>
      <c r="H166" s="23"/>
      <c r="I166" s="24"/>
      <c r="J166" s="23"/>
      <c r="K166" s="23"/>
      <c r="L166" s="24"/>
      <c r="M166" s="23"/>
      <c r="N166" s="23"/>
    </row>
    <row r="167" spans="1:14" ht="14.45">
      <c r="A167" s="23"/>
      <c r="B167" s="35"/>
      <c r="C167" s="23"/>
      <c r="D167" s="23"/>
      <c r="E167" s="23"/>
      <c r="F167" s="23"/>
      <c r="G167" s="23"/>
      <c r="H167" s="23"/>
      <c r="I167" s="24"/>
      <c r="J167" s="23"/>
      <c r="K167" s="23"/>
      <c r="L167" s="24"/>
      <c r="M167" s="23"/>
      <c r="N167" s="23"/>
    </row>
    <row r="168" spans="1:14" ht="14.45">
      <c r="A168" s="23"/>
      <c r="B168" s="35"/>
      <c r="C168" s="23"/>
      <c r="D168" s="23"/>
      <c r="E168" s="23"/>
      <c r="F168" s="23"/>
      <c r="G168" s="23"/>
      <c r="H168" s="23"/>
      <c r="I168" s="24"/>
      <c r="J168" s="23"/>
      <c r="K168" s="23"/>
      <c r="L168" s="24"/>
      <c r="M168" s="23"/>
      <c r="N168" s="23"/>
    </row>
    <row r="169" spans="1:14" ht="14.45">
      <c r="A169" s="23"/>
      <c r="B169" s="35"/>
      <c r="C169" s="23"/>
      <c r="D169" s="23"/>
      <c r="E169" s="23"/>
      <c r="F169" s="23"/>
      <c r="G169" s="23"/>
      <c r="H169" s="23"/>
      <c r="I169" s="24"/>
      <c r="J169" s="23"/>
      <c r="K169" s="23"/>
      <c r="L169" s="24"/>
      <c r="M169" s="23"/>
      <c r="N169" s="23"/>
    </row>
    <row r="170" spans="1:14" ht="14.45">
      <c r="A170" s="23"/>
      <c r="B170" s="35"/>
      <c r="C170" s="23"/>
      <c r="D170" s="23"/>
      <c r="E170" s="23"/>
      <c r="F170" s="23"/>
      <c r="G170" s="23"/>
      <c r="H170" s="23"/>
      <c r="I170" s="24"/>
      <c r="J170" s="23"/>
      <c r="K170" s="23"/>
      <c r="L170" s="24"/>
      <c r="M170" s="23"/>
      <c r="N170" s="23"/>
    </row>
    <row r="171" spans="1:14" ht="14.45">
      <c r="A171" s="23"/>
      <c r="B171" s="35"/>
      <c r="C171" s="23"/>
      <c r="D171" s="23"/>
      <c r="E171" s="23"/>
      <c r="F171" s="23"/>
      <c r="G171" s="23"/>
      <c r="H171" s="23"/>
      <c r="I171" s="24"/>
      <c r="J171" s="23"/>
      <c r="K171" s="23"/>
      <c r="L171" s="24"/>
      <c r="M171" s="23"/>
      <c r="N171" s="23"/>
    </row>
    <row r="172" spans="1:14" ht="14.45">
      <c r="A172" s="23"/>
      <c r="B172" s="35"/>
      <c r="C172" s="23"/>
      <c r="D172" s="23"/>
      <c r="E172" s="23"/>
      <c r="F172" s="23"/>
      <c r="G172" s="23"/>
      <c r="H172" s="23"/>
      <c r="I172" s="24"/>
      <c r="J172" s="23"/>
      <c r="K172" s="23"/>
      <c r="L172" s="24"/>
      <c r="M172" s="23"/>
      <c r="N172" s="23"/>
    </row>
    <row r="173" spans="1:14" ht="14.45">
      <c r="A173" s="23"/>
      <c r="B173" s="35"/>
      <c r="C173" s="23"/>
      <c r="D173" s="23"/>
      <c r="E173" s="23"/>
      <c r="F173" s="23"/>
      <c r="G173" s="23"/>
      <c r="H173" s="23"/>
      <c r="I173" s="24"/>
      <c r="J173" s="23"/>
      <c r="K173" s="23"/>
      <c r="L173" s="24"/>
      <c r="M173" s="23"/>
      <c r="N173" s="23"/>
    </row>
    <row r="174" spans="1:14" ht="14.45">
      <c r="A174" s="23"/>
      <c r="B174" s="35"/>
      <c r="C174" s="23"/>
      <c r="D174" s="23"/>
      <c r="E174" s="23"/>
      <c r="F174" s="23"/>
      <c r="G174" s="23"/>
      <c r="H174" s="23"/>
      <c r="I174" s="24"/>
      <c r="J174" s="23"/>
      <c r="K174" s="23"/>
      <c r="L174" s="24"/>
      <c r="M174" s="23"/>
      <c r="N174" s="23"/>
    </row>
    <row r="175" spans="1:14" ht="14.45">
      <c r="A175" s="23"/>
      <c r="B175" s="35"/>
      <c r="C175" s="23"/>
      <c r="D175" s="23"/>
      <c r="E175" s="23"/>
      <c r="F175" s="23"/>
      <c r="G175" s="23"/>
      <c r="H175" s="23"/>
      <c r="I175" s="24"/>
      <c r="J175" s="23"/>
      <c r="K175" s="23"/>
      <c r="L175" s="24"/>
      <c r="M175" s="23"/>
      <c r="N175" s="23"/>
    </row>
    <row r="176" spans="1:14" ht="14.45">
      <c r="A176" s="23"/>
      <c r="B176" s="35"/>
      <c r="C176" s="23"/>
      <c r="D176" s="23"/>
      <c r="E176" s="23"/>
      <c r="F176" s="23"/>
      <c r="G176" s="23"/>
      <c r="H176" s="23"/>
      <c r="I176" s="24"/>
      <c r="J176" s="23"/>
      <c r="K176" s="23"/>
      <c r="L176" s="24"/>
      <c r="M176" s="23"/>
      <c r="N176" s="23"/>
    </row>
    <row r="177" spans="1:14" ht="14.45">
      <c r="A177" s="23"/>
      <c r="B177" s="35"/>
      <c r="C177" s="23"/>
      <c r="D177" s="23"/>
      <c r="E177" s="23"/>
      <c r="F177" s="23"/>
      <c r="G177" s="23"/>
      <c r="H177" s="23"/>
      <c r="I177" s="24"/>
      <c r="J177" s="23"/>
      <c r="K177" s="23"/>
      <c r="L177" s="24"/>
      <c r="M177" s="23"/>
      <c r="N177" s="23"/>
    </row>
    <row r="178" spans="1:14" ht="14.45">
      <c r="A178" s="23"/>
      <c r="B178" s="35"/>
      <c r="C178" s="23"/>
      <c r="D178" s="23"/>
      <c r="E178" s="23"/>
      <c r="F178" s="23"/>
      <c r="G178" s="23"/>
      <c r="H178" s="23"/>
      <c r="I178" s="24"/>
      <c r="J178" s="23"/>
      <c r="K178" s="23"/>
      <c r="L178" s="24"/>
      <c r="M178" s="23"/>
      <c r="N178" s="23"/>
    </row>
    <row r="179" spans="1:14" ht="14.45">
      <c r="A179" s="23"/>
      <c r="B179" s="35"/>
      <c r="C179" s="23"/>
      <c r="D179" s="23"/>
      <c r="E179" s="23"/>
      <c r="F179" s="23"/>
      <c r="G179" s="23"/>
      <c r="H179" s="23"/>
      <c r="I179" s="24"/>
      <c r="J179" s="23"/>
      <c r="K179" s="23"/>
      <c r="L179" s="24"/>
      <c r="M179" s="23"/>
      <c r="N179" s="23"/>
    </row>
    <row r="180" spans="1:14" ht="14.45">
      <c r="A180" s="23"/>
      <c r="B180" s="35"/>
      <c r="C180" s="23"/>
      <c r="D180" s="23"/>
      <c r="E180" s="23"/>
      <c r="F180" s="23"/>
      <c r="G180" s="23"/>
      <c r="H180" s="23"/>
      <c r="I180" s="24"/>
      <c r="J180" s="23"/>
      <c r="K180" s="23"/>
      <c r="L180" s="24"/>
      <c r="M180" s="23"/>
      <c r="N180" s="23"/>
    </row>
    <row r="181" spans="1:14" ht="14.45">
      <c r="A181" s="23"/>
      <c r="B181" s="35"/>
      <c r="C181" s="23"/>
      <c r="D181" s="23"/>
      <c r="E181" s="23"/>
      <c r="F181" s="23"/>
      <c r="G181" s="23"/>
      <c r="H181" s="23"/>
      <c r="I181" s="24"/>
      <c r="J181" s="23"/>
      <c r="K181" s="23"/>
      <c r="L181" s="24"/>
      <c r="M181" s="23"/>
      <c r="N181" s="23"/>
    </row>
    <row r="182" spans="1:14" ht="14.45">
      <c r="A182" s="23"/>
      <c r="B182" s="35"/>
      <c r="C182" s="23"/>
      <c r="D182" s="23"/>
      <c r="E182" s="23"/>
      <c r="F182" s="23"/>
      <c r="G182" s="23"/>
      <c r="H182" s="23"/>
      <c r="I182" s="24"/>
      <c r="J182" s="23"/>
      <c r="K182" s="23"/>
      <c r="L182" s="24"/>
      <c r="M182" s="23"/>
      <c r="N182" s="23"/>
    </row>
    <row r="183" spans="1:14" ht="14.45">
      <c r="A183" s="23"/>
      <c r="B183" s="35"/>
      <c r="C183" s="23"/>
      <c r="D183" s="23"/>
      <c r="E183" s="23"/>
      <c r="F183" s="23"/>
      <c r="G183" s="23"/>
      <c r="H183" s="23"/>
      <c r="I183" s="24"/>
      <c r="J183" s="23"/>
      <c r="K183" s="23"/>
      <c r="L183" s="24"/>
      <c r="M183" s="23"/>
      <c r="N183" s="23"/>
    </row>
    <row r="184" spans="1:14" ht="14.45">
      <c r="A184" s="23"/>
      <c r="B184" s="35"/>
      <c r="C184" s="23"/>
      <c r="D184" s="23"/>
      <c r="E184" s="23"/>
      <c r="F184" s="23"/>
      <c r="G184" s="23"/>
      <c r="H184" s="23"/>
      <c r="I184" s="24"/>
      <c r="J184" s="23"/>
      <c r="K184" s="23"/>
      <c r="L184" s="24"/>
      <c r="M184" s="23"/>
      <c r="N184" s="23"/>
    </row>
    <row r="185" spans="1:14" ht="14.45">
      <c r="A185" s="23"/>
      <c r="B185" s="35"/>
      <c r="C185" s="23"/>
      <c r="D185" s="23"/>
      <c r="E185" s="23"/>
      <c r="F185" s="23"/>
      <c r="G185" s="23"/>
      <c r="H185" s="23"/>
      <c r="I185" s="24"/>
      <c r="J185" s="23"/>
      <c r="K185" s="23"/>
      <c r="L185" s="24"/>
      <c r="M185" s="23"/>
      <c r="N185" s="23"/>
    </row>
    <row r="186" spans="1:14" ht="14.45">
      <c r="A186" s="23"/>
      <c r="B186" s="35"/>
      <c r="C186" s="23"/>
      <c r="D186" s="23"/>
      <c r="E186" s="23"/>
      <c r="F186" s="23"/>
      <c r="G186" s="23"/>
      <c r="H186" s="23"/>
      <c r="I186" s="24"/>
      <c r="J186" s="23"/>
      <c r="K186" s="23"/>
      <c r="L186" s="24"/>
      <c r="M186" s="23"/>
      <c r="N186" s="23"/>
    </row>
    <row r="187" spans="1:14" ht="14.45">
      <c r="A187" s="23"/>
      <c r="B187" s="35"/>
      <c r="C187" s="23"/>
      <c r="D187" s="23"/>
      <c r="E187" s="23"/>
      <c r="F187" s="23"/>
      <c r="G187" s="23"/>
      <c r="H187" s="23"/>
      <c r="I187" s="24"/>
      <c r="J187" s="23"/>
      <c r="K187" s="23"/>
      <c r="L187" s="24"/>
      <c r="M187" s="23"/>
      <c r="N187" s="23"/>
    </row>
    <row r="188" spans="1:14" ht="14.45">
      <c r="A188" s="23"/>
      <c r="B188" s="35"/>
      <c r="C188" s="23"/>
      <c r="D188" s="23"/>
      <c r="E188" s="23"/>
      <c r="F188" s="23"/>
      <c r="G188" s="23"/>
      <c r="H188" s="23"/>
      <c r="I188" s="24"/>
      <c r="J188" s="23"/>
      <c r="K188" s="23"/>
      <c r="L188" s="24"/>
      <c r="M188" s="23"/>
      <c r="N188" s="23"/>
    </row>
    <row r="189" spans="1:14" ht="14.45">
      <c r="A189" s="23"/>
      <c r="B189" s="35"/>
      <c r="C189" s="23"/>
      <c r="D189" s="23"/>
      <c r="E189" s="23"/>
      <c r="F189" s="23"/>
      <c r="G189" s="23"/>
      <c r="H189" s="23"/>
      <c r="I189" s="24"/>
      <c r="J189" s="23"/>
      <c r="K189" s="23"/>
      <c r="L189" s="24"/>
      <c r="M189" s="23"/>
      <c r="N189" s="23"/>
    </row>
    <row r="190" spans="1:14" ht="14.45">
      <c r="A190" s="23"/>
      <c r="B190" s="35"/>
      <c r="C190" s="23"/>
      <c r="D190" s="23"/>
      <c r="E190" s="23"/>
      <c r="F190" s="23"/>
      <c r="G190" s="23"/>
      <c r="H190" s="23"/>
      <c r="I190" s="24"/>
      <c r="J190" s="23"/>
      <c r="K190" s="23"/>
      <c r="L190" s="24"/>
      <c r="M190" s="23"/>
      <c r="N190" s="23"/>
    </row>
    <row r="191" spans="1:14" ht="14.45">
      <c r="A191" s="23"/>
      <c r="B191" s="35"/>
      <c r="C191" s="23"/>
      <c r="D191" s="23"/>
      <c r="E191" s="23"/>
      <c r="F191" s="23"/>
      <c r="G191" s="23"/>
      <c r="H191" s="23"/>
      <c r="I191" s="24"/>
      <c r="J191" s="23"/>
      <c r="K191" s="23"/>
      <c r="L191" s="24"/>
      <c r="M191" s="23"/>
      <c r="N191" s="23"/>
    </row>
    <row r="192" spans="1:14" ht="14.45">
      <c r="A192" s="23"/>
      <c r="B192" s="35"/>
      <c r="C192" s="23"/>
      <c r="D192" s="23"/>
      <c r="E192" s="23"/>
      <c r="F192" s="23"/>
      <c r="G192" s="23"/>
      <c r="H192" s="23"/>
      <c r="I192" s="24"/>
      <c r="J192" s="23"/>
      <c r="K192" s="23"/>
      <c r="L192" s="24"/>
      <c r="M192" s="23"/>
      <c r="N192" s="23"/>
    </row>
    <row r="193" spans="1:14" ht="14.45">
      <c r="A193" s="23"/>
      <c r="B193" s="35"/>
      <c r="C193" s="23"/>
      <c r="D193" s="23"/>
      <c r="E193" s="23"/>
      <c r="F193" s="23"/>
      <c r="G193" s="23"/>
      <c r="H193" s="23"/>
      <c r="I193" s="24"/>
      <c r="J193" s="23"/>
      <c r="K193" s="23"/>
      <c r="L193" s="24"/>
      <c r="M193" s="23"/>
      <c r="N193" s="23"/>
    </row>
    <row r="194" spans="1:14" ht="14.45">
      <c r="A194" s="23"/>
      <c r="B194" s="35"/>
      <c r="C194" s="23"/>
      <c r="D194" s="23"/>
      <c r="E194" s="23"/>
      <c r="F194" s="23"/>
      <c r="G194" s="23"/>
      <c r="H194" s="23"/>
      <c r="I194" s="24"/>
      <c r="J194" s="23"/>
      <c r="K194" s="23"/>
      <c r="L194" s="24"/>
      <c r="M194" s="23"/>
      <c r="N194" s="23"/>
    </row>
    <row r="195" spans="1:14" ht="14.45">
      <c r="A195" s="23"/>
      <c r="B195" s="35"/>
      <c r="C195" s="23"/>
      <c r="D195" s="23"/>
      <c r="E195" s="23"/>
      <c r="F195" s="23"/>
      <c r="G195" s="23"/>
      <c r="H195" s="23"/>
      <c r="I195" s="24"/>
      <c r="J195" s="23"/>
      <c r="K195" s="23"/>
      <c r="L195" s="24"/>
      <c r="M195" s="23"/>
      <c r="N195" s="23"/>
    </row>
    <row r="196" spans="1:14" ht="14.45">
      <c r="A196" s="23"/>
      <c r="B196" s="35"/>
      <c r="C196" s="23"/>
      <c r="D196" s="23"/>
      <c r="E196" s="23"/>
      <c r="F196" s="23"/>
      <c r="G196" s="23"/>
      <c r="H196" s="23"/>
      <c r="I196" s="24"/>
      <c r="J196" s="23"/>
      <c r="K196" s="23"/>
      <c r="L196" s="24"/>
      <c r="M196" s="23"/>
      <c r="N196" s="23"/>
    </row>
    <row r="197" spans="1:14" ht="14.45">
      <c r="A197" s="23"/>
      <c r="B197" s="35"/>
      <c r="C197" s="23"/>
      <c r="D197" s="23"/>
      <c r="E197" s="23"/>
      <c r="F197" s="23"/>
      <c r="G197" s="23"/>
      <c r="H197" s="23"/>
      <c r="I197" s="24"/>
      <c r="J197" s="23"/>
      <c r="K197" s="23"/>
      <c r="L197" s="24"/>
      <c r="M197" s="23"/>
      <c r="N197" s="23"/>
    </row>
    <row r="198" spans="1:14" ht="14.45">
      <c r="A198" s="23"/>
      <c r="B198" s="35"/>
      <c r="C198" s="23"/>
      <c r="D198" s="23"/>
      <c r="E198" s="23"/>
      <c r="F198" s="23"/>
      <c r="G198" s="23"/>
      <c r="H198" s="23"/>
      <c r="I198" s="24"/>
      <c r="J198" s="23"/>
      <c r="K198" s="23"/>
      <c r="L198" s="24"/>
      <c r="M198" s="23"/>
      <c r="N198" s="23"/>
    </row>
    <row r="199" spans="1:14" ht="14.45">
      <c r="A199" s="23"/>
      <c r="B199" s="35"/>
      <c r="C199" s="23"/>
      <c r="D199" s="23"/>
      <c r="E199" s="23"/>
      <c r="F199" s="23"/>
      <c r="G199" s="23"/>
      <c r="H199" s="23"/>
      <c r="I199" s="24"/>
      <c r="J199" s="23"/>
      <c r="K199" s="23"/>
      <c r="L199" s="24"/>
      <c r="M199" s="23"/>
      <c r="N199" s="23"/>
    </row>
    <row r="200" spans="1:14" ht="14.45">
      <c r="A200" s="23"/>
      <c r="B200" s="35"/>
      <c r="C200" s="23"/>
      <c r="D200" s="23"/>
      <c r="E200" s="23"/>
      <c r="F200" s="23"/>
      <c r="G200" s="23"/>
      <c r="H200" s="23"/>
      <c r="I200" s="24"/>
      <c r="J200" s="23"/>
      <c r="K200" s="23"/>
      <c r="L200" s="24"/>
      <c r="M200" s="23"/>
      <c r="N200" s="23"/>
    </row>
    <row r="201" spans="1:14" ht="14.45">
      <c r="A201" s="23"/>
      <c r="B201" s="35"/>
      <c r="C201" s="23"/>
      <c r="D201" s="23"/>
      <c r="E201" s="23"/>
      <c r="F201" s="23"/>
      <c r="G201" s="23"/>
      <c r="H201" s="23"/>
      <c r="I201" s="24"/>
      <c r="J201" s="23"/>
      <c r="K201" s="23"/>
      <c r="L201" s="24"/>
      <c r="M201" s="23"/>
      <c r="N201" s="23"/>
    </row>
    <row r="202" spans="1:14" ht="14.45">
      <c r="A202" s="23"/>
      <c r="B202" s="35"/>
      <c r="C202" s="23"/>
      <c r="D202" s="23"/>
      <c r="E202" s="23"/>
      <c r="F202" s="23"/>
      <c r="G202" s="23"/>
      <c r="H202" s="23"/>
      <c r="I202" s="24"/>
      <c r="J202" s="23"/>
      <c r="K202" s="23"/>
      <c r="L202" s="24"/>
      <c r="M202" s="23"/>
      <c r="N202" s="23"/>
    </row>
    <row r="203" spans="1:14" ht="14.45">
      <c r="A203" s="23"/>
      <c r="B203" s="35"/>
      <c r="C203" s="23"/>
      <c r="D203" s="23"/>
      <c r="E203" s="23"/>
      <c r="F203" s="23"/>
      <c r="G203" s="23"/>
      <c r="H203" s="23"/>
      <c r="I203" s="24"/>
      <c r="J203" s="23"/>
      <c r="K203" s="23"/>
      <c r="L203" s="24"/>
      <c r="M203" s="23"/>
      <c r="N203" s="23"/>
    </row>
    <row r="204" spans="1:14" ht="14.45">
      <c r="A204" s="23"/>
      <c r="B204" s="35"/>
      <c r="C204" s="23"/>
      <c r="D204" s="23"/>
      <c r="E204" s="23"/>
      <c r="F204" s="23"/>
      <c r="G204" s="23"/>
      <c r="H204" s="23"/>
      <c r="I204" s="24"/>
      <c r="J204" s="23"/>
      <c r="K204" s="23"/>
      <c r="L204" s="24"/>
      <c r="M204" s="23"/>
      <c r="N204" s="23"/>
    </row>
    <row r="205" spans="1:14" ht="14.45">
      <c r="A205" s="23"/>
      <c r="B205" s="35"/>
      <c r="C205" s="23"/>
      <c r="D205" s="23"/>
      <c r="E205" s="23"/>
      <c r="F205" s="23"/>
      <c r="G205" s="23"/>
      <c r="H205" s="23"/>
      <c r="I205" s="24"/>
      <c r="J205" s="23"/>
      <c r="K205" s="23"/>
      <c r="L205" s="24"/>
      <c r="M205" s="23"/>
      <c r="N205" s="23"/>
    </row>
    <row r="206" spans="1:14" ht="14.45">
      <c r="A206" s="23"/>
      <c r="B206" s="35"/>
      <c r="C206" s="23"/>
      <c r="D206" s="23"/>
      <c r="E206" s="23"/>
      <c r="F206" s="23"/>
      <c r="G206" s="23"/>
      <c r="H206" s="23"/>
      <c r="I206" s="24"/>
      <c r="J206" s="23"/>
      <c r="K206" s="23"/>
      <c r="L206" s="24"/>
      <c r="M206" s="23"/>
      <c r="N206" s="23"/>
    </row>
    <row r="207" spans="1:14" ht="14.45">
      <c r="A207" s="23"/>
      <c r="B207" s="35"/>
      <c r="C207" s="23"/>
      <c r="D207" s="23"/>
      <c r="E207" s="23"/>
      <c r="F207" s="23"/>
      <c r="G207" s="23"/>
      <c r="H207" s="23"/>
      <c r="I207" s="24"/>
      <c r="J207" s="23"/>
      <c r="K207" s="23"/>
      <c r="L207" s="24"/>
      <c r="M207" s="23"/>
      <c r="N207" s="23"/>
    </row>
    <row r="208" spans="1:14" ht="14.45">
      <c r="A208" s="23"/>
      <c r="B208" s="35"/>
      <c r="C208" s="23"/>
      <c r="D208" s="23"/>
      <c r="E208" s="23"/>
      <c r="F208" s="23"/>
      <c r="G208" s="23"/>
      <c r="H208" s="23"/>
      <c r="I208" s="24"/>
      <c r="J208" s="23"/>
      <c r="K208" s="23"/>
      <c r="L208" s="24"/>
      <c r="M208" s="23"/>
      <c r="N208" s="23"/>
    </row>
    <row r="209" spans="1:14" ht="14.45">
      <c r="A209" s="23"/>
      <c r="B209" s="35"/>
      <c r="C209" s="23"/>
      <c r="D209" s="23"/>
      <c r="E209" s="23"/>
      <c r="F209" s="23"/>
      <c r="G209" s="23"/>
      <c r="H209" s="23"/>
      <c r="I209" s="24"/>
      <c r="J209" s="23"/>
      <c r="K209" s="23"/>
      <c r="L209" s="24"/>
      <c r="M209" s="23"/>
      <c r="N209" s="23"/>
    </row>
    <row r="210" spans="1:14" ht="14.45">
      <c r="A210" s="23"/>
      <c r="B210" s="35"/>
      <c r="C210" s="23"/>
      <c r="D210" s="23"/>
      <c r="E210" s="23"/>
      <c r="F210" s="23"/>
      <c r="G210" s="23"/>
      <c r="H210" s="23"/>
      <c r="I210" s="24"/>
      <c r="J210" s="23"/>
      <c r="K210" s="23"/>
      <c r="L210" s="24"/>
      <c r="M210" s="23"/>
      <c r="N210" s="23"/>
    </row>
    <row r="211" spans="1:14" ht="14.45">
      <c r="A211" s="23"/>
      <c r="B211" s="35"/>
      <c r="C211" s="23"/>
      <c r="D211" s="23"/>
      <c r="E211" s="23"/>
      <c r="F211" s="23"/>
      <c r="G211" s="23"/>
      <c r="H211" s="23"/>
      <c r="I211" s="24"/>
      <c r="J211" s="23"/>
      <c r="K211" s="23"/>
      <c r="L211" s="24"/>
      <c r="M211" s="23"/>
      <c r="N211" s="23"/>
    </row>
    <row r="212" spans="1:14" ht="14.45">
      <c r="A212" s="23"/>
      <c r="B212" s="35"/>
      <c r="C212" s="23"/>
      <c r="D212" s="23"/>
      <c r="E212" s="23"/>
      <c r="F212" s="23"/>
      <c r="G212" s="23"/>
      <c r="H212" s="23"/>
      <c r="I212" s="24"/>
      <c r="J212" s="23"/>
      <c r="K212" s="23"/>
      <c r="L212" s="24"/>
      <c r="M212" s="23"/>
      <c r="N212" s="23"/>
    </row>
    <row r="213" spans="1:14" ht="14.45">
      <c r="A213" s="23"/>
      <c r="B213" s="35"/>
      <c r="C213" s="23"/>
      <c r="D213" s="23"/>
      <c r="E213" s="23"/>
      <c r="F213" s="23"/>
      <c r="G213" s="23"/>
      <c r="H213" s="23"/>
      <c r="I213" s="24"/>
      <c r="J213" s="23"/>
      <c r="K213" s="23"/>
      <c r="L213" s="24"/>
      <c r="M213" s="23"/>
      <c r="N213" s="23"/>
    </row>
    <row r="214" spans="1:14" ht="14.45">
      <c r="A214" s="23"/>
      <c r="B214" s="35"/>
      <c r="C214" s="23"/>
      <c r="D214" s="23"/>
      <c r="E214" s="23"/>
      <c r="F214" s="23"/>
      <c r="G214" s="23"/>
      <c r="H214" s="23"/>
      <c r="I214" s="24"/>
      <c r="J214" s="23"/>
      <c r="K214" s="23"/>
      <c r="L214" s="24"/>
      <c r="M214" s="23"/>
      <c r="N214" s="23"/>
    </row>
    <row r="215" spans="1:14" ht="14.45">
      <c r="A215" s="23"/>
      <c r="B215" s="35"/>
      <c r="C215" s="23"/>
      <c r="D215" s="23"/>
      <c r="E215" s="23"/>
      <c r="F215" s="23"/>
      <c r="G215" s="23"/>
      <c r="H215" s="23"/>
      <c r="I215" s="24"/>
      <c r="J215" s="23"/>
      <c r="K215" s="23"/>
      <c r="L215" s="24"/>
      <c r="M215" s="23"/>
      <c r="N215" s="23"/>
    </row>
    <row r="216" spans="1:14" ht="14.45">
      <c r="A216" s="23"/>
      <c r="B216" s="35"/>
      <c r="C216" s="23"/>
      <c r="D216" s="23"/>
      <c r="E216" s="23"/>
      <c r="F216" s="23"/>
      <c r="G216" s="23"/>
      <c r="H216" s="23"/>
      <c r="I216" s="24"/>
      <c r="J216" s="23"/>
      <c r="K216" s="23"/>
      <c r="L216" s="24"/>
      <c r="M216" s="23"/>
      <c r="N216" s="23"/>
    </row>
    <row r="217" spans="1:14" ht="14.45">
      <c r="A217" s="23"/>
      <c r="B217" s="35"/>
      <c r="C217" s="23"/>
      <c r="D217" s="23"/>
      <c r="E217" s="23"/>
      <c r="F217" s="23"/>
      <c r="G217" s="23"/>
      <c r="H217" s="23"/>
      <c r="I217" s="24"/>
      <c r="J217" s="23"/>
      <c r="K217" s="23"/>
      <c r="L217" s="24"/>
      <c r="M217" s="23"/>
      <c r="N217" s="23"/>
    </row>
    <row r="218" spans="1:14" ht="14.45">
      <c r="A218" s="23"/>
      <c r="B218" s="35"/>
      <c r="C218" s="23"/>
      <c r="D218" s="23"/>
      <c r="E218" s="23"/>
      <c r="F218" s="23"/>
      <c r="G218" s="23"/>
      <c r="H218" s="23"/>
      <c r="I218" s="24"/>
      <c r="J218" s="23"/>
      <c r="K218" s="23"/>
      <c r="L218" s="24"/>
      <c r="M218" s="23"/>
      <c r="N218" s="23"/>
    </row>
    <row r="219" spans="1:14" ht="14.45">
      <c r="A219" s="23"/>
      <c r="B219" s="35"/>
      <c r="C219" s="23"/>
      <c r="D219" s="23"/>
      <c r="E219" s="23"/>
      <c r="F219" s="23"/>
      <c r="G219" s="23"/>
      <c r="H219" s="23"/>
      <c r="I219" s="24"/>
      <c r="J219" s="23"/>
      <c r="K219" s="23"/>
      <c r="L219" s="24"/>
      <c r="M219" s="23"/>
      <c r="N219" s="23"/>
    </row>
    <row r="220" spans="1:14" ht="14.45">
      <c r="A220" s="23"/>
      <c r="B220" s="35"/>
      <c r="C220" s="23"/>
      <c r="D220" s="23"/>
      <c r="E220" s="23"/>
      <c r="F220" s="23"/>
      <c r="G220" s="23"/>
      <c r="H220" s="23"/>
      <c r="I220" s="24"/>
      <c r="J220" s="23"/>
      <c r="K220" s="23"/>
      <c r="L220" s="24"/>
      <c r="M220" s="23"/>
      <c r="N220" s="23"/>
    </row>
    <row r="221" spans="1:14" ht="14.45">
      <c r="A221" s="23"/>
      <c r="B221" s="35"/>
      <c r="C221" s="23"/>
      <c r="D221" s="23"/>
      <c r="E221" s="23"/>
      <c r="F221" s="23"/>
      <c r="G221" s="23"/>
      <c r="H221" s="23"/>
      <c r="I221" s="24"/>
      <c r="J221" s="23"/>
      <c r="K221" s="23"/>
      <c r="L221" s="24"/>
      <c r="M221" s="23"/>
      <c r="N221" s="23"/>
    </row>
    <row r="222" spans="1:14" ht="14.45">
      <c r="A222" s="23"/>
      <c r="B222" s="35"/>
      <c r="C222" s="23"/>
      <c r="D222" s="23"/>
      <c r="E222" s="23"/>
      <c r="F222" s="23"/>
      <c r="G222" s="23"/>
      <c r="H222" s="23"/>
      <c r="I222" s="24"/>
      <c r="J222" s="23"/>
      <c r="K222" s="23"/>
      <c r="L222" s="24"/>
      <c r="M222" s="23"/>
      <c r="N222" s="23"/>
    </row>
    <row r="223" spans="1:14" ht="14.45">
      <c r="A223" s="23"/>
      <c r="B223" s="35"/>
      <c r="C223" s="23"/>
      <c r="D223" s="23"/>
      <c r="E223" s="23"/>
      <c r="F223" s="23"/>
      <c r="G223" s="23"/>
      <c r="H223" s="23"/>
      <c r="I223" s="24"/>
      <c r="J223" s="23"/>
      <c r="K223" s="23"/>
      <c r="L223" s="24"/>
      <c r="M223" s="23"/>
      <c r="N223" s="23"/>
    </row>
    <row r="224" spans="1:14" ht="14.45">
      <c r="A224" s="23"/>
      <c r="B224" s="35"/>
      <c r="C224" s="23"/>
      <c r="D224" s="23"/>
      <c r="E224" s="23"/>
      <c r="F224" s="23"/>
      <c r="G224" s="23"/>
      <c r="H224" s="23"/>
      <c r="I224" s="24"/>
      <c r="J224" s="23"/>
      <c r="K224" s="23"/>
      <c r="L224" s="24"/>
      <c r="M224" s="23"/>
      <c r="N224" s="23"/>
    </row>
    <row r="225" spans="1:14" ht="14.45">
      <c r="A225" s="23"/>
      <c r="B225" s="35"/>
      <c r="C225" s="23"/>
      <c r="D225" s="23"/>
      <c r="E225" s="23"/>
      <c r="F225" s="23"/>
      <c r="G225" s="23"/>
      <c r="H225" s="23"/>
      <c r="I225" s="24"/>
      <c r="J225" s="23"/>
      <c r="K225" s="23"/>
      <c r="L225" s="24"/>
      <c r="M225" s="23"/>
      <c r="N225" s="23"/>
    </row>
    <row r="226" spans="1:14" ht="14.45">
      <c r="A226" s="23"/>
      <c r="B226" s="35"/>
      <c r="C226" s="23"/>
      <c r="D226" s="23"/>
      <c r="E226" s="23"/>
      <c r="F226" s="23"/>
      <c r="G226" s="23"/>
      <c r="H226" s="23"/>
      <c r="I226" s="24"/>
      <c r="J226" s="23"/>
      <c r="K226" s="23"/>
      <c r="L226" s="24"/>
      <c r="M226" s="23"/>
      <c r="N226" s="23"/>
    </row>
    <row r="227" spans="1:14" ht="14.45">
      <c r="A227" s="23"/>
      <c r="B227" s="35"/>
      <c r="C227" s="23"/>
      <c r="D227" s="23"/>
      <c r="E227" s="23"/>
      <c r="F227" s="23"/>
      <c r="G227" s="23"/>
      <c r="H227" s="23"/>
      <c r="I227" s="24"/>
      <c r="J227" s="23"/>
      <c r="K227" s="23"/>
      <c r="L227" s="24"/>
      <c r="M227" s="23"/>
      <c r="N227" s="23"/>
    </row>
    <row r="228" spans="1:14" ht="14.45">
      <c r="A228" s="23"/>
      <c r="B228" s="35"/>
      <c r="C228" s="23"/>
      <c r="D228" s="23"/>
      <c r="E228" s="23"/>
      <c r="F228" s="23"/>
      <c r="G228" s="23"/>
      <c r="H228" s="23"/>
      <c r="I228" s="24"/>
      <c r="J228" s="23"/>
      <c r="K228" s="23"/>
      <c r="L228" s="24"/>
      <c r="M228" s="23"/>
      <c r="N228" s="23"/>
    </row>
    <row r="229" spans="1:14" ht="14.45">
      <c r="A229" s="23"/>
      <c r="B229" s="35"/>
      <c r="C229" s="23"/>
      <c r="D229" s="23"/>
      <c r="E229" s="23"/>
      <c r="F229" s="23"/>
      <c r="G229" s="23"/>
      <c r="H229" s="23"/>
      <c r="I229" s="24"/>
      <c r="J229" s="23"/>
      <c r="K229" s="23"/>
      <c r="L229" s="24"/>
      <c r="M229" s="23"/>
      <c r="N229" s="23"/>
    </row>
    <row r="230" spans="1:14" ht="14.45">
      <c r="A230" s="23"/>
      <c r="B230" s="35"/>
      <c r="C230" s="23"/>
      <c r="D230" s="23"/>
      <c r="E230" s="23"/>
      <c r="F230" s="23"/>
      <c r="G230" s="23"/>
      <c r="H230" s="23"/>
      <c r="I230" s="24"/>
      <c r="J230" s="23"/>
      <c r="K230" s="23"/>
      <c r="L230" s="24"/>
      <c r="M230" s="23"/>
      <c r="N230" s="23"/>
    </row>
    <row r="231" spans="1:14" ht="14.45">
      <c r="A231" s="23"/>
      <c r="B231" s="35"/>
      <c r="C231" s="23"/>
      <c r="D231" s="23"/>
      <c r="E231" s="23"/>
      <c r="F231" s="23"/>
      <c r="G231" s="23"/>
      <c r="H231" s="23"/>
      <c r="I231" s="24"/>
      <c r="J231" s="23"/>
      <c r="K231" s="23"/>
      <c r="L231" s="24"/>
      <c r="M231" s="23"/>
      <c r="N231" s="23"/>
    </row>
    <row r="232" spans="1:14" ht="14.45">
      <c r="A232" s="23"/>
      <c r="B232" s="35"/>
      <c r="C232" s="23"/>
      <c r="D232" s="23"/>
      <c r="E232" s="23"/>
      <c r="F232" s="23"/>
      <c r="G232" s="23"/>
      <c r="H232" s="23"/>
      <c r="I232" s="24"/>
      <c r="J232" s="23"/>
      <c r="K232" s="23"/>
      <c r="L232" s="24"/>
      <c r="M232" s="23"/>
      <c r="N232" s="23"/>
    </row>
    <row r="233" spans="1:14" ht="14.45">
      <c r="A233" s="23"/>
      <c r="B233" s="35"/>
      <c r="C233" s="23"/>
      <c r="D233" s="23"/>
      <c r="E233" s="23"/>
      <c r="F233" s="23"/>
      <c r="G233" s="23"/>
      <c r="H233" s="23"/>
      <c r="I233" s="24"/>
      <c r="J233" s="23"/>
      <c r="K233" s="23"/>
      <c r="L233" s="24"/>
      <c r="M233" s="23"/>
      <c r="N233" s="23"/>
    </row>
    <row r="234" spans="1:14" ht="14.45">
      <c r="A234" s="23"/>
      <c r="B234" s="35"/>
      <c r="C234" s="23"/>
      <c r="D234" s="23"/>
      <c r="E234" s="23"/>
      <c r="F234" s="23"/>
      <c r="G234" s="23"/>
      <c r="H234" s="23"/>
      <c r="I234" s="24"/>
      <c r="J234" s="23"/>
      <c r="K234" s="23"/>
      <c r="L234" s="24"/>
      <c r="M234" s="23"/>
      <c r="N234" s="23"/>
    </row>
    <row r="235" spans="1:14" ht="14.45">
      <c r="A235" s="23"/>
      <c r="B235" s="35"/>
      <c r="C235" s="23"/>
      <c r="D235" s="23"/>
      <c r="E235" s="23"/>
      <c r="F235" s="23"/>
      <c r="G235" s="23"/>
      <c r="H235" s="23"/>
      <c r="I235" s="24"/>
      <c r="J235" s="23"/>
      <c r="K235" s="23"/>
      <c r="L235" s="24"/>
      <c r="M235" s="23"/>
      <c r="N235" s="23"/>
    </row>
    <row r="236" spans="1:14" ht="14.45">
      <c r="A236" s="23"/>
      <c r="B236" s="35"/>
      <c r="C236" s="23"/>
      <c r="D236" s="23"/>
      <c r="E236" s="23"/>
      <c r="F236" s="23"/>
      <c r="G236" s="23"/>
      <c r="H236" s="23"/>
      <c r="I236" s="24"/>
      <c r="J236" s="23"/>
      <c r="K236" s="23"/>
      <c r="L236" s="24"/>
      <c r="M236" s="23"/>
      <c r="N236" s="23"/>
    </row>
    <row r="237" spans="1:14" ht="14.45">
      <c r="A237" s="23"/>
      <c r="B237" s="35"/>
      <c r="C237" s="23"/>
      <c r="D237" s="23"/>
      <c r="E237" s="23"/>
      <c r="F237" s="23"/>
      <c r="G237" s="23"/>
      <c r="H237" s="23"/>
      <c r="I237" s="24"/>
      <c r="J237" s="23"/>
      <c r="K237" s="23"/>
      <c r="L237" s="24"/>
      <c r="M237" s="23"/>
      <c r="N237" s="23"/>
    </row>
    <row r="238" spans="1:14" ht="14.45">
      <c r="A238" s="23"/>
      <c r="B238" s="35"/>
      <c r="C238" s="23"/>
      <c r="D238" s="23"/>
      <c r="E238" s="23"/>
      <c r="F238" s="23"/>
      <c r="G238" s="23"/>
      <c r="H238" s="23"/>
      <c r="I238" s="24"/>
      <c r="J238" s="23"/>
      <c r="K238" s="23"/>
      <c r="L238" s="24"/>
      <c r="M238" s="23"/>
      <c r="N238" s="23"/>
    </row>
    <row r="239" spans="1:14" ht="14.45">
      <c r="A239" s="23"/>
      <c r="B239" s="35"/>
      <c r="C239" s="23"/>
      <c r="D239" s="23"/>
      <c r="E239" s="23"/>
      <c r="F239" s="23"/>
      <c r="G239" s="23"/>
      <c r="H239" s="23"/>
      <c r="I239" s="24"/>
      <c r="J239" s="23"/>
      <c r="K239" s="23"/>
      <c r="L239" s="24"/>
      <c r="M239" s="23"/>
      <c r="N239" s="23"/>
    </row>
    <row r="240" spans="1:14" ht="14.45">
      <c r="A240" s="23"/>
      <c r="B240" s="35"/>
      <c r="C240" s="23"/>
      <c r="D240" s="23"/>
      <c r="E240" s="23"/>
      <c r="F240" s="23"/>
      <c r="G240" s="23"/>
      <c r="H240" s="23"/>
      <c r="I240" s="24"/>
      <c r="J240" s="23"/>
      <c r="K240" s="23"/>
      <c r="L240" s="24"/>
      <c r="M240" s="23"/>
      <c r="N240" s="23"/>
    </row>
    <row r="241" spans="1:14" ht="14.45">
      <c r="A241" s="23"/>
      <c r="B241" s="35"/>
      <c r="C241" s="23"/>
      <c r="D241" s="23"/>
      <c r="E241" s="23"/>
      <c r="F241" s="23"/>
      <c r="G241" s="23"/>
      <c r="H241" s="23"/>
      <c r="I241" s="24"/>
      <c r="J241" s="23"/>
      <c r="K241" s="23"/>
      <c r="L241" s="24"/>
      <c r="M241" s="23"/>
      <c r="N241" s="23"/>
    </row>
    <row r="242" spans="1:14" ht="14.45">
      <c r="A242" s="23"/>
      <c r="B242" s="35"/>
      <c r="C242" s="23"/>
      <c r="D242" s="23"/>
      <c r="E242" s="23"/>
      <c r="F242" s="23"/>
      <c r="G242" s="23"/>
      <c r="H242" s="23"/>
      <c r="I242" s="24"/>
      <c r="J242" s="23"/>
      <c r="K242" s="23"/>
      <c r="L242" s="24"/>
      <c r="M242" s="23"/>
      <c r="N242" s="23"/>
    </row>
    <row r="243" spans="1:14" ht="14.45">
      <c r="A243" s="23"/>
      <c r="B243" s="35"/>
      <c r="C243" s="23"/>
      <c r="D243" s="23"/>
      <c r="E243" s="23"/>
      <c r="F243" s="23"/>
      <c r="G243" s="23"/>
      <c r="H243" s="23"/>
      <c r="I243" s="24"/>
      <c r="J243" s="23"/>
      <c r="K243" s="23"/>
      <c r="L243" s="24"/>
      <c r="M243" s="23"/>
      <c r="N243" s="23"/>
    </row>
    <row r="244" spans="1:14" ht="14.45">
      <c r="A244" s="23"/>
      <c r="B244" s="35"/>
      <c r="C244" s="23"/>
      <c r="D244" s="23"/>
      <c r="E244" s="23"/>
      <c r="F244" s="23"/>
      <c r="G244" s="23"/>
      <c r="H244" s="23"/>
      <c r="I244" s="24"/>
      <c r="J244" s="23"/>
      <c r="K244" s="23"/>
      <c r="L244" s="24"/>
      <c r="M244" s="23"/>
      <c r="N244" s="23"/>
    </row>
    <row r="245" spans="1:14" ht="14.45">
      <c r="A245" s="23"/>
      <c r="B245" s="35"/>
      <c r="C245" s="23"/>
      <c r="D245" s="23"/>
      <c r="E245" s="23"/>
      <c r="F245" s="23"/>
      <c r="G245" s="23"/>
      <c r="H245" s="23"/>
      <c r="I245" s="24"/>
      <c r="J245" s="23"/>
      <c r="K245" s="23"/>
      <c r="L245" s="24"/>
      <c r="M245" s="23"/>
      <c r="N245" s="23"/>
    </row>
    <row r="246" spans="1:14" ht="14.45">
      <c r="A246" s="23"/>
      <c r="B246" s="35"/>
      <c r="C246" s="23"/>
      <c r="D246" s="23"/>
      <c r="E246" s="23"/>
      <c r="F246" s="23"/>
      <c r="G246" s="23"/>
      <c r="H246" s="23"/>
      <c r="I246" s="24"/>
      <c r="J246" s="23"/>
      <c r="K246" s="23"/>
      <c r="L246" s="24"/>
      <c r="M246" s="23"/>
      <c r="N246" s="23"/>
    </row>
    <row r="247" spans="1:14" ht="14.45">
      <c r="A247" s="23"/>
      <c r="B247" s="35"/>
      <c r="C247" s="23"/>
      <c r="D247" s="23"/>
      <c r="E247" s="23"/>
      <c r="F247" s="23"/>
      <c r="G247" s="23"/>
      <c r="H247" s="23"/>
      <c r="I247" s="24"/>
      <c r="J247" s="23"/>
      <c r="K247" s="23"/>
      <c r="L247" s="24"/>
      <c r="M247" s="23"/>
      <c r="N247" s="23"/>
    </row>
    <row r="248" spans="1:14" ht="14.45">
      <c r="A248" s="23"/>
      <c r="B248" s="35"/>
      <c r="C248" s="23"/>
      <c r="D248" s="23"/>
      <c r="E248" s="23"/>
      <c r="F248" s="23"/>
      <c r="G248" s="23"/>
      <c r="H248" s="23"/>
      <c r="I248" s="24"/>
      <c r="J248" s="23"/>
      <c r="K248" s="23"/>
      <c r="L248" s="24"/>
      <c r="M248" s="23"/>
      <c r="N248" s="23"/>
    </row>
    <row r="249" spans="1:14" ht="14.45">
      <c r="A249" s="23"/>
      <c r="B249" s="35"/>
      <c r="C249" s="23"/>
      <c r="D249" s="23"/>
      <c r="E249" s="23"/>
      <c r="F249" s="23"/>
      <c r="G249" s="23"/>
      <c r="H249" s="23"/>
      <c r="I249" s="24"/>
      <c r="J249" s="23"/>
      <c r="K249" s="23"/>
      <c r="L249" s="24"/>
      <c r="M249" s="23"/>
      <c r="N249" s="23"/>
    </row>
    <row r="250" spans="1:14" ht="14.45">
      <c r="A250" s="23"/>
      <c r="B250" s="35"/>
      <c r="C250" s="23"/>
      <c r="D250" s="23"/>
      <c r="E250" s="23"/>
      <c r="F250" s="23"/>
      <c r="G250" s="23"/>
      <c r="H250" s="23"/>
      <c r="I250" s="24"/>
      <c r="J250" s="23"/>
      <c r="K250" s="23"/>
      <c r="L250" s="24"/>
      <c r="M250" s="23"/>
      <c r="N250" s="23"/>
    </row>
    <row r="251" spans="1:14" ht="14.45">
      <c r="A251" s="23"/>
      <c r="B251" s="35"/>
      <c r="C251" s="23"/>
      <c r="D251" s="23"/>
      <c r="E251" s="23"/>
      <c r="F251" s="23"/>
      <c r="G251" s="23"/>
      <c r="H251" s="23"/>
      <c r="I251" s="24"/>
      <c r="J251" s="23"/>
      <c r="K251" s="23"/>
      <c r="L251" s="24"/>
      <c r="M251" s="23"/>
      <c r="N251" s="23"/>
    </row>
    <row r="252" spans="1:14" ht="14.45">
      <c r="A252" s="23"/>
      <c r="B252" s="35"/>
      <c r="C252" s="23"/>
      <c r="D252" s="23"/>
      <c r="E252" s="23"/>
      <c r="F252" s="23"/>
      <c r="G252" s="23"/>
      <c r="H252" s="23"/>
      <c r="I252" s="24"/>
      <c r="J252" s="23"/>
      <c r="K252" s="23"/>
      <c r="L252" s="24"/>
      <c r="M252" s="23"/>
      <c r="N252" s="23"/>
    </row>
    <row r="253" spans="1:14" ht="14.45">
      <c r="A253" s="23"/>
      <c r="B253" s="35"/>
      <c r="C253" s="23"/>
      <c r="D253" s="23"/>
      <c r="E253" s="23"/>
      <c r="F253" s="23"/>
      <c r="G253" s="23"/>
      <c r="H253" s="23"/>
      <c r="I253" s="24"/>
      <c r="J253" s="23"/>
      <c r="K253" s="23"/>
      <c r="L253" s="24"/>
      <c r="M253" s="23"/>
      <c r="N253" s="23"/>
    </row>
    <row r="254" spans="1:14" ht="14.45">
      <c r="A254" s="23"/>
      <c r="B254" s="35"/>
      <c r="C254" s="23"/>
      <c r="D254" s="23"/>
      <c r="E254" s="23"/>
      <c r="F254" s="23"/>
      <c r="G254" s="23"/>
      <c r="H254" s="23"/>
      <c r="I254" s="24"/>
      <c r="J254" s="23"/>
      <c r="K254" s="23"/>
      <c r="L254" s="24"/>
      <c r="M254" s="23"/>
      <c r="N254" s="23"/>
    </row>
    <row r="255" spans="1:14" ht="14.45">
      <c r="A255" s="23"/>
      <c r="B255" s="35"/>
      <c r="C255" s="23"/>
      <c r="D255" s="23"/>
      <c r="E255" s="23"/>
      <c r="F255" s="23"/>
      <c r="G255" s="23"/>
      <c r="H255" s="23"/>
      <c r="I255" s="24"/>
      <c r="J255" s="23"/>
      <c r="K255" s="23"/>
      <c r="L255" s="24"/>
      <c r="M255" s="23"/>
      <c r="N255" s="23"/>
    </row>
    <row r="256" spans="1:14" ht="14.45">
      <c r="A256" s="23"/>
      <c r="B256" s="35"/>
      <c r="C256" s="23"/>
      <c r="D256" s="23"/>
      <c r="E256" s="23"/>
      <c r="F256" s="23"/>
      <c r="G256" s="23"/>
      <c r="H256" s="23"/>
      <c r="I256" s="24"/>
      <c r="J256" s="23"/>
      <c r="K256" s="23"/>
      <c r="L256" s="24"/>
      <c r="M256" s="23"/>
      <c r="N256" s="23"/>
    </row>
    <row r="257" spans="1:14" ht="14.45">
      <c r="A257" s="23"/>
      <c r="B257" s="35"/>
      <c r="C257" s="23"/>
      <c r="D257" s="23"/>
      <c r="E257" s="23"/>
      <c r="F257" s="23"/>
      <c r="G257" s="23"/>
      <c r="H257" s="23"/>
      <c r="I257" s="24"/>
      <c r="J257" s="23"/>
      <c r="K257" s="23"/>
      <c r="L257" s="24"/>
      <c r="M257" s="23"/>
      <c r="N257" s="23"/>
    </row>
    <row r="258" spans="1:14" ht="14.45">
      <c r="A258" s="23"/>
      <c r="B258" s="35"/>
      <c r="C258" s="23"/>
      <c r="D258" s="23"/>
      <c r="E258" s="23"/>
      <c r="F258" s="23"/>
      <c r="G258" s="23"/>
      <c r="H258" s="23"/>
      <c r="I258" s="24"/>
      <c r="J258" s="23"/>
      <c r="K258" s="23"/>
      <c r="L258" s="24"/>
      <c r="M258" s="23"/>
      <c r="N258" s="23"/>
    </row>
    <row r="259" spans="1:14" ht="14.45">
      <c r="A259" s="23"/>
      <c r="B259" s="35"/>
      <c r="C259" s="23"/>
      <c r="D259" s="23"/>
      <c r="E259" s="23"/>
      <c r="F259" s="23"/>
      <c r="G259" s="23"/>
      <c r="H259" s="23"/>
      <c r="I259" s="24"/>
      <c r="J259" s="23"/>
      <c r="K259" s="23"/>
      <c r="L259" s="24"/>
      <c r="M259" s="23"/>
      <c r="N259" s="23"/>
    </row>
    <row r="260" spans="1:14" ht="14.45">
      <c r="A260" s="23"/>
      <c r="B260" s="35"/>
      <c r="C260" s="23"/>
      <c r="D260" s="23"/>
      <c r="E260" s="23"/>
      <c r="F260" s="23"/>
      <c r="G260" s="23"/>
      <c r="H260" s="23"/>
      <c r="I260" s="24"/>
      <c r="J260" s="23"/>
      <c r="K260" s="23"/>
      <c r="L260" s="24"/>
      <c r="M260" s="23"/>
      <c r="N260" s="23"/>
    </row>
    <row r="261" spans="1:14" ht="14.45">
      <c r="A261" s="23"/>
      <c r="B261" s="35"/>
      <c r="C261" s="23"/>
      <c r="D261" s="23"/>
      <c r="E261" s="23"/>
      <c r="F261" s="23"/>
      <c r="G261" s="23"/>
      <c r="H261" s="23"/>
      <c r="I261" s="24"/>
      <c r="J261" s="23"/>
      <c r="K261" s="23"/>
      <c r="L261" s="24"/>
      <c r="M261" s="23"/>
      <c r="N261" s="23"/>
    </row>
    <row r="262" spans="1:14" ht="14.45">
      <c r="A262" s="23"/>
      <c r="B262" s="35"/>
      <c r="C262" s="23"/>
      <c r="D262" s="23"/>
      <c r="E262" s="23"/>
      <c r="F262" s="23"/>
      <c r="G262" s="23"/>
      <c r="H262" s="23"/>
      <c r="I262" s="24"/>
      <c r="J262" s="23"/>
      <c r="K262" s="23"/>
      <c r="L262" s="24"/>
      <c r="M262" s="23"/>
      <c r="N262" s="23"/>
    </row>
    <row r="263" spans="1:14" ht="14.45">
      <c r="A263" s="23"/>
      <c r="B263" s="35"/>
      <c r="C263" s="23"/>
      <c r="D263" s="23"/>
      <c r="E263" s="23"/>
      <c r="F263" s="23"/>
      <c r="G263" s="23"/>
      <c r="H263" s="23"/>
      <c r="I263" s="24"/>
      <c r="J263" s="23"/>
      <c r="K263" s="23"/>
      <c r="L263" s="24"/>
      <c r="M263" s="23"/>
      <c r="N263" s="23"/>
    </row>
    <row r="264" spans="1:14" ht="14.45">
      <c r="A264" s="23"/>
      <c r="B264" s="35"/>
      <c r="C264" s="23"/>
      <c r="D264" s="23"/>
      <c r="E264" s="23"/>
      <c r="F264" s="23"/>
      <c r="G264" s="23"/>
      <c r="H264" s="23"/>
      <c r="I264" s="24"/>
      <c r="J264" s="23"/>
      <c r="K264" s="23"/>
      <c r="L264" s="24"/>
      <c r="M264" s="23"/>
      <c r="N264" s="23"/>
    </row>
    <row r="265" spans="1:14" ht="14.45">
      <c r="A265" s="23"/>
      <c r="B265" s="35"/>
      <c r="C265" s="23"/>
      <c r="D265" s="23"/>
      <c r="E265" s="23"/>
      <c r="F265" s="23"/>
      <c r="G265" s="23"/>
      <c r="H265" s="23"/>
      <c r="I265" s="24"/>
      <c r="J265" s="23"/>
      <c r="K265" s="23"/>
      <c r="L265" s="24"/>
      <c r="M265" s="23"/>
      <c r="N265" s="23"/>
    </row>
    <row r="266" spans="1:14" ht="14.45">
      <c r="A266" s="23"/>
      <c r="B266" s="35"/>
      <c r="C266" s="23"/>
      <c r="D266" s="23"/>
      <c r="E266" s="23"/>
      <c r="F266" s="23"/>
      <c r="G266" s="23"/>
      <c r="H266" s="23"/>
      <c r="I266" s="24"/>
      <c r="J266" s="23"/>
      <c r="K266" s="23"/>
      <c r="L266" s="24"/>
      <c r="M266" s="23"/>
      <c r="N266" s="23"/>
    </row>
    <row r="267" spans="1:14" ht="14.45">
      <c r="A267" s="23"/>
      <c r="B267" s="35"/>
      <c r="C267" s="23"/>
      <c r="D267" s="23"/>
      <c r="E267" s="23"/>
      <c r="F267" s="23"/>
      <c r="G267" s="23"/>
      <c r="H267" s="23"/>
      <c r="I267" s="24"/>
      <c r="J267" s="23"/>
      <c r="K267" s="23"/>
      <c r="L267" s="24"/>
      <c r="M267" s="23"/>
      <c r="N267" s="23"/>
    </row>
    <row r="268" spans="1:14" ht="14.45">
      <c r="A268" s="23"/>
      <c r="B268" s="35"/>
      <c r="C268" s="23"/>
      <c r="D268" s="23"/>
      <c r="E268" s="23"/>
      <c r="F268" s="23"/>
      <c r="G268" s="23"/>
      <c r="H268" s="23"/>
      <c r="I268" s="24"/>
      <c r="J268" s="23"/>
      <c r="K268" s="23"/>
      <c r="L268" s="24"/>
      <c r="M268" s="23"/>
      <c r="N268" s="23"/>
    </row>
    <row r="269" spans="1:14" ht="14.45">
      <c r="A269" s="23"/>
      <c r="B269" s="35"/>
      <c r="C269" s="23"/>
      <c r="D269" s="23"/>
      <c r="E269" s="23"/>
      <c r="F269" s="23"/>
      <c r="G269" s="23"/>
      <c r="H269" s="23"/>
      <c r="I269" s="24"/>
      <c r="J269" s="23"/>
      <c r="K269" s="23"/>
      <c r="L269" s="24"/>
      <c r="M269" s="23"/>
      <c r="N269" s="23"/>
    </row>
    <row r="270" spans="1:14" ht="14.45">
      <c r="A270" s="23"/>
      <c r="B270" s="35"/>
      <c r="C270" s="23"/>
      <c r="D270" s="23"/>
      <c r="E270" s="23"/>
      <c r="F270" s="23"/>
      <c r="G270" s="23"/>
      <c r="H270" s="23"/>
      <c r="I270" s="24"/>
      <c r="J270" s="23"/>
      <c r="K270" s="23"/>
      <c r="L270" s="24"/>
      <c r="M270" s="23"/>
      <c r="N270" s="23"/>
    </row>
    <row r="271" spans="1:14" ht="14.45">
      <c r="A271" s="23"/>
      <c r="B271" s="35"/>
      <c r="C271" s="23"/>
      <c r="D271" s="23"/>
      <c r="E271" s="23"/>
      <c r="F271" s="23"/>
      <c r="G271" s="23"/>
      <c r="H271" s="23"/>
      <c r="I271" s="24"/>
      <c r="J271" s="23"/>
      <c r="K271" s="23"/>
      <c r="L271" s="24"/>
      <c r="M271" s="23"/>
      <c r="N271" s="23"/>
    </row>
    <row r="272" spans="1:14" ht="14.45">
      <c r="A272" s="23"/>
      <c r="B272" s="35"/>
      <c r="C272" s="23"/>
      <c r="D272" s="23"/>
      <c r="E272" s="23"/>
      <c r="F272" s="23"/>
      <c r="G272" s="23"/>
      <c r="H272" s="23"/>
      <c r="I272" s="24"/>
      <c r="J272" s="23"/>
      <c r="K272" s="23"/>
      <c r="L272" s="24"/>
      <c r="M272" s="23"/>
      <c r="N272" s="23"/>
    </row>
    <row r="273" spans="1:14" ht="14.45">
      <c r="A273" s="23"/>
      <c r="B273" s="35"/>
      <c r="C273" s="23"/>
      <c r="D273" s="23"/>
      <c r="E273" s="23"/>
      <c r="F273" s="23"/>
      <c r="G273" s="23"/>
      <c r="H273" s="23"/>
      <c r="I273" s="24"/>
      <c r="J273" s="23"/>
      <c r="K273" s="23"/>
      <c r="L273" s="24"/>
      <c r="M273" s="23"/>
      <c r="N273" s="23"/>
    </row>
    <row r="274" spans="1:14" ht="14.45">
      <c r="A274" s="23"/>
      <c r="B274" s="35"/>
      <c r="C274" s="23"/>
      <c r="D274" s="23"/>
      <c r="E274" s="23"/>
      <c r="F274" s="23"/>
      <c r="G274" s="23"/>
      <c r="H274" s="23"/>
      <c r="I274" s="24"/>
      <c r="J274" s="23"/>
      <c r="K274" s="23"/>
      <c r="L274" s="24"/>
      <c r="M274" s="23"/>
      <c r="N274" s="23"/>
    </row>
    <row r="275" spans="1:14" ht="14.45">
      <c r="A275" s="23"/>
      <c r="B275" s="35"/>
      <c r="C275" s="23"/>
      <c r="D275" s="23"/>
      <c r="E275" s="23"/>
      <c r="F275" s="23"/>
      <c r="G275" s="23"/>
      <c r="H275" s="23"/>
      <c r="I275" s="24"/>
      <c r="J275" s="23"/>
      <c r="K275" s="23"/>
      <c r="L275" s="24"/>
      <c r="M275" s="23"/>
      <c r="N275" s="23"/>
    </row>
    <row r="276" spans="1:14" ht="14.45">
      <c r="A276" s="23"/>
      <c r="B276" s="35"/>
      <c r="C276" s="23"/>
      <c r="D276" s="23"/>
      <c r="E276" s="23"/>
      <c r="F276" s="23"/>
      <c r="G276" s="23"/>
      <c r="H276" s="23"/>
      <c r="I276" s="24"/>
      <c r="J276" s="23"/>
      <c r="K276" s="23"/>
      <c r="L276" s="24"/>
      <c r="M276" s="23"/>
      <c r="N276" s="23"/>
    </row>
    <row r="277" spans="1:14" ht="14.45">
      <c r="A277" s="23"/>
      <c r="B277" s="35"/>
      <c r="C277" s="23"/>
      <c r="D277" s="23"/>
      <c r="E277" s="23"/>
      <c r="F277" s="23"/>
      <c r="G277" s="23"/>
      <c r="H277" s="23"/>
      <c r="I277" s="24"/>
      <c r="J277" s="23"/>
      <c r="K277" s="23"/>
      <c r="L277" s="24"/>
      <c r="M277" s="23"/>
      <c r="N277" s="23"/>
    </row>
    <row r="278" spans="1:14" ht="14.45">
      <c r="A278" s="23"/>
      <c r="B278" s="35"/>
      <c r="C278" s="23"/>
      <c r="D278" s="23"/>
      <c r="E278" s="23"/>
      <c r="F278" s="23"/>
      <c r="G278" s="23"/>
      <c r="H278" s="23"/>
      <c r="I278" s="24"/>
      <c r="J278" s="23"/>
      <c r="K278" s="23"/>
      <c r="L278" s="24"/>
      <c r="M278" s="23"/>
      <c r="N278" s="23"/>
    </row>
    <row r="279" spans="1:14" ht="14.45">
      <c r="A279" s="23"/>
      <c r="B279" s="35"/>
      <c r="C279" s="23"/>
      <c r="D279" s="23"/>
      <c r="E279" s="23"/>
      <c r="F279" s="23"/>
      <c r="G279" s="23"/>
      <c r="H279" s="23"/>
      <c r="I279" s="24"/>
      <c r="J279" s="23"/>
      <c r="K279" s="23"/>
      <c r="L279" s="24"/>
      <c r="M279" s="23"/>
      <c r="N279" s="23"/>
    </row>
    <row r="280" spans="1:14" ht="14.45">
      <c r="A280" s="23"/>
      <c r="B280" s="35"/>
      <c r="C280" s="23"/>
      <c r="D280" s="23"/>
      <c r="E280" s="23"/>
      <c r="F280" s="23"/>
      <c r="G280" s="23"/>
      <c r="H280" s="23"/>
      <c r="I280" s="24"/>
      <c r="J280" s="23"/>
      <c r="K280" s="23"/>
      <c r="L280" s="24"/>
      <c r="M280" s="23"/>
      <c r="N280" s="23"/>
    </row>
    <row r="281" spans="1:14" ht="14.45">
      <c r="A281" s="23"/>
      <c r="B281" s="35"/>
      <c r="C281" s="23"/>
      <c r="D281" s="23"/>
      <c r="E281" s="23"/>
      <c r="F281" s="23"/>
      <c r="G281" s="23"/>
      <c r="H281" s="23"/>
      <c r="I281" s="24"/>
      <c r="J281" s="23"/>
      <c r="K281" s="23"/>
      <c r="L281" s="24"/>
      <c r="M281" s="23"/>
      <c r="N281" s="23"/>
    </row>
    <row r="282" spans="1:14" ht="14.45">
      <c r="A282" s="23"/>
      <c r="B282" s="35"/>
      <c r="C282" s="23"/>
      <c r="D282" s="23"/>
      <c r="E282" s="23"/>
      <c r="F282" s="23"/>
      <c r="G282" s="23"/>
      <c r="H282" s="23"/>
      <c r="I282" s="24"/>
      <c r="J282" s="23"/>
      <c r="K282" s="23"/>
      <c r="L282" s="24"/>
      <c r="M282" s="23"/>
      <c r="N282" s="23"/>
    </row>
    <row r="283" spans="1:14" ht="14.45">
      <c r="A283" s="23"/>
      <c r="B283" s="35"/>
      <c r="C283" s="23"/>
      <c r="D283" s="23"/>
      <c r="E283" s="23"/>
      <c r="F283" s="23"/>
      <c r="G283" s="23"/>
      <c r="H283" s="23"/>
      <c r="I283" s="24"/>
      <c r="J283" s="23"/>
      <c r="K283" s="23"/>
      <c r="L283" s="24"/>
      <c r="M283" s="23"/>
      <c r="N283" s="23"/>
    </row>
    <row r="284" spans="1:14" ht="14.45">
      <c r="A284" s="23"/>
      <c r="B284" s="35"/>
      <c r="C284" s="23"/>
      <c r="D284" s="23"/>
      <c r="E284" s="23"/>
      <c r="F284" s="23"/>
      <c r="G284" s="23"/>
      <c r="H284" s="23"/>
      <c r="I284" s="24"/>
      <c r="J284" s="23"/>
      <c r="K284" s="23"/>
      <c r="L284" s="24"/>
      <c r="M284" s="23"/>
      <c r="N284" s="23"/>
    </row>
    <row r="285" spans="1:14" ht="14.45">
      <c r="A285" s="23"/>
      <c r="B285" s="35"/>
      <c r="C285" s="23"/>
      <c r="D285" s="23"/>
      <c r="E285" s="23"/>
      <c r="F285" s="23"/>
      <c r="G285" s="23"/>
      <c r="H285" s="23"/>
      <c r="I285" s="24"/>
      <c r="J285" s="23"/>
      <c r="K285" s="23"/>
      <c r="L285" s="24"/>
      <c r="M285" s="23"/>
      <c r="N285" s="23"/>
    </row>
    <row r="286" spans="1:14" ht="14.45">
      <c r="A286" s="23"/>
      <c r="B286" s="35"/>
      <c r="C286" s="23"/>
      <c r="D286" s="23"/>
      <c r="E286" s="23"/>
      <c r="F286" s="23"/>
      <c r="G286" s="23"/>
      <c r="H286" s="23"/>
      <c r="I286" s="24"/>
      <c r="J286" s="23"/>
      <c r="K286" s="23"/>
      <c r="L286" s="24"/>
      <c r="M286" s="23"/>
      <c r="N286" s="23"/>
    </row>
    <row r="287" spans="1:14" ht="14.45">
      <c r="A287" s="23"/>
      <c r="B287" s="35"/>
      <c r="C287" s="23"/>
      <c r="D287" s="23"/>
      <c r="E287" s="23"/>
      <c r="F287" s="23"/>
      <c r="G287" s="23"/>
      <c r="H287" s="23"/>
      <c r="I287" s="24"/>
      <c r="J287" s="23"/>
      <c r="K287" s="23"/>
      <c r="L287" s="24"/>
      <c r="M287" s="23"/>
      <c r="N287" s="23"/>
    </row>
    <row r="288" spans="1:14" ht="14.45">
      <c r="A288" s="23"/>
      <c r="B288" s="35"/>
      <c r="C288" s="23"/>
      <c r="D288" s="23"/>
      <c r="E288" s="23"/>
      <c r="F288" s="23"/>
      <c r="G288" s="23"/>
      <c r="H288" s="23"/>
      <c r="I288" s="24"/>
      <c r="J288" s="23"/>
      <c r="K288" s="23"/>
      <c r="L288" s="24"/>
      <c r="M288" s="23"/>
      <c r="N288" s="23"/>
    </row>
    <row r="289" spans="1:14" ht="14.45">
      <c r="A289" s="23"/>
      <c r="B289" s="35"/>
      <c r="C289" s="23"/>
      <c r="D289" s="23"/>
      <c r="E289" s="23"/>
      <c r="F289" s="23"/>
      <c r="G289" s="23"/>
      <c r="H289" s="23"/>
      <c r="I289" s="24"/>
      <c r="J289" s="23"/>
      <c r="K289" s="23"/>
      <c r="L289" s="24"/>
      <c r="M289" s="23"/>
      <c r="N289" s="23"/>
    </row>
    <row r="290" spans="1:14" ht="14.45">
      <c r="A290" s="23"/>
      <c r="B290" s="35"/>
      <c r="C290" s="23"/>
      <c r="D290" s="23"/>
      <c r="E290" s="23"/>
      <c r="F290" s="23"/>
      <c r="G290" s="23"/>
      <c r="H290" s="23"/>
      <c r="I290" s="24"/>
      <c r="J290" s="23"/>
      <c r="K290" s="23"/>
      <c r="L290" s="24"/>
      <c r="M290" s="23"/>
      <c r="N290" s="23"/>
    </row>
    <row r="291" spans="1:14" ht="14.45">
      <c r="A291" s="23"/>
      <c r="B291" s="35"/>
      <c r="C291" s="23"/>
      <c r="D291" s="23"/>
      <c r="E291" s="23"/>
      <c r="F291" s="23"/>
      <c r="G291" s="23"/>
      <c r="H291" s="23"/>
      <c r="I291" s="24"/>
      <c r="J291" s="23"/>
      <c r="K291" s="23"/>
      <c r="L291" s="24"/>
      <c r="M291" s="23"/>
      <c r="N291" s="23"/>
    </row>
    <row r="292" spans="1:14" ht="14.45">
      <c r="A292" s="23"/>
      <c r="B292" s="35"/>
      <c r="C292" s="23"/>
      <c r="D292" s="23"/>
      <c r="E292" s="23"/>
      <c r="F292" s="23"/>
      <c r="G292" s="23"/>
      <c r="H292" s="23"/>
      <c r="I292" s="24"/>
      <c r="J292" s="23"/>
      <c r="K292" s="23"/>
      <c r="L292" s="24"/>
      <c r="M292" s="23"/>
      <c r="N292" s="23"/>
    </row>
    <row r="293" spans="1:14" ht="14.45">
      <c r="A293" s="23"/>
      <c r="B293" s="35"/>
      <c r="C293" s="23"/>
      <c r="D293" s="23"/>
      <c r="E293" s="23"/>
      <c r="F293" s="23"/>
      <c r="G293" s="23"/>
      <c r="H293" s="23"/>
      <c r="I293" s="24"/>
      <c r="J293" s="23"/>
      <c r="K293" s="23"/>
      <c r="L293" s="24"/>
      <c r="M293" s="23"/>
      <c r="N293" s="23"/>
    </row>
    <row r="294" spans="1:14" ht="14.45">
      <c r="A294" s="23"/>
      <c r="B294" s="35"/>
      <c r="C294" s="23"/>
      <c r="D294" s="23"/>
      <c r="E294" s="23"/>
      <c r="F294" s="23"/>
      <c r="G294" s="23"/>
      <c r="H294" s="23"/>
      <c r="I294" s="24"/>
      <c r="J294" s="23"/>
      <c r="K294" s="23"/>
      <c r="L294" s="24"/>
      <c r="M294" s="23"/>
      <c r="N294" s="23"/>
    </row>
    <row r="295" spans="1:14" ht="14.45">
      <c r="A295" s="23"/>
      <c r="B295" s="35"/>
      <c r="C295" s="23"/>
      <c r="D295" s="23"/>
      <c r="E295" s="23"/>
      <c r="F295" s="23"/>
      <c r="G295" s="23"/>
      <c r="H295" s="23"/>
      <c r="I295" s="24"/>
      <c r="J295" s="23"/>
      <c r="K295" s="23"/>
      <c r="L295" s="24"/>
      <c r="M295" s="23"/>
      <c r="N295" s="23"/>
    </row>
    <row r="296" spans="1:14" ht="14.45">
      <c r="A296" s="23"/>
      <c r="B296" s="35"/>
      <c r="C296" s="23"/>
      <c r="D296" s="23"/>
      <c r="E296" s="23"/>
      <c r="F296" s="23"/>
      <c r="G296" s="23"/>
      <c r="H296" s="23"/>
      <c r="I296" s="24"/>
      <c r="J296" s="23"/>
      <c r="K296" s="23"/>
      <c r="L296" s="24"/>
      <c r="M296" s="23"/>
      <c r="N296" s="23"/>
    </row>
    <row r="297" spans="1:14" ht="14.45">
      <c r="A297" s="23"/>
      <c r="B297" s="35"/>
      <c r="C297" s="23"/>
      <c r="D297" s="23"/>
      <c r="E297" s="23"/>
      <c r="F297" s="23"/>
      <c r="G297" s="23"/>
      <c r="H297" s="23"/>
      <c r="I297" s="24"/>
      <c r="J297" s="23"/>
      <c r="K297" s="23"/>
      <c r="L297" s="24"/>
      <c r="M297" s="23"/>
      <c r="N297" s="23"/>
    </row>
    <row r="298" spans="1:14" ht="14.45">
      <c r="A298" s="23"/>
      <c r="B298" s="35"/>
      <c r="C298" s="23"/>
      <c r="D298" s="23"/>
      <c r="E298" s="23"/>
      <c r="F298" s="23"/>
      <c r="G298" s="23"/>
      <c r="H298" s="23"/>
      <c r="I298" s="24"/>
      <c r="J298" s="23"/>
      <c r="K298" s="23"/>
      <c r="L298" s="24"/>
      <c r="M298" s="23"/>
      <c r="N298" s="23"/>
    </row>
    <row r="299" spans="1:14" ht="14.45">
      <c r="A299" s="23"/>
      <c r="B299" s="35"/>
      <c r="C299" s="23"/>
      <c r="D299" s="23"/>
      <c r="E299" s="23"/>
      <c r="F299" s="23"/>
      <c r="G299" s="23"/>
      <c r="H299" s="23"/>
      <c r="I299" s="24"/>
      <c r="J299" s="23"/>
      <c r="K299" s="23"/>
      <c r="L299" s="24"/>
      <c r="M299" s="23"/>
      <c r="N299" s="23"/>
    </row>
    <row r="300" spans="1:14" ht="14.45">
      <c r="A300" s="23"/>
      <c r="B300" s="35"/>
      <c r="C300" s="23"/>
      <c r="D300" s="23"/>
      <c r="E300" s="23"/>
      <c r="F300" s="23"/>
      <c r="G300" s="23"/>
      <c r="H300" s="23"/>
      <c r="I300" s="24"/>
      <c r="J300" s="23"/>
      <c r="K300" s="23"/>
      <c r="L300" s="24"/>
      <c r="M300" s="23"/>
      <c r="N300" s="23"/>
    </row>
    <row r="301" spans="1:14" ht="14.45">
      <c r="A301" s="23"/>
      <c r="B301" s="35"/>
      <c r="C301" s="23"/>
      <c r="D301" s="23"/>
      <c r="E301" s="23"/>
      <c r="F301" s="23"/>
      <c r="G301" s="23"/>
      <c r="H301" s="23"/>
      <c r="I301" s="24"/>
      <c r="J301" s="23"/>
      <c r="K301" s="23"/>
      <c r="L301" s="24"/>
      <c r="M301" s="23"/>
      <c r="N301" s="23"/>
    </row>
    <row r="302" spans="1:14" ht="14.45">
      <c r="A302" s="23"/>
      <c r="B302" s="35"/>
      <c r="C302" s="23"/>
      <c r="D302" s="23"/>
      <c r="E302" s="23"/>
      <c r="F302" s="23"/>
      <c r="G302" s="23"/>
      <c r="H302" s="23"/>
      <c r="I302" s="24"/>
      <c r="J302" s="23"/>
      <c r="K302" s="23"/>
      <c r="L302" s="24"/>
      <c r="M302" s="23"/>
      <c r="N302" s="23"/>
    </row>
    <row r="303" spans="1:14" ht="14.45">
      <c r="A303" s="23"/>
      <c r="B303" s="35"/>
      <c r="C303" s="23"/>
      <c r="D303" s="23"/>
      <c r="E303" s="23"/>
      <c r="F303" s="23"/>
      <c r="G303" s="23"/>
      <c r="H303" s="23"/>
      <c r="I303" s="24"/>
      <c r="J303" s="23"/>
      <c r="K303" s="23"/>
      <c r="L303" s="24"/>
      <c r="M303" s="23"/>
      <c r="N303" s="23"/>
    </row>
    <row r="304" spans="1:14" ht="14.45">
      <c r="A304" s="23"/>
      <c r="B304" s="35"/>
      <c r="C304" s="23"/>
      <c r="D304" s="23"/>
      <c r="E304" s="23"/>
      <c r="F304" s="23"/>
      <c r="G304" s="23"/>
      <c r="H304" s="23"/>
      <c r="I304" s="24"/>
      <c r="J304" s="23"/>
      <c r="K304" s="23"/>
      <c r="L304" s="24"/>
      <c r="M304" s="23"/>
      <c r="N304" s="23"/>
    </row>
    <row r="305" spans="1:14" ht="14.45">
      <c r="A305" s="23"/>
      <c r="B305" s="35"/>
      <c r="C305" s="23"/>
      <c r="D305" s="23"/>
      <c r="E305" s="23"/>
      <c r="F305" s="23"/>
      <c r="G305" s="23"/>
      <c r="H305" s="23"/>
      <c r="I305" s="24"/>
      <c r="J305" s="23"/>
      <c r="K305" s="23"/>
      <c r="L305" s="24"/>
      <c r="M305" s="23"/>
      <c r="N305" s="23"/>
    </row>
    <row r="306" spans="1:14" ht="14.45">
      <c r="A306" s="23"/>
      <c r="B306" s="35"/>
      <c r="C306" s="23"/>
      <c r="D306" s="23"/>
      <c r="E306" s="23"/>
      <c r="F306" s="23"/>
      <c r="G306" s="23"/>
      <c r="H306" s="23"/>
      <c r="I306" s="24"/>
      <c r="J306" s="23"/>
      <c r="K306" s="23"/>
      <c r="L306" s="24"/>
      <c r="M306" s="23"/>
      <c r="N306" s="23"/>
    </row>
    <row r="307" spans="1:14" ht="14.45">
      <c r="A307" s="23"/>
      <c r="B307" s="35"/>
      <c r="C307" s="23"/>
      <c r="D307" s="23"/>
      <c r="E307" s="23"/>
      <c r="F307" s="23"/>
      <c r="G307" s="23"/>
      <c r="H307" s="23"/>
      <c r="I307" s="24"/>
      <c r="J307" s="23"/>
      <c r="K307" s="23"/>
      <c r="L307" s="24"/>
      <c r="M307" s="23"/>
      <c r="N307" s="23"/>
    </row>
    <row r="308" spans="1:14" ht="14.45">
      <c r="A308" s="23"/>
      <c r="B308" s="35"/>
      <c r="C308" s="23"/>
      <c r="D308" s="23"/>
      <c r="E308" s="23"/>
      <c r="F308" s="23"/>
      <c r="G308" s="23"/>
      <c r="H308" s="23"/>
      <c r="I308" s="24"/>
      <c r="J308" s="23"/>
      <c r="K308" s="23"/>
      <c r="L308" s="24"/>
      <c r="M308" s="23"/>
      <c r="N308" s="23"/>
    </row>
    <row r="309" spans="1:14" ht="14.45">
      <c r="A309" s="23"/>
      <c r="B309" s="35"/>
      <c r="C309" s="23"/>
      <c r="D309" s="23"/>
      <c r="E309" s="23"/>
      <c r="F309" s="23"/>
      <c r="G309" s="23"/>
      <c r="H309" s="23"/>
      <c r="I309" s="24"/>
      <c r="J309" s="23"/>
      <c r="K309" s="23"/>
      <c r="L309" s="24"/>
      <c r="M309" s="23"/>
      <c r="N309" s="23"/>
    </row>
    <row r="310" spans="1:14" ht="14.45">
      <c r="A310" s="23"/>
      <c r="B310" s="35"/>
      <c r="C310" s="23"/>
      <c r="D310" s="23"/>
      <c r="E310" s="23"/>
      <c r="F310" s="23"/>
      <c r="G310" s="23"/>
      <c r="H310" s="23"/>
      <c r="I310" s="24"/>
      <c r="J310" s="23"/>
      <c r="K310" s="23"/>
      <c r="L310" s="24"/>
      <c r="M310" s="23"/>
      <c r="N310" s="23"/>
    </row>
    <row r="311" spans="1:14" ht="14.45">
      <c r="A311" s="23"/>
      <c r="B311" s="35"/>
      <c r="C311" s="23"/>
      <c r="D311" s="23"/>
      <c r="E311" s="23"/>
      <c r="F311" s="23"/>
      <c r="G311" s="23"/>
      <c r="H311" s="23"/>
      <c r="I311" s="24"/>
      <c r="J311" s="23"/>
      <c r="K311" s="23"/>
      <c r="L311" s="24"/>
      <c r="M311" s="23"/>
      <c r="N311" s="23"/>
    </row>
    <row r="312" spans="1:14" ht="14.45">
      <c r="A312" s="23"/>
      <c r="B312" s="35"/>
      <c r="C312" s="23"/>
      <c r="D312" s="23"/>
      <c r="E312" s="23"/>
      <c r="F312" s="23"/>
      <c r="G312" s="23"/>
      <c r="H312" s="23"/>
      <c r="I312" s="24"/>
      <c r="J312" s="23"/>
      <c r="K312" s="23"/>
      <c r="L312" s="24"/>
      <c r="M312" s="23"/>
      <c r="N312" s="23"/>
    </row>
    <row r="313" spans="1:14" ht="14.45">
      <c r="A313" s="23"/>
      <c r="B313" s="35"/>
      <c r="C313" s="23"/>
      <c r="D313" s="23"/>
      <c r="E313" s="23"/>
      <c r="F313" s="23"/>
      <c r="G313" s="23"/>
      <c r="H313" s="23"/>
      <c r="I313" s="24"/>
      <c r="J313" s="23"/>
      <c r="K313" s="23"/>
      <c r="L313" s="24"/>
      <c r="M313" s="23"/>
      <c r="N313" s="23"/>
    </row>
    <row r="314" spans="1:14" ht="14.45">
      <c r="A314" s="23"/>
      <c r="B314" s="35"/>
      <c r="C314" s="23"/>
      <c r="D314" s="23"/>
      <c r="E314" s="23"/>
      <c r="F314" s="23"/>
      <c r="G314" s="23"/>
      <c r="H314" s="23"/>
      <c r="I314" s="24"/>
      <c r="J314" s="23"/>
      <c r="K314" s="23"/>
      <c r="L314" s="24"/>
      <c r="M314" s="23"/>
      <c r="N314" s="23"/>
    </row>
    <row r="315" spans="1:14" ht="14.45">
      <c r="A315" s="23"/>
      <c r="B315" s="35"/>
      <c r="C315" s="23"/>
      <c r="D315" s="23"/>
      <c r="E315" s="23"/>
      <c r="F315" s="23"/>
      <c r="G315" s="23"/>
      <c r="H315" s="23"/>
      <c r="I315" s="24"/>
      <c r="J315" s="23"/>
      <c r="K315" s="23"/>
      <c r="L315" s="24"/>
      <c r="M315" s="23"/>
      <c r="N315" s="23"/>
    </row>
    <row r="316" spans="1:14" ht="14.45">
      <c r="A316" s="23"/>
      <c r="B316" s="35"/>
      <c r="C316" s="23"/>
      <c r="D316" s="23"/>
      <c r="E316" s="23"/>
      <c r="F316" s="23"/>
      <c r="G316" s="23"/>
      <c r="H316" s="23"/>
      <c r="I316" s="24"/>
      <c r="J316" s="23"/>
      <c r="K316" s="23"/>
      <c r="L316" s="24"/>
      <c r="M316" s="23"/>
      <c r="N316" s="23"/>
    </row>
    <row r="317" spans="1:14" ht="14.45">
      <c r="A317" s="23"/>
      <c r="B317" s="35"/>
      <c r="C317" s="23"/>
      <c r="D317" s="23"/>
      <c r="E317" s="23"/>
      <c r="F317" s="23"/>
      <c r="G317" s="23"/>
      <c r="H317" s="23"/>
      <c r="I317" s="24"/>
      <c r="J317" s="23"/>
      <c r="K317" s="23"/>
      <c r="L317" s="24"/>
      <c r="M317" s="23"/>
      <c r="N317" s="23"/>
    </row>
    <row r="318" spans="1:14" ht="14.45">
      <c r="A318" s="23"/>
      <c r="B318" s="35"/>
      <c r="C318" s="23"/>
      <c r="D318" s="23"/>
      <c r="E318" s="23"/>
      <c r="F318" s="23"/>
      <c r="G318" s="23"/>
      <c r="H318" s="23"/>
      <c r="I318" s="24"/>
      <c r="J318" s="23"/>
      <c r="K318" s="23"/>
      <c r="L318" s="24"/>
      <c r="M318" s="23"/>
      <c r="N318" s="23"/>
    </row>
    <row r="319" spans="1:14" ht="14.45">
      <c r="A319" s="23"/>
      <c r="B319" s="35"/>
      <c r="C319" s="23"/>
      <c r="D319" s="23"/>
      <c r="E319" s="23"/>
      <c r="F319" s="23"/>
      <c r="G319" s="23"/>
      <c r="H319" s="23"/>
      <c r="I319" s="24"/>
      <c r="J319" s="23"/>
      <c r="K319" s="23"/>
      <c r="L319" s="24"/>
      <c r="M319" s="23"/>
      <c r="N319" s="23"/>
    </row>
    <row r="320" spans="1:14" ht="14.45">
      <c r="A320" s="23"/>
      <c r="B320" s="35"/>
      <c r="C320" s="23"/>
      <c r="D320" s="23"/>
      <c r="E320" s="23"/>
      <c r="F320" s="23"/>
      <c r="G320" s="23"/>
      <c r="H320" s="23"/>
      <c r="I320" s="24"/>
      <c r="J320" s="23"/>
      <c r="K320" s="23"/>
      <c r="L320" s="24"/>
      <c r="M320" s="23"/>
      <c r="N320" s="23"/>
    </row>
    <row r="321" spans="1:14" ht="14.45">
      <c r="A321" s="23"/>
      <c r="B321" s="35"/>
      <c r="C321" s="23"/>
      <c r="D321" s="23"/>
      <c r="E321" s="23"/>
      <c r="F321" s="23"/>
      <c r="G321" s="23"/>
      <c r="H321" s="23"/>
      <c r="I321" s="24"/>
      <c r="J321" s="23"/>
      <c r="K321" s="23"/>
      <c r="L321" s="24"/>
      <c r="M321" s="23"/>
      <c r="N321" s="23"/>
    </row>
    <row r="322" spans="1:14" ht="14.45">
      <c r="A322" s="23"/>
      <c r="B322" s="35"/>
      <c r="C322" s="23"/>
      <c r="D322" s="23"/>
      <c r="E322" s="23"/>
      <c r="F322" s="23"/>
      <c r="G322" s="23"/>
      <c r="H322" s="23"/>
      <c r="I322" s="24"/>
      <c r="J322" s="23"/>
      <c r="K322" s="23"/>
      <c r="L322" s="24"/>
      <c r="M322" s="23"/>
      <c r="N322" s="23"/>
    </row>
    <row r="323" spans="1:14" ht="14.45">
      <c r="A323" s="23"/>
      <c r="B323" s="35"/>
      <c r="C323" s="23"/>
      <c r="D323" s="23"/>
      <c r="E323" s="23"/>
      <c r="F323" s="23"/>
      <c r="G323" s="23"/>
      <c r="H323" s="23"/>
      <c r="I323" s="24"/>
      <c r="J323" s="23"/>
      <c r="K323" s="23"/>
      <c r="L323" s="24"/>
      <c r="M323" s="23"/>
      <c r="N323" s="23"/>
    </row>
    <row r="324" spans="1:14" ht="14.45">
      <c r="A324" s="23"/>
      <c r="B324" s="35"/>
      <c r="C324" s="23"/>
      <c r="F324" s="23"/>
      <c r="G324" s="23"/>
      <c r="H324" s="23"/>
      <c r="I324" s="24"/>
      <c r="J324" s="23"/>
      <c r="K324" s="23"/>
      <c r="L324" s="24"/>
      <c r="M324" s="23"/>
      <c r="N324" s="23"/>
    </row>
    <row r="325" spans="1:14" ht="14.45">
      <c r="A325" s="23"/>
      <c r="B325" s="35"/>
      <c r="C325" s="23"/>
      <c r="F325" s="23"/>
      <c r="G325" s="23"/>
      <c r="H325" s="23"/>
      <c r="I325" s="24"/>
      <c r="J325" s="23"/>
      <c r="K325" s="23"/>
      <c r="L325" s="24"/>
      <c r="M325" s="23"/>
      <c r="N325" s="23"/>
    </row>
    <row r="326" spans="1:14" ht="14.45">
      <c r="A326" s="23"/>
      <c r="B326" s="35"/>
      <c r="C326" s="23"/>
      <c r="F326" s="23"/>
      <c r="G326" s="23"/>
      <c r="H326" s="23"/>
      <c r="I326" s="24"/>
      <c r="J326" s="23"/>
      <c r="K326" s="23"/>
      <c r="L326" s="24"/>
      <c r="M326" s="23"/>
      <c r="N326" s="23"/>
    </row>
    <row r="327" spans="1:14" ht="14.45">
      <c r="A327" s="23"/>
      <c r="B327" s="35"/>
      <c r="C327" s="23"/>
      <c r="F327" s="23"/>
      <c r="G327" s="23"/>
      <c r="H327" s="23"/>
      <c r="I327" s="24"/>
      <c r="J327" s="23"/>
      <c r="K327" s="23"/>
      <c r="L327" s="24"/>
      <c r="M327" s="23"/>
      <c r="N327" s="23"/>
    </row>
    <row r="328" spans="1:14" ht="14.45">
      <c r="A328" s="23"/>
      <c r="B328" s="35"/>
      <c r="C328" s="23"/>
      <c r="F328" s="23"/>
      <c r="G328" s="23"/>
      <c r="H328" s="23"/>
      <c r="I328" s="24"/>
      <c r="J328" s="23"/>
      <c r="K328" s="23"/>
      <c r="L328" s="24"/>
      <c r="M328" s="23"/>
      <c r="N328" s="23"/>
    </row>
    <row r="329" spans="1:14" ht="14.45">
      <c r="A329" s="23"/>
      <c r="B329" s="35"/>
      <c r="C329" s="23"/>
      <c r="F329" s="23"/>
      <c r="G329" s="23"/>
      <c r="H329" s="23"/>
      <c r="I329" s="24"/>
      <c r="J329" s="23"/>
      <c r="K329" s="23"/>
      <c r="L329" s="24"/>
      <c r="M329" s="23"/>
      <c r="N329" s="23"/>
    </row>
    <row r="330" spans="1:14" ht="14.45">
      <c r="A330" s="23"/>
      <c r="B330" s="35"/>
      <c r="C330" s="23"/>
      <c r="F330" s="23"/>
      <c r="G330" s="23"/>
      <c r="H330" s="23"/>
      <c r="I330" s="24"/>
      <c r="J330" s="23"/>
      <c r="K330" s="23"/>
      <c r="L330" s="24"/>
      <c r="M330" s="23"/>
      <c r="N330" s="23"/>
    </row>
    <row r="331" spans="1:14" ht="14.45">
      <c r="A331" s="23"/>
      <c r="B331" s="35"/>
      <c r="C331" s="23"/>
      <c r="F331" s="23"/>
      <c r="G331" s="23"/>
      <c r="H331" s="23"/>
      <c r="I331" s="24"/>
      <c r="J331" s="23"/>
      <c r="K331" s="23"/>
      <c r="L331" s="24"/>
      <c r="M331" s="23"/>
      <c r="N331" s="23"/>
    </row>
    <row r="332" spans="1:14" ht="14.45">
      <c r="A332" s="23"/>
      <c r="B332" s="35"/>
      <c r="C332" s="23"/>
      <c r="F332" s="23"/>
      <c r="G332" s="23"/>
      <c r="H332" s="23"/>
      <c r="I332" s="24"/>
      <c r="J332" s="23"/>
      <c r="K332" s="23"/>
      <c r="L332" s="24"/>
      <c r="M332" s="23"/>
      <c r="N332" s="23"/>
    </row>
    <row r="333" spans="1:14" ht="14.45">
      <c r="A333" s="23"/>
      <c r="B333" s="35"/>
      <c r="C333" s="23"/>
      <c r="F333" s="23"/>
      <c r="G333" s="23"/>
      <c r="H333" s="23"/>
      <c r="I333" s="24"/>
      <c r="J333" s="23"/>
      <c r="K333" s="23"/>
      <c r="L333" s="24"/>
      <c r="M333" s="23"/>
      <c r="N333" s="23"/>
    </row>
    <row r="334" spans="1:14" ht="14.45">
      <c r="A334" s="23"/>
      <c r="B334" s="35"/>
      <c r="C334" s="23"/>
      <c r="F334" s="23"/>
      <c r="G334" s="23"/>
      <c r="H334" s="23"/>
      <c r="I334" s="24"/>
      <c r="J334" s="23"/>
      <c r="K334" s="23"/>
      <c r="L334" s="24"/>
      <c r="M334" s="23"/>
      <c r="N334" s="23"/>
    </row>
    <row r="335" spans="1:14" ht="14.45">
      <c r="A335" s="23"/>
      <c r="B335" s="35"/>
      <c r="C335" s="23"/>
      <c r="F335" s="23"/>
      <c r="G335" s="23"/>
      <c r="H335" s="23"/>
      <c r="I335" s="24"/>
      <c r="J335" s="23"/>
      <c r="K335" s="23"/>
      <c r="L335" s="24"/>
      <c r="M335" s="23"/>
      <c r="N335" s="23"/>
    </row>
    <row r="336" spans="1:14" ht="14.45">
      <c r="A336" s="23"/>
      <c r="B336" s="35"/>
      <c r="C336" s="23"/>
      <c r="F336" s="23"/>
      <c r="G336" s="23"/>
      <c r="H336" s="23"/>
      <c r="I336" s="24"/>
      <c r="J336" s="23"/>
      <c r="K336" s="23"/>
      <c r="L336" s="24"/>
      <c r="M336" s="23"/>
      <c r="N336" s="23"/>
    </row>
    <row r="337" spans="1:14" ht="14.45">
      <c r="A337" s="23"/>
      <c r="B337" s="35"/>
      <c r="C337" s="23"/>
      <c r="F337" s="23"/>
      <c r="G337" s="23"/>
      <c r="H337" s="23"/>
      <c r="I337" s="24"/>
      <c r="J337" s="23"/>
      <c r="K337" s="23"/>
      <c r="L337" s="24"/>
      <c r="M337" s="23"/>
      <c r="N337" s="23"/>
    </row>
    <row r="338" spans="1:14" ht="14.45">
      <c r="A338" s="23"/>
      <c r="B338" s="35"/>
      <c r="C338" s="23"/>
      <c r="F338" s="23"/>
      <c r="G338" s="23"/>
      <c r="H338" s="23"/>
      <c r="I338" s="24"/>
      <c r="J338" s="23"/>
      <c r="K338" s="23"/>
      <c r="L338" s="24"/>
      <c r="M338" s="23"/>
      <c r="N338" s="23"/>
    </row>
    <row r="339" spans="1:14" ht="14.45">
      <c r="A339" s="23"/>
      <c r="B339" s="35"/>
      <c r="C339" s="23"/>
      <c r="F339" s="23"/>
      <c r="G339" s="23"/>
      <c r="H339" s="23"/>
      <c r="I339" s="24"/>
      <c r="J339" s="23"/>
      <c r="K339" s="23"/>
      <c r="L339" s="24"/>
      <c r="M339" s="23"/>
      <c r="N339" s="23"/>
    </row>
    <row r="340" spans="1:14" ht="14.45">
      <c r="A340" s="23"/>
      <c r="B340" s="35"/>
      <c r="C340" s="23"/>
      <c r="F340" s="23"/>
      <c r="G340" s="23"/>
      <c r="H340" s="23"/>
      <c r="I340" s="24"/>
      <c r="J340" s="23"/>
      <c r="K340" s="23"/>
      <c r="L340" s="24"/>
      <c r="M340" s="23"/>
      <c r="N340" s="23"/>
    </row>
    <row r="341" spans="1:14" ht="14.45">
      <c r="A341" s="23"/>
      <c r="B341" s="35"/>
      <c r="C341" s="23"/>
      <c r="F341" s="23"/>
      <c r="G341" s="23"/>
      <c r="H341" s="23"/>
      <c r="I341" s="24"/>
      <c r="J341" s="23"/>
      <c r="K341" s="23"/>
      <c r="L341" s="24"/>
      <c r="M341" s="23"/>
      <c r="N341" s="23"/>
    </row>
    <row r="342" spans="1:14" ht="14.45">
      <c r="C342" s="23"/>
      <c r="F342" s="23"/>
      <c r="G342" s="23"/>
      <c r="H342" s="23"/>
      <c r="I342" s="24"/>
      <c r="J342" s="23"/>
      <c r="K342" s="23"/>
      <c r="L342" s="24"/>
      <c r="M342" s="23"/>
      <c r="N342" s="23"/>
    </row>
  </sheetData>
  <mergeCells count="4">
    <mergeCell ref="J1:L1"/>
    <mergeCell ref="A1:C1"/>
    <mergeCell ref="G1:I1"/>
    <mergeCell ref="A2:B2"/>
  </mergeCells>
  <conditionalFormatting sqref="I2 L2 I4:I100 L4:L100">
    <cfRule type="cellIs" dxfId="8" priority="1" stopIfTrue="1" operator="lessThanOrEqual">
      <formula>-0.1</formula>
    </cfRule>
    <cfRule type="expression" dxfId="7" priority="2">
      <formula>AND(ISNUMBER(I2), I2&gt;=0.1)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M342"/>
  <sheetViews>
    <sheetView zoomScale="60" zoomScaleNormal="60" workbookViewId="0">
      <pane ySplit="2" topLeftCell="A3" activePane="bottomLeft" state="frozen"/>
      <selection pane="bottomLeft" activeCell="L31" sqref="L31"/>
      <selection activeCell="M45" sqref="M45"/>
    </sheetView>
  </sheetViews>
  <sheetFormatPr defaultRowHeight="13.9"/>
  <cols>
    <col min="1" max="1" width="35.85546875" bestFit="1" customWidth="1"/>
    <col min="2" max="2" width="8.42578125" style="36" customWidth="1"/>
    <col min="3" max="3" width="11.7109375" customWidth="1"/>
    <col min="4" max="4" width="13.5703125" customWidth="1"/>
    <col min="5" max="5" width="11.7109375" customWidth="1"/>
    <col min="6" max="7" width="13.28515625" customWidth="1"/>
    <col min="8" max="8" width="13.28515625" style="1" customWidth="1"/>
    <col min="9" max="10" width="13.28515625" customWidth="1"/>
    <col min="11" max="11" width="13.28515625" style="1" customWidth="1"/>
    <col min="12" max="12" width="75.7109375" style="91" customWidth="1"/>
    <col min="13" max="13" width="20.5703125" bestFit="1" customWidth="1"/>
  </cols>
  <sheetData>
    <row r="1" spans="1:13" ht="19.5" customHeight="1" thickBot="1">
      <c r="A1" s="129" t="str" cm="1">
        <f t="array" ref="A1">portfolio</f>
        <v>CITI</v>
      </c>
      <c r="B1" s="129"/>
      <c r="C1" s="129"/>
      <c r="D1" s="74" t="s">
        <v>0</v>
      </c>
      <c r="E1" s="75" t="s">
        <v>1</v>
      </c>
      <c r="F1" s="130" t="s">
        <v>210</v>
      </c>
      <c r="G1" s="130"/>
      <c r="H1" s="130"/>
      <c r="I1" s="128" t="s">
        <v>211</v>
      </c>
      <c r="J1" s="128"/>
      <c r="K1" s="128"/>
      <c r="L1" s="88"/>
      <c r="M1" s="5"/>
    </row>
    <row r="2" spans="1:13" ht="19.5" customHeight="1">
      <c r="A2" s="131" t="s">
        <v>4</v>
      </c>
      <c r="B2" s="131"/>
      <c r="C2" s="6">
        <f>SUM(C4:C100)</f>
        <v>0</v>
      </c>
      <c r="D2" s="6">
        <f>SUM(D3:D22)</f>
        <v>0</v>
      </c>
      <c r="E2" s="68" t="e">
        <f>C2/D2</f>
        <v>#DIV/0!</v>
      </c>
      <c r="F2" s="6">
        <f>SUM(F4:F100)</f>
        <v>0</v>
      </c>
      <c r="G2" s="6">
        <f>C2-F2</f>
        <v>0</v>
      </c>
      <c r="H2" s="7">
        <f>IFERROR(G2/F2, 0)</f>
        <v>0</v>
      </c>
      <c r="I2" s="6">
        <f>SUM(I4:I100)</f>
        <v>0</v>
      </c>
      <c r="J2" s="8">
        <f>C2-I2</f>
        <v>0</v>
      </c>
      <c r="K2" s="7">
        <f>IFERROR(J2/I2, 0)</f>
        <v>0</v>
      </c>
      <c r="L2" s="89"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M2" s="5"/>
    </row>
    <row r="3" spans="1:13" ht="14.25" customHeight="1">
      <c r="A3" s="9" t="s">
        <v>5</v>
      </c>
      <c r="B3" s="9" t="s">
        <v>6</v>
      </c>
      <c r="C3" s="25" t="s">
        <v>7</v>
      </c>
      <c r="D3" s="69"/>
      <c r="E3" s="70"/>
      <c r="F3" s="49" t="s">
        <v>8</v>
      </c>
      <c r="G3" s="49" t="s">
        <v>9</v>
      </c>
      <c r="H3" s="50" t="s">
        <v>10</v>
      </c>
      <c r="I3" s="51" t="s">
        <v>11</v>
      </c>
      <c r="J3" s="52" t="s">
        <v>9</v>
      </c>
      <c r="K3" s="53" t="s">
        <v>10</v>
      </c>
      <c r="L3" s="27" t="s">
        <v>22</v>
      </c>
      <c r="M3" s="27" t="s">
        <v>23</v>
      </c>
    </row>
    <row r="4" spans="1:13" ht="15.6">
      <c r="A4" s="34" t="str" cm="1">
        <f t="array" ref="A4:A23">Sites[Site]</f>
        <v>CA: Antioch Deer Valley - Citi</v>
      </c>
      <c r="B4" s="31" t="str" cm="1">
        <f t="array" ref="B4:B23">Sites[State]</f>
        <v>CA</v>
      </c>
      <c r="C4" s="26"/>
      <c r="D4" s="71"/>
      <c r="E4" s="82" t="e">
        <f t="shared" ref="E4:E22" si="0">C4/D4</f>
        <v>#DIV/0!</v>
      </c>
      <c r="F4" s="14"/>
      <c r="G4" s="14"/>
      <c r="H4" s="15" t="str">
        <f>IFERROR(G4/F4, "")</f>
        <v/>
      </c>
      <c r="I4" s="16"/>
      <c r="J4" s="16"/>
      <c r="K4" s="17" t="str">
        <f>IFERROR(J4/I4, "")</f>
        <v/>
      </c>
      <c r="L4" s="18"/>
      <c r="M4" s="18"/>
    </row>
    <row r="5" spans="1:13" ht="15.6">
      <c r="A5" s="32" t="str">
        <v>CA: Antioch MC CUP - Citi</v>
      </c>
      <c r="B5" s="33" t="str">
        <v>CA</v>
      </c>
      <c r="C5" s="12"/>
      <c r="D5" s="12"/>
      <c r="E5" s="80" t="e">
        <f t="shared" si="0"/>
        <v>#DIV/0!</v>
      </c>
      <c r="F5" s="20"/>
      <c r="G5" s="20"/>
      <c r="H5" s="21" t="str">
        <f>IFERROR(G5/F5, "")</f>
        <v/>
      </c>
      <c r="I5" s="22"/>
      <c r="J5" s="22"/>
      <c r="K5" s="21" t="str">
        <f t="shared" ref="K5:K15" si="1">IFERROR(J5/I5, "")</f>
        <v/>
      </c>
      <c r="L5" s="55"/>
      <c r="M5" s="92"/>
    </row>
    <row r="6" spans="1:13" ht="15.6">
      <c r="A6" s="30" t="str">
        <v>CA: Clovis - Citi</v>
      </c>
      <c r="B6" s="31" t="str">
        <v>CA</v>
      </c>
      <c r="C6" s="26"/>
      <c r="D6" s="71"/>
      <c r="E6" s="82" t="e">
        <f t="shared" si="0"/>
        <v>#DIV/0!</v>
      </c>
      <c r="F6" s="14"/>
      <c r="G6" s="14"/>
      <c r="H6" s="15" t="str">
        <f t="shared" ref="H6:H15" si="2">IFERROR(G6/F6, "")</f>
        <v/>
      </c>
      <c r="I6" s="16"/>
      <c r="J6" s="16"/>
      <c r="K6" s="17" t="str">
        <f t="shared" si="1"/>
        <v/>
      </c>
      <c r="L6" s="58"/>
      <c r="M6" s="58"/>
    </row>
    <row r="7" spans="1:13" ht="15.6">
      <c r="A7" s="32" t="str">
        <v>CA: Elk Grove MOB - Citi</v>
      </c>
      <c r="B7" s="33" t="str">
        <v>CA</v>
      </c>
      <c r="C7" s="12"/>
      <c r="D7" s="12"/>
      <c r="E7" s="80" t="e">
        <f t="shared" si="0"/>
        <v>#DIV/0!</v>
      </c>
      <c r="F7" s="20"/>
      <c r="G7" s="20"/>
      <c r="H7" s="21" t="str">
        <f t="shared" si="2"/>
        <v/>
      </c>
      <c r="I7" s="22"/>
      <c r="J7" s="22"/>
      <c r="K7" s="21" t="str">
        <f t="shared" si="1"/>
        <v/>
      </c>
      <c r="L7" s="66"/>
      <c r="M7" s="93"/>
    </row>
    <row r="8" spans="1:13" ht="15.6">
      <c r="A8" s="30" t="str">
        <v>CA: Elk Grove Promenade - Citi</v>
      </c>
      <c r="B8" s="31" t="str">
        <v>CA</v>
      </c>
      <c r="C8" s="26"/>
      <c r="D8" s="71"/>
      <c r="E8" s="82" t="e">
        <f t="shared" si="0"/>
        <v>#DIV/0!</v>
      </c>
      <c r="F8" s="14"/>
      <c r="G8" s="14"/>
      <c r="H8" s="15" t="str">
        <f t="shared" si="2"/>
        <v/>
      </c>
      <c r="I8" s="16"/>
      <c r="J8" s="16"/>
      <c r="K8" s="17" t="str">
        <f t="shared" si="1"/>
        <v/>
      </c>
      <c r="L8" s="18"/>
      <c r="M8" s="18"/>
    </row>
    <row r="9" spans="1:13" ht="15.6">
      <c r="A9" s="32" t="str">
        <v>CA: Fresno Sequioa - Citi</v>
      </c>
      <c r="B9" s="33" t="str">
        <v>CA</v>
      </c>
      <c r="C9" s="12"/>
      <c r="D9" s="12"/>
      <c r="E9" s="80" t="e">
        <f t="shared" si="0"/>
        <v>#DIV/0!</v>
      </c>
      <c r="F9" s="20"/>
      <c r="G9" s="20"/>
      <c r="H9" s="21" t="str">
        <f t="shared" si="2"/>
        <v/>
      </c>
      <c r="I9" s="22"/>
      <c r="J9" s="22"/>
      <c r="K9" s="21" t="str">
        <f t="shared" si="1"/>
        <v/>
      </c>
      <c r="L9" s="57"/>
      <c r="M9" s="60"/>
    </row>
    <row r="10" spans="1:13" ht="15.6">
      <c r="A10" s="30" t="str">
        <v>CA: Fresno MOB - Citi</v>
      </c>
      <c r="B10" s="31" t="str">
        <v>CA</v>
      </c>
      <c r="C10" s="26"/>
      <c r="D10" s="71"/>
      <c r="E10" s="82" t="e">
        <f t="shared" si="0"/>
        <v>#DIV/0!</v>
      </c>
      <c r="F10" s="14"/>
      <c r="G10" s="14"/>
      <c r="H10" s="15" t="str">
        <f t="shared" si="2"/>
        <v/>
      </c>
      <c r="I10" s="16"/>
      <c r="J10" s="16"/>
      <c r="K10" s="17" t="str">
        <f t="shared" si="1"/>
        <v/>
      </c>
      <c r="L10" s="18"/>
      <c r="M10" s="18"/>
    </row>
    <row r="11" spans="1:13" ht="15.6">
      <c r="A11" s="32" t="str">
        <v>CA: Modesto Bangs - Citi</v>
      </c>
      <c r="B11" s="33" t="str">
        <v>CA</v>
      </c>
      <c r="C11" s="12"/>
      <c r="D11" s="12"/>
      <c r="E11" s="80" t="e">
        <f t="shared" si="0"/>
        <v>#DIV/0!</v>
      </c>
      <c r="F11" s="20"/>
      <c r="G11" s="20"/>
      <c r="H11" s="21" t="str">
        <f t="shared" si="2"/>
        <v/>
      </c>
      <c r="I11" s="22"/>
      <c r="J11" s="22"/>
      <c r="K11" s="21" t="str">
        <f t="shared" si="1"/>
        <v/>
      </c>
      <c r="L11" s="57"/>
      <c r="M11" s="60"/>
    </row>
    <row r="12" spans="1:13" ht="15.6">
      <c r="A12" s="30" t="str">
        <v>CA: Napa Data Center - Citi</v>
      </c>
      <c r="B12" s="31" t="str">
        <v>CA</v>
      </c>
      <c r="C12" s="26"/>
      <c r="D12" s="71"/>
      <c r="E12" s="82" t="e">
        <f t="shared" si="0"/>
        <v>#DIV/0!</v>
      </c>
      <c r="F12" s="14"/>
      <c r="G12" s="14"/>
      <c r="H12" s="15" t="str">
        <f t="shared" si="2"/>
        <v/>
      </c>
      <c r="I12" s="16"/>
      <c r="J12" s="16"/>
      <c r="K12" s="17" t="str">
        <f t="shared" si="1"/>
        <v/>
      </c>
      <c r="L12" s="18"/>
      <c r="M12" s="18"/>
    </row>
    <row r="13" spans="1:13" ht="15.6">
      <c r="A13" s="32" t="str">
        <v>CA: Petaluma MOB - Citi</v>
      </c>
      <c r="B13" s="33" t="str">
        <v>CA</v>
      </c>
      <c r="C13" s="12"/>
      <c r="D13" s="12"/>
      <c r="E13" s="80" t="e">
        <f t="shared" si="0"/>
        <v>#DIV/0!</v>
      </c>
      <c r="F13" s="20"/>
      <c r="G13" s="20"/>
      <c r="H13" s="21" t="str">
        <f t="shared" si="2"/>
        <v/>
      </c>
      <c r="I13" s="22"/>
      <c r="J13" s="22"/>
      <c r="K13" s="21" t="str">
        <f t="shared" si="1"/>
        <v/>
      </c>
      <c r="L13" s="57"/>
      <c r="M13" s="95"/>
    </row>
    <row r="14" spans="1:13" ht="15.6">
      <c r="A14" s="30" t="str">
        <v>CA: Pleasanton Tec Ctr - Citi</v>
      </c>
      <c r="B14" s="31" t="str">
        <v>CA</v>
      </c>
      <c r="C14" s="26"/>
      <c r="D14" s="71"/>
      <c r="E14" s="82" t="e">
        <f t="shared" si="0"/>
        <v>#DIV/0!</v>
      </c>
      <c r="F14" s="14"/>
      <c r="G14" s="14"/>
      <c r="H14" s="15" t="str">
        <f t="shared" si="2"/>
        <v/>
      </c>
      <c r="I14" s="16"/>
      <c r="J14" s="16"/>
      <c r="K14" s="17" t="str">
        <f t="shared" si="1"/>
        <v/>
      </c>
      <c r="L14" s="18"/>
      <c r="M14" s="18"/>
    </row>
    <row r="15" spans="1:13" ht="15.6">
      <c r="A15" s="32" t="str">
        <v>CA: Rancho Cordova - Citi</v>
      </c>
      <c r="B15" s="33" t="str">
        <v>CA</v>
      </c>
      <c r="C15" s="12"/>
      <c r="D15" s="12"/>
      <c r="E15" s="80" t="e">
        <f t="shared" si="0"/>
        <v>#DIV/0!</v>
      </c>
      <c r="F15" s="20"/>
      <c r="G15" s="20"/>
      <c r="H15" s="21" t="str">
        <f t="shared" si="2"/>
        <v/>
      </c>
      <c r="I15" s="22"/>
      <c r="J15" s="22"/>
      <c r="K15" s="21" t="str">
        <f t="shared" si="1"/>
        <v/>
      </c>
      <c r="L15" s="84"/>
      <c r="M15" s="96"/>
    </row>
    <row r="16" spans="1:13" ht="15.6">
      <c r="A16" s="30" t="str">
        <v>CA: S Sacramento Wyndham - Citi</v>
      </c>
      <c r="B16" s="31" t="str">
        <v>CA</v>
      </c>
      <c r="C16" s="37"/>
      <c r="D16" s="72"/>
      <c r="E16" s="82" t="e">
        <f t="shared" si="0"/>
        <v>#DIV/0!</v>
      </c>
      <c r="F16" s="14"/>
      <c r="G16" s="14"/>
      <c r="H16" s="38" t="str">
        <f t="shared" ref="H16:H22" si="3">IFERROR(G16/F16, "")</f>
        <v/>
      </c>
      <c r="I16" s="39"/>
      <c r="J16" s="39"/>
      <c r="K16" s="40" t="str">
        <f t="shared" ref="K16:K22" si="4">IFERROR(J16/I16, "")</f>
        <v/>
      </c>
      <c r="L16" s="41"/>
      <c r="M16" s="41"/>
    </row>
    <row r="17" spans="1:13" ht="15.6">
      <c r="A17" s="32" t="str">
        <v>CA: Sacramento Point West - Citi</v>
      </c>
      <c r="B17" s="33" t="str">
        <v>CA</v>
      </c>
      <c r="C17" s="42"/>
      <c r="D17" s="42"/>
      <c r="E17" s="80" t="e">
        <f t="shared" si="0"/>
        <v>#DIV/0!</v>
      </c>
      <c r="F17" s="20"/>
      <c r="G17" s="20"/>
      <c r="H17" s="43" t="str">
        <f t="shared" si="3"/>
        <v/>
      </c>
      <c r="I17" s="44"/>
      <c r="J17" s="44"/>
      <c r="K17" s="43" t="str">
        <f t="shared" si="4"/>
        <v/>
      </c>
      <c r="L17" s="84"/>
      <c r="M17" s="95"/>
    </row>
    <row r="18" spans="1:13" ht="48.75" customHeight="1">
      <c r="A18" s="30" t="str">
        <v>CA: San Jose FHC - Citi</v>
      </c>
      <c r="B18" s="31" t="str">
        <v>CA</v>
      </c>
      <c r="C18" s="37"/>
      <c r="D18" s="72"/>
      <c r="E18" s="82" t="e">
        <f t="shared" si="0"/>
        <v>#DIV/0!</v>
      </c>
      <c r="F18" s="14"/>
      <c r="G18" s="14"/>
      <c r="H18" s="38" t="str">
        <f t="shared" si="3"/>
        <v/>
      </c>
      <c r="I18" s="39"/>
      <c r="J18" s="39"/>
      <c r="K18" s="40" t="str">
        <f t="shared" si="4"/>
        <v/>
      </c>
      <c r="L18" s="41"/>
      <c r="M18" s="41"/>
    </row>
    <row r="19" spans="1:13" ht="15.6">
      <c r="A19" s="32" t="str">
        <v>CA: San Jose MOB - Citi</v>
      </c>
      <c r="B19" s="33" t="str">
        <v>CA</v>
      </c>
      <c r="C19" s="42"/>
      <c r="D19" s="42"/>
      <c r="E19" s="80" t="e">
        <f t="shared" si="0"/>
        <v>#DIV/0!</v>
      </c>
      <c r="F19" s="20"/>
      <c r="G19" s="20"/>
      <c r="H19" s="43" t="str">
        <f t="shared" si="3"/>
        <v/>
      </c>
      <c r="I19" s="44"/>
      <c r="J19" s="44"/>
      <c r="K19" s="43" t="str">
        <f t="shared" si="4"/>
        <v/>
      </c>
      <c r="L19" s="57"/>
      <c r="M19" s="60"/>
    </row>
    <row r="20" spans="1:13" ht="20.45" customHeight="1">
      <c r="A20" s="30" t="str">
        <v>CA: Selma - Citi</v>
      </c>
      <c r="B20" s="31" t="str">
        <v>CA</v>
      </c>
      <c r="C20" s="37"/>
      <c r="D20" s="72"/>
      <c r="E20" s="82" t="e">
        <f t="shared" si="0"/>
        <v>#DIV/0!</v>
      </c>
      <c r="F20" s="14"/>
      <c r="G20" s="14"/>
      <c r="H20" s="38" t="str">
        <f t="shared" si="3"/>
        <v/>
      </c>
      <c r="I20" s="39"/>
      <c r="J20" s="39"/>
      <c r="K20" s="40" t="str">
        <f t="shared" si="4"/>
        <v/>
      </c>
      <c r="L20" s="41"/>
      <c r="M20" s="41"/>
    </row>
    <row r="21" spans="1:13" ht="81" customHeight="1">
      <c r="A21" s="32" t="str">
        <v>CA: Vacaville Hospital</v>
      </c>
      <c r="B21" s="33" t="str">
        <v>CA</v>
      </c>
      <c r="C21" s="42"/>
      <c r="D21" s="42"/>
      <c r="E21" s="80" t="e">
        <f t="shared" si="0"/>
        <v>#DIV/0!</v>
      </c>
      <c r="F21" s="20"/>
      <c r="G21" s="20"/>
      <c r="H21" s="43" t="str">
        <f t="shared" si="3"/>
        <v/>
      </c>
      <c r="I21" s="44"/>
      <c r="J21" s="44"/>
      <c r="K21" s="43" t="str">
        <f t="shared" si="4"/>
        <v/>
      </c>
      <c r="L21" s="84"/>
      <c r="M21" s="96"/>
    </row>
    <row r="22" spans="1:13" ht="15.6">
      <c r="A22" s="30" t="str">
        <v>CA: Manteca - KP Manteca Hospital</v>
      </c>
      <c r="B22" s="31" t="str">
        <v>CA</v>
      </c>
      <c r="C22" s="37"/>
      <c r="D22" s="72"/>
      <c r="E22" s="82" t="e">
        <f t="shared" si="0"/>
        <v>#DIV/0!</v>
      </c>
      <c r="F22" s="14"/>
      <c r="G22" s="14"/>
      <c r="H22" s="38" t="str">
        <f t="shared" si="3"/>
        <v/>
      </c>
      <c r="I22" s="39"/>
      <c r="J22" s="39"/>
      <c r="K22" s="40" t="str">
        <f t="shared" si="4"/>
        <v/>
      </c>
      <c r="L22" s="41"/>
      <c r="M22" s="41"/>
    </row>
    <row r="23" spans="1:13" ht="14.45">
      <c r="A23" s="23" t="str">
        <v>Sacramento - KP South Sacramento HSP</v>
      </c>
      <c r="B23" s="35" t="str">
        <v>CA</v>
      </c>
      <c r="C23" s="23"/>
      <c r="D23" s="23"/>
      <c r="E23" s="23"/>
      <c r="F23" s="23"/>
      <c r="G23" s="23"/>
      <c r="H23" s="23"/>
      <c r="I23" s="23"/>
      <c r="J23" s="23"/>
      <c r="K23" s="23"/>
      <c r="L23" s="90"/>
      <c r="M23" s="23"/>
    </row>
    <row r="24" spans="1:13" ht="14.45">
      <c r="A24" s="23"/>
      <c r="B24" s="35"/>
      <c r="C24" s="23"/>
      <c r="D24" s="23"/>
      <c r="E24" s="23"/>
      <c r="F24" s="23"/>
      <c r="G24" s="23"/>
      <c r="H24" s="23"/>
      <c r="I24" s="23"/>
      <c r="J24" s="23"/>
      <c r="K24" s="23"/>
      <c r="L24" s="90"/>
      <c r="M24" s="23"/>
    </row>
    <row r="25" spans="1:13" ht="14.45">
      <c r="A25" s="23"/>
      <c r="B25" s="35"/>
      <c r="C25" s="23"/>
      <c r="D25" s="23"/>
      <c r="E25" s="73"/>
      <c r="F25" s="23"/>
      <c r="G25" s="23"/>
      <c r="H25" s="23"/>
      <c r="I25" s="23"/>
      <c r="J25" s="23"/>
      <c r="K25" s="23"/>
      <c r="L25" s="90"/>
      <c r="M25" s="23"/>
    </row>
    <row r="26" spans="1:13" ht="14.45">
      <c r="A26" s="23"/>
      <c r="B26" s="35"/>
      <c r="C26" s="23"/>
      <c r="D26" s="23"/>
      <c r="E26" s="23"/>
      <c r="F26" s="23"/>
      <c r="G26" s="23"/>
      <c r="H26" s="23"/>
      <c r="I26" s="23"/>
      <c r="J26" s="23"/>
      <c r="K26" s="23"/>
      <c r="L26" s="90"/>
      <c r="M26" s="23"/>
    </row>
    <row r="27" spans="1:13" ht="14.45">
      <c r="A27" s="23"/>
      <c r="B27" s="35"/>
      <c r="C27" s="23"/>
      <c r="D27" s="23"/>
      <c r="E27" s="23"/>
      <c r="F27" s="23"/>
      <c r="G27" s="23"/>
      <c r="H27" s="23"/>
      <c r="I27" s="23"/>
      <c r="J27" s="23"/>
      <c r="K27" s="23"/>
      <c r="L27" s="90"/>
      <c r="M27" s="23"/>
    </row>
    <row r="28" spans="1:13" ht="14.45">
      <c r="A28" s="23"/>
      <c r="B28" s="35"/>
      <c r="C28" s="23"/>
      <c r="D28" s="23"/>
      <c r="E28" s="23"/>
      <c r="F28" s="23"/>
      <c r="G28" s="23"/>
      <c r="H28" s="23"/>
      <c r="I28" s="23"/>
      <c r="J28" s="23"/>
      <c r="K28" s="23"/>
      <c r="L28" s="90"/>
      <c r="M28" s="23"/>
    </row>
    <row r="29" spans="1:13" ht="14.45">
      <c r="A29" s="23"/>
      <c r="B29" s="35"/>
      <c r="C29" s="23"/>
      <c r="D29" s="23"/>
      <c r="E29" s="23"/>
      <c r="F29" s="23"/>
      <c r="G29" s="23"/>
      <c r="H29" s="23"/>
      <c r="I29" s="23"/>
      <c r="J29" s="23"/>
      <c r="K29" s="23"/>
      <c r="L29" s="90"/>
      <c r="M29" s="23"/>
    </row>
    <row r="30" spans="1:13" ht="14.45">
      <c r="A30" s="23"/>
      <c r="B30" s="35"/>
      <c r="C30" s="23"/>
      <c r="D30" s="23"/>
      <c r="E30" s="23"/>
      <c r="F30" s="23"/>
      <c r="G30" s="23"/>
      <c r="H30" s="23"/>
      <c r="I30" s="23"/>
      <c r="J30" s="23"/>
      <c r="K30" s="23"/>
      <c r="L30" s="90"/>
      <c r="M30" s="23"/>
    </row>
    <row r="31" spans="1:13" ht="14.45">
      <c r="A31" s="23"/>
      <c r="B31" s="35"/>
      <c r="C31" s="23"/>
      <c r="D31" s="23"/>
      <c r="E31" s="23"/>
      <c r="F31" s="23"/>
      <c r="G31" s="23"/>
      <c r="H31" s="23"/>
      <c r="I31" s="23"/>
      <c r="J31" s="23"/>
      <c r="K31" s="23"/>
      <c r="L31" s="90"/>
      <c r="M31" s="23"/>
    </row>
    <row r="32" spans="1:13" ht="14.45">
      <c r="A32" s="23"/>
      <c r="B32" s="35"/>
      <c r="C32" s="23"/>
      <c r="D32" s="23"/>
      <c r="E32" s="23"/>
      <c r="F32" s="23"/>
      <c r="G32" s="23"/>
      <c r="H32" s="23"/>
      <c r="I32" s="23"/>
      <c r="J32" s="23"/>
      <c r="K32" s="23"/>
      <c r="L32" s="90"/>
      <c r="M32" s="23"/>
    </row>
    <row r="33" spans="1:13" ht="14.45">
      <c r="A33" s="23"/>
      <c r="B33" s="35"/>
      <c r="C33" s="23"/>
      <c r="D33" s="23"/>
      <c r="E33" s="23"/>
      <c r="F33" s="23"/>
      <c r="G33" s="23"/>
      <c r="H33" s="24"/>
      <c r="I33" s="23"/>
      <c r="J33" s="23"/>
      <c r="K33" s="24"/>
      <c r="L33" s="90"/>
      <c r="M33" s="23"/>
    </row>
    <row r="34" spans="1:13" ht="14.45">
      <c r="A34" s="23"/>
      <c r="B34" s="35"/>
      <c r="C34" s="23"/>
      <c r="D34" s="23"/>
      <c r="E34" s="23"/>
      <c r="F34" s="23"/>
      <c r="G34" s="23"/>
      <c r="H34" s="24"/>
      <c r="I34" s="23"/>
      <c r="J34" s="23"/>
      <c r="K34" s="24"/>
      <c r="L34" s="90"/>
      <c r="M34" s="23"/>
    </row>
    <row r="35" spans="1:13" ht="14.45">
      <c r="A35" s="23"/>
      <c r="B35" s="35"/>
      <c r="C35" s="23"/>
      <c r="D35" s="23"/>
      <c r="E35" s="23"/>
      <c r="F35" s="23"/>
      <c r="G35" s="23"/>
      <c r="H35" s="24"/>
      <c r="I35" s="23"/>
      <c r="J35" s="23"/>
      <c r="K35" s="24"/>
      <c r="L35" s="90"/>
      <c r="M35" s="23"/>
    </row>
    <row r="36" spans="1:13" ht="14.45">
      <c r="A36" s="23"/>
      <c r="B36" s="35"/>
      <c r="C36" s="23"/>
      <c r="D36" s="23"/>
      <c r="E36" s="23"/>
      <c r="F36" s="23"/>
      <c r="G36" s="23"/>
      <c r="H36" s="24"/>
      <c r="I36" s="23"/>
      <c r="J36" s="23"/>
      <c r="K36" s="24"/>
      <c r="L36" s="90"/>
      <c r="M36" s="23"/>
    </row>
    <row r="37" spans="1:13" ht="14.45">
      <c r="A37" s="23"/>
      <c r="B37" s="35"/>
      <c r="C37" s="23"/>
      <c r="D37" s="23"/>
      <c r="E37" s="23"/>
      <c r="F37" s="23"/>
      <c r="G37" s="23"/>
      <c r="H37" s="24"/>
      <c r="I37" s="23"/>
      <c r="J37" s="23"/>
      <c r="K37" s="24"/>
      <c r="L37" s="90"/>
      <c r="M37" s="23"/>
    </row>
    <row r="38" spans="1:13" ht="14.45">
      <c r="A38" s="23"/>
      <c r="B38" s="35"/>
      <c r="C38" s="23"/>
      <c r="D38" s="23"/>
      <c r="E38" s="23"/>
      <c r="F38" s="23"/>
      <c r="G38" s="23"/>
      <c r="H38" s="24"/>
      <c r="I38" s="23"/>
      <c r="J38" s="23"/>
      <c r="K38" s="24"/>
      <c r="L38" s="90"/>
      <c r="M38" s="23"/>
    </row>
    <row r="39" spans="1:13" ht="14.45">
      <c r="A39" s="23"/>
      <c r="B39" s="35"/>
      <c r="C39" s="23"/>
      <c r="D39" s="23"/>
      <c r="E39" s="23"/>
      <c r="F39" s="23"/>
      <c r="G39" s="23"/>
      <c r="H39" s="24"/>
      <c r="I39" s="23"/>
      <c r="J39" s="23"/>
      <c r="K39" s="24"/>
      <c r="L39" s="90"/>
      <c r="M39" s="23"/>
    </row>
    <row r="40" spans="1:13" ht="14.45">
      <c r="A40" s="23"/>
      <c r="B40" s="35"/>
      <c r="C40" s="23"/>
      <c r="D40" s="23"/>
      <c r="E40" s="23"/>
      <c r="F40" s="23"/>
      <c r="G40" s="23"/>
      <c r="H40" s="24"/>
      <c r="I40" s="23"/>
      <c r="J40" s="23"/>
      <c r="K40" s="24"/>
      <c r="L40" s="90"/>
      <c r="M40" s="23"/>
    </row>
    <row r="41" spans="1:13" ht="14.45">
      <c r="A41" s="23"/>
      <c r="B41" s="35"/>
      <c r="C41" s="23"/>
      <c r="D41" s="23"/>
      <c r="E41" s="23"/>
      <c r="F41" s="23"/>
      <c r="G41" s="23"/>
      <c r="H41" s="24"/>
      <c r="I41" s="23"/>
      <c r="J41" s="23"/>
      <c r="K41" s="24"/>
      <c r="L41" s="90"/>
      <c r="M41" s="23"/>
    </row>
    <row r="42" spans="1:13" ht="14.45">
      <c r="A42" s="23"/>
      <c r="B42" s="35"/>
      <c r="C42" s="23"/>
      <c r="D42" s="23"/>
      <c r="E42" s="23"/>
      <c r="F42" s="23"/>
      <c r="G42" s="23"/>
      <c r="H42" s="24"/>
      <c r="I42" s="23"/>
      <c r="J42" s="23"/>
      <c r="K42" s="24"/>
      <c r="L42" s="90"/>
      <c r="M42" s="23"/>
    </row>
    <row r="43" spans="1:13" ht="14.45">
      <c r="A43" s="23"/>
      <c r="B43" s="35"/>
      <c r="C43" s="23"/>
      <c r="D43" s="23"/>
      <c r="E43" s="23"/>
      <c r="F43" s="23"/>
      <c r="G43" s="23"/>
      <c r="H43" s="24"/>
      <c r="I43" s="23"/>
      <c r="J43" s="23"/>
      <c r="K43" s="24"/>
      <c r="L43" s="90"/>
      <c r="M43" s="23"/>
    </row>
    <row r="44" spans="1:13" ht="14.45">
      <c r="A44" s="23"/>
      <c r="B44" s="35"/>
      <c r="C44" s="23"/>
      <c r="D44" s="23"/>
      <c r="E44" s="23"/>
      <c r="F44" s="23"/>
      <c r="G44" s="23"/>
      <c r="H44" s="24"/>
      <c r="I44" s="23"/>
      <c r="J44" s="23"/>
      <c r="K44" s="24"/>
      <c r="L44" s="90"/>
      <c r="M44" s="23"/>
    </row>
    <row r="45" spans="1:13" ht="14.45">
      <c r="A45" s="23"/>
      <c r="B45" s="35"/>
      <c r="C45" s="23"/>
      <c r="D45" s="23"/>
      <c r="E45" s="23"/>
      <c r="F45" s="23"/>
      <c r="G45" s="23"/>
      <c r="H45" s="24"/>
      <c r="I45" s="23"/>
      <c r="J45" s="23"/>
      <c r="K45" s="24"/>
      <c r="L45" s="90"/>
      <c r="M45" s="23"/>
    </row>
    <row r="46" spans="1:13" ht="14.45">
      <c r="A46" s="23"/>
      <c r="B46" s="35"/>
      <c r="C46" s="23"/>
      <c r="D46" s="23"/>
      <c r="E46" s="23"/>
      <c r="F46" s="23"/>
      <c r="G46" s="23"/>
      <c r="H46" s="24"/>
      <c r="I46" s="23"/>
      <c r="J46" s="23"/>
      <c r="K46" s="24"/>
      <c r="L46" s="90"/>
      <c r="M46" s="23"/>
    </row>
    <row r="47" spans="1:13" ht="14.45">
      <c r="A47" s="23"/>
      <c r="B47" s="35"/>
      <c r="C47" s="23"/>
      <c r="D47" s="23"/>
      <c r="E47" s="23"/>
      <c r="F47" s="23"/>
      <c r="G47" s="23"/>
      <c r="H47" s="24"/>
      <c r="I47" s="23"/>
      <c r="J47" s="23"/>
      <c r="K47" s="24"/>
      <c r="L47" s="90"/>
      <c r="M47" s="23"/>
    </row>
    <row r="48" spans="1:13" ht="14.45">
      <c r="A48" s="23"/>
      <c r="B48" s="35"/>
      <c r="C48" s="23"/>
      <c r="D48" s="23"/>
      <c r="E48" s="23"/>
      <c r="F48" s="23"/>
      <c r="G48" s="23"/>
      <c r="H48" s="24"/>
      <c r="I48" s="23"/>
      <c r="J48" s="23"/>
      <c r="K48" s="24"/>
      <c r="L48" s="90"/>
      <c r="M48" s="23"/>
    </row>
    <row r="49" spans="1:13" ht="14.45">
      <c r="A49" s="23"/>
      <c r="B49" s="35"/>
      <c r="C49" s="23"/>
      <c r="D49" s="23"/>
      <c r="E49" s="23"/>
      <c r="F49" s="23"/>
      <c r="G49" s="23"/>
      <c r="H49" s="24"/>
      <c r="I49" s="23"/>
      <c r="J49" s="23"/>
      <c r="K49" s="24"/>
      <c r="L49" s="90"/>
      <c r="M49" s="23"/>
    </row>
    <row r="50" spans="1:13" ht="14.45">
      <c r="A50" s="23"/>
      <c r="B50" s="35"/>
      <c r="C50" s="23"/>
      <c r="D50" s="23"/>
      <c r="E50" s="23"/>
      <c r="F50" s="23"/>
      <c r="G50" s="23"/>
      <c r="H50" s="24"/>
      <c r="I50" s="23"/>
      <c r="J50" s="23"/>
      <c r="K50" s="24"/>
      <c r="L50" s="90"/>
      <c r="M50" s="23"/>
    </row>
    <row r="51" spans="1:13" ht="14.45">
      <c r="A51" s="23"/>
      <c r="B51" s="35"/>
      <c r="C51" s="23"/>
      <c r="D51" s="23"/>
      <c r="E51" s="23"/>
      <c r="F51" s="23"/>
      <c r="G51" s="23"/>
      <c r="H51" s="24"/>
      <c r="I51" s="23"/>
      <c r="J51" s="23"/>
      <c r="K51" s="24"/>
      <c r="L51" s="90"/>
      <c r="M51" s="23"/>
    </row>
    <row r="52" spans="1:13" ht="14.45">
      <c r="A52" s="23"/>
      <c r="B52" s="35"/>
      <c r="C52" s="23"/>
      <c r="D52" s="23"/>
      <c r="E52" s="23"/>
      <c r="F52" s="23"/>
      <c r="G52" s="23"/>
      <c r="H52" s="24"/>
      <c r="I52" s="23"/>
      <c r="J52" s="23"/>
      <c r="K52" s="24"/>
      <c r="L52" s="90"/>
      <c r="M52" s="23"/>
    </row>
    <row r="53" spans="1:13" ht="14.45">
      <c r="A53" s="23"/>
      <c r="B53" s="35"/>
      <c r="C53" s="23"/>
      <c r="D53" s="23"/>
      <c r="E53" s="23"/>
      <c r="F53" s="23"/>
      <c r="G53" s="23"/>
      <c r="H53" s="24"/>
      <c r="I53" s="23"/>
      <c r="J53" s="23"/>
      <c r="K53" s="24"/>
      <c r="L53" s="90"/>
      <c r="M53" s="23"/>
    </row>
    <row r="54" spans="1:13" ht="14.45">
      <c r="A54" s="23"/>
      <c r="B54" s="35"/>
      <c r="C54" s="23"/>
      <c r="D54" s="23"/>
      <c r="E54" s="23"/>
      <c r="F54" s="23"/>
      <c r="G54" s="23"/>
      <c r="H54" s="24"/>
      <c r="I54" s="23"/>
      <c r="J54" s="23"/>
      <c r="K54" s="24"/>
      <c r="L54" s="90"/>
      <c r="M54" s="23"/>
    </row>
    <row r="55" spans="1:13" ht="14.45">
      <c r="A55" s="23"/>
      <c r="B55" s="35"/>
      <c r="C55" s="23"/>
      <c r="D55" s="23"/>
      <c r="E55" s="23"/>
      <c r="F55" s="23"/>
      <c r="G55" s="23"/>
      <c r="H55" s="24"/>
      <c r="I55" s="23"/>
      <c r="J55" s="23"/>
      <c r="K55" s="24"/>
      <c r="L55" s="90"/>
      <c r="M55" s="23"/>
    </row>
    <row r="56" spans="1:13" ht="14.45">
      <c r="A56" s="23"/>
      <c r="B56" s="35"/>
      <c r="C56" s="23"/>
      <c r="D56" s="23"/>
      <c r="E56" s="23"/>
      <c r="F56" s="23"/>
      <c r="G56" s="23"/>
      <c r="H56" s="24"/>
      <c r="I56" s="23"/>
      <c r="J56" s="23"/>
      <c r="K56" s="24"/>
      <c r="L56" s="90"/>
      <c r="M56" s="23"/>
    </row>
    <row r="57" spans="1:13" ht="14.45">
      <c r="A57" s="23"/>
      <c r="B57" s="35"/>
      <c r="C57" s="23"/>
      <c r="D57" s="23"/>
      <c r="E57" s="23"/>
      <c r="F57" s="23"/>
      <c r="G57" s="23"/>
      <c r="H57" s="24"/>
      <c r="I57" s="23"/>
      <c r="J57" s="23"/>
      <c r="K57" s="24"/>
      <c r="L57" s="90"/>
      <c r="M57" s="23"/>
    </row>
    <row r="58" spans="1:13" ht="14.45">
      <c r="A58" s="23"/>
      <c r="B58" s="35"/>
      <c r="C58" s="23"/>
      <c r="D58" s="23"/>
      <c r="E58" s="23"/>
      <c r="F58" s="23"/>
      <c r="G58" s="23"/>
      <c r="H58" s="24"/>
      <c r="I58" s="23"/>
      <c r="J58" s="23"/>
      <c r="K58" s="24"/>
      <c r="L58" s="90"/>
      <c r="M58" s="23"/>
    </row>
    <row r="59" spans="1:13" ht="14.45">
      <c r="A59" s="23"/>
      <c r="B59" s="35"/>
      <c r="C59" s="23"/>
      <c r="D59" s="23"/>
      <c r="E59" s="23"/>
      <c r="F59" s="23"/>
      <c r="G59" s="23"/>
      <c r="H59" s="24"/>
      <c r="I59" s="23"/>
      <c r="J59" s="23"/>
      <c r="K59" s="24"/>
      <c r="L59" s="90"/>
      <c r="M59" s="23"/>
    </row>
    <row r="60" spans="1:13" ht="14.45">
      <c r="A60" s="23"/>
      <c r="B60" s="35"/>
      <c r="C60" s="23"/>
      <c r="D60" s="23"/>
      <c r="E60" s="23"/>
      <c r="F60" s="23"/>
      <c r="G60" s="23"/>
      <c r="H60" s="24"/>
      <c r="I60" s="23"/>
      <c r="J60" s="23"/>
      <c r="K60" s="24"/>
      <c r="L60" s="90"/>
      <c r="M60" s="23"/>
    </row>
    <row r="61" spans="1:13" ht="14.45">
      <c r="A61" s="23"/>
      <c r="B61" s="35"/>
      <c r="C61" s="23"/>
      <c r="D61" s="23"/>
      <c r="E61" s="23"/>
      <c r="F61" s="23"/>
      <c r="G61" s="23"/>
      <c r="H61" s="24"/>
      <c r="I61" s="23"/>
      <c r="J61" s="23"/>
      <c r="K61" s="24"/>
      <c r="L61" s="90"/>
      <c r="M61" s="23"/>
    </row>
    <row r="62" spans="1:13" ht="14.45">
      <c r="A62" s="23"/>
      <c r="B62" s="35"/>
      <c r="C62" s="23"/>
      <c r="D62" s="23"/>
      <c r="E62" s="23"/>
      <c r="F62" s="23"/>
      <c r="G62" s="23"/>
      <c r="H62" s="24"/>
      <c r="I62" s="23"/>
      <c r="J62" s="23"/>
      <c r="K62" s="24"/>
      <c r="L62" s="90"/>
      <c r="M62" s="23"/>
    </row>
    <row r="63" spans="1:13" ht="14.45">
      <c r="A63" s="23"/>
      <c r="B63" s="35"/>
      <c r="C63" s="23"/>
      <c r="D63" s="23"/>
      <c r="E63" s="23"/>
      <c r="F63" s="23"/>
      <c r="G63" s="23"/>
      <c r="H63" s="24"/>
      <c r="I63" s="23"/>
      <c r="J63" s="23"/>
      <c r="K63" s="24"/>
      <c r="L63" s="90"/>
      <c r="M63" s="23"/>
    </row>
    <row r="64" spans="1:13" ht="14.45">
      <c r="A64" s="23"/>
      <c r="B64" s="35"/>
      <c r="C64" s="23"/>
      <c r="D64" s="23"/>
      <c r="E64" s="23"/>
      <c r="F64" s="23"/>
      <c r="G64" s="23"/>
      <c r="H64" s="24"/>
      <c r="I64" s="23"/>
      <c r="J64" s="23"/>
      <c r="K64" s="24"/>
      <c r="L64" s="90"/>
      <c r="M64" s="23"/>
    </row>
    <row r="65" spans="1:13" ht="14.45">
      <c r="A65" s="23"/>
      <c r="B65" s="35"/>
      <c r="C65" s="23"/>
      <c r="D65" s="23"/>
      <c r="E65" s="23"/>
      <c r="F65" s="23"/>
      <c r="G65" s="23"/>
      <c r="H65" s="24"/>
      <c r="I65" s="23"/>
      <c r="J65" s="23"/>
      <c r="K65" s="24"/>
      <c r="L65" s="90"/>
      <c r="M65" s="23"/>
    </row>
    <row r="66" spans="1:13" ht="14.45">
      <c r="A66" s="23"/>
      <c r="B66" s="35"/>
      <c r="C66" s="23"/>
      <c r="D66" s="23"/>
      <c r="E66" s="23"/>
      <c r="F66" s="23"/>
      <c r="G66" s="23"/>
      <c r="H66" s="24"/>
      <c r="I66" s="23"/>
      <c r="J66" s="23"/>
      <c r="K66" s="24"/>
      <c r="L66" s="90"/>
      <c r="M66" s="23"/>
    </row>
    <row r="67" spans="1:13" ht="14.45">
      <c r="A67" s="23"/>
      <c r="B67" s="35"/>
      <c r="C67" s="23"/>
      <c r="D67" s="23"/>
      <c r="E67" s="23"/>
      <c r="F67" s="23"/>
      <c r="G67" s="23"/>
      <c r="H67" s="24"/>
      <c r="I67" s="23"/>
      <c r="J67" s="23"/>
      <c r="K67" s="24"/>
      <c r="L67" s="90"/>
      <c r="M67" s="23"/>
    </row>
    <row r="68" spans="1:13" ht="14.45">
      <c r="A68" s="23"/>
      <c r="B68" s="35"/>
      <c r="C68" s="23"/>
      <c r="D68" s="23"/>
      <c r="E68" s="23"/>
      <c r="F68" s="23"/>
      <c r="G68" s="23"/>
      <c r="H68" s="24"/>
      <c r="I68" s="23"/>
      <c r="J68" s="23"/>
      <c r="K68" s="24"/>
      <c r="L68" s="90"/>
      <c r="M68" s="23"/>
    </row>
    <row r="69" spans="1:13" ht="14.45">
      <c r="A69" s="23"/>
      <c r="B69" s="35"/>
      <c r="C69" s="23"/>
      <c r="D69" s="23"/>
      <c r="E69" s="23"/>
      <c r="F69" s="23"/>
      <c r="G69" s="23"/>
      <c r="H69" s="24"/>
      <c r="I69" s="23"/>
      <c r="J69" s="23"/>
      <c r="K69" s="24"/>
      <c r="L69" s="90"/>
      <c r="M69" s="23"/>
    </row>
    <row r="70" spans="1:13" ht="14.45">
      <c r="A70" s="23"/>
      <c r="B70" s="35"/>
      <c r="C70" s="23"/>
      <c r="D70" s="23"/>
      <c r="E70" s="23"/>
      <c r="F70" s="23"/>
      <c r="G70" s="23"/>
      <c r="H70" s="24"/>
      <c r="I70" s="23"/>
      <c r="J70" s="23"/>
      <c r="K70" s="24"/>
      <c r="L70" s="90"/>
      <c r="M70" s="23"/>
    </row>
    <row r="71" spans="1:13" ht="14.45">
      <c r="A71" s="23"/>
      <c r="B71" s="35"/>
      <c r="C71" s="23"/>
      <c r="D71" s="23"/>
      <c r="E71" s="23"/>
      <c r="F71" s="23"/>
      <c r="G71" s="23"/>
      <c r="H71" s="24"/>
      <c r="I71" s="23"/>
      <c r="J71" s="23"/>
      <c r="K71" s="24"/>
      <c r="L71" s="90"/>
      <c r="M71" s="23"/>
    </row>
    <row r="72" spans="1:13" ht="14.45">
      <c r="A72" s="23"/>
      <c r="B72" s="35"/>
      <c r="C72" s="23"/>
      <c r="D72" s="23"/>
      <c r="E72" s="23"/>
      <c r="F72" s="23"/>
      <c r="G72" s="23"/>
      <c r="H72" s="24"/>
      <c r="I72" s="23"/>
      <c r="J72" s="23"/>
      <c r="K72" s="24"/>
      <c r="L72" s="90"/>
      <c r="M72" s="23"/>
    </row>
    <row r="73" spans="1:13" ht="14.45">
      <c r="A73" s="23"/>
      <c r="B73" s="35"/>
      <c r="C73" s="23"/>
      <c r="D73" s="23"/>
      <c r="E73" s="23"/>
      <c r="F73" s="23"/>
      <c r="G73" s="23"/>
      <c r="H73" s="24"/>
      <c r="I73" s="23"/>
      <c r="J73" s="23"/>
      <c r="K73" s="24"/>
      <c r="L73" s="90"/>
      <c r="M73" s="23"/>
    </row>
    <row r="74" spans="1:13" ht="14.45">
      <c r="A74" s="23"/>
      <c r="B74" s="35"/>
      <c r="C74" s="23"/>
      <c r="D74" s="23"/>
      <c r="E74" s="23"/>
      <c r="F74" s="23"/>
      <c r="G74" s="23"/>
      <c r="H74" s="24"/>
      <c r="I74" s="23"/>
      <c r="J74" s="23"/>
      <c r="K74" s="24"/>
      <c r="L74" s="90"/>
      <c r="M74" s="23"/>
    </row>
    <row r="75" spans="1:13" ht="14.45">
      <c r="A75" s="23"/>
      <c r="B75" s="35"/>
      <c r="C75" s="23"/>
      <c r="D75" s="23"/>
      <c r="E75" s="23"/>
      <c r="F75" s="23"/>
      <c r="G75" s="23"/>
      <c r="H75" s="24"/>
      <c r="I75" s="23"/>
      <c r="J75" s="23"/>
      <c r="K75" s="24"/>
      <c r="L75" s="90"/>
      <c r="M75" s="23"/>
    </row>
    <row r="76" spans="1:13" ht="14.45">
      <c r="A76" s="23"/>
      <c r="B76" s="35"/>
      <c r="C76" s="23"/>
      <c r="D76" s="23"/>
      <c r="E76" s="23"/>
      <c r="F76" s="23"/>
      <c r="G76" s="23"/>
      <c r="H76" s="24"/>
      <c r="I76" s="23"/>
      <c r="J76" s="23"/>
      <c r="K76" s="24"/>
      <c r="L76" s="90"/>
      <c r="M76" s="23"/>
    </row>
    <row r="77" spans="1:13" ht="14.45">
      <c r="A77" s="23"/>
      <c r="B77" s="35"/>
      <c r="C77" s="23"/>
      <c r="D77" s="23"/>
      <c r="E77" s="23"/>
      <c r="F77" s="23"/>
      <c r="G77" s="23"/>
      <c r="H77" s="24"/>
      <c r="I77" s="23"/>
      <c r="J77" s="23"/>
      <c r="K77" s="24"/>
      <c r="L77" s="90"/>
      <c r="M77" s="23"/>
    </row>
    <row r="78" spans="1:13" ht="14.45">
      <c r="A78" s="23"/>
      <c r="B78" s="35"/>
      <c r="C78" s="23"/>
      <c r="D78" s="23"/>
      <c r="E78" s="23"/>
      <c r="F78" s="23"/>
      <c r="G78" s="23"/>
      <c r="H78" s="24"/>
      <c r="I78" s="23"/>
      <c r="J78" s="23"/>
      <c r="K78" s="24"/>
      <c r="L78" s="90"/>
      <c r="M78" s="23"/>
    </row>
    <row r="79" spans="1:13" ht="14.45">
      <c r="A79" s="23"/>
      <c r="B79" s="35"/>
      <c r="C79" s="23"/>
      <c r="D79" s="23"/>
      <c r="E79" s="23"/>
      <c r="F79" s="23"/>
      <c r="G79" s="23"/>
      <c r="H79" s="24"/>
      <c r="I79" s="23"/>
      <c r="J79" s="23"/>
      <c r="K79" s="24"/>
      <c r="L79" s="90"/>
      <c r="M79" s="23"/>
    </row>
    <row r="80" spans="1:13" ht="14.45">
      <c r="A80" s="23"/>
      <c r="B80" s="35"/>
      <c r="C80" s="23"/>
      <c r="D80" s="23"/>
      <c r="E80" s="23"/>
      <c r="F80" s="23"/>
      <c r="G80" s="23"/>
      <c r="H80" s="24"/>
      <c r="I80" s="23"/>
      <c r="J80" s="23"/>
      <c r="K80" s="24"/>
      <c r="L80" s="90"/>
      <c r="M80" s="23"/>
    </row>
    <row r="81" spans="1:13" ht="14.45">
      <c r="A81" s="23"/>
      <c r="B81" s="35"/>
      <c r="C81" s="23"/>
      <c r="D81" s="23"/>
      <c r="E81" s="23"/>
      <c r="F81" s="23"/>
      <c r="G81" s="23"/>
      <c r="H81" s="24"/>
      <c r="I81" s="23"/>
      <c r="J81" s="23"/>
      <c r="K81" s="24"/>
      <c r="L81" s="90"/>
      <c r="M81" s="23"/>
    </row>
    <row r="82" spans="1:13" ht="14.45">
      <c r="A82" s="23"/>
      <c r="B82" s="35"/>
      <c r="C82" s="23"/>
      <c r="D82" s="23"/>
      <c r="E82" s="23"/>
      <c r="F82" s="23"/>
      <c r="G82" s="23"/>
      <c r="H82" s="24"/>
      <c r="I82" s="23"/>
      <c r="J82" s="23"/>
      <c r="K82" s="24"/>
      <c r="L82" s="90"/>
      <c r="M82" s="23"/>
    </row>
    <row r="83" spans="1:13" ht="14.45">
      <c r="A83" s="23"/>
      <c r="B83" s="35"/>
      <c r="C83" s="23"/>
      <c r="D83" s="23"/>
      <c r="E83" s="23"/>
      <c r="F83" s="23"/>
      <c r="G83" s="23"/>
      <c r="H83" s="24"/>
      <c r="I83" s="23"/>
      <c r="J83" s="23"/>
      <c r="K83" s="24"/>
      <c r="L83" s="90"/>
      <c r="M83" s="23"/>
    </row>
    <row r="84" spans="1:13" ht="14.45">
      <c r="A84" s="23"/>
      <c r="B84" s="35"/>
      <c r="C84" s="23"/>
      <c r="D84" s="23"/>
      <c r="E84" s="23"/>
      <c r="F84" s="23"/>
      <c r="G84" s="23"/>
      <c r="H84" s="24"/>
      <c r="I84" s="23"/>
      <c r="J84" s="23"/>
      <c r="K84" s="24"/>
      <c r="L84" s="90"/>
      <c r="M84" s="23"/>
    </row>
    <row r="85" spans="1:13" ht="14.45">
      <c r="A85" s="23"/>
      <c r="B85" s="35"/>
      <c r="C85" s="23"/>
      <c r="D85" s="23"/>
      <c r="E85" s="23"/>
      <c r="F85" s="23"/>
      <c r="G85" s="23"/>
      <c r="H85" s="24"/>
      <c r="I85" s="23"/>
      <c r="J85" s="23"/>
      <c r="K85" s="24"/>
      <c r="L85" s="90"/>
      <c r="M85" s="23"/>
    </row>
    <row r="86" spans="1:13" ht="14.45">
      <c r="A86" s="23"/>
      <c r="B86" s="35"/>
      <c r="C86" s="23"/>
      <c r="D86" s="23"/>
      <c r="E86" s="23"/>
      <c r="F86" s="23"/>
      <c r="G86" s="23"/>
      <c r="H86" s="24"/>
      <c r="I86" s="23"/>
      <c r="J86" s="23"/>
      <c r="K86" s="24"/>
      <c r="L86" s="90"/>
      <c r="M86" s="23"/>
    </row>
    <row r="87" spans="1:13" ht="14.45">
      <c r="A87" s="23"/>
      <c r="B87" s="35"/>
      <c r="C87" s="23"/>
      <c r="D87" s="23"/>
      <c r="E87" s="23"/>
      <c r="F87" s="23"/>
      <c r="G87" s="23"/>
      <c r="H87" s="24"/>
      <c r="I87" s="23"/>
      <c r="J87" s="23"/>
      <c r="K87" s="24"/>
      <c r="L87" s="90"/>
      <c r="M87" s="23"/>
    </row>
    <row r="88" spans="1:13" ht="14.45">
      <c r="A88" s="23"/>
      <c r="B88" s="35"/>
      <c r="C88" s="23"/>
      <c r="D88" s="23"/>
      <c r="E88" s="23"/>
      <c r="F88" s="23"/>
      <c r="G88" s="23"/>
      <c r="H88" s="24"/>
      <c r="I88" s="23"/>
      <c r="J88" s="23"/>
      <c r="K88" s="24"/>
      <c r="L88" s="90"/>
      <c r="M88" s="23"/>
    </row>
    <row r="89" spans="1:13" ht="14.45">
      <c r="A89" s="23"/>
      <c r="B89" s="35"/>
      <c r="C89" s="23"/>
      <c r="D89" s="23"/>
      <c r="E89" s="23"/>
      <c r="F89" s="23"/>
      <c r="G89" s="23"/>
      <c r="H89" s="24"/>
      <c r="I89" s="23"/>
      <c r="J89" s="23"/>
      <c r="K89" s="24"/>
      <c r="L89" s="90"/>
      <c r="M89" s="23"/>
    </row>
    <row r="90" spans="1:13" ht="14.45">
      <c r="A90" s="23"/>
      <c r="B90" s="35"/>
      <c r="C90" s="23"/>
      <c r="D90" s="23"/>
      <c r="E90" s="23"/>
      <c r="F90" s="23"/>
      <c r="G90" s="23"/>
      <c r="H90" s="24"/>
      <c r="I90" s="23"/>
      <c r="J90" s="23"/>
      <c r="K90" s="24"/>
      <c r="L90" s="90"/>
      <c r="M90" s="23"/>
    </row>
    <row r="91" spans="1:13" ht="14.45">
      <c r="A91" s="23"/>
      <c r="B91" s="35"/>
      <c r="C91" s="23"/>
      <c r="D91" s="23"/>
      <c r="E91" s="23"/>
      <c r="F91" s="23"/>
      <c r="G91" s="23"/>
      <c r="H91" s="24"/>
      <c r="I91" s="23"/>
      <c r="J91" s="23"/>
      <c r="K91" s="24"/>
      <c r="L91" s="90"/>
      <c r="M91" s="23"/>
    </row>
    <row r="92" spans="1:13" ht="14.45">
      <c r="A92" s="23"/>
      <c r="B92" s="35"/>
      <c r="C92" s="23"/>
      <c r="D92" s="23"/>
      <c r="E92" s="23"/>
      <c r="F92" s="23"/>
      <c r="G92" s="23"/>
      <c r="H92" s="24"/>
      <c r="I92" s="23"/>
      <c r="J92" s="23"/>
      <c r="K92" s="24"/>
      <c r="L92" s="90"/>
      <c r="M92" s="23"/>
    </row>
    <row r="93" spans="1:13" ht="14.45">
      <c r="A93" s="23"/>
      <c r="B93" s="35"/>
      <c r="C93" s="23"/>
      <c r="D93" s="23"/>
      <c r="E93" s="23"/>
      <c r="F93" s="23"/>
      <c r="G93" s="23"/>
      <c r="H93" s="24"/>
      <c r="I93" s="23"/>
      <c r="J93" s="23"/>
      <c r="K93" s="24"/>
      <c r="L93" s="90"/>
      <c r="M93" s="23"/>
    </row>
    <row r="94" spans="1:13" ht="14.45">
      <c r="A94" s="23"/>
      <c r="B94" s="35"/>
      <c r="C94" s="23"/>
      <c r="D94" s="23"/>
      <c r="E94" s="23"/>
      <c r="F94" s="23"/>
      <c r="G94" s="23"/>
      <c r="H94" s="24"/>
      <c r="I94" s="23"/>
      <c r="J94" s="23"/>
      <c r="K94" s="24"/>
      <c r="L94" s="90"/>
      <c r="M94" s="23"/>
    </row>
    <row r="95" spans="1:13" ht="14.45">
      <c r="A95" s="23"/>
      <c r="B95" s="35"/>
      <c r="C95" s="23"/>
      <c r="D95" s="23"/>
      <c r="E95" s="23"/>
      <c r="F95" s="23"/>
      <c r="G95" s="23"/>
      <c r="H95" s="24"/>
      <c r="I95" s="23"/>
      <c r="J95" s="23"/>
      <c r="K95" s="24"/>
      <c r="L95" s="90"/>
      <c r="M95" s="23"/>
    </row>
    <row r="96" spans="1:13" ht="14.45">
      <c r="A96" s="23"/>
      <c r="B96" s="35"/>
      <c r="C96" s="23"/>
      <c r="D96" s="23"/>
      <c r="E96" s="23"/>
      <c r="F96" s="23"/>
      <c r="G96" s="23"/>
      <c r="H96" s="24"/>
      <c r="I96" s="23"/>
      <c r="J96" s="23"/>
      <c r="K96" s="24"/>
      <c r="L96" s="90"/>
      <c r="M96" s="23"/>
    </row>
    <row r="97" spans="1:13" ht="14.45">
      <c r="A97" s="23"/>
      <c r="B97" s="35"/>
      <c r="C97" s="23"/>
      <c r="D97" s="23"/>
      <c r="E97" s="23"/>
      <c r="F97" s="23"/>
      <c r="G97" s="23"/>
      <c r="H97" s="24"/>
      <c r="I97" s="23"/>
      <c r="J97" s="23"/>
      <c r="K97" s="24"/>
      <c r="L97" s="90"/>
      <c r="M97" s="23"/>
    </row>
    <row r="98" spans="1:13" ht="14.45">
      <c r="A98" s="23"/>
      <c r="B98" s="35"/>
      <c r="C98" s="23"/>
      <c r="D98" s="23"/>
      <c r="E98" s="23"/>
      <c r="F98" s="23"/>
      <c r="G98" s="23"/>
      <c r="H98" s="24"/>
      <c r="I98" s="23"/>
      <c r="J98" s="23"/>
      <c r="K98" s="24"/>
      <c r="L98" s="90"/>
      <c r="M98" s="23"/>
    </row>
    <row r="99" spans="1:13" ht="14.45">
      <c r="A99" s="23"/>
      <c r="B99" s="35"/>
      <c r="C99" s="23"/>
      <c r="D99" s="23"/>
      <c r="E99" s="23"/>
      <c r="F99" s="23"/>
      <c r="G99" s="23"/>
      <c r="H99" s="24"/>
      <c r="I99" s="23"/>
      <c r="J99" s="23"/>
      <c r="K99" s="24"/>
      <c r="L99" s="90"/>
      <c r="M99" s="23"/>
    </row>
    <row r="100" spans="1:13" ht="14.45">
      <c r="A100" s="23"/>
      <c r="B100" s="35"/>
      <c r="C100" s="23"/>
      <c r="D100" s="23"/>
      <c r="E100" s="23"/>
      <c r="F100" s="23"/>
      <c r="G100" s="23"/>
      <c r="H100" s="24"/>
      <c r="I100" s="23"/>
      <c r="J100" s="23"/>
      <c r="K100" s="24"/>
      <c r="L100" s="90"/>
      <c r="M100" s="23"/>
    </row>
    <row r="101" spans="1:13" ht="14.45">
      <c r="A101" s="23"/>
      <c r="B101" s="35"/>
      <c r="C101" s="23"/>
      <c r="D101" s="23"/>
      <c r="E101" s="23"/>
      <c r="F101" s="23"/>
      <c r="G101" s="23"/>
      <c r="H101" s="24"/>
      <c r="I101" s="23"/>
      <c r="J101" s="23"/>
      <c r="K101" s="24"/>
      <c r="L101" s="90"/>
      <c r="M101" s="23"/>
    </row>
    <row r="102" spans="1:13" ht="14.45">
      <c r="A102" s="23"/>
      <c r="B102" s="35"/>
      <c r="C102" s="23"/>
      <c r="D102" s="23"/>
      <c r="E102" s="23"/>
      <c r="F102" s="23"/>
      <c r="G102" s="23"/>
      <c r="H102" s="24"/>
      <c r="I102" s="23"/>
      <c r="J102" s="23"/>
      <c r="K102" s="24"/>
      <c r="L102" s="90"/>
      <c r="M102" s="23"/>
    </row>
    <row r="103" spans="1:13" ht="14.45">
      <c r="A103" s="23"/>
      <c r="B103" s="35"/>
      <c r="C103" s="23"/>
      <c r="D103" s="23"/>
      <c r="E103" s="23"/>
      <c r="F103" s="23"/>
      <c r="G103" s="23"/>
      <c r="H103" s="24"/>
      <c r="I103" s="23"/>
      <c r="J103" s="23"/>
      <c r="K103" s="24"/>
      <c r="L103" s="90"/>
      <c r="M103" s="23"/>
    </row>
    <row r="104" spans="1:13" ht="14.45">
      <c r="A104" s="23"/>
      <c r="B104" s="35"/>
      <c r="C104" s="23"/>
      <c r="D104" s="23"/>
      <c r="E104" s="23"/>
      <c r="F104" s="23"/>
      <c r="G104" s="23"/>
      <c r="H104" s="24"/>
      <c r="I104" s="23"/>
      <c r="J104" s="23"/>
      <c r="K104" s="24"/>
      <c r="L104" s="90"/>
      <c r="M104" s="23"/>
    </row>
    <row r="105" spans="1:13" ht="14.45">
      <c r="A105" s="23"/>
      <c r="B105" s="35"/>
      <c r="C105" s="23"/>
      <c r="D105" s="23"/>
      <c r="E105" s="23"/>
      <c r="F105" s="23"/>
      <c r="G105" s="23"/>
      <c r="H105" s="24"/>
      <c r="I105" s="23"/>
      <c r="J105" s="23"/>
      <c r="K105" s="24"/>
      <c r="L105" s="90"/>
      <c r="M105" s="23"/>
    </row>
    <row r="106" spans="1:13" ht="14.45">
      <c r="A106" s="23"/>
      <c r="B106" s="35"/>
      <c r="C106" s="23"/>
      <c r="D106" s="23"/>
      <c r="E106" s="23"/>
      <c r="F106" s="23"/>
      <c r="G106" s="23"/>
      <c r="H106" s="24"/>
      <c r="I106" s="23"/>
      <c r="J106" s="23"/>
      <c r="K106" s="24"/>
      <c r="L106" s="90"/>
      <c r="M106" s="23"/>
    </row>
    <row r="107" spans="1:13" ht="14.45">
      <c r="A107" s="23"/>
      <c r="B107" s="35"/>
      <c r="C107" s="23"/>
      <c r="D107" s="23"/>
      <c r="E107" s="23"/>
      <c r="F107" s="23"/>
      <c r="G107" s="23"/>
      <c r="H107" s="24"/>
      <c r="I107" s="23"/>
      <c r="J107" s="23"/>
      <c r="K107" s="24"/>
      <c r="L107" s="90"/>
      <c r="M107" s="23"/>
    </row>
    <row r="108" spans="1:13" ht="14.45">
      <c r="A108" s="23"/>
      <c r="B108" s="35"/>
      <c r="C108" s="23"/>
      <c r="D108" s="23"/>
      <c r="E108" s="23"/>
      <c r="F108" s="23"/>
      <c r="G108" s="23"/>
      <c r="H108" s="24"/>
      <c r="I108" s="23"/>
      <c r="J108" s="23"/>
      <c r="K108" s="24"/>
      <c r="L108" s="90"/>
      <c r="M108" s="23"/>
    </row>
    <row r="109" spans="1:13" ht="14.45">
      <c r="A109" s="23"/>
      <c r="B109" s="35"/>
      <c r="C109" s="23"/>
      <c r="D109" s="23"/>
      <c r="E109" s="23"/>
      <c r="F109" s="23"/>
      <c r="G109" s="23"/>
      <c r="H109" s="24"/>
      <c r="I109" s="23"/>
      <c r="J109" s="23"/>
      <c r="K109" s="24"/>
      <c r="L109" s="90"/>
      <c r="M109" s="23"/>
    </row>
    <row r="110" spans="1:13" ht="14.45">
      <c r="A110" s="23"/>
      <c r="B110" s="35"/>
      <c r="C110" s="23"/>
      <c r="D110" s="23"/>
      <c r="E110" s="23"/>
      <c r="F110" s="23"/>
      <c r="G110" s="23"/>
      <c r="H110" s="24"/>
      <c r="I110" s="23"/>
      <c r="J110" s="23"/>
      <c r="K110" s="24"/>
      <c r="L110" s="90"/>
      <c r="M110" s="23"/>
    </row>
    <row r="111" spans="1:13" ht="14.45">
      <c r="A111" s="23"/>
      <c r="B111" s="35"/>
      <c r="C111" s="23"/>
      <c r="D111" s="23"/>
      <c r="E111" s="23"/>
      <c r="F111" s="23"/>
      <c r="G111" s="23"/>
      <c r="H111" s="24"/>
      <c r="I111" s="23"/>
      <c r="J111" s="23"/>
      <c r="K111" s="24"/>
      <c r="L111" s="90"/>
      <c r="M111" s="23"/>
    </row>
    <row r="112" spans="1:13" ht="14.45">
      <c r="A112" s="23"/>
      <c r="B112" s="35"/>
      <c r="C112" s="23"/>
      <c r="D112" s="23"/>
      <c r="E112" s="23"/>
      <c r="F112" s="23"/>
      <c r="G112" s="23"/>
      <c r="H112" s="24"/>
      <c r="I112" s="23"/>
      <c r="J112" s="23"/>
      <c r="K112" s="24"/>
      <c r="L112" s="90"/>
      <c r="M112" s="23"/>
    </row>
    <row r="113" spans="1:13" ht="14.45">
      <c r="A113" s="23"/>
      <c r="B113" s="35"/>
      <c r="C113" s="23"/>
      <c r="D113" s="23"/>
      <c r="E113" s="23"/>
      <c r="F113" s="23"/>
      <c r="G113" s="23"/>
      <c r="H113" s="24"/>
      <c r="I113" s="23"/>
      <c r="J113" s="23"/>
      <c r="K113" s="24"/>
      <c r="L113" s="90"/>
      <c r="M113" s="23"/>
    </row>
    <row r="114" spans="1:13" ht="14.45">
      <c r="A114" s="23"/>
      <c r="B114" s="35"/>
      <c r="C114" s="23"/>
      <c r="D114" s="23"/>
      <c r="E114" s="23"/>
      <c r="F114" s="23"/>
      <c r="G114" s="23"/>
      <c r="H114" s="24"/>
      <c r="I114" s="23"/>
      <c r="J114" s="23"/>
      <c r="K114" s="24"/>
      <c r="L114" s="90"/>
      <c r="M114" s="23"/>
    </row>
    <row r="115" spans="1:13" ht="14.45">
      <c r="A115" s="23"/>
      <c r="B115" s="35"/>
      <c r="C115" s="23"/>
      <c r="D115" s="23"/>
      <c r="E115" s="23"/>
      <c r="F115" s="23"/>
      <c r="G115" s="23"/>
      <c r="H115" s="24"/>
      <c r="I115" s="23"/>
      <c r="J115" s="23"/>
      <c r="K115" s="24"/>
      <c r="L115" s="90"/>
      <c r="M115" s="23"/>
    </row>
    <row r="116" spans="1:13" ht="14.45">
      <c r="A116" s="23"/>
      <c r="B116" s="35"/>
      <c r="C116" s="23"/>
      <c r="D116" s="23"/>
      <c r="E116" s="23"/>
      <c r="F116" s="23"/>
      <c r="G116" s="23"/>
      <c r="H116" s="24"/>
      <c r="I116" s="23"/>
      <c r="J116" s="23"/>
      <c r="K116" s="24"/>
      <c r="L116" s="90"/>
      <c r="M116" s="23"/>
    </row>
    <row r="117" spans="1:13" ht="14.45">
      <c r="A117" s="23"/>
      <c r="B117" s="35"/>
      <c r="C117" s="23"/>
      <c r="D117" s="23"/>
      <c r="E117" s="23"/>
      <c r="F117" s="23"/>
      <c r="G117" s="23"/>
      <c r="H117" s="24"/>
      <c r="I117" s="23"/>
      <c r="J117" s="23"/>
      <c r="K117" s="24"/>
      <c r="L117" s="90"/>
      <c r="M117" s="23"/>
    </row>
    <row r="118" spans="1:13" ht="14.45">
      <c r="A118" s="23"/>
      <c r="B118" s="35"/>
      <c r="C118" s="23"/>
      <c r="D118" s="23"/>
      <c r="E118" s="23"/>
      <c r="F118" s="23"/>
      <c r="G118" s="23"/>
      <c r="H118" s="24"/>
      <c r="I118" s="23"/>
      <c r="J118" s="23"/>
      <c r="K118" s="24"/>
      <c r="L118" s="90"/>
      <c r="M118" s="23"/>
    </row>
    <row r="119" spans="1:13" ht="14.45">
      <c r="A119" s="23"/>
      <c r="B119" s="35"/>
      <c r="C119" s="23"/>
      <c r="D119" s="23"/>
      <c r="E119" s="23"/>
      <c r="F119" s="23"/>
      <c r="G119" s="23"/>
      <c r="H119" s="24"/>
      <c r="I119" s="23"/>
      <c r="J119" s="23"/>
      <c r="K119" s="24"/>
      <c r="L119" s="90"/>
      <c r="M119" s="23"/>
    </row>
    <row r="120" spans="1:13" ht="14.45">
      <c r="A120" s="23"/>
      <c r="B120" s="35"/>
      <c r="C120" s="23"/>
      <c r="D120" s="23"/>
      <c r="E120" s="23"/>
      <c r="F120" s="23"/>
      <c r="G120" s="23"/>
      <c r="H120" s="24"/>
      <c r="I120" s="23"/>
      <c r="J120" s="23"/>
      <c r="K120" s="24"/>
      <c r="L120" s="90"/>
      <c r="M120" s="23"/>
    </row>
    <row r="121" spans="1:13" ht="14.45">
      <c r="A121" s="23"/>
      <c r="B121" s="35"/>
      <c r="C121" s="23"/>
      <c r="D121" s="23"/>
      <c r="E121" s="23"/>
      <c r="F121" s="23"/>
      <c r="G121" s="23"/>
      <c r="H121" s="24"/>
      <c r="I121" s="23"/>
      <c r="J121" s="23"/>
      <c r="K121" s="24"/>
      <c r="L121" s="90"/>
      <c r="M121" s="23"/>
    </row>
    <row r="122" spans="1:13" ht="14.45">
      <c r="A122" s="23"/>
      <c r="B122" s="35"/>
      <c r="C122" s="23"/>
      <c r="D122" s="23"/>
      <c r="E122" s="23"/>
      <c r="F122" s="23"/>
      <c r="G122" s="23"/>
      <c r="H122" s="24"/>
      <c r="I122" s="23"/>
      <c r="J122" s="23"/>
      <c r="K122" s="24"/>
      <c r="L122" s="90"/>
      <c r="M122" s="23"/>
    </row>
    <row r="123" spans="1:13" ht="14.45">
      <c r="A123" s="23"/>
      <c r="B123" s="35"/>
      <c r="C123" s="23"/>
      <c r="D123" s="23"/>
      <c r="E123" s="23"/>
      <c r="F123" s="23"/>
      <c r="G123" s="23"/>
      <c r="H123" s="24"/>
      <c r="I123" s="23"/>
      <c r="J123" s="23"/>
      <c r="K123" s="24"/>
      <c r="L123" s="90"/>
      <c r="M123" s="23"/>
    </row>
    <row r="124" spans="1:13" ht="14.45">
      <c r="A124" s="23"/>
      <c r="B124" s="35"/>
      <c r="C124" s="23"/>
      <c r="D124" s="23"/>
      <c r="E124" s="23"/>
      <c r="F124" s="23"/>
      <c r="G124" s="23"/>
      <c r="H124" s="24"/>
      <c r="I124" s="23"/>
      <c r="J124" s="23"/>
      <c r="K124" s="24"/>
      <c r="L124" s="90"/>
      <c r="M124" s="23"/>
    </row>
    <row r="125" spans="1:13" ht="14.45">
      <c r="A125" s="23"/>
      <c r="B125" s="35"/>
      <c r="C125" s="23"/>
      <c r="D125" s="23"/>
      <c r="E125" s="23"/>
      <c r="F125" s="23"/>
      <c r="G125" s="23"/>
      <c r="H125" s="24"/>
      <c r="I125" s="23"/>
      <c r="J125" s="23"/>
      <c r="K125" s="24"/>
      <c r="L125" s="90"/>
      <c r="M125" s="23"/>
    </row>
    <row r="126" spans="1:13" ht="14.45">
      <c r="A126" s="23"/>
      <c r="B126" s="35"/>
      <c r="C126" s="23"/>
      <c r="D126" s="23"/>
      <c r="E126" s="23"/>
      <c r="F126" s="23"/>
      <c r="G126" s="23"/>
      <c r="H126" s="24"/>
      <c r="I126" s="23"/>
      <c r="J126" s="23"/>
      <c r="K126" s="24"/>
      <c r="L126" s="90"/>
      <c r="M126" s="23"/>
    </row>
    <row r="127" spans="1:13" ht="14.45">
      <c r="A127" s="23"/>
      <c r="B127" s="35"/>
      <c r="C127" s="23"/>
      <c r="D127" s="23"/>
      <c r="E127" s="23"/>
      <c r="F127" s="23"/>
      <c r="G127" s="23"/>
      <c r="H127" s="24"/>
      <c r="I127" s="23"/>
      <c r="J127" s="23"/>
      <c r="K127" s="24"/>
      <c r="L127" s="90"/>
      <c r="M127" s="23"/>
    </row>
    <row r="128" spans="1:13" ht="14.45">
      <c r="A128" s="23"/>
      <c r="B128" s="35"/>
      <c r="C128" s="23"/>
      <c r="D128" s="23"/>
      <c r="E128" s="23"/>
      <c r="F128" s="23"/>
      <c r="G128" s="23"/>
      <c r="H128" s="24"/>
      <c r="I128" s="23"/>
      <c r="J128" s="23"/>
      <c r="K128" s="24"/>
      <c r="L128" s="90"/>
      <c r="M128" s="23"/>
    </row>
    <row r="129" spans="1:13" ht="14.45">
      <c r="A129" s="23"/>
      <c r="B129" s="35"/>
      <c r="C129" s="23"/>
      <c r="D129" s="23"/>
      <c r="E129" s="23"/>
      <c r="F129" s="23"/>
      <c r="G129" s="23"/>
      <c r="H129" s="24"/>
      <c r="I129" s="23"/>
      <c r="J129" s="23"/>
      <c r="K129" s="24"/>
      <c r="L129" s="90"/>
      <c r="M129" s="23"/>
    </row>
    <row r="130" spans="1:13" ht="14.45">
      <c r="A130" s="23"/>
      <c r="B130" s="35"/>
      <c r="C130" s="23"/>
      <c r="D130" s="23"/>
      <c r="E130" s="23"/>
      <c r="F130" s="23"/>
      <c r="G130" s="23"/>
      <c r="H130" s="24"/>
      <c r="I130" s="23"/>
      <c r="J130" s="23"/>
      <c r="K130" s="24"/>
      <c r="L130" s="90"/>
      <c r="M130" s="23"/>
    </row>
    <row r="131" spans="1:13" ht="14.45">
      <c r="A131" s="23"/>
      <c r="B131" s="35"/>
      <c r="C131" s="23"/>
      <c r="D131" s="23"/>
      <c r="E131" s="23"/>
      <c r="F131" s="23"/>
      <c r="G131" s="23"/>
      <c r="H131" s="24"/>
      <c r="I131" s="23"/>
      <c r="J131" s="23"/>
      <c r="K131" s="24"/>
      <c r="L131" s="90"/>
      <c r="M131" s="23"/>
    </row>
    <row r="132" spans="1:13" ht="14.45">
      <c r="A132" s="23"/>
      <c r="B132" s="35"/>
      <c r="C132" s="23"/>
      <c r="D132" s="23"/>
      <c r="E132" s="23"/>
      <c r="F132" s="23"/>
      <c r="G132" s="23"/>
      <c r="H132" s="24"/>
      <c r="I132" s="23"/>
      <c r="J132" s="23"/>
      <c r="K132" s="24"/>
      <c r="L132" s="90"/>
      <c r="M132" s="23"/>
    </row>
    <row r="133" spans="1:13" ht="14.45">
      <c r="A133" s="23"/>
      <c r="B133" s="35"/>
      <c r="C133" s="23"/>
      <c r="D133" s="23"/>
      <c r="E133" s="23"/>
      <c r="F133" s="23"/>
      <c r="G133" s="23"/>
      <c r="H133" s="24"/>
      <c r="I133" s="23"/>
      <c r="J133" s="23"/>
      <c r="K133" s="24"/>
      <c r="L133" s="90"/>
      <c r="M133" s="23"/>
    </row>
    <row r="134" spans="1:13" ht="14.45">
      <c r="A134" s="23"/>
      <c r="B134" s="35"/>
      <c r="C134" s="23"/>
      <c r="D134" s="23"/>
      <c r="E134" s="23"/>
      <c r="F134" s="23"/>
      <c r="G134" s="23"/>
      <c r="H134" s="24"/>
      <c r="I134" s="23"/>
      <c r="J134" s="23"/>
      <c r="K134" s="24"/>
      <c r="L134" s="90"/>
      <c r="M134" s="23"/>
    </row>
    <row r="135" spans="1:13" ht="14.45">
      <c r="A135" s="23"/>
      <c r="B135" s="35"/>
      <c r="C135" s="23"/>
      <c r="D135" s="23"/>
      <c r="E135" s="23"/>
      <c r="F135" s="23"/>
      <c r="G135" s="23"/>
      <c r="H135" s="24"/>
      <c r="I135" s="23"/>
      <c r="J135" s="23"/>
      <c r="K135" s="24"/>
      <c r="L135" s="90"/>
      <c r="M135" s="23"/>
    </row>
    <row r="136" spans="1:13" ht="14.45">
      <c r="A136" s="23"/>
      <c r="B136" s="35"/>
      <c r="C136" s="23"/>
      <c r="D136" s="23"/>
      <c r="E136" s="23"/>
      <c r="F136" s="23"/>
      <c r="G136" s="23"/>
      <c r="H136" s="24"/>
      <c r="I136" s="23"/>
      <c r="J136" s="23"/>
      <c r="K136" s="24"/>
      <c r="L136" s="90"/>
      <c r="M136" s="23"/>
    </row>
    <row r="137" spans="1:13" ht="14.45">
      <c r="A137" s="23"/>
      <c r="B137" s="35"/>
      <c r="C137" s="23"/>
      <c r="D137" s="23"/>
      <c r="E137" s="23"/>
      <c r="F137" s="23"/>
      <c r="G137" s="23"/>
      <c r="H137" s="24"/>
      <c r="I137" s="23"/>
      <c r="J137" s="23"/>
      <c r="K137" s="24"/>
      <c r="L137" s="90"/>
      <c r="M137" s="23"/>
    </row>
    <row r="138" spans="1:13" ht="14.45">
      <c r="A138" s="23"/>
      <c r="B138" s="35"/>
      <c r="C138" s="23"/>
      <c r="D138" s="23"/>
      <c r="E138" s="23"/>
      <c r="F138" s="23"/>
      <c r="G138" s="23"/>
      <c r="H138" s="24"/>
      <c r="I138" s="23"/>
      <c r="J138" s="23"/>
      <c r="K138" s="24"/>
      <c r="L138" s="90"/>
      <c r="M138" s="23"/>
    </row>
    <row r="139" spans="1:13" ht="14.45">
      <c r="A139" s="23"/>
      <c r="B139" s="35"/>
      <c r="C139" s="23"/>
      <c r="D139" s="23"/>
      <c r="E139" s="23"/>
      <c r="F139" s="23"/>
      <c r="G139" s="23"/>
      <c r="H139" s="24"/>
      <c r="I139" s="23"/>
      <c r="J139" s="23"/>
      <c r="K139" s="24"/>
      <c r="L139" s="90"/>
      <c r="M139" s="23"/>
    </row>
    <row r="140" spans="1:13" ht="14.45">
      <c r="A140" s="23"/>
      <c r="B140" s="35"/>
      <c r="C140" s="23"/>
      <c r="D140" s="23"/>
      <c r="E140" s="23"/>
      <c r="F140" s="23"/>
      <c r="G140" s="23"/>
      <c r="H140" s="24"/>
      <c r="I140" s="23"/>
      <c r="J140" s="23"/>
      <c r="K140" s="24"/>
      <c r="L140" s="90"/>
      <c r="M140" s="23"/>
    </row>
    <row r="141" spans="1:13" ht="14.45">
      <c r="A141" s="23"/>
      <c r="B141" s="35"/>
      <c r="C141" s="23"/>
      <c r="D141" s="23"/>
      <c r="E141" s="23"/>
      <c r="F141" s="23"/>
      <c r="G141" s="23"/>
      <c r="H141" s="24"/>
      <c r="I141" s="23"/>
      <c r="J141" s="23"/>
      <c r="K141" s="24"/>
      <c r="L141" s="90"/>
      <c r="M141" s="23"/>
    </row>
    <row r="142" spans="1:13" ht="14.45">
      <c r="A142" s="23"/>
      <c r="B142" s="35"/>
      <c r="C142" s="23"/>
      <c r="D142" s="23"/>
      <c r="E142" s="23"/>
      <c r="F142" s="23"/>
      <c r="G142" s="23"/>
      <c r="H142" s="24"/>
      <c r="I142" s="23"/>
      <c r="J142" s="23"/>
      <c r="K142" s="24"/>
      <c r="L142" s="90"/>
      <c r="M142" s="23"/>
    </row>
    <row r="143" spans="1:13" ht="14.45">
      <c r="A143" s="23"/>
      <c r="B143" s="35"/>
      <c r="C143" s="23"/>
      <c r="D143" s="23"/>
      <c r="E143" s="23"/>
      <c r="F143" s="23"/>
      <c r="G143" s="23"/>
      <c r="H143" s="24"/>
      <c r="I143" s="23"/>
      <c r="J143" s="23"/>
      <c r="K143" s="24"/>
      <c r="L143" s="90"/>
      <c r="M143" s="23"/>
    </row>
    <row r="144" spans="1:13" ht="14.45">
      <c r="A144" s="23"/>
      <c r="B144" s="35"/>
      <c r="C144" s="23"/>
      <c r="D144" s="23"/>
      <c r="E144" s="23"/>
      <c r="F144" s="23"/>
      <c r="G144" s="23"/>
      <c r="H144" s="24"/>
      <c r="I144" s="23"/>
      <c r="J144" s="23"/>
      <c r="K144" s="24"/>
      <c r="L144" s="90"/>
      <c r="M144" s="23"/>
    </row>
    <row r="145" spans="1:13" ht="14.45">
      <c r="A145" s="23"/>
      <c r="B145" s="35"/>
      <c r="C145" s="23"/>
      <c r="D145" s="23"/>
      <c r="E145" s="23"/>
      <c r="F145" s="23"/>
      <c r="G145" s="23"/>
      <c r="H145" s="24"/>
      <c r="I145" s="23"/>
      <c r="J145" s="23"/>
      <c r="K145" s="24"/>
      <c r="L145" s="90"/>
      <c r="M145" s="23"/>
    </row>
    <row r="146" spans="1:13" ht="14.45">
      <c r="A146" s="23"/>
      <c r="B146" s="35"/>
      <c r="C146" s="23"/>
      <c r="D146" s="23"/>
      <c r="E146" s="23"/>
      <c r="F146" s="23"/>
      <c r="G146" s="23"/>
      <c r="H146" s="24"/>
      <c r="I146" s="23"/>
      <c r="J146" s="23"/>
      <c r="K146" s="24"/>
      <c r="L146" s="90"/>
      <c r="M146" s="23"/>
    </row>
    <row r="147" spans="1:13" ht="14.45">
      <c r="A147" s="23"/>
      <c r="B147" s="35"/>
      <c r="C147" s="23"/>
      <c r="D147" s="23"/>
      <c r="E147" s="23"/>
      <c r="F147" s="23"/>
      <c r="G147" s="23"/>
      <c r="H147" s="24"/>
      <c r="I147" s="23"/>
      <c r="J147" s="23"/>
      <c r="K147" s="24"/>
      <c r="L147" s="90"/>
      <c r="M147" s="23"/>
    </row>
    <row r="148" spans="1:13" ht="14.45">
      <c r="A148" s="23"/>
      <c r="B148" s="35"/>
      <c r="C148" s="23"/>
      <c r="D148" s="23"/>
      <c r="E148" s="23"/>
      <c r="F148" s="23"/>
      <c r="G148" s="23"/>
      <c r="H148" s="24"/>
      <c r="I148" s="23"/>
      <c r="J148" s="23"/>
      <c r="K148" s="24"/>
      <c r="L148" s="90"/>
      <c r="M148" s="23"/>
    </row>
    <row r="149" spans="1:13" ht="14.45">
      <c r="A149" s="23"/>
      <c r="B149" s="35"/>
      <c r="C149" s="23"/>
      <c r="D149" s="23"/>
      <c r="E149" s="23"/>
      <c r="F149" s="23"/>
      <c r="G149" s="23"/>
      <c r="H149" s="24"/>
      <c r="I149" s="23"/>
      <c r="J149" s="23"/>
      <c r="K149" s="24"/>
      <c r="L149" s="90"/>
      <c r="M149" s="23"/>
    </row>
    <row r="150" spans="1:13" ht="14.45">
      <c r="A150" s="23"/>
      <c r="B150" s="35"/>
      <c r="C150" s="23"/>
      <c r="D150" s="23"/>
      <c r="E150" s="23"/>
      <c r="F150" s="23"/>
      <c r="G150" s="23"/>
      <c r="H150" s="24"/>
      <c r="I150" s="23"/>
      <c r="J150" s="23"/>
      <c r="K150" s="24"/>
      <c r="L150" s="90"/>
      <c r="M150" s="23"/>
    </row>
    <row r="151" spans="1:13" ht="14.45">
      <c r="A151" s="23"/>
      <c r="B151" s="35"/>
      <c r="C151" s="23"/>
      <c r="D151" s="23"/>
      <c r="E151" s="23"/>
      <c r="F151" s="23"/>
      <c r="G151" s="23"/>
      <c r="H151" s="24"/>
      <c r="I151" s="23"/>
      <c r="J151" s="23"/>
      <c r="K151" s="24"/>
      <c r="L151" s="90"/>
      <c r="M151" s="23"/>
    </row>
    <row r="152" spans="1:13" ht="14.45">
      <c r="A152" s="23"/>
      <c r="B152" s="35"/>
      <c r="C152" s="23"/>
      <c r="D152" s="23"/>
      <c r="E152" s="23"/>
      <c r="F152" s="23"/>
      <c r="G152" s="23"/>
      <c r="H152" s="24"/>
      <c r="I152" s="23"/>
      <c r="J152" s="23"/>
      <c r="K152" s="24"/>
      <c r="L152" s="90"/>
      <c r="M152" s="23"/>
    </row>
    <row r="153" spans="1:13" ht="14.45">
      <c r="A153" s="23"/>
      <c r="B153" s="35"/>
      <c r="C153" s="23"/>
      <c r="D153" s="23"/>
      <c r="E153" s="23"/>
      <c r="F153" s="23"/>
      <c r="G153" s="23"/>
      <c r="H153" s="24"/>
      <c r="I153" s="23"/>
      <c r="J153" s="23"/>
      <c r="K153" s="24"/>
      <c r="L153" s="90"/>
      <c r="M153" s="23"/>
    </row>
    <row r="154" spans="1:13" ht="14.45">
      <c r="A154" s="23"/>
      <c r="B154" s="35"/>
      <c r="C154" s="23"/>
      <c r="D154" s="23"/>
      <c r="E154" s="23"/>
      <c r="F154" s="23"/>
      <c r="G154" s="23"/>
      <c r="H154" s="24"/>
      <c r="I154" s="23"/>
      <c r="J154" s="23"/>
      <c r="K154" s="24"/>
      <c r="L154" s="90"/>
      <c r="M154" s="23"/>
    </row>
    <row r="155" spans="1:13" ht="14.45">
      <c r="A155" s="23"/>
      <c r="B155" s="35"/>
      <c r="C155" s="23"/>
      <c r="D155" s="23"/>
      <c r="E155" s="23"/>
      <c r="F155" s="23"/>
      <c r="G155" s="23"/>
      <c r="H155" s="24"/>
      <c r="I155" s="23"/>
      <c r="J155" s="23"/>
      <c r="K155" s="24"/>
      <c r="L155" s="90"/>
      <c r="M155" s="23"/>
    </row>
    <row r="156" spans="1:13" ht="14.45">
      <c r="A156" s="23"/>
      <c r="B156" s="35"/>
      <c r="C156" s="23"/>
      <c r="D156" s="23"/>
      <c r="E156" s="23"/>
      <c r="F156" s="23"/>
      <c r="G156" s="23"/>
      <c r="H156" s="24"/>
      <c r="I156" s="23"/>
      <c r="J156" s="23"/>
      <c r="K156" s="24"/>
      <c r="L156" s="90"/>
      <c r="M156" s="23"/>
    </row>
    <row r="157" spans="1:13" ht="14.45">
      <c r="A157" s="23"/>
      <c r="B157" s="35"/>
      <c r="C157" s="23"/>
      <c r="D157" s="23"/>
      <c r="E157" s="23"/>
      <c r="F157" s="23"/>
      <c r="G157" s="23"/>
      <c r="H157" s="24"/>
      <c r="I157" s="23"/>
      <c r="J157" s="23"/>
      <c r="K157" s="24"/>
      <c r="L157" s="90"/>
      <c r="M157" s="23"/>
    </row>
    <row r="158" spans="1:13" ht="14.45">
      <c r="A158" s="23"/>
      <c r="B158" s="35"/>
      <c r="C158" s="23"/>
      <c r="D158" s="23"/>
      <c r="E158" s="23"/>
      <c r="F158" s="23"/>
      <c r="G158" s="23"/>
      <c r="H158" s="24"/>
      <c r="I158" s="23"/>
      <c r="J158" s="23"/>
      <c r="K158" s="24"/>
      <c r="L158" s="90"/>
      <c r="M158" s="23"/>
    </row>
    <row r="159" spans="1:13" ht="14.45">
      <c r="A159" s="23"/>
      <c r="B159" s="35"/>
      <c r="C159" s="23"/>
      <c r="D159" s="23"/>
      <c r="E159" s="23"/>
      <c r="F159" s="23"/>
      <c r="G159" s="23"/>
      <c r="H159" s="24"/>
      <c r="I159" s="23"/>
      <c r="J159" s="23"/>
      <c r="K159" s="24"/>
      <c r="L159" s="90"/>
      <c r="M159" s="23"/>
    </row>
    <row r="160" spans="1:13" ht="14.45">
      <c r="A160" s="23"/>
      <c r="B160" s="35"/>
      <c r="C160" s="23"/>
      <c r="D160" s="23"/>
      <c r="E160" s="23"/>
      <c r="F160" s="23"/>
      <c r="G160" s="23"/>
      <c r="H160" s="24"/>
      <c r="I160" s="23"/>
      <c r="J160" s="23"/>
      <c r="K160" s="24"/>
      <c r="L160" s="90"/>
      <c r="M160" s="23"/>
    </row>
    <row r="161" spans="1:13" ht="14.45">
      <c r="A161" s="23"/>
      <c r="B161" s="35"/>
      <c r="C161" s="23"/>
      <c r="D161" s="23"/>
      <c r="E161" s="23"/>
      <c r="F161" s="23"/>
      <c r="G161" s="23"/>
      <c r="H161" s="24"/>
      <c r="I161" s="23"/>
      <c r="J161" s="23"/>
      <c r="K161" s="24"/>
      <c r="L161" s="90"/>
      <c r="M161" s="23"/>
    </row>
    <row r="162" spans="1:13" ht="14.45">
      <c r="A162" s="23"/>
      <c r="B162" s="35"/>
      <c r="C162" s="23"/>
      <c r="D162" s="23"/>
      <c r="E162" s="23"/>
      <c r="F162" s="23"/>
      <c r="G162" s="23"/>
      <c r="H162" s="24"/>
      <c r="I162" s="23"/>
      <c r="J162" s="23"/>
      <c r="K162" s="24"/>
      <c r="L162" s="90"/>
      <c r="M162" s="23"/>
    </row>
    <row r="163" spans="1:13" ht="14.45">
      <c r="A163" s="23"/>
      <c r="B163" s="35"/>
      <c r="C163" s="23"/>
      <c r="D163" s="23"/>
      <c r="E163" s="23"/>
      <c r="F163" s="23"/>
      <c r="G163" s="23"/>
      <c r="H163" s="24"/>
      <c r="I163" s="23"/>
      <c r="J163" s="23"/>
      <c r="K163" s="24"/>
      <c r="L163" s="90"/>
      <c r="M163" s="23"/>
    </row>
    <row r="164" spans="1:13" ht="14.45">
      <c r="A164" s="23"/>
      <c r="B164" s="35"/>
      <c r="C164" s="23"/>
      <c r="D164" s="23"/>
      <c r="E164" s="23"/>
      <c r="F164" s="23"/>
      <c r="G164" s="23"/>
      <c r="H164" s="24"/>
      <c r="I164" s="23"/>
      <c r="J164" s="23"/>
      <c r="K164" s="24"/>
      <c r="L164" s="90"/>
      <c r="M164" s="23"/>
    </row>
    <row r="165" spans="1:13" ht="14.45">
      <c r="A165" s="23"/>
      <c r="B165" s="35"/>
      <c r="C165" s="23"/>
      <c r="D165" s="23"/>
      <c r="E165" s="23"/>
      <c r="F165" s="23"/>
      <c r="G165" s="23"/>
      <c r="H165" s="24"/>
      <c r="I165" s="23"/>
      <c r="J165" s="23"/>
      <c r="K165" s="24"/>
      <c r="L165" s="90"/>
      <c r="M165" s="23"/>
    </row>
    <row r="166" spans="1:13" ht="14.45">
      <c r="A166" s="23"/>
      <c r="B166" s="35"/>
      <c r="C166" s="23"/>
      <c r="D166" s="23"/>
      <c r="E166" s="23"/>
      <c r="F166" s="23"/>
      <c r="G166" s="23"/>
      <c r="H166" s="24"/>
      <c r="I166" s="23"/>
      <c r="J166" s="23"/>
      <c r="K166" s="24"/>
      <c r="L166" s="90"/>
      <c r="M166" s="23"/>
    </row>
    <row r="167" spans="1:13" ht="14.45">
      <c r="A167" s="23"/>
      <c r="B167" s="35"/>
      <c r="C167" s="23"/>
      <c r="D167" s="23"/>
      <c r="E167" s="23"/>
      <c r="F167" s="23"/>
      <c r="G167" s="23"/>
      <c r="H167" s="24"/>
      <c r="I167" s="23"/>
      <c r="J167" s="23"/>
      <c r="K167" s="24"/>
      <c r="L167" s="90"/>
      <c r="M167" s="23"/>
    </row>
    <row r="168" spans="1:13" ht="14.45">
      <c r="A168" s="23"/>
      <c r="B168" s="35"/>
      <c r="C168" s="23"/>
      <c r="D168" s="23"/>
      <c r="E168" s="23"/>
      <c r="F168" s="23"/>
      <c r="G168" s="23"/>
      <c r="H168" s="24"/>
      <c r="I168" s="23"/>
      <c r="J168" s="23"/>
      <c r="K168" s="24"/>
      <c r="L168" s="90"/>
      <c r="M168" s="23"/>
    </row>
    <row r="169" spans="1:13" ht="14.45">
      <c r="A169" s="23"/>
      <c r="B169" s="35"/>
      <c r="C169" s="23"/>
      <c r="D169" s="23"/>
      <c r="E169" s="23"/>
      <c r="F169" s="23"/>
      <c r="G169" s="23"/>
      <c r="H169" s="24"/>
      <c r="I169" s="23"/>
      <c r="J169" s="23"/>
      <c r="K169" s="24"/>
      <c r="L169" s="90"/>
      <c r="M169" s="23"/>
    </row>
    <row r="170" spans="1:13" ht="14.45">
      <c r="A170" s="23"/>
      <c r="B170" s="35"/>
      <c r="C170" s="23"/>
      <c r="D170" s="23"/>
      <c r="E170" s="23"/>
      <c r="F170" s="23"/>
      <c r="G170" s="23"/>
      <c r="H170" s="24"/>
      <c r="I170" s="23"/>
      <c r="J170" s="23"/>
      <c r="K170" s="24"/>
      <c r="L170" s="90"/>
      <c r="M170" s="23"/>
    </row>
    <row r="171" spans="1:13" ht="14.45">
      <c r="A171" s="23"/>
      <c r="B171" s="35"/>
      <c r="C171" s="23"/>
      <c r="D171" s="23"/>
      <c r="E171" s="23"/>
      <c r="F171" s="23"/>
      <c r="G171" s="23"/>
      <c r="H171" s="24"/>
      <c r="I171" s="23"/>
      <c r="J171" s="23"/>
      <c r="K171" s="24"/>
      <c r="L171" s="90"/>
      <c r="M171" s="23"/>
    </row>
    <row r="172" spans="1:13" ht="14.45">
      <c r="A172" s="23"/>
      <c r="B172" s="35"/>
      <c r="C172" s="23"/>
      <c r="D172" s="23"/>
      <c r="E172" s="23"/>
      <c r="F172" s="23"/>
      <c r="G172" s="23"/>
      <c r="H172" s="24"/>
      <c r="I172" s="23"/>
      <c r="J172" s="23"/>
      <c r="K172" s="24"/>
      <c r="L172" s="90"/>
      <c r="M172" s="23"/>
    </row>
    <row r="173" spans="1:13" ht="14.45">
      <c r="A173" s="23"/>
      <c r="B173" s="35"/>
      <c r="C173" s="23"/>
      <c r="D173" s="23"/>
      <c r="E173" s="23"/>
      <c r="F173" s="23"/>
      <c r="G173" s="23"/>
      <c r="H173" s="24"/>
      <c r="I173" s="23"/>
      <c r="J173" s="23"/>
      <c r="K173" s="24"/>
      <c r="L173" s="90"/>
      <c r="M173" s="23"/>
    </row>
    <row r="174" spans="1:13" ht="14.45">
      <c r="A174" s="23"/>
      <c r="B174" s="35"/>
      <c r="C174" s="23"/>
      <c r="D174" s="23"/>
      <c r="E174" s="23"/>
      <c r="F174" s="23"/>
      <c r="G174" s="23"/>
      <c r="H174" s="24"/>
      <c r="I174" s="23"/>
      <c r="J174" s="23"/>
      <c r="K174" s="24"/>
      <c r="L174" s="90"/>
      <c r="M174" s="23"/>
    </row>
    <row r="175" spans="1:13" ht="14.45">
      <c r="A175" s="23"/>
      <c r="B175" s="35"/>
      <c r="C175" s="23"/>
      <c r="D175" s="23"/>
      <c r="E175" s="23"/>
      <c r="F175" s="23"/>
      <c r="G175" s="23"/>
      <c r="H175" s="24"/>
      <c r="I175" s="23"/>
      <c r="J175" s="23"/>
      <c r="K175" s="24"/>
      <c r="L175" s="90"/>
      <c r="M175" s="23"/>
    </row>
    <row r="176" spans="1:13" ht="14.45">
      <c r="A176" s="23"/>
      <c r="B176" s="35"/>
      <c r="C176" s="23"/>
      <c r="D176" s="23"/>
      <c r="E176" s="23"/>
      <c r="F176" s="23"/>
      <c r="G176" s="23"/>
      <c r="H176" s="24"/>
      <c r="I176" s="23"/>
      <c r="J176" s="23"/>
      <c r="K176" s="24"/>
      <c r="L176" s="90"/>
      <c r="M176" s="23"/>
    </row>
    <row r="177" spans="1:13" ht="14.45">
      <c r="A177" s="23"/>
      <c r="B177" s="35"/>
      <c r="C177" s="23"/>
      <c r="D177" s="23"/>
      <c r="E177" s="23"/>
      <c r="F177" s="23"/>
      <c r="G177" s="23"/>
      <c r="H177" s="24"/>
      <c r="I177" s="23"/>
      <c r="J177" s="23"/>
      <c r="K177" s="24"/>
      <c r="L177" s="90"/>
      <c r="M177" s="23"/>
    </row>
    <row r="178" spans="1:13" ht="14.45">
      <c r="A178" s="23"/>
      <c r="B178" s="35"/>
      <c r="C178" s="23"/>
      <c r="D178" s="23"/>
      <c r="E178" s="23"/>
      <c r="F178" s="23"/>
      <c r="G178" s="23"/>
      <c r="H178" s="24"/>
      <c r="I178" s="23"/>
      <c r="J178" s="23"/>
      <c r="K178" s="24"/>
      <c r="L178" s="90"/>
      <c r="M178" s="23"/>
    </row>
    <row r="179" spans="1:13" ht="14.45">
      <c r="A179" s="23"/>
      <c r="B179" s="35"/>
      <c r="C179" s="23"/>
      <c r="D179" s="23"/>
      <c r="E179" s="23"/>
      <c r="F179" s="23"/>
      <c r="G179" s="23"/>
      <c r="H179" s="24"/>
      <c r="I179" s="23"/>
      <c r="J179" s="23"/>
      <c r="K179" s="24"/>
      <c r="L179" s="90"/>
      <c r="M179" s="23"/>
    </row>
    <row r="180" spans="1:13" ht="14.45">
      <c r="A180" s="23"/>
      <c r="B180" s="35"/>
      <c r="C180" s="23"/>
      <c r="D180" s="23"/>
      <c r="E180" s="23"/>
      <c r="F180" s="23"/>
      <c r="G180" s="23"/>
      <c r="H180" s="24"/>
      <c r="I180" s="23"/>
      <c r="J180" s="23"/>
      <c r="K180" s="24"/>
      <c r="L180" s="90"/>
      <c r="M180" s="23"/>
    </row>
    <row r="181" spans="1:13" ht="14.45">
      <c r="A181" s="23"/>
      <c r="B181" s="35"/>
      <c r="C181" s="23"/>
      <c r="D181" s="23"/>
      <c r="E181" s="23"/>
      <c r="F181" s="23"/>
      <c r="G181" s="23"/>
      <c r="H181" s="24"/>
      <c r="I181" s="23"/>
      <c r="J181" s="23"/>
      <c r="K181" s="24"/>
      <c r="L181" s="90"/>
      <c r="M181" s="23"/>
    </row>
    <row r="182" spans="1:13" ht="14.45">
      <c r="A182" s="23"/>
      <c r="B182" s="35"/>
      <c r="C182" s="23"/>
      <c r="D182" s="23"/>
      <c r="E182" s="23"/>
      <c r="F182" s="23"/>
      <c r="G182" s="23"/>
      <c r="H182" s="24"/>
      <c r="I182" s="23"/>
      <c r="J182" s="23"/>
      <c r="K182" s="24"/>
      <c r="L182" s="90"/>
      <c r="M182" s="23"/>
    </row>
    <row r="183" spans="1:13" ht="14.45">
      <c r="A183" s="23"/>
      <c r="B183" s="35"/>
      <c r="C183" s="23"/>
      <c r="D183" s="23"/>
      <c r="E183" s="23"/>
      <c r="F183" s="23"/>
      <c r="G183" s="23"/>
      <c r="H183" s="24"/>
      <c r="I183" s="23"/>
      <c r="J183" s="23"/>
      <c r="K183" s="24"/>
      <c r="L183" s="90"/>
      <c r="M183" s="23"/>
    </row>
    <row r="184" spans="1:13" ht="14.45">
      <c r="A184" s="23"/>
      <c r="B184" s="35"/>
      <c r="C184" s="23"/>
      <c r="D184" s="23"/>
      <c r="E184" s="23"/>
      <c r="F184" s="23"/>
      <c r="G184" s="23"/>
      <c r="H184" s="24"/>
      <c r="I184" s="23"/>
      <c r="J184" s="23"/>
      <c r="K184" s="24"/>
      <c r="L184" s="90"/>
      <c r="M184" s="23"/>
    </row>
    <row r="185" spans="1:13" ht="14.45">
      <c r="A185" s="23"/>
      <c r="B185" s="35"/>
      <c r="C185" s="23"/>
      <c r="D185" s="23"/>
      <c r="E185" s="23"/>
      <c r="F185" s="23"/>
      <c r="G185" s="23"/>
      <c r="H185" s="24"/>
      <c r="I185" s="23"/>
      <c r="J185" s="23"/>
      <c r="K185" s="24"/>
      <c r="L185" s="90"/>
      <c r="M185" s="23"/>
    </row>
    <row r="186" spans="1:13" ht="14.45">
      <c r="A186" s="23"/>
      <c r="B186" s="35"/>
      <c r="C186" s="23"/>
      <c r="D186" s="23"/>
      <c r="E186" s="23"/>
      <c r="F186" s="23"/>
      <c r="G186" s="23"/>
      <c r="H186" s="24"/>
      <c r="I186" s="23"/>
      <c r="J186" s="23"/>
      <c r="K186" s="24"/>
      <c r="L186" s="90"/>
      <c r="M186" s="23"/>
    </row>
    <row r="187" spans="1:13" ht="14.45">
      <c r="A187" s="23"/>
      <c r="B187" s="35"/>
      <c r="C187" s="23"/>
      <c r="D187" s="23"/>
      <c r="E187" s="23"/>
      <c r="F187" s="23"/>
      <c r="G187" s="23"/>
      <c r="H187" s="24"/>
      <c r="I187" s="23"/>
      <c r="J187" s="23"/>
      <c r="K187" s="24"/>
      <c r="L187" s="90"/>
      <c r="M187" s="23"/>
    </row>
    <row r="188" spans="1:13" ht="14.45">
      <c r="A188" s="23"/>
      <c r="B188" s="35"/>
      <c r="C188" s="23"/>
      <c r="D188" s="23"/>
      <c r="E188" s="23"/>
      <c r="F188" s="23"/>
      <c r="G188" s="23"/>
      <c r="H188" s="24"/>
      <c r="I188" s="23"/>
      <c r="J188" s="23"/>
      <c r="K188" s="24"/>
      <c r="L188" s="90"/>
      <c r="M188" s="23"/>
    </row>
    <row r="189" spans="1:13" ht="14.45">
      <c r="A189" s="23"/>
      <c r="B189" s="35"/>
      <c r="C189" s="23"/>
      <c r="D189" s="23"/>
      <c r="E189" s="23"/>
      <c r="F189" s="23"/>
      <c r="G189" s="23"/>
      <c r="H189" s="24"/>
      <c r="I189" s="23"/>
      <c r="J189" s="23"/>
      <c r="K189" s="24"/>
      <c r="L189" s="90"/>
      <c r="M189" s="23"/>
    </row>
    <row r="190" spans="1:13" ht="14.45">
      <c r="A190" s="23"/>
      <c r="B190" s="35"/>
      <c r="C190" s="23"/>
      <c r="D190" s="23"/>
      <c r="E190" s="23"/>
      <c r="F190" s="23"/>
      <c r="G190" s="23"/>
      <c r="H190" s="24"/>
      <c r="I190" s="23"/>
      <c r="J190" s="23"/>
      <c r="K190" s="24"/>
      <c r="L190" s="90"/>
      <c r="M190" s="23"/>
    </row>
    <row r="191" spans="1:13" ht="14.45">
      <c r="A191" s="23"/>
      <c r="B191" s="35"/>
      <c r="C191" s="23"/>
      <c r="D191" s="23"/>
      <c r="E191" s="23"/>
      <c r="F191" s="23"/>
      <c r="G191" s="23"/>
      <c r="H191" s="24"/>
      <c r="I191" s="23"/>
      <c r="J191" s="23"/>
      <c r="K191" s="24"/>
      <c r="L191" s="90"/>
      <c r="M191" s="23"/>
    </row>
    <row r="192" spans="1:13" ht="14.45">
      <c r="A192" s="23"/>
      <c r="B192" s="35"/>
      <c r="C192" s="23"/>
      <c r="D192" s="23"/>
      <c r="E192" s="23"/>
      <c r="F192" s="23"/>
      <c r="G192" s="23"/>
      <c r="H192" s="24"/>
      <c r="I192" s="23"/>
      <c r="J192" s="23"/>
      <c r="K192" s="24"/>
      <c r="L192" s="90"/>
      <c r="M192" s="23"/>
    </row>
    <row r="193" spans="1:13" ht="14.45">
      <c r="A193" s="23"/>
      <c r="B193" s="35"/>
      <c r="C193" s="23"/>
      <c r="D193" s="23"/>
      <c r="E193" s="23"/>
      <c r="F193" s="23"/>
      <c r="G193" s="23"/>
      <c r="H193" s="24"/>
      <c r="I193" s="23"/>
      <c r="J193" s="23"/>
      <c r="K193" s="24"/>
      <c r="L193" s="90"/>
      <c r="M193" s="23"/>
    </row>
    <row r="194" spans="1:13" ht="14.45">
      <c r="A194" s="23"/>
      <c r="B194" s="35"/>
      <c r="C194" s="23"/>
      <c r="D194" s="23"/>
      <c r="E194" s="23"/>
      <c r="F194" s="23"/>
      <c r="G194" s="23"/>
      <c r="H194" s="24"/>
      <c r="I194" s="23"/>
      <c r="J194" s="23"/>
      <c r="K194" s="24"/>
      <c r="L194" s="90"/>
      <c r="M194" s="23"/>
    </row>
    <row r="195" spans="1:13" ht="14.45">
      <c r="A195" s="23"/>
      <c r="B195" s="35"/>
      <c r="C195" s="23"/>
      <c r="D195" s="23"/>
      <c r="E195" s="23"/>
      <c r="F195" s="23"/>
      <c r="G195" s="23"/>
      <c r="H195" s="24"/>
      <c r="I195" s="23"/>
      <c r="J195" s="23"/>
      <c r="K195" s="24"/>
      <c r="L195" s="90"/>
      <c r="M195" s="23"/>
    </row>
    <row r="196" spans="1:13" ht="14.45">
      <c r="A196" s="23"/>
      <c r="B196" s="35"/>
      <c r="C196" s="23"/>
      <c r="D196" s="23"/>
      <c r="E196" s="23"/>
      <c r="F196" s="23"/>
      <c r="G196" s="23"/>
      <c r="H196" s="24"/>
      <c r="I196" s="23"/>
      <c r="J196" s="23"/>
      <c r="K196" s="24"/>
      <c r="L196" s="90"/>
      <c r="M196" s="23"/>
    </row>
    <row r="197" spans="1:13" ht="14.45">
      <c r="A197" s="23"/>
      <c r="B197" s="35"/>
      <c r="C197" s="23"/>
      <c r="D197" s="23"/>
      <c r="E197" s="23"/>
      <c r="F197" s="23"/>
      <c r="G197" s="23"/>
      <c r="H197" s="24"/>
      <c r="I197" s="23"/>
      <c r="J197" s="23"/>
      <c r="K197" s="24"/>
      <c r="L197" s="90"/>
      <c r="M197" s="23"/>
    </row>
    <row r="198" spans="1:13" ht="14.45">
      <c r="A198" s="23"/>
      <c r="B198" s="35"/>
      <c r="C198" s="23"/>
      <c r="D198" s="23"/>
      <c r="E198" s="23"/>
      <c r="F198" s="23"/>
      <c r="G198" s="23"/>
      <c r="H198" s="24"/>
      <c r="I198" s="23"/>
      <c r="J198" s="23"/>
      <c r="K198" s="24"/>
      <c r="L198" s="90"/>
      <c r="M198" s="23"/>
    </row>
    <row r="199" spans="1:13" ht="14.45">
      <c r="A199" s="23"/>
      <c r="B199" s="35"/>
      <c r="C199" s="23"/>
      <c r="D199" s="23"/>
      <c r="E199" s="23"/>
      <c r="F199" s="23"/>
      <c r="G199" s="23"/>
      <c r="H199" s="24"/>
      <c r="I199" s="23"/>
      <c r="J199" s="23"/>
      <c r="K199" s="24"/>
      <c r="L199" s="90"/>
      <c r="M199" s="23"/>
    </row>
    <row r="200" spans="1:13" ht="14.45">
      <c r="A200" s="23"/>
      <c r="B200" s="35"/>
      <c r="C200" s="23"/>
      <c r="D200" s="23"/>
      <c r="E200" s="23"/>
      <c r="F200" s="23"/>
      <c r="G200" s="23"/>
      <c r="H200" s="24"/>
      <c r="I200" s="23"/>
      <c r="J200" s="23"/>
      <c r="K200" s="24"/>
      <c r="L200" s="90"/>
      <c r="M200" s="23"/>
    </row>
    <row r="201" spans="1:13" ht="14.45">
      <c r="A201" s="23"/>
      <c r="B201" s="35"/>
      <c r="C201" s="23"/>
      <c r="D201" s="23"/>
      <c r="E201" s="23"/>
      <c r="F201" s="23"/>
      <c r="G201" s="23"/>
      <c r="H201" s="24"/>
      <c r="I201" s="23"/>
      <c r="J201" s="23"/>
      <c r="K201" s="24"/>
      <c r="L201" s="90"/>
      <c r="M201" s="23"/>
    </row>
    <row r="202" spans="1:13" ht="14.45">
      <c r="A202" s="23"/>
      <c r="B202" s="35"/>
      <c r="C202" s="23"/>
      <c r="D202" s="23"/>
      <c r="E202" s="23"/>
      <c r="F202" s="23"/>
      <c r="G202" s="23"/>
      <c r="H202" s="24"/>
      <c r="I202" s="23"/>
      <c r="J202" s="23"/>
      <c r="K202" s="24"/>
      <c r="L202" s="90"/>
      <c r="M202" s="23"/>
    </row>
    <row r="203" spans="1:13" ht="14.45">
      <c r="A203" s="23"/>
      <c r="B203" s="35"/>
      <c r="C203" s="23"/>
      <c r="D203" s="23"/>
      <c r="E203" s="23"/>
      <c r="F203" s="23"/>
      <c r="G203" s="23"/>
      <c r="H203" s="24"/>
      <c r="I203" s="23"/>
      <c r="J203" s="23"/>
      <c r="K203" s="24"/>
      <c r="L203" s="90"/>
      <c r="M203" s="23"/>
    </row>
    <row r="204" spans="1:13" ht="14.45">
      <c r="A204" s="23"/>
      <c r="B204" s="35"/>
      <c r="C204" s="23"/>
      <c r="D204" s="23"/>
      <c r="E204" s="23"/>
      <c r="F204" s="23"/>
      <c r="G204" s="23"/>
      <c r="H204" s="24"/>
      <c r="I204" s="23"/>
      <c r="J204" s="23"/>
      <c r="K204" s="24"/>
      <c r="L204" s="90"/>
      <c r="M204" s="23"/>
    </row>
    <row r="205" spans="1:13" ht="14.45">
      <c r="A205" s="23"/>
      <c r="B205" s="35"/>
      <c r="C205" s="23"/>
      <c r="D205" s="23"/>
      <c r="E205" s="23"/>
      <c r="F205" s="23"/>
      <c r="G205" s="23"/>
      <c r="H205" s="24"/>
      <c r="I205" s="23"/>
      <c r="J205" s="23"/>
      <c r="K205" s="24"/>
      <c r="L205" s="90"/>
      <c r="M205" s="23"/>
    </row>
    <row r="206" spans="1:13" ht="14.45">
      <c r="A206" s="23"/>
      <c r="B206" s="35"/>
      <c r="C206" s="23"/>
      <c r="D206" s="23"/>
      <c r="E206" s="23"/>
      <c r="F206" s="23"/>
      <c r="G206" s="23"/>
      <c r="H206" s="24"/>
      <c r="I206" s="23"/>
      <c r="J206" s="23"/>
      <c r="K206" s="24"/>
      <c r="L206" s="90"/>
      <c r="M206" s="23"/>
    </row>
    <row r="207" spans="1:13" ht="14.45">
      <c r="A207" s="23"/>
      <c r="B207" s="35"/>
      <c r="C207" s="23"/>
      <c r="D207" s="23"/>
      <c r="E207" s="23"/>
      <c r="F207" s="23"/>
      <c r="G207" s="23"/>
      <c r="H207" s="24"/>
      <c r="I207" s="23"/>
      <c r="J207" s="23"/>
      <c r="K207" s="24"/>
      <c r="L207" s="90"/>
      <c r="M207" s="23"/>
    </row>
    <row r="208" spans="1:13" ht="14.45">
      <c r="A208" s="23"/>
      <c r="B208" s="35"/>
      <c r="C208" s="23"/>
      <c r="D208" s="23"/>
      <c r="E208" s="23"/>
      <c r="F208" s="23"/>
      <c r="G208" s="23"/>
      <c r="H208" s="24"/>
      <c r="I208" s="23"/>
      <c r="J208" s="23"/>
      <c r="K208" s="24"/>
      <c r="L208" s="90"/>
      <c r="M208" s="23"/>
    </row>
    <row r="209" spans="1:13" ht="14.45">
      <c r="A209" s="23"/>
      <c r="B209" s="35"/>
      <c r="C209" s="23"/>
      <c r="D209" s="23"/>
      <c r="E209" s="23"/>
      <c r="F209" s="23"/>
      <c r="G209" s="23"/>
      <c r="H209" s="24"/>
      <c r="I209" s="23"/>
      <c r="J209" s="23"/>
      <c r="K209" s="24"/>
      <c r="L209" s="90"/>
      <c r="M209" s="23"/>
    </row>
    <row r="210" spans="1:13" ht="14.45">
      <c r="A210" s="23"/>
      <c r="B210" s="35"/>
      <c r="C210" s="23"/>
      <c r="D210" s="23"/>
      <c r="E210" s="23"/>
      <c r="F210" s="23"/>
      <c r="G210" s="23"/>
      <c r="H210" s="24"/>
      <c r="I210" s="23"/>
      <c r="J210" s="23"/>
      <c r="K210" s="24"/>
      <c r="L210" s="90"/>
      <c r="M210" s="23"/>
    </row>
    <row r="211" spans="1:13" ht="14.45">
      <c r="A211" s="23"/>
      <c r="B211" s="35"/>
      <c r="C211" s="23"/>
      <c r="D211" s="23"/>
      <c r="E211" s="23"/>
      <c r="F211" s="23"/>
      <c r="G211" s="23"/>
      <c r="H211" s="24"/>
      <c r="I211" s="23"/>
      <c r="J211" s="23"/>
      <c r="K211" s="24"/>
      <c r="L211" s="90"/>
      <c r="M211" s="23"/>
    </row>
    <row r="212" spans="1:13" ht="14.45">
      <c r="A212" s="23"/>
      <c r="B212" s="35"/>
      <c r="C212" s="23"/>
      <c r="D212" s="23"/>
      <c r="E212" s="23"/>
      <c r="F212" s="23"/>
      <c r="G212" s="23"/>
      <c r="H212" s="24"/>
      <c r="I212" s="23"/>
      <c r="J212" s="23"/>
      <c r="K212" s="24"/>
      <c r="L212" s="90"/>
      <c r="M212" s="23"/>
    </row>
    <row r="213" spans="1:13" ht="14.45">
      <c r="A213" s="23"/>
      <c r="B213" s="35"/>
      <c r="C213" s="23"/>
      <c r="D213" s="23"/>
      <c r="E213" s="23"/>
      <c r="F213" s="23"/>
      <c r="G213" s="23"/>
      <c r="H213" s="24"/>
      <c r="I213" s="23"/>
      <c r="J213" s="23"/>
      <c r="K213" s="24"/>
      <c r="L213" s="90"/>
      <c r="M213" s="23"/>
    </row>
    <row r="214" spans="1:13" ht="14.45">
      <c r="A214" s="23"/>
      <c r="B214" s="35"/>
      <c r="C214" s="23"/>
      <c r="D214" s="23"/>
      <c r="E214" s="23"/>
      <c r="F214" s="23"/>
      <c r="G214" s="23"/>
      <c r="H214" s="24"/>
      <c r="I214" s="23"/>
      <c r="J214" s="23"/>
      <c r="K214" s="24"/>
      <c r="L214" s="90"/>
      <c r="M214" s="23"/>
    </row>
    <row r="215" spans="1:13" ht="14.45">
      <c r="A215" s="23"/>
      <c r="B215" s="35"/>
      <c r="C215" s="23"/>
      <c r="D215" s="23"/>
      <c r="E215" s="23"/>
      <c r="F215" s="23"/>
      <c r="G215" s="23"/>
      <c r="H215" s="24"/>
      <c r="I215" s="23"/>
      <c r="J215" s="23"/>
      <c r="K215" s="24"/>
      <c r="L215" s="90"/>
      <c r="M215" s="23"/>
    </row>
    <row r="216" spans="1:13" ht="14.45">
      <c r="A216" s="23"/>
      <c r="B216" s="35"/>
      <c r="C216" s="23"/>
      <c r="D216" s="23"/>
      <c r="E216" s="23"/>
      <c r="F216" s="23"/>
      <c r="G216" s="23"/>
      <c r="H216" s="24"/>
      <c r="I216" s="23"/>
      <c r="J216" s="23"/>
      <c r="K216" s="24"/>
      <c r="L216" s="90"/>
      <c r="M216" s="23"/>
    </row>
    <row r="217" spans="1:13" ht="14.45">
      <c r="A217" s="23"/>
      <c r="B217" s="35"/>
      <c r="C217" s="23"/>
      <c r="D217" s="23"/>
      <c r="E217" s="23"/>
      <c r="F217" s="23"/>
      <c r="G217" s="23"/>
      <c r="H217" s="24"/>
      <c r="I217" s="23"/>
      <c r="J217" s="23"/>
      <c r="K217" s="24"/>
      <c r="L217" s="90"/>
      <c r="M217" s="23"/>
    </row>
    <row r="218" spans="1:13" ht="14.45">
      <c r="A218" s="23"/>
      <c r="B218" s="35"/>
      <c r="C218" s="23"/>
      <c r="D218" s="23"/>
      <c r="E218" s="23"/>
      <c r="F218" s="23"/>
      <c r="G218" s="23"/>
      <c r="H218" s="24"/>
      <c r="I218" s="23"/>
      <c r="J218" s="23"/>
      <c r="K218" s="24"/>
      <c r="L218" s="90"/>
      <c r="M218" s="23"/>
    </row>
    <row r="219" spans="1:13" ht="14.45">
      <c r="A219" s="23"/>
      <c r="B219" s="35"/>
      <c r="C219" s="23"/>
      <c r="D219" s="23"/>
      <c r="E219" s="23"/>
      <c r="F219" s="23"/>
      <c r="G219" s="23"/>
      <c r="H219" s="24"/>
      <c r="I219" s="23"/>
      <c r="J219" s="23"/>
      <c r="K219" s="24"/>
      <c r="L219" s="90"/>
      <c r="M219" s="23"/>
    </row>
    <row r="220" spans="1:13" ht="14.45">
      <c r="A220" s="23"/>
      <c r="B220" s="35"/>
      <c r="C220" s="23"/>
      <c r="D220" s="23"/>
      <c r="E220" s="23"/>
      <c r="F220" s="23"/>
      <c r="G220" s="23"/>
      <c r="H220" s="24"/>
      <c r="I220" s="23"/>
      <c r="J220" s="23"/>
      <c r="K220" s="24"/>
      <c r="L220" s="90"/>
      <c r="M220" s="23"/>
    </row>
    <row r="221" spans="1:13" ht="14.45">
      <c r="A221" s="23"/>
      <c r="B221" s="35"/>
      <c r="C221" s="23"/>
      <c r="D221" s="23"/>
      <c r="E221" s="23"/>
      <c r="F221" s="23"/>
      <c r="G221" s="23"/>
      <c r="H221" s="24"/>
      <c r="I221" s="23"/>
      <c r="J221" s="23"/>
      <c r="K221" s="24"/>
      <c r="L221" s="90"/>
      <c r="M221" s="23"/>
    </row>
    <row r="222" spans="1:13" ht="14.45">
      <c r="A222" s="23"/>
      <c r="B222" s="35"/>
      <c r="C222" s="23"/>
      <c r="D222" s="23"/>
      <c r="E222" s="23"/>
      <c r="F222" s="23"/>
      <c r="G222" s="23"/>
      <c r="H222" s="24"/>
      <c r="I222" s="23"/>
      <c r="J222" s="23"/>
      <c r="K222" s="24"/>
      <c r="L222" s="90"/>
      <c r="M222" s="23"/>
    </row>
    <row r="223" spans="1:13" ht="14.45">
      <c r="A223" s="23"/>
      <c r="B223" s="35"/>
      <c r="C223" s="23"/>
      <c r="D223" s="23"/>
      <c r="E223" s="23"/>
      <c r="F223" s="23"/>
      <c r="G223" s="23"/>
      <c r="H223" s="24"/>
      <c r="I223" s="23"/>
      <c r="J223" s="23"/>
      <c r="K223" s="24"/>
      <c r="L223" s="90"/>
      <c r="M223" s="23"/>
    </row>
    <row r="224" spans="1:13" ht="14.45">
      <c r="A224" s="23"/>
      <c r="B224" s="35"/>
      <c r="C224" s="23"/>
      <c r="D224" s="23"/>
      <c r="E224" s="23"/>
      <c r="F224" s="23"/>
      <c r="G224" s="23"/>
      <c r="H224" s="24"/>
      <c r="I224" s="23"/>
      <c r="J224" s="23"/>
      <c r="K224" s="24"/>
      <c r="L224" s="90"/>
      <c r="M224" s="23"/>
    </row>
    <row r="225" spans="1:13" ht="14.45">
      <c r="A225" s="23"/>
      <c r="B225" s="35"/>
      <c r="C225" s="23"/>
      <c r="D225" s="23"/>
      <c r="E225" s="23"/>
      <c r="F225" s="23"/>
      <c r="G225" s="23"/>
      <c r="H225" s="24"/>
      <c r="I225" s="23"/>
      <c r="J225" s="23"/>
      <c r="K225" s="24"/>
      <c r="L225" s="90"/>
      <c r="M225" s="23"/>
    </row>
    <row r="226" spans="1:13" ht="14.45">
      <c r="A226" s="23"/>
      <c r="B226" s="35"/>
      <c r="C226" s="23"/>
      <c r="D226" s="23"/>
      <c r="E226" s="23"/>
      <c r="F226" s="23"/>
      <c r="G226" s="23"/>
      <c r="H226" s="24"/>
      <c r="I226" s="23"/>
      <c r="J226" s="23"/>
      <c r="K226" s="24"/>
      <c r="L226" s="90"/>
      <c r="M226" s="23"/>
    </row>
    <row r="227" spans="1:13" ht="14.45">
      <c r="A227" s="23"/>
      <c r="B227" s="35"/>
      <c r="C227" s="23"/>
      <c r="D227" s="23"/>
      <c r="E227" s="23"/>
      <c r="F227" s="23"/>
      <c r="G227" s="23"/>
      <c r="H227" s="24"/>
      <c r="I227" s="23"/>
      <c r="J227" s="23"/>
      <c r="K227" s="24"/>
      <c r="L227" s="90"/>
      <c r="M227" s="23"/>
    </row>
    <row r="228" spans="1:13" ht="14.45">
      <c r="A228" s="23"/>
      <c r="B228" s="35"/>
      <c r="C228" s="23"/>
      <c r="D228" s="23"/>
      <c r="E228" s="23"/>
      <c r="F228" s="23"/>
      <c r="G228" s="23"/>
      <c r="H228" s="24"/>
      <c r="I228" s="23"/>
      <c r="J228" s="23"/>
      <c r="K228" s="24"/>
      <c r="L228" s="90"/>
      <c r="M228" s="23"/>
    </row>
    <row r="229" spans="1:13" ht="14.45">
      <c r="A229" s="23"/>
      <c r="B229" s="35"/>
      <c r="C229" s="23"/>
      <c r="D229" s="23"/>
      <c r="E229" s="23"/>
      <c r="F229" s="23"/>
      <c r="G229" s="23"/>
      <c r="H229" s="24"/>
      <c r="I229" s="23"/>
      <c r="J229" s="23"/>
      <c r="K229" s="24"/>
      <c r="L229" s="90"/>
      <c r="M229" s="23"/>
    </row>
    <row r="230" spans="1:13" ht="14.45">
      <c r="A230" s="23"/>
      <c r="B230" s="35"/>
      <c r="C230" s="23"/>
      <c r="D230" s="23"/>
      <c r="E230" s="23"/>
      <c r="F230" s="23"/>
      <c r="G230" s="23"/>
      <c r="H230" s="24"/>
      <c r="I230" s="23"/>
      <c r="J230" s="23"/>
      <c r="K230" s="24"/>
      <c r="L230" s="90"/>
      <c r="M230" s="23"/>
    </row>
    <row r="231" spans="1:13" ht="14.45">
      <c r="A231" s="23"/>
      <c r="B231" s="35"/>
      <c r="C231" s="23"/>
      <c r="D231" s="23"/>
      <c r="E231" s="23"/>
      <c r="F231" s="23"/>
      <c r="G231" s="23"/>
      <c r="H231" s="24"/>
      <c r="I231" s="23"/>
      <c r="J231" s="23"/>
      <c r="K231" s="24"/>
      <c r="L231" s="90"/>
      <c r="M231" s="23"/>
    </row>
    <row r="232" spans="1:13" ht="14.45">
      <c r="A232" s="23"/>
      <c r="B232" s="35"/>
      <c r="C232" s="23"/>
      <c r="D232" s="23"/>
      <c r="E232" s="23"/>
      <c r="F232" s="23"/>
      <c r="G232" s="23"/>
      <c r="H232" s="24"/>
      <c r="I232" s="23"/>
      <c r="J232" s="23"/>
      <c r="K232" s="24"/>
      <c r="L232" s="90"/>
      <c r="M232" s="23"/>
    </row>
    <row r="233" spans="1:13" ht="14.45">
      <c r="A233" s="23"/>
      <c r="B233" s="35"/>
      <c r="C233" s="23"/>
      <c r="D233" s="23"/>
      <c r="E233" s="23"/>
      <c r="F233" s="23"/>
      <c r="G233" s="23"/>
      <c r="H233" s="24"/>
      <c r="I233" s="23"/>
      <c r="J233" s="23"/>
      <c r="K233" s="24"/>
      <c r="L233" s="90"/>
      <c r="M233" s="23"/>
    </row>
    <row r="234" spans="1:13" ht="14.45">
      <c r="A234" s="23"/>
      <c r="B234" s="35"/>
      <c r="C234" s="23"/>
      <c r="D234" s="23"/>
      <c r="E234" s="23"/>
      <c r="F234" s="23"/>
      <c r="G234" s="23"/>
      <c r="H234" s="24"/>
      <c r="I234" s="23"/>
      <c r="J234" s="23"/>
      <c r="K234" s="24"/>
      <c r="L234" s="90"/>
      <c r="M234" s="23"/>
    </row>
    <row r="235" spans="1:13" ht="14.45">
      <c r="A235" s="23"/>
      <c r="B235" s="35"/>
      <c r="C235" s="23"/>
      <c r="D235" s="23"/>
      <c r="E235" s="23"/>
      <c r="F235" s="23"/>
      <c r="G235" s="23"/>
      <c r="H235" s="24"/>
      <c r="I235" s="23"/>
      <c r="J235" s="23"/>
      <c r="K235" s="24"/>
      <c r="L235" s="90"/>
      <c r="M235" s="23"/>
    </row>
    <row r="236" spans="1:13" ht="14.45">
      <c r="A236" s="23"/>
      <c r="B236" s="35"/>
      <c r="C236" s="23"/>
      <c r="D236" s="23"/>
      <c r="E236" s="23"/>
      <c r="F236" s="23"/>
      <c r="G236" s="23"/>
      <c r="H236" s="24"/>
      <c r="I236" s="23"/>
      <c r="J236" s="23"/>
      <c r="K236" s="24"/>
      <c r="L236" s="90"/>
      <c r="M236" s="23"/>
    </row>
    <row r="237" spans="1:13" ht="14.45">
      <c r="A237" s="23"/>
      <c r="B237" s="35"/>
      <c r="C237" s="23"/>
      <c r="D237" s="23"/>
      <c r="E237" s="23"/>
      <c r="F237" s="23"/>
      <c r="G237" s="23"/>
      <c r="H237" s="24"/>
      <c r="I237" s="23"/>
      <c r="J237" s="23"/>
      <c r="K237" s="24"/>
      <c r="L237" s="90"/>
      <c r="M237" s="23"/>
    </row>
    <row r="238" spans="1:13" ht="14.45">
      <c r="A238" s="23"/>
      <c r="B238" s="35"/>
      <c r="C238" s="23"/>
      <c r="D238" s="23"/>
      <c r="E238" s="23"/>
      <c r="F238" s="23"/>
      <c r="G238" s="23"/>
      <c r="H238" s="24"/>
      <c r="I238" s="23"/>
      <c r="J238" s="23"/>
      <c r="K238" s="24"/>
      <c r="L238" s="90"/>
      <c r="M238" s="23"/>
    </row>
    <row r="239" spans="1:13" ht="14.45">
      <c r="A239" s="23"/>
      <c r="B239" s="35"/>
      <c r="C239" s="23"/>
      <c r="D239" s="23"/>
      <c r="E239" s="23"/>
      <c r="F239" s="23"/>
      <c r="G239" s="23"/>
      <c r="H239" s="24"/>
      <c r="I239" s="23"/>
      <c r="J239" s="23"/>
      <c r="K239" s="24"/>
      <c r="L239" s="90"/>
      <c r="M239" s="23"/>
    </row>
    <row r="240" spans="1:13" ht="14.45">
      <c r="A240" s="23"/>
      <c r="B240" s="35"/>
      <c r="C240" s="23"/>
      <c r="D240" s="23"/>
      <c r="E240" s="23"/>
      <c r="F240" s="23"/>
      <c r="G240" s="23"/>
      <c r="H240" s="24"/>
      <c r="I240" s="23"/>
      <c r="J240" s="23"/>
      <c r="K240" s="24"/>
      <c r="L240" s="90"/>
      <c r="M240" s="23"/>
    </row>
    <row r="241" spans="1:13" ht="14.45">
      <c r="A241" s="23"/>
      <c r="B241" s="35"/>
      <c r="C241" s="23"/>
      <c r="D241" s="23"/>
      <c r="E241" s="23"/>
      <c r="F241" s="23"/>
      <c r="G241" s="23"/>
      <c r="H241" s="24"/>
      <c r="I241" s="23"/>
      <c r="J241" s="23"/>
      <c r="K241" s="24"/>
      <c r="L241" s="90"/>
      <c r="M241" s="23"/>
    </row>
    <row r="242" spans="1:13" ht="14.45">
      <c r="A242" s="23"/>
      <c r="B242" s="35"/>
      <c r="C242" s="23"/>
      <c r="D242" s="23"/>
      <c r="E242" s="23"/>
      <c r="F242" s="23"/>
      <c r="G242" s="23"/>
      <c r="H242" s="24"/>
      <c r="I242" s="23"/>
      <c r="J242" s="23"/>
      <c r="K242" s="24"/>
      <c r="L242" s="90"/>
      <c r="M242" s="23"/>
    </row>
    <row r="243" spans="1:13" ht="14.45">
      <c r="A243" s="23"/>
      <c r="B243" s="35"/>
      <c r="C243" s="23"/>
      <c r="D243" s="23"/>
      <c r="E243" s="23"/>
      <c r="F243" s="23"/>
      <c r="G243" s="23"/>
      <c r="H243" s="24"/>
      <c r="I243" s="23"/>
      <c r="J243" s="23"/>
      <c r="K243" s="24"/>
      <c r="L243" s="90"/>
      <c r="M243" s="23"/>
    </row>
    <row r="244" spans="1:13" ht="14.45">
      <c r="A244" s="23"/>
      <c r="B244" s="35"/>
      <c r="C244" s="23"/>
      <c r="D244" s="23"/>
      <c r="E244" s="23"/>
      <c r="F244" s="23"/>
      <c r="G244" s="23"/>
      <c r="H244" s="24"/>
      <c r="I244" s="23"/>
      <c r="J244" s="23"/>
      <c r="K244" s="24"/>
      <c r="L244" s="90"/>
      <c r="M244" s="23"/>
    </row>
    <row r="245" spans="1:13" ht="14.45">
      <c r="A245" s="23"/>
      <c r="B245" s="35"/>
      <c r="C245" s="23"/>
      <c r="D245" s="23"/>
      <c r="E245" s="23"/>
      <c r="F245" s="23"/>
      <c r="G245" s="23"/>
      <c r="H245" s="24"/>
      <c r="I245" s="23"/>
      <c r="J245" s="23"/>
      <c r="K245" s="24"/>
      <c r="L245" s="90"/>
      <c r="M245" s="23"/>
    </row>
    <row r="246" spans="1:13" ht="14.45">
      <c r="A246" s="23"/>
      <c r="B246" s="35"/>
      <c r="C246" s="23"/>
      <c r="D246" s="23"/>
      <c r="E246" s="23"/>
      <c r="F246" s="23"/>
      <c r="G246" s="23"/>
      <c r="H246" s="24"/>
      <c r="I246" s="23"/>
      <c r="J246" s="23"/>
      <c r="K246" s="24"/>
      <c r="L246" s="90"/>
      <c r="M246" s="23"/>
    </row>
    <row r="247" spans="1:13" ht="14.45">
      <c r="A247" s="23"/>
      <c r="B247" s="35"/>
      <c r="C247" s="23"/>
      <c r="D247" s="23"/>
      <c r="E247" s="23"/>
      <c r="F247" s="23"/>
      <c r="G247" s="23"/>
      <c r="H247" s="24"/>
      <c r="I247" s="23"/>
      <c r="J247" s="23"/>
      <c r="K247" s="24"/>
      <c r="L247" s="90"/>
      <c r="M247" s="23"/>
    </row>
    <row r="248" spans="1:13" ht="14.45">
      <c r="A248" s="23"/>
      <c r="B248" s="35"/>
      <c r="C248" s="23"/>
      <c r="D248" s="23"/>
      <c r="E248" s="23"/>
      <c r="F248" s="23"/>
      <c r="G248" s="23"/>
      <c r="H248" s="24"/>
      <c r="I248" s="23"/>
      <c r="J248" s="23"/>
      <c r="K248" s="24"/>
      <c r="L248" s="90"/>
      <c r="M248" s="23"/>
    </row>
    <row r="249" spans="1:13" ht="14.45">
      <c r="A249" s="23"/>
      <c r="B249" s="35"/>
      <c r="C249" s="23"/>
      <c r="D249" s="23"/>
      <c r="E249" s="23"/>
      <c r="F249" s="23"/>
      <c r="G249" s="23"/>
      <c r="H249" s="24"/>
      <c r="I249" s="23"/>
      <c r="J249" s="23"/>
      <c r="K249" s="24"/>
      <c r="L249" s="90"/>
      <c r="M249" s="23"/>
    </row>
    <row r="250" spans="1:13" ht="14.45">
      <c r="A250" s="23"/>
      <c r="B250" s="35"/>
      <c r="C250" s="23"/>
      <c r="D250" s="23"/>
      <c r="E250" s="23"/>
      <c r="F250" s="23"/>
      <c r="G250" s="23"/>
      <c r="H250" s="24"/>
      <c r="I250" s="23"/>
      <c r="J250" s="23"/>
      <c r="K250" s="24"/>
      <c r="L250" s="90"/>
      <c r="M250" s="23"/>
    </row>
    <row r="251" spans="1:13" ht="14.45">
      <c r="A251" s="23"/>
      <c r="B251" s="35"/>
      <c r="C251" s="23"/>
      <c r="D251" s="23"/>
      <c r="E251" s="23"/>
      <c r="F251" s="23"/>
      <c r="G251" s="23"/>
      <c r="H251" s="24"/>
      <c r="I251" s="23"/>
      <c r="J251" s="23"/>
      <c r="K251" s="24"/>
      <c r="L251" s="90"/>
      <c r="M251" s="23"/>
    </row>
    <row r="252" spans="1:13" ht="14.45">
      <c r="A252" s="23"/>
      <c r="B252" s="35"/>
      <c r="C252" s="23"/>
      <c r="D252" s="23"/>
      <c r="E252" s="23"/>
      <c r="F252" s="23"/>
      <c r="G252" s="23"/>
      <c r="H252" s="24"/>
      <c r="I252" s="23"/>
      <c r="J252" s="23"/>
      <c r="K252" s="24"/>
      <c r="L252" s="90"/>
      <c r="M252" s="23"/>
    </row>
    <row r="253" spans="1:13" ht="14.45">
      <c r="A253" s="23"/>
      <c r="B253" s="35"/>
      <c r="C253" s="23"/>
      <c r="D253" s="23"/>
      <c r="E253" s="23"/>
      <c r="F253" s="23"/>
      <c r="G253" s="23"/>
      <c r="H253" s="24"/>
      <c r="I253" s="23"/>
      <c r="J253" s="23"/>
      <c r="K253" s="24"/>
      <c r="L253" s="90"/>
      <c r="M253" s="23"/>
    </row>
    <row r="254" spans="1:13" ht="14.45">
      <c r="A254" s="23"/>
      <c r="B254" s="35"/>
      <c r="C254" s="23"/>
      <c r="D254" s="23"/>
      <c r="E254" s="23"/>
      <c r="F254" s="23"/>
      <c r="G254" s="23"/>
      <c r="H254" s="24"/>
      <c r="I254" s="23"/>
      <c r="J254" s="23"/>
      <c r="K254" s="24"/>
      <c r="L254" s="90"/>
      <c r="M254" s="23"/>
    </row>
    <row r="255" spans="1:13" ht="14.45">
      <c r="A255" s="23"/>
      <c r="B255" s="35"/>
      <c r="C255" s="23"/>
      <c r="D255" s="23"/>
      <c r="E255" s="23"/>
      <c r="F255" s="23"/>
      <c r="G255" s="23"/>
      <c r="H255" s="24"/>
      <c r="I255" s="23"/>
      <c r="J255" s="23"/>
      <c r="K255" s="24"/>
      <c r="L255" s="90"/>
      <c r="M255" s="23"/>
    </row>
    <row r="256" spans="1:13" ht="14.45">
      <c r="A256" s="23"/>
      <c r="B256" s="35"/>
      <c r="C256" s="23"/>
      <c r="D256" s="23"/>
      <c r="E256" s="23"/>
      <c r="F256" s="23"/>
      <c r="G256" s="23"/>
      <c r="H256" s="24"/>
      <c r="I256" s="23"/>
      <c r="J256" s="23"/>
      <c r="K256" s="24"/>
      <c r="L256" s="90"/>
      <c r="M256" s="23"/>
    </row>
    <row r="257" spans="1:13" ht="14.45">
      <c r="A257" s="23"/>
      <c r="B257" s="35"/>
      <c r="C257" s="23"/>
      <c r="D257" s="23"/>
      <c r="E257" s="23"/>
      <c r="F257" s="23"/>
      <c r="G257" s="23"/>
      <c r="H257" s="24"/>
      <c r="I257" s="23"/>
      <c r="J257" s="23"/>
      <c r="K257" s="24"/>
      <c r="L257" s="90"/>
      <c r="M257" s="23"/>
    </row>
    <row r="258" spans="1:13" ht="14.45">
      <c r="A258" s="23"/>
      <c r="B258" s="35"/>
      <c r="C258" s="23"/>
      <c r="D258" s="23"/>
      <c r="E258" s="23"/>
      <c r="F258" s="23"/>
      <c r="G258" s="23"/>
      <c r="H258" s="24"/>
      <c r="I258" s="23"/>
      <c r="J258" s="23"/>
      <c r="K258" s="24"/>
      <c r="L258" s="90"/>
      <c r="M258" s="23"/>
    </row>
    <row r="259" spans="1:13" ht="14.45">
      <c r="A259" s="23"/>
      <c r="B259" s="35"/>
      <c r="C259" s="23"/>
      <c r="D259" s="23"/>
      <c r="E259" s="23"/>
      <c r="F259" s="23"/>
      <c r="G259" s="23"/>
      <c r="H259" s="24"/>
      <c r="I259" s="23"/>
      <c r="J259" s="23"/>
      <c r="K259" s="24"/>
      <c r="L259" s="90"/>
      <c r="M259" s="23"/>
    </row>
    <row r="260" spans="1:13" ht="14.45">
      <c r="A260" s="23"/>
      <c r="B260" s="35"/>
      <c r="C260" s="23"/>
      <c r="D260" s="23"/>
      <c r="E260" s="23"/>
      <c r="F260" s="23"/>
      <c r="G260" s="23"/>
      <c r="H260" s="24"/>
      <c r="I260" s="23"/>
      <c r="J260" s="23"/>
      <c r="K260" s="24"/>
      <c r="L260" s="90"/>
      <c r="M260" s="23"/>
    </row>
    <row r="261" spans="1:13" ht="14.45">
      <c r="A261" s="23"/>
      <c r="B261" s="35"/>
      <c r="C261" s="23"/>
      <c r="D261" s="23"/>
      <c r="E261" s="23"/>
      <c r="F261" s="23"/>
      <c r="G261" s="23"/>
      <c r="H261" s="24"/>
      <c r="I261" s="23"/>
      <c r="J261" s="23"/>
      <c r="K261" s="24"/>
      <c r="L261" s="90"/>
      <c r="M261" s="23"/>
    </row>
    <row r="262" spans="1:13" ht="14.45">
      <c r="A262" s="23"/>
      <c r="B262" s="35"/>
      <c r="C262" s="23"/>
      <c r="D262" s="23"/>
      <c r="E262" s="23"/>
      <c r="F262" s="23"/>
      <c r="G262" s="23"/>
      <c r="H262" s="24"/>
      <c r="I262" s="23"/>
      <c r="J262" s="23"/>
      <c r="K262" s="24"/>
      <c r="L262" s="90"/>
      <c r="M262" s="23"/>
    </row>
    <row r="263" spans="1:13" ht="14.45">
      <c r="A263" s="23"/>
      <c r="B263" s="35"/>
      <c r="C263" s="23"/>
      <c r="D263" s="23"/>
      <c r="E263" s="23"/>
      <c r="F263" s="23"/>
      <c r="G263" s="23"/>
      <c r="H263" s="24"/>
      <c r="I263" s="23"/>
      <c r="J263" s="23"/>
      <c r="K263" s="24"/>
      <c r="L263" s="90"/>
      <c r="M263" s="23"/>
    </row>
    <row r="264" spans="1:13" ht="14.45">
      <c r="A264" s="23"/>
      <c r="B264" s="35"/>
      <c r="C264" s="23"/>
      <c r="D264" s="23"/>
      <c r="E264" s="23"/>
      <c r="F264" s="23"/>
      <c r="G264" s="23"/>
      <c r="H264" s="24"/>
      <c r="I264" s="23"/>
      <c r="J264" s="23"/>
      <c r="K264" s="24"/>
      <c r="L264" s="90"/>
      <c r="M264" s="23"/>
    </row>
    <row r="265" spans="1:13" ht="14.45">
      <c r="A265" s="23"/>
      <c r="B265" s="35"/>
      <c r="C265" s="23"/>
      <c r="D265" s="23"/>
      <c r="E265" s="23"/>
      <c r="F265" s="23"/>
      <c r="G265" s="23"/>
      <c r="H265" s="24"/>
      <c r="I265" s="23"/>
      <c r="J265" s="23"/>
      <c r="K265" s="24"/>
      <c r="L265" s="90"/>
      <c r="M265" s="23"/>
    </row>
    <row r="266" spans="1:13" ht="14.45">
      <c r="A266" s="23"/>
      <c r="B266" s="35"/>
      <c r="C266" s="23"/>
      <c r="D266" s="23"/>
      <c r="E266" s="23"/>
      <c r="F266" s="23"/>
      <c r="G266" s="23"/>
      <c r="H266" s="24"/>
      <c r="I266" s="23"/>
      <c r="J266" s="23"/>
      <c r="K266" s="24"/>
      <c r="L266" s="90"/>
      <c r="M266" s="23"/>
    </row>
    <row r="267" spans="1:13" ht="14.45">
      <c r="A267" s="23"/>
      <c r="B267" s="35"/>
      <c r="C267" s="23"/>
      <c r="D267" s="23"/>
      <c r="E267" s="23"/>
      <c r="F267" s="23"/>
      <c r="G267" s="23"/>
      <c r="H267" s="24"/>
      <c r="I267" s="23"/>
      <c r="J267" s="23"/>
      <c r="K267" s="24"/>
      <c r="L267" s="90"/>
      <c r="M267" s="23"/>
    </row>
    <row r="268" spans="1:13" ht="14.45">
      <c r="A268" s="23"/>
      <c r="B268" s="35"/>
      <c r="C268" s="23"/>
      <c r="D268" s="23"/>
      <c r="E268" s="23"/>
      <c r="F268" s="23"/>
      <c r="G268" s="23"/>
      <c r="H268" s="24"/>
      <c r="I268" s="23"/>
      <c r="J268" s="23"/>
      <c r="K268" s="24"/>
      <c r="L268" s="90"/>
      <c r="M268" s="23"/>
    </row>
    <row r="269" spans="1:13" ht="14.45">
      <c r="A269" s="23"/>
      <c r="B269" s="35"/>
      <c r="C269" s="23"/>
      <c r="D269" s="23"/>
      <c r="E269" s="23"/>
      <c r="F269" s="23"/>
      <c r="G269" s="23"/>
      <c r="H269" s="24"/>
      <c r="I269" s="23"/>
      <c r="J269" s="23"/>
      <c r="K269" s="24"/>
      <c r="L269" s="90"/>
      <c r="M269" s="23"/>
    </row>
    <row r="270" spans="1:13" ht="14.45">
      <c r="A270" s="23"/>
      <c r="B270" s="35"/>
      <c r="C270" s="23"/>
      <c r="D270" s="23"/>
      <c r="E270" s="23"/>
      <c r="F270" s="23"/>
      <c r="G270" s="23"/>
      <c r="H270" s="24"/>
      <c r="I270" s="23"/>
      <c r="J270" s="23"/>
      <c r="K270" s="24"/>
      <c r="L270" s="90"/>
      <c r="M270" s="23"/>
    </row>
    <row r="271" spans="1:13" ht="14.45">
      <c r="A271" s="23"/>
      <c r="B271" s="35"/>
      <c r="C271" s="23"/>
      <c r="D271" s="23"/>
      <c r="E271" s="23"/>
      <c r="F271" s="23"/>
      <c r="G271" s="23"/>
      <c r="H271" s="24"/>
      <c r="I271" s="23"/>
      <c r="J271" s="23"/>
      <c r="K271" s="24"/>
      <c r="L271" s="90"/>
      <c r="M271" s="23"/>
    </row>
    <row r="272" spans="1:13" ht="14.45">
      <c r="A272" s="23"/>
      <c r="B272" s="35"/>
      <c r="C272" s="23"/>
      <c r="D272" s="23"/>
      <c r="E272" s="23"/>
      <c r="F272" s="23"/>
      <c r="G272" s="23"/>
      <c r="H272" s="24"/>
      <c r="I272" s="23"/>
      <c r="J272" s="23"/>
      <c r="K272" s="24"/>
      <c r="L272" s="90"/>
      <c r="M272" s="23"/>
    </row>
    <row r="273" spans="1:13" ht="14.45">
      <c r="A273" s="23"/>
      <c r="B273" s="35"/>
      <c r="C273" s="23"/>
      <c r="D273" s="23"/>
      <c r="E273" s="23"/>
      <c r="F273" s="23"/>
      <c r="G273" s="23"/>
      <c r="H273" s="24"/>
      <c r="I273" s="23"/>
      <c r="J273" s="23"/>
      <c r="K273" s="24"/>
      <c r="L273" s="90"/>
      <c r="M273" s="23"/>
    </row>
    <row r="274" spans="1:13" ht="14.45">
      <c r="A274" s="23"/>
      <c r="B274" s="35"/>
      <c r="C274" s="23"/>
      <c r="D274" s="23"/>
      <c r="E274" s="23"/>
      <c r="F274" s="23"/>
      <c r="G274" s="23"/>
      <c r="H274" s="24"/>
      <c r="I274" s="23"/>
      <c r="J274" s="23"/>
      <c r="K274" s="24"/>
      <c r="L274" s="90"/>
      <c r="M274" s="23"/>
    </row>
    <row r="275" spans="1:13" ht="14.45">
      <c r="A275" s="23"/>
      <c r="B275" s="35"/>
      <c r="C275" s="23"/>
      <c r="D275" s="23"/>
      <c r="E275" s="23"/>
      <c r="F275" s="23"/>
      <c r="G275" s="23"/>
      <c r="H275" s="24"/>
      <c r="I275" s="23"/>
      <c r="J275" s="23"/>
      <c r="K275" s="24"/>
      <c r="L275" s="90"/>
      <c r="M275" s="23"/>
    </row>
    <row r="276" spans="1:13" ht="14.45">
      <c r="A276" s="23"/>
      <c r="B276" s="35"/>
      <c r="C276" s="23"/>
      <c r="D276" s="23"/>
      <c r="E276" s="23"/>
      <c r="F276" s="23"/>
      <c r="G276" s="23"/>
      <c r="H276" s="24"/>
      <c r="I276" s="23"/>
      <c r="J276" s="23"/>
      <c r="K276" s="24"/>
      <c r="L276" s="90"/>
      <c r="M276" s="23"/>
    </row>
    <row r="277" spans="1:13" ht="14.45">
      <c r="A277" s="23"/>
      <c r="B277" s="35"/>
      <c r="C277" s="23"/>
      <c r="D277" s="23"/>
      <c r="E277" s="23"/>
      <c r="F277" s="23"/>
      <c r="G277" s="23"/>
      <c r="H277" s="24"/>
      <c r="I277" s="23"/>
      <c r="J277" s="23"/>
      <c r="K277" s="24"/>
      <c r="L277" s="90"/>
      <c r="M277" s="23"/>
    </row>
    <row r="278" spans="1:13" ht="14.45">
      <c r="A278" s="23"/>
      <c r="B278" s="35"/>
      <c r="C278" s="23"/>
      <c r="D278" s="23"/>
      <c r="E278" s="23"/>
      <c r="F278" s="23"/>
      <c r="G278" s="23"/>
      <c r="H278" s="24"/>
      <c r="I278" s="23"/>
      <c r="J278" s="23"/>
      <c r="K278" s="24"/>
      <c r="L278" s="90"/>
      <c r="M278" s="23"/>
    </row>
    <row r="279" spans="1:13" ht="14.45">
      <c r="A279" s="23"/>
      <c r="B279" s="35"/>
      <c r="C279" s="23"/>
      <c r="D279" s="23"/>
      <c r="E279" s="23"/>
      <c r="F279" s="23"/>
      <c r="G279" s="23"/>
      <c r="H279" s="24"/>
      <c r="I279" s="23"/>
      <c r="J279" s="23"/>
      <c r="K279" s="24"/>
      <c r="L279" s="90"/>
      <c r="M279" s="23"/>
    </row>
    <row r="280" spans="1:13" ht="14.45">
      <c r="A280" s="23"/>
      <c r="B280" s="35"/>
      <c r="C280" s="23"/>
      <c r="D280" s="23"/>
      <c r="E280" s="23"/>
      <c r="F280" s="23"/>
      <c r="G280" s="23"/>
      <c r="H280" s="24"/>
      <c r="I280" s="23"/>
      <c r="J280" s="23"/>
      <c r="K280" s="24"/>
      <c r="L280" s="90"/>
      <c r="M280" s="23"/>
    </row>
    <row r="281" spans="1:13" ht="14.45">
      <c r="A281" s="23"/>
      <c r="B281" s="35"/>
      <c r="C281" s="23"/>
      <c r="D281" s="23"/>
      <c r="E281" s="23"/>
      <c r="F281" s="23"/>
      <c r="G281" s="23"/>
      <c r="H281" s="24"/>
      <c r="I281" s="23"/>
      <c r="J281" s="23"/>
      <c r="K281" s="24"/>
      <c r="L281" s="90"/>
      <c r="M281" s="23"/>
    </row>
    <row r="282" spans="1:13" ht="14.45">
      <c r="A282" s="23"/>
      <c r="B282" s="35"/>
      <c r="C282" s="23"/>
      <c r="D282" s="23"/>
      <c r="E282" s="23"/>
      <c r="F282" s="23"/>
      <c r="G282" s="23"/>
      <c r="H282" s="24"/>
      <c r="I282" s="23"/>
      <c r="J282" s="23"/>
      <c r="K282" s="24"/>
      <c r="L282" s="90"/>
      <c r="M282" s="23"/>
    </row>
    <row r="283" spans="1:13" ht="14.45">
      <c r="A283" s="23"/>
      <c r="B283" s="35"/>
      <c r="C283" s="23"/>
      <c r="D283" s="23"/>
      <c r="E283" s="23"/>
      <c r="F283" s="23"/>
      <c r="G283" s="23"/>
      <c r="H283" s="24"/>
      <c r="I283" s="23"/>
      <c r="J283" s="23"/>
      <c r="K283" s="24"/>
      <c r="L283" s="90"/>
      <c r="M283" s="23"/>
    </row>
    <row r="284" spans="1:13" ht="14.45">
      <c r="A284" s="23"/>
      <c r="B284" s="35"/>
      <c r="C284" s="23"/>
      <c r="D284" s="23"/>
      <c r="E284" s="23"/>
      <c r="F284" s="23"/>
      <c r="G284" s="23"/>
      <c r="H284" s="24"/>
      <c r="I284" s="23"/>
      <c r="J284" s="23"/>
      <c r="K284" s="24"/>
      <c r="L284" s="90"/>
      <c r="M284" s="23"/>
    </row>
    <row r="285" spans="1:13" ht="14.45">
      <c r="A285" s="23"/>
      <c r="B285" s="35"/>
      <c r="C285" s="23"/>
      <c r="D285" s="23"/>
      <c r="E285" s="23"/>
      <c r="F285" s="23"/>
      <c r="G285" s="23"/>
      <c r="H285" s="24"/>
      <c r="I285" s="23"/>
      <c r="J285" s="23"/>
      <c r="K285" s="24"/>
      <c r="L285" s="90"/>
      <c r="M285" s="23"/>
    </row>
    <row r="286" spans="1:13" ht="14.45">
      <c r="A286" s="23"/>
      <c r="B286" s="35"/>
      <c r="C286" s="23"/>
      <c r="D286" s="23"/>
      <c r="E286" s="23"/>
      <c r="F286" s="23"/>
      <c r="G286" s="23"/>
      <c r="H286" s="24"/>
      <c r="I286" s="23"/>
      <c r="J286" s="23"/>
      <c r="K286" s="24"/>
      <c r="L286" s="90"/>
      <c r="M286" s="23"/>
    </row>
    <row r="287" spans="1:13" ht="14.45">
      <c r="A287" s="23"/>
      <c r="B287" s="35"/>
      <c r="C287" s="23"/>
      <c r="D287" s="23"/>
      <c r="E287" s="23"/>
      <c r="F287" s="23"/>
      <c r="G287" s="23"/>
      <c r="H287" s="24"/>
      <c r="I287" s="23"/>
      <c r="J287" s="23"/>
      <c r="K287" s="24"/>
      <c r="L287" s="90"/>
      <c r="M287" s="23"/>
    </row>
    <row r="288" spans="1:13" ht="14.45">
      <c r="A288" s="23"/>
      <c r="B288" s="35"/>
      <c r="C288" s="23"/>
      <c r="D288" s="23"/>
      <c r="E288" s="23"/>
      <c r="F288" s="23"/>
      <c r="G288" s="23"/>
      <c r="H288" s="24"/>
      <c r="I288" s="23"/>
      <c r="J288" s="23"/>
      <c r="K288" s="24"/>
      <c r="L288" s="90"/>
      <c r="M288" s="23"/>
    </row>
    <row r="289" spans="1:13" ht="14.45">
      <c r="A289" s="23"/>
      <c r="B289" s="35"/>
      <c r="C289" s="23"/>
      <c r="D289" s="23"/>
      <c r="E289" s="23"/>
      <c r="F289" s="23"/>
      <c r="G289" s="23"/>
      <c r="H289" s="24"/>
      <c r="I289" s="23"/>
      <c r="J289" s="23"/>
      <c r="K289" s="24"/>
      <c r="L289" s="90"/>
      <c r="M289" s="23"/>
    </row>
    <row r="290" spans="1:13" ht="14.45">
      <c r="A290" s="23"/>
      <c r="B290" s="35"/>
      <c r="C290" s="23"/>
      <c r="D290" s="23"/>
      <c r="E290" s="23"/>
      <c r="F290" s="23"/>
      <c r="G290" s="23"/>
      <c r="H290" s="24"/>
      <c r="I290" s="23"/>
      <c r="J290" s="23"/>
      <c r="K290" s="24"/>
      <c r="L290" s="90"/>
      <c r="M290" s="23"/>
    </row>
    <row r="291" spans="1:13" ht="14.45">
      <c r="A291" s="23"/>
      <c r="B291" s="35"/>
      <c r="C291" s="23"/>
      <c r="D291" s="23"/>
      <c r="E291" s="23"/>
      <c r="F291" s="23"/>
      <c r="G291" s="23"/>
      <c r="H291" s="24"/>
      <c r="I291" s="23"/>
      <c r="J291" s="23"/>
      <c r="K291" s="24"/>
      <c r="L291" s="90"/>
      <c r="M291" s="23"/>
    </row>
    <row r="292" spans="1:13" ht="14.45">
      <c r="A292" s="23"/>
      <c r="B292" s="35"/>
      <c r="C292" s="23"/>
      <c r="D292" s="23"/>
      <c r="E292" s="23"/>
      <c r="F292" s="23"/>
      <c r="G292" s="23"/>
      <c r="H292" s="24"/>
      <c r="I292" s="23"/>
      <c r="J292" s="23"/>
      <c r="K292" s="24"/>
      <c r="L292" s="90"/>
      <c r="M292" s="23"/>
    </row>
    <row r="293" spans="1:13" ht="14.45">
      <c r="A293" s="23"/>
      <c r="B293" s="35"/>
      <c r="C293" s="23"/>
      <c r="D293" s="23"/>
      <c r="E293" s="23"/>
      <c r="F293" s="23"/>
      <c r="G293" s="23"/>
      <c r="H293" s="24"/>
      <c r="I293" s="23"/>
      <c r="J293" s="23"/>
      <c r="K293" s="24"/>
      <c r="L293" s="90"/>
      <c r="M293" s="23"/>
    </row>
    <row r="294" spans="1:13" ht="14.45">
      <c r="A294" s="23"/>
      <c r="B294" s="35"/>
      <c r="C294" s="23"/>
      <c r="D294" s="23"/>
      <c r="E294" s="23"/>
      <c r="F294" s="23"/>
      <c r="G294" s="23"/>
      <c r="H294" s="24"/>
      <c r="I294" s="23"/>
      <c r="J294" s="23"/>
      <c r="K294" s="24"/>
      <c r="L294" s="90"/>
      <c r="M294" s="23"/>
    </row>
    <row r="295" spans="1:13" ht="14.45">
      <c r="A295" s="23"/>
      <c r="B295" s="35"/>
      <c r="C295" s="23"/>
      <c r="D295" s="23"/>
      <c r="E295" s="23"/>
      <c r="F295" s="23"/>
      <c r="G295" s="23"/>
      <c r="H295" s="24"/>
      <c r="I295" s="23"/>
      <c r="J295" s="23"/>
      <c r="K295" s="24"/>
      <c r="L295" s="90"/>
      <c r="M295" s="23"/>
    </row>
    <row r="296" spans="1:13" ht="14.45">
      <c r="A296" s="23"/>
      <c r="B296" s="35"/>
      <c r="C296" s="23"/>
      <c r="D296" s="23"/>
      <c r="E296" s="23"/>
      <c r="F296" s="23"/>
      <c r="G296" s="23"/>
      <c r="H296" s="24"/>
      <c r="I296" s="23"/>
      <c r="J296" s="23"/>
      <c r="K296" s="24"/>
      <c r="L296" s="90"/>
      <c r="M296" s="23"/>
    </row>
    <row r="297" spans="1:13" ht="14.45">
      <c r="A297" s="23"/>
      <c r="B297" s="35"/>
      <c r="C297" s="23"/>
      <c r="D297" s="23"/>
      <c r="E297" s="23"/>
      <c r="F297" s="23"/>
      <c r="G297" s="23"/>
      <c r="H297" s="24"/>
      <c r="I297" s="23"/>
      <c r="J297" s="23"/>
      <c r="K297" s="24"/>
      <c r="L297" s="90"/>
      <c r="M297" s="23"/>
    </row>
    <row r="298" spans="1:13" ht="14.45">
      <c r="A298" s="23"/>
      <c r="B298" s="35"/>
      <c r="C298" s="23"/>
      <c r="D298" s="23"/>
      <c r="E298" s="23"/>
      <c r="F298" s="23"/>
      <c r="G298" s="23"/>
      <c r="H298" s="24"/>
      <c r="I298" s="23"/>
      <c r="J298" s="23"/>
      <c r="K298" s="24"/>
      <c r="L298" s="90"/>
      <c r="M298" s="23"/>
    </row>
    <row r="299" spans="1:13" ht="14.45">
      <c r="A299" s="23"/>
      <c r="B299" s="35"/>
      <c r="C299" s="23"/>
      <c r="D299" s="23"/>
      <c r="E299" s="23"/>
      <c r="F299" s="23"/>
      <c r="G299" s="23"/>
      <c r="H299" s="24"/>
      <c r="I299" s="23"/>
      <c r="J299" s="23"/>
      <c r="K299" s="24"/>
      <c r="L299" s="90"/>
      <c r="M299" s="23"/>
    </row>
    <row r="300" spans="1:13" ht="14.45">
      <c r="A300" s="23"/>
      <c r="B300" s="35"/>
      <c r="C300" s="23"/>
      <c r="D300" s="23"/>
      <c r="E300" s="23"/>
      <c r="F300" s="23"/>
      <c r="G300" s="23"/>
      <c r="H300" s="24"/>
      <c r="I300" s="23"/>
      <c r="J300" s="23"/>
      <c r="K300" s="24"/>
      <c r="L300" s="90"/>
      <c r="M300" s="23"/>
    </row>
    <row r="301" spans="1:13" ht="14.45">
      <c r="A301" s="23"/>
      <c r="B301" s="35"/>
      <c r="C301" s="23"/>
      <c r="D301" s="23"/>
      <c r="E301" s="23"/>
      <c r="F301" s="23"/>
      <c r="G301" s="23"/>
      <c r="H301" s="24"/>
      <c r="I301" s="23"/>
      <c r="J301" s="23"/>
      <c r="K301" s="24"/>
      <c r="L301" s="90"/>
      <c r="M301" s="23"/>
    </row>
    <row r="302" spans="1:13" ht="14.45">
      <c r="A302" s="23"/>
      <c r="B302" s="35"/>
      <c r="C302" s="23"/>
      <c r="D302" s="23"/>
      <c r="E302" s="23"/>
      <c r="F302" s="23"/>
      <c r="G302" s="23"/>
      <c r="H302" s="24"/>
      <c r="I302" s="23"/>
      <c r="J302" s="23"/>
      <c r="K302" s="24"/>
      <c r="L302" s="90"/>
      <c r="M302" s="23"/>
    </row>
    <row r="303" spans="1:13" ht="14.45">
      <c r="A303" s="23"/>
      <c r="B303" s="35"/>
      <c r="C303" s="23"/>
      <c r="D303" s="23"/>
      <c r="E303" s="23"/>
      <c r="F303" s="23"/>
      <c r="G303" s="23"/>
      <c r="H303" s="24"/>
      <c r="I303" s="23"/>
      <c r="J303" s="23"/>
      <c r="K303" s="24"/>
      <c r="L303" s="90"/>
      <c r="M303" s="23"/>
    </row>
    <row r="304" spans="1:13" ht="14.45">
      <c r="A304" s="23"/>
      <c r="B304" s="35"/>
      <c r="C304" s="23"/>
      <c r="D304" s="23"/>
      <c r="E304" s="23"/>
      <c r="F304" s="23"/>
      <c r="G304" s="23"/>
      <c r="H304" s="24"/>
      <c r="I304" s="23"/>
      <c r="J304" s="23"/>
      <c r="K304" s="24"/>
      <c r="L304" s="90"/>
      <c r="M304" s="23"/>
    </row>
    <row r="305" spans="1:13" ht="14.45">
      <c r="A305" s="23"/>
      <c r="B305" s="35"/>
      <c r="C305" s="23"/>
      <c r="D305" s="23"/>
      <c r="E305" s="23"/>
      <c r="F305" s="23"/>
      <c r="G305" s="23"/>
      <c r="H305" s="24"/>
      <c r="I305" s="23"/>
      <c r="J305" s="23"/>
      <c r="K305" s="24"/>
      <c r="L305" s="90"/>
      <c r="M305" s="23"/>
    </row>
    <row r="306" spans="1:13" ht="14.45">
      <c r="A306" s="23"/>
      <c r="B306" s="35"/>
      <c r="C306" s="23"/>
      <c r="D306" s="23"/>
      <c r="E306" s="23"/>
      <c r="F306" s="23"/>
      <c r="G306" s="23"/>
      <c r="H306" s="24"/>
      <c r="I306" s="23"/>
      <c r="J306" s="23"/>
      <c r="K306" s="24"/>
      <c r="L306" s="90"/>
      <c r="M306" s="23"/>
    </row>
    <row r="307" spans="1:13" ht="14.45">
      <c r="A307" s="23"/>
      <c r="B307" s="35"/>
      <c r="C307" s="23"/>
      <c r="D307" s="23"/>
      <c r="E307" s="23"/>
      <c r="F307" s="23"/>
      <c r="G307" s="23"/>
      <c r="H307" s="24"/>
      <c r="I307" s="23"/>
      <c r="J307" s="23"/>
      <c r="K307" s="24"/>
      <c r="L307" s="90"/>
      <c r="M307" s="23"/>
    </row>
    <row r="308" spans="1:13" ht="14.45">
      <c r="A308" s="23"/>
      <c r="B308" s="35"/>
      <c r="C308" s="23"/>
      <c r="D308" s="23"/>
      <c r="E308" s="23"/>
      <c r="F308" s="23"/>
      <c r="G308" s="23"/>
      <c r="H308" s="24"/>
      <c r="I308" s="23"/>
      <c r="J308" s="23"/>
      <c r="K308" s="24"/>
      <c r="L308" s="90"/>
      <c r="M308" s="23"/>
    </row>
    <row r="309" spans="1:13" ht="14.45">
      <c r="A309" s="23"/>
      <c r="B309" s="35"/>
      <c r="C309" s="23"/>
      <c r="D309" s="23"/>
      <c r="E309" s="23"/>
      <c r="F309" s="23"/>
      <c r="G309" s="23"/>
      <c r="H309" s="24"/>
      <c r="I309" s="23"/>
      <c r="J309" s="23"/>
      <c r="K309" s="24"/>
      <c r="L309" s="90"/>
      <c r="M309" s="23"/>
    </row>
    <row r="310" spans="1:13" ht="14.45">
      <c r="A310" s="23"/>
      <c r="B310" s="35"/>
      <c r="C310" s="23"/>
      <c r="D310" s="23"/>
      <c r="E310" s="23"/>
      <c r="F310" s="23"/>
      <c r="G310" s="23"/>
      <c r="H310" s="24"/>
      <c r="I310" s="23"/>
      <c r="J310" s="23"/>
      <c r="K310" s="24"/>
      <c r="L310" s="90"/>
      <c r="M310" s="23"/>
    </row>
    <row r="311" spans="1:13" ht="14.45">
      <c r="A311" s="23"/>
      <c r="B311" s="35"/>
      <c r="C311" s="23"/>
      <c r="D311" s="23"/>
      <c r="E311" s="23"/>
      <c r="F311" s="23"/>
      <c r="G311" s="23"/>
      <c r="H311" s="24"/>
      <c r="I311" s="23"/>
      <c r="J311" s="23"/>
      <c r="K311" s="24"/>
      <c r="L311" s="90"/>
      <c r="M311" s="23"/>
    </row>
    <row r="312" spans="1:13" ht="14.45">
      <c r="A312" s="23"/>
      <c r="B312" s="35"/>
      <c r="C312" s="23"/>
      <c r="D312" s="23"/>
      <c r="E312" s="23"/>
      <c r="F312" s="23"/>
      <c r="G312" s="23"/>
      <c r="H312" s="24"/>
      <c r="I312" s="23"/>
      <c r="J312" s="23"/>
      <c r="K312" s="24"/>
      <c r="L312" s="90"/>
      <c r="M312" s="23"/>
    </row>
    <row r="313" spans="1:13" ht="14.45">
      <c r="A313" s="23"/>
      <c r="B313" s="35"/>
      <c r="C313" s="23"/>
      <c r="D313" s="23"/>
      <c r="E313" s="23"/>
      <c r="F313" s="23"/>
      <c r="G313" s="23"/>
      <c r="H313" s="24"/>
      <c r="I313" s="23"/>
      <c r="J313" s="23"/>
      <c r="K313" s="24"/>
      <c r="L313" s="90"/>
      <c r="M313" s="23"/>
    </row>
    <row r="314" spans="1:13" ht="14.45">
      <c r="A314" s="23"/>
      <c r="B314" s="35"/>
      <c r="C314" s="23"/>
      <c r="D314" s="23"/>
      <c r="E314" s="23"/>
      <c r="F314" s="23"/>
      <c r="G314" s="23"/>
      <c r="H314" s="24"/>
      <c r="I314" s="23"/>
      <c r="J314" s="23"/>
      <c r="K314" s="24"/>
      <c r="L314" s="90"/>
      <c r="M314" s="23"/>
    </row>
    <row r="315" spans="1:13" ht="14.45">
      <c r="A315" s="23"/>
      <c r="B315" s="35"/>
      <c r="C315" s="23"/>
      <c r="D315" s="23"/>
      <c r="E315" s="23"/>
      <c r="F315" s="23"/>
      <c r="G315" s="23"/>
      <c r="H315" s="24"/>
      <c r="I315" s="23"/>
      <c r="J315" s="23"/>
      <c r="K315" s="24"/>
      <c r="L315" s="90"/>
      <c r="M315" s="23"/>
    </row>
    <row r="316" spans="1:13" ht="14.45">
      <c r="A316" s="23"/>
      <c r="B316" s="35"/>
      <c r="C316" s="23"/>
      <c r="D316" s="23"/>
      <c r="E316" s="23"/>
      <c r="F316" s="23"/>
      <c r="G316" s="23"/>
      <c r="H316" s="24"/>
      <c r="I316" s="23"/>
      <c r="J316" s="23"/>
      <c r="K316" s="24"/>
      <c r="L316" s="90"/>
      <c r="M316" s="23"/>
    </row>
    <row r="317" spans="1:13" ht="14.45">
      <c r="A317" s="23"/>
      <c r="B317" s="35"/>
      <c r="C317" s="23"/>
      <c r="D317" s="23"/>
      <c r="E317" s="23"/>
      <c r="F317" s="23"/>
      <c r="G317" s="23"/>
      <c r="H317" s="24"/>
      <c r="I317" s="23"/>
      <c r="J317" s="23"/>
      <c r="K317" s="24"/>
      <c r="L317" s="90"/>
      <c r="M317" s="23"/>
    </row>
    <row r="318" spans="1:13" ht="14.45">
      <c r="A318" s="23"/>
      <c r="B318" s="35"/>
      <c r="C318" s="23"/>
      <c r="D318" s="23"/>
      <c r="E318" s="23"/>
      <c r="F318" s="23"/>
      <c r="G318" s="23"/>
      <c r="H318" s="24"/>
      <c r="I318" s="23"/>
      <c r="J318" s="23"/>
      <c r="K318" s="24"/>
      <c r="L318" s="90"/>
      <c r="M318" s="23"/>
    </row>
    <row r="319" spans="1:13" ht="14.45">
      <c r="A319" s="23"/>
      <c r="B319" s="35"/>
      <c r="C319" s="23"/>
      <c r="D319" s="23"/>
      <c r="E319" s="23"/>
      <c r="F319" s="23"/>
      <c r="G319" s="23"/>
      <c r="H319" s="24"/>
      <c r="I319" s="23"/>
      <c r="J319" s="23"/>
      <c r="K319" s="24"/>
      <c r="L319" s="90"/>
      <c r="M319" s="23"/>
    </row>
    <row r="320" spans="1:13" ht="14.45">
      <c r="A320" s="23"/>
      <c r="B320" s="35"/>
      <c r="C320" s="23"/>
      <c r="D320" s="23"/>
      <c r="E320" s="23"/>
      <c r="F320" s="23"/>
      <c r="G320" s="23"/>
      <c r="H320" s="24"/>
      <c r="I320" s="23"/>
      <c r="J320" s="23"/>
      <c r="K320" s="24"/>
      <c r="L320" s="90"/>
      <c r="M320" s="23"/>
    </row>
    <row r="321" spans="1:13" ht="14.45">
      <c r="A321" s="23"/>
      <c r="B321" s="35"/>
      <c r="C321" s="23"/>
      <c r="D321" s="23"/>
      <c r="E321" s="23"/>
      <c r="F321" s="23"/>
      <c r="G321" s="23"/>
      <c r="H321" s="24"/>
      <c r="I321" s="23"/>
      <c r="J321" s="23"/>
      <c r="K321" s="24"/>
      <c r="L321" s="90"/>
      <c r="M321" s="23"/>
    </row>
    <row r="322" spans="1:13" ht="14.45">
      <c r="A322" s="23"/>
      <c r="B322" s="35"/>
      <c r="C322" s="23"/>
      <c r="D322" s="23"/>
      <c r="E322" s="23"/>
      <c r="F322" s="23"/>
      <c r="G322" s="23"/>
      <c r="H322" s="24"/>
      <c r="I322" s="23"/>
      <c r="J322" s="23"/>
      <c r="K322" s="24"/>
      <c r="L322" s="90"/>
      <c r="M322" s="23"/>
    </row>
    <row r="323" spans="1:13" ht="14.45">
      <c r="A323" s="23"/>
      <c r="B323" s="35"/>
      <c r="C323" s="23"/>
      <c r="D323" s="23"/>
      <c r="E323" s="23"/>
      <c r="F323" s="23"/>
      <c r="G323" s="23"/>
      <c r="H323" s="24"/>
      <c r="I323" s="23"/>
      <c r="J323" s="23"/>
      <c r="K323" s="24"/>
      <c r="L323" s="90"/>
      <c r="M323" s="23"/>
    </row>
    <row r="324" spans="1:13" ht="14.45">
      <c r="A324" s="23"/>
      <c r="B324" s="35"/>
      <c r="C324" s="23"/>
      <c r="F324" s="23"/>
      <c r="G324" s="23"/>
      <c r="H324" s="24"/>
      <c r="I324" s="23"/>
      <c r="J324" s="23"/>
      <c r="K324" s="24"/>
      <c r="L324" s="90"/>
      <c r="M324" s="23"/>
    </row>
    <row r="325" spans="1:13" ht="14.45">
      <c r="A325" s="23"/>
      <c r="B325" s="35"/>
      <c r="C325" s="23"/>
      <c r="F325" s="23"/>
      <c r="G325" s="23"/>
      <c r="H325" s="24"/>
      <c r="I325" s="23"/>
      <c r="J325" s="23"/>
      <c r="K325" s="24"/>
      <c r="L325" s="90"/>
      <c r="M325" s="23"/>
    </row>
    <row r="326" spans="1:13" ht="14.45">
      <c r="A326" s="23"/>
      <c r="B326" s="35"/>
      <c r="C326" s="23"/>
      <c r="F326" s="23"/>
      <c r="G326" s="23"/>
      <c r="H326" s="24"/>
      <c r="I326" s="23"/>
      <c r="J326" s="23"/>
      <c r="K326" s="24"/>
      <c r="L326" s="90"/>
      <c r="M326" s="23"/>
    </row>
    <row r="327" spans="1:13" ht="14.45">
      <c r="A327" s="23"/>
      <c r="B327" s="35"/>
      <c r="C327" s="23"/>
      <c r="F327" s="23"/>
      <c r="G327" s="23"/>
      <c r="H327" s="24"/>
      <c r="I327" s="23"/>
      <c r="J327" s="23"/>
      <c r="K327" s="24"/>
      <c r="L327" s="90"/>
      <c r="M327" s="23"/>
    </row>
    <row r="328" spans="1:13" ht="14.45">
      <c r="A328" s="23"/>
      <c r="B328" s="35"/>
      <c r="C328" s="23"/>
      <c r="F328" s="23"/>
      <c r="G328" s="23"/>
      <c r="H328" s="24"/>
      <c r="I328" s="23"/>
      <c r="J328" s="23"/>
      <c r="K328" s="24"/>
      <c r="L328" s="90"/>
      <c r="M328" s="23"/>
    </row>
    <row r="329" spans="1:13" ht="14.45">
      <c r="A329" s="23"/>
      <c r="B329" s="35"/>
      <c r="C329" s="23"/>
      <c r="F329" s="23"/>
      <c r="G329" s="23"/>
      <c r="H329" s="24"/>
      <c r="I329" s="23"/>
      <c r="J329" s="23"/>
      <c r="K329" s="24"/>
      <c r="L329" s="90"/>
      <c r="M329" s="23"/>
    </row>
    <row r="330" spans="1:13" ht="14.45">
      <c r="A330" s="23"/>
      <c r="B330" s="35"/>
      <c r="C330" s="23"/>
      <c r="F330" s="23"/>
      <c r="G330" s="23"/>
      <c r="H330" s="24"/>
      <c r="I330" s="23"/>
      <c r="J330" s="23"/>
      <c r="K330" s="24"/>
      <c r="L330" s="90"/>
      <c r="M330" s="23"/>
    </row>
    <row r="331" spans="1:13" ht="14.45">
      <c r="A331" s="23"/>
      <c r="B331" s="35"/>
      <c r="C331" s="23"/>
      <c r="F331" s="23"/>
      <c r="G331" s="23"/>
      <c r="H331" s="24"/>
      <c r="I331" s="23"/>
      <c r="J331" s="23"/>
      <c r="K331" s="24"/>
      <c r="L331" s="90"/>
      <c r="M331" s="23"/>
    </row>
    <row r="332" spans="1:13" ht="14.45">
      <c r="A332" s="23"/>
      <c r="B332" s="35"/>
      <c r="C332" s="23"/>
      <c r="F332" s="23"/>
      <c r="G332" s="23"/>
      <c r="H332" s="24"/>
      <c r="I332" s="23"/>
      <c r="J332" s="23"/>
      <c r="K332" s="24"/>
      <c r="L332" s="90"/>
      <c r="M332" s="23"/>
    </row>
    <row r="333" spans="1:13" ht="14.45">
      <c r="A333" s="23"/>
      <c r="B333" s="35"/>
      <c r="C333" s="23"/>
      <c r="F333" s="23"/>
      <c r="G333" s="23"/>
      <c r="H333" s="24"/>
      <c r="I333" s="23"/>
      <c r="J333" s="23"/>
      <c r="K333" s="24"/>
      <c r="L333" s="90"/>
      <c r="M333" s="23"/>
    </row>
    <row r="334" spans="1:13" ht="14.45">
      <c r="A334" s="23"/>
      <c r="B334" s="35"/>
      <c r="C334" s="23"/>
      <c r="F334" s="23"/>
      <c r="G334" s="23"/>
      <c r="H334" s="24"/>
      <c r="I334" s="23"/>
      <c r="J334" s="23"/>
      <c r="K334" s="24"/>
      <c r="L334" s="90"/>
      <c r="M334" s="23"/>
    </row>
    <row r="335" spans="1:13" ht="14.45">
      <c r="A335" s="23"/>
      <c r="B335" s="35"/>
      <c r="C335" s="23"/>
      <c r="F335" s="23"/>
      <c r="G335" s="23"/>
      <c r="H335" s="24"/>
      <c r="I335" s="23"/>
      <c r="J335" s="23"/>
      <c r="K335" s="24"/>
      <c r="L335" s="90"/>
      <c r="M335" s="23"/>
    </row>
    <row r="336" spans="1:13" ht="14.45">
      <c r="A336" s="23"/>
      <c r="B336" s="35"/>
      <c r="C336" s="23"/>
      <c r="F336" s="23"/>
      <c r="G336" s="23"/>
      <c r="H336" s="24"/>
      <c r="I336" s="23"/>
      <c r="J336" s="23"/>
      <c r="K336" s="24"/>
      <c r="L336" s="90"/>
      <c r="M336" s="23"/>
    </row>
    <row r="337" spans="1:13" ht="14.45">
      <c r="A337" s="23"/>
      <c r="B337" s="35"/>
      <c r="C337" s="23"/>
      <c r="F337" s="23"/>
      <c r="G337" s="23"/>
      <c r="H337" s="24"/>
      <c r="I337" s="23"/>
      <c r="J337" s="23"/>
      <c r="K337" s="24"/>
      <c r="L337" s="90"/>
      <c r="M337" s="23"/>
    </row>
    <row r="338" spans="1:13" ht="14.45">
      <c r="A338" s="23"/>
      <c r="B338" s="35"/>
      <c r="C338" s="23"/>
      <c r="F338" s="23"/>
      <c r="G338" s="23"/>
      <c r="H338" s="24"/>
      <c r="I338" s="23"/>
      <c r="J338" s="23"/>
      <c r="K338" s="24"/>
      <c r="L338" s="90"/>
      <c r="M338" s="23"/>
    </row>
    <row r="339" spans="1:13" ht="14.45">
      <c r="A339" s="23"/>
      <c r="B339" s="35"/>
      <c r="C339" s="23"/>
      <c r="F339" s="23"/>
      <c r="G339" s="23"/>
      <c r="H339" s="24"/>
      <c r="I339" s="23"/>
      <c r="J339" s="23"/>
      <c r="K339" s="24"/>
      <c r="L339" s="90"/>
      <c r="M339" s="23"/>
    </row>
    <row r="340" spans="1:13" ht="14.45">
      <c r="A340" s="23"/>
      <c r="B340" s="35"/>
      <c r="C340" s="23"/>
      <c r="F340" s="23"/>
      <c r="G340" s="23"/>
      <c r="H340" s="24"/>
      <c r="I340" s="23"/>
      <c r="J340" s="23"/>
      <c r="K340" s="24"/>
      <c r="L340" s="90"/>
      <c r="M340" s="23"/>
    </row>
    <row r="341" spans="1:13" ht="14.45">
      <c r="A341" s="23"/>
      <c r="B341" s="35"/>
      <c r="C341" s="23"/>
      <c r="F341" s="23"/>
      <c r="G341" s="23"/>
      <c r="H341" s="24"/>
      <c r="I341" s="23"/>
      <c r="J341" s="23"/>
      <c r="K341" s="24"/>
      <c r="L341" s="90"/>
      <c r="M341" s="23"/>
    </row>
    <row r="342" spans="1:13" ht="14.45">
      <c r="C342" s="23"/>
      <c r="F342" s="23"/>
      <c r="G342" s="23"/>
      <c r="H342" s="24"/>
      <c r="I342" s="23"/>
      <c r="J342" s="23"/>
      <c r="K342" s="24"/>
      <c r="L342" s="90"/>
      <c r="M342" s="23"/>
    </row>
  </sheetData>
  <mergeCells count="4">
    <mergeCell ref="I1:K1"/>
    <mergeCell ref="A1:C1"/>
    <mergeCell ref="F1:H1"/>
    <mergeCell ref="A2:B2"/>
  </mergeCells>
  <conditionalFormatting sqref="H2 K2 H4:H100 K4:K100">
    <cfRule type="cellIs" dxfId="6" priority="1" stopIfTrue="1" operator="lessThanOrEqual">
      <formula>-0.1</formula>
    </cfRule>
    <cfRule type="expression" dxfId="5" priority="2">
      <formula>AND(ISNUMBER(H2), H2&gt;=0.1)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M342"/>
  <sheetViews>
    <sheetView zoomScale="50" zoomScaleNormal="50" workbookViewId="0">
      <pane ySplit="2" topLeftCell="A3" activePane="bottomLeft" state="frozen"/>
      <selection pane="bottomLeft" activeCell="M45" sqref="M45"/>
      <selection activeCell="M45" sqref="M45"/>
    </sheetView>
  </sheetViews>
  <sheetFormatPr defaultRowHeight="13.9"/>
  <cols>
    <col min="1" max="1" width="35.85546875" bestFit="1" customWidth="1"/>
    <col min="2" max="2" width="8.42578125" style="36" customWidth="1"/>
    <col min="3" max="3" width="11.7109375" customWidth="1"/>
    <col min="4" max="4" width="13.5703125" customWidth="1"/>
    <col min="5" max="5" width="11.7109375" customWidth="1"/>
    <col min="6" max="7" width="13.28515625" customWidth="1"/>
    <col min="8" max="8" width="13.28515625" style="1" customWidth="1"/>
    <col min="9" max="10" width="13.28515625" customWidth="1"/>
    <col min="11" max="11" width="13.28515625" style="1" customWidth="1"/>
    <col min="12" max="12" width="71.5703125" customWidth="1"/>
    <col min="13" max="13" width="20.5703125" bestFit="1" customWidth="1"/>
  </cols>
  <sheetData>
    <row r="1" spans="1:13" ht="29.25" customHeight="1" thickBot="1">
      <c r="A1" s="129" t="str" cm="1">
        <f t="array" ref="A1">portfolio</f>
        <v>CITI</v>
      </c>
      <c r="B1" s="129"/>
      <c r="C1" s="129"/>
      <c r="D1" s="74" t="s">
        <v>0</v>
      </c>
      <c r="E1" s="75" t="s">
        <v>1</v>
      </c>
      <c r="F1" s="130" t="s">
        <v>212</v>
      </c>
      <c r="G1" s="130"/>
      <c r="H1" s="130"/>
      <c r="I1" s="128" t="s">
        <v>213</v>
      </c>
      <c r="J1" s="128"/>
      <c r="K1" s="128"/>
      <c r="L1" s="5"/>
      <c r="M1" s="5"/>
    </row>
    <row r="2" spans="1:13" ht="19.5" customHeight="1">
      <c r="A2" s="131" t="s">
        <v>4</v>
      </c>
      <c r="B2" s="131"/>
      <c r="C2" s="6">
        <f>SUM(C4:C100)</f>
        <v>0</v>
      </c>
      <c r="D2" s="6">
        <f>SUM(D3:D22)</f>
        <v>0</v>
      </c>
      <c r="E2" s="68" t="e">
        <f>C2/D2</f>
        <v>#DIV/0!</v>
      </c>
      <c r="F2" s="6">
        <f>SUM(F4:F100)</f>
        <v>0</v>
      </c>
      <c r="G2" s="6">
        <f>C2-F2</f>
        <v>0</v>
      </c>
      <c r="H2" s="7">
        <f>IFERROR(G2/F2, 0)</f>
        <v>0</v>
      </c>
      <c r="I2" s="6">
        <f>SUM(I4:I100)</f>
        <v>0</v>
      </c>
      <c r="J2" s="8">
        <f>C2-I2</f>
        <v>0</v>
      </c>
      <c r="K2" s="7">
        <f>IFERROR(J2/I2, 0)</f>
        <v>0</v>
      </c>
      <c r="L2" s="28"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M2" s="5"/>
    </row>
    <row r="3" spans="1:13" ht="14.25" customHeight="1">
      <c r="A3" s="9" t="s">
        <v>5</v>
      </c>
      <c r="B3" s="9" t="s">
        <v>6</v>
      </c>
      <c r="C3" s="25" t="s">
        <v>7</v>
      </c>
      <c r="D3" s="69"/>
      <c r="E3" s="70"/>
      <c r="F3" s="49" t="s">
        <v>8</v>
      </c>
      <c r="G3" s="49" t="s">
        <v>9</v>
      </c>
      <c r="H3" s="50" t="s">
        <v>10</v>
      </c>
      <c r="I3" s="51" t="s">
        <v>11</v>
      </c>
      <c r="J3" s="52" t="s">
        <v>9</v>
      </c>
      <c r="K3" s="53" t="s">
        <v>10</v>
      </c>
      <c r="L3" s="27" t="s">
        <v>22</v>
      </c>
      <c r="M3" s="27" t="s">
        <v>23</v>
      </c>
    </row>
    <row r="4" spans="1:13" ht="15.6">
      <c r="A4" s="34" t="str" cm="1">
        <f t="array" ref="A4:A23">Sites[Site]</f>
        <v>CA: Antioch Deer Valley - Citi</v>
      </c>
      <c r="B4" s="31" t="str" cm="1">
        <f t="array" ref="B4:B23">Sites[State]</f>
        <v>CA</v>
      </c>
      <c r="C4" s="26"/>
      <c r="D4" s="71"/>
      <c r="E4" s="82" t="e">
        <f t="shared" ref="E4:E22" si="0">C4/D4</f>
        <v>#DIV/0!</v>
      </c>
      <c r="F4" s="14"/>
      <c r="G4" s="14"/>
      <c r="H4" s="15" t="str">
        <f>IFERROR(G4/F4, "")</f>
        <v/>
      </c>
      <c r="I4" s="16"/>
      <c r="J4" s="16"/>
      <c r="K4" s="17" t="str">
        <f>IFERROR(J4/I4, "")</f>
        <v/>
      </c>
      <c r="L4" s="58"/>
      <c r="M4" s="58"/>
    </row>
    <row r="5" spans="1:13" ht="15.6">
      <c r="A5" s="32" t="str">
        <v>CA: Antioch MC CUP - Citi</v>
      </c>
      <c r="B5" s="33" t="str">
        <v>CA</v>
      </c>
      <c r="C5" s="12"/>
      <c r="D5" s="12"/>
      <c r="E5" s="80" t="e">
        <f t="shared" si="0"/>
        <v>#DIV/0!</v>
      </c>
      <c r="F5" s="20"/>
      <c r="G5" s="20"/>
      <c r="H5" s="21" t="str">
        <f>IFERROR(G5/F5, "")</f>
        <v/>
      </c>
      <c r="I5" s="22"/>
      <c r="J5" s="22"/>
      <c r="K5" s="21" t="str">
        <f t="shared" ref="K5:K15" si="1">IFERROR(J5/I5, "")</f>
        <v/>
      </c>
      <c r="L5" s="59"/>
      <c r="M5" s="93"/>
    </row>
    <row r="6" spans="1:13" ht="15.6">
      <c r="A6" s="30" t="str">
        <v>CA: Clovis - Citi</v>
      </c>
      <c r="B6" s="31" t="str">
        <v>CA</v>
      </c>
      <c r="C6" s="26"/>
      <c r="D6" s="71"/>
      <c r="E6" s="82" t="e">
        <f t="shared" si="0"/>
        <v>#DIV/0!</v>
      </c>
      <c r="F6" s="14"/>
      <c r="G6" s="14"/>
      <c r="H6" s="15" t="str">
        <f t="shared" ref="H6:H15" si="2">IFERROR(G6/F6, "")</f>
        <v/>
      </c>
      <c r="I6" s="16"/>
      <c r="J6" s="16"/>
      <c r="K6" s="17" t="str">
        <f t="shared" si="1"/>
        <v/>
      </c>
      <c r="L6" s="58"/>
      <c r="M6" s="58"/>
    </row>
    <row r="7" spans="1:13" ht="15.6">
      <c r="A7" s="32" t="str">
        <v>CA: Elk Grove MOB - Citi</v>
      </c>
      <c r="B7" s="33" t="str">
        <v>CA</v>
      </c>
      <c r="C7" s="12"/>
      <c r="D7" s="12"/>
      <c r="E7" s="80" t="e">
        <f t="shared" si="0"/>
        <v>#DIV/0!</v>
      </c>
      <c r="F7" s="20"/>
      <c r="G7" s="20"/>
      <c r="H7" s="21" t="str">
        <f t="shared" si="2"/>
        <v/>
      </c>
      <c r="I7" s="22"/>
      <c r="J7" s="22"/>
      <c r="K7" s="21" t="str">
        <f t="shared" si="1"/>
        <v/>
      </c>
      <c r="L7" s="59"/>
      <c r="M7" s="93"/>
    </row>
    <row r="8" spans="1:13" ht="15.6">
      <c r="A8" s="30" t="str">
        <v>CA: Elk Grove Promenade - Citi</v>
      </c>
      <c r="B8" s="31" t="str">
        <v>CA</v>
      </c>
      <c r="C8" s="26"/>
      <c r="D8" s="71"/>
      <c r="E8" s="82" t="e">
        <f t="shared" si="0"/>
        <v>#DIV/0!</v>
      </c>
      <c r="F8" s="14"/>
      <c r="G8" s="14"/>
      <c r="H8" s="15" t="str">
        <f t="shared" si="2"/>
        <v/>
      </c>
      <c r="I8" s="16"/>
      <c r="J8" s="16"/>
      <c r="K8" s="17" t="str">
        <f t="shared" si="1"/>
        <v/>
      </c>
      <c r="L8" s="58"/>
      <c r="M8" s="58"/>
    </row>
    <row r="9" spans="1:13" ht="15.6">
      <c r="A9" s="32" t="str">
        <v>CA: Fresno Sequioa - Citi</v>
      </c>
      <c r="B9" s="33" t="str">
        <v>CA</v>
      </c>
      <c r="C9" s="12"/>
      <c r="D9" s="12"/>
      <c r="E9" s="80" t="e">
        <f t="shared" si="0"/>
        <v>#DIV/0!</v>
      </c>
      <c r="F9" s="20"/>
      <c r="G9" s="20"/>
      <c r="H9" s="21" t="str">
        <f t="shared" si="2"/>
        <v/>
      </c>
      <c r="I9" s="22"/>
      <c r="J9" s="22"/>
      <c r="K9" s="21" t="str">
        <f t="shared" si="1"/>
        <v/>
      </c>
      <c r="L9" s="59"/>
      <c r="M9" s="93"/>
    </row>
    <row r="10" spans="1:13" ht="15.6">
      <c r="A10" s="30" t="str">
        <v>CA: Fresno MOB - Citi</v>
      </c>
      <c r="B10" s="31" t="str">
        <v>CA</v>
      </c>
      <c r="C10" s="26"/>
      <c r="D10" s="71"/>
      <c r="E10" s="82" t="e">
        <f t="shared" si="0"/>
        <v>#DIV/0!</v>
      </c>
      <c r="F10" s="14"/>
      <c r="G10" s="14"/>
      <c r="H10" s="15" t="str">
        <f t="shared" si="2"/>
        <v/>
      </c>
      <c r="I10" s="16"/>
      <c r="J10" s="16"/>
      <c r="K10" s="17" t="str">
        <f t="shared" si="1"/>
        <v/>
      </c>
      <c r="L10" s="58"/>
      <c r="M10" s="58"/>
    </row>
    <row r="11" spans="1:13" ht="81" customHeight="1">
      <c r="A11" s="32" t="str">
        <v>CA: Modesto Bangs - Citi</v>
      </c>
      <c r="B11" s="33" t="str">
        <v>CA</v>
      </c>
      <c r="C11" s="12"/>
      <c r="D11" s="12"/>
      <c r="E11" s="80" t="e">
        <f t="shared" si="0"/>
        <v>#DIV/0!</v>
      </c>
      <c r="F11" s="20"/>
      <c r="G11" s="20"/>
      <c r="H11" s="21" t="str">
        <f t="shared" si="2"/>
        <v/>
      </c>
      <c r="I11" s="22"/>
      <c r="J11" s="22"/>
      <c r="K11" s="21" t="str">
        <f t="shared" si="1"/>
        <v/>
      </c>
      <c r="L11" s="66"/>
      <c r="M11" s="97"/>
    </row>
    <row r="12" spans="1:13" ht="15.6">
      <c r="A12" s="30" t="str">
        <v>CA: Napa Data Center - Citi</v>
      </c>
      <c r="B12" s="31" t="str">
        <v>CA</v>
      </c>
      <c r="C12" s="26"/>
      <c r="D12" s="71"/>
      <c r="E12" s="82" t="e">
        <f t="shared" si="0"/>
        <v>#DIV/0!</v>
      </c>
      <c r="F12" s="14"/>
      <c r="G12" s="14"/>
      <c r="H12" s="15" t="str">
        <f t="shared" si="2"/>
        <v/>
      </c>
      <c r="I12" s="16"/>
      <c r="J12" s="16"/>
      <c r="K12" s="17" t="str">
        <f t="shared" si="1"/>
        <v/>
      </c>
      <c r="L12" s="58"/>
      <c r="M12" s="58"/>
    </row>
    <row r="13" spans="1:13" ht="15.6">
      <c r="A13" s="32" t="str">
        <v>CA: Petaluma MOB - Citi</v>
      </c>
      <c r="B13" s="33" t="str">
        <v>CA</v>
      </c>
      <c r="C13" s="12"/>
      <c r="D13" s="12"/>
      <c r="E13" s="80" t="e">
        <f t="shared" si="0"/>
        <v>#DIV/0!</v>
      </c>
      <c r="F13" s="20"/>
      <c r="G13" s="20"/>
      <c r="H13" s="21" t="str">
        <f t="shared" si="2"/>
        <v/>
      </c>
      <c r="I13" s="22"/>
      <c r="J13" s="22"/>
      <c r="K13" s="21" t="str">
        <f t="shared" si="1"/>
        <v/>
      </c>
      <c r="L13" s="59"/>
      <c r="M13" s="92"/>
    </row>
    <row r="14" spans="1:13" ht="15.6">
      <c r="A14" s="30" t="str">
        <v>CA: Pleasanton Tec Ctr - Citi</v>
      </c>
      <c r="B14" s="31" t="str">
        <v>CA</v>
      </c>
      <c r="C14" s="26"/>
      <c r="D14" s="71"/>
      <c r="E14" s="82" t="e">
        <f t="shared" si="0"/>
        <v>#DIV/0!</v>
      </c>
      <c r="F14" s="14"/>
      <c r="G14" s="14"/>
      <c r="H14" s="15" t="str">
        <f t="shared" si="2"/>
        <v/>
      </c>
      <c r="I14" s="16"/>
      <c r="J14" s="16"/>
      <c r="K14" s="17" t="str">
        <f t="shared" si="1"/>
        <v/>
      </c>
      <c r="L14" s="58"/>
      <c r="M14" s="58"/>
    </row>
    <row r="15" spans="1:13" ht="15.6">
      <c r="A15" s="32" t="str">
        <v>CA: Rancho Cordova - Citi</v>
      </c>
      <c r="B15" s="33" t="str">
        <v>CA</v>
      </c>
      <c r="C15" s="12"/>
      <c r="D15" s="12"/>
      <c r="E15" s="80" t="e">
        <f t="shared" si="0"/>
        <v>#DIV/0!</v>
      </c>
      <c r="F15" s="20"/>
      <c r="G15" s="20"/>
      <c r="H15" s="21" t="str">
        <f t="shared" si="2"/>
        <v/>
      </c>
      <c r="I15" s="22"/>
      <c r="J15" s="22"/>
      <c r="K15" s="21" t="str">
        <f t="shared" si="1"/>
        <v/>
      </c>
      <c r="L15" s="59"/>
      <c r="M15" s="92"/>
    </row>
    <row r="16" spans="1:13" ht="15.6">
      <c r="A16" s="30" t="str">
        <v>CA: S Sacramento Wyndham - Citi</v>
      </c>
      <c r="B16" s="31" t="str">
        <v>CA</v>
      </c>
      <c r="C16" s="37"/>
      <c r="D16" s="72"/>
      <c r="E16" s="82" t="e">
        <f t="shared" si="0"/>
        <v>#DIV/0!</v>
      </c>
      <c r="F16" s="14"/>
      <c r="G16" s="14"/>
      <c r="H16" s="38" t="str">
        <f t="shared" ref="H16:H22" si="3">IFERROR(G16/F16, "")</f>
        <v/>
      </c>
      <c r="I16" s="39"/>
      <c r="J16" s="39"/>
      <c r="K16" s="40" t="str">
        <f t="shared" ref="K16:K22" si="4">IFERROR(J16/I16, "")</f>
        <v/>
      </c>
      <c r="L16" s="67"/>
      <c r="M16" s="67"/>
    </row>
    <row r="17" spans="1:13" ht="15.6">
      <c r="A17" s="32" t="str">
        <v>CA: Sacramento Point West - Citi</v>
      </c>
      <c r="B17" s="33" t="str">
        <v>CA</v>
      </c>
      <c r="C17" s="42"/>
      <c r="D17" s="42"/>
      <c r="E17" s="80" t="e">
        <f t="shared" si="0"/>
        <v>#DIV/0!</v>
      </c>
      <c r="F17" s="20"/>
      <c r="G17" s="20"/>
      <c r="H17" s="43" t="str">
        <f t="shared" si="3"/>
        <v/>
      </c>
      <c r="I17" s="44"/>
      <c r="J17" s="44"/>
      <c r="K17" s="43" t="str">
        <f t="shared" si="4"/>
        <v/>
      </c>
      <c r="L17" s="59"/>
      <c r="M17" s="93"/>
    </row>
    <row r="18" spans="1:13" ht="20.25" customHeight="1">
      <c r="A18" s="30" t="str">
        <v>CA: San Jose FHC - Citi</v>
      </c>
      <c r="B18" s="31" t="str">
        <v>CA</v>
      </c>
      <c r="C18" s="37"/>
      <c r="D18" s="72"/>
      <c r="E18" s="82" t="e">
        <f t="shared" si="0"/>
        <v>#DIV/0!</v>
      </c>
      <c r="F18" s="14"/>
      <c r="G18" s="14"/>
      <c r="H18" s="38" t="str">
        <f t="shared" si="3"/>
        <v/>
      </c>
      <c r="I18" s="39"/>
      <c r="J18" s="39"/>
      <c r="K18" s="40" t="str">
        <f t="shared" si="4"/>
        <v/>
      </c>
      <c r="L18" s="67"/>
      <c r="M18" s="67"/>
    </row>
    <row r="19" spans="1:13" ht="15.6">
      <c r="A19" s="32" t="str">
        <v>CA: San Jose MOB - Citi</v>
      </c>
      <c r="B19" s="33" t="str">
        <v>CA</v>
      </c>
      <c r="C19" s="42"/>
      <c r="D19" s="42"/>
      <c r="E19" s="80" t="e">
        <f t="shared" si="0"/>
        <v>#DIV/0!</v>
      </c>
      <c r="F19" s="20"/>
      <c r="G19" s="20"/>
      <c r="H19" s="43" t="str">
        <f t="shared" si="3"/>
        <v/>
      </c>
      <c r="I19" s="44"/>
      <c r="J19" s="44"/>
      <c r="K19" s="43" t="str">
        <f t="shared" si="4"/>
        <v/>
      </c>
      <c r="L19" s="66"/>
      <c r="M19" s="97"/>
    </row>
    <row r="20" spans="1:13" ht="15.6">
      <c r="A20" s="30" t="str">
        <v>CA: Selma - Citi</v>
      </c>
      <c r="B20" s="31" t="str">
        <v>CA</v>
      </c>
      <c r="C20" s="37"/>
      <c r="D20" s="72"/>
      <c r="E20" s="82" t="e">
        <f t="shared" si="0"/>
        <v>#DIV/0!</v>
      </c>
      <c r="F20" s="14"/>
      <c r="G20" s="14"/>
      <c r="H20" s="38" t="str">
        <f t="shared" si="3"/>
        <v/>
      </c>
      <c r="I20" s="39"/>
      <c r="J20" s="39"/>
      <c r="K20" s="40" t="str">
        <f t="shared" si="4"/>
        <v/>
      </c>
      <c r="L20" s="67"/>
      <c r="M20" s="67"/>
    </row>
    <row r="21" spans="1:13" ht="15.6">
      <c r="A21" s="32" t="str">
        <v>CA: Vacaville Hospital</v>
      </c>
      <c r="B21" s="33" t="str">
        <v>CA</v>
      </c>
      <c r="C21" s="42"/>
      <c r="D21" s="42"/>
      <c r="E21" s="80" t="e">
        <f t="shared" si="0"/>
        <v>#DIV/0!</v>
      </c>
      <c r="F21" s="20"/>
      <c r="G21" s="20"/>
      <c r="H21" s="43" t="str">
        <f t="shared" si="3"/>
        <v/>
      </c>
      <c r="I21" s="44"/>
      <c r="J21" s="44"/>
      <c r="K21" s="43" t="str">
        <f t="shared" si="4"/>
        <v/>
      </c>
      <c r="L21" s="66"/>
      <c r="M21" s="97"/>
    </row>
    <row r="22" spans="1:13" ht="15.6">
      <c r="A22" s="30" t="str">
        <v>CA: Manteca - KP Manteca Hospital</v>
      </c>
      <c r="B22" s="31" t="str">
        <v>CA</v>
      </c>
      <c r="C22" s="37"/>
      <c r="D22" s="72"/>
      <c r="E22" s="82" t="e">
        <f t="shared" si="0"/>
        <v>#DIV/0!</v>
      </c>
      <c r="F22" s="14"/>
      <c r="G22" s="14"/>
      <c r="H22" s="38" t="str">
        <f t="shared" si="3"/>
        <v/>
      </c>
      <c r="I22" s="39"/>
      <c r="J22" s="39"/>
      <c r="K22" s="40" t="str">
        <f t="shared" si="4"/>
        <v/>
      </c>
      <c r="L22" s="67"/>
      <c r="M22" s="67"/>
    </row>
    <row r="23" spans="1:13" ht="14.45">
      <c r="A23" s="23" t="str">
        <v>Sacramento - KP South Sacramento HSP</v>
      </c>
      <c r="B23" s="35" t="str">
        <v>CA</v>
      </c>
      <c r="C23" s="23"/>
      <c r="D23" s="23"/>
      <c r="E23" s="23"/>
      <c r="F23" s="23"/>
      <c r="G23" s="23"/>
      <c r="H23" s="23"/>
      <c r="I23" s="23"/>
      <c r="J23" s="23"/>
      <c r="K23" s="23"/>
      <c r="L23" s="23"/>
      <c r="M23" s="23"/>
    </row>
    <row r="24" spans="1:13" ht="14.45">
      <c r="A24" s="23"/>
      <c r="B24" s="35"/>
      <c r="C24" s="23"/>
      <c r="D24" s="23"/>
      <c r="E24" s="23"/>
      <c r="F24" s="23"/>
      <c r="G24" s="23"/>
      <c r="H24" s="23"/>
      <c r="I24" s="23"/>
      <c r="J24" s="23"/>
      <c r="K24" s="23"/>
      <c r="L24" s="23"/>
      <c r="M24" s="23"/>
    </row>
    <row r="25" spans="1:13" ht="14.45">
      <c r="A25" s="23"/>
      <c r="B25" s="35"/>
      <c r="C25" s="23"/>
      <c r="D25" s="23"/>
      <c r="E25" s="73"/>
      <c r="F25" s="23"/>
      <c r="G25" s="23"/>
      <c r="H25" s="23"/>
      <c r="I25" s="23"/>
      <c r="J25" s="23"/>
      <c r="K25" s="23"/>
      <c r="L25" s="23"/>
      <c r="M25" s="23"/>
    </row>
    <row r="26" spans="1:13" ht="14.45">
      <c r="A26" s="23"/>
      <c r="B26" s="35"/>
      <c r="C26" s="23"/>
      <c r="D26" s="23"/>
      <c r="E26" s="23"/>
      <c r="F26" s="23"/>
      <c r="G26" s="23"/>
      <c r="H26" s="23"/>
      <c r="I26" s="23"/>
      <c r="J26" s="23"/>
      <c r="K26" s="23"/>
      <c r="L26" s="23"/>
      <c r="M26" s="23"/>
    </row>
    <row r="27" spans="1:13" ht="14.45">
      <c r="A27" s="23"/>
      <c r="B27" s="35"/>
      <c r="C27" s="23"/>
      <c r="D27" s="23"/>
      <c r="E27" s="23"/>
      <c r="F27" s="23"/>
      <c r="G27" s="23"/>
      <c r="H27" s="23"/>
      <c r="I27" s="23"/>
      <c r="J27" s="23"/>
      <c r="K27" s="23"/>
      <c r="L27" s="23"/>
      <c r="M27" s="23"/>
    </row>
    <row r="28" spans="1:13" ht="14.45">
      <c r="A28" s="23"/>
      <c r="B28" s="35"/>
      <c r="C28" s="23"/>
      <c r="D28" s="23"/>
      <c r="E28" s="23"/>
      <c r="F28" s="23"/>
      <c r="G28" s="23"/>
      <c r="H28" s="23"/>
      <c r="I28" s="23"/>
      <c r="J28" s="23"/>
      <c r="K28" s="23"/>
      <c r="L28" s="23"/>
      <c r="M28" s="23"/>
    </row>
    <row r="29" spans="1:13" ht="14.45">
      <c r="A29" s="23"/>
      <c r="B29" s="35"/>
      <c r="C29" s="23"/>
      <c r="D29" s="23"/>
      <c r="E29" s="23"/>
      <c r="F29" s="23"/>
      <c r="G29" s="23"/>
      <c r="H29" s="23"/>
      <c r="I29" s="23"/>
      <c r="J29" s="23"/>
      <c r="K29" s="23"/>
      <c r="L29" s="23"/>
      <c r="M29" s="23"/>
    </row>
    <row r="30" spans="1:13" ht="14.45">
      <c r="A30" s="23"/>
      <c r="B30" s="35"/>
      <c r="C30" s="23"/>
      <c r="D30" s="23"/>
      <c r="E30" s="23"/>
      <c r="F30" s="23"/>
      <c r="G30" s="23"/>
      <c r="H30" s="23"/>
      <c r="I30" s="23"/>
      <c r="J30" s="23"/>
      <c r="K30" s="23"/>
      <c r="L30" s="23"/>
      <c r="M30" s="23"/>
    </row>
    <row r="31" spans="1:13" ht="14.45">
      <c r="A31" s="23"/>
      <c r="B31" s="35"/>
      <c r="C31" s="23"/>
      <c r="D31" s="23"/>
      <c r="E31" s="23"/>
      <c r="F31" s="23"/>
      <c r="G31" s="23"/>
      <c r="H31" s="23"/>
      <c r="I31" s="23"/>
      <c r="J31" s="23"/>
      <c r="K31" s="23"/>
      <c r="L31" s="23"/>
      <c r="M31" s="23"/>
    </row>
    <row r="32" spans="1:13" ht="14.45">
      <c r="A32" s="23"/>
      <c r="B32" s="35"/>
      <c r="C32" s="23"/>
      <c r="D32" s="23"/>
      <c r="E32" s="23"/>
      <c r="F32" s="23"/>
      <c r="G32" s="23"/>
      <c r="H32" s="23"/>
      <c r="I32" s="23"/>
      <c r="J32" s="23"/>
      <c r="K32" s="23"/>
      <c r="L32" s="23"/>
      <c r="M32" s="23"/>
    </row>
    <row r="33" spans="1:13" ht="14.45">
      <c r="A33" s="23"/>
      <c r="B33" s="35"/>
      <c r="C33" s="23"/>
      <c r="D33" s="23"/>
      <c r="E33" s="23"/>
      <c r="F33" s="23"/>
      <c r="G33" s="23"/>
      <c r="H33" s="24"/>
      <c r="I33" s="23"/>
      <c r="J33" s="23"/>
      <c r="K33" s="24"/>
      <c r="L33" s="23"/>
      <c r="M33" s="23"/>
    </row>
    <row r="34" spans="1:13" ht="14.45">
      <c r="A34" s="23"/>
      <c r="B34" s="35"/>
      <c r="C34" s="23"/>
      <c r="D34" s="23"/>
      <c r="E34" s="23"/>
      <c r="F34" s="23"/>
      <c r="G34" s="23"/>
      <c r="H34" s="24"/>
      <c r="I34" s="23"/>
      <c r="J34" s="23"/>
      <c r="K34" s="24"/>
      <c r="L34" s="23"/>
      <c r="M34" s="23"/>
    </row>
    <row r="35" spans="1:13" ht="14.45">
      <c r="A35" s="23"/>
      <c r="B35" s="35"/>
      <c r="C35" s="23"/>
      <c r="D35" s="23"/>
      <c r="E35" s="23"/>
      <c r="F35" s="23"/>
      <c r="G35" s="23"/>
      <c r="H35" s="24"/>
      <c r="I35" s="23"/>
      <c r="J35" s="23"/>
      <c r="K35" s="24"/>
      <c r="L35" s="23"/>
      <c r="M35" s="23"/>
    </row>
    <row r="36" spans="1:13" ht="14.45">
      <c r="A36" s="23"/>
      <c r="B36" s="35"/>
      <c r="C36" s="23"/>
      <c r="D36" s="23"/>
      <c r="E36" s="23"/>
      <c r="F36" s="23"/>
      <c r="G36" s="23"/>
      <c r="H36" s="24"/>
      <c r="I36" s="23"/>
      <c r="J36" s="23"/>
      <c r="K36" s="24"/>
      <c r="L36" s="23"/>
      <c r="M36" s="23"/>
    </row>
    <row r="37" spans="1:13" ht="14.45">
      <c r="A37" s="23"/>
      <c r="B37" s="35"/>
      <c r="C37" s="23"/>
      <c r="D37" s="23"/>
      <c r="E37" s="23"/>
      <c r="F37" s="23"/>
      <c r="G37" s="23"/>
      <c r="H37" s="24"/>
      <c r="I37" s="23"/>
      <c r="J37" s="23"/>
      <c r="K37" s="24"/>
      <c r="L37" s="23"/>
      <c r="M37" s="23"/>
    </row>
    <row r="38" spans="1:13" ht="14.45">
      <c r="A38" s="23"/>
      <c r="B38" s="35"/>
      <c r="C38" s="23"/>
      <c r="D38" s="23"/>
      <c r="E38" s="23"/>
      <c r="F38" s="23"/>
      <c r="G38" s="23"/>
      <c r="H38" s="24"/>
      <c r="I38" s="23"/>
      <c r="J38" s="23"/>
      <c r="K38" s="24"/>
      <c r="L38" s="23"/>
      <c r="M38" s="23"/>
    </row>
    <row r="39" spans="1:13" ht="14.45">
      <c r="A39" s="23"/>
      <c r="B39" s="35"/>
      <c r="C39" s="23"/>
      <c r="D39" s="23"/>
      <c r="E39" s="23"/>
      <c r="F39" s="23"/>
      <c r="G39" s="23"/>
      <c r="H39" s="24"/>
      <c r="I39" s="23"/>
      <c r="J39" s="23"/>
      <c r="K39" s="24"/>
      <c r="L39" s="23"/>
      <c r="M39" s="23"/>
    </row>
    <row r="40" spans="1:13" ht="14.45">
      <c r="A40" s="23"/>
      <c r="B40" s="35"/>
      <c r="C40" s="23"/>
      <c r="D40" s="23"/>
      <c r="E40" s="23"/>
      <c r="F40" s="23"/>
      <c r="G40" s="23"/>
      <c r="H40" s="24"/>
      <c r="I40" s="23"/>
      <c r="J40" s="23"/>
      <c r="K40" s="24"/>
      <c r="L40" s="23"/>
      <c r="M40" s="23"/>
    </row>
    <row r="41" spans="1:13" ht="14.45">
      <c r="A41" s="23"/>
      <c r="B41" s="35"/>
      <c r="C41" s="23"/>
      <c r="D41" s="23"/>
      <c r="E41" s="23"/>
      <c r="F41" s="23"/>
      <c r="G41" s="23"/>
      <c r="H41" s="24"/>
      <c r="I41" s="23"/>
      <c r="J41" s="23"/>
      <c r="K41" s="24"/>
      <c r="L41" s="23"/>
      <c r="M41" s="23"/>
    </row>
    <row r="42" spans="1:13" ht="14.45">
      <c r="A42" s="23"/>
      <c r="B42" s="35"/>
      <c r="C42" s="23"/>
      <c r="D42" s="23"/>
      <c r="E42" s="23"/>
      <c r="F42" s="23"/>
      <c r="G42" s="23"/>
      <c r="H42" s="24"/>
      <c r="I42" s="23"/>
      <c r="J42" s="23"/>
      <c r="K42" s="24"/>
      <c r="L42" s="23"/>
      <c r="M42" s="23"/>
    </row>
    <row r="43" spans="1:13" ht="14.45">
      <c r="A43" s="23"/>
      <c r="B43" s="35"/>
      <c r="C43" s="23"/>
      <c r="D43" s="23"/>
      <c r="E43" s="23"/>
      <c r="F43" s="23"/>
      <c r="G43" s="23"/>
      <c r="H43" s="24"/>
      <c r="I43" s="23"/>
      <c r="J43" s="23"/>
      <c r="K43" s="24"/>
      <c r="L43" s="23"/>
      <c r="M43" s="23"/>
    </row>
    <row r="44" spans="1:13" ht="14.45">
      <c r="A44" s="23"/>
      <c r="B44" s="35"/>
      <c r="C44" s="23"/>
      <c r="D44" s="23"/>
      <c r="E44" s="23"/>
      <c r="F44" s="23"/>
      <c r="G44" s="23"/>
      <c r="H44" s="24"/>
      <c r="I44" s="23"/>
      <c r="J44" s="23"/>
      <c r="K44" s="24"/>
      <c r="L44" s="23"/>
      <c r="M44" s="23"/>
    </row>
    <row r="45" spans="1:13" ht="14.45">
      <c r="A45" s="23"/>
      <c r="B45" s="35"/>
      <c r="C45" s="23"/>
      <c r="D45" s="23"/>
      <c r="E45" s="23"/>
      <c r="F45" s="23"/>
      <c r="G45" s="23"/>
      <c r="H45" s="24"/>
      <c r="I45" s="23"/>
      <c r="J45" s="23"/>
      <c r="K45" s="24"/>
      <c r="L45" s="23"/>
      <c r="M45" s="23"/>
    </row>
    <row r="46" spans="1:13" ht="14.45">
      <c r="A46" s="23"/>
      <c r="B46" s="35"/>
      <c r="C46" s="23"/>
      <c r="D46" s="23"/>
      <c r="E46" s="23"/>
      <c r="F46" s="23"/>
      <c r="G46" s="23"/>
      <c r="H46" s="24"/>
      <c r="I46" s="23"/>
      <c r="J46" s="23"/>
      <c r="K46" s="24"/>
      <c r="L46" s="23"/>
      <c r="M46" s="23"/>
    </row>
    <row r="47" spans="1:13" ht="14.45">
      <c r="A47" s="23"/>
      <c r="B47" s="35"/>
      <c r="C47" s="23"/>
      <c r="D47" s="23"/>
      <c r="E47" s="23"/>
      <c r="F47" s="23"/>
      <c r="G47" s="23"/>
      <c r="H47" s="24"/>
      <c r="I47" s="23"/>
      <c r="J47" s="23"/>
      <c r="K47" s="24"/>
      <c r="L47" s="23"/>
      <c r="M47" s="23"/>
    </row>
    <row r="48" spans="1:13" ht="14.45">
      <c r="A48" s="23"/>
      <c r="B48" s="35"/>
      <c r="C48" s="23"/>
      <c r="D48" s="23"/>
      <c r="E48" s="23"/>
      <c r="F48" s="23"/>
      <c r="G48" s="23"/>
      <c r="H48" s="24"/>
      <c r="I48" s="23"/>
      <c r="J48" s="23"/>
      <c r="K48" s="24"/>
      <c r="L48" s="23"/>
      <c r="M48" s="23"/>
    </row>
    <row r="49" spans="1:13" ht="14.45">
      <c r="A49" s="23"/>
      <c r="B49" s="35"/>
      <c r="C49" s="23"/>
      <c r="D49" s="23"/>
      <c r="E49" s="23"/>
      <c r="F49" s="23"/>
      <c r="G49" s="23"/>
      <c r="H49" s="24"/>
      <c r="I49" s="23"/>
      <c r="J49" s="23"/>
      <c r="K49" s="24"/>
      <c r="L49" s="23"/>
      <c r="M49" s="23"/>
    </row>
    <row r="50" spans="1:13" ht="14.45">
      <c r="A50" s="23"/>
      <c r="B50" s="35"/>
      <c r="C50" s="23"/>
      <c r="D50" s="23"/>
      <c r="E50" s="23"/>
      <c r="F50" s="23"/>
      <c r="G50" s="23"/>
      <c r="H50" s="24"/>
      <c r="I50" s="23"/>
      <c r="J50" s="23"/>
      <c r="K50" s="24"/>
      <c r="L50" s="23"/>
      <c r="M50" s="23"/>
    </row>
    <row r="51" spans="1:13" ht="14.45">
      <c r="A51" s="23"/>
      <c r="B51" s="35"/>
      <c r="C51" s="23"/>
      <c r="D51" s="23"/>
      <c r="E51" s="23"/>
      <c r="F51" s="23"/>
      <c r="G51" s="23"/>
      <c r="H51" s="24"/>
      <c r="I51" s="23"/>
      <c r="J51" s="23"/>
      <c r="K51" s="24"/>
      <c r="L51" s="23"/>
      <c r="M51" s="23"/>
    </row>
    <row r="52" spans="1:13" ht="14.45">
      <c r="A52" s="23"/>
      <c r="B52" s="35"/>
      <c r="C52" s="23"/>
      <c r="D52" s="23"/>
      <c r="E52" s="23"/>
      <c r="F52" s="23"/>
      <c r="G52" s="23"/>
      <c r="H52" s="24"/>
      <c r="I52" s="23"/>
      <c r="J52" s="23"/>
      <c r="K52" s="24"/>
      <c r="L52" s="23"/>
      <c r="M52" s="23"/>
    </row>
    <row r="53" spans="1:13" ht="14.45">
      <c r="A53" s="23"/>
      <c r="B53" s="35"/>
      <c r="C53" s="23"/>
      <c r="D53" s="23"/>
      <c r="E53" s="23"/>
      <c r="F53" s="23"/>
      <c r="G53" s="23"/>
      <c r="H53" s="24"/>
      <c r="I53" s="23"/>
      <c r="J53" s="23"/>
      <c r="K53" s="24"/>
      <c r="L53" s="23"/>
      <c r="M53" s="23"/>
    </row>
    <row r="54" spans="1:13" ht="14.45">
      <c r="A54" s="23"/>
      <c r="B54" s="35"/>
      <c r="C54" s="23"/>
      <c r="D54" s="23"/>
      <c r="E54" s="23"/>
      <c r="F54" s="23"/>
      <c r="G54" s="23"/>
      <c r="H54" s="24"/>
      <c r="I54" s="23"/>
      <c r="J54" s="23"/>
      <c r="K54" s="24"/>
      <c r="L54" s="23"/>
      <c r="M54" s="23"/>
    </row>
    <row r="55" spans="1:13" ht="14.45">
      <c r="A55" s="23"/>
      <c r="B55" s="35"/>
      <c r="C55" s="23"/>
      <c r="D55" s="23"/>
      <c r="E55" s="23"/>
      <c r="F55" s="23"/>
      <c r="G55" s="23"/>
      <c r="H55" s="24"/>
      <c r="I55" s="23"/>
      <c r="J55" s="23"/>
      <c r="K55" s="24"/>
      <c r="L55" s="23"/>
      <c r="M55" s="23"/>
    </row>
    <row r="56" spans="1:13" ht="14.45">
      <c r="A56" s="23"/>
      <c r="B56" s="35"/>
      <c r="C56" s="23"/>
      <c r="D56" s="23"/>
      <c r="E56" s="23"/>
      <c r="F56" s="23"/>
      <c r="G56" s="23"/>
      <c r="H56" s="24"/>
      <c r="I56" s="23"/>
      <c r="J56" s="23"/>
      <c r="K56" s="24"/>
      <c r="L56" s="23"/>
      <c r="M56" s="23"/>
    </row>
    <row r="57" spans="1:13" ht="14.45">
      <c r="A57" s="23"/>
      <c r="B57" s="35"/>
      <c r="C57" s="23"/>
      <c r="D57" s="23"/>
      <c r="E57" s="23"/>
      <c r="F57" s="23"/>
      <c r="G57" s="23"/>
      <c r="H57" s="24"/>
      <c r="I57" s="23"/>
      <c r="J57" s="23"/>
      <c r="K57" s="24"/>
      <c r="L57" s="23"/>
      <c r="M57" s="23"/>
    </row>
    <row r="58" spans="1:13" ht="14.45">
      <c r="A58" s="23"/>
      <c r="B58" s="35"/>
      <c r="C58" s="23"/>
      <c r="D58" s="23"/>
      <c r="E58" s="23"/>
      <c r="F58" s="23"/>
      <c r="G58" s="23"/>
      <c r="H58" s="24"/>
      <c r="I58" s="23"/>
      <c r="J58" s="23"/>
      <c r="K58" s="24"/>
      <c r="L58" s="23"/>
      <c r="M58" s="23"/>
    </row>
    <row r="59" spans="1:13" ht="14.45">
      <c r="A59" s="23"/>
      <c r="B59" s="35"/>
      <c r="C59" s="23"/>
      <c r="D59" s="23"/>
      <c r="E59" s="23"/>
      <c r="F59" s="23"/>
      <c r="G59" s="23"/>
      <c r="H59" s="24"/>
      <c r="I59" s="23"/>
      <c r="J59" s="23"/>
      <c r="K59" s="24"/>
      <c r="L59" s="23"/>
      <c r="M59" s="23"/>
    </row>
    <row r="60" spans="1:13" ht="14.45">
      <c r="A60" s="23"/>
      <c r="B60" s="35"/>
      <c r="C60" s="23"/>
      <c r="D60" s="23"/>
      <c r="E60" s="23"/>
      <c r="F60" s="23"/>
      <c r="G60" s="23"/>
      <c r="H60" s="24"/>
      <c r="I60" s="23"/>
      <c r="J60" s="23"/>
      <c r="K60" s="24"/>
      <c r="L60" s="23"/>
      <c r="M60" s="23"/>
    </row>
    <row r="61" spans="1:13" ht="14.45">
      <c r="A61" s="23"/>
      <c r="B61" s="35"/>
      <c r="C61" s="23"/>
      <c r="D61" s="23"/>
      <c r="E61" s="23"/>
      <c r="F61" s="23"/>
      <c r="G61" s="23"/>
      <c r="H61" s="24"/>
      <c r="I61" s="23"/>
      <c r="J61" s="23"/>
      <c r="K61" s="24"/>
      <c r="L61" s="23"/>
      <c r="M61" s="23"/>
    </row>
    <row r="62" spans="1:13" ht="14.45">
      <c r="A62" s="23"/>
      <c r="B62" s="35"/>
      <c r="C62" s="23"/>
      <c r="D62" s="23"/>
      <c r="E62" s="23"/>
      <c r="F62" s="23"/>
      <c r="G62" s="23"/>
      <c r="H62" s="24"/>
      <c r="I62" s="23"/>
      <c r="J62" s="23"/>
      <c r="K62" s="24"/>
      <c r="L62" s="23"/>
      <c r="M62" s="23"/>
    </row>
    <row r="63" spans="1:13" ht="14.45">
      <c r="A63" s="23"/>
      <c r="B63" s="35"/>
      <c r="C63" s="23"/>
      <c r="D63" s="23"/>
      <c r="E63" s="23"/>
      <c r="F63" s="23"/>
      <c r="G63" s="23"/>
      <c r="H63" s="24"/>
      <c r="I63" s="23"/>
      <c r="J63" s="23"/>
      <c r="K63" s="24"/>
      <c r="L63" s="23"/>
      <c r="M63" s="23"/>
    </row>
    <row r="64" spans="1:13" ht="14.45">
      <c r="A64" s="23"/>
      <c r="B64" s="35"/>
      <c r="C64" s="23"/>
      <c r="D64" s="23"/>
      <c r="E64" s="23"/>
      <c r="F64" s="23"/>
      <c r="G64" s="23"/>
      <c r="H64" s="24"/>
      <c r="I64" s="23"/>
      <c r="J64" s="23"/>
      <c r="K64" s="24"/>
      <c r="L64" s="23"/>
      <c r="M64" s="23"/>
    </row>
    <row r="65" spans="1:13" ht="14.45">
      <c r="A65" s="23"/>
      <c r="B65" s="35"/>
      <c r="C65" s="23"/>
      <c r="D65" s="23"/>
      <c r="E65" s="23"/>
      <c r="F65" s="23"/>
      <c r="G65" s="23"/>
      <c r="H65" s="24"/>
      <c r="I65" s="23"/>
      <c r="J65" s="23"/>
      <c r="K65" s="24"/>
      <c r="L65" s="23"/>
      <c r="M65" s="23"/>
    </row>
    <row r="66" spans="1:13" ht="14.45">
      <c r="A66" s="23"/>
      <c r="B66" s="35"/>
      <c r="C66" s="23"/>
      <c r="D66" s="23"/>
      <c r="E66" s="23"/>
      <c r="F66" s="23"/>
      <c r="G66" s="23"/>
      <c r="H66" s="24"/>
      <c r="I66" s="23"/>
      <c r="J66" s="23"/>
      <c r="K66" s="24"/>
      <c r="L66" s="23"/>
      <c r="M66" s="23"/>
    </row>
    <row r="67" spans="1:13" ht="14.45">
      <c r="A67" s="23"/>
      <c r="B67" s="35"/>
      <c r="C67" s="23"/>
      <c r="D67" s="23"/>
      <c r="E67" s="23"/>
      <c r="F67" s="23"/>
      <c r="G67" s="23"/>
      <c r="H67" s="24"/>
      <c r="I67" s="23"/>
      <c r="J67" s="23"/>
      <c r="K67" s="24"/>
      <c r="L67" s="23"/>
      <c r="M67" s="23"/>
    </row>
    <row r="68" spans="1:13" ht="14.45">
      <c r="A68" s="23"/>
      <c r="B68" s="35"/>
      <c r="C68" s="23"/>
      <c r="D68" s="23"/>
      <c r="E68" s="23"/>
      <c r="F68" s="23"/>
      <c r="G68" s="23"/>
      <c r="H68" s="24"/>
      <c r="I68" s="23"/>
      <c r="J68" s="23"/>
      <c r="K68" s="24"/>
      <c r="L68" s="23"/>
      <c r="M68" s="23"/>
    </row>
    <row r="69" spans="1:13" ht="14.45">
      <c r="A69" s="23"/>
      <c r="B69" s="35"/>
      <c r="C69" s="23"/>
      <c r="D69" s="23"/>
      <c r="E69" s="23"/>
      <c r="F69" s="23"/>
      <c r="G69" s="23"/>
      <c r="H69" s="24"/>
      <c r="I69" s="23"/>
      <c r="J69" s="23"/>
      <c r="K69" s="24"/>
      <c r="L69" s="23"/>
      <c r="M69" s="23"/>
    </row>
    <row r="70" spans="1:13" ht="14.45">
      <c r="A70" s="23"/>
      <c r="B70" s="35"/>
      <c r="C70" s="23"/>
      <c r="D70" s="23"/>
      <c r="E70" s="23"/>
      <c r="F70" s="23"/>
      <c r="G70" s="23"/>
      <c r="H70" s="24"/>
      <c r="I70" s="23"/>
      <c r="J70" s="23"/>
      <c r="K70" s="24"/>
      <c r="L70" s="23"/>
      <c r="M70" s="23"/>
    </row>
    <row r="71" spans="1:13" ht="14.45">
      <c r="A71" s="23"/>
      <c r="B71" s="35"/>
      <c r="C71" s="23"/>
      <c r="D71" s="23"/>
      <c r="E71" s="23"/>
      <c r="F71" s="23"/>
      <c r="G71" s="23"/>
      <c r="H71" s="24"/>
      <c r="I71" s="23"/>
      <c r="J71" s="23"/>
      <c r="K71" s="24"/>
      <c r="L71" s="23"/>
      <c r="M71" s="23"/>
    </row>
    <row r="72" spans="1:13" ht="14.45">
      <c r="A72" s="23"/>
      <c r="B72" s="35"/>
      <c r="C72" s="23"/>
      <c r="D72" s="23"/>
      <c r="E72" s="23"/>
      <c r="F72" s="23"/>
      <c r="G72" s="23"/>
      <c r="H72" s="24"/>
      <c r="I72" s="23"/>
      <c r="J72" s="23"/>
      <c r="K72" s="24"/>
      <c r="L72" s="23"/>
      <c r="M72" s="23"/>
    </row>
    <row r="73" spans="1:13" ht="14.45">
      <c r="A73" s="23"/>
      <c r="B73" s="35"/>
      <c r="C73" s="23"/>
      <c r="D73" s="23"/>
      <c r="E73" s="23"/>
      <c r="F73" s="23"/>
      <c r="G73" s="23"/>
      <c r="H73" s="24"/>
      <c r="I73" s="23"/>
      <c r="J73" s="23"/>
      <c r="K73" s="24"/>
      <c r="L73" s="23"/>
      <c r="M73" s="23"/>
    </row>
    <row r="74" spans="1:13" ht="14.45">
      <c r="A74" s="23"/>
      <c r="B74" s="35"/>
      <c r="C74" s="23"/>
      <c r="D74" s="23"/>
      <c r="E74" s="23"/>
      <c r="F74" s="23"/>
      <c r="G74" s="23"/>
      <c r="H74" s="24"/>
      <c r="I74" s="23"/>
      <c r="J74" s="23"/>
      <c r="K74" s="24"/>
      <c r="L74" s="23"/>
      <c r="M74" s="23"/>
    </row>
    <row r="75" spans="1:13" ht="14.45">
      <c r="A75" s="23"/>
      <c r="B75" s="35"/>
      <c r="C75" s="23"/>
      <c r="D75" s="23"/>
      <c r="E75" s="23"/>
      <c r="F75" s="23"/>
      <c r="G75" s="23"/>
      <c r="H75" s="24"/>
      <c r="I75" s="23"/>
      <c r="J75" s="23"/>
      <c r="K75" s="24"/>
      <c r="L75" s="23"/>
      <c r="M75" s="23"/>
    </row>
    <row r="76" spans="1:13" ht="14.45">
      <c r="A76" s="23"/>
      <c r="B76" s="35"/>
      <c r="C76" s="23"/>
      <c r="D76" s="23"/>
      <c r="E76" s="23"/>
      <c r="F76" s="23"/>
      <c r="G76" s="23"/>
      <c r="H76" s="24"/>
      <c r="I76" s="23"/>
      <c r="J76" s="23"/>
      <c r="K76" s="24"/>
      <c r="L76" s="23"/>
      <c r="M76" s="23"/>
    </row>
    <row r="77" spans="1:13" ht="14.45">
      <c r="A77" s="23"/>
      <c r="B77" s="35"/>
      <c r="C77" s="23"/>
      <c r="D77" s="23"/>
      <c r="E77" s="23"/>
      <c r="F77" s="23"/>
      <c r="G77" s="23"/>
      <c r="H77" s="24"/>
      <c r="I77" s="23"/>
      <c r="J77" s="23"/>
      <c r="K77" s="24"/>
      <c r="L77" s="23"/>
      <c r="M77" s="23"/>
    </row>
    <row r="78" spans="1:13" ht="14.45">
      <c r="A78" s="23"/>
      <c r="B78" s="35"/>
      <c r="C78" s="23"/>
      <c r="D78" s="23"/>
      <c r="E78" s="23"/>
      <c r="F78" s="23"/>
      <c r="G78" s="23"/>
      <c r="H78" s="24"/>
      <c r="I78" s="23"/>
      <c r="J78" s="23"/>
      <c r="K78" s="24"/>
      <c r="L78" s="23"/>
      <c r="M78" s="23"/>
    </row>
    <row r="79" spans="1:13" ht="14.45">
      <c r="A79" s="23"/>
      <c r="B79" s="35"/>
      <c r="C79" s="23"/>
      <c r="D79" s="23"/>
      <c r="E79" s="23"/>
      <c r="F79" s="23"/>
      <c r="G79" s="23"/>
      <c r="H79" s="24"/>
      <c r="I79" s="23"/>
      <c r="J79" s="23"/>
      <c r="K79" s="24"/>
      <c r="L79" s="23"/>
      <c r="M79" s="23"/>
    </row>
    <row r="80" spans="1:13" ht="14.45">
      <c r="A80" s="23"/>
      <c r="B80" s="35"/>
      <c r="C80" s="23"/>
      <c r="D80" s="23"/>
      <c r="E80" s="23"/>
      <c r="F80" s="23"/>
      <c r="G80" s="23"/>
      <c r="H80" s="24"/>
      <c r="I80" s="23"/>
      <c r="J80" s="23"/>
      <c r="K80" s="24"/>
      <c r="L80" s="23"/>
      <c r="M80" s="23"/>
    </row>
    <row r="81" spans="1:13" ht="14.45">
      <c r="A81" s="23"/>
      <c r="B81" s="35"/>
      <c r="C81" s="23"/>
      <c r="D81" s="23"/>
      <c r="E81" s="23"/>
      <c r="F81" s="23"/>
      <c r="G81" s="23"/>
      <c r="H81" s="24"/>
      <c r="I81" s="23"/>
      <c r="J81" s="23"/>
      <c r="K81" s="24"/>
      <c r="L81" s="23"/>
      <c r="M81" s="23"/>
    </row>
    <row r="82" spans="1:13" ht="14.45">
      <c r="A82" s="23"/>
      <c r="B82" s="35"/>
      <c r="C82" s="23"/>
      <c r="D82" s="23"/>
      <c r="E82" s="23"/>
      <c r="F82" s="23"/>
      <c r="G82" s="23"/>
      <c r="H82" s="24"/>
      <c r="I82" s="23"/>
      <c r="J82" s="23"/>
      <c r="K82" s="24"/>
      <c r="L82" s="23"/>
      <c r="M82" s="23"/>
    </row>
    <row r="83" spans="1:13" ht="14.45">
      <c r="A83" s="23"/>
      <c r="B83" s="35"/>
      <c r="C83" s="23"/>
      <c r="D83" s="23"/>
      <c r="E83" s="23"/>
      <c r="F83" s="23"/>
      <c r="G83" s="23"/>
      <c r="H83" s="24"/>
      <c r="I83" s="23"/>
      <c r="J83" s="23"/>
      <c r="K83" s="24"/>
      <c r="L83" s="23"/>
      <c r="M83" s="23"/>
    </row>
    <row r="84" spans="1:13" ht="14.45">
      <c r="A84" s="23"/>
      <c r="B84" s="35"/>
      <c r="C84" s="23"/>
      <c r="D84" s="23"/>
      <c r="E84" s="23"/>
      <c r="F84" s="23"/>
      <c r="G84" s="23"/>
      <c r="H84" s="24"/>
      <c r="I84" s="23"/>
      <c r="J84" s="23"/>
      <c r="K84" s="24"/>
      <c r="L84" s="23"/>
      <c r="M84" s="23"/>
    </row>
    <row r="85" spans="1:13" ht="14.45">
      <c r="A85" s="23"/>
      <c r="B85" s="35"/>
      <c r="C85" s="23"/>
      <c r="D85" s="23"/>
      <c r="E85" s="23"/>
      <c r="F85" s="23"/>
      <c r="G85" s="23"/>
      <c r="H85" s="24"/>
      <c r="I85" s="23"/>
      <c r="J85" s="23"/>
      <c r="K85" s="24"/>
      <c r="L85" s="23"/>
      <c r="M85" s="23"/>
    </row>
    <row r="86" spans="1:13" ht="14.45">
      <c r="A86" s="23"/>
      <c r="B86" s="35"/>
      <c r="C86" s="23"/>
      <c r="D86" s="23"/>
      <c r="E86" s="23"/>
      <c r="F86" s="23"/>
      <c r="G86" s="23"/>
      <c r="H86" s="24"/>
      <c r="I86" s="23"/>
      <c r="J86" s="23"/>
      <c r="K86" s="24"/>
      <c r="L86" s="23"/>
      <c r="M86" s="23"/>
    </row>
    <row r="87" spans="1:13" ht="14.45">
      <c r="A87" s="23"/>
      <c r="B87" s="35"/>
      <c r="C87" s="23"/>
      <c r="D87" s="23"/>
      <c r="E87" s="23"/>
      <c r="F87" s="23"/>
      <c r="G87" s="23"/>
      <c r="H87" s="24"/>
      <c r="I87" s="23"/>
      <c r="J87" s="23"/>
      <c r="K87" s="24"/>
      <c r="L87" s="23"/>
      <c r="M87" s="23"/>
    </row>
    <row r="88" spans="1:13" ht="14.45">
      <c r="A88" s="23"/>
      <c r="B88" s="35"/>
      <c r="C88" s="23"/>
      <c r="D88" s="23"/>
      <c r="E88" s="23"/>
      <c r="F88" s="23"/>
      <c r="G88" s="23"/>
      <c r="H88" s="24"/>
      <c r="I88" s="23"/>
      <c r="J88" s="23"/>
      <c r="K88" s="24"/>
      <c r="L88" s="23"/>
      <c r="M88" s="23"/>
    </row>
    <row r="89" spans="1:13" ht="14.45">
      <c r="A89" s="23"/>
      <c r="B89" s="35"/>
      <c r="C89" s="23"/>
      <c r="D89" s="23"/>
      <c r="E89" s="23"/>
      <c r="F89" s="23"/>
      <c r="G89" s="23"/>
      <c r="H89" s="24"/>
      <c r="I89" s="23"/>
      <c r="J89" s="23"/>
      <c r="K89" s="24"/>
      <c r="L89" s="23"/>
      <c r="M89" s="23"/>
    </row>
    <row r="90" spans="1:13" ht="14.45">
      <c r="A90" s="23"/>
      <c r="B90" s="35"/>
      <c r="C90" s="23"/>
      <c r="D90" s="23"/>
      <c r="E90" s="23"/>
      <c r="F90" s="23"/>
      <c r="G90" s="23"/>
      <c r="H90" s="24"/>
      <c r="I90" s="23"/>
      <c r="J90" s="23"/>
      <c r="K90" s="24"/>
      <c r="L90" s="23"/>
      <c r="M90" s="23"/>
    </row>
    <row r="91" spans="1:13" ht="14.45">
      <c r="A91" s="23"/>
      <c r="B91" s="35"/>
      <c r="C91" s="23"/>
      <c r="D91" s="23"/>
      <c r="E91" s="23"/>
      <c r="F91" s="23"/>
      <c r="G91" s="23"/>
      <c r="H91" s="24"/>
      <c r="I91" s="23"/>
      <c r="J91" s="23"/>
      <c r="K91" s="24"/>
      <c r="L91" s="23"/>
      <c r="M91" s="23"/>
    </row>
    <row r="92" spans="1:13" ht="14.45">
      <c r="A92" s="23"/>
      <c r="B92" s="35"/>
      <c r="C92" s="23"/>
      <c r="D92" s="23"/>
      <c r="E92" s="23"/>
      <c r="F92" s="23"/>
      <c r="G92" s="23"/>
      <c r="H92" s="24"/>
      <c r="I92" s="23"/>
      <c r="J92" s="23"/>
      <c r="K92" s="24"/>
      <c r="L92" s="23"/>
      <c r="M92" s="23"/>
    </row>
    <row r="93" spans="1:13" ht="14.45">
      <c r="A93" s="23"/>
      <c r="B93" s="35"/>
      <c r="C93" s="23"/>
      <c r="D93" s="23"/>
      <c r="E93" s="23"/>
      <c r="F93" s="23"/>
      <c r="G93" s="23"/>
      <c r="H93" s="24"/>
      <c r="I93" s="23"/>
      <c r="J93" s="23"/>
      <c r="K93" s="24"/>
      <c r="L93" s="23"/>
      <c r="M93" s="23"/>
    </row>
    <row r="94" spans="1:13" ht="14.45">
      <c r="A94" s="23"/>
      <c r="B94" s="35"/>
      <c r="C94" s="23"/>
      <c r="D94" s="23"/>
      <c r="E94" s="23"/>
      <c r="F94" s="23"/>
      <c r="G94" s="23"/>
      <c r="H94" s="24"/>
      <c r="I94" s="23"/>
      <c r="J94" s="23"/>
      <c r="K94" s="24"/>
      <c r="L94" s="23"/>
      <c r="M94" s="23"/>
    </row>
    <row r="95" spans="1:13" ht="14.45">
      <c r="A95" s="23"/>
      <c r="B95" s="35"/>
      <c r="C95" s="23"/>
      <c r="D95" s="23"/>
      <c r="E95" s="23"/>
      <c r="F95" s="23"/>
      <c r="G95" s="23"/>
      <c r="H95" s="24"/>
      <c r="I95" s="23"/>
      <c r="J95" s="23"/>
      <c r="K95" s="24"/>
      <c r="L95" s="23"/>
      <c r="M95" s="23"/>
    </row>
    <row r="96" spans="1:13" ht="14.45">
      <c r="A96" s="23"/>
      <c r="B96" s="35"/>
      <c r="C96" s="23"/>
      <c r="D96" s="23"/>
      <c r="E96" s="23"/>
      <c r="F96" s="23"/>
      <c r="G96" s="23"/>
      <c r="H96" s="24"/>
      <c r="I96" s="23"/>
      <c r="J96" s="23"/>
      <c r="K96" s="24"/>
      <c r="L96" s="23"/>
      <c r="M96" s="23"/>
    </row>
    <row r="97" spans="1:13" ht="14.45">
      <c r="A97" s="23"/>
      <c r="B97" s="35"/>
      <c r="C97" s="23"/>
      <c r="D97" s="23"/>
      <c r="E97" s="23"/>
      <c r="F97" s="23"/>
      <c r="G97" s="23"/>
      <c r="H97" s="24"/>
      <c r="I97" s="23"/>
      <c r="J97" s="23"/>
      <c r="K97" s="24"/>
      <c r="L97" s="23"/>
      <c r="M97" s="23"/>
    </row>
    <row r="98" spans="1:13" ht="14.45">
      <c r="A98" s="23"/>
      <c r="B98" s="35"/>
      <c r="C98" s="23"/>
      <c r="D98" s="23"/>
      <c r="E98" s="23"/>
      <c r="F98" s="23"/>
      <c r="G98" s="23"/>
      <c r="H98" s="24"/>
      <c r="I98" s="23"/>
      <c r="J98" s="23"/>
      <c r="K98" s="24"/>
      <c r="L98" s="23"/>
      <c r="M98" s="23"/>
    </row>
    <row r="99" spans="1:13" ht="14.45">
      <c r="A99" s="23"/>
      <c r="B99" s="35"/>
      <c r="C99" s="23"/>
      <c r="D99" s="23"/>
      <c r="E99" s="23"/>
      <c r="F99" s="23"/>
      <c r="G99" s="23"/>
      <c r="H99" s="24"/>
      <c r="I99" s="23"/>
      <c r="J99" s="23"/>
      <c r="K99" s="24"/>
      <c r="L99" s="23"/>
      <c r="M99" s="23"/>
    </row>
    <row r="100" spans="1:13" ht="14.45">
      <c r="A100" s="23"/>
      <c r="B100" s="35"/>
      <c r="C100" s="23"/>
      <c r="D100" s="23"/>
      <c r="E100" s="23"/>
      <c r="F100" s="23"/>
      <c r="G100" s="23"/>
      <c r="H100" s="24"/>
      <c r="I100" s="23"/>
      <c r="J100" s="23"/>
      <c r="K100" s="24"/>
      <c r="L100" s="23"/>
      <c r="M100" s="23"/>
    </row>
    <row r="101" spans="1:13" ht="14.45">
      <c r="A101" s="23"/>
      <c r="B101" s="35"/>
      <c r="C101" s="23"/>
      <c r="D101" s="23"/>
      <c r="E101" s="23"/>
      <c r="F101" s="23"/>
      <c r="G101" s="23"/>
      <c r="H101" s="24"/>
      <c r="I101" s="23"/>
      <c r="J101" s="23"/>
      <c r="K101" s="24"/>
      <c r="L101" s="23"/>
      <c r="M101" s="23"/>
    </row>
    <row r="102" spans="1:13" ht="14.45">
      <c r="A102" s="23"/>
      <c r="B102" s="35"/>
      <c r="C102" s="23"/>
      <c r="D102" s="23"/>
      <c r="E102" s="23"/>
      <c r="F102" s="23"/>
      <c r="G102" s="23"/>
      <c r="H102" s="24"/>
      <c r="I102" s="23"/>
      <c r="J102" s="23"/>
      <c r="K102" s="24"/>
      <c r="L102" s="23"/>
      <c r="M102" s="23"/>
    </row>
    <row r="103" spans="1:13" ht="14.45">
      <c r="A103" s="23"/>
      <c r="B103" s="35"/>
      <c r="C103" s="23"/>
      <c r="D103" s="23"/>
      <c r="E103" s="23"/>
      <c r="F103" s="23"/>
      <c r="G103" s="23"/>
      <c r="H103" s="24"/>
      <c r="I103" s="23"/>
      <c r="J103" s="23"/>
      <c r="K103" s="24"/>
      <c r="L103" s="23"/>
      <c r="M103" s="23"/>
    </row>
    <row r="104" spans="1:13" ht="14.45">
      <c r="A104" s="23"/>
      <c r="B104" s="35"/>
      <c r="C104" s="23"/>
      <c r="D104" s="23"/>
      <c r="E104" s="23"/>
      <c r="F104" s="23"/>
      <c r="G104" s="23"/>
      <c r="H104" s="24"/>
      <c r="I104" s="23"/>
      <c r="J104" s="23"/>
      <c r="K104" s="24"/>
      <c r="L104" s="23"/>
      <c r="M104" s="23"/>
    </row>
    <row r="105" spans="1:13" ht="14.45">
      <c r="A105" s="23"/>
      <c r="B105" s="35"/>
      <c r="C105" s="23"/>
      <c r="D105" s="23"/>
      <c r="E105" s="23"/>
      <c r="F105" s="23"/>
      <c r="G105" s="23"/>
      <c r="H105" s="24"/>
      <c r="I105" s="23"/>
      <c r="J105" s="23"/>
      <c r="K105" s="24"/>
      <c r="L105" s="23"/>
      <c r="M105" s="23"/>
    </row>
    <row r="106" spans="1:13" ht="14.45">
      <c r="A106" s="23"/>
      <c r="B106" s="35"/>
      <c r="C106" s="23"/>
      <c r="D106" s="23"/>
      <c r="E106" s="23"/>
      <c r="F106" s="23"/>
      <c r="G106" s="23"/>
      <c r="H106" s="24"/>
      <c r="I106" s="23"/>
      <c r="J106" s="23"/>
      <c r="K106" s="24"/>
      <c r="L106" s="23"/>
      <c r="M106" s="23"/>
    </row>
    <row r="107" spans="1:13" ht="14.45">
      <c r="A107" s="23"/>
      <c r="B107" s="35"/>
      <c r="C107" s="23"/>
      <c r="D107" s="23"/>
      <c r="E107" s="23"/>
      <c r="F107" s="23"/>
      <c r="G107" s="23"/>
      <c r="H107" s="24"/>
      <c r="I107" s="23"/>
      <c r="J107" s="23"/>
      <c r="K107" s="24"/>
      <c r="L107" s="23"/>
      <c r="M107" s="23"/>
    </row>
    <row r="108" spans="1:13" ht="14.45">
      <c r="A108" s="23"/>
      <c r="B108" s="35"/>
      <c r="C108" s="23"/>
      <c r="D108" s="23"/>
      <c r="E108" s="23"/>
      <c r="F108" s="23"/>
      <c r="G108" s="23"/>
      <c r="H108" s="24"/>
      <c r="I108" s="23"/>
      <c r="J108" s="23"/>
      <c r="K108" s="24"/>
      <c r="L108" s="23"/>
      <c r="M108" s="23"/>
    </row>
    <row r="109" spans="1:13" ht="14.45">
      <c r="A109" s="23"/>
      <c r="B109" s="35"/>
      <c r="C109" s="23"/>
      <c r="D109" s="23"/>
      <c r="E109" s="23"/>
      <c r="F109" s="23"/>
      <c r="G109" s="23"/>
      <c r="H109" s="24"/>
      <c r="I109" s="23"/>
      <c r="J109" s="23"/>
      <c r="K109" s="24"/>
      <c r="L109" s="23"/>
      <c r="M109" s="23"/>
    </row>
    <row r="110" spans="1:13" ht="14.45">
      <c r="A110" s="23"/>
      <c r="B110" s="35"/>
      <c r="C110" s="23"/>
      <c r="D110" s="23"/>
      <c r="E110" s="23"/>
      <c r="F110" s="23"/>
      <c r="G110" s="23"/>
      <c r="H110" s="24"/>
      <c r="I110" s="23"/>
      <c r="J110" s="23"/>
      <c r="K110" s="24"/>
      <c r="L110" s="23"/>
      <c r="M110" s="23"/>
    </row>
    <row r="111" spans="1:13" ht="14.45">
      <c r="A111" s="23"/>
      <c r="B111" s="35"/>
      <c r="C111" s="23"/>
      <c r="D111" s="23"/>
      <c r="E111" s="23"/>
      <c r="F111" s="23"/>
      <c r="G111" s="23"/>
      <c r="H111" s="24"/>
      <c r="I111" s="23"/>
      <c r="J111" s="23"/>
      <c r="K111" s="24"/>
      <c r="L111" s="23"/>
      <c r="M111" s="23"/>
    </row>
    <row r="112" spans="1:13" ht="14.45">
      <c r="A112" s="23"/>
      <c r="B112" s="35"/>
      <c r="C112" s="23"/>
      <c r="D112" s="23"/>
      <c r="E112" s="23"/>
      <c r="F112" s="23"/>
      <c r="G112" s="23"/>
      <c r="H112" s="24"/>
      <c r="I112" s="23"/>
      <c r="J112" s="23"/>
      <c r="K112" s="24"/>
      <c r="L112" s="23"/>
      <c r="M112" s="23"/>
    </row>
    <row r="113" spans="1:13" ht="14.45">
      <c r="A113" s="23"/>
      <c r="B113" s="35"/>
      <c r="C113" s="23"/>
      <c r="D113" s="23"/>
      <c r="E113" s="23"/>
      <c r="F113" s="23"/>
      <c r="G113" s="23"/>
      <c r="H113" s="24"/>
      <c r="I113" s="23"/>
      <c r="J113" s="23"/>
      <c r="K113" s="24"/>
      <c r="L113" s="23"/>
      <c r="M113" s="23"/>
    </row>
    <row r="114" spans="1:13" ht="14.45">
      <c r="A114" s="23"/>
      <c r="B114" s="35"/>
      <c r="C114" s="23"/>
      <c r="D114" s="23"/>
      <c r="E114" s="23"/>
      <c r="F114" s="23"/>
      <c r="G114" s="23"/>
      <c r="H114" s="24"/>
      <c r="I114" s="23"/>
      <c r="J114" s="23"/>
      <c r="K114" s="24"/>
      <c r="L114" s="23"/>
      <c r="M114" s="23"/>
    </row>
    <row r="115" spans="1:13" ht="14.45">
      <c r="A115" s="23"/>
      <c r="B115" s="35"/>
      <c r="C115" s="23"/>
      <c r="D115" s="23"/>
      <c r="E115" s="23"/>
      <c r="F115" s="23"/>
      <c r="G115" s="23"/>
      <c r="H115" s="24"/>
      <c r="I115" s="23"/>
      <c r="J115" s="23"/>
      <c r="K115" s="24"/>
      <c r="L115" s="23"/>
      <c r="M115" s="23"/>
    </row>
    <row r="116" spans="1:13" ht="14.45">
      <c r="A116" s="23"/>
      <c r="B116" s="35"/>
      <c r="C116" s="23"/>
      <c r="D116" s="23"/>
      <c r="E116" s="23"/>
      <c r="F116" s="23"/>
      <c r="G116" s="23"/>
      <c r="H116" s="24"/>
      <c r="I116" s="23"/>
      <c r="J116" s="23"/>
      <c r="K116" s="24"/>
      <c r="L116" s="23"/>
      <c r="M116" s="23"/>
    </row>
    <row r="117" spans="1:13" ht="14.45">
      <c r="A117" s="23"/>
      <c r="B117" s="35"/>
      <c r="C117" s="23"/>
      <c r="D117" s="23"/>
      <c r="E117" s="23"/>
      <c r="F117" s="23"/>
      <c r="G117" s="23"/>
      <c r="H117" s="24"/>
      <c r="I117" s="23"/>
      <c r="J117" s="23"/>
      <c r="K117" s="24"/>
      <c r="L117" s="23"/>
      <c r="M117" s="23"/>
    </row>
    <row r="118" spans="1:13" ht="14.45">
      <c r="A118" s="23"/>
      <c r="B118" s="35"/>
      <c r="C118" s="23"/>
      <c r="D118" s="23"/>
      <c r="E118" s="23"/>
      <c r="F118" s="23"/>
      <c r="G118" s="23"/>
      <c r="H118" s="24"/>
      <c r="I118" s="23"/>
      <c r="J118" s="23"/>
      <c r="K118" s="24"/>
      <c r="L118" s="23"/>
      <c r="M118" s="23"/>
    </row>
    <row r="119" spans="1:13" ht="14.45">
      <c r="A119" s="23"/>
      <c r="B119" s="35"/>
      <c r="C119" s="23"/>
      <c r="D119" s="23"/>
      <c r="E119" s="23"/>
      <c r="F119" s="23"/>
      <c r="G119" s="23"/>
      <c r="H119" s="24"/>
      <c r="I119" s="23"/>
      <c r="J119" s="23"/>
      <c r="K119" s="24"/>
      <c r="L119" s="23"/>
      <c r="M119" s="23"/>
    </row>
    <row r="120" spans="1:13" ht="14.45">
      <c r="A120" s="23"/>
      <c r="B120" s="35"/>
      <c r="C120" s="23"/>
      <c r="D120" s="23"/>
      <c r="E120" s="23"/>
      <c r="F120" s="23"/>
      <c r="G120" s="23"/>
      <c r="H120" s="24"/>
      <c r="I120" s="23"/>
      <c r="J120" s="23"/>
      <c r="K120" s="24"/>
      <c r="L120" s="23"/>
      <c r="M120" s="23"/>
    </row>
    <row r="121" spans="1:13" ht="14.45">
      <c r="A121" s="23"/>
      <c r="B121" s="35"/>
      <c r="C121" s="23"/>
      <c r="D121" s="23"/>
      <c r="E121" s="23"/>
      <c r="F121" s="23"/>
      <c r="G121" s="23"/>
      <c r="H121" s="24"/>
      <c r="I121" s="23"/>
      <c r="J121" s="23"/>
      <c r="K121" s="24"/>
      <c r="L121" s="23"/>
      <c r="M121" s="23"/>
    </row>
    <row r="122" spans="1:13" ht="14.45">
      <c r="A122" s="23"/>
      <c r="B122" s="35"/>
      <c r="C122" s="23"/>
      <c r="D122" s="23"/>
      <c r="E122" s="23"/>
      <c r="F122" s="23"/>
      <c r="G122" s="23"/>
      <c r="H122" s="24"/>
      <c r="I122" s="23"/>
      <c r="J122" s="23"/>
      <c r="K122" s="24"/>
      <c r="L122" s="23"/>
      <c r="M122" s="23"/>
    </row>
    <row r="123" spans="1:13" ht="14.45">
      <c r="A123" s="23"/>
      <c r="B123" s="35"/>
      <c r="C123" s="23"/>
      <c r="D123" s="23"/>
      <c r="E123" s="23"/>
      <c r="F123" s="23"/>
      <c r="G123" s="23"/>
      <c r="H123" s="24"/>
      <c r="I123" s="23"/>
      <c r="J123" s="23"/>
      <c r="K123" s="24"/>
      <c r="L123" s="23"/>
      <c r="M123" s="23"/>
    </row>
    <row r="124" spans="1:13" ht="14.45">
      <c r="A124" s="23"/>
      <c r="B124" s="35"/>
      <c r="C124" s="23"/>
      <c r="D124" s="23"/>
      <c r="E124" s="23"/>
      <c r="F124" s="23"/>
      <c r="G124" s="23"/>
      <c r="H124" s="24"/>
      <c r="I124" s="23"/>
      <c r="J124" s="23"/>
      <c r="K124" s="24"/>
      <c r="L124" s="23"/>
      <c r="M124" s="23"/>
    </row>
    <row r="125" spans="1:13" ht="14.45">
      <c r="A125" s="23"/>
      <c r="B125" s="35"/>
      <c r="C125" s="23"/>
      <c r="D125" s="23"/>
      <c r="E125" s="23"/>
      <c r="F125" s="23"/>
      <c r="G125" s="23"/>
      <c r="H125" s="24"/>
      <c r="I125" s="23"/>
      <c r="J125" s="23"/>
      <c r="K125" s="24"/>
      <c r="L125" s="23"/>
      <c r="M125" s="23"/>
    </row>
    <row r="126" spans="1:13" ht="14.45">
      <c r="A126" s="23"/>
      <c r="B126" s="35"/>
      <c r="C126" s="23"/>
      <c r="D126" s="23"/>
      <c r="E126" s="23"/>
      <c r="F126" s="23"/>
      <c r="G126" s="23"/>
      <c r="H126" s="24"/>
      <c r="I126" s="23"/>
      <c r="J126" s="23"/>
      <c r="K126" s="24"/>
      <c r="L126" s="23"/>
      <c r="M126" s="23"/>
    </row>
    <row r="127" spans="1:13" ht="14.45">
      <c r="A127" s="23"/>
      <c r="B127" s="35"/>
      <c r="C127" s="23"/>
      <c r="D127" s="23"/>
      <c r="E127" s="23"/>
      <c r="F127" s="23"/>
      <c r="G127" s="23"/>
      <c r="H127" s="24"/>
      <c r="I127" s="23"/>
      <c r="J127" s="23"/>
      <c r="K127" s="24"/>
      <c r="L127" s="23"/>
      <c r="M127" s="23"/>
    </row>
    <row r="128" spans="1:13" ht="14.45">
      <c r="A128" s="23"/>
      <c r="B128" s="35"/>
      <c r="C128" s="23"/>
      <c r="D128" s="23"/>
      <c r="E128" s="23"/>
      <c r="F128" s="23"/>
      <c r="G128" s="23"/>
      <c r="H128" s="24"/>
      <c r="I128" s="23"/>
      <c r="J128" s="23"/>
      <c r="K128" s="24"/>
      <c r="L128" s="23"/>
      <c r="M128" s="23"/>
    </row>
    <row r="129" spans="1:13" ht="14.45">
      <c r="A129" s="23"/>
      <c r="B129" s="35"/>
      <c r="C129" s="23"/>
      <c r="D129" s="23"/>
      <c r="E129" s="23"/>
      <c r="F129" s="23"/>
      <c r="G129" s="23"/>
      <c r="H129" s="24"/>
      <c r="I129" s="23"/>
      <c r="J129" s="23"/>
      <c r="K129" s="24"/>
      <c r="L129" s="23"/>
      <c r="M129" s="23"/>
    </row>
    <row r="130" spans="1:13" ht="14.45">
      <c r="A130" s="23"/>
      <c r="B130" s="35"/>
      <c r="C130" s="23"/>
      <c r="D130" s="23"/>
      <c r="E130" s="23"/>
      <c r="F130" s="23"/>
      <c r="G130" s="23"/>
      <c r="H130" s="24"/>
      <c r="I130" s="23"/>
      <c r="J130" s="23"/>
      <c r="K130" s="24"/>
      <c r="L130" s="23"/>
      <c r="M130" s="23"/>
    </row>
    <row r="131" spans="1:13" ht="14.45">
      <c r="A131" s="23"/>
      <c r="B131" s="35"/>
      <c r="C131" s="23"/>
      <c r="D131" s="23"/>
      <c r="E131" s="23"/>
      <c r="F131" s="23"/>
      <c r="G131" s="23"/>
      <c r="H131" s="24"/>
      <c r="I131" s="23"/>
      <c r="J131" s="23"/>
      <c r="K131" s="24"/>
      <c r="L131" s="23"/>
      <c r="M131" s="23"/>
    </row>
    <row r="132" spans="1:13" ht="14.45">
      <c r="A132" s="23"/>
      <c r="B132" s="35"/>
      <c r="C132" s="23"/>
      <c r="D132" s="23"/>
      <c r="E132" s="23"/>
      <c r="F132" s="23"/>
      <c r="G132" s="23"/>
      <c r="H132" s="24"/>
      <c r="I132" s="23"/>
      <c r="J132" s="23"/>
      <c r="K132" s="24"/>
      <c r="L132" s="23"/>
      <c r="M132" s="23"/>
    </row>
    <row r="133" spans="1:13" ht="14.45">
      <c r="A133" s="23"/>
      <c r="B133" s="35"/>
      <c r="C133" s="23"/>
      <c r="D133" s="23"/>
      <c r="E133" s="23"/>
      <c r="F133" s="23"/>
      <c r="G133" s="23"/>
      <c r="H133" s="24"/>
      <c r="I133" s="23"/>
      <c r="J133" s="23"/>
      <c r="K133" s="24"/>
      <c r="L133" s="23"/>
      <c r="M133" s="23"/>
    </row>
    <row r="134" spans="1:13" ht="14.45">
      <c r="A134" s="23"/>
      <c r="B134" s="35"/>
      <c r="C134" s="23"/>
      <c r="D134" s="23"/>
      <c r="E134" s="23"/>
      <c r="F134" s="23"/>
      <c r="G134" s="23"/>
      <c r="H134" s="24"/>
      <c r="I134" s="23"/>
      <c r="J134" s="23"/>
      <c r="K134" s="24"/>
      <c r="L134" s="23"/>
      <c r="M134" s="23"/>
    </row>
    <row r="135" spans="1:13" ht="14.45">
      <c r="A135" s="23"/>
      <c r="B135" s="35"/>
      <c r="C135" s="23"/>
      <c r="D135" s="23"/>
      <c r="E135" s="23"/>
      <c r="F135" s="23"/>
      <c r="G135" s="23"/>
      <c r="H135" s="24"/>
      <c r="I135" s="23"/>
      <c r="J135" s="23"/>
      <c r="K135" s="24"/>
      <c r="L135" s="23"/>
      <c r="M135" s="23"/>
    </row>
    <row r="136" spans="1:13" ht="14.45">
      <c r="A136" s="23"/>
      <c r="B136" s="35"/>
      <c r="C136" s="23"/>
      <c r="D136" s="23"/>
      <c r="E136" s="23"/>
      <c r="F136" s="23"/>
      <c r="G136" s="23"/>
      <c r="H136" s="24"/>
      <c r="I136" s="23"/>
      <c r="J136" s="23"/>
      <c r="K136" s="24"/>
      <c r="L136" s="23"/>
      <c r="M136" s="23"/>
    </row>
    <row r="137" spans="1:13" ht="14.45">
      <c r="A137" s="23"/>
      <c r="B137" s="35"/>
      <c r="C137" s="23"/>
      <c r="D137" s="23"/>
      <c r="E137" s="23"/>
      <c r="F137" s="23"/>
      <c r="G137" s="23"/>
      <c r="H137" s="24"/>
      <c r="I137" s="23"/>
      <c r="J137" s="23"/>
      <c r="K137" s="24"/>
      <c r="L137" s="23"/>
      <c r="M137" s="23"/>
    </row>
    <row r="138" spans="1:13" ht="14.45">
      <c r="A138" s="23"/>
      <c r="B138" s="35"/>
      <c r="C138" s="23"/>
      <c r="D138" s="23"/>
      <c r="E138" s="23"/>
      <c r="F138" s="23"/>
      <c r="G138" s="23"/>
      <c r="H138" s="24"/>
      <c r="I138" s="23"/>
      <c r="J138" s="23"/>
      <c r="K138" s="24"/>
      <c r="L138" s="23"/>
      <c r="M138" s="23"/>
    </row>
    <row r="139" spans="1:13" ht="14.45">
      <c r="A139" s="23"/>
      <c r="B139" s="35"/>
      <c r="C139" s="23"/>
      <c r="D139" s="23"/>
      <c r="E139" s="23"/>
      <c r="F139" s="23"/>
      <c r="G139" s="23"/>
      <c r="H139" s="24"/>
      <c r="I139" s="23"/>
      <c r="J139" s="23"/>
      <c r="K139" s="24"/>
      <c r="L139" s="23"/>
      <c r="M139" s="23"/>
    </row>
    <row r="140" spans="1:13" ht="14.45">
      <c r="A140" s="23"/>
      <c r="B140" s="35"/>
      <c r="C140" s="23"/>
      <c r="D140" s="23"/>
      <c r="E140" s="23"/>
      <c r="F140" s="23"/>
      <c r="G140" s="23"/>
      <c r="H140" s="24"/>
      <c r="I140" s="23"/>
      <c r="J140" s="23"/>
      <c r="K140" s="24"/>
      <c r="L140" s="23"/>
      <c r="M140" s="23"/>
    </row>
    <row r="141" spans="1:13" ht="14.45">
      <c r="A141" s="23"/>
      <c r="B141" s="35"/>
      <c r="C141" s="23"/>
      <c r="D141" s="23"/>
      <c r="E141" s="23"/>
      <c r="F141" s="23"/>
      <c r="G141" s="23"/>
      <c r="H141" s="24"/>
      <c r="I141" s="23"/>
      <c r="J141" s="23"/>
      <c r="K141" s="24"/>
      <c r="L141" s="23"/>
      <c r="M141" s="23"/>
    </row>
    <row r="142" spans="1:13" ht="14.45">
      <c r="A142" s="23"/>
      <c r="B142" s="35"/>
      <c r="C142" s="23"/>
      <c r="D142" s="23"/>
      <c r="E142" s="23"/>
      <c r="F142" s="23"/>
      <c r="G142" s="23"/>
      <c r="H142" s="24"/>
      <c r="I142" s="23"/>
      <c r="J142" s="23"/>
      <c r="K142" s="24"/>
      <c r="L142" s="23"/>
      <c r="M142" s="23"/>
    </row>
    <row r="143" spans="1:13" ht="14.45">
      <c r="A143" s="23"/>
      <c r="B143" s="35"/>
      <c r="C143" s="23"/>
      <c r="D143" s="23"/>
      <c r="E143" s="23"/>
      <c r="F143" s="23"/>
      <c r="G143" s="23"/>
      <c r="H143" s="24"/>
      <c r="I143" s="23"/>
      <c r="J143" s="23"/>
      <c r="K143" s="24"/>
      <c r="L143" s="23"/>
      <c r="M143" s="23"/>
    </row>
    <row r="144" spans="1:13" ht="14.45">
      <c r="A144" s="23"/>
      <c r="B144" s="35"/>
      <c r="C144" s="23"/>
      <c r="D144" s="23"/>
      <c r="E144" s="23"/>
      <c r="F144" s="23"/>
      <c r="G144" s="23"/>
      <c r="H144" s="24"/>
      <c r="I144" s="23"/>
      <c r="J144" s="23"/>
      <c r="K144" s="24"/>
      <c r="L144" s="23"/>
      <c r="M144" s="23"/>
    </row>
    <row r="145" spans="1:13" ht="14.45">
      <c r="A145" s="23"/>
      <c r="B145" s="35"/>
      <c r="C145" s="23"/>
      <c r="D145" s="23"/>
      <c r="E145" s="23"/>
      <c r="F145" s="23"/>
      <c r="G145" s="23"/>
      <c r="H145" s="24"/>
      <c r="I145" s="23"/>
      <c r="J145" s="23"/>
      <c r="K145" s="24"/>
      <c r="L145" s="23"/>
      <c r="M145" s="23"/>
    </row>
    <row r="146" spans="1:13" ht="14.45">
      <c r="A146" s="23"/>
      <c r="B146" s="35"/>
      <c r="C146" s="23"/>
      <c r="D146" s="23"/>
      <c r="E146" s="23"/>
      <c r="F146" s="23"/>
      <c r="G146" s="23"/>
      <c r="H146" s="24"/>
      <c r="I146" s="23"/>
      <c r="J146" s="23"/>
      <c r="K146" s="24"/>
      <c r="L146" s="23"/>
      <c r="M146" s="23"/>
    </row>
    <row r="147" spans="1:13" ht="14.45">
      <c r="A147" s="23"/>
      <c r="B147" s="35"/>
      <c r="C147" s="23"/>
      <c r="D147" s="23"/>
      <c r="E147" s="23"/>
      <c r="F147" s="23"/>
      <c r="G147" s="23"/>
      <c r="H147" s="24"/>
      <c r="I147" s="23"/>
      <c r="J147" s="23"/>
      <c r="K147" s="24"/>
      <c r="L147" s="23"/>
      <c r="M147" s="23"/>
    </row>
    <row r="148" spans="1:13" ht="14.45">
      <c r="A148" s="23"/>
      <c r="B148" s="35"/>
      <c r="C148" s="23"/>
      <c r="D148" s="23"/>
      <c r="E148" s="23"/>
      <c r="F148" s="23"/>
      <c r="G148" s="23"/>
      <c r="H148" s="24"/>
      <c r="I148" s="23"/>
      <c r="J148" s="23"/>
      <c r="K148" s="24"/>
      <c r="L148" s="23"/>
      <c r="M148" s="23"/>
    </row>
    <row r="149" spans="1:13" ht="14.45">
      <c r="A149" s="23"/>
      <c r="B149" s="35"/>
      <c r="C149" s="23"/>
      <c r="D149" s="23"/>
      <c r="E149" s="23"/>
      <c r="F149" s="23"/>
      <c r="G149" s="23"/>
      <c r="H149" s="24"/>
      <c r="I149" s="23"/>
      <c r="J149" s="23"/>
      <c r="K149" s="24"/>
      <c r="L149" s="23"/>
      <c r="M149" s="23"/>
    </row>
    <row r="150" spans="1:13" ht="14.45">
      <c r="A150" s="23"/>
      <c r="B150" s="35"/>
      <c r="C150" s="23"/>
      <c r="D150" s="23"/>
      <c r="E150" s="23"/>
      <c r="F150" s="23"/>
      <c r="G150" s="23"/>
      <c r="H150" s="24"/>
      <c r="I150" s="23"/>
      <c r="J150" s="23"/>
      <c r="K150" s="24"/>
      <c r="L150" s="23"/>
      <c r="M150" s="23"/>
    </row>
    <row r="151" spans="1:13" ht="14.45">
      <c r="A151" s="23"/>
      <c r="B151" s="35"/>
      <c r="C151" s="23"/>
      <c r="D151" s="23"/>
      <c r="E151" s="23"/>
      <c r="F151" s="23"/>
      <c r="G151" s="23"/>
      <c r="H151" s="24"/>
      <c r="I151" s="23"/>
      <c r="J151" s="23"/>
      <c r="K151" s="24"/>
      <c r="L151" s="23"/>
      <c r="M151" s="23"/>
    </row>
    <row r="152" spans="1:13" ht="14.45">
      <c r="A152" s="23"/>
      <c r="B152" s="35"/>
      <c r="C152" s="23"/>
      <c r="D152" s="23"/>
      <c r="E152" s="23"/>
      <c r="F152" s="23"/>
      <c r="G152" s="23"/>
      <c r="H152" s="24"/>
      <c r="I152" s="23"/>
      <c r="J152" s="23"/>
      <c r="K152" s="24"/>
      <c r="L152" s="23"/>
      <c r="M152" s="23"/>
    </row>
    <row r="153" spans="1:13" ht="14.45">
      <c r="A153" s="23"/>
      <c r="B153" s="35"/>
      <c r="C153" s="23"/>
      <c r="D153" s="23"/>
      <c r="E153" s="23"/>
      <c r="F153" s="23"/>
      <c r="G153" s="23"/>
      <c r="H153" s="24"/>
      <c r="I153" s="23"/>
      <c r="J153" s="23"/>
      <c r="K153" s="24"/>
      <c r="L153" s="23"/>
      <c r="M153" s="23"/>
    </row>
    <row r="154" spans="1:13" ht="14.45">
      <c r="A154" s="23"/>
      <c r="B154" s="35"/>
      <c r="C154" s="23"/>
      <c r="D154" s="23"/>
      <c r="E154" s="23"/>
      <c r="F154" s="23"/>
      <c r="G154" s="23"/>
      <c r="H154" s="24"/>
      <c r="I154" s="23"/>
      <c r="J154" s="23"/>
      <c r="K154" s="24"/>
      <c r="L154" s="23"/>
      <c r="M154" s="23"/>
    </row>
    <row r="155" spans="1:13" ht="14.45">
      <c r="A155" s="23"/>
      <c r="B155" s="35"/>
      <c r="C155" s="23"/>
      <c r="D155" s="23"/>
      <c r="E155" s="23"/>
      <c r="F155" s="23"/>
      <c r="G155" s="23"/>
      <c r="H155" s="24"/>
      <c r="I155" s="23"/>
      <c r="J155" s="23"/>
      <c r="K155" s="24"/>
      <c r="L155" s="23"/>
      <c r="M155" s="23"/>
    </row>
    <row r="156" spans="1:13" ht="14.45">
      <c r="A156" s="23"/>
      <c r="B156" s="35"/>
      <c r="C156" s="23"/>
      <c r="D156" s="23"/>
      <c r="E156" s="23"/>
      <c r="F156" s="23"/>
      <c r="G156" s="23"/>
      <c r="H156" s="24"/>
      <c r="I156" s="23"/>
      <c r="J156" s="23"/>
      <c r="K156" s="24"/>
      <c r="L156" s="23"/>
      <c r="M156" s="23"/>
    </row>
    <row r="157" spans="1:13" ht="14.45">
      <c r="A157" s="23"/>
      <c r="B157" s="35"/>
      <c r="C157" s="23"/>
      <c r="D157" s="23"/>
      <c r="E157" s="23"/>
      <c r="F157" s="23"/>
      <c r="G157" s="23"/>
      <c r="H157" s="24"/>
      <c r="I157" s="23"/>
      <c r="J157" s="23"/>
      <c r="K157" s="24"/>
      <c r="L157" s="23"/>
      <c r="M157" s="23"/>
    </row>
    <row r="158" spans="1:13" ht="14.45">
      <c r="A158" s="23"/>
      <c r="B158" s="35"/>
      <c r="C158" s="23"/>
      <c r="D158" s="23"/>
      <c r="E158" s="23"/>
      <c r="F158" s="23"/>
      <c r="G158" s="23"/>
      <c r="H158" s="24"/>
      <c r="I158" s="23"/>
      <c r="J158" s="23"/>
      <c r="K158" s="24"/>
      <c r="L158" s="23"/>
      <c r="M158" s="23"/>
    </row>
    <row r="159" spans="1:13" ht="14.45">
      <c r="A159" s="23"/>
      <c r="B159" s="35"/>
      <c r="C159" s="23"/>
      <c r="D159" s="23"/>
      <c r="E159" s="23"/>
      <c r="F159" s="23"/>
      <c r="G159" s="23"/>
      <c r="H159" s="24"/>
      <c r="I159" s="23"/>
      <c r="J159" s="23"/>
      <c r="K159" s="24"/>
      <c r="L159" s="23"/>
      <c r="M159" s="23"/>
    </row>
    <row r="160" spans="1:13" ht="14.45">
      <c r="A160" s="23"/>
      <c r="B160" s="35"/>
      <c r="C160" s="23"/>
      <c r="D160" s="23"/>
      <c r="E160" s="23"/>
      <c r="F160" s="23"/>
      <c r="G160" s="23"/>
      <c r="H160" s="24"/>
      <c r="I160" s="23"/>
      <c r="J160" s="23"/>
      <c r="K160" s="24"/>
      <c r="L160" s="23"/>
      <c r="M160" s="23"/>
    </row>
    <row r="161" spans="1:13" ht="14.45">
      <c r="A161" s="23"/>
      <c r="B161" s="35"/>
      <c r="C161" s="23"/>
      <c r="D161" s="23"/>
      <c r="E161" s="23"/>
      <c r="F161" s="23"/>
      <c r="G161" s="23"/>
      <c r="H161" s="24"/>
      <c r="I161" s="23"/>
      <c r="J161" s="23"/>
      <c r="K161" s="24"/>
      <c r="L161" s="23"/>
      <c r="M161" s="23"/>
    </row>
    <row r="162" spans="1:13" ht="14.45">
      <c r="A162" s="23"/>
      <c r="B162" s="35"/>
      <c r="C162" s="23"/>
      <c r="D162" s="23"/>
      <c r="E162" s="23"/>
      <c r="F162" s="23"/>
      <c r="G162" s="23"/>
      <c r="H162" s="24"/>
      <c r="I162" s="23"/>
      <c r="J162" s="23"/>
      <c r="K162" s="24"/>
      <c r="L162" s="23"/>
      <c r="M162" s="23"/>
    </row>
    <row r="163" spans="1:13" ht="14.45">
      <c r="A163" s="23"/>
      <c r="B163" s="35"/>
      <c r="C163" s="23"/>
      <c r="D163" s="23"/>
      <c r="E163" s="23"/>
      <c r="F163" s="23"/>
      <c r="G163" s="23"/>
      <c r="H163" s="24"/>
      <c r="I163" s="23"/>
      <c r="J163" s="23"/>
      <c r="K163" s="24"/>
      <c r="L163" s="23"/>
      <c r="M163" s="23"/>
    </row>
    <row r="164" spans="1:13" ht="14.45">
      <c r="A164" s="23"/>
      <c r="B164" s="35"/>
      <c r="C164" s="23"/>
      <c r="D164" s="23"/>
      <c r="E164" s="23"/>
      <c r="F164" s="23"/>
      <c r="G164" s="23"/>
      <c r="H164" s="24"/>
      <c r="I164" s="23"/>
      <c r="J164" s="23"/>
      <c r="K164" s="24"/>
      <c r="L164" s="23"/>
      <c r="M164" s="23"/>
    </row>
    <row r="165" spans="1:13" ht="14.45">
      <c r="A165" s="23"/>
      <c r="B165" s="35"/>
      <c r="C165" s="23"/>
      <c r="D165" s="23"/>
      <c r="E165" s="23"/>
      <c r="F165" s="23"/>
      <c r="G165" s="23"/>
      <c r="H165" s="24"/>
      <c r="I165" s="23"/>
      <c r="J165" s="23"/>
      <c r="K165" s="24"/>
      <c r="L165" s="23"/>
      <c r="M165" s="23"/>
    </row>
    <row r="166" spans="1:13" ht="14.45">
      <c r="A166" s="23"/>
      <c r="B166" s="35"/>
      <c r="C166" s="23"/>
      <c r="D166" s="23"/>
      <c r="E166" s="23"/>
      <c r="F166" s="23"/>
      <c r="G166" s="23"/>
      <c r="H166" s="24"/>
      <c r="I166" s="23"/>
      <c r="J166" s="23"/>
      <c r="K166" s="24"/>
      <c r="L166" s="23"/>
      <c r="M166" s="23"/>
    </row>
    <row r="167" spans="1:13" ht="14.45">
      <c r="A167" s="23"/>
      <c r="B167" s="35"/>
      <c r="C167" s="23"/>
      <c r="D167" s="23"/>
      <c r="E167" s="23"/>
      <c r="F167" s="23"/>
      <c r="G167" s="23"/>
      <c r="H167" s="24"/>
      <c r="I167" s="23"/>
      <c r="J167" s="23"/>
      <c r="K167" s="24"/>
      <c r="L167" s="23"/>
      <c r="M167" s="23"/>
    </row>
    <row r="168" spans="1:13" ht="14.45">
      <c r="A168" s="23"/>
      <c r="B168" s="35"/>
      <c r="C168" s="23"/>
      <c r="D168" s="23"/>
      <c r="E168" s="23"/>
      <c r="F168" s="23"/>
      <c r="G168" s="23"/>
      <c r="H168" s="24"/>
      <c r="I168" s="23"/>
      <c r="J168" s="23"/>
      <c r="K168" s="24"/>
      <c r="L168" s="23"/>
      <c r="M168" s="23"/>
    </row>
    <row r="169" spans="1:13" ht="14.45">
      <c r="A169" s="23"/>
      <c r="B169" s="35"/>
      <c r="C169" s="23"/>
      <c r="D169" s="23"/>
      <c r="E169" s="23"/>
      <c r="F169" s="23"/>
      <c r="G169" s="23"/>
      <c r="H169" s="24"/>
      <c r="I169" s="23"/>
      <c r="J169" s="23"/>
      <c r="K169" s="24"/>
      <c r="L169" s="23"/>
      <c r="M169" s="23"/>
    </row>
    <row r="170" spans="1:13" ht="14.45">
      <c r="A170" s="23"/>
      <c r="B170" s="35"/>
      <c r="C170" s="23"/>
      <c r="D170" s="23"/>
      <c r="E170" s="23"/>
      <c r="F170" s="23"/>
      <c r="G170" s="23"/>
      <c r="H170" s="24"/>
      <c r="I170" s="23"/>
      <c r="J170" s="23"/>
      <c r="K170" s="24"/>
      <c r="L170" s="23"/>
      <c r="M170" s="23"/>
    </row>
    <row r="171" spans="1:13" ht="14.45">
      <c r="A171" s="23"/>
      <c r="B171" s="35"/>
      <c r="C171" s="23"/>
      <c r="D171" s="23"/>
      <c r="E171" s="23"/>
      <c r="F171" s="23"/>
      <c r="G171" s="23"/>
      <c r="H171" s="24"/>
      <c r="I171" s="23"/>
      <c r="J171" s="23"/>
      <c r="K171" s="24"/>
      <c r="L171" s="23"/>
      <c r="M171" s="23"/>
    </row>
    <row r="172" spans="1:13" ht="14.45">
      <c r="A172" s="23"/>
      <c r="B172" s="35"/>
      <c r="C172" s="23"/>
      <c r="D172" s="23"/>
      <c r="E172" s="23"/>
      <c r="F172" s="23"/>
      <c r="G172" s="23"/>
      <c r="H172" s="24"/>
      <c r="I172" s="23"/>
      <c r="J172" s="23"/>
      <c r="K172" s="24"/>
      <c r="L172" s="23"/>
      <c r="M172" s="23"/>
    </row>
    <row r="173" spans="1:13" ht="14.45">
      <c r="A173" s="23"/>
      <c r="B173" s="35"/>
      <c r="C173" s="23"/>
      <c r="D173" s="23"/>
      <c r="E173" s="23"/>
      <c r="F173" s="23"/>
      <c r="G173" s="23"/>
      <c r="H173" s="24"/>
      <c r="I173" s="23"/>
      <c r="J173" s="23"/>
      <c r="K173" s="24"/>
      <c r="L173" s="23"/>
      <c r="M173" s="23"/>
    </row>
    <row r="174" spans="1:13" ht="14.45">
      <c r="A174" s="23"/>
      <c r="B174" s="35"/>
      <c r="C174" s="23"/>
      <c r="D174" s="23"/>
      <c r="E174" s="23"/>
      <c r="F174" s="23"/>
      <c r="G174" s="23"/>
      <c r="H174" s="24"/>
      <c r="I174" s="23"/>
      <c r="J174" s="23"/>
      <c r="K174" s="24"/>
      <c r="L174" s="23"/>
      <c r="M174" s="23"/>
    </row>
    <row r="175" spans="1:13" ht="14.45">
      <c r="A175" s="23"/>
      <c r="B175" s="35"/>
      <c r="C175" s="23"/>
      <c r="D175" s="23"/>
      <c r="E175" s="23"/>
      <c r="F175" s="23"/>
      <c r="G175" s="23"/>
      <c r="H175" s="24"/>
      <c r="I175" s="23"/>
      <c r="J175" s="23"/>
      <c r="K175" s="24"/>
      <c r="L175" s="23"/>
      <c r="M175" s="23"/>
    </row>
    <row r="176" spans="1:13" ht="14.45">
      <c r="A176" s="23"/>
      <c r="B176" s="35"/>
      <c r="C176" s="23"/>
      <c r="D176" s="23"/>
      <c r="E176" s="23"/>
      <c r="F176" s="23"/>
      <c r="G176" s="23"/>
      <c r="H176" s="24"/>
      <c r="I176" s="23"/>
      <c r="J176" s="23"/>
      <c r="K176" s="24"/>
      <c r="L176" s="23"/>
      <c r="M176" s="23"/>
    </row>
    <row r="177" spans="1:13" ht="14.45">
      <c r="A177" s="23"/>
      <c r="B177" s="35"/>
      <c r="C177" s="23"/>
      <c r="D177" s="23"/>
      <c r="E177" s="23"/>
      <c r="F177" s="23"/>
      <c r="G177" s="23"/>
      <c r="H177" s="24"/>
      <c r="I177" s="23"/>
      <c r="J177" s="23"/>
      <c r="K177" s="24"/>
      <c r="L177" s="23"/>
      <c r="M177" s="23"/>
    </row>
    <row r="178" spans="1:13" ht="14.45">
      <c r="A178" s="23"/>
      <c r="B178" s="35"/>
      <c r="C178" s="23"/>
      <c r="D178" s="23"/>
      <c r="E178" s="23"/>
      <c r="F178" s="23"/>
      <c r="G178" s="23"/>
      <c r="H178" s="24"/>
      <c r="I178" s="23"/>
      <c r="J178" s="23"/>
      <c r="K178" s="24"/>
      <c r="L178" s="23"/>
      <c r="M178" s="23"/>
    </row>
    <row r="179" spans="1:13" ht="14.45">
      <c r="A179" s="23"/>
      <c r="B179" s="35"/>
      <c r="C179" s="23"/>
      <c r="D179" s="23"/>
      <c r="E179" s="23"/>
      <c r="F179" s="23"/>
      <c r="G179" s="23"/>
      <c r="H179" s="24"/>
      <c r="I179" s="23"/>
      <c r="J179" s="23"/>
      <c r="K179" s="24"/>
      <c r="L179" s="23"/>
      <c r="M179" s="23"/>
    </row>
    <row r="180" spans="1:13" ht="14.45">
      <c r="A180" s="23"/>
      <c r="B180" s="35"/>
      <c r="C180" s="23"/>
      <c r="D180" s="23"/>
      <c r="E180" s="23"/>
      <c r="F180" s="23"/>
      <c r="G180" s="23"/>
      <c r="H180" s="24"/>
      <c r="I180" s="23"/>
      <c r="J180" s="23"/>
      <c r="K180" s="24"/>
      <c r="L180" s="23"/>
      <c r="M180" s="23"/>
    </row>
    <row r="181" spans="1:13" ht="14.45">
      <c r="A181" s="23"/>
      <c r="B181" s="35"/>
      <c r="C181" s="23"/>
      <c r="D181" s="23"/>
      <c r="E181" s="23"/>
      <c r="F181" s="23"/>
      <c r="G181" s="23"/>
      <c r="H181" s="24"/>
      <c r="I181" s="23"/>
      <c r="J181" s="23"/>
      <c r="K181" s="24"/>
      <c r="L181" s="23"/>
      <c r="M181" s="23"/>
    </row>
    <row r="182" spans="1:13" ht="14.45">
      <c r="A182" s="23"/>
      <c r="B182" s="35"/>
      <c r="C182" s="23"/>
      <c r="D182" s="23"/>
      <c r="E182" s="23"/>
      <c r="F182" s="23"/>
      <c r="G182" s="23"/>
      <c r="H182" s="24"/>
      <c r="I182" s="23"/>
      <c r="J182" s="23"/>
      <c r="K182" s="24"/>
      <c r="L182" s="23"/>
      <c r="M182" s="23"/>
    </row>
    <row r="183" spans="1:13" ht="14.45">
      <c r="A183" s="23"/>
      <c r="B183" s="35"/>
      <c r="C183" s="23"/>
      <c r="D183" s="23"/>
      <c r="E183" s="23"/>
      <c r="F183" s="23"/>
      <c r="G183" s="23"/>
      <c r="H183" s="24"/>
      <c r="I183" s="23"/>
      <c r="J183" s="23"/>
      <c r="K183" s="24"/>
      <c r="L183" s="23"/>
      <c r="M183" s="23"/>
    </row>
    <row r="184" spans="1:13" ht="14.45">
      <c r="A184" s="23"/>
      <c r="B184" s="35"/>
      <c r="C184" s="23"/>
      <c r="D184" s="23"/>
      <c r="E184" s="23"/>
      <c r="F184" s="23"/>
      <c r="G184" s="23"/>
      <c r="H184" s="24"/>
      <c r="I184" s="23"/>
      <c r="J184" s="23"/>
      <c r="K184" s="24"/>
      <c r="L184" s="23"/>
      <c r="M184" s="23"/>
    </row>
    <row r="185" spans="1:13" ht="14.45">
      <c r="A185" s="23"/>
      <c r="B185" s="35"/>
      <c r="C185" s="23"/>
      <c r="D185" s="23"/>
      <c r="E185" s="23"/>
      <c r="F185" s="23"/>
      <c r="G185" s="23"/>
      <c r="H185" s="24"/>
      <c r="I185" s="23"/>
      <c r="J185" s="23"/>
      <c r="K185" s="24"/>
      <c r="L185" s="23"/>
      <c r="M185" s="23"/>
    </row>
    <row r="186" spans="1:13" ht="14.45">
      <c r="A186" s="23"/>
      <c r="B186" s="35"/>
      <c r="C186" s="23"/>
      <c r="D186" s="23"/>
      <c r="E186" s="23"/>
      <c r="F186" s="23"/>
      <c r="G186" s="23"/>
      <c r="H186" s="24"/>
      <c r="I186" s="23"/>
      <c r="J186" s="23"/>
      <c r="K186" s="24"/>
      <c r="L186" s="23"/>
      <c r="M186" s="23"/>
    </row>
    <row r="187" spans="1:13" ht="14.45">
      <c r="A187" s="23"/>
      <c r="B187" s="35"/>
      <c r="C187" s="23"/>
      <c r="D187" s="23"/>
      <c r="E187" s="23"/>
      <c r="F187" s="23"/>
      <c r="G187" s="23"/>
      <c r="H187" s="24"/>
      <c r="I187" s="23"/>
      <c r="J187" s="23"/>
      <c r="K187" s="24"/>
      <c r="L187" s="23"/>
      <c r="M187" s="23"/>
    </row>
    <row r="188" spans="1:13" ht="14.45">
      <c r="A188" s="23"/>
      <c r="B188" s="35"/>
      <c r="C188" s="23"/>
      <c r="D188" s="23"/>
      <c r="E188" s="23"/>
      <c r="F188" s="23"/>
      <c r="G188" s="23"/>
      <c r="H188" s="24"/>
      <c r="I188" s="23"/>
      <c r="J188" s="23"/>
      <c r="K188" s="24"/>
      <c r="L188" s="23"/>
      <c r="M188" s="23"/>
    </row>
    <row r="189" spans="1:13" ht="14.45">
      <c r="A189" s="23"/>
      <c r="B189" s="35"/>
      <c r="C189" s="23"/>
      <c r="D189" s="23"/>
      <c r="E189" s="23"/>
      <c r="F189" s="23"/>
      <c r="G189" s="23"/>
      <c r="H189" s="24"/>
      <c r="I189" s="23"/>
      <c r="J189" s="23"/>
      <c r="K189" s="24"/>
      <c r="L189" s="23"/>
      <c r="M189" s="23"/>
    </row>
    <row r="190" spans="1:13" ht="14.45">
      <c r="A190" s="23"/>
      <c r="B190" s="35"/>
      <c r="C190" s="23"/>
      <c r="D190" s="23"/>
      <c r="E190" s="23"/>
      <c r="F190" s="23"/>
      <c r="G190" s="23"/>
      <c r="H190" s="24"/>
      <c r="I190" s="23"/>
      <c r="J190" s="23"/>
      <c r="K190" s="24"/>
      <c r="L190" s="23"/>
      <c r="M190" s="23"/>
    </row>
    <row r="191" spans="1:13" ht="14.45">
      <c r="A191" s="23"/>
      <c r="B191" s="35"/>
      <c r="C191" s="23"/>
      <c r="D191" s="23"/>
      <c r="E191" s="23"/>
      <c r="F191" s="23"/>
      <c r="G191" s="23"/>
      <c r="H191" s="24"/>
      <c r="I191" s="23"/>
      <c r="J191" s="23"/>
      <c r="K191" s="24"/>
      <c r="L191" s="23"/>
      <c r="M191" s="23"/>
    </row>
    <row r="192" spans="1:13" ht="14.45">
      <c r="A192" s="23"/>
      <c r="B192" s="35"/>
      <c r="C192" s="23"/>
      <c r="D192" s="23"/>
      <c r="E192" s="23"/>
      <c r="F192" s="23"/>
      <c r="G192" s="23"/>
      <c r="H192" s="24"/>
      <c r="I192" s="23"/>
      <c r="J192" s="23"/>
      <c r="K192" s="24"/>
      <c r="L192" s="23"/>
      <c r="M192" s="23"/>
    </row>
    <row r="193" spans="1:13" ht="14.45">
      <c r="A193" s="23"/>
      <c r="B193" s="35"/>
      <c r="C193" s="23"/>
      <c r="D193" s="23"/>
      <c r="E193" s="23"/>
      <c r="F193" s="23"/>
      <c r="G193" s="23"/>
      <c r="H193" s="24"/>
      <c r="I193" s="23"/>
      <c r="J193" s="23"/>
      <c r="K193" s="24"/>
      <c r="L193" s="23"/>
      <c r="M193" s="23"/>
    </row>
    <row r="194" spans="1:13" ht="14.45">
      <c r="A194" s="23"/>
      <c r="B194" s="35"/>
      <c r="C194" s="23"/>
      <c r="D194" s="23"/>
      <c r="E194" s="23"/>
      <c r="F194" s="23"/>
      <c r="G194" s="23"/>
      <c r="H194" s="24"/>
      <c r="I194" s="23"/>
      <c r="J194" s="23"/>
      <c r="K194" s="24"/>
      <c r="L194" s="23"/>
      <c r="M194" s="23"/>
    </row>
    <row r="195" spans="1:13" ht="14.45">
      <c r="A195" s="23"/>
      <c r="B195" s="35"/>
      <c r="C195" s="23"/>
      <c r="D195" s="23"/>
      <c r="E195" s="23"/>
      <c r="F195" s="23"/>
      <c r="G195" s="23"/>
      <c r="H195" s="24"/>
      <c r="I195" s="23"/>
      <c r="J195" s="23"/>
      <c r="K195" s="24"/>
      <c r="L195" s="23"/>
      <c r="M195" s="23"/>
    </row>
    <row r="196" spans="1:13" ht="14.45">
      <c r="A196" s="23"/>
      <c r="B196" s="35"/>
      <c r="C196" s="23"/>
      <c r="D196" s="23"/>
      <c r="E196" s="23"/>
      <c r="F196" s="23"/>
      <c r="G196" s="23"/>
      <c r="H196" s="24"/>
      <c r="I196" s="23"/>
      <c r="J196" s="23"/>
      <c r="K196" s="24"/>
      <c r="L196" s="23"/>
      <c r="M196" s="23"/>
    </row>
    <row r="197" spans="1:13" ht="14.45">
      <c r="A197" s="23"/>
      <c r="B197" s="35"/>
      <c r="C197" s="23"/>
      <c r="D197" s="23"/>
      <c r="E197" s="23"/>
      <c r="F197" s="23"/>
      <c r="G197" s="23"/>
      <c r="H197" s="24"/>
      <c r="I197" s="23"/>
      <c r="J197" s="23"/>
      <c r="K197" s="24"/>
      <c r="L197" s="23"/>
      <c r="M197" s="23"/>
    </row>
    <row r="198" spans="1:13" ht="14.45">
      <c r="A198" s="23"/>
      <c r="B198" s="35"/>
      <c r="C198" s="23"/>
      <c r="D198" s="23"/>
      <c r="E198" s="23"/>
      <c r="F198" s="23"/>
      <c r="G198" s="23"/>
      <c r="H198" s="24"/>
      <c r="I198" s="23"/>
      <c r="J198" s="23"/>
      <c r="K198" s="24"/>
      <c r="L198" s="23"/>
      <c r="M198" s="23"/>
    </row>
    <row r="199" spans="1:13" ht="14.45">
      <c r="A199" s="23"/>
      <c r="B199" s="35"/>
      <c r="C199" s="23"/>
      <c r="D199" s="23"/>
      <c r="E199" s="23"/>
      <c r="F199" s="23"/>
      <c r="G199" s="23"/>
      <c r="H199" s="24"/>
      <c r="I199" s="23"/>
      <c r="J199" s="23"/>
      <c r="K199" s="24"/>
      <c r="L199" s="23"/>
      <c r="M199" s="23"/>
    </row>
    <row r="200" spans="1:13" ht="14.45">
      <c r="A200" s="23"/>
      <c r="B200" s="35"/>
      <c r="C200" s="23"/>
      <c r="D200" s="23"/>
      <c r="E200" s="23"/>
      <c r="F200" s="23"/>
      <c r="G200" s="23"/>
      <c r="H200" s="24"/>
      <c r="I200" s="23"/>
      <c r="J200" s="23"/>
      <c r="K200" s="24"/>
      <c r="L200" s="23"/>
      <c r="M200" s="23"/>
    </row>
    <row r="201" spans="1:13" ht="14.45">
      <c r="A201" s="23"/>
      <c r="B201" s="35"/>
      <c r="C201" s="23"/>
      <c r="D201" s="23"/>
      <c r="E201" s="23"/>
      <c r="F201" s="23"/>
      <c r="G201" s="23"/>
      <c r="H201" s="24"/>
      <c r="I201" s="23"/>
      <c r="J201" s="23"/>
      <c r="K201" s="24"/>
      <c r="L201" s="23"/>
      <c r="M201" s="23"/>
    </row>
    <row r="202" spans="1:13" ht="14.45">
      <c r="A202" s="23"/>
      <c r="B202" s="35"/>
      <c r="C202" s="23"/>
      <c r="D202" s="23"/>
      <c r="E202" s="23"/>
      <c r="F202" s="23"/>
      <c r="G202" s="23"/>
      <c r="H202" s="24"/>
      <c r="I202" s="23"/>
      <c r="J202" s="23"/>
      <c r="K202" s="24"/>
      <c r="L202" s="23"/>
      <c r="M202" s="23"/>
    </row>
    <row r="203" spans="1:13" ht="14.45">
      <c r="A203" s="23"/>
      <c r="B203" s="35"/>
      <c r="C203" s="23"/>
      <c r="D203" s="23"/>
      <c r="E203" s="23"/>
      <c r="F203" s="23"/>
      <c r="G203" s="23"/>
      <c r="H203" s="24"/>
      <c r="I203" s="23"/>
      <c r="J203" s="23"/>
      <c r="K203" s="24"/>
      <c r="L203" s="23"/>
      <c r="M203" s="23"/>
    </row>
    <row r="204" spans="1:13" ht="14.45">
      <c r="A204" s="23"/>
      <c r="B204" s="35"/>
      <c r="C204" s="23"/>
      <c r="D204" s="23"/>
      <c r="E204" s="23"/>
      <c r="F204" s="23"/>
      <c r="G204" s="23"/>
      <c r="H204" s="24"/>
      <c r="I204" s="23"/>
      <c r="J204" s="23"/>
      <c r="K204" s="24"/>
      <c r="L204" s="23"/>
      <c r="M204" s="23"/>
    </row>
    <row r="205" spans="1:13" ht="14.45">
      <c r="A205" s="23"/>
      <c r="B205" s="35"/>
      <c r="C205" s="23"/>
      <c r="D205" s="23"/>
      <c r="E205" s="23"/>
      <c r="F205" s="23"/>
      <c r="G205" s="23"/>
      <c r="H205" s="24"/>
      <c r="I205" s="23"/>
      <c r="J205" s="23"/>
      <c r="K205" s="24"/>
      <c r="L205" s="23"/>
      <c r="M205" s="23"/>
    </row>
    <row r="206" spans="1:13" ht="14.45">
      <c r="A206" s="23"/>
      <c r="B206" s="35"/>
      <c r="C206" s="23"/>
      <c r="D206" s="23"/>
      <c r="E206" s="23"/>
      <c r="F206" s="23"/>
      <c r="G206" s="23"/>
      <c r="H206" s="24"/>
      <c r="I206" s="23"/>
      <c r="J206" s="23"/>
      <c r="K206" s="24"/>
      <c r="L206" s="23"/>
      <c r="M206" s="23"/>
    </row>
    <row r="207" spans="1:13" ht="14.45">
      <c r="A207" s="23"/>
      <c r="B207" s="35"/>
      <c r="C207" s="23"/>
      <c r="D207" s="23"/>
      <c r="E207" s="23"/>
      <c r="F207" s="23"/>
      <c r="G207" s="23"/>
      <c r="H207" s="24"/>
      <c r="I207" s="23"/>
      <c r="J207" s="23"/>
      <c r="K207" s="24"/>
      <c r="L207" s="23"/>
      <c r="M207" s="23"/>
    </row>
    <row r="208" spans="1:13" ht="14.45">
      <c r="A208" s="23"/>
      <c r="B208" s="35"/>
      <c r="C208" s="23"/>
      <c r="D208" s="23"/>
      <c r="E208" s="23"/>
      <c r="F208" s="23"/>
      <c r="G208" s="23"/>
      <c r="H208" s="24"/>
      <c r="I208" s="23"/>
      <c r="J208" s="23"/>
      <c r="K208" s="24"/>
      <c r="L208" s="23"/>
      <c r="M208" s="23"/>
    </row>
    <row r="209" spans="1:13" ht="14.45">
      <c r="A209" s="23"/>
      <c r="B209" s="35"/>
      <c r="C209" s="23"/>
      <c r="D209" s="23"/>
      <c r="E209" s="23"/>
      <c r="F209" s="23"/>
      <c r="G209" s="23"/>
      <c r="H209" s="24"/>
      <c r="I209" s="23"/>
      <c r="J209" s="23"/>
      <c r="K209" s="24"/>
      <c r="L209" s="23"/>
      <c r="M209" s="23"/>
    </row>
    <row r="210" spans="1:13" ht="14.45">
      <c r="A210" s="23"/>
      <c r="B210" s="35"/>
      <c r="C210" s="23"/>
      <c r="D210" s="23"/>
      <c r="E210" s="23"/>
      <c r="F210" s="23"/>
      <c r="G210" s="23"/>
      <c r="H210" s="24"/>
      <c r="I210" s="23"/>
      <c r="J210" s="23"/>
      <c r="K210" s="24"/>
      <c r="L210" s="23"/>
      <c r="M210" s="23"/>
    </row>
    <row r="211" spans="1:13" ht="14.45">
      <c r="A211" s="23"/>
      <c r="B211" s="35"/>
      <c r="C211" s="23"/>
      <c r="D211" s="23"/>
      <c r="E211" s="23"/>
      <c r="F211" s="23"/>
      <c r="G211" s="23"/>
      <c r="H211" s="24"/>
      <c r="I211" s="23"/>
      <c r="J211" s="23"/>
      <c r="K211" s="24"/>
      <c r="L211" s="23"/>
      <c r="M211" s="23"/>
    </row>
    <row r="212" spans="1:13" ht="14.45">
      <c r="A212" s="23"/>
      <c r="B212" s="35"/>
      <c r="C212" s="23"/>
      <c r="D212" s="23"/>
      <c r="E212" s="23"/>
      <c r="F212" s="23"/>
      <c r="G212" s="23"/>
      <c r="H212" s="24"/>
      <c r="I212" s="23"/>
      <c r="J212" s="23"/>
      <c r="K212" s="24"/>
      <c r="L212" s="23"/>
      <c r="M212" s="23"/>
    </row>
    <row r="213" spans="1:13" ht="14.45">
      <c r="A213" s="23"/>
      <c r="B213" s="35"/>
      <c r="C213" s="23"/>
      <c r="D213" s="23"/>
      <c r="E213" s="23"/>
      <c r="F213" s="23"/>
      <c r="G213" s="23"/>
      <c r="H213" s="24"/>
      <c r="I213" s="23"/>
      <c r="J213" s="23"/>
      <c r="K213" s="24"/>
      <c r="L213" s="23"/>
      <c r="M213" s="23"/>
    </row>
    <row r="214" spans="1:13" ht="14.45">
      <c r="A214" s="23"/>
      <c r="B214" s="35"/>
      <c r="C214" s="23"/>
      <c r="D214" s="23"/>
      <c r="E214" s="23"/>
      <c r="F214" s="23"/>
      <c r="G214" s="23"/>
      <c r="H214" s="24"/>
      <c r="I214" s="23"/>
      <c r="J214" s="23"/>
      <c r="K214" s="24"/>
      <c r="L214" s="23"/>
      <c r="M214" s="23"/>
    </row>
    <row r="215" spans="1:13" ht="14.45">
      <c r="A215" s="23"/>
      <c r="B215" s="35"/>
      <c r="C215" s="23"/>
      <c r="D215" s="23"/>
      <c r="E215" s="23"/>
      <c r="F215" s="23"/>
      <c r="G215" s="23"/>
      <c r="H215" s="24"/>
      <c r="I215" s="23"/>
      <c r="J215" s="23"/>
      <c r="K215" s="24"/>
      <c r="L215" s="23"/>
      <c r="M215" s="23"/>
    </row>
    <row r="216" spans="1:13" ht="14.45">
      <c r="A216" s="23"/>
      <c r="B216" s="35"/>
      <c r="C216" s="23"/>
      <c r="D216" s="23"/>
      <c r="E216" s="23"/>
      <c r="F216" s="23"/>
      <c r="G216" s="23"/>
      <c r="H216" s="24"/>
      <c r="I216" s="23"/>
      <c r="J216" s="23"/>
      <c r="K216" s="24"/>
      <c r="L216" s="23"/>
      <c r="M216" s="23"/>
    </row>
    <row r="217" spans="1:13" ht="14.45">
      <c r="A217" s="23"/>
      <c r="B217" s="35"/>
      <c r="C217" s="23"/>
      <c r="D217" s="23"/>
      <c r="E217" s="23"/>
      <c r="F217" s="23"/>
      <c r="G217" s="23"/>
      <c r="H217" s="24"/>
      <c r="I217" s="23"/>
      <c r="J217" s="23"/>
      <c r="K217" s="24"/>
      <c r="L217" s="23"/>
      <c r="M217" s="23"/>
    </row>
    <row r="218" spans="1:13" ht="14.45">
      <c r="A218" s="23"/>
      <c r="B218" s="35"/>
      <c r="C218" s="23"/>
      <c r="D218" s="23"/>
      <c r="E218" s="23"/>
      <c r="F218" s="23"/>
      <c r="G218" s="23"/>
      <c r="H218" s="24"/>
      <c r="I218" s="23"/>
      <c r="J218" s="23"/>
      <c r="K218" s="24"/>
      <c r="L218" s="23"/>
      <c r="M218" s="23"/>
    </row>
    <row r="219" spans="1:13" ht="14.45">
      <c r="A219" s="23"/>
      <c r="B219" s="35"/>
      <c r="C219" s="23"/>
      <c r="D219" s="23"/>
      <c r="E219" s="23"/>
      <c r="F219" s="23"/>
      <c r="G219" s="23"/>
      <c r="H219" s="24"/>
      <c r="I219" s="23"/>
      <c r="J219" s="23"/>
      <c r="K219" s="24"/>
      <c r="L219" s="23"/>
      <c r="M219" s="23"/>
    </row>
    <row r="220" spans="1:13" ht="14.45">
      <c r="A220" s="23"/>
      <c r="B220" s="35"/>
      <c r="C220" s="23"/>
      <c r="D220" s="23"/>
      <c r="E220" s="23"/>
      <c r="F220" s="23"/>
      <c r="G220" s="23"/>
      <c r="H220" s="24"/>
      <c r="I220" s="23"/>
      <c r="J220" s="23"/>
      <c r="K220" s="24"/>
      <c r="L220" s="23"/>
      <c r="M220" s="23"/>
    </row>
    <row r="221" spans="1:13" ht="14.45">
      <c r="A221" s="23"/>
      <c r="B221" s="35"/>
      <c r="C221" s="23"/>
      <c r="D221" s="23"/>
      <c r="E221" s="23"/>
      <c r="F221" s="23"/>
      <c r="G221" s="23"/>
      <c r="H221" s="24"/>
      <c r="I221" s="23"/>
      <c r="J221" s="23"/>
      <c r="K221" s="24"/>
      <c r="L221" s="23"/>
      <c r="M221" s="23"/>
    </row>
    <row r="222" spans="1:13" ht="14.45">
      <c r="A222" s="23"/>
      <c r="B222" s="35"/>
      <c r="C222" s="23"/>
      <c r="D222" s="23"/>
      <c r="E222" s="23"/>
      <c r="F222" s="23"/>
      <c r="G222" s="23"/>
      <c r="H222" s="24"/>
      <c r="I222" s="23"/>
      <c r="J222" s="23"/>
      <c r="K222" s="24"/>
      <c r="L222" s="23"/>
      <c r="M222" s="23"/>
    </row>
    <row r="223" spans="1:13" ht="14.45">
      <c r="A223" s="23"/>
      <c r="B223" s="35"/>
      <c r="C223" s="23"/>
      <c r="D223" s="23"/>
      <c r="E223" s="23"/>
      <c r="F223" s="23"/>
      <c r="G223" s="23"/>
      <c r="H223" s="24"/>
      <c r="I223" s="23"/>
      <c r="J223" s="23"/>
      <c r="K223" s="24"/>
      <c r="L223" s="23"/>
      <c r="M223" s="23"/>
    </row>
    <row r="224" spans="1:13" ht="14.45">
      <c r="A224" s="23"/>
      <c r="B224" s="35"/>
      <c r="C224" s="23"/>
      <c r="D224" s="23"/>
      <c r="E224" s="23"/>
      <c r="F224" s="23"/>
      <c r="G224" s="23"/>
      <c r="H224" s="24"/>
      <c r="I224" s="23"/>
      <c r="J224" s="23"/>
      <c r="K224" s="24"/>
      <c r="L224" s="23"/>
      <c r="M224" s="23"/>
    </row>
    <row r="225" spans="1:13" ht="14.45">
      <c r="A225" s="23"/>
      <c r="B225" s="35"/>
      <c r="C225" s="23"/>
      <c r="D225" s="23"/>
      <c r="E225" s="23"/>
      <c r="F225" s="23"/>
      <c r="G225" s="23"/>
      <c r="H225" s="24"/>
      <c r="I225" s="23"/>
      <c r="J225" s="23"/>
      <c r="K225" s="24"/>
      <c r="L225" s="23"/>
      <c r="M225" s="23"/>
    </row>
    <row r="226" spans="1:13" ht="14.45">
      <c r="A226" s="23"/>
      <c r="B226" s="35"/>
      <c r="C226" s="23"/>
      <c r="D226" s="23"/>
      <c r="E226" s="23"/>
      <c r="F226" s="23"/>
      <c r="G226" s="23"/>
      <c r="H226" s="24"/>
      <c r="I226" s="23"/>
      <c r="J226" s="23"/>
      <c r="K226" s="24"/>
      <c r="L226" s="23"/>
      <c r="M226" s="23"/>
    </row>
    <row r="227" spans="1:13" ht="14.45">
      <c r="A227" s="23"/>
      <c r="B227" s="35"/>
      <c r="C227" s="23"/>
      <c r="D227" s="23"/>
      <c r="E227" s="23"/>
      <c r="F227" s="23"/>
      <c r="G227" s="23"/>
      <c r="H227" s="24"/>
      <c r="I227" s="23"/>
      <c r="J227" s="23"/>
      <c r="K227" s="24"/>
      <c r="L227" s="23"/>
      <c r="M227" s="23"/>
    </row>
    <row r="228" spans="1:13" ht="14.45">
      <c r="A228" s="23"/>
      <c r="B228" s="35"/>
      <c r="C228" s="23"/>
      <c r="D228" s="23"/>
      <c r="E228" s="23"/>
      <c r="F228" s="23"/>
      <c r="G228" s="23"/>
      <c r="H228" s="24"/>
      <c r="I228" s="23"/>
      <c r="J228" s="23"/>
      <c r="K228" s="24"/>
      <c r="L228" s="23"/>
      <c r="M228" s="23"/>
    </row>
    <row r="229" spans="1:13" ht="14.45">
      <c r="A229" s="23"/>
      <c r="B229" s="35"/>
      <c r="C229" s="23"/>
      <c r="D229" s="23"/>
      <c r="E229" s="23"/>
      <c r="F229" s="23"/>
      <c r="G229" s="23"/>
      <c r="H229" s="24"/>
      <c r="I229" s="23"/>
      <c r="J229" s="23"/>
      <c r="K229" s="24"/>
      <c r="L229" s="23"/>
      <c r="M229" s="23"/>
    </row>
    <row r="230" spans="1:13" ht="14.45">
      <c r="A230" s="23"/>
      <c r="B230" s="35"/>
      <c r="C230" s="23"/>
      <c r="D230" s="23"/>
      <c r="E230" s="23"/>
      <c r="F230" s="23"/>
      <c r="G230" s="23"/>
      <c r="H230" s="24"/>
      <c r="I230" s="23"/>
      <c r="J230" s="23"/>
      <c r="K230" s="24"/>
      <c r="L230" s="23"/>
      <c r="M230" s="23"/>
    </row>
    <row r="231" spans="1:13" ht="14.45">
      <c r="A231" s="23"/>
      <c r="B231" s="35"/>
      <c r="C231" s="23"/>
      <c r="D231" s="23"/>
      <c r="E231" s="23"/>
      <c r="F231" s="23"/>
      <c r="G231" s="23"/>
      <c r="H231" s="24"/>
      <c r="I231" s="23"/>
      <c r="J231" s="23"/>
      <c r="K231" s="24"/>
      <c r="L231" s="23"/>
      <c r="M231" s="23"/>
    </row>
    <row r="232" spans="1:13" ht="14.45">
      <c r="A232" s="23"/>
      <c r="B232" s="35"/>
      <c r="C232" s="23"/>
      <c r="D232" s="23"/>
      <c r="E232" s="23"/>
      <c r="F232" s="23"/>
      <c r="G232" s="23"/>
      <c r="H232" s="24"/>
      <c r="I232" s="23"/>
      <c r="J232" s="23"/>
      <c r="K232" s="24"/>
      <c r="L232" s="23"/>
      <c r="M232" s="23"/>
    </row>
    <row r="233" spans="1:13" ht="14.45">
      <c r="A233" s="23"/>
      <c r="B233" s="35"/>
      <c r="C233" s="23"/>
      <c r="D233" s="23"/>
      <c r="E233" s="23"/>
      <c r="F233" s="23"/>
      <c r="G233" s="23"/>
      <c r="H233" s="24"/>
      <c r="I233" s="23"/>
      <c r="J233" s="23"/>
      <c r="K233" s="24"/>
      <c r="L233" s="23"/>
      <c r="M233" s="23"/>
    </row>
    <row r="234" spans="1:13" ht="14.45">
      <c r="A234" s="23"/>
      <c r="B234" s="35"/>
      <c r="C234" s="23"/>
      <c r="D234" s="23"/>
      <c r="E234" s="23"/>
      <c r="F234" s="23"/>
      <c r="G234" s="23"/>
      <c r="H234" s="24"/>
      <c r="I234" s="23"/>
      <c r="J234" s="23"/>
      <c r="K234" s="24"/>
      <c r="L234" s="23"/>
      <c r="M234" s="23"/>
    </row>
    <row r="235" spans="1:13" ht="14.45">
      <c r="A235" s="23"/>
      <c r="B235" s="35"/>
      <c r="C235" s="23"/>
      <c r="D235" s="23"/>
      <c r="E235" s="23"/>
      <c r="F235" s="23"/>
      <c r="G235" s="23"/>
      <c r="H235" s="24"/>
      <c r="I235" s="23"/>
      <c r="J235" s="23"/>
      <c r="K235" s="24"/>
      <c r="L235" s="23"/>
      <c r="M235" s="23"/>
    </row>
    <row r="236" spans="1:13" ht="14.45">
      <c r="A236" s="23"/>
      <c r="B236" s="35"/>
      <c r="C236" s="23"/>
      <c r="D236" s="23"/>
      <c r="E236" s="23"/>
      <c r="F236" s="23"/>
      <c r="G236" s="23"/>
      <c r="H236" s="24"/>
      <c r="I236" s="23"/>
      <c r="J236" s="23"/>
      <c r="K236" s="24"/>
      <c r="L236" s="23"/>
      <c r="M236" s="23"/>
    </row>
    <row r="237" spans="1:13" ht="14.45">
      <c r="A237" s="23"/>
      <c r="B237" s="35"/>
      <c r="C237" s="23"/>
      <c r="D237" s="23"/>
      <c r="E237" s="23"/>
      <c r="F237" s="23"/>
      <c r="G237" s="23"/>
      <c r="H237" s="24"/>
      <c r="I237" s="23"/>
      <c r="J237" s="23"/>
      <c r="K237" s="24"/>
      <c r="L237" s="23"/>
      <c r="M237" s="23"/>
    </row>
    <row r="238" spans="1:13" ht="14.45">
      <c r="A238" s="23"/>
      <c r="B238" s="35"/>
      <c r="C238" s="23"/>
      <c r="D238" s="23"/>
      <c r="E238" s="23"/>
      <c r="F238" s="23"/>
      <c r="G238" s="23"/>
      <c r="H238" s="24"/>
      <c r="I238" s="23"/>
      <c r="J238" s="23"/>
      <c r="K238" s="24"/>
      <c r="L238" s="23"/>
      <c r="M238" s="23"/>
    </row>
    <row r="239" spans="1:13" ht="14.45">
      <c r="A239" s="23"/>
      <c r="B239" s="35"/>
      <c r="C239" s="23"/>
      <c r="D239" s="23"/>
      <c r="E239" s="23"/>
      <c r="F239" s="23"/>
      <c r="G239" s="23"/>
      <c r="H239" s="24"/>
      <c r="I239" s="23"/>
      <c r="J239" s="23"/>
      <c r="K239" s="24"/>
      <c r="L239" s="23"/>
      <c r="M239" s="23"/>
    </row>
    <row r="240" spans="1:13" ht="14.45">
      <c r="A240" s="23"/>
      <c r="B240" s="35"/>
      <c r="C240" s="23"/>
      <c r="D240" s="23"/>
      <c r="E240" s="23"/>
      <c r="F240" s="23"/>
      <c r="G240" s="23"/>
      <c r="H240" s="24"/>
      <c r="I240" s="23"/>
      <c r="J240" s="23"/>
      <c r="K240" s="24"/>
      <c r="L240" s="23"/>
      <c r="M240" s="23"/>
    </row>
    <row r="241" spans="1:13" ht="14.45">
      <c r="A241" s="23"/>
      <c r="B241" s="35"/>
      <c r="C241" s="23"/>
      <c r="D241" s="23"/>
      <c r="E241" s="23"/>
      <c r="F241" s="23"/>
      <c r="G241" s="23"/>
      <c r="H241" s="24"/>
      <c r="I241" s="23"/>
      <c r="J241" s="23"/>
      <c r="K241" s="24"/>
      <c r="L241" s="23"/>
      <c r="M241" s="23"/>
    </row>
    <row r="242" spans="1:13" ht="14.45">
      <c r="A242" s="23"/>
      <c r="B242" s="35"/>
      <c r="C242" s="23"/>
      <c r="D242" s="23"/>
      <c r="E242" s="23"/>
      <c r="F242" s="23"/>
      <c r="G242" s="23"/>
      <c r="H242" s="24"/>
      <c r="I242" s="23"/>
      <c r="J242" s="23"/>
      <c r="K242" s="24"/>
      <c r="L242" s="23"/>
      <c r="M242" s="23"/>
    </row>
    <row r="243" spans="1:13" ht="14.45">
      <c r="A243" s="23"/>
      <c r="B243" s="35"/>
      <c r="C243" s="23"/>
      <c r="D243" s="23"/>
      <c r="E243" s="23"/>
      <c r="F243" s="23"/>
      <c r="G243" s="23"/>
      <c r="H243" s="24"/>
      <c r="I243" s="23"/>
      <c r="J243" s="23"/>
      <c r="K243" s="24"/>
      <c r="L243" s="23"/>
      <c r="M243" s="23"/>
    </row>
    <row r="244" spans="1:13" ht="14.45">
      <c r="A244" s="23"/>
      <c r="B244" s="35"/>
      <c r="C244" s="23"/>
      <c r="D244" s="23"/>
      <c r="E244" s="23"/>
      <c r="F244" s="23"/>
      <c r="G244" s="23"/>
      <c r="H244" s="24"/>
      <c r="I244" s="23"/>
      <c r="J244" s="23"/>
      <c r="K244" s="24"/>
      <c r="L244" s="23"/>
      <c r="M244" s="23"/>
    </row>
    <row r="245" spans="1:13" ht="14.45">
      <c r="A245" s="23"/>
      <c r="B245" s="35"/>
      <c r="C245" s="23"/>
      <c r="D245" s="23"/>
      <c r="E245" s="23"/>
      <c r="F245" s="23"/>
      <c r="G245" s="23"/>
      <c r="H245" s="24"/>
      <c r="I245" s="23"/>
      <c r="J245" s="23"/>
      <c r="K245" s="24"/>
      <c r="L245" s="23"/>
      <c r="M245" s="23"/>
    </row>
    <row r="246" spans="1:13" ht="14.45">
      <c r="A246" s="23"/>
      <c r="B246" s="35"/>
      <c r="C246" s="23"/>
      <c r="D246" s="23"/>
      <c r="E246" s="23"/>
      <c r="F246" s="23"/>
      <c r="G246" s="23"/>
      <c r="H246" s="24"/>
      <c r="I246" s="23"/>
      <c r="J246" s="23"/>
      <c r="K246" s="24"/>
      <c r="L246" s="23"/>
      <c r="M246" s="23"/>
    </row>
    <row r="247" spans="1:13" ht="14.45">
      <c r="A247" s="23"/>
      <c r="B247" s="35"/>
      <c r="C247" s="23"/>
      <c r="D247" s="23"/>
      <c r="E247" s="23"/>
      <c r="F247" s="23"/>
      <c r="G247" s="23"/>
      <c r="H247" s="24"/>
      <c r="I247" s="23"/>
      <c r="J247" s="23"/>
      <c r="K247" s="24"/>
      <c r="L247" s="23"/>
      <c r="M247" s="23"/>
    </row>
    <row r="248" spans="1:13" ht="14.45">
      <c r="A248" s="23"/>
      <c r="B248" s="35"/>
      <c r="C248" s="23"/>
      <c r="D248" s="23"/>
      <c r="E248" s="23"/>
      <c r="F248" s="23"/>
      <c r="G248" s="23"/>
      <c r="H248" s="24"/>
      <c r="I248" s="23"/>
      <c r="J248" s="23"/>
      <c r="K248" s="24"/>
      <c r="L248" s="23"/>
      <c r="M248" s="23"/>
    </row>
    <row r="249" spans="1:13" ht="14.45">
      <c r="A249" s="23"/>
      <c r="B249" s="35"/>
      <c r="C249" s="23"/>
      <c r="D249" s="23"/>
      <c r="E249" s="23"/>
      <c r="F249" s="23"/>
      <c r="G249" s="23"/>
      <c r="H249" s="24"/>
      <c r="I249" s="23"/>
      <c r="J249" s="23"/>
      <c r="K249" s="24"/>
      <c r="L249" s="23"/>
      <c r="M249" s="23"/>
    </row>
    <row r="250" spans="1:13" ht="14.45">
      <c r="A250" s="23"/>
      <c r="B250" s="35"/>
      <c r="C250" s="23"/>
      <c r="D250" s="23"/>
      <c r="E250" s="23"/>
      <c r="F250" s="23"/>
      <c r="G250" s="23"/>
      <c r="H250" s="24"/>
      <c r="I250" s="23"/>
      <c r="J250" s="23"/>
      <c r="K250" s="24"/>
      <c r="L250" s="23"/>
      <c r="M250" s="23"/>
    </row>
    <row r="251" spans="1:13" ht="14.45">
      <c r="A251" s="23"/>
      <c r="B251" s="35"/>
      <c r="C251" s="23"/>
      <c r="D251" s="23"/>
      <c r="E251" s="23"/>
      <c r="F251" s="23"/>
      <c r="G251" s="23"/>
      <c r="H251" s="24"/>
      <c r="I251" s="23"/>
      <c r="J251" s="23"/>
      <c r="K251" s="24"/>
      <c r="L251" s="23"/>
      <c r="M251" s="23"/>
    </row>
    <row r="252" spans="1:13" ht="14.45">
      <c r="A252" s="23"/>
      <c r="B252" s="35"/>
      <c r="C252" s="23"/>
      <c r="D252" s="23"/>
      <c r="E252" s="23"/>
      <c r="F252" s="23"/>
      <c r="G252" s="23"/>
      <c r="H252" s="24"/>
      <c r="I252" s="23"/>
      <c r="J252" s="23"/>
      <c r="K252" s="24"/>
      <c r="L252" s="23"/>
      <c r="M252" s="23"/>
    </row>
    <row r="253" spans="1:13" ht="14.45">
      <c r="A253" s="23"/>
      <c r="B253" s="35"/>
      <c r="C253" s="23"/>
      <c r="D253" s="23"/>
      <c r="E253" s="23"/>
      <c r="F253" s="23"/>
      <c r="G253" s="23"/>
      <c r="H253" s="24"/>
      <c r="I253" s="23"/>
      <c r="J253" s="23"/>
      <c r="K253" s="24"/>
      <c r="L253" s="23"/>
      <c r="M253" s="23"/>
    </row>
    <row r="254" spans="1:13" ht="14.45">
      <c r="A254" s="23"/>
      <c r="B254" s="35"/>
      <c r="C254" s="23"/>
      <c r="D254" s="23"/>
      <c r="E254" s="23"/>
      <c r="F254" s="23"/>
      <c r="G254" s="23"/>
      <c r="H254" s="24"/>
      <c r="I254" s="23"/>
      <c r="J254" s="23"/>
      <c r="K254" s="24"/>
      <c r="L254" s="23"/>
      <c r="M254" s="23"/>
    </row>
    <row r="255" spans="1:13" ht="14.45">
      <c r="A255" s="23"/>
      <c r="B255" s="35"/>
      <c r="C255" s="23"/>
      <c r="D255" s="23"/>
      <c r="E255" s="23"/>
      <c r="F255" s="23"/>
      <c r="G255" s="23"/>
      <c r="H255" s="24"/>
      <c r="I255" s="23"/>
      <c r="J255" s="23"/>
      <c r="K255" s="24"/>
      <c r="L255" s="23"/>
      <c r="M255" s="23"/>
    </row>
    <row r="256" spans="1:13" ht="14.45">
      <c r="A256" s="23"/>
      <c r="B256" s="35"/>
      <c r="C256" s="23"/>
      <c r="D256" s="23"/>
      <c r="E256" s="23"/>
      <c r="F256" s="23"/>
      <c r="G256" s="23"/>
      <c r="H256" s="24"/>
      <c r="I256" s="23"/>
      <c r="J256" s="23"/>
      <c r="K256" s="24"/>
      <c r="L256" s="23"/>
      <c r="M256" s="23"/>
    </row>
    <row r="257" spans="1:13" ht="14.45">
      <c r="A257" s="23"/>
      <c r="B257" s="35"/>
      <c r="C257" s="23"/>
      <c r="D257" s="23"/>
      <c r="E257" s="23"/>
      <c r="F257" s="23"/>
      <c r="G257" s="23"/>
      <c r="H257" s="24"/>
      <c r="I257" s="23"/>
      <c r="J257" s="23"/>
      <c r="K257" s="24"/>
      <c r="L257" s="23"/>
      <c r="M257" s="23"/>
    </row>
    <row r="258" spans="1:13" ht="14.45">
      <c r="A258" s="23"/>
      <c r="B258" s="35"/>
      <c r="C258" s="23"/>
      <c r="D258" s="23"/>
      <c r="E258" s="23"/>
      <c r="F258" s="23"/>
      <c r="G258" s="23"/>
      <c r="H258" s="24"/>
      <c r="I258" s="23"/>
      <c r="J258" s="23"/>
      <c r="K258" s="24"/>
      <c r="L258" s="23"/>
      <c r="M258" s="23"/>
    </row>
    <row r="259" spans="1:13" ht="14.45">
      <c r="A259" s="23"/>
      <c r="B259" s="35"/>
      <c r="C259" s="23"/>
      <c r="D259" s="23"/>
      <c r="E259" s="23"/>
      <c r="F259" s="23"/>
      <c r="G259" s="23"/>
      <c r="H259" s="24"/>
      <c r="I259" s="23"/>
      <c r="J259" s="23"/>
      <c r="K259" s="24"/>
      <c r="L259" s="23"/>
      <c r="M259" s="23"/>
    </row>
    <row r="260" spans="1:13" ht="14.45">
      <c r="A260" s="23"/>
      <c r="B260" s="35"/>
      <c r="C260" s="23"/>
      <c r="D260" s="23"/>
      <c r="E260" s="23"/>
      <c r="F260" s="23"/>
      <c r="G260" s="23"/>
      <c r="H260" s="24"/>
      <c r="I260" s="23"/>
      <c r="J260" s="23"/>
      <c r="K260" s="24"/>
      <c r="L260" s="23"/>
      <c r="M260" s="23"/>
    </row>
    <row r="261" spans="1:13" ht="14.45">
      <c r="A261" s="23"/>
      <c r="B261" s="35"/>
      <c r="C261" s="23"/>
      <c r="D261" s="23"/>
      <c r="E261" s="23"/>
      <c r="F261" s="23"/>
      <c r="G261" s="23"/>
      <c r="H261" s="24"/>
      <c r="I261" s="23"/>
      <c r="J261" s="23"/>
      <c r="K261" s="24"/>
      <c r="L261" s="23"/>
      <c r="M261" s="23"/>
    </row>
    <row r="262" spans="1:13" ht="14.45">
      <c r="A262" s="23"/>
      <c r="B262" s="35"/>
      <c r="C262" s="23"/>
      <c r="D262" s="23"/>
      <c r="E262" s="23"/>
      <c r="F262" s="23"/>
      <c r="G262" s="23"/>
      <c r="H262" s="24"/>
      <c r="I262" s="23"/>
      <c r="J262" s="23"/>
      <c r="K262" s="24"/>
      <c r="L262" s="23"/>
      <c r="M262" s="23"/>
    </row>
    <row r="263" spans="1:13" ht="14.45">
      <c r="A263" s="23"/>
      <c r="B263" s="35"/>
      <c r="C263" s="23"/>
      <c r="D263" s="23"/>
      <c r="E263" s="23"/>
      <c r="F263" s="23"/>
      <c r="G263" s="23"/>
      <c r="H263" s="24"/>
      <c r="I263" s="23"/>
      <c r="J263" s="23"/>
      <c r="K263" s="24"/>
      <c r="L263" s="23"/>
      <c r="M263" s="23"/>
    </row>
    <row r="264" spans="1:13" ht="14.45">
      <c r="A264" s="23"/>
      <c r="B264" s="35"/>
      <c r="C264" s="23"/>
      <c r="D264" s="23"/>
      <c r="E264" s="23"/>
      <c r="F264" s="23"/>
      <c r="G264" s="23"/>
      <c r="H264" s="24"/>
      <c r="I264" s="23"/>
      <c r="J264" s="23"/>
      <c r="K264" s="24"/>
      <c r="L264" s="23"/>
      <c r="M264" s="23"/>
    </row>
    <row r="265" spans="1:13" ht="14.45">
      <c r="A265" s="23"/>
      <c r="B265" s="35"/>
      <c r="C265" s="23"/>
      <c r="D265" s="23"/>
      <c r="E265" s="23"/>
      <c r="F265" s="23"/>
      <c r="G265" s="23"/>
      <c r="H265" s="24"/>
      <c r="I265" s="23"/>
      <c r="J265" s="23"/>
      <c r="K265" s="24"/>
      <c r="L265" s="23"/>
      <c r="M265" s="23"/>
    </row>
    <row r="266" spans="1:13" ht="14.45">
      <c r="A266" s="23"/>
      <c r="B266" s="35"/>
      <c r="C266" s="23"/>
      <c r="D266" s="23"/>
      <c r="E266" s="23"/>
      <c r="F266" s="23"/>
      <c r="G266" s="23"/>
      <c r="H266" s="24"/>
      <c r="I266" s="23"/>
      <c r="J266" s="23"/>
      <c r="K266" s="24"/>
      <c r="L266" s="23"/>
      <c r="M266" s="23"/>
    </row>
    <row r="267" spans="1:13" ht="14.45">
      <c r="A267" s="23"/>
      <c r="B267" s="35"/>
      <c r="C267" s="23"/>
      <c r="D267" s="23"/>
      <c r="E267" s="23"/>
      <c r="F267" s="23"/>
      <c r="G267" s="23"/>
      <c r="H267" s="24"/>
      <c r="I267" s="23"/>
      <c r="J267" s="23"/>
      <c r="K267" s="24"/>
      <c r="L267" s="23"/>
      <c r="M267" s="23"/>
    </row>
    <row r="268" spans="1:13" ht="14.45">
      <c r="A268" s="23"/>
      <c r="B268" s="35"/>
      <c r="C268" s="23"/>
      <c r="D268" s="23"/>
      <c r="E268" s="23"/>
      <c r="F268" s="23"/>
      <c r="G268" s="23"/>
      <c r="H268" s="24"/>
      <c r="I268" s="23"/>
      <c r="J268" s="23"/>
      <c r="K268" s="24"/>
      <c r="L268" s="23"/>
      <c r="M268" s="23"/>
    </row>
    <row r="269" spans="1:13" ht="14.45">
      <c r="A269" s="23"/>
      <c r="B269" s="35"/>
      <c r="C269" s="23"/>
      <c r="D269" s="23"/>
      <c r="E269" s="23"/>
      <c r="F269" s="23"/>
      <c r="G269" s="23"/>
      <c r="H269" s="24"/>
      <c r="I269" s="23"/>
      <c r="J269" s="23"/>
      <c r="K269" s="24"/>
      <c r="L269" s="23"/>
      <c r="M269" s="23"/>
    </row>
    <row r="270" spans="1:13" ht="14.45">
      <c r="A270" s="23"/>
      <c r="B270" s="35"/>
      <c r="C270" s="23"/>
      <c r="D270" s="23"/>
      <c r="E270" s="23"/>
      <c r="F270" s="23"/>
      <c r="G270" s="23"/>
      <c r="H270" s="24"/>
      <c r="I270" s="23"/>
      <c r="J270" s="23"/>
      <c r="K270" s="24"/>
      <c r="L270" s="23"/>
      <c r="M270" s="23"/>
    </row>
    <row r="271" spans="1:13" ht="14.45">
      <c r="A271" s="23"/>
      <c r="B271" s="35"/>
      <c r="C271" s="23"/>
      <c r="D271" s="23"/>
      <c r="E271" s="23"/>
      <c r="F271" s="23"/>
      <c r="G271" s="23"/>
      <c r="H271" s="24"/>
      <c r="I271" s="23"/>
      <c r="J271" s="23"/>
      <c r="K271" s="24"/>
      <c r="L271" s="23"/>
      <c r="M271" s="23"/>
    </row>
    <row r="272" spans="1:13" ht="14.45">
      <c r="A272" s="23"/>
      <c r="B272" s="35"/>
      <c r="C272" s="23"/>
      <c r="D272" s="23"/>
      <c r="E272" s="23"/>
      <c r="F272" s="23"/>
      <c r="G272" s="23"/>
      <c r="H272" s="24"/>
      <c r="I272" s="23"/>
      <c r="J272" s="23"/>
      <c r="K272" s="24"/>
      <c r="L272" s="23"/>
      <c r="M272" s="23"/>
    </row>
    <row r="273" spans="1:13" ht="14.45">
      <c r="A273" s="23"/>
      <c r="B273" s="35"/>
      <c r="C273" s="23"/>
      <c r="D273" s="23"/>
      <c r="E273" s="23"/>
      <c r="F273" s="23"/>
      <c r="G273" s="23"/>
      <c r="H273" s="24"/>
      <c r="I273" s="23"/>
      <c r="J273" s="23"/>
      <c r="K273" s="24"/>
      <c r="L273" s="23"/>
      <c r="M273" s="23"/>
    </row>
    <row r="274" spans="1:13" ht="14.45">
      <c r="A274" s="23"/>
      <c r="B274" s="35"/>
      <c r="C274" s="23"/>
      <c r="D274" s="23"/>
      <c r="E274" s="23"/>
      <c r="F274" s="23"/>
      <c r="G274" s="23"/>
      <c r="H274" s="24"/>
      <c r="I274" s="23"/>
      <c r="J274" s="23"/>
      <c r="K274" s="24"/>
      <c r="L274" s="23"/>
      <c r="M274" s="23"/>
    </row>
    <row r="275" spans="1:13" ht="14.45">
      <c r="A275" s="23"/>
      <c r="B275" s="35"/>
      <c r="C275" s="23"/>
      <c r="D275" s="23"/>
      <c r="E275" s="23"/>
      <c r="F275" s="23"/>
      <c r="G275" s="23"/>
      <c r="H275" s="24"/>
      <c r="I275" s="23"/>
      <c r="J275" s="23"/>
      <c r="K275" s="24"/>
      <c r="L275" s="23"/>
      <c r="M275" s="23"/>
    </row>
    <row r="276" spans="1:13" ht="14.45">
      <c r="A276" s="23"/>
      <c r="B276" s="35"/>
      <c r="C276" s="23"/>
      <c r="D276" s="23"/>
      <c r="E276" s="23"/>
      <c r="F276" s="23"/>
      <c r="G276" s="23"/>
      <c r="H276" s="24"/>
      <c r="I276" s="23"/>
      <c r="J276" s="23"/>
      <c r="K276" s="24"/>
      <c r="L276" s="23"/>
      <c r="M276" s="23"/>
    </row>
    <row r="277" spans="1:13" ht="14.45">
      <c r="A277" s="23"/>
      <c r="B277" s="35"/>
      <c r="C277" s="23"/>
      <c r="D277" s="23"/>
      <c r="E277" s="23"/>
      <c r="F277" s="23"/>
      <c r="G277" s="23"/>
      <c r="H277" s="24"/>
      <c r="I277" s="23"/>
      <c r="J277" s="23"/>
      <c r="K277" s="24"/>
      <c r="L277" s="23"/>
      <c r="M277" s="23"/>
    </row>
    <row r="278" spans="1:13" ht="14.45">
      <c r="A278" s="23"/>
      <c r="B278" s="35"/>
      <c r="C278" s="23"/>
      <c r="D278" s="23"/>
      <c r="E278" s="23"/>
      <c r="F278" s="23"/>
      <c r="G278" s="23"/>
      <c r="H278" s="24"/>
      <c r="I278" s="23"/>
      <c r="J278" s="23"/>
      <c r="K278" s="24"/>
      <c r="L278" s="23"/>
      <c r="M278" s="23"/>
    </row>
    <row r="279" spans="1:13" ht="14.45">
      <c r="A279" s="23"/>
      <c r="B279" s="35"/>
      <c r="C279" s="23"/>
      <c r="D279" s="23"/>
      <c r="E279" s="23"/>
      <c r="F279" s="23"/>
      <c r="G279" s="23"/>
      <c r="H279" s="24"/>
      <c r="I279" s="23"/>
      <c r="J279" s="23"/>
      <c r="K279" s="24"/>
      <c r="L279" s="23"/>
      <c r="M279" s="23"/>
    </row>
    <row r="280" spans="1:13" ht="14.45">
      <c r="A280" s="23"/>
      <c r="B280" s="35"/>
      <c r="C280" s="23"/>
      <c r="D280" s="23"/>
      <c r="E280" s="23"/>
      <c r="F280" s="23"/>
      <c r="G280" s="23"/>
      <c r="H280" s="24"/>
      <c r="I280" s="23"/>
      <c r="J280" s="23"/>
      <c r="K280" s="24"/>
      <c r="L280" s="23"/>
      <c r="M280" s="23"/>
    </row>
    <row r="281" spans="1:13" ht="14.45">
      <c r="A281" s="23"/>
      <c r="B281" s="35"/>
      <c r="C281" s="23"/>
      <c r="D281" s="23"/>
      <c r="E281" s="23"/>
      <c r="F281" s="23"/>
      <c r="G281" s="23"/>
      <c r="H281" s="24"/>
      <c r="I281" s="23"/>
      <c r="J281" s="23"/>
      <c r="K281" s="24"/>
      <c r="L281" s="23"/>
      <c r="M281" s="23"/>
    </row>
    <row r="282" spans="1:13" ht="14.45">
      <c r="A282" s="23"/>
      <c r="B282" s="35"/>
      <c r="C282" s="23"/>
      <c r="D282" s="23"/>
      <c r="E282" s="23"/>
      <c r="F282" s="23"/>
      <c r="G282" s="23"/>
      <c r="H282" s="24"/>
      <c r="I282" s="23"/>
      <c r="J282" s="23"/>
      <c r="K282" s="24"/>
      <c r="L282" s="23"/>
      <c r="M282" s="23"/>
    </row>
    <row r="283" spans="1:13" ht="14.45">
      <c r="A283" s="23"/>
      <c r="B283" s="35"/>
      <c r="C283" s="23"/>
      <c r="D283" s="23"/>
      <c r="E283" s="23"/>
      <c r="F283" s="23"/>
      <c r="G283" s="23"/>
      <c r="H283" s="24"/>
      <c r="I283" s="23"/>
      <c r="J283" s="23"/>
      <c r="K283" s="24"/>
      <c r="L283" s="23"/>
      <c r="M283" s="23"/>
    </row>
    <row r="284" spans="1:13" ht="14.45">
      <c r="A284" s="23"/>
      <c r="B284" s="35"/>
      <c r="C284" s="23"/>
      <c r="D284" s="23"/>
      <c r="E284" s="23"/>
      <c r="F284" s="23"/>
      <c r="G284" s="23"/>
      <c r="H284" s="24"/>
      <c r="I284" s="23"/>
      <c r="J284" s="23"/>
      <c r="K284" s="24"/>
      <c r="L284" s="23"/>
      <c r="M284" s="23"/>
    </row>
    <row r="285" spans="1:13" ht="14.45">
      <c r="A285" s="23"/>
      <c r="B285" s="35"/>
      <c r="C285" s="23"/>
      <c r="D285" s="23"/>
      <c r="E285" s="23"/>
      <c r="F285" s="23"/>
      <c r="G285" s="23"/>
      <c r="H285" s="24"/>
      <c r="I285" s="23"/>
      <c r="J285" s="23"/>
      <c r="K285" s="24"/>
      <c r="L285" s="23"/>
      <c r="M285" s="23"/>
    </row>
    <row r="286" spans="1:13" ht="14.45">
      <c r="A286" s="23"/>
      <c r="B286" s="35"/>
      <c r="C286" s="23"/>
      <c r="D286" s="23"/>
      <c r="E286" s="23"/>
      <c r="F286" s="23"/>
      <c r="G286" s="23"/>
      <c r="H286" s="24"/>
      <c r="I286" s="23"/>
      <c r="J286" s="23"/>
      <c r="K286" s="24"/>
      <c r="L286" s="23"/>
      <c r="M286" s="23"/>
    </row>
    <row r="287" spans="1:13" ht="14.45">
      <c r="A287" s="23"/>
      <c r="B287" s="35"/>
      <c r="C287" s="23"/>
      <c r="D287" s="23"/>
      <c r="E287" s="23"/>
      <c r="F287" s="23"/>
      <c r="G287" s="23"/>
      <c r="H287" s="24"/>
      <c r="I287" s="23"/>
      <c r="J287" s="23"/>
      <c r="K287" s="24"/>
      <c r="L287" s="23"/>
      <c r="M287" s="23"/>
    </row>
    <row r="288" spans="1:13" ht="14.45">
      <c r="A288" s="23"/>
      <c r="B288" s="35"/>
      <c r="C288" s="23"/>
      <c r="D288" s="23"/>
      <c r="E288" s="23"/>
      <c r="F288" s="23"/>
      <c r="G288" s="23"/>
      <c r="H288" s="24"/>
      <c r="I288" s="23"/>
      <c r="J288" s="23"/>
      <c r="K288" s="24"/>
      <c r="L288" s="23"/>
      <c r="M288" s="23"/>
    </row>
    <row r="289" spans="1:13" ht="14.45">
      <c r="A289" s="23"/>
      <c r="B289" s="35"/>
      <c r="C289" s="23"/>
      <c r="D289" s="23"/>
      <c r="E289" s="23"/>
      <c r="F289" s="23"/>
      <c r="G289" s="23"/>
      <c r="H289" s="24"/>
      <c r="I289" s="23"/>
      <c r="J289" s="23"/>
      <c r="K289" s="24"/>
      <c r="L289" s="23"/>
      <c r="M289" s="23"/>
    </row>
    <row r="290" spans="1:13" ht="14.45">
      <c r="A290" s="23"/>
      <c r="B290" s="35"/>
      <c r="C290" s="23"/>
      <c r="D290" s="23"/>
      <c r="E290" s="23"/>
      <c r="F290" s="23"/>
      <c r="G290" s="23"/>
      <c r="H290" s="24"/>
      <c r="I290" s="23"/>
      <c r="J290" s="23"/>
      <c r="K290" s="24"/>
      <c r="L290" s="23"/>
      <c r="M290" s="23"/>
    </row>
    <row r="291" spans="1:13" ht="14.45">
      <c r="A291" s="23"/>
      <c r="B291" s="35"/>
      <c r="C291" s="23"/>
      <c r="D291" s="23"/>
      <c r="E291" s="23"/>
      <c r="F291" s="23"/>
      <c r="G291" s="23"/>
      <c r="H291" s="24"/>
      <c r="I291" s="23"/>
      <c r="J291" s="23"/>
      <c r="K291" s="24"/>
      <c r="L291" s="23"/>
      <c r="M291" s="23"/>
    </row>
    <row r="292" spans="1:13" ht="14.45">
      <c r="A292" s="23"/>
      <c r="B292" s="35"/>
      <c r="C292" s="23"/>
      <c r="D292" s="23"/>
      <c r="E292" s="23"/>
      <c r="F292" s="23"/>
      <c r="G292" s="23"/>
      <c r="H292" s="24"/>
      <c r="I292" s="23"/>
      <c r="J292" s="23"/>
      <c r="K292" s="24"/>
      <c r="L292" s="23"/>
      <c r="M292" s="23"/>
    </row>
    <row r="293" spans="1:13" ht="14.45">
      <c r="A293" s="23"/>
      <c r="B293" s="35"/>
      <c r="C293" s="23"/>
      <c r="D293" s="23"/>
      <c r="E293" s="23"/>
      <c r="F293" s="23"/>
      <c r="G293" s="23"/>
      <c r="H293" s="24"/>
      <c r="I293" s="23"/>
      <c r="J293" s="23"/>
      <c r="K293" s="24"/>
      <c r="L293" s="23"/>
      <c r="M293" s="23"/>
    </row>
    <row r="294" spans="1:13" ht="14.45">
      <c r="A294" s="23"/>
      <c r="B294" s="35"/>
      <c r="C294" s="23"/>
      <c r="D294" s="23"/>
      <c r="E294" s="23"/>
      <c r="F294" s="23"/>
      <c r="G294" s="23"/>
      <c r="H294" s="24"/>
      <c r="I294" s="23"/>
      <c r="J294" s="23"/>
      <c r="K294" s="24"/>
      <c r="L294" s="23"/>
      <c r="M294" s="23"/>
    </row>
    <row r="295" spans="1:13" ht="14.45">
      <c r="A295" s="23"/>
      <c r="B295" s="35"/>
      <c r="C295" s="23"/>
      <c r="D295" s="23"/>
      <c r="E295" s="23"/>
      <c r="F295" s="23"/>
      <c r="G295" s="23"/>
      <c r="H295" s="24"/>
      <c r="I295" s="23"/>
      <c r="J295" s="23"/>
      <c r="K295" s="24"/>
      <c r="L295" s="23"/>
      <c r="M295" s="23"/>
    </row>
    <row r="296" spans="1:13" ht="14.45">
      <c r="A296" s="23"/>
      <c r="B296" s="35"/>
      <c r="C296" s="23"/>
      <c r="D296" s="23"/>
      <c r="E296" s="23"/>
      <c r="F296" s="23"/>
      <c r="G296" s="23"/>
      <c r="H296" s="24"/>
      <c r="I296" s="23"/>
      <c r="J296" s="23"/>
      <c r="K296" s="24"/>
      <c r="L296" s="23"/>
      <c r="M296" s="23"/>
    </row>
    <row r="297" spans="1:13" ht="14.45">
      <c r="A297" s="23"/>
      <c r="B297" s="35"/>
      <c r="C297" s="23"/>
      <c r="D297" s="23"/>
      <c r="E297" s="23"/>
      <c r="F297" s="23"/>
      <c r="G297" s="23"/>
      <c r="H297" s="24"/>
      <c r="I297" s="23"/>
      <c r="J297" s="23"/>
      <c r="K297" s="24"/>
      <c r="L297" s="23"/>
      <c r="M297" s="23"/>
    </row>
    <row r="298" spans="1:13" ht="14.45">
      <c r="A298" s="23"/>
      <c r="B298" s="35"/>
      <c r="C298" s="23"/>
      <c r="D298" s="23"/>
      <c r="E298" s="23"/>
      <c r="F298" s="23"/>
      <c r="G298" s="23"/>
      <c r="H298" s="24"/>
      <c r="I298" s="23"/>
      <c r="J298" s="23"/>
      <c r="K298" s="24"/>
      <c r="L298" s="23"/>
      <c r="M298" s="23"/>
    </row>
    <row r="299" spans="1:13" ht="14.45">
      <c r="A299" s="23"/>
      <c r="B299" s="35"/>
      <c r="C299" s="23"/>
      <c r="D299" s="23"/>
      <c r="E299" s="23"/>
      <c r="F299" s="23"/>
      <c r="G299" s="23"/>
      <c r="H299" s="24"/>
      <c r="I299" s="23"/>
      <c r="J299" s="23"/>
      <c r="K299" s="24"/>
      <c r="L299" s="23"/>
      <c r="M299" s="23"/>
    </row>
    <row r="300" spans="1:13" ht="14.45">
      <c r="A300" s="23"/>
      <c r="B300" s="35"/>
      <c r="C300" s="23"/>
      <c r="D300" s="23"/>
      <c r="E300" s="23"/>
      <c r="F300" s="23"/>
      <c r="G300" s="23"/>
      <c r="H300" s="24"/>
      <c r="I300" s="23"/>
      <c r="J300" s="23"/>
      <c r="K300" s="24"/>
      <c r="L300" s="23"/>
      <c r="M300" s="23"/>
    </row>
    <row r="301" spans="1:13" ht="14.45">
      <c r="A301" s="23"/>
      <c r="B301" s="35"/>
      <c r="C301" s="23"/>
      <c r="D301" s="23"/>
      <c r="E301" s="23"/>
      <c r="F301" s="23"/>
      <c r="G301" s="23"/>
      <c r="H301" s="24"/>
      <c r="I301" s="23"/>
      <c r="J301" s="23"/>
      <c r="K301" s="24"/>
      <c r="L301" s="23"/>
      <c r="M301" s="23"/>
    </row>
    <row r="302" spans="1:13" ht="14.45">
      <c r="A302" s="23"/>
      <c r="B302" s="35"/>
      <c r="C302" s="23"/>
      <c r="D302" s="23"/>
      <c r="E302" s="23"/>
      <c r="F302" s="23"/>
      <c r="G302" s="23"/>
      <c r="H302" s="24"/>
      <c r="I302" s="23"/>
      <c r="J302" s="23"/>
      <c r="K302" s="24"/>
      <c r="L302" s="23"/>
      <c r="M302" s="23"/>
    </row>
    <row r="303" spans="1:13" ht="14.45">
      <c r="A303" s="23"/>
      <c r="B303" s="35"/>
      <c r="C303" s="23"/>
      <c r="D303" s="23"/>
      <c r="E303" s="23"/>
      <c r="F303" s="23"/>
      <c r="G303" s="23"/>
      <c r="H303" s="24"/>
      <c r="I303" s="23"/>
      <c r="J303" s="23"/>
      <c r="K303" s="24"/>
      <c r="L303" s="23"/>
      <c r="M303" s="23"/>
    </row>
    <row r="304" spans="1:13" ht="14.45">
      <c r="A304" s="23"/>
      <c r="B304" s="35"/>
      <c r="C304" s="23"/>
      <c r="D304" s="23"/>
      <c r="E304" s="23"/>
      <c r="F304" s="23"/>
      <c r="G304" s="23"/>
      <c r="H304" s="24"/>
      <c r="I304" s="23"/>
      <c r="J304" s="23"/>
      <c r="K304" s="24"/>
      <c r="L304" s="23"/>
      <c r="M304" s="23"/>
    </row>
    <row r="305" spans="1:13" ht="14.45">
      <c r="A305" s="23"/>
      <c r="B305" s="35"/>
      <c r="C305" s="23"/>
      <c r="D305" s="23"/>
      <c r="E305" s="23"/>
      <c r="F305" s="23"/>
      <c r="G305" s="23"/>
      <c r="H305" s="24"/>
      <c r="I305" s="23"/>
      <c r="J305" s="23"/>
      <c r="K305" s="24"/>
      <c r="L305" s="23"/>
      <c r="M305" s="23"/>
    </row>
    <row r="306" spans="1:13" ht="14.45">
      <c r="A306" s="23"/>
      <c r="B306" s="35"/>
      <c r="C306" s="23"/>
      <c r="D306" s="23"/>
      <c r="E306" s="23"/>
      <c r="F306" s="23"/>
      <c r="G306" s="23"/>
      <c r="H306" s="24"/>
      <c r="I306" s="23"/>
      <c r="J306" s="23"/>
      <c r="K306" s="24"/>
      <c r="L306" s="23"/>
      <c r="M306" s="23"/>
    </row>
    <row r="307" spans="1:13" ht="14.45">
      <c r="A307" s="23"/>
      <c r="B307" s="35"/>
      <c r="C307" s="23"/>
      <c r="D307" s="23"/>
      <c r="E307" s="23"/>
      <c r="F307" s="23"/>
      <c r="G307" s="23"/>
      <c r="H307" s="24"/>
      <c r="I307" s="23"/>
      <c r="J307" s="23"/>
      <c r="K307" s="24"/>
      <c r="L307" s="23"/>
      <c r="M307" s="23"/>
    </row>
    <row r="308" spans="1:13" ht="14.45">
      <c r="A308" s="23"/>
      <c r="B308" s="35"/>
      <c r="C308" s="23"/>
      <c r="D308" s="23"/>
      <c r="E308" s="23"/>
      <c r="F308" s="23"/>
      <c r="G308" s="23"/>
      <c r="H308" s="24"/>
      <c r="I308" s="23"/>
      <c r="J308" s="23"/>
      <c r="K308" s="24"/>
      <c r="L308" s="23"/>
      <c r="M308" s="23"/>
    </row>
    <row r="309" spans="1:13" ht="14.45">
      <c r="A309" s="23"/>
      <c r="B309" s="35"/>
      <c r="C309" s="23"/>
      <c r="D309" s="23"/>
      <c r="E309" s="23"/>
      <c r="F309" s="23"/>
      <c r="G309" s="23"/>
      <c r="H309" s="24"/>
      <c r="I309" s="23"/>
      <c r="J309" s="23"/>
      <c r="K309" s="24"/>
      <c r="L309" s="23"/>
      <c r="M309" s="23"/>
    </row>
    <row r="310" spans="1:13" ht="14.45">
      <c r="A310" s="23"/>
      <c r="B310" s="35"/>
      <c r="C310" s="23"/>
      <c r="D310" s="23"/>
      <c r="E310" s="23"/>
      <c r="F310" s="23"/>
      <c r="G310" s="23"/>
      <c r="H310" s="24"/>
      <c r="I310" s="23"/>
      <c r="J310" s="23"/>
      <c r="K310" s="24"/>
      <c r="L310" s="23"/>
      <c r="M310" s="23"/>
    </row>
    <row r="311" spans="1:13" ht="14.45">
      <c r="A311" s="23"/>
      <c r="B311" s="35"/>
      <c r="C311" s="23"/>
      <c r="D311" s="23"/>
      <c r="E311" s="23"/>
      <c r="F311" s="23"/>
      <c r="G311" s="23"/>
      <c r="H311" s="24"/>
      <c r="I311" s="23"/>
      <c r="J311" s="23"/>
      <c r="K311" s="24"/>
      <c r="L311" s="23"/>
      <c r="M311" s="23"/>
    </row>
    <row r="312" spans="1:13" ht="14.45">
      <c r="A312" s="23"/>
      <c r="B312" s="35"/>
      <c r="C312" s="23"/>
      <c r="D312" s="23"/>
      <c r="E312" s="23"/>
      <c r="F312" s="23"/>
      <c r="G312" s="23"/>
      <c r="H312" s="24"/>
      <c r="I312" s="23"/>
      <c r="J312" s="23"/>
      <c r="K312" s="24"/>
      <c r="L312" s="23"/>
      <c r="M312" s="23"/>
    </row>
    <row r="313" spans="1:13" ht="14.45">
      <c r="A313" s="23"/>
      <c r="B313" s="35"/>
      <c r="C313" s="23"/>
      <c r="D313" s="23"/>
      <c r="E313" s="23"/>
      <c r="F313" s="23"/>
      <c r="G313" s="23"/>
      <c r="H313" s="24"/>
      <c r="I313" s="23"/>
      <c r="J313" s="23"/>
      <c r="K313" s="24"/>
      <c r="L313" s="23"/>
      <c r="M313" s="23"/>
    </row>
    <row r="314" spans="1:13" ht="14.45">
      <c r="A314" s="23"/>
      <c r="B314" s="35"/>
      <c r="C314" s="23"/>
      <c r="D314" s="23"/>
      <c r="E314" s="23"/>
      <c r="F314" s="23"/>
      <c r="G314" s="23"/>
      <c r="H314" s="24"/>
      <c r="I314" s="23"/>
      <c r="J314" s="23"/>
      <c r="K314" s="24"/>
      <c r="L314" s="23"/>
      <c r="M314" s="23"/>
    </row>
    <row r="315" spans="1:13" ht="14.45">
      <c r="A315" s="23"/>
      <c r="B315" s="35"/>
      <c r="C315" s="23"/>
      <c r="D315" s="23"/>
      <c r="E315" s="23"/>
      <c r="F315" s="23"/>
      <c r="G315" s="23"/>
      <c r="H315" s="24"/>
      <c r="I315" s="23"/>
      <c r="J315" s="23"/>
      <c r="K315" s="24"/>
      <c r="L315" s="23"/>
      <c r="M315" s="23"/>
    </row>
    <row r="316" spans="1:13" ht="14.45">
      <c r="A316" s="23"/>
      <c r="B316" s="35"/>
      <c r="C316" s="23"/>
      <c r="D316" s="23"/>
      <c r="E316" s="23"/>
      <c r="F316" s="23"/>
      <c r="G316" s="23"/>
      <c r="H316" s="24"/>
      <c r="I316" s="23"/>
      <c r="J316" s="23"/>
      <c r="K316" s="24"/>
      <c r="L316" s="23"/>
      <c r="M316" s="23"/>
    </row>
    <row r="317" spans="1:13" ht="14.45">
      <c r="A317" s="23"/>
      <c r="B317" s="35"/>
      <c r="C317" s="23"/>
      <c r="D317" s="23"/>
      <c r="E317" s="23"/>
      <c r="F317" s="23"/>
      <c r="G317" s="23"/>
      <c r="H317" s="24"/>
      <c r="I317" s="23"/>
      <c r="J317" s="23"/>
      <c r="K317" s="24"/>
      <c r="L317" s="23"/>
      <c r="M317" s="23"/>
    </row>
    <row r="318" spans="1:13" ht="14.45">
      <c r="A318" s="23"/>
      <c r="B318" s="35"/>
      <c r="C318" s="23"/>
      <c r="D318" s="23"/>
      <c r="E318" s="23"/>
      <c r="F318" s="23"/>
      <c r="G318" s="23"/>
      <c r="H318" s="24"/>
      <c r="I318" s="23"/>
      <c r="J318" s="23"/>
      <c r="K318" s="24"/>
      <c r="L318" s="23"/>
      <c r="M318" s="23"/>
    </row>
    <row r="319" spans="1:13" ht="14.45">
      <c r="A319" s="23"/>
      <c r="B319" s="35"/>
      <c r="C319" s="23"/>
      <c r="D319" s="23"/>
      <c r="E319" s="23"/>
      <c r="F319" s="23"/>
      <c r="G319" s="23"/>
      <c r="H319" s="24"/>
      <c r="I319" s="23"/>
      <c r="J319" s="23"/>
      <c r="K319" s="24"/>
      <c r="L319" s="23"/>
      <c r="M319" s="23"/>
    </row>
    <row r="320" spans="1:13" ht="14.45">
      <c r="A320" s="23"/>
      <c r="B320" s="35"/>
      <c r="C320" s="23"/>
      <c r="D320" s="23"/>
      <c r="E320" s="23"/>
      <c r="F320" s="23"/>
      <c r="G320" s="23"/>
      <c r="H320" s="24"/>
      <c r="I320" s="23"/>
      <c r="J320" s="23"/>
      <c r="K320" s="24"/>
      <c r="L320" s="23"/>
      <c r="M320" s="23"/>
    </row>
    <row r="321" spans="1:13" ht="14.45">
      <c r="A321" s="23"/>
      <c r="B321" s="35"/>
      <c r="C321" s="23"/>
      <c r="D321" s="23"/>
      <c r="E321" s="23"/>
      <c r="F321" s="23"/>
      <c r="G321" s="23"/>
      <c r="H321" s="24"/>
      <c r="I321" s="23"/>
      <c r="J321" s="23"/>
      <c r="K321" s="24"/>
      <c r="L321" s="23"/>
      <c r="M321" s="23"/>
    </row>
    <row r="322" spans="1:13" ht="14.45">
      <c r="A322" s="23"/>
      <c r="B322" s="35"/>
      <c r="C322" s="23"/>
      <c r="D322" s="23"/>
      <c r="E322" s="23"/>
      <c r="F322" s="23"/>
      <c r="G322" s="23"/>
      <c r="H322" s="24"/>
      <c r="I322" s="23"/>
      <c r="J322" s="23"/>
      <c r="K322" s="24"/>
      <c r="L322" s="23"/>
      <c r="M322" s="23"/>
    </row>
    <row r="323" spans="1:13" ht="14.45">
      <c r="A323" s="23"/>
      <c r="B323" s="35"/>
      <c r="C323" s="23"/>
      <c r="D323" s="23"/>
      <c r="E323" s="23"/>
      <c r="F323" s="23"/>
      <c r="G323" s="23"/>
      <c r="H323" s="24"/>
      <c r="I323" s="23"/>
      <c r="J323" s="23"/>
      <c r="K323" s="24"/>
      <c r="L323" s="23"/>
      <c r="M323" s="23"/>
    </row>
    <row r="324" spans="1:13" ht="14.45">
      <c r="A324" s="23"/>
      <c r="B324" s="35"/>
      <c r="C324" s="23"/>
      <c r="F324" s="23"/>
      <c r="G324" s="23"/>
      <c r="H324" s="24"/>
      <c r="I324" s="23"/>
      <c r="J324" s="23"/>
      <c r="K324" s="24"/>
      <c r="L324" s="23"/>
      <c r="M324" s="23"/>
    </row>
    <row r="325" spans="1:13" ht="14.45">
      <c r="A325" s="23"/>
      <c r="B325" s="35"/>
      <c r="C325" s="23"/>
      <c r="F325" s="23"/>
      <c r="G325" s="23"/>
      <c r="H325" s="24"/>
      <c r="I325" s="23"/>
      <c r="J325" s="23"/>
      <c r="K325" s="24"/>
      <c r="L325" s="23"/>
      <c r="M325" s="23"/>
    </row>
    <row r="326" spans="1:13" ht="14.45">
      <c r="A326" s="23"/>
      <c r="B326" s="35"/>
      <c r="C326" s="23"/>
      <c r="F326" s="23"/>
      <c r="G326" s="23"/>
      <c r="H326" s="24"/>
      <c r="I326" s="23"/>
      <c r="J326" s="23"/>
      <c r="K326" s="24"/>
      <c r="L326" s="23"/>
      <c r="M326" s="23"/>
    </row>
    <row r="327" spans="1:13" ht="14.45">
      <c r="A327" s="23"/>
      <c r="B327" s="35"/>
      <c r="C327" s="23"/>
      <c r="F327" s="23"/>
      <c r="G327" s="23"/>
      <c r="H327" s="24"/>
      <c r="I327" s="23"/>
      <c r="J327" s="23"/>
      <c r="K327" s="24"/>
      <c r="L327" s="23"/>
      <c r="M327" s="23"/>
    </row>
    <row r="328" spans="1:13" ht="14.45">
      <c r="A328" s="23"/>
      <c r="B328" s="35"/>
      <c r="C328" s="23"/>
      <c r="F328" s="23"/>
      <c r="G328" s="23"/>
      <c r="H328" s="24"/>
      <c r="I328" s="23"/>
      <c r="J328" s="23"/>
      <c r="K328" s="24"/>
      <c r="L328" s="23"/>
      <c r="M328" s="23"/>
    </row>
    <row r="329" spans="1:13" ht="14.45">
      <c r="A329" s="23"/>
      <c r="B329" s="35"/>
      <c r="C329" s="23"/>
      <c r="F329" s="23"/>
      <c r="G329" s="23"/>
      <c r="H329" s="24"/>
      <c r="I329" s="23"/>
      <c r="J329" s="23"/>
      <c r="K329" s="24"/>
      <c r="L329" s="23"/>
      <c r="M329" s="23"/>
    </row>
    <row r="330" spans="1:13" ht="14.45">
      <c r="A330" s="23"/>
      <c r="B330" s="35"/>
      <c r="C330" s="23"/>
      <c r="F330" s="23"/>
      <c r="G330" s="23"/>
      <c r="H330" s="24"/>
      <c r="I330" s="23"/>
      <c r="J330" s="23"/>
      <c r="K330" s="24"/>
      <c r="L330" s="23"/>
      <c r="M330" s="23"/>
    </row>
    <row r="331" spans="1:13" ht="14.45">
      <c r="A331" s="23"/>
      <c r="B331" s="35"/>
      <c r="C331" s="23"/>
      <c r="F331" s="23"/>
      <c r="G331" s="23"/>
      <c r="H331" s="24"/>
      <c r="I331" s="23"/>
      <c r="J331" s="23"/>
      <c r="K331" s="24"/>
      <c r="L331" s="23"/>
      <c r="M331" s="23"/>
    </row>
    <row r="332" spans="1:13" ht="14.45">
      <c r="A332" s="23"/>
      <c r="B332" s="35"/>
      <c r="C332" s="23"/>
      <c r="F332" s="23"/>
      <c r="G332" s="23"/>
      <c r="H332" s="24"/>
      <c r="I332" s="23"/>
      <c r="J332" s="23"/>
      <c r="K332" s="24"/>
      <c r="L332" s="23"/>
      <c r="M332" s="23"/>
    </row>
    <row r="333" spans="1:13" ht="14.45">
      <c r="A333" s="23"/>
      <c r="B333" s="35"/>
      <c r="C333" s="23"/>
      <c r="F333" s="23"/>
      <c r="G333" s="23"/>
      <c r="H333" s="24"/>
      <c r="I333" s="23"/>
      <c r="J333" s="23"/>
      <c r="K333" s="24"/>
      <c r="L333" s="23"/>
      <c r="M333" s="23"/>
    </row>
    <row r="334" spans="1:13" ht="14.45">
      <c r="A334" s="23"/>
      <c r="B334" s="35"/>
      <c r="C334" s="23"/>
      <c r="F334" s="23"/>
      <c r="G334" s="23"/>
      <c r="H334" s="24"/>
      <c r="I334" s="23"/>
      <c r="J334" s="23"/>
      <c r="K334" s="24"/>
      <c r="L334" s="23"/>
      <c r="M334" s="23"/>
    </row>
    <row r="335" spans="1:13" ht="14.45">
      <c r="A335" s="23"/>
      <c r="B335" s="35"/>
      <c r="C335" s="23"/>
      <c r="F335" s="23"/>
      <c r="G335" s="23"/>
      <c r="H335" s="24"/>
      <c r="I335" s="23"/>
      <c r="J335" s="23"/>
      <c r="K335" s="24"/>
      <c r="L335" s="23"/>
      <c r="M335" s="23"/>
    </row>
    <row r="336" spans="1:13" ht="14.45">
      <c r="A336" s="23"/>
      <c r="B336" s="35"/>
      <c r="C336" s="23"/>
      <c r="F336" s="23"/>
      <c r="G336" s="23"/>
      <c r="H336" s="24"/>
      <c r="I336" s="23"/>
      <c r="J336" s="23"/>
      <c r="K336" s="24"/>
      <c r="L336" s="23"/>
      <c r="M336" s="23"/>
    </row>
    <row r="337" spans="1:13" ht="14.45">
      <c r="A337" s="23"/>
      <c r="B337" s="35"/>
      <c r="C337" s="23"/>
      <c r="F337" s="23"/>
      <c r="G337" s="23"/>
      <c r="H337" s="24"/>
      <c r="I337" s="23"/>
      <c r="J337" s="23"/>
      <c r="K337" s="24"/>
      <c r="L337" s="23"/>
      <c r="M337" s="23"/>
    </row>
    <row r="338" spans="1:13" ht="14.45">
      <c r="A338" s="23"/>
      <c r="B338" s="35"/>
      <c r="C338" s="23"/>
      <c r="F338" s="23"/>
      <c r="G338" s="23"/>
      <c r="H338" s="24"/>
      <c r="I338" s="23"/>
      <c r="J338" s="23"/>
      <c r="K338" s="24"/>
      <c r="L338" s="23"/>
      <c r="M338" s="23"/>
    </row>
    <row r="339" spans="1:13" ht="14.45">
      <c r="A339" s="23"/>
      <c r="B339" s="35"/>
      <c r="C339" s="23"/>
      <c r="F339" s="23"/>
      <c r="G339" s="23"/>
      <c r="H339" s="24"/>
      <c r="I339" s="23"/>
      <c r="J339" s="23"/>
      <c r="K339" s="24"/>
      <c r="L339" s="23"/>
      <c r="M339" s="23"/>
    </row>
    <row r="340" spans="1:13" ht="14.45">
      <c r="A340" s="23"/>
      <c r="B340" s="35"/>
      <c r="C340" s="23"/>
      <c r="F340" s="23"/>
      <c r="G340" s="23"/>
      <c r="H340" s="24"/>
      <c r="I340" s="23"/>
      <c r="J340" s="23"/>
      <c r="K340" s="24"/>
      <c r="L340" s="23"/>
      <c r="M340" s="23"/>
    </row>
    <row r="341" spans="1:13" ht="14.45">
      <c r="A341" s="23"/>
      <c r="B341" s="35"/>
      <c r="C341" s="23"/>
      <c r="F341" s="23"/>
      <c r="G341" s="23"/>
      <c r="H341" s="24"/>
      <c r="I341" s="23"/>
      <c r="J341" s="23"/>
      <c r="K341" s="24"/>
      <c r="L341" s="23"/>
      <c r="M341" s="23"/>
    </row>
    <row r="342" spans="1:13" ht="14.45">
      <c r="C342" s="23"/>
      <c r="F342" s="23"/>
      <c r="G342" s="23"/>
      <c r="H342" s="24"/>
      <c r="I342" s="23"/>
      <c r="J342" s="23"/>
      <c r="K342" s="24"/>
      <c r="L342" s="23"/>
      <c r="M342" s="23"/>
    </row>
  </sheetData>
  <mergeCells count="4">
    <mergeCell ref="I1:K1"/>
    <mergeCell ref="A1:C1"/>
    <mergeCell ref="F1:H1"/>
    <mergeCell ref="A2:B2"/>
  </mergeCells>
  <conditionalFormatting sqref="H2 K2 H4:H100 K4:K100">
    <cfRule type="cellIs" dxfId="4" priority="1" stopIfTrue="1" operator="lessThanOrEqual">
      <formula>-0.1</formula>
    </cfRule>
    <cfRule type="expression" dxfId="3" priority="2">
      <formula>AND(ISNUMBER(H2), H2&gt;=0.1)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M342"/>
  <sheetViews>
    <sheetView zoomScale="50" zoomScaleNormal="50" workbookViewId="0">
      <pane ySplit="2" topLeftCell="A4" activePane="bottomLeft" state="frozen"/>
      <selection pane="bottomLeft" activeCell="I4" sqref="I4"/>
      <selection activeCell="M45" sqref="M45"/>
    </sheetView>
  </sheetViews>
  <sheetFormatPr defaultRowHeight="13.9"/>
  <cols>
    <col min="1" max="1" width="35.85546875" bestFit="1" customWidth="1"/>
    <col min="2" max="2" width="8.42578125" style="36" customWidth="1"/>
    <col min="3" max="3" width="11.7109375" customWidth="1"/>
    <col min="4" max="4" width="13.5703125" customWidth="1"/>
    <col min="5" max="5" width="11.7109375" customWidth="1"/>
    <col min="6" max="7" width="13.28515625" customWidth="1"/>
    <col min="8" max="8" width="13.28515625" style="1" customWidth="1"/>
    <col min="9" max="10" width="13.28515625" customWidth="1"/>
    <col min="11" max="11" width="13.28515625" style="1" customWidth="1"/>
    <col min="12" max="12" width="71.5703125" customWidth="1"/>
    <col min="13" max="13" width="20.5703125" bestFit="1" customWidth="1"/>
  </cols>
  <sheetData>
    <row r="1" spans="1:13" ht="19.5" customHeight="1" thickBot="1">
      <c r="A1" s="129" t="str" cm="1">
        <f t="array" ref="A1">portfolio</f>
        <v>CITI</v>
      </c>
      <c r="B1" s="129"/>
      <c r="C1" s="129"/>
      <c r="D1" s="74" t="s">
        <v>0</v>
      </c>
      <c r="E1" s="75" t="s">
        <v>1</v>
      </c>
      <c r="F1" s="130" t="s">
        <v>214</v>
      </c>
      <c r="G1" s="130"/>
      <c r="H1" s="130"/>
      <c r="I1" s="128" t="s">
        <v>215</v>
      </c>
      <c r="J1" s="128"/>
      <c r="K1" s="128"/>
      <c r="L1" s="5"/>
      <c r="M1" s="5"/>
    </row>
    <row r="2" spans="1:13" ht="19.5" customHeight="1">
      <c r="A2" s="131" t="s">
        <v>4</v>
      </c>
      <c r="B2" s="131"/>
      <c r="C2" s="6">
        <f>SUM(C4:C100)</f>
        <v>0</v>
      </c>
      <c r="D2" s="6">
        <f>SUM(D3:D22)</f>
        <v>0</v>
      </c>
      <c r="E2" s="68" t="e">
        <f>C2/D2</f>
        <v>#DIV/0!</v>
      </c>
      <c r="F2" s="6">
        <f>SUM(F4:F100)</f>
        <v>0</v>
      </c>
      <c r="G2" s="6">
        <f>C2-F2</f>
        <v>0</v>
      </c>
      <c r="H2" s="7">
        <f>IFERROR(G2/F2, 0)</f>
        <v>0</v>
      </c>
      <c r="I2" s="6">
        <f>SUM(I4:I100)</f>
        <v>0</v>
      </c>
      <c r="J2" s="8">
        <f>C2-I2</f>
        <v>0</v>
      </c>
      <c r="K2" s="7">
        <f>IFERROR(J2/I2, 0)</f>
        <v>0</v>
      </c>
      <c r="L2" s="28"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M2" s="5"/>
    </row>
    <row r="3" spans="1:13" ht="14.25" customHeight="1">
      <c r="A3" s="9" t="s">
        <v>5</v>
      </c>
      <c r="B3" s="9" t="s">
        <v>6</v>
      </c>
      <c r="C3" s="25" t="s">
        <v>7</v>
      </c>
      <c r="D3" s="69"/>
      <c r="E3" s="70"/>
      <c r="F3" s="49" t="s">
        <v>8</v>
      </c>
      <c r="G3" s="49" t="s">
        <v>9</v>
      </c>
      <c r="H3" s="50" t="s">
        <v>10</v>
      </c>
      <c r="I3" s="51" t="s">
        <v>11</v>
      </c>
      <c r="J3" s="52" t="s">
        <v>9</v>
      </c>
      <c r="K3" s="53" t="s">
        <v>10</v>
      </c>
      <c r="L3" s="27" t="s">
        <v>22</v>
      </c>
      <c r="M3" s="27" t="s">
        <v>23</v>
      </c>
    </row>
    <row r="4" spans="1:13" ht="15.6">
      <c r="A4" s="34" t="str" cm="1">
        <f t="array" ref="A4:A23">Sites[Site]</f>
        <v>CA: Antioch Deer Valley - Citi</v>
      </c>
      <c r="B4" s="31" t="str" cm="1">
        <f t="array" ref="B4:B23">Sites[State]</f>
        <v>CA</v>
      </c>
      <c r="C4" s="26"/>
      <c r="D4" s="71"/>
      <c r="E4" s="82" t="e">
        <f t="shared" ref="E4:E22" si="0">C4/D4</f>
        <v>#DIV/0!</v>
      </c>
      <c r="F4" s="14"/>
      <c r="G4" s="14"/>
      <c r="H4" s="15" t="str">
        <f>IFERROR(G4/F4, "")</f>
        <v/>
      </c>
      <c r="I4" s="16"/>
      <c r="J4" s="16"/>
      <c r="K4" s="17" t="str">
        <f>IFERROR(J4/I4, "")</f>
        <v/>
      </c>
      <c r="L4" s="18"/>
      <c r="M4" s="18"/>
    </row>
    <row r="5" spans="1:13" ht="15.6">
      <c r="A5" s="32" t="str">
        <v>CA: Antioch MC CUP - Citi</v>
      </c>
      <c r="B5" s="33" t="str">
        <v>CA</v>
      </c>
      <c r="C5" s="12"/>
      <c r="D5" s="12"/>
      <c r="E5" s="80" t="e">
        <f t="shared" si="0"/>
        <v>#DIV/0!</v>
      </c>
      <c r="F5" s="20"/>
      <c r="G5" s="20"/>
      <c r="H5" s="21" t="str">
        <f>IFERROR(G5/F5, "")</f>
        <v/>
      </c>
      <c r="I5" s="22"/>
      <c r="J5" s="22"/>
      <c r="K5" s="21" t="str">
        <f t="shared" ref="K5:K15" si="1">IFERROR(J5/I5, "")</f>
        <v/>
      </c>
      <c r="L5" s="11"/>
      <c r="M5" s="19"/>
    </row>
    <row r="6" spans="1:13" ht="15.6">
      <c r="A6" s="30" t="str">
        <v>CA: Clovis - Citi</v>
      </c>
      <c r="B6" s="31" t="str">
        <v>CA</v>
      </c>
      <c r="C6" s="26"/>
      <c r="D6" s="71"/>
      <c r="E6" s="82" t="e">
        <f t="shared" si="0"/>
        <v>#DIV/0!</v>
      </c>
      <c r="F6" s="14"/>
      <c r="G6" s="14"/>
      <c r="H6" s="15" t="str">
        <f t="shared" ref="H6:H15" si="2">IFERROR(G6/F6, "")</f>
        <v/>
      </c>
      <c r="I6" s="16"/>
      <c r="J6" s="16"/>
      <c r="K6" s="17" t="str">
        <f t="shared" si="1"/>
        <v/>
      </c>
      <c r="L6" s="18"/>
      <c r="M6" s="18"/>
    </row>
    <row r="7" spans="1:13" ht="15.6">
      <c r="A7" s="32" t="str">
        <v>CA: Elk Grove MOB - Citi</v>
      </c>
      <c r="B7" s="33" t="str">
        <v>CA</v>
      </c>
      <c r="C7" s="12"/>
      <c r="D7" s="12"/>
      <c r="E7" s="80" t="e">
        <f t="shared" si="0"/>
        <v>#DIV/0!</v>
      </c>
      <c r="F7" s="20"/>
      <c r="G7" s="20"/>
      <c r="H7" s="21" t="str">
        <f t="shared" si="2"/>
        <v/>
      </c>
      <c r="I7" s="22"/>
      <c r="J7" s="22"/>
      <c r="K7" s="21" t="str">
        <f t="shared" si="1"/>
        <v/>
      </c>
      <c r="L7" s="11"/>
      <c r="M7" s="19"/>
    </row>
    <row r="8" spans="1:13" ht="15.6">
      <c r="A8" s="30" t="str">
        <v>CA: Elk Grove Promenade - Citi</v>
      </c>
      <c r="B8" s="31" t="str">
        <v>CA</v>
      </c>
      <c r="C8" s="26"/>
      <c r="D8" s="71"/>
      <c r="E8" s="82" t="e">
        <f t="shared" si="0"/>
        <v>#DIV/0!</v>
      </c>
      <c r="F8" s="14"/>
      <c r="G8" s="14"/>
      <c r="H8" s="15" t="str">
        <f t="shared" si="2"/>
        <v/>
      </c>
      <c r="I8" s="16"/>
      <c r="J8" s="16"/>
      <c r="K8" s="17" t="str">
        <f t="shared" si="1"/>
        <v/>
      </c>
      <c r="L8" s="18"/>
      <c r="M8" s="18"/>
    </row>
    <row r="9" spans="1:13" ht="15.6">
      <c r="A9" s="32" t="str">
        <v>CA: Fresno Sequioa - Citi</v>
      </c>
      <c r="B9" s="33" t="str">
        <v>CA</v>
      </c>
      <c r="C9" s="12"/>
      <c r="D9" s="12"/>
      <c r="E9" s="80" t="e">
        <f t="shared" si="0"/>
        <v>#DIV/0!</v>
      </c>
      <c r="F9" s="20"/>
      <c r="G9" s="20"/>
      <c r="H9" s="21" t="str">
        <f t="shared" si="2"/>
        <v/>
      </c>
      <c r="I9" s="22"/>
      <c r="J9" s="22"/>
      <c r="K9" s="21" t="str">
        <f t="shared" si="1"/>
        <v/>
      </c>
      <c r="L9" s="57"/>
      <c r="M9" s="60"/>
    </row>
    <row r="10" spans="1:13" ht="15.6">
      <c r="A10" s="30" t="str">
        <v>CA: Fresno MOB - Citi</v>
      </c>
      <c r="B10" s="31" t="str">
        <v>CA</v>
      </c>
      <c r="C10" s="26"/>
      <c r="D10" s="71"/>
      <c r="E10" s="82" t="e">
        <f t="shared" si="0"/>
        <v>#DIV/0!</v>
      </c>
      <c r="F10" s="14"/>
      <c r="G10" s="14"/>
      <c r="H10" s="15" t="str">
        <f t="shared" si="2"/>
        <v/>
      </c>
      <c r="I10" s="16"/>
      <c r="J10" s="16"/>
      <c r="K10" s="17" t="str">
        <f t="shared" si="1"/>
        <v/>
      </c>
      <c r="L10" s="18"/>
      <c r="M10" s="18"/>
    </row>
    <row r="11" spans="1:13" ht="15.6">
      <c r="A11" s="32" t="str">
        <v>CA: Modesto Bangs - Citi</v>
      </c>
      <c r="B11" s="33" t="str">
        <v>CA</v>
      </c>
      <c r="C11" s="12"/>
      <c r="D11" s="12"/>
      <c r="E11" s="80" t="e">
        <f t="shared" si="0"/>
        <v>#DIV/0!</v>
      </c>
      <c r="F11" s="20"/>
      <c r="G11" s="20"/>
      <c r="H11" s="21" t="str">
        <f t="shared" si="2"/>
        <v/>
      </c>
      <c r="I11" s="22"/>
      <c r="J11" s="22"/>
      <c r="K11" s="21" t="str">
        <f t="shared" si="1"/>
        <v/>
      </c>
      <c r="L11" s="61"/>
      <c r="M11" s="121"/>
    </row>
    <row r="12" spans="1:13" ht="15.6">
      <c r="A12" s="30" t="str">
        <v>CA: Napa Data Center - Citi</v>
      </c>
      <c r="B12" s="31" t="str">
        <v>CA</v>
      </c>
      <c r="C12" s="26"/>
      <c r="D12" s="71"/>
      <c r="E12" s="82" t="e">
        <f t="shared" si="0"/>
        <v>#DIV/0!</v>
      </c>
      <c r="F12" s="14"/>
      <c r="G12" s="14"/>
      <c r="H12" s="15" t="str">
        <f t="shared" si="2"/>
        <v/>
      </c>
      <c r="I12" s="16"/>
      <c r="J12" s="16"/>
      <c r="K12" s="17" t="str">
        <f t="shared" si="1"/>
        <v/>
      </c>
      <c r="L12" s="18"/>
      <c r="M12" s="18"/>
    </row>
    <row r="13" spans="1:13" ht="15.6">
      <c r="A13" s="32" t="str">
        <v>CA: Petaluma MOB - Citi</v>
      </c>
      <c r="B13" s="33" t="str">
        <v>CA</v>
      </c>
      <c r="C13" s="12"/>
      <c r="D13" s="12"/>
      <c r="E13" s="80" t="e">
        <f t="shared" si="0"/>
        <v>#DIV/0!</v>
      </c>
      <c r="F13" s="20"/>
      <c r="G13" s="20"/>
      <c r="H13" s="21" t="str">
        <f t="shared" si="2"/>
        <v/>
      </c>
      <c r="I13" s="22"/>
      <c r="J13" s="22"/>
      <c r="K13" s="21" t="str">
        <f t="shared" si="1"/>
        <v/>
      </c>
      <c r="L13" s="85"/>
      <c r="M13" s="96"/>
    </row>
    <row r="14" spans="1:13" ht="15.6">
      <c r="A14" s="30" t="str">
        <v>CA: Pleasanton Tec Ctr - Citi</v>
      </c>
      <c r="B14" s="31" t="str">
        <v>CA</v>
      </c>
      <c r="C14" s="26"/>
      <c r="D14" s="71"/>
      <c r="E14" s="82" t="e">
        <f t="shared" si="0"/>
        <v>#DIV/0!</v>
      </c>
      <c r="F14" s="14"/>
      <c r="G14" s="14"/>
      <c r="H14" s="15" t="str">
        <f t="shared" si="2"/>
        <v/>
      </c>
      <c r="I14" s="16"/>
      <c r="J14" s="16"/>
      <c r="K14" s="17" t="str">
        <f t="shared" si="1"/>
        <v/>
      </c>
      <c r="L14" s="18"/>
      <c r="M14" s="18"/>
    </row>
    <row r="15" spans="1:13" ht="15.6">
      <c r="A15" s="32" t="str">
        <v>CA: Rancho Cordova - Citi</v>
      </c>
      <c r="B15" s="33" t="str">
        <v>CA</v>
      </c>
      <c r="C15" s="12"/>
      <c r="D15" s="12"/>
      <c r="E15" s="80" t="e">
        <f t="shared" si="0"/>
        <v>#DIV/0!</v>
      </c>
      <c r="F15" s="20"/>
      <c r="G15" s="20"/>
      <c r="H15" s="21" t="str">
        <f t="shared" si="2"/>
        <v/>
      </c>
      <c r="I15" s="22"/>
      <c r="J15" s="22"/>
      <c r="K15" s="21" t="str">
        <f t="shared" si="1"/>
        <v/>
      </c>
      <c r="L15" s="11"/>
      <c r="M15" s="19"/>
    </row>
    <row r="16" spans="1:13" ht="15.6">
      <c r="A16" s="30" t="str">
        <v>CA: S Sacramento Wyndham - Citi</v>
      </c>
      <c r="B16" s="31" t="str">
        <v>CA</v>
      </c>
      <c r="C16" s="37"/>
      <c r="D16" s="72"/>
      <c r="E16" s="82" t="e">
        <f t="shared" si="0"/>
        <v>#DIV/0!</v>
      </c>
      <c r="F16" s="14"/>
      <c r="G16" s="14"/>
      <c r="H16" s="38" t="str">
        <f t="shared" ref="H16:H22" si="3">IFERROR(G16/F16, "")</f>
        <v/>
      </c>
      <c r="I16" s="39"/>
      <c r="J16" s="39"/>
      <c r="K16" s="40" t="str">
        <f t="shared" ref="K16:K22" si="4">IFERROR(J16/I16, "")</f>
        <v/>
      </c>
      <c r="L16" s="41"/>
      <c r="M16" s="41"/>
    </row>
    <row r="17" spans="1:13" ht="15.6">
      <c r="A17" s="32" t="str">
        <v>CA: Sacramento Point West - Citi</v>
      </c>
      <c r="B17" s="33" t="str">
        <v>CA</v>
      </c>
      <c r="C17" s="42"/>
      <c r="D17" s="42"/>
      <c r="E17" s="80" t="e">
        <f t="shared" si="0"/>
        <v>#DIV/0!</v>
      </c>
      <c r="F17" s="20"/>
      <c r="G17" s="20"/>
      <c r="H17" s="43" t="str">
        <f t="shared" si="3"/>
        <v/>
      </c>
      <c r="I17" s="44"/>
      <c r="J17" s="44"/>
      <c r="K17" s="43" t="str">
        <f t="shared" si="4"/>
        <v/>
      </c>
      <c r="L17" s="61"/>
      <c r="M17" s="19"/>
    </row>
    <row r="18" spans="1:13" ht="19.5" customHeight="1">
      <c r="A18" s="30" t="str">
        <v>CA: San Jose FHC - Citi</v>
      </c>
      <c r="B18" s="31" t="str">
        <v>CA</v>
      </c>
      <c r="C18" s="37"/>
      <c r="D18" s="72"/>
      <c r="E18" s="82" t="e">
        <f t="shared" si="0"/>
        <v>#DIV/0!</v>
      </c>
      <c r="F18" s="14"/>
      <c r="G18" s="14"/>
      <c r="H18" s="38" t="str">
        <f t="shared" si="3"/>
        <v/>
      </c>
      <c r="I18" s="39"/>
      <c r="J18" s="39"/>
      <c r="K18" s="40" t="str">
        <f t="shared" si="4"/>
        <v/>
      </c>
      <c r="L18" s="41"/>
      <c r="M18" s="41"/>
    </row>
    <row r="19" spans="1:13" ht="15.6">
      <c r="A19" s="32" t="str">
        <v>CA: San Jose MOB - Citi</v>
      </c>
      <c r="B19" s="33" t="str">
        <v>CA</v>
      </c>
      <c r="C19" s="42"/>
      <c r="D19" s="42"/>
      <c r="E19" s="80" t="e">
        <f t="shared" si="0"/>
        <v>#DIV/0!</v>
      </c>
      <c r="F19" s="20"/>
      <c r="G19" s="20"/>
      <c r="H19" s="43" t="str">
        <f t="shared" si="3"/>
        <v/>
      </c>
      <c r="I19" s="44"/>
      <c r="J19" s="44"/>
      <c r="K19" s="43" t="str">
        <f t="shared" si="4"/>
        <v/>
      </c>
      <c r="L19" s="98"/>
      <c r="M19" s="122"/>
    </row>
    <row r="20" spans="1:13" ht="15.6">
      <c r="A20" s="30" t="str">
        <v>CA: Selma - Citi</v>
      </c>
      <c r="B20" s="31" t="str">
        <v>CA</v>
      </c>
      <c r="C20" s="37"/>
      <c r="D20" s="72"/>
      <c r="E20" s="82" t="e">
        <f t="shared" si="0"/>
        <v>#DIV/0!</v>
      </c>
      <c r="F20" s="14"/>
      <c r="G20" s="14"/>
      <c r="H20" s="38" t="str">
        <f t="shared" si="3"/>
        <v/>
      </c>
      <c r="I20" s="39"/>
      <c r="J20" s="39"/>
      <c r="K20" s="40" t="str">
        <f t="shared" si="4"/>
        <v/>
      </c>
      <c r="L20" s="41"/>
      <c r="M20" s="41"/>
    </row>
    <row r="21" spans="1:13" ht="15.6">
      <c r="A21" s="32" t="str">
        <v>CA: Vacaville Hospital</v>
      </c>
      <c r="B21" s="33" t="str">
        <v>CA</v>
      </c>
      <c r="C21" s="42"/>
      <c r="D21" s="42"/>
      <c r="E21" s="80" t="e">
        <f t="shared" si="0"/>
        <v>#DIV/0!</v>
      </c>
      <c r="F21" s="20"/>
      <c r="G21" s="20"/>
      <c r="H21" s="43" t="str">
        <f t="shared" si="3"/>
        <v/>
      </c>
      <c r="I21" s="44"/>
      <c r="J21" s="44"/>
      <c r="K21" s="43" t="str">
        <f t="shared" si="4"/>
        <v/>
      </c>
      <c r="L21" s="85"/>
      <c r="M21" s="95"/>
    </row>
    <row r="22" spans="1:13" ht="15.6">
      <c r="A22" s="30" t="str">
        <v>CA: Manteca - KP Manteca Hospital</v>
      </c>
      <c r="B22" s="31" t="str">
        <v>CA</v>
      </c>
      <c r="C22" s="37"/>
      <c r="D22" s="72"/>
      <c r="E22" s="82" t="e">
        <f t="shared" si="0"/>
        <v>#DIV/0!</v>
      </c>
      <c r="F22" s="14"/>
      <c r="G22" s="14"/>
      <c r="H22" s="38" t="str">
        <f t="shared" si="3"/>
        <v/>
      </c>
      <c r="I22" s="39"/>
      <c r="J22" s="39"/>
      <c r="K22" s="40" t="str">
        <f t="shared" si="4"/>
        <v/>
      </c>
      <c r="L22" s="41"/>
      <c r="M22" s="41"/>
    </row>
    <row r="23" spans="1:13" ht="14.45">
      <c r="A23" s="23" t="str">
        <v>Sacramento - KP South Sacramento HSP</v>
      </c>
      <c r="B23" s="35" t="str">
        <v>CA</v>
      </c>
      <c r="C23" s="23"/>
      <c r="D23" s="23"/>
      <c r="E23" s="23"/>
      <c r="F23" s="23"/>
      <c r="G23" s="23"/>
      <c r="H23" s="23"/>
      <c r="I23" s="23"/>
      <c r="J23" s="23"/>
      <c r="K23" s="23"/>
      <c r="L23" s="23"/>
      <c r="M23" s="23"/>
    </row>
    <row r="24" spans="1:13" ht="14.45">
      <c r="A24" s="23"/>
      <c r="B24" s="35"/>
      <c r="C24" s="23"/>
      <c r="D24" s="23"/>
      <c r="E24" s="23"/>
      <c r="F24" s="23"/>
      <c r="G24" s="23"/>
      <c r="H24" s="23"/>
      <c r="I24" s="23"/>
      <c r="J24" s="23"/>
      <c r="K24" s="23"/>
      <c r="L24" s="23"/>
      <c r="M24" s="23"/>
    </row>
    <row r="25" spans="1:13" ht="14.45">
      <c r="A25" s="23"/>
      <c r="B25" s="35"/>
      <c r="C25" s="23"/>
      <c r="D25" s="23"/>
      <c r="E25" s="73"/>
      <c r="F25" s="23"/>
      <c r="G25" s="23"/>
      <c r="H25" s="23"/>
      <c r="I25" s="23"/>
      <c r="J25" s="23"/>
      <c r="K25" s="23"/>
      <c r="L25" s="23"/>
      <c r="M25" s="23"/>
    </row>
    <row r="26" spans="1:13" ht="14.45">
      <c r="A26" s="23"/>
      <c r="B26" s="35"/>
      <c r="C26" s="23"/>
      <c r="D26" s="23"/>
      <c r="E26" s="23"/>
      <c r="F26" s="23"/>
      <c r="G26" s="23"/>
      <c r="H26" s="23"/>
      <c r="I26" s="23"/>
      <c r="J26" s="23"/>
      <c r="K26" s="23"/>
      <c r="L26" s="23"/>
      <c r="M26" s="23"/>
    </row>
    <row r="27" spans="1:13" ht="14.45">
      <c r="A27" s="23"/>
      <c r="B27" s="35"/>
      <c r="C27" s="23"/>
      <c r="D27" s="23"/>
      <c r="E27" s="23"/>
      <c r="F27" s="23"/>
      <c r="G27" s="23"/>
      <c r="H27" s="23"/>
      <c r="I27" s="23"/>
      <c r="J27" s="23"/>
      <c r="K27" s="23"/>
      <c r="L27" s="23"/>
      <c r="M27" s="23"/>
    </row>
    <row r="28" spans="1:13" ht="14.45">
      <c r="A28" s="23"/>
      <c r="B28" s="35"/>
      <c r="C28" s="23"/>
      <c r="D28" s="23"/>
      <c r="E28" s="23"/>
      <c r="F28" s="23"/>
      <c r="G28" s="23"/>
      <c r="H28" s="23"/>
      <c r="I28" s="23"/>
      <c r="J28" s="23"/>
      <c r="K28" s="23"/>
      <c r="L28" s="23"/>
      <c r="M28" s="23"/>
    </row>
    <row r="29" spans="1:13" ht="14.45">
      <c r="A29" s="23"/>
      <c r="B29" s="35"/>
      <c r="C29" s="23"/>
      <c r="D29" s="23"/>
      <c r="E29" s="23"/>
      <c r="F29" s="23"/>
      <c r="G29" s="23"/>
      <c r="H29" s="23"/>
      <c r="I29" s="23"/>
      <c r="J29" s="23"/>
      <c r="K29" s="23"/>
      <c r="L29" s="23"/>
      <c r="M29" s="23"/>
    </row>
    <row r="30" spans="1:13" ht="14.45">
      <c r="A30" s="23"/>
      <c r="B30" s="35"/>
      <c r="C30" s="23"/>
      <c r="D30" s="23"/>
      <c r="E30" s="23"/>
      <c r="F30" s="23"/>
      <c r="G30" s="23"/>
      <c r="H30" s="23"/>
      <c r="I30" s="23"/>
      <c r="J30" s="23"/>
      <c r="K30" s="23"/>
      <c r="L30" s="23"/>
      <c r="M30" s="23"/>
    </row>
    <row r="31" spans="1:13" ht="14.45">
      <c r="A31" s="23"/>
      <c r="B31" s="35"/>
      <c r="C31" s="23"/>
      <c r="D31" s="23"/>
      <c r="E31" s="23"/>
      <c r="F31" s="23"/>
      <c r="G31" s="23"/>
      <c r="H31" s="23"/>
      <c r="I31" s="23"/>
      <c r="J31" s="23"/>
      <c r="K31" s="23"/>
      <c r="L31" s="23"/>
      <c r="M31" s="23"/>
    </row>
    <row r="32" spans="1:13" ht="14.45">
      <c r="A32" s="23"/>
      <c r="B32" s="35"/>
      <c r="C32" s="23"/>
      <c r="D32" s="23"/>
      <c r="E32" s="23"/>
      <c r="F32" s="23"/>
      <c r="G32" s="23"/>
      <c r="H32" s="23"/>
      <c r="I32" s="23"/>
      <c r="J32" s="23"/>
      <c r="K32" s="23"/>
      <c r="L32" s="23"/>
      <c r="M32" s="23"/>
    </row>
    <row r="33" spans="1:13" ht="14.45">
      <c r="A33" s="23"/>
      <c r="B33" s="35"/>
      <c r="C33" s="23"/>
      <c r="D33" s="23"/>
      <c r="E33" s="23"/>
      <c r="F33" s="23"/>
      <c r="G33" s="23"/>
      <c r="H33" s="24"/>
      <c r="I33" s="23"/>
      <c r="J33" s="23"/>
      <c r="K33" s="24"/>
      <c r="L33" s="23"/>
      <c r="M33" s="23"/>
    </row>
    <row r="34" spans="1:13" ht="14.45">
      <c r="A34" s="23"/>
      <c r="B34" s="35"/>
      <c r="C34" s="23"/>
      <c r="D34" s="23"/>
      <c r="E34" s="23"/>
      <c r="F34" s="23"/>
      <c r="G34" s="23"/>
      <c r="H34" s="24"/>
      <c r="I34" s="23"/>
      <c r="J34" s="23"/>
      <c r="K34" s="24"/>
      <c r="L34" s="23"/>
      <c r="M34" s="23"/>
    </row>
    <row r="35" spans="1:13" ht="14.45">
      <c r="A35" s="23"/>
      <c r="B35" s="35"/>
      <c r="C35" s="23"/>
      <c r="D35" s="23"/>
      <c r="E35" s="23"/>
      <c r="F35" s="23"/>
      <c r="G35" s="23"/>
      <c r="H35" s="24"/>
      <c r="I35" s="23"/>
      <c r="J35" s="23"/>
      <c r="K35" s="24"/>
      <c r="L35" s="23"/>
      <c r="M35" s="23"/>
    </row>
    <row r="36" spans="1:13" ht="14.45">
      <c r="A36" s="23"/>
      <c r="B36" s="35"/>
      <c r="C36" s="23"/>
      <c r="D36" s="23"/>
      <c r="E36" s="23"/>
      <c r="F36" s="23"/>
      <c r="G36" s="23"/>
      <c r="H36" s="24"/>
      <c r="I36" s="23"/>
      <c r="J36" s="23"/>
      <c r="K36" s="24"/>
      <c r="L36" s="23"/>
      <c r="M36" s="23"/>
    </row>
    <row r="37" spans="1:13" ht="14.45">
      <c r="A37" s="23"/>
      <c r="B37" s="35"/>
      <c r="C37" s="23"/>
      <c r="D37" s="23"/>
      <c r="E37" s="23"/>
      <c r="F37" s="23"/>
      <c r="G37" s="23"/>
      <c r="H37" s="24"/>
      <c r="I37" s="23"/>
      <c r="J37" s="23"/>
      <c r="K37" s="24"/>
      <c r="L37" s="23"/>
      <c r="M37" s="23"/>
    </row>
    <row r="38" spans="1:13" ht="14.45">
      <c r="A38" s="23"/>
      <c r="B38" s="35"/>
      <c r="C38" s="23"/>
      <c r="D38" s="23"/>
      <c r="E38" s="23"/>
      <c r="F38" s="23"/>
      <c r="G38" s="23"/>
      <c r="H38" s="24"/>
      <c r="I38" s="23"/>
      <c r="J38" s="23"/>
      <c r="K38" s="24"/>
      <c r="L38" s="23"/>
      <c r="M38" s="23"/>
    </row>
    <row r="39" spans="1:13" ht="14.45">
      <c r="A39" s="23"/>
      <c r="B39" s="35"/>
      <c r="C39" s="23"/>
      <c r="D39" s="23"/>
      <c r="E39" s="23"/>
      <c r="F39" s="23"/>
      <c r="G39" s="23"/>
      <c r="H39" s="24"/>
      <c r="I39" s="23"/>
      <c r="J39" s="23"/>
      <c r="K39" s="24"/>
      <c r="L39" s="23"/>
      <c r="M39" s="23"/>
    </row>
    <row r="40" spans="1:13" ht="14.45">
      <c r="A40" s="23"/>
      <c r="B40" s="35"/>
      <c r="C40" s="23"/>
      <c r="D40" s="23"/>
      <c r="E40" s="23"/>
      <c r="F40" s="23"/>
      <c r="G40" s="23"/>
      <c r="H40" s="24"/>
      <c r="I40" s="23"/>
      <c r="J40" s="23"/>
      <c r="K40" s="24"/>
      <c r="L40" s="23"/>
      <c r="M40" s="23"/>
    </row>
    <row r="41" spans="1:13" ht="14.45">
      <c r="A41" s="23"/>
      <c r="B41" s="35"/>
      <c r="C41" s="23"/>
      <c r="D41" s="23"/>
      <c r="E41" s="23"/>
      <c r="F41" s="23"/>
      <c r="G41" s="23"/>
      <c r="H41" s="24"/>
      <c r="I41" s="23"/>
      <c r="J41" s="23"/>
      <c r="K41" s="24"/>
      <c r="L41" s="23"/>
      <c r="M41" s="23"/>
    </row>
    <row r="42" spans="1:13" ht="14.45">
      <c r="A42" s="23"/>
      <c r="B42" s="35"/>
      <c r="C42" s="23"/>
      <c r="D42" s="23"/>
      <c r="E42" s="23"/>
      <c r="F42" s="23"/>
      <c r="G42" s="23"/>
      <c r="H42" s="24"/>
      <c r="I42" s="23"/>
      <c r="J42" s="23"/>
      <c r="K42" s="24"/>
      <c r="L42" s="23"/>
      <c r="M42" s="23"/>
    </row>
    <row r="43" spans="1:13" ht="14.45">
      <c r="A43" s="23"/>
      <c r="B43" s="35"/>
      <c r="C43" s="23"/>
      <c r="D43" s="23"/>
      <c r="E43" s="23"/>
      <c r="F43" s="23"/>
      <c r="G43" s="23"/>
      <c r="H43" s="24"/>
      <c r="I43" s="23"/>
      <c r="J43" s="23"/>
      <c r="K43" s="24"/>
      <c r="L43" s="23"/>
      <c r="M43" s="23"/>
    </row>
    <row r="44" spans="1:13" ht="14.45">
      <c r="A44" s="23"/>
      <c r="B44" s="35"/>
      <c r="C44" s="23"/>
      <c r="D44" s="23"/>
      <c r="E44" s="23"/>
      <c r="F44" s="23"/>
      <c r="G44" s="23"/>
      <c r="H44" s="24"/>
      <c r="I44" s="23"/>
      <c r="J44" s="23"/>
      <c r="K44" s="24"/>
      <c r="L44" s="23"/>
      <c r="M44" s="23"/>
    </row>
    <row r="45" spans="1:13" ht="14.45">
      <c r="A45" s="23"/>
      <c r="B45" s="35"/>
      <c r="C45" s="23"/>
      <c r="D45" s="23"/>
      <c r="E45" s="23"/>
      <c r="F45" s="23"/>
      <c r="G45" s="23"/>
      <c r="H45" s="24"/>
      <c r="I45" s="23"/>
      <c r="J45" s="23"/>
      <c r="K45" s="24"/>
      <c r="L45" s="23"/>
      <c r="M45" s="23"/>
    </row>
    <row r="46" spans="1:13" ht="14.45">
      <c r="A46" s="23"/>
      <c r="B46" s="35"/>
      <c r="C46" s="23"/>
      <c r="D46" s="23"/>
      <c r="E46" s="23"/>
      <c r="F46" s="23"/>
      <c r="G46" s="23"/>
      <c r="H46" s="24"/>
      <c r="I46" s="23"/>
      <c r="J46" s="23"/>
      <c r="K46" s="24"/>
      <c r="L46" s="23"/>
      <c r="M46" s="23"/>
    </row>
    <row r="47" spans="1:13" ht="14.45">
      <c r="A47" s="23"/>
      <c r="B47" s="35"/>
      <c r="C47" s="23"/>
      <c r="D47" s="23"/>
      <c r="E47" s="23"/>
      <c r="F47" s="23"/>
      <c r="G47" s="23"/>
      <c r="H47" s="24"/>
      <c r="I47" s="23"/>
      <c r="J47" s="23"/>
      <c r="K47" s="24"/>
      <c r="L47" s="23"/>
      <c r="M47" s="23"/>
    </row>
    <row r="48" spans="1:13" ht="14.45">
      <c r="A48" s="23"/>
      <c r="B48" s="35"/>
      <c r="C48" s="23"/>
      <c r="D48" s="23"/>
      <c r="E48" s="23"/>
      <c r="F48" s="23"/>
      <c r="G48" s="23"/>
      <c r="H48" s="24"/>
      <c r="I48" s="23"/>
      <c r="J48" s="23"/>
      <c r="K48" s="24"/>
      <c r="L48" s="23"/>
      <c r="M48" s="23"/>
    </row>
    <row r="49" spans="1:13" ht="14.45">
      <c r="A49" s="23"/>
      <c r="B49" s="35"/>
      <c r="C49" s="23"/>
      <c r="D49" s="23"/>
      <c r="E49" s="23"/>
      <c r="F49" s="23"/>
      <c r="G49" s="23"/>
      <c r="H49" s="24"/>
      <c r="I49" s="23"/>
      <c r="J49" s="23"/>
      <c r="K49" s="24"/>
      <c r="L49" s="23"/>
      <c r="M49" s="23"/>
    </row>
    <row r="50" spans="1:13" ht="14.45">
      <c r="A50" s="23"/>
      <c r="B50" s="35"/>
      <c r="C50" s="23"/>
      <c r="D50" s="23"/>
      <c r="E50" s="23"/>
      <c r="F50" s="23"/>
      <c r="G50" s="23"/>
      <c r="H50" s="24"/>
      <c r="I50" s="23"/>
      <c r="J50" s="23"/>
      <c r="K50" s="24"/>
      <c r="L50" s="23"/>
      <c r="M50" s="23"/>
    </row>
    <row r="51" spans="1:13" ht="14.45">
      <c r="A51" s="23"/>
      <c r="B51" s="35"/>
      <c r="C51" s="23"/>
      <c r="D51" s="23"/>
      <c r="E51" s="23"/>
      <c r="F51" s="23"/>
      <c r="G51" s="23"/>
      <c r="H51" s="24"/>
      <c r="I51" s="23"/>
      <c r="J51" s="23"/>
      <c r="K51" s="24"/>
      <c r="L51" s="23"/>
      <c r="M51" s="23"/>
    </row>
    <row r="52" spans="1:13" ht="14.45">
      <c r="A52" s="23"/>
      <c r="B52" s="35"/>
      <c r="C52" s="23"/>
      <c r="D52" s="23"/>
      <c r="E52" s="23"/>
      <c r="F52" s="23"/>
      <c r="G52" s="23"/>
      <c r="H52" s="24"/>
      <c r="I52" s="23"/>
      <c r="J52" s="23"/>
      <c r="K52" s="24"/>
      <c r="L52" s="23"/>
      <c r="M52" s="23"/>
    </row>
    <row r="53" spans="1:13" ht="14.45">
      <c r="A53" s="23"/>
      <c r="B53" s="35"/>
      <c r="C53" s="23"/>
      <c r="D53" s="23"/>
      <c r="E53" s="23"/>
      <c r="F53" s="23"/>
      <c r="G53" s="23"/>
      <c r="H53" s="24"/>
      <c r="I53" s="23"/>
      <c r="J53" s="23"/>
      <c r="K53" s="24"/>
      <c r="L53" s="23"/>
      <c r="M53" s="23"/>
    </row>
    <row r="54" spans="1:13" ht="14.45">
      <c r="A54" s="23"/>
      <c r="B54" s="35"/>
      <c r="C54" s="23"/>
      <c r="D54" s="23"/>
      <c r="E54" s="23"/>
      <c r="F54" s="23"/>
      <c r="G54" s="23"/>
      <c r="H54" s="24"/>
      <c r="I54" s="23"/>
      <c r="J54" s="23"/>
      <c r="K54" s="24"/>
      <c r="L54" s="23"/>
      <c r="M54" s="23"/>
    </row>
    <row r="55" spans="1:13" ht="14.45">
      <c r="A55" s="23"/>
      <c r="B55" s="35"/>
      <c r="C55" s="23"/>
      <c r="D55" s="23"/>
      <c r="E55" s="23"/>
      <c r="F55" s="23"/>
      <c r="G55" s="23"/>
      <c r="H55" s="24"/>
      <c r="I55" s="23"/>
      <c r="J55" s="23"/>
      <c r="K55" s="24"/>
      <c r="L55" s="23"/>
      <c r="M55" s="23"/>
    </row>
    <row r="56" spans="1:13" ht="14.45">
      <c r="A56" s="23"/>
      <c r="B56" s="35"/>
      <c r="C56" s="23"/>
      <c r="D56" s="23"/>
      <c r="E56" s="23"/>
      <c r="F56" s="23"/>
      <c r="G56" s="23"/>
      <c r="H56" s="24"/>
      <c r="I56" s="23"/>
      <c r="J56" s="23"/>
      <c r="K56" s="24"/>
      <c r="L56" s="23"/>
      <c r="M56" s="23"/>
    </row>
    <row r="57" spans="1:13" ht="14.45">
      <c r="A57" s="23"/>
      <c r="B57" s="35"/>
      <c r="C57" s="23"/>
      <c r="D57" s="23"/>
      <c r="E57" s="23"/>
      <c r="F57" s="23"/>
      <c r="G57" s="23"/>
      <c r="H57" s="24"/>
      <c r="I57" s="23"/>
      <c r="J57" s="23"/>
      <c r="K57" s="24"/>
      <c r="L57" s="23"/>
      <c r="M57" s="23"/>
    </row>
    <row r="58" spans="1:13" ht="14.45">
      <c r="A58" s="23"/>
      <c r="B58" s="35"/>
      <c r="C58" s="23"/>
      <c r="D58" s="23"/>
      <c r="E58" s="23"/>
      <c r="F58" s="23"/>
      <c r="G58" s="23"/>
      <c r="H58" s="24"/>
      <c r="I58" s="23"/>
      <c r="J58" s="23"/>
      <c r="K58" s="24"/>
      <c r="L58" s="23"/>
      <c r="M58" s="23"/>
    </row>
    <row r="59" spans="1:13" ht="14.45">
      <c r="A59" s="23"/>
      <c r="B59" s="35"/>
      <c r="C59" s="23"/>
      <c r="D59" s="23"/>
      <c r="E59" s="23"/>
      <c r="F59" s="23"/>
      <c r="G59" s="23"/>
      <c r="H59" s="24"/>
      <c r="I59" s="23"/>
      <c r="J59" s="23"/>
      <c r="K59" s="24"/>
      <c r="L59" s="23"/>
      <c r="M59" s="23"/>
    </row>
    <row r="60" spans="1:13" ht="14.45">
      <c r="A60" s="23"/>
      <c r="B60" s="35"/>
      <c r="C60" s="23"/>
      <c r="D60" s="23"/>
      <c r="E60" s="23"/>
      <c r="F60" s="23"/>
      <c r="G60" s="23"/>
      <c r="H60" s="24"/>
      <c r="I60" s="23"/>
      <c r="J60" s="23"/>
      <c r="K60" s="24"/>
      <c r="L60" s="23"/>
      <c r="M60" s="23"/>
    </row>
    <row r="61" spans="1:13" ht="14.45">
      <c r="A61" s="23"/>
      <c r="B61" s="35"/>
      <c r="C61" s="23"/>
      <c r="D61" s="23"/>
      <c r="E61" s="23"/>
      <c r="F61" s="23"/>
      <c r="G61" s="23"/>
      <c r="H61" s="24"/>
      <c r="I61" s="23"/>
      <c r="J61" s="23"/>
      <c r="K61" s="24"/>
      <c r="L61" s="23"/>
      <c r="M61" s="23"/>
    </row>
    <row r="62" spans="1:13" ht="14.45">
      <c r="A62" s="23"/>
      <c r="B62" s="35"/>
      <c r="C62" s="23"/>
      <c r="D62" s="23"/>
      <c r="E62" s="23"/>
      <c r="F62" s="23"/>
      <c r="G62" s="23"/>
      <c r="H62" s="24"/>
      <c r="I62" s="23"/>
      <c r="J62" s="23"/>
      <c r="K62" s="24"/>
      <c r="L62" s="23"/>
      <c r="M62" s="23"/>
    </row>
    <row r="63" spans="1:13" ht="14.45">
      <c r="A63" s="23"/>
      <c r="B63" s="35"/>
      <c r="C63" s="23"/>
      <c r="D63" s="23"/>
      <c r="E63" s="23"/>
      <c r="F63" s="23"/>
      <c r="G63" s="23"/>
      <c r="H63" s="24"/>
      <c r="I63" s="23"/>
      <c r="J63" s="23"/>
      <c r="K63" s="24"/>
      <c r="L63" s="23"/>
      <c r="M63" s="23"/>
    </row>
    <row r="64" spans="1:13" ht="14.45">
      <c r="A64" s="23"/>
      <c r="B64" s="35"/>
      <c r="C64" s="23"/>
      <c r="D64" s="23"/>
      <c r="E64" s="23"/>
      <c r="F64" s="23"/>
      <c r="G64" s="23"/>
      <c r="H64" s="24"/>
      <c r="I64" s="23"/>
      <c r="J64" s="23"/>
      <c r="K64" s="24"/>
      <c r="L64" s="23"/>
      <c r="M64" s="23"/>
    </row>
    <row r="65" spans="1:13" ht="14.45">
      <c r="A65" s="23"/>
      <c r="B65" s="35"/>
      <c r="C65" s="23"/>
      <c r="D65" s="23"/>
      <c r="E65" s="23"/>
      <c r="F65" s="23"/>
      <c r="G65" s="23"/>
      <c r="H65" s="24"/>
      <c r="I65" s="23"/>
      <c r="J65" s="23"/>
      <c r="K65" s="24"/>
      <c r="L65" s="23"/>
      <c r="M65" s="23"/>
    </row>
    <row r="66" spans="1:13" ht="14.45">
      <c r="A66" s="23"/>
      <c r="B66" s="35"/>
      <c r="C66" s="23"/>
      <c r="D66" s="23"/>
      <c r="E66" s="23"/>
      <c r="F66" s="23"/>
      <c r="G66" s="23"/>
      <c r="H66" s="24"/>
      <c r="I66" s="23"/>
      <c r="J66" s="23"/>
      <c r="K66" s="24"/>
      <c r="L66" s="23"/>
      <c r="M66" s="23"/>
    </row>
    <row r="67" spans="1:13" ht="14.45">
      <c r="A67" s="23"/>
      <c r="B67" s="35"/>
      <c r="C67" s="23"/>
      <c r="D67" s="23"/>
      <c r="E67" s="23"/>
      <c r="F67" s="23"/>
      <c r="G67" s="23"/>
      <c r="H67" s="24"/>
      <c r="I67" s="23"/>
      <c r="J67" s="23"/>
      <c r="K67" s="24"/>
      <c r="L67" s="23"/>
      <c r="M67" s="23"/>
    </row>
    <row r="68" spans="1:13" ht="14.45">
      <c r="A68" s="23"/>
      <c r="B68" s="35"/>
      <c r="C68" s="23"/>
      <c r="D68" s="23"/>
      <c r="E68" s="23"/>
      <c r="F68" s="23"/>
      <c r="G68" s="23"/>
      <c r="H68" s="24"/>
      <c r="I68" s="23"/>
      <c r="J68" s="23"/>
      <c r="K68" s="24"/>
      <c r="L68" s="23"/>
      <c r="M68" s="23"/>
    </row>
    <row r="69" spans="1:13" ht="14.45">
      <c r="A69" s="23"/>
      <c r="B69" s="35"/>
      <c r="C69" s="23"/>
      <c r="D69" s="23"/>
      <c r="E69" s="23"/>
      <c r="F69" s="23"/>
      <c r="G69" s="23"/>
      <c r="H69" s="24"/>
      <c r="I69" s="23"/>
      <c r="J69" s="23"/>
      <c r="K69" s="24"/>
      <c r="L69" s="23"/>
      <c r="M69" s="23"/>
    </row>
    <row r="70" spans="1:13" ht="14.45">
      <c r="A70" s="23"/>
      <c r="B70" s="35"/>
      <c r="C70" s="23"/>
      <c r="D70" s="23"/>
      <c r="E70" s="23"/>
      <c r="F70" s="23"/>
      <c r="G70" s="23"/>
      <c r="H70" s="24"/>
      <c r="I70" s="23"/>
      <c r="J70" s="23"/>
      <c r="K70" s="24"/>
      <c r="L70" s="23"/>
      <c r="M70" s="23"/>
    </row>
    <row r="71" spans="1:13" ht="14.45">
      <c r="A71" s="23"/>
      <c r="B71" s="35"/>
      <c r="C71" s="23"/>
      <c r="D71" s="23"/>
      <c r="E71" s="23"/>
      <c r="F71" s="23"/>
      <c r="G71" s="23"/>
      <c r="H71" s="24"/>
      <c r="I71" s="23"/>
      <c r="J71" s="23"/>
      <c r="K71" s="24"/>
      <c r="L71" s="23"/>
      <c r="M71" s="23"/>
    </row>
    <row r="72" spans="1:13" ht="14.45">
      <c r="A72" s="23"/>
      <c r="B72" s="35"/>
      <c r="C72" s="23"/>
      <c r="D72" s="23"/>
      <c r="E72" s="23"/>
      <c r="F72" s="23"/>
      <c r="G72" s="23"/>
      <c r="H72" s="24"/>
      <c r="I72" s="23"/>
      <c r="J72" s="23"/>
      <c r="K72" s="24"/>
      <c r="L72" s="23"/>
      <c r="M72" s="23"/>
    </row>
    <row r="73" spans="1:13" ht="14.45">
      <c r="A73" s="23"/>
      <c r="B73" s="35"/>
      <c r="C73" s="23"/>
      <c r="D73" s="23"/>
      <c r="E73" s="23"/>
      <c r="F73" s="23"/>
      <c r="G73" s="23"/>
      <c r="H73" s="24"/>
      <c r="I73" s="23"/>
      <c r="J73" s="23"/>
      <c r="K73" s="24"/>
      <c r="L73" s="23"/>
      <c r="M73" s="23"/>
    </row>
    <row r="74" spans="1:13" ht="14.45">
      <c r="A74" s="23"/>
      <c r="B74" s="35"/>
      <c r="C74" s="23"/>
      <c r="D74" s="23"/>
      <c r="E74" s="23"/>
      <c r="F74" s="23"/>
      <c r="G74" s="23"/>
      <c r="H74" s="24"/>
      <c r="I74" s="23"/>
      <c r="J74" s="23"/>
      <c r="K74" s="24"/>
      <c r="L74" s="23"/>
      <c r="M74" s="23"/>
    </row>
    <row r="75" spans="1:13" ht="14.45">
      <c r="A75" s="23"/>
      <c r="B75" s="35"/>
      <c r="C75" s="23"/>
      <c r="D75" s="23"/>
      <c r="E75" s="23"/>
      <c r="F75" s="23"/>
      <c r="G75" s="23"/>
      <c r="H75" s="24"/>
      <c r="I75" s="23"/>
      <c r="J75" s="23"/>
      <c r="K75" s="24"/>
      <c r="L75" s="23"/>
      <c r="M75" s="23"/>
    </row>
    <row r="76" spans="1:13" ht="14.45">
      <c r="A76" s="23"/>
      <c r="B76" s="35"/>
      <c r="C76" s="23"/>
      <c r="D76" s="23"/>
      <c r="E76" s="23"/>
      <c r="F76" s="23"/>
      <c r="G76" s="23"/>
      <c r="H76" s="24"/>
      <c r="I76" s="23"/>
      <c r="J76" s="23"/>
      <c r="K76" s="24"/>
      <c r="L76" s="23"/>
      <c r="M76" s="23"/>
    </row>
    <row r="77" spans="1:13" ht="14.45">
      <c r="A77" s="23"/>
      <c r="B77" s="35"/>
      <c r="C77" s="23"/>
      <c r="D77" s="23"/>
      <c r="E77" s="23"/>
      <c r="F77" s="23"/>
      <c r="G77" s="23"/>
      <c r="H77" s="24"/>
      <c r="I77" s="23"/>
      <c r="J77" s="23"/>
      <c r="K77" s="24"/>
      <c r="L77" s="23"/>
      <c r="M77" s="23"/>
    </row>
    <row r="78" spans="1:13" ht="14.45">
      <c r="A78" s="23"/>
      <c r="B78" s="35"/>
      <c r="C78" s="23"/>
      <c r="D78" s="23"/>
      <c r="E78" s="23"/>
      <c r="F78" s="23"/>
      <c r="G78" s="23"/>
      <c r="H78" s="24"/>
      <c r="I78" s="23"/>
      <c r="J78" s="23"/>
      <c r="K78" s="24"/>
      <c r="L78" s="23"/>
      <c r="M78" s="23"/>
    </row>
    <row r="79" spans="1:13" ht="14.45">
      <c r="A79" s="23"/>
      <c r="B79" s="35"/>
      <c r="C79" s="23"/>
      <c r="D79" s="23"/>
      <c r="E79" s="23"/>
      <c r="F79" s="23"/>
      <c r="G79" s="23"/>
      <c r="H79" s="24"/>
      <c r="I79" s="23"/>
      <c r="J79" s="23"/>
      <c r="K79" s="24"/>
      <c r="L79" s="23"/>
      <c r="M79" s="23"/>
    </row>
    <row r="80" spans="1:13" ht="14.45">
      <c r="A80" s="23"/>
      <c r="B80" s="35"/>
      <c r="C80" s="23"/>
      <c r="D80" s="23"/>
      <c r="E80" s="23"/>
      <c r="F80" s="23"/>
      <c r="G80" s="23"/>
      <c r="H80" s="24"/>
      <c r="I80" s="23"/>
      <c r="J80" s="23"/>
      <c r="K80" s="24"/>
      <c r="L80" s="23"/>
      <c r="M80" s="23"/>
    </row>
    <row r="81" spans="1:13" ht="14.45">
      <c r="A81" s="23"/>
      <c r="B81" s="35"/>
      <c r="C81" s="23"/>
      <c r="D81" s="23"/>
      <c r="E81" s="23"/>
      <c r="F81" s="23"/>
      <c r="G81" s="23"/>
      <c r="H81" s="24"/>
      <c r="I81" s="23"/>
      <c r="J81" s="23"/>
      <c r="K81" s="24"/>
      <c r="L81" s="23"/>
      <c r="M81" s="23"/>
    </row>
    <row r="82" spans="1:13" ht="14.45">
      <c r="A82" s="23"/>
      <c r="B82" s="35"/>
      <c r="C82" s="23"/>
      <c r="D82" s="23"/>
      <c r="E82" s="23"/>
      <c r="F82" s="23"/>
      <c r="G82" s="23"/>
      <c r="H82" s="24"/>
      <c r="I82" s="23"/>
      <c r="J82" s="23"/>
      <c r="K82" s="24"/>
      <c r="L82" s="23"/>
      <c r="M82" s="23"/>
    </row>
    <row r="83" spans="1:13" ht="14.45">
      <c r="A83" s="23"/>
      <c r="B83" s="35"/>
      <c r="C83" s="23"/>
      <c r="D83" s="23"/>
      <c r="E83" s="23"/>
      <c r="F83" s="23"/>
      <c r="G83" s="23"/>
      <c r="H83" s="24"/>
      <c r="I83" s="23"/>
      <c r="J83" s="23"/>
      <c r="K83" s="24"/>
      <c r="L83" s="23"/>
      <c r="M83" s="23"/>
    </row>
    <row r="84" spans="1:13" ht="14.45">
      <c r="A84" s="23"/>
      <c r="B84" s="35"/>
      <c r="C84" s="23"/>
      <c r="D84" s="23"/>
      <c r="E84" s="23"/>
      <c r="F84" s="23"/>
      <c r="G84" s="23"/>
      <c r="H84" s="24"/>
      <c r="I84" s="23"/>
      <c r="J84" s="23"/>
      <c r="K84" s="24"/>
      <c r="L84" s="23"/>
      <c r="M84" s="23"/>
    </row>
    <row r="85" spans="1:13" ht="14.45">
      <c r="A85" s="23"/>
      <c r="B85" s="35"/>
      <c r="C85" s="23"/>
      <c r="D85" s="23"/>
      <c r="E85" s="23"/>
      <c r="F85" s="23"/>
      <c r="G85" s="23"/>
      <c r="H85" s="24"/>
      <c r="I85" s="23"/>
      <c r="J85" s="23"/>
      <c r="K85" s="24"/>
      <c r="L85" s="23"/>
      <c r="M85" s="23"/>
    </row>
    <row r="86" spans="1:13" ht="14.45">
      <c r="A86" s="23"/>
      <c r="B86" s="35"/>
      <c r="C86" s="23"/>
      <c r="D86" s="23"/>
      <c r="E86" s="23"/>
      <c r="F86" s="23"/>
      <c r="G86" s="23"/>
      <c r="H86" s="24"/>
      <c r="I86" s="23"/>
      <c r="J86" s="23"/>
      <c r="K86" s="24"/>
      <c r="L86" s="23"/>
      <c r="M86" s="23"/>
    </row>
    <row r="87" spans="1:13" ht="14.45">
      <c r="A87" s="23"/>
      <c r="B87" s="35"/>
      <c r="C87" s="23"/>
      <c r="D87" s="23"/>
      <c r="E87" s="23"/>
      <c r="F87" s="23"/>
      <c r="G87" s="23"/>
      <c r="H87" s="24"/>
      <c r="I87" s="23"/>
      <c r="J87" s="23"/>
      <c r="K87" s="24"/>
      <c r="L87" s="23"/>
      <c r="M87" s="23"/>
    </row>
    <row r="88" spans="1:13" ht="14.45">
      <c r="A88" s="23"/>
      <c r="B88" s="35"/>
      <c r="C88" s="23"/>
      <c r="D88" s="23"/>
      <c r="E88" s="23"/>
      <c r="F88" s="23"/>
      <c r="G88" s="23"/>
      <c r="H88" s="24"/>
      <c r="I88" s="23"/>
      <c r="J88" s="23"/>
      <c r="K88" s="24"/>
      <c r="L88" s="23"/>
      <c r="M88" s="23"/>
    </row>
    <row r="89" spans="1:13" ht="14.45">
      <c r="A89" s="23"/>
      <c r="B89" s="35"/>
      <c r="C89" s="23"/>
      <c r="D89" s="23"/>
      <c r="E89" s="23"/>
      <c r="F89" s="23"/>
      <c r="G89" s="23"/>
      <c r="H89" s="24"/>
      <c r="I89" s="23"/>
      <c r="J89" s="23"/>
      <c r="K89" s="24"/>
      <c r="L89" s="23"/>
      <c r="M89" s="23"/>
    </row>
    <row r="90" spans="1:13" ht="14.45">
      <c r="A90" s="23"/>
      <c r="B90" s="35"/>
      <c r="C90" s="23"/>
      <c r="D90" s="23"/>
      <c r="E90" s="23"/>
      <c r="F90" s="23"/>
      <c r="G90" s="23"/>
      <c r="H90" s="24"/>
      <c r="I90" s="23"/>
      <c r="J90" s="23"/>
      <c r="K90" s="24"/>
      <c r="L90" s="23"/>
      <c r="M90" s="23"/>
    </row>
    <row r="91" spans="1:13" ht="14.45">
      <c r="A91" s="23"/>
      <c r="B91" s="35"/>
      <c r="C91" s="23"/>
      <c r="D91" s="23"/>
      <c r="E91" s="23"/>
      <c r="F91" s="23"/>
      <c r="G91" s="23"/>
      <c r="H91" s="24"/>
      <c r="I91" s="23"/>
      <c r="J91" s="23"/>
      <c r="K91" s="24"/>
      <c r="L91" s="23"/>
      <c r="M91" s="23"/>
    </row>
    <row r="92" spans="1:13" ht="14.45">
      <c r="A92" s="23"/>
      <c r="B92" s="35"/>
      <c r="C92" s="23"/>
      <c r="D92" s="23"/>
      <c r="E92" s="23"/>
      <c r="F92" s="23"/>
      <c r="G92" s="23"/>
      <c r="H92" s="24"/>
      <c r="I92" s="23"/>
      <c r="J92" s="23"/>
      <c r="K92" s="24"/>
      <c r="L92" s="23"/>
      <c r="M92" s="23"/>
    </row>
    <row r="93" spans="1:13" ht="14.45">
      <c r="A93" s="23"/>
      <c r="B93" s="35"/>
      <c r="C93" s="23"/>
      <c r="D93" s="23"/>
      <c r="E93" s="23"/>
      <c r="F93" s="23"/>
      <c r="G93" s="23"/>
      <c r="H93" s="24"/>
      <c r="I93" s="23"/>
      <c r="J93" s="23"/>
      <c r="K93" s="24"/>
      <c r="L93" s="23"/>
      <c r="M93" s="23"/>
    </row>
    <row r="94" spans="1:13" ht="14.45">
      <c r="A94" s="23"/>
      <c r="B94" s="35"/>
      <c r="C94" s="23"/>
      <c r="D94" s="23"/>
      <c r="E94" s="23"/>
      <c r="F94" s="23"/>
      <c r="G94" s="23"/>
      <c r="H94" s="24"/>
      <c r="I94" s="23"/>
      <c r="J94" s="23"/>
      <c r="K94" s="24"/>
      <c r="L94" s="23"/>
      <c r="M94" s="23"/>
    </row>
    <row r="95" spans="1:13" ht="14.45">
      <c r="A95" s="23"/>
      <c r="B95" s="35"/>
      <c r="C95" s="23"/>
      <c r="D95" s="23"/>
      <c r="E95" s="23"/>
      <c r="F95" s="23"/>
      <c r="G95" s="23"/>
      <c r="H95" s="24"/>
      <c r="I95" s="23"/>
      <c r="J95" s="23"/>
      <c r="K95" s="24"/>
      <c r="L95" s="23"/>
      <c r="M95" s="23"/>
    </row>
    <row r="96" spans="1:13" ht="14.45">
      <c r="A96" s="23"/>
      <c r="B96" s="35"/>
      <c r="C96" s="23"/>
      <c r="D96" s="23"/>
      <c r="E96" s="23"/>
      <c r="F96" s="23"/>
      <c r="G96" s="23"/>
      <c r="H96" s="24"/>
      <c r="I96" s="23"/>
      <c r="J96" s="23"/>
      <c r="K96" s="24"/>
      <c r="L96" s="23"/>
      <c r="M96" s="23"/>
    </row>
    <row r="97" spans="1:13" ht="14.45">
      <c r="A97" s="23"/>
      <c r="B97" s="35"/>
      <c r="C97" s="23"/>
      <c r="D97" s="23"/>
      <c r="E97" s="23"/>
      <c r="F97" s="23"/>
      <c r="G97" s="23"/>
      <c r="H97" s="24"/>
      <c r="I97" s="23"/>
      <c r="J97" s="23"/>
      <c r="K97" s="24"/>
      <c r="L97" s="23"/>
      <c r="M97" s="23"/>
    </row>
    <row r="98" spans="1:13" ht="14.45">
      <c r="A98" s="23"/>
      <c r="B98" s="35"/>
      <c r="C98" s="23"/>
      <c r="D98" s="23"/>
      <c r="E98" s="23"/>
      <c r="F98" s="23"/>
      <c r="G98" s="23"/>
      <c r="H98" s="24"/>
      <c r="I98" s="23"/>
      <c r="J98" s="23"/>
      <c r="K98" s="24"/>
      <c r="L98" s="23"/>
      <c r="M98" s="23"/>
    </row>
    <row r="99" spans="1:13" ht="14.45">
      <c r="A99" s="23"/>
      <c r="B99" s="35"/>
      <c r="C99" s="23"/>
      <c r="D99" s="23"/>
      <c r="E99" s="23"/>
      <c r="F99" s="23"/>
      <c r="G99" s="23"/>
      <c r="H99" s="24"/>
      <c r="I99" s="23"/>
      <c r="J99" s="23"/>
      <c r="K99" s="24"/>
      <c r="L99" s="23"/>
      <c r="M99" s="23"/>
    </row>
    <row r="100" spans="1:13" ht="14.45">
      <c r="A100" s="23"/>
      <c r="B100" s="35"/>
      <c r="C100" s="23"/>
      <c r="D100" s="23"/>
      <c r="E100" s="23"/>
      <c r="F100" s="23"/>
      <c r="G100" s="23"/>
      <c r="H100" s="24"/>
      <c r="I100" s="23"/>
      <c r="J100" s="23"/>
      <c r="K100" s="24"/>
      <c r="L100" s="23"/>
      <c r="M100" s="23"/>
    </row>
    <row r="101" spans="1:13" ht="14.45">
      <c r="A101" s="23"/>
      <c r="B101" s="35"/>
      <c r="C101" s="23"/>
      <c r="D101" s="23"/>
      <c r="E101" s="23"/>
      <c r="F101" s="23"/>
      <c r="G101" s="23"/>
      <c r="H101" s="24"/>
      <c r="I101" s="23"/>
      <c r="J101" s="23"/>
      <c r="K101" s="24"/>
      <c r="L101" s="23"/>
      <c r="M101" s="23"/>
    </row>
    <row r="102" spans="1:13" ht="14.45">
      <c r="A102" s="23"/>
      <c r="B102" s="35"/>
      <c r="C102" s="23"/>
      <c r="D102" s="23"/>
      <c r="E102" s="23"/>
      <c r="F102" s="23"/>
      <c r="G102" s="23"/>
      <c r="H102" s="24"/>
      <c r="I102" s="23"/>
      <c r="J102" s="23"/>
      <c r="K102" s="24"/>
      <c r="L102" s="23"/>
      <c r="M102" s="23"/>
    </row>
    <row r="103" spans="1:13" ht="14.45">
      <c r="A103" s="23"/>
      <c r="B103" s="35"/>
      <c r="C103" s="23"/>
      <c r="D103" s="23"/>
      <c r="E103" s="23"/>
      <c r="F103" s="23"/>
      <c r="G103" s="23"/>
      <c r="H103" s="24"/>
      <c r="I103" s="23"/>
      <c r="J103" s="23"/>
      <c r="K103" s="24"/>
      <c r="L103" s="23"/>
      <c r="M103" s="23"/>
    </row>
    <row r="104" spans="1:13" ht="14.45">
      <c r="A104" s="23"/>
      <c r="B104" s="35"/>
      <c r="C104" s="23"/>
      <c r="D104" s="23"/>
      <c r="E104" s="23"/>
      <c r="F104" s="23"/>
      <c r="G104" s="23"/>
      <c r="H104" s="24"/>
      <c r="I104" s="23"/>
      <c r="J104" s="23"/>
      <c r="K104" s="24"/>
      <c r="L104" s="23"/>
      <c r="M104" s="23"/>
    </row>
    <row r="105" spans="1:13" ht="14.45">
      <c r="A105" s="23"/>
      <c r="B105" s="35"/>
      <c r="C105" s="23"/>
      <c r="D105" s="23"/>
      <c r="E105" s="23"/>
      <c r="F105" s="23"/>
      <c r="G105" s="23"/>
      <c r="H105" s="24"/>
      <c r="I105" s="23"/>
      <c r="J105" s="23"/>
      <c r="K105" s="24"/>
      <c r="L105" s="23"/>
      <c r="M105" s="23"/>
    </row>
    <row r="106" spans="1:13" ht="14.45">
      <c r="A106" s="23"/>
      <c r="B106" s="35"/>
      <c r="C106" s="23"/>
      <c r="D106" s="23"/>
      <c r="E106" s="23"/>
      <c r="F106" s="23"/>
      <c r="G106" s="23"/>
      <c r="H106" s="24"/>
      <c r="I106" s="23"/>
      <c r="J106" s="23"/>
      <c r="K106" s="24"/>
      <c r="L106" s="23"/>
      <c r="M106" s="23"/>
    </row>
    <row r="107" spans="1:13" ht="14.45">
      <c r="A107" s="23"/>
      <c r="B107" s="35"/>
      <c r="C107" s="23"/>
      <c r="D107" s="23"/>
      <c r="E107" s="23"/>
      <c r="F107" s="23"/>
      <c r="G107" s="23"/>
      <c r="H107" s="24"/>
      <c r="I107" s="23"/>
      <c r="J107" s="23"/>
      <c r="K107" s="24"/>
      <c r="L107" s="23"/>
      <c r="M107" s="23"/>
    </row>
    <row r="108" spans="1:13" ht="14.45">
      <c r="A108" s="23"/>
      <c r="B108" s="35"/>
      <c r="C108" s="23"/>
      <c r="D108" s="23"/>
      <c r="E108" s="23"/>
      <c r="F108" s="23"/>
      <c r="G108" s="23"/>
      <c r="H108" s="24"/>
      <c r="I108" s="23"/>
      <c r="J108" s="23"/>
      <c r="K108" s="24"/>
      <c r="L108" s="23"/>
      <c r="M108" s="23"/>
    </row>
    <row r="109" spans="1:13" ht="14.45">
      <c r="A109" s="23"/>
      <c r="B109" s="35"/>
      <c r="C109" s="23"/>
      <c r="D109" s="23"/>
      <c r="E109" s="23"/>
      <c r="F109" s="23"/>
      <c r="G109" s="23"/>
      <c r="H109" s="24"/>
      <c r="I109" s="23"/>
      <c r="J109" s="23"/>
      <c r="K109" s="24"/>
      <c r="L109" s="23"/>
      <c r="M109" s="23"/>
    </row>
    <row r="110" spans="1:13" ht="14.45">
      <c r="A110" s="23"/>
      <c r="B110" s="35"/>
      <c r="C110" s="23"/>
      <c r="D110" s="23"/>
      <c r="E110" s="23"/>
      <c r="F110" s="23"/>
      <c r="G110" s="23"/>
      <c r="H110" s="24"/>
      <c r="I110" s="23"/>
      <c r="J110" s="23"/>
      <c r="K110" s="24"/>
      <c r="L110" s="23"/>
      <c r="M110" s="23"/>
    </row>
    <row r="111" spans="1:13" ht="14.45">
      <c r="A111" s="23"/>
      <c r="B111" s="35"/>
      <c r="C111" s="23"/>
      <c r="D111" s="23"/>
      <c r="E111" s="23"/>
      <c r="F111" s="23"/>
      <c r="G111" s="23"/>
      <c r="H111" s="24"/>
      <c r="I111" s="23"/>
      <c r="J111" s="23"/>
      <c r="K111" s="24"/>
      <c r="L111" s="23"/>
      <c r="M111" s="23"/>
    </row>
    <row r="112" spans="1:13" ht="14.45">
      <c r="A112" s="23"/>
      <c r="B112" s="35"/>
      <c r="C112" s="23"/>
      <c r="D112" s="23"/>
      <c r="E112" s="23"/>
      <c r="F112" s="23"/>
      <c r="G112" s="23"/>
      <c r="H112" s="24"/>
      <c r="I112" s="23"/>
      <c r="J112" s="23"/>
      <c r="K112" s="24"/>
      <c r="L112" s="23"/>
      <c r="M112" s="23"/>
    </row>
    <row r="113" spans="1:13" ht="14.45">
      <c r="A113" s="23"/>
      <c r="B113" s="35"/>
      <c r="C113" s="23"/>
      <c r="D113" s="23"/>
      <c r="E113" s="23"/>
      <c r="F113" s="23"/>
      <c r="G113" s="23"/>
      <c r="H113" s="24"/>
      <c r="I113" s="23"/>
      <c r="J113" s="23"/>
      <c r="K113" s="24"/>
      <c r="L113" s="23"/>
      <c r="M113" s="23"/>
    </row>
    <row r="114" spans="1:13" ht="14.45">
      <c r="A114" s="23"/>
      <c r="B114" s="35"/>
      <c r="C114" s="23"/>
      <c r="D114" s="23"/>
      <c r="E114" s="23"/>
      <c r="F114" s="23"/>
      <c r="G114" s="23"/>
      <c r="H114" s="24"/>
      <c r="I114" s="23"/>
      <c r="J114" s="23"/>
      <c r="K114" s="24"/>
      <c r="L114" s="23"/>
      <c r="M114" s="23"/>
    </row>
    <row r="115" spans="1:13" ht="14.45">
      <c r="A115" s="23"/>
      <c r="B115" s="35"/>
      <c r="C115" s="23"/>
      <c r="D115" s="23"/>
      <c r="E115" s="23"/>
      <c r="F115" s="23"/>
      <c r="G115" s="23"/>
      <c r="H115" s="24"/>
      <c r="I115" s="23"/>
      <c r="J115" s="23"/>
      <c r="K115" s="24"/>
      <c r="L115" s="23"/>
      <c r="M115" s="23"/>
    </row>
    <row r="116" spans="1:13" ht="14.45">
      <c r="A116" s="23"/>
      <c r="B116" s="35"/>
      <c r="C116" s="23"/>
      <c r="D116" s="23"/>
      <c r="E116" s="23"/>
      <c r="F116" s="23"/>
      <c r="G116" s="23"/>
      <c r="H116" s="24"/>
      <c r="I116" s="23"/>
      <c r="J116" s="23"/>
      <c r="K116" s="24"/>
      <c r="L116" s="23"/>
      <c r="M116" s="23"/>
    </row>
    <row r="117" spans="1:13" ht="14.45">
      <c r="A117" s="23"/>
      <c r="B117" s="35"/>
      <c r="C117" s="23"/>
      <c r="D117" s="23"/>
      <c r="E117" s="23"/>
      <c r="F117" s="23"/>
      <c r="G117" s="23"/>
      <c r="H117" s="24"/>
      <c r="I117" s="23"/>
      <c r="J117" s="23"/>
      <c r="K117" s="24"/>
      <c r="L117" s="23"/>
      <c r="M117" s="23"/>
    </row>
    <row r="118" spans="1:13" ht="14.45">
      <c r="A118" s="23"/>
      <c r="B118" s="35"/>
      <c r="C118" s="23"/>
      <c r="D118" s="23"/>
      <c r="E118" s="23"/>
      <c r="F118" s="23"/>
      <c r="G118" s="23"/>
      <c r="H118" s="24"/>
      <c r="I118" s="23"/>
      <c r="J118" s="23"/>
      <c r="K118" s="24"/>
      <c r="L118" s="23"/>
      <c r="M118" s="23"/>
    </row>
    <row r="119" spans="1:13" ht="14.45">
      <c r="A119" s="23"/>
      <c r="B119" s="35"/>
      <c r="C119" s="23"/>
      <c r="D119" s="23"/>
      <c r="E119" s="23"/>
      <c r="F119" s="23"/>
      <c r="G119" s="23"/>
      <c r="H119" s="24"/>
      <c r="I119" s="23"/>
      <c r="J119" s="23"/>
      <c r="K119" s="24"/>
      <c r="L119" s="23"/>
      <c r="M119" s="23"/>
    </row>
    <row r="120" spans="1:13" ht="14.45">
      <c r="A120" s="23"/>
      <c r="B120" s="35"/>
      <c r="C120" s="23"/>
      <c r="D120" s="23"/>
      <c r="E120" s="23"/>
      <c r="F120" s="23"/>
      <c r="G120" s="23"/>
      <c r="H120" s="24"/>
      <c r="I120" s="23"/>
      <c r="J120" s="23"/>
      <c r="K120" s="24"/>
      <c r="L120" s="23"/>
      <c r="M120" s="23"/>
    </row>
    <row r="121" spans="1:13" ht="14.45">
      <c r="A121" s="23"/>
      <c r="B121" s="35"/>
      <c r="C121" s="23"/>
      <c r="D121" s="23"/>
      <c r="E121" s="23"/>
      <c r="F121" s="23"/>
      <c r="G121" s="23"/>
      <c r="H121" s="24"/>
      <c r="I121" s="23"/>
      <c r="J121" s="23"/>
      <c r="K121" s="24"/>
      <c r="L121" s="23"/>
      <c r="M121" s="23"/>
    </row>
    <row r="122" spans="1:13" ht="14.45">
      <c r="A122" s="23"/>
      <c r="B122" s="35"/>
      <c r="C122" s="23"/>
      <c r="D122" s="23"/>
      <c r="E122" s="23"/>
      <c r="F122" s="23"/>
      <c r="G122" s="23"/>
      <c r="H122" s="24"/>
      <c r="I122" s="23"/>
      <c r="J122" s="23"/>
      <c r="K122" s="24"/>
      <c r="L122" s="23"/>
      <c r="M122" s="23"/>
    </row>
    <row r="123" spans="1:13" ht="14.45">
      <c r="A123" s="23"/>
      <c r="B123" s="35"/>
      <c r="C123" s="23"/>
      <c r="D123" s="23"/>
      <c r="E123" s="23"/>
      <c r="F123" s="23"/>
      <c r="G123" s="23"/>
      <c r="H123" s="24"/>
      <c r="I123" s="23"/>
      <c r="J123" s="23"/>
      <c r="K123" s="24"/>
      <c r="L123" s="23"/>
      <c r="M123" s="23"/>
    </row>
    <row r="124" spans="1:13" ht="14.45">
      <c r="A124" s="23"/>
      <c r="B124" s="35"/>
      <c r="C124" s="23"/>
      <c r="D124" s="23"/>
      <c r="E124" s="23"/>
      <c r="F124" s="23"/>
      <c r="G124" s="23"/>
      <c r="H124" s="24"/>
      <c r="I124" s="23"/>
      <c r="J124" s="23"/>
      <c r="K124" s="24"/>
      <c r="L124" s="23"/>
      <c r="M124" s="23"/>
    </row>
    <row r="125" spans="1:13" ht="14.45">
      <c r="A125" s="23"/>
      <c r="B125" s="35"/>
      <c r="C125" s="23"/>
      <c r="D125" s="23"/>
      <c r="E125" s="23"/>
      <c r="F125" s="23"/>
      <c r="G125" s="23"/>
      <c r="H125" s="24"/>
      <c r="I125" s="23"/>
      <c r="J125" s="23"/>
      <c r="K125" s="24"/>
      <c r="L125" s="23"/>
      <c r="M125" s="23"/>
    </row>
    <row r="126" spans="1:13" ht="14.45">
      <c r="A126" s="23"/>
      <c r="B126" s="35"/>
      <c r="C126" s="23"/>
      <c r="D126" s="23"/>
      <c r="E126" s="23"/>
      <c r="F126" s="23"/>
      <c r="G126" s="23"/>
      <c r="H126" s="24"/>
      <c r="I126" s="23"/>
      <c r="J126" s="23"/>
      <c r="K126" s="24"/>
      <c r="L126" s="23"/>
      <c r="M126" s="23"/>
    </row>
    <row r="127" spans="1:13" ht="14.45">
      <c r="A127" s="23"/>
      <c r="B127" s="35"/>
      <c r="C127" s="23"/>
      <c r="D127" s="23"/>
      <c r="E127" s="23"/>
      <c r="F127" s="23"/>
      <c r="G127" s="23"/>
      <c r="H127" s="24"/>
      <c r="I127" s="23"/>
      <c r="J127" s="23"/>
      <c r="K127" s="24"/>
      <c r="L127" s="23"/>
      <c r="M127" s="23"/>
    </row>
    <row r="128" spans="1:13" ht="14.45">
      <c r="A128" s="23"/>
      <c r="B128" s="35"/>
      <c r="C128" s="23"/>
      <c r="D128" s="23"/>
      <c r="E128" s="23"/>
      <c r="F128" s="23"/>
      <c r="G128" s="23"/>
      <c r="H128" s="24"/>
      <c r="I128" s="23"/>
      <c r="J128" s="23"/>
      <c r="K128" s="24"/>
      <c r="L128" s="23"/>
      <c r="M128" s="23"/>
    </row>
    <row r="129" spans="1:13" ht="14.45">
      <c r="A129" s="23"/>
      <c r="B129" s="35"/>
      <c r="C129" s="23"/>
      <c r="D129" s="23"/>
      <c r="E129" s="23"/>
      <c r="F129" s="23"/>
      <c r="G129" s="23"/>
      <c r="H129" s="24"/>
      <c r="I129" s="23"/>
      <c r="J129" s="23"/>
      <c r="K129" s="24"/>
      <c r="L129" s="23"/>
      <c r="M129" s="23"/>
    </row>
    <row r="130" spans="1:13" ht="14.45">
      <c r="A130" s="23"/>
      <c r="B130" s="35"/>
      <c r="C130" s="23"/>
      <c r="D130" s="23"/>
      <c r="E130" s="23"/>
      <c r="F130" s="23"/>
      <c r="G130" s="23"/>
      <c r="H130" s="24"/>
      <c r="I130" s="23"/>
      <c r="J130" s="23"/>
      <c r="K130" s="24"/>
      <c r="L130" s="23"/>
      <c r="M130" s="23"/>
    </row>
    <row r="131" spans="1:13" ht="14.45">
      <c r="A131" s="23"/>
      <c r="B131" s="35"/>
      <c r="C131" s="23"/>
      <c r="D131" s="23"/>
      <c r="E131" s="23"/>
      <c r="F131" s="23"/>
      <c r="G131" s="23"/>
      <c r="H131" s="24"/>
      <c r="I131" s="23"/>
      <c r="J131" s="23"/>
      <c r="K131" s="24"/>
      <c r="L131" s="23"/>
      <c r="M131" s="23"/>
    </row>
    <row r="132" spans="1:13" ht="14.45">
      <c r="A132" s="23"/>
      <c r="B132" s="35"/>
      <c r="C132" s="23"/>
      <c r="D132" s="23"/>
      <c r="E132" s="23"/>
      <c r="F132" s="23"/>
      <c r="G132" s="23"/>
      <c r="H132" s="24"/>
      <c r="I132" s="23"/>
      <c r="J132" s="23"/>
      <c r="K132" s="24"/>
      <c r="L132" s="23"/>
      <c r="M132" s="23"/>
    </row>
    <row r="133" spans="1:13" ht="14.45">
      <c r="A133" s="23"/>
      <c r="B133" s="35"/>
      <c r="C133" s="23"/>
      <c r="D133" s="23"/>
      <c r="E133" s="23"/>
      <c r="F133" s="23"/>
      <c r="G133" s="23"/>
      <c r="H133" s="24"/>
      <c r="I133" s="23"/>
      <c r="J133" s="23"/>
      <c r="K133" s="24"/>
      <c r="L133" s="23"/>
      <c r="M133" s="23"/>
    </row>
    <row r="134" spans="1:13" ht="14.45">
      <c r="A134" s="23"/>
      <c r="B134" s="35"/>
      <c r="C134" s="23"/>
      <c r="D134" s="23"/>
      <c r="E134" s="23"/>
      <c r="F134" s="23"/>
      <c r="G134" s="23"/>
      <c r="H134" s="24"/>
      <c r="I134" s="23"/>
      <c r="J134" s="23"/>
      <c r="K134" s="24"/>
      <c r="L134" s="23"/>
      <c r="M134" s="23"/>
    </row>
    <row r="135" spans="1:13" ht="14.45">
      <c r="A135" s="23"/>
      <c r="B135" s="35"/>
      <c r="C135" s="23"/>
      <c r="D135" s="23"/>
      <c r="E135" s="23"/>
      <c r="F135" s="23"/>
      <c r="G135" s="23"/>
      <c r="H135" s="24"/>
      <c r="I135" s="23"/>
      <c r="J135" s="23"/>
      <c r="K135" s="24"/>
      <c r="L135" s="23"/>
      <c r="M135" s="23"/>
    </row>
    <row r="136" spans="1:13" ht="14.45">
      <c r="A136" s="23"/>
      <c r="B136" s="35"/>
      <c r="C136" s="23"/>
      <c r="D136" s="23"/>
      <c r="E136" s="23"/>
      <c r="F136" s="23"/>
      <c r="G136" s="23"/>
      <c r="H136" s="24"/>
      <c r="I136" s="23"/>
      <c r="J136" s="23"/>
      <c r="K136" s="24"/>
      <c r="L136" s="23"/>
      <c r="M136" s="23"/>
    </row>
    <row r="137" spans="1:13" ht="14.45">
      <c r="A137" s="23"/>
      <c r="B137" s="35"/>
      <c r="C137" s="23"/>
      <c r="D137" s="23"/>
      <c r="E137" s="23"/>
      <c r="F137" s="23"/>
      <c r="G137" s="23"/>
      <c r="H137" s="24"/>
      <c r="I137" s="23"/>
      <c r="J137" s="23"/>
      <c r="K137" s="24"/>
      <c r="L137" s="23"/>
      <c r="M137" s="23"/>
    </row>
    <row r="138" spans="1:13" ht="14.45">
      <c r="A138" s="23"/>
      <c r="B138" s="35"/>
      <c r="C138" s="23"/>
      <c r="D138" s="23"/>
      <c r="E138" s="23"/>
      <c r="F138" s="23"/>
      <c r="G138" s="23"/>
      <c r="H138" s="24"/>
      <c r="I138" s="23"/>
      <c r="J138" s="23"/>
      <c r="K138" s="24"/>
      <c r="L138" s="23"/>
      <c r="M138" s="23"/>
    </row>
    <row r="139" spans="1:13" ht="14.45">
      <c r="A139" s="23"/>
      <c r="B139" s="35"/>
      <c r="C139" s="23"/>
      <c r="D139" s="23"/>
      <c r="E139" s="23"/>
      <c r="F139" s="23"/>
      <c r="G139" s="23"/>
      <c r="H139" s="24"/>
      <c r="I139" s="23"/>
      <c r="J139" s="23"/>
      <c r="K139" s="24"/>
      <c r="L139" s="23"/>
      <c r="M139" s="23"/>
    </row>
    <row r="140" spans="1:13" ht="14.45">
      <c r="A140" s="23"/>
      <c r="B140" s="35"/>
      <c r="C140" s="23"/>
      <c r="D140" s="23"/>
      <c r="E140" s="23"/>
      <c r="F140" s="23"/>
      <c r="G140" s="23"/>
      <c r="H140" s="24"/>
      <c r="I140" s="23"/>
      <c r="J140" s="23"/>
      <c r="K140" s="24"/>
      <c r="L140" s="23"/>
      <c r="M140" s="23"/>
    </row>
    <row r="141" spans="1:13" ht="14.45">
      <c r="A141" s="23"/>
      <c r="B141" s="35"/>
      <c r="C141" s="23"/>
      <c r="D141" s="23"/>
      <c r="E141" s="23"/>
      <c r="F141" s="23"/>
      <c r="G141" s="23"/>
      <c r="H141" s="24"/>
      <c r="I141" s="23"/>
      <c r="J141" s="23"/>
      <c r="K141" s="24"/>
      <c r="L141" s="23"/>
      <c r="M141" s="23"/>
    </row>
    <row r="142" spans="1:13" ht="14.45">
      <c r="A142" s="23"/>
      <c r="B142" s="35"/>
      <c r="C142" s="23"/>
      <c r="D142" s="23"/>
      <c r="E142" s="23"/>
      <c r="F142" s="23"/>
      <c r="G142" s="23"/>
      <c r="H142" s="24"/>
      <c r="I142" s="23"/>
      <c r="J142" s="23"/>
      <c r="K142" s="24"/>
      <c r="L142" s="23"/>
      <c r="M142" s="23"/>
    </row>
    <row r="143" spans="1:13" ht="14.45">
      <c r="A143" s="23"/>
      <c r="B143" s="35"/>
      <c r="C143" s="23"/>
      <c r="D143" s="23"/>
      <c r="E143" s="23"/>
      <c r="F143" s="23"/>
      <c r="G143" s="23"/>
      <c r="H143" s="24"/>
      <c r="I143" s="23"/>
      <c r="J143" s="23"/>
      <c r="K143" s="24"/>
      <c r="L143" s="23"/>
      <c r="M143" s="23"/>
    </row>
    <row r="144" spans="1:13" ht="14.45">
      <c r="A144" s="23"/>
      <c r="B144" s="35"/>
      <c r="C144" s="23"/>
      <c r="D144" s="23"/>
      <c r="E144" s="23"/>
      <c r="F144" s="23"/>
      <c r="G144" s="23"/>
      <c r="H144" s="24"/>
      <c r="I144" s="23"/>
      <c r="J144" s="23"/>
      <c r="K144" s="24"/>
      <c r="L144" s="23"/>
      <c r="M144" s="23"/>
    </row>
    <row r="145" spans="1:13" ht="14.45">
      <c r="A145" s="23"/>
      <c r="B145" s="35"/>
      <c r="C145" s="23"/>
      <c r="D145" s="23"/>
      <c r="E145" s="23"/>
      <c r="F145" s="23"/>
      <c r="G145" s="23"/>
      <c r="H145" s="24"/>
      <c r="I145" s="23"/>
      <c r="J145" s="23"/>
      <c r="K145" s="24"/>
      <c r="L145" s="23"/>
      <c r="M145" s="23"/>
    </row>
    <row r="146" spans="1:13" ht="14.45">
      <c r="A146" s="23"/>
      <c r="B146" s="35"/>
      <c r="C146" s="23"/>
      <c r="D146" s="23"/>
      <c r="E146" s="23"/>
      <c r="F146" s="23"/>
      <c r="G146" s="23"/>
      <c r="H146" s="24"/>
      <c r="I146" s="23"/>
      <c r="J146" s="23"/>
      <c r="K146" s="24"/>
      <c r="L146" s="23"/>
      <c r="M146" s="23"/>
    </row>
    <row r="147" spans="1:13" ht="14.45">
      <c r="A147" s="23"/>
      <c r="B147" s="35"/>
      <c r="C147" s="23"/>
      <c r="D147" s="23"/>
      <c r="E147" s="23"/>
      <c r="F147" s="23"/>
      <c r="G147" s="23"/>
      <c r="H147" s="24"/>
      <c r="I147" s="23"/>
      <c r="J147" s="23"/>
      <c r="K147" s="24"/>
      <c r="L147" s="23"/>
      <c r="M147" s="23"/>
    </row>
    <row r="148" spans="1:13" ht="14.45">
      <c r="A148" s="23"/>
      <c r="B148" s="35"/>
      <c r="C148" s="23"/>
      <c r="D148" s="23"/>
      <c r="E148" s="23"/>
      <c r="F148" s="23"/>
      <c r="G148" s="23"/>
      <c r="H148" s="24"/>
      <c r="I148" s="23"/>
      <c r="J148" s="23"/>
      <c r="K148" s="24"/>
      <c r="L148" s="23"/>
      <c r="M148" s="23"/>
    </row>
    <row r="149" spans="1:13" ht="14.45">
      <c r="A149" s="23"/>
      <c r="B149" s="35"/>
      <c r="C149" s="23"/>
      <c r="D149" s="23"/>
      <c r="E149" s="23"/>
      <c r="F149" s="23"/>
      <c r="G149" s="23"/>
      <c r="H149" s="24"/>
      <c r="I149" s="23"/>
      <c r="J149" s="23"/>
      <c r="K149" s="24"/>
      <c r="L149" s="23"/>
      <c r="M149" s="23"/>
    </row>
    <row r="150" spans="1:13" ht="14.45">
      <c r="A150" s="23"/>
      <c r="B150" s="35"/>
      <c r="C150" s="23"/>
      <c r="D150" s="23"/>
      <c r="E150" s="23"/>
      <c r="F150" s="23"/>
      <c r="G150" s="23"/>
      <c r="H150" s="24"/>
      <c r="I150" s="23"/>
      <c r="J150" s="23"/>
      <c r="K150" s="24"/>
      <c r="L150" s="23"/>
      <c r="M150" s="23"/>
    </row>
    <row r="151" spans="1:13" ht="14.45">
      <c r="A151" s="23"/>
      <c r="B151" s="35"/>
      <c r="C151" s="23"/>
      <c r="D151" s="23"/>
      <c r="E151" s="23"/>
      <c r="F151" s="23"/>
      <c r="G151" s="23"/>
      <c r="H151" s="24"/>
      <c r="I151" s="23"/>
      <c r="J151" s="23"/>
      <c r="K151" s="24"/>
      <c r="L151" s="23"/>
      <c r="M151" s="23"/>
    </row>
    <row r="152" spans="1:13" ht="14.45">
      <c r="A152" s="23"/>
      <c r="B152" s="35"/>
      <c r="C152" s="23"/>
      <c r="D152" s="23"/>
      <c r="E152" s="23"/>
      <c r="F152" s="23"/>
      <c r="G152" s="23"/>
      <c r="H152" s="24"/>
      <c r="I152" s="23"/>
      <c r="J152" s="23"/>
      <c r="K152" s="24"/>
      <c r="L152" s="23"/>
      <c r="M152" s="23"/>
    </row>
    <row r="153" spans="1:13" ht="14.45">
      <c r="A153" s="23"/>
      <c r="B153" s="35"/>
      <c r="C153" s="23"/>
      <c r="D153" s="23"/>
      <c r="E153" s="23"/>
      <c r="F153" s="23"/>
      <c r="G153" s="23"/>
      <c r="H153" s="24"/>
      <c r="I153" s="23"/>
      <c r="J153" s="23"/>
      <c r="K153" s="24"/>
      <c r="L153" s="23"/>
      <c r="M153" s="23"/>
    </row>
    <row r="154" spans="1:13" ht="14.45">
      <c r="A154" s="23"/>
      <c r="B154" s="35"/>
      <c r="C154" s="23"/>
      <c r="D154" s="23"/>
      <c r="E154" s="23"/>
      <c r="F154" s="23"/>
      <c r="G154" s="23"/>
      <c r="H154" s="24"/>
      <c r="I154" s="23"/>
      <c r="J154" s="23"/>
      <c r="K154" s="24"/>
      <c r="L154" s="23"/>
      <c r="M154" s="23"/>
    </row>
    <row r="155" spans="1:13" ht="14.45">
      <c r="A155" s="23"/>
      <c r="B155" s="35"/>
      <c r="C155" s="23"/>
      <c r="D155" s="23"/>
      <c r="E155" s="23"/>
      <c r="F155" s="23"/>
      <c r="G155" s="23"/>
      <c r="H155" s="24"/>
      <c r="I155" s="23"/>
      <c r="J155" s="23"/>
      <c r="K155" s="24"/>
      <c r="L155" s="23"/>
      <c r="M155" s="23"/>
    </row>
    <row r="156" spans="1:13" ht="14.45">
      <c r="A156" s="23"/>
      <c r="B156" s="35"/>
      <c r="C156" s="23"/>
      <c r="D156" s="23"/>
      <c r="E156" s="23"/>
      <c r="F156" s="23"/>
      <c r="G156" s="23"/>
      <c r="H156" s="24"/>
      <c r="I156" s="23"/>
      <c r="J156" s="23"/>
      <c r="K156" s="24"/>
      <c r="L156" s="23"/>
      <c r="M156" s="23"/>
    </row>
    <row r="157" spans="1:13" ht="14.45">
      <c r="A157" s="23"/>
      <c r="B157" s="35"/>
      <c r="C157" s="23"/>
      <c r="D157" s="23"/>
      <c r="E157" s="23"/>
      <c r="F157" s="23"/>
      <c r="G157" s="23"/>
      <c r="H157" s="24"/>
      <c r="I157" s="23"/>
      <c r="J157" s="23"/>
      <c r="K157" s="24"/>
      <c r="L157" s="23"/>
      <c r="M157" s="23"/>
    </row>
    <row r="158" spans="1:13" ht="14.45">
      <c r="A158" s="23"/>
      <c r="B158" s="35"/>
      <c r="C158" s="23"/>
      <c r="D158" s="23"/>
      <c r="E158" s="23"/>
      <c r="F158" s="23"/>
      <c r="G158" s="23"/>
      <c r="H158" s="24"/>
      <c r="I158" s="23"/>
      <c r="J158" s="23"/>
      <c r="K158" s="24"/>
      <c r="L158" s="23"/>
      <c r="M158" s="23"/>
    </row>
    <row r="159" spans="1:13" ht="14.45">
      <c r="A159" s="23"/>
      <c r="B159" s="35"/>
      <c r="C159" s="23"/>
      <c r="D159" s="23"/>
      <c r="E159" s="23"/>
      <c r="F159" s="23"/>
      <c r="G159" s="23"/>
      <c r="H159" s="24"/>
      <c r="I159" s="23"/>
      <c r="J159" s="23"/>
      <c r="K159" s="24"/>
      <c r="L159" s="23"/>
      <c r="M159" s="23"/>
    </row>
    <row r="160" spans="1:13" ht="14.45">
      <c r="A160" s="23"/>
      <c r="B160" s="35"/>
      <c r="C160" s="23"/>
      <c r="D160" s="23"/>
      <c r="E160" s="23"/>
      <c r="F160" s="23"/>
      <c r="G160" s="23"/>
      <c r="H160" s="24"/>
      <c r="I160" s="23"/>
      <c r="J160" s="23"/>
      <c r="K160" s="24"/>
      <c r="L160" s="23"/>
      <c r="M160" s="23"/>
    </row>
    <row r="161" spans="1:13" ht="14.45">
      <c r="A161" s="23"/>
      <c r="B161" s="35"/>
      <c r="C161" s="23"/>
      <c r="D161" s="23"/>
      <c r="E161" s="23"/>
      <c r="F161" s="23"/>
      <c r="G161" s="23"/>
      <c r="H161" s="24"/>
      <c r="I161" s="23"/>
      <c r="J161" s="23"/>
      <c r="K161" s="24"/>
      <c r="L161" s="23"/>
      <c r="M161" s="23"/>
    </row>
    <row r="162" spans="1:13" ht="14.45">
      <c r="A162" s="23"/>
      <c r="B162" s="35"/>
      <c r="C162" s="23"/>
      <c r="D162" s="23"/>
      <c r="E162" s="23"/>
      <c r="F162" s="23"/>
      <c r="G162" s="23"/>
      <c r="H162" s="24"/>
      <c r="I162" s="23"/>
      <c r="J162" s="23"/>
      <c r="K162" s="24"/>
      <c r="L162" s="23"/>
      <c r="M162" s="23"/>
    </row>
    <row r="163" spans="1:13" ht="14.45">
      <c r="A163" s="23"/>
      <c r="B163" s="35"/>
      <c r="C163" s="23"/>
      <c r="D163" s="23"/>
      <c r="E163" s="23"/>
      <c r="F163" s="23"/>
      <c r="G163" s="23"/>
      <c r="H163" s="24"/>
      <c r="I163" s="23"/>
      <c r="J163" s="23"/>
      <c r="K163" s="24"/>
      <c r="L163" s="23"/>
      <c r="M163" s="23"/>
    </row>
    <row r="164" spans="1:13" ht="14.45">
      <c r="A164" s="23"/>
      <c r="B164" s="35"/>
      <c r="C164" s="23"/>
      <c r="D164" s="23"/>
      <c r="E164" s="23"/>
      <c r="F164" s="23"/>
      <c r="G164" s="23"/>
      <c r="H164" s="24"/>
      <c r="I164" s="23"/>
      <c r="J164" s="23"/>
      <c r="K164" s="24"/>
      <c r="L164" s="23"/>
      <c r="M164" s="23"/>
    </row>
    <row r="165" spans="1:13" ht="14.45">
      <c r="A165" s="23"/>
      <c r="B165" s="35"/>
      <c r="C165" s="23"/>
      <c r="D165" s="23"/>
      <c r="E165" s="23"/>
      <c r="F165" s="23"/>
      <c r="G165" s="23"/>
      <c r="H165" s="24"/>
      <c r="I165" s="23"/>
      <c r="J165" s="23"/>
      <c r="K165" s="24"/>
      <c r="L165" s="23"/>
      <c r="M165" s="23"/>
    </row>
    <row r="166" spans="1:13" ht="14.45">
      <c r="A166" s="23"/>
      <c r="B166" s="35"/>
      <c r="C166" s="23"/>
      <c r="D166" s="23"/>
      <c r="E166" s="23"/>
      <c r="F166" s="23"/>
      <c r="G166" s="23"/>
      <c r="H166" s="24"/>
      <c r="I166" s="23"/>
      <c r="J166" s="23"/>
      <c r="K166" s="24"/>
      <c r="L166" s="23"/>
      <c r="M166" s="23"/>
    </row>
    <row r="167" spans="1:13" ht="14.45">
      <c r="A167" s="23"/>
      <c r="B167" s="35"/>
      <c r="C167" s="23"/>
      <c r="D167" s="23"/>
      <c r="E167" s="23"/>
      <c r="F167" s="23"/>
      <c r="G167" s="23"/>
      <c r="H167" s="24"/>
      <c r="I167" s="23"/>
      <c r="J167" s="23"/>
      <c r="K167" s="24"/>
      <c r="L167" s="23"/>
      <c r="M167" s="23"/>
    </row>
    <row r="168" spans="1:13" ht="14.45">
      <c r="A168" s="23"/>
      <c r="B168" s="35"/>
      <c r="C168" s="23"/>
      <c r="D168" s="23"/>
      <c r="E168" s="23"/>
      <c r="F168" s="23"/>
      <c r="G168" s="23"/>
      <c r="H168" s="24"/>
      <c r="I168" s="23"/>
      <c r="J168" s="23"/>
      <c r="K168" s="24"/>
      <c r="L168" s="23"/>
      <c r="M168" s="23"/>
    </row>
    <row r="169" spans="1:13" ht="14.45">
      <c r="A169" s="23"/>
      <c r="B169" s="35"/>
      <c r="C169" s="23"/>
      <c r="D169" s="23"/>
      <c r="E169" s="23"/>
      <c r="F169" s="23"/>
      <c r="G169" s="23"/>
      <c r="H169" s="24"/>
      <c r="I169" s="23"/>
      <c r="J169" s="23"/>
      <c r="K169" s="24"/>
      <c r="L169" s="23"/>
      <c r="M169" s="23"/>
    </row>
    <row r="170" spans="1:13" ht="14.45">
      <c r="A170" s="23"/>
      <c r="B170" s="35"/>
      <c r="C170" s="23"/>
      <c r="D170" s="23"/>
      <c r="E170" s="23"/>
      <c r="F170" s="23"/>
      <c r="G170" s="23"/>
      <c r="H170" s="24"/>
      <c r="I170" s="23"/>
      <c r="J170" s="23"/>
      <c r="K170" s="24"/>
      <c r="L170" s="23"/>
      <c r="M170" s="23"/>
    </row>
    <row r="171" spans="1:13" ht="14.45">
      <c r="A171" s="23"/>
      <c r="B171" s="35"/>
      <c r="C171" s="23"/>
      <c r="D171" s="23"/>
      <c r="E171" s="23"/>
      <c r="F171" s="23"/>
      <c r="G171" s="23"/>
      <c r="H171" s="24"/>
      <c r="I171" s="23"/>
      <c r="J171" s="23"/>
      <c r="K171" s="24"/>
      <c r="L171" s="23"/>
      <c r="M171" s="23"/>
    </row>
    <row r="172" spans="1:13" ht="14.45">
      <c r="A172" s="23"/>
      <c r="B172" s="35"/>
      <c r="C172" s="23"/>
      <c r="D172" s="23"/>
      <c r="E172" s="23"/>
      <c r="F172" s="23"/>
      <c r="G172" s="23"/>
      <c r="H172" s="24"/>
      <c r="I172" s="23"/>
      <c r="J172" s="23"/>
      <c r="K172" s="24"/>
      <c r="L172" s="23"/>
      <c r="M172" s="23"/>
    </row>
    <row r="173" spans="1:13" ht="14.45">
      <c r="A173" s="23"/>
      <c r="B173" s="35"/>
      <c r="C173" s="23"/>
      <c r="D173" s="23"/>
      <c r="E173" s="23"/>
      <c r="F173" s="23"/>
      <c r="G173" s="23"/>
      <c r="H173" s="24"/>
      <c r="I173" s="23"/>
      <c r="J173" s="23"/>
      <c r="K173" s="24"/>
      <c r="L173" s="23"/>
      <c r="M173" s="23"/>
    </row>
    <row r="174" spans="1:13" ht="14.45">
      <c r="A174" s="23"/>
      <c r="B174" s="35"/>
      <c r="C174" s="23"/>
      <c r="D174" s="23"/>
      <c r="E174" s="23"/>
      <c r="F174" s="23"/>
      <c r="G174" s="23"/>
      <c r="H174" s="24"/>
      <c r="I174" s="23"/>
      <c r="J174" s="23"/>
      <c r="K174" s="24"/>
      <c r="L174" s="23"/>
      <c r="M174" s="23"/>
    </row>
    <row r="175" spans="1:13" ht="14.45">
      <c r="A175" s="23"/>
      <c r="B175" s="35"/>
      <c r="C175" s="23"/>
      <c r="D175" s="23"/>
      <c r="E175" s="23"/>
      <c r="F175" s="23"/>
      <c r="G175" s="23"/>
      <c r="H175" s="24"/>
      <c r="I175" s="23"/>
      <c r="J175" s="23"/>
      <c r="K175" s="24"/>
      <c r="L175" s="23"/>
      <c r="M175" s="23"/>
    </row>
    <row r="176" spans="1:13" ht="14.45">
      <c r="A176" s="23"/>
      <c r="B176" s="35"/>
      <c r="C176" s="23"/>
      <c r="D176" s="23"/>
      <c r="E176" s="23"/>
      <c r="F176" s="23"/>
      <c r="G176" s="23"/>
      <c r="H176" s="24"/>
      <c r="I176" s="23"/>
      <c r="J176" s="23"/>
      <c r="K176" s="24"/>
      <c r="L176" s="23"/>
      <c r="M176" s="23"/>
    </row>
    <row r="177" spans="1:13" ht="14.45">
      <c r="A177" s="23"/>
      <c r="B177" s="35"/>
      <c r="C177" s="23"/>
      <c r="D177" s="23"/>
      <c r="E177" s="23"/>
      <c r="F177" s="23"/>
      <c r="G177" s="23"/>
      <c r="H177" s="24"/>
      <c r="I177" s="23"/>
      <c r="J177" s="23"/>
      <c r="K177" s="24"/>
      <c r="L177" s="23"/>
      <c r="M177" s="23"/>
    </row>
    <row r="178" spans="1:13" ht="14.45">
      <c r="A178" s="23"/>
      <c r="B178" s="35"/>
      <c r="C178" s="23"/>
      <c r="D178" s="23"/>
      <c r="E178" s="23"/>
      <c r="F178" s="23"/>
      <c r="G178" s="23"/>
      <c r="H178" s="24"/>
      <c r="I178" s="23"/>
      <c r="J178" s="23"/>
      <c r="K178" s="24"/>
      <c r="L178" s="23"/>
      <c r="M178" s="23"/>
    </row>
    <row r="179" spans="1:13" ht="14.45">
      <c r="A179" s="23"/>
      <c r="B179" s="35"/>
      <c r="C179" s="23"/>
      <c r="D179" s="23"/>
      <c r="E179" s="23"/>
      <c r="F179" s="23"/>
      <c r="G179" s="23"/>
      <c r="H179" s="24"/>
      <c r="I179" s="23"/>
      <c r="J179" s="23"/>
      <c r="K179" s="24"/>
      <c r="L179" s="23"/>
      <c r="M179" s="23"/>
    </row>
    <row r="180" spans="1:13" ht="14.45">
      <c r="A180" s="23"/>
      <c r="B180" s="35"/>
      <c r="C180" s="23"/>
      <c r="D180" s="23"/>
      <c r="E180" s="23"/>
      <c r="F180" s="23"/>
      <c r="G180" s="23"/>
      <c r="H180" s="24"/>
      <c r="I180" s="23"/>
      <c r="J180" s="23"/>
      <c r="K180" s="24"/>
      <c r="L180" s="23"/>
      <c r="M180" s="23"/>
    </row>
    <row r="181" spans="1:13" ht="14.45">
      <c r="A181" s="23"/>
      <c r="B181" s="35"/>
      <c r="C181" s="23"/>
      <c r="D181" s="23"/>
      <c r="E181" s="23"/>
      <c r="F181" s="23"/>
      <c r="G181" s="23"/>
      <c r="H181" s="24"/>
      <c r="I181" s="23"/>
      <c r="J181" s="23"/>
      <c r="K181" s="24"/>
      <c r="L181" s="23"/>
      <c r="M181" s="23"/>
    </row>
    <row r="182" spans="1:13" ht="14.45">
      <c r="A182" s="23"/>
      <c r="B182" s="35"/>
      <c r="C182" s="23"/>
      <c r="D182" s="23"/>
      <c r="E182" s="23"/>
      <c r="F182" s="23"/>
      <c r="G182" s="23"/>
      <c r="H182" s="24"/>
      <c r="I182" s="23"/>
      <c r="J182" s="23"/>
      <c r="K182" s="24"/>
      <c r="L182" s="23"/>
      <c r="M182" s="23"/>
    </row>
    <row r="183" spans="1:13" ht="14.45">
      <c r="A183" s="23"/>
      <c r="B183" s="35"/>
      <c r="C183" s="23"/>
      <c r="D183" s="23"/>
      <c r="E183" s="23"/>
      <c r="F183" s="23"/>
      <c r="G183" s="23"/>
      <c r="H183" s="24"/>
      <c r="I183" s="23"/>
      <c r="J183" s="23"/>
      <c r="K183" s="24"/>
      <c r="L183" s="23"/>
      <c r="M183" s="23"/>
    </row>
    <row r="184" spans="1:13" ht="14.45">
      <c r="A184" s="23"/>
      <c r="B184" s="35"/>
      <c r="C184" s="23"/>
      <c r="D184" s="23"/>
      <c r="E184" s="23"/>
      <c r="F184" s="23"/>
      <c r="G184" s="23"/>
      <c r="H184" s="24"/>
      <c r="I184" s="23"/>
      <c r="J184" s="23"/>
      <c r="K184" s="24"/>
      <c r="L184" s="23"/>
      <c r="M184" s="23"/>
    </row>
    <row r="185" spans="1:13" ht="14.45">
      <c r="A185" s="23"/>
      <c r="B185" s="35"/>
      <c r="C185" s="23"/>
      <c r="D185" s="23"/>
      <c r="E185" s="23"/>
      <c r="F185" s="23"/>
      <c r="G185" s="23"/>
      <c r="H185" s="24"/>
      <c r="I185" s="23"/>
      <c r="J185" s="23"/>
      <c r="K185" s="24"/>
      <c r="L185" s="23"/>
      <c r="M185" s="23"/>
    </row>
    <row r="186" spans="1:13" ht="14.45">
      <c r="A186" s="23"/>
      <c r="B186" s="35"/>
      <c r="C186" s="23"/>
      <c r="D186" s="23"/>
      <c r="E186" s="23"/>
      <c r="F186" s="23"/>
      <c r="G186" s="23"/>
      <c r="H186" s="24"/>
      <c r="I186" s="23"/>
      <c r="J186" s="23"/>
      <c r="K186" s="24"/>
      <c r="L186" s="23"/>
      <c r="M186" s="23"/>
    </row>
    <row r="187" spans="1:13" ht="14.45">
      <c r="A187" s="23"/>
      <c r="B187" s="35"/>
      <c r="C187" s="23"/>
      <c r="D187" s="23"/>
      <c r="E187" s="23"/>
      <c r="F187" s="23"/>
      <c r="G187" s="23"/>
      <c r="H187" s="24"/>
      <c r="I187" s="23"/>
      <c r="J187" s="23"/>
      <c r="K187" s="24"/>
      <c r="L187" s="23"/>
      <c r="M187" s="23"/>
    </row>
    <row r="188" spans="1:13" ht="14.45">
      <c r="A188" s="23"/>
      <c r="B188" s="35"/>
      <c r="C188" s="23"/>
      <c r="D188" s="23"/>
      <c r="E188" s="23"/>
      <c r="F188" s="23"/>
      <c r="G188" s="23"/>
      <c r="H188" s="24"/>
      <c r="I188" s="23"/>
      <c r="J188" s="23"/>
      <c r="K188" s="24"/>
      <c r="L188" s="23"/>
      <c r="M188" s="23"/>
    </row>
    <row r="189" spans="1:13" ht="14.45">
      <c r="A189" s="23"/>
      <c r="B189" s="35"/>
      <c r="C189" s="23"/>
      <c r="D189" s="23"/>
      <c r="E189" s="23"/>
      <c r="F189" s="23"/>
      <c r="G189" s="23"/>
      <c r="H189" s="24"/>
      <c r="I189" s="23"/>
      <c r="J189" s="23"/>
      <c r="K189" s="24"/>
      <c r="L189" s="23"/>
      <c r="M189" s="23"/>
    </row>
    <row r="190" spans="1:13" ht="14.45">
      <c r="A190" s="23"/>
      <c r="B190" s="35"/>
      <c r="C190" s="23"/>
      <c r="D190" s="23"/>
      <c r="E190" s="23"/>
      <c r="F190" s="23"/>
      <c r="G190" s="23"/>
      <c r="H190" s="24"/>
      <c r="I190" s="23"/>
      <c r="J190" s="23"/>
      <c r="K190" s="24"/>
      <c r="L190" s="23"/>
      <c r="M190" s="23"/>
    </row>
    <row r="191" spans="1:13" ht="14.45">
      <c r="A191" s="23"/>
      <c r="B191" s="35"/>
      <c r="C191" s="23"/>
      <c r="D191" s="23"/>
      <c r="E191" s="23"/>
      <c r="F191" s="23"/>
      <c r="G191" s="23"/>
      <c r="H191" s="24"/>
      <c r="I191" s="23"/>
      <c r="J191" s="23"/>
      <c r="K191" s="24"/>
      <c r="L191" s="23"/>
      <c r="M191" s="23"/>
    </row>
    <row r="192" spans="1:13" ht="14.45">
      <c r="A192" s="23"/>
      <c r="B192" s="35"/>
      <c r="C192" s="23"/>
      <c r="D192" s="23"/>
      <c r="E192" s="23"/>
      <c r="F192" s="23"/>
      <c r="G192" s="23"/>
      <c r="H192" s="24"/>
      <c r="I192" s="23"/>
      <c r="J192" s="23"/>
      <c r="K192" s="24"/>
      <c r="L192" s="23"/>
      <c r="M192" s="23"/>
    </row>
    <row r="193" spans="1:13" ht="14.45">
      <c r="A193" s="23"/>
      <c r="B193" s="35"/>
      <c r="C193" s="23"/>
      <c r="D193" s="23"/>
      <c r="E193" s="23"/>
      <c r="F193" s="23"/>
      <c r="G193" s="23"/>
      <c r="H193" s="24"/>
      <c r="I193" s="23"/>
      <c r="J193" s="23"/>
      <c r="K193" s="24"/>
      <c r="L193" s="23"/>
      <c r="M193" s="23"/>
    </row>
    <row r="194" spans="1:13" ht="14.45">
      <c r="A194" s="23"/>
      <c r="B194" s="35"/>
      <c r="C194" s="23"/>
      <c r="D194" s="23"/>
      <c r="E194" s="23"/>
      <c r="F194" s="23"/>
      <c r="G194" s="23"/>
      <c r="H194" s="24"/>
      <c r="I194" s="23"/>
      <c r="J194" s="23"/>
      <c r="K194" s="24"/>
      <c r="L194" s="23"/>
      <c r="M194" s="23"/>
    </row>
    <row r="195" spans="1:13" ht="14.45">
      <c r="A195" s="23"/>
      <c r="B195" s="35"/>
      <c r="C195" s="23"/>
      <c r="D195" s="23"/>
      <c r="E195" s="23"/>
      <c r="F195" s="23"/>
      <c r="G195" s="23"/>
      <c r="H195" s="24"/>
      <c r="I195" s="23"/>
      <c r="J195" s="23"/>
      <c r="K195" s="24"/>
      <c r="L195" s="23"/>
      <c r="M195" s="23"/>
    </row>
    <row r="196" spans="1:13" ht="14.45">
      <c r="A196" s="23"/>
      <c r="B196" s="35"/>
      <c r="C196" s="23"/>
      <c r="D196" s="23"/>
      <c r="E196" s="23"/>
      <c r="F196" s="23"/>
      <c r="G196" s="23"/>
      <c r="H196" s="24"/>
      <c r="I196" s="23"/>
      <c r="J196" s="23"/>
      <c r="K196" s="24"/>
      <c r="L196" s="23"/>
      <c r="M196" s="23"/>
    </row>
    <row r="197" spans="1:13" ht="14.45">
      <c r="A197" s="23"/>
      <c r="B197" s="35"/>
      <c r="C197" s="23"/>
      <c r="D197" s="23"/>
      <c r="E197" s="23"/>
      <c r="F197" s="23"/>
      <c r="G197" s="23"/>
      <c r="H197" s="24"/>
      <c r="I197" s="23"/>
      <c r="J197" s="23"/>
      <c r="K197" s="24"/>
      <c r="L197" s="23"/>
      <c r="M197" s="23"/>
    </row>
    <row r="198" spans="1:13" ht="14.45">
      <c r="A198" s="23"/>
      <c r="B198" s="35"/>
      <c r="C198" s="23"/>
      <c r="D198" s="23"/>
      <c r="E198" s="23"/>
      <c r="F198" s="23"/>
      <c r="G198" s="23"/>
      <c r="H198" s="24"/>
      <c r="I198" s="23"/>
      <c r="J198" s="23"/>
      <c r="K198" s="24"/>
      <c r="L198" s="23"/>
      <c r="M198" s="23"/>
    </row>
    <row r="199" spans="1:13" ht="14.45">
      <c r="A199" s="23"/>
      <c r="B199" s="35"/>
      <c r="C199" s="23"/>
      <c r="D199" s="23"/>
      <c r="E199" s="23"/>
      <c r="F199" s="23"/>
      <c r="G199" s="23"/>
      <c r="H199" s="24"/>
      <c r="I199" s="23"/>
      <c r="J199" s="23"/>
      <c r="K199" s="24"/>
      <c r="L199" s="23"/>
      <c r="M199" s="23"/>
    </row>
    <row r="200" spans="1:13" ht="14.45">
      <c r="A200" s="23"/>
      <c r="B200" s="35"/>
      <c r="C200" s="23"/>
      <c r="D200" s="23"/>
      <c r="E200" s="23"/>
      <c r="F200" s="23"/>
      <c r="G200" s="23"/>
      <c r="H200" s="24"/>
      <c r="I200" s="23"/>
      <c r="J200" s="23"/>
      <c r="K200" s="24"/>
      <c r="L200" s="23"/>
      <c r="M200" s="23"/>
    </row>
    <row r="201" spans="1:13" ht="14.45">
      <c r="A201" s="23"/>
      <c r="B201" s="35"/>
      <c r="C201" s="23"/>
      <c r="D201" s="23"/>
      <c r="E201" s="23"/>
      <c r="F201" s="23"/>
      <c r="G201" s="23"/>
      <c r="H201" s="24"/>
      <c r="I201" s="23"/>
      <c r="J201" s="23"/>
      <c r="K201" s="24"/>
      <c r="L201" s="23"/>
      <c r="M201" s="23"/>
    </row>
    <row r="202" spans="1:13" ht="14.45">
      <c r="A202" s="23"/>
      <c r="B202" s="35"/>
      <c r="C202" s="23"/>
      <c r="D202" s="23"/>
      <c r="E202" s="23"/>
      <c r="F202" s="23"/>
      <c r="G202" s="23"/>
      <c r="H202" s="24"/>
      <c r="I202" s="23"/>
      <c r="J202" s="23"/>
      <c r="K202" s="24"/>
      <c r="L202" s="23"/>
      <c r="M202" s="23"/>
    </row>
    <row r="203" spans="1:13" ht="14.45">
      <c r="A203" s="23"/>
      <c r="B203" s="35"/>
      <c r="C203" s="23"/>
      <c r="D203" s="23"/>
      <c r="E203" s="23"/>
      <c r="F203" s="23"/>
      <c r="G203" s="23"/>
      <c r="H203" s="24"/>
      <c r="I203" s="23"/>
      <c r="J203" s="23"/>
      <c r="K203" s="24"/>
      <c r="L203" s="23"/>
      <c r="M203" s="23"/>
    </row>
    <row r="204" spans="1:13" ht="14.45">
      <c r="A204" s="23"/>
      <c r="B204" s="35"/>
      <c r="C204" s="23"/>
      <c r="D204" s="23"/>
      <c r="E204" s="23"/>
      <c r="F204" s="23"/>
      <c r="G204" s="23"/>
      <c r="H204" s="24"/>
      <c r="I204" s="23"/>
      <c r="J204" s="23"/>
      <c r="K204" s="24"/>
      <c r="L204" s="23"/>
      <c r="M204" s="23"/>
    </row>
    <row r="205" spans="1:13" ht="14.45">
      <c r="A205" s="23"/>
      <c r="B205" s="35"/>
      <c r="C205" s="23"/>
      <c r="D205" s="23"/>
      <c r="E205" s="23"/>
      <c r="F205" s="23"/>
      <c r="G205" s="23"/>
      <c r="H205" s="24"/>
      <c r="I205" s="23"/>
      <c r="J205" s="23"/>
      <c r="K205" s="24"/>
      <c r="L205" s="23"/>
      <c r="M205" s="23"/>
    </row>
    <row r="206" spans="1:13" ht="14.45">
      <c r="A206" s="23"/>
      <c r="B206" s="35"/>
      <c r="C206" s="23"/>
      <c r="D206" s="23"/>
      <c r="E206" s="23"/>
      <c r="F206" s="23"/>
      <c r="G206" s="23"/>
      <c r="H206" s="24"/>
      <c r="I206" s="23"/>
      <c r="J206" s="23"/>
      <c r="K206" s="24"/>
      <c r="L206" s="23"/>
      <c r="M206" s="23"/>
    </row>
    <row r="207" spans="1:13" ht="14.45">
      <c r="A207" s="23"/>
      <c r="B207" s="35"/>
      <c r="C207" s="23"/>
      <c r="D207" s="23"/>
      <c r="E207" s="23"/>
      <c r="F207" s="23"/>
      <c r="G207" s="23"/>
      <c r="H207" s="24"/>
      <c r="I207" s="23"/>
      <c r="J207" s="23"/>
      <c r="K207" s="24"/>
      <c r="L207" s="23"/>
      <c r="M207" s="23"/>
    </row>
    <row r="208" spans="1:13" ht="14.45">
      <c r="A208" s="23"/>
      <c r="B208" s="35"/>
      <c r="C208" s="23"/>
      <c r="D208" s="23"/>
      <c r="E208" s="23"/>
      <c r="F208" s="23"/>
      <c r="G208" s="23"/>
      <c r="H208" s="24"/>
      <c r="I208" s="23"/>
      <c r="J208" s="23"/>
      <c r="K208" s="24"/>
      <c r="L208" s="23"/>
      <c r="M208" s="23"/>
    </row>
    <row r="209" spans="1:13" ht="14.45">
      <c r="A209" s="23"/>
      <c r="B209" s="35"/>
      <c r="C209" s="23"/>
      <c r="D209" s="23"/>
      <c r="E209" s="23"/>
      <c r="F209" s="23"/>
      <c r="G209" s="23"/>
      <c r="H209" s="24"/>
      <c r="I209" s="23"/>
      <c r="J209" s="23"/>
      <c r="K209" s="24"/>
      <c r="L209" s="23"/>
      <c r="M209" s="23"/>
    </row>
    <row r="210" spans="1:13" ht="14.45">
      <c r="A210" s="23"/>
      <c r="B210" s="35"/>
      <c r="C210" s="23"/>
      <c r="D210" s="23"/>
      <c r="E210" s="23"/>
      <c r="F210" s="23"/>
      <c r="G210" s="23"/>
      <c r="H210" s="24"/>
      <c r="I210" s="23"/>
      <c r="J210" s="23"/>
      <c r="K210" s="24"/>
      <c r="L210" s="23"/>
      <c r="M210" s="23"/>
    </row>
    <row r="211" spans="1:13" ht="14.45">
      <c r="A211" s="23"/>
      <c r="B211" s="35"/>
      <c r="C211" s="23"/>
      <c r="D211" s="23"/>
      <c r="E211" s="23"/>
      <c r="F211" s="23"/>
      <c r="G211" s="23"/>
      <c r="H211" s="24"/>
      <c r="I211" s="23"/>
      <c r="J211" s="23"/>
      <c r="K211" s="24"/>
      <c r="L211" s="23"/>
      <c r="M211" s="23"/>
    </row>
    <row r="212" spans="1:13" ht="14.45">
      <c r="A212" s="23"/>
      <c r="B212" s="35"/>
      <c r="C212" s="23"/>
      <c r="D212" s="23"/>
      <c r="E212" s="23"/>
      <c r="F212" s="23"/>
      <c r="G212" s="23"/>
      <c r="H212" s="24"/>
      <c r="I212" s="23"/>
      <c r="J212" s="23"/>
      <c r="K212" s="24"/>
      <c r="L212" s="23"/>
      <c r="M212" s="23"/>
    </row>
    <row r="213" spans="1:13" ht="14.45">
      <c r="A213" s="23"/>
      <c r="B213" s="35"/>
      <c r="C213" s="23"/>
      <c r="D213" s="23"/>
      <c r="E213" s="23"/>
      <c r="F213" s="23"/>
      <c r="G213" s="23"/>
      <c r="H213" s="24"/>
      <c r="I213" s="23"/>
      <c r="J213" s="23"/>
      <c r="K213" s="24"/>
      <c r="L213" s="23"/>
      <c r="M213" s="23"/>
    </row>
    <row r="214" spans="1:13" ht="14.45">
      <c r="A214" s="23"/>
      <c r="B214" s="35"/>
      <c r="C214" s="23"/>
      <c r="D214" s="23"/>
      <c r="E214" s="23"/>
      <c r="F214" s="23"/>
      <c r="G214" s="23"/>
      <c r="H214" s="24"/>
      <c r="I214" s="23"/>
      <c r="J214" s="23"/>
      <c r="K214" s="24"/>
      <c r="L214" s="23"/>
      <c r="M214" s="23"/>
    </row>
    <row r="215" spans="1:13" ht="14.45">
      <c r="A215" s="23"/>
      <c r="B215" s="35"/>
      <c r="C215" s="23"/>
      <c r="D215" s="23"/>
      <c r="E215" s="23"/>
      <c r="F215" s="23"/>
      <c r="G215" s="23"/>
      <c r="H215" s="24"/>
      <c r="I215" s="23"/>
      <c r="J215" s="23"/>
      <c r="K215" s="24"/>
      <c r="L215" s="23"/>
      <c r="M215" s="23"/>
    </row>
    <row r="216" spans="1:13" ht="14.45">
      <c r="A216" s="23"/>
      <c r="B216" s="35"/>
      <c r="C216" s="23"/>
      <c r="D216" s="23"/>
      <c r="E216" s="23"/>
      <c r="F216" s="23"/>
      <c r="G216" s="23"/>
      <c r="H216" s="24"/>
      <c r="I216" s="23"/>
      <c r="J216" s="23"/>
      <c r="K216" s="24"/>
      <c r="L216" s="23"/>
      <c r="M216" s="23"/>
    </row>
    <row r="217" spans="1:13" ht="14.45">
      <c r="A217" s="23"/>
      <c r="B217" s="35"/>
      <c r="C217" s="23"/>
      <c r="D217" s="23"/>
      <c r="E217" s="23"/>
      <c r="F217" s="23"/>
      <c r="G217" s="23"/>
      <c r="H217" s="24"/>
      <c r="I217" s="23"/>
      <c r="J217" s="23"/>
      <c r="K217" s="24"/>
      <c r="L217" s="23"/>
      <c r="M217" s="23"/>
    </row>
    <row r="218" spans="1:13" ht="14.45">
      <c r="A218" s="23"/>
      <c r="B218" s="35"/>
      <c r="C218" s="23"/>
      <c r="D218" s="23"/>
      <c r="E218" s="23"/>
      <c r="F218" s="23"/>
      <c r="G218" s="23"/>
      <c r="H218" s="24"/>
      <c r="I218" s="23"/>
      <c r="J218" s="23"/>
      <c r="K218" s="24"/>
      <c r="L218" s="23"/>
      <c r="M218" s="23"/>
    </row>
    <row r="219" spans="1:13" ht="14.45">
      <c r="A219" s="23"/>
      <c r="B219" s="35"/>
      <c r="C219" s="23"/>
      <c r="D219" s="23"/>
      <c r="E219" s="23"/>
      <c r="F219" s="23"/>
      <c r="G219" s="23"/>
      <c r="H219" s="24"/>
      <c r="I219" s="23"/>
      <c r="J219" s="23"/>
      <c r="K219" s="24"/>
      <c r="L219" s="23"/>
      <c r="M219" s="23"/>
    </row>
    <row r="220" spans="1:13" ht="14.45">
      <c r="A220" s="23"/>
      <c r="B220" s="35"/>
      <c r="C220" s="23"/>
      <c r="D220" s="23"/>
      <c r="E220" s="23"/>
      <c r="F220" s="23"/>
      <c r="G220" s="23"/>
      <c r="H220" s="24"/>
      <c r="I220" s="23"/>
      <c r="J220" s="23"/>
      <c r="K220" s="24"/>
      <c r="L220" s="23"/>
      <c r="M220" s="23"/>
    </row>
    <row r="221" spans="1:13" ht="14.45">
      <c r="A221" s="23"/>
      <c r="B221" s="35"/>
      <c r="C221" s="23"/>
      <c r="D221" s="23"/>
      <c r="E221" s="23"/>
      <c r="F221" s="23"/>
      <c r="G221" s="23"/>
      <c r="H221" s="24"/>
      <c r="I221" s="23"/>
      <c r="J221" s="23"/>
      <c r="K221" s="24"/>
      <c r="L221" s="23"/>
      <c r="M221" s="23"/>
    </row>
    <row r="222" spans="1:13" ht="14.45">
      <c r="A222" s="23"/>
      <c r="B222" s="35"/>
      <c r="C222" s="23"/>
      <c r="D222" s="23"/>
      <c r="E222" s="23"/>
      <c r="F222" s="23"/>
      <c r="G222" s="23"/>
      <c r="H222" s="24"/>
      <c r="I222" s="23"/>
      <c r="J222" s="23"/>
      <c r="K222" s="24"/>
      <c r="L222" s="23"/>
      <c r="M222" s="23"/>
    </row>
    <row r="223" spans="1:13" ht="14.45">
      <c r="A223" s="23"/>
      <c r="B223" s="35"/>
      <c r="C223" s="23"/>
      <c r="D223" s="23"/>
      <c r="E223" s="23"/>
      <c r="F223" s="23"/>
      <c r="G223" s="23"/>
      <c r="H223" s="24"/>
      <c r="I223" s="23"/>
      <c r="J223" s="23"/>
      <c r="K223" s="24"/>
      <c r="L223" s="23"/>
      <c r="M223" s="23"/>
    </row>
    <row r="224" spans="1:13" ht="14.45">
      <c r="A224" s="23"/>
      <c r="B224" s="35"/>
      <c r="C224" s="23"/>
      <c r="D224" s="23"/>
      <c r="E224" s="23"/>
      <c r="F224" s="23"/>
      <c r="G224" s="23"/>
      <c r="H224" s="24"/>
      <c r="I224" s="23"/>
      <c r="J224" s="23"/>
      <c r="K224" s="24"/>
      <c r="L224" s="23"/>
      <c r="M224" s="23"/>
    </row>
    <row r="225" spans="1:13" ht="14.45">
      <c r="A225" s="23"/>
      <c r="B225" s="35"/>
      <c r="C225" s="23"/>
      <c r="D225" s="23"/>
      <c r="E225" s="23"/>
      <c r="F225" s="23"/>
      <c r="G225" s="23"/>
      <c r="H225" s="24"/>
      <c r="I225" s="23"/>
      <c r="J225" s="23"/>
      <c r="K225" s="24"/>
      <c r="L225" s="23"/>
      <c r="M225" s="23"/>
    </row>
    <row r="226" spans="1:13" ht="14.45">
      <c r="A226" s="23"/>
      <c r="B226" s="35"/>
      <c r="C226" s="23"/>
      <c r="D226" s="23"/>
      <c r="E226" s="23"/>
      <c r="F226" s="23"/>
      <c r="G226" s="23"/>
      <c r="H226" s="24"/>
      <c r="I226" s="23"/>
      <c r="J226" s="23"/>
      <c r="K226" s="24"/>
      <c r="L226" s="23"/>
      <c r="M226" s="23"/>
    </row>
    <row r="227" spans="1:13" ht="14.45">
      <c r="A227" s="23"/>
      <c r="B227" s="35"/>
      <c r="C227" s="23"/>
      <c r="D227" s="23"/>
      <c r="E227" s="23"/>
      <c r="F227" s="23"/>
      <c r="G227" s="23"/>
      <c r="H227" s="24"/>
      <c r="I227" s="23"/>
      <c r="J227" s="23"/>
      <c r="K227" s="24"/>
      <c r="L227" s="23"/>
      <c r="M227" s="23"/>
    </row>
    <row r="228" spans="1:13" ht="14.45">
      <c r="A228" s="23"/>
      <c r="B228" s="35"/>
      <c r="C228" s="23"/>
      <c r="D228" s="23"/>
      <c r="E228" s="23"/>
      <c r="F228" s="23"/>
      <c r="G228" s="23"/>
      <c r="H228" s="24"/>
      <c r="I228" s="23"/>
      <c r="J228" s="23"/>
      <c r="K228" s="24"/>
      <c r="L228" s="23"/>
      <c r="M228" s="23"/>
    </row>
    <row r="229" spans="1:13" ht="14.45">
      <c r="A229" s="23"/>
      <c r="B229" s="35"/>
      <c r="C229" s="23"/>
      <c r="D229" s="23"/>
      <c r="E229" s="23"/>
      <c r="F229" s="23"/>
      <c r="G229" s="23"/>
      <c r="H229" s="24"/>
      <c r="I229" s="23"/>
      <c r="J229" s="23"/>
      <c r="K229" s="24"/>
      <c r="L229" s="23"/>
      <c r="M229" s="23"/>
    </row>
    <row r="230" spans="1:13" ht="14.45">
      <c r="A230" s="23"/>
      <c r="B230" s="35"/>
      <c r="C230" s="23"/>
      <c r="D230" s="23"/>
      <c r="E230" s="23"/>
      <c r="F230" s="23"/>
      <c r="G230" s="23"/>
      <c r="H230" s="24"/>
      <c r="I230" s="23"/>
      <c r="J230" s="23"/>
      <c r="K230" s="24"/>
      <c r="L230" s="23"/>
      <c r="M230" s="23"/>
    </row>
    <row r="231" spans="1:13" ht="14.45">
      <c r="A231" s="23"/>
      <c r="B231" s="35"/>
      <c r="C231" s="23"/>
      <c r="D231" s="23"/>
      <c r="E231" s="23"/>
      <c r="F231" s="23"/>
      <c r="G231" s="23"/>
      <c r="H231" s="24"/>
      <c r="I231" s="23"/>
      <c r="J231" s="23"/>
      <c r="K231" s="24"/>
      <c r="L231" s="23"/>
      <c r="M231" s="23"/>
    </row>
    <row r="232" spans="1:13" ht="14.45">
      <c r="A232" s="23"/>
      <c r="B232" s="35"/>
      <c r="C232" s="23"/>
      <c r="D232" s="23"/>
      <c r="E232" s="23"/>
      <c r="F232" s="23"/>
      <c r="G232" s="23"/>
      <c r="H232" s="24"/>
      <c r="I232" s="23"/>
      <c r="J232" s="23"/>
      <c r="K232" s="24"/>
      <c r="L232" s="23"/>
      <c r="M232" s="23"/>
    </row>
    <row r="233" spans="1:13" ht="14.45">
      <c r="A233" s="23"/>
      <c r="B233" s="35"/>
      <c r="C233" s="23"/>
      <c r="D233" s="23"/>
      <c r="E233" s="23"/>
      <c r="F233" s="23"/>
      <c r="G233" s="23"/>
      <c r="H233" s="24"/>
      <c r="I233" s="23"/>
      <c r="J233" s="23"/>
      <c r="K233" s="24"/>
      <c r="L233" s="23"/>
      <c r="M233" s="23"/>
    </row>
    <row r="234" spans="1:13" ht="14.45">
      <c r="A234" s="23"/>
      <c r="B234" s="35"/>
      <c r="C234" s="23"/>
      <c r="D234" s="23"/>
      <c r="E234" s="23"/>
      <c r="F234" s="23"/>
      <c r="G234" s="23"/>
      <c r="H234" s="24"/>
      <c r="I234" s="23"/>
      <c r="J234" s="23"/>
      <c r="K234" s="24"/>
      <c r="L234" s="23"/>
      <c r="M234" s="23"/>
    </row>
    <row r="235" spans="1:13" ht="14.45">
      <c r="A235" s="23"/>
      <c r="B235" s="35"/>
      <c r="C235" s="23"/>
      <c r="D235" s="23"/>
      <c r="E235" s="23"/>
      <c r="F235" s="23"/>
      <c r="G235" s="23"/>
      <c r="H235" s="24"/>
      <c r="I235" s="23"/>
      <c r="J235" s="23"/>
      <c r="K235" s="24"/>
      <c r="L235" s="23"/>
      <c r="M235" s="23"/>
    </row>
    <row r="236" spans="1:13" ht="14.45">
      <c r="A236" s="23"/>
      <c r="B236" s="35"/>
      <c r="C236" s="23"/>
      <c r="D236" s="23"/>
      <c r="E236" s="23"/>
      <c r="F236" s="23"/>
      <c r="G236" s="23"/>
      <c r="H236" s="24"/>
      <c r="I236" s="23"/>
      <c r="J236" s="23"/>
      <c r="K236" s="24"/>
      <c r="L236" s="23"/>
      <c r="M236" s="23"/>
    </row>
    <row r="237" spans="1:13" ht="14.45">
      <c r="A237" s="23"/>
      <c r="B237" s="35"/>
      <c r="C237" s="23"/>
      <c r="D237" s="23"/>
      <c r="E237" s="23"/>
      <c r="F237" s="23"/>
      <c r="G237" s="23"/>
      <c r="H237" s="24"/>
      <c r="I237" s="23"/>
      <c r="J237" s="23"/>
      <c r="K237" s="24"/>
      <c r="L237" s="23"/>
      <c r="M237" s="23"/>
    </row>
    <row r="238" spans="1:13" ht="14.45">
      <c r="A238" s="23"/>
      <c r="B238" s="35"/>
      <c r="C238" s="23"/>
      <c r="D238" s="23"/>
      <c r="E238" s="23"/>
      <c r="F238" s="23"/>
      <c r="G238" s="23"/>
      <c r="H238" s="24"/>
      <c r="I238" s="23"/>
      <c r="J238" s="23"/>
      <c r="K238" s="24"/>
      <c r="L238" s="23"/>
      <c r="M238" s="23"/>
    </row>
    <row r="239" spans="1:13" ht="14.45">
      <c r="A239" s="23"/>
      <c r="B239" s="35"/>
      <c r="C239" s="23"/>
      <c r="D239" s="23"/>
      <c r="E239" s="23"/>
      <c r="F239" s="23"/>
      <c r="G239" s="23"/>
      <c r="H239" s="24"/>
      <c r="I239" s="23"/>
      <c r="J239" s="23"/>
      <c r="K239" s="24"/>
      <c r="L239" s="23"/>
      <c r="M239" s="23"/>
    </row>
    <row r="240" spans="1:13" ht="14.45">
      <c r="A240" s="23"/>
      <c r="B240" s="35"/>
      <c r="C240" s="23"/>
      <c r="D240" s="23"/>
      <c r="E240" s="23"/>
      <c r="F240" s="23"/>
      <c r="G240" s="23"/>
      <c r="H240" s="24"/>
      <c r="I240" s="23"/>
      <c r="J240" s="23"/>
      <c r="K240" s="24"/>
      <c r="L240" s="23"/>
      <c r="M240" s="23"/>
    </row>
    <row r="241" spans="1:13" ht="14.45">
      <c r="A241" s="23"/>
      <c r="B241" s="35"/>
      <c r="C241" s="23"/>
      <c r="D241" s="23"/>
      <c r="E241" s="23"/>
      <c r="F241" s="23"/>
      <c r="G241" s="23"/>
      <c r="H241" s="24"/>
      <c r="I241" s="23"/>
      <c r="J241" s="23"/>
      <c r="K241" s="24"/>
      <c r="L241" s="23"/>
      <c r="M241" s="23"/>
    </row>
    <row r="242" spans="1:13" ht="14.45">
      <c r="A242" s="23"/>
      <c r="B242" s="35"/>
      <c r="C242" s="23"/>
      <c r="D242" s="23"/>
      <c r="E242" s="23"/>
      <c r="F242" s="23"/>
      <c r="G242" s="23"/>
      <c r="H242" s="24"/>
      <c r="I242" s="23"/>
      <c r="J242" s="23"/>
      <c r="K242" s="24"/>
      <c r="L242" s="23"/>
      <c r="M242" s="23"/>
    </row>
    <row r="243" spans="1:13" ht="14.45">
      <c r="A243" s="23"/>
      <c r="B243" s="35"/>
      <c r="C243" s="23"/>
      <c r="D243" s="23"/>
      <c r="E243" s="23"/>
      <c r="F243" s="23"/>
      <c r="G243" s="23"/>
      <c r="H243" s="24"/>
      <c r="I243" s="23"/>
      <c r="J243" s="23"/>
      <c r="K243" s="24"/>
      <c r="L243" s="23"/>
      <c r="M243" s="23"/>
    </row>
    <row r="244" spans="1:13" ht="14.45">
      <c r="A244" s="23"/>
      <c r="B244" s="35"/>
      <c r="C244" s="23"/>
      <c r="D244" s="23"/>
      <c r="E244" s="23"/>
      <c r="F244" s="23"/>
      <c r="G244" s="23"/>
      <c r="H244" s="24"/>
      <c r="I244" s="23"/>
      <c r="J244" s="23"/>
      <c r="K244" s="24"/>
      <c r="L244" s="23"/>
      <c r="M244" s="23"/>
    </row>
    <row r="245" spans="1:13" ht="14.45">
      <c r="A245" s="23"/>
      <c r="B245" s="35"/>
      <c r="C245" s="23"/>
      <c r="D245" s="23"/>
      <c r="E245" s="23"/>
      <c r="F245" s="23"/>
      <c r="G245" s="23"/>
      <c r="H245" s="24"/>
      <c r="I245" s="23"/>
      <c r="J245" s="23"/>
      <c r="K245" s="24"/>
      <c r="L245" s="23"/>
      <c r="M245" s="23"/>
    </row>
    <row r="246" spans="1:13" ht="14.45">
      <c r="A246" s="23"/>
      <c r="B246" s="35"/>
      <c r="C246" s="23"/>
      <c r="D246" s="23"/>
      <c r="E246" s="23"/>
      <c r="F246" s="23"/>
      <c r="G246" s="23"/>
      <c r="H246" s="24"/>
      <c r="I246" s="23"/>
      <c r="J246" s="23"/>
      <c r="K246" s="24"/>
      <c r="L246" s="23"/>
      <c r="M246" s="23"/>
    </row>
    <row r="247" spans="1:13" ht="14.45">
      <c r="A247" s="23"/>
      <c r="B247" s="35"/>
      <c r="C247" s="23"/>
      <c r="D247" s="23"/>
      <c r="E247" s="23"/>
      <c r="F247" s="23"/>
      <c r="G247" s="23"/>
      <c r="H247" s="24"/>
      <c r="I247" s="23"/>
      <c r="J247" s="23"/>
      <c r="K247" s="24"/>
      <c r="L247" s="23"/>
      <c r="M247" s="23"/>
    </row>
    <row r="248" spans="1:13" ht="14.45">
      <c r="A248" s="23"/>
      <c r="B248" s="35"/>
      <c r="C248" s="23"/>
      <c r="D248" s="23"/>
      <c r="E248" s="23"/>
      <c r="F248" s="23"/>
      <c r="G248" s="23"/>
      <c r="H248" s="24"/>
      <c r="I248" s="23"/>
      <c r="J248" s="23"/>
      <c r="K248" s="24"/>
      <c r="L248" s="23"/>
      <c r="M248" s="23"/>
    </row>
    <row r="249" spans="1:13" ht="14.45">
      <c r="A249" s="23"/>
      <c r="B249" s="35"/>
      <c r="C249" s="23"/>
      <c r="D249" s="23"/>
      <c r="E249" s="23"/>
      <c r="F249" s="23"/>
      <c r="G249" s="23"/>
      <c r="H249" s="24"/>
      <c r="I249" s="23"/>
      <c r="J249" s="23"/>
      <c r="K249" s="24"/>
      <c r="L249" s="23"/>
      <c r="M249" s="23"/>
    </row>
    <row r="250" spans="1:13" ht="14.45">
      <c r="A250" s="23"/>
      <c r="B250" s="35"/>
      <c r="C250" s="23"/>
      <c r="D250" s="23"/>
      <c r="E250" s="23"/>
      <c r="F250" s="23"/>
      <c r="G250" s="23"/>
      <c r="H250" s="24"/>
      <c r="I250" s="23"/>
      <c r="J250" s="23"/>
      <c r="K250" s="24"/>
      <c r="L250" s="23"/>
      <c r="M250" s="23"/>
    </row>
    <row r="251" spans="1:13" ht="14.45">
      <c r="A251" s="23"/>
      <c r="B251" s="35"/>
      <c r="C251" s="23"/>
      <c r="D251" s="23"/>
      <c r="E251" s="23"/>
      <c r="F251" s="23"/>
      <c r="G251" s="23"/>
      <c r="H251" s="24"/>
      <c r="I251" s="23"/>
      <c r="J251" s="23"/>
      <c r="K251" s="24"/>
      <c r="L251" s="23"/>
      <c r="M251" s="23"/>
    </row>
    <row r="252" spans="1:13" ht="14.45">
      <c r="A252" s="23"/>
      <c r="B252" s="35"/>
      <c r="C252" s="23"/>
      <c r="D252" s="23"/>
      <c r="E252" s="23"/>
      <c r="F252" s="23"/>
      <c r="G252" s="23"/>
      <c r="H252" s="24"/>
      <c r="I252" s="23"/>
      <c r="J252" s="23"/>
      <c r="K252" s="24"/>
      <c r="L252" s="23"/>
      <c r="M252" s="23"/>
    </row>
    <row r="253" spans="1:13" ht="14.45">
      <c r="A253" s="23"/>
      <c r="B253" s="35"/>
      <c r="C253" s="23"/>
      <c r="D253" s="23"/>
      <c r="E253" s="23"/>
      <c r="F253" s="23"/>
      <c r="G253" s="23"/>
      <c r="H253" s="24"/>
      <c r="I253" s="23"/>
      <c r="J253" s="23"/>
      <c r="K253" s="24"/>
      <c r="L253" s="23"/>
      <c r="M253" s="23"/>
    </row>
    <row r="254" spans="1:13" ht="14.45">
      <c r="A254" s="23"/>
      <c r="B254" s="35"/>
      <c r="C254" s="23"/>
      <c r="D254" s="23"/>
      <c r="E254" s="23"/>
      <c r="F254" s="23"/>
      <c r="G254" s="23"/>
      <c r="H254" s="24"/>
      <c r="I254" s="23"/>
      <c r="J254" s="23"/>
      <c r="K254" s="24"/>
      <c r="L254" s="23"/>
      <c r="M254" s="23"/>
    </row>
    <row r="255" spans="1:13" ht="14.45">
      <c r="A255" s="23"/>
      <c r="B255" s="35"/>
      <c r="C255" s="23"/>
      <c r="D255" s="23"/>
      <c r="E255" s="23"/>
      <c r="F255" s="23"/>
      <c r="G255" s="23"/>
      <c r="H255" s="24"/>
      <c r="I255" s="23"/>
      <c r="J255" s="23"/>
      <c r="K255" s="24"/>
      <c r="L255" s="23"/>
      <c r="M255" s="23"/>
    </row>
    <row r="256" spans="1:13" ht="14.45">
      <c r="A256" s="23"/>
      <c r="B256" s="35"/>
      <c r="C256" s="23"/>
      <c r="D256" s="23"/>
      <c r="E256" s="23"/>
      <c r="F256" s="23"/>
      <c r="G256" s="23"/>
      <c r="H256" s="24"/>
      <c r="I256" s="23"/>
      <c r="J256" s="23"/>
      <c r="K256" s="24"/>
      <c r="L256" s="23"/>
      <c r="M256" s="23"/>
    </row>
    <row r="257" spans="1:13" ht="14.45">
      <c r="A257" s="23"/>
      <c r="B257" s="35"/>
      <c r="C257" s="23"/>
      <c r="D257" s="23"/>
      <c r="E257" s="23"/>
      <c r="F257" s="23"/>
      <c r="G257" s="23"/>
      <c r="H257" s="24"/>
      <c r="I257" s="23"/>
      <c r="J257" s="23"/>
      <c r="K257" s="24"/>
      <c r="L257" s="23"/>
      <c r="M257" s="23"/>
    </row>
    <row r="258" spans="1:13" ht="14.45">
      <c r="A258" s="23"/>
      <c r="B258" s="35"/>
      <c r="C258" s="23"/>
      <c r="D258" s="23"/>
      <c r="E258" s="23"/>
      <c r="F258" s="23"/>
      <c r="G258" s="23"/>
      <c r="H258" s="24"/>
      <c r="I258" s="23"/>
      <c r="J258" s="23"/>
      <c r="K258" s="24"/>
      <c r="L258" s="23"/>
      <c r="M258" s="23"/>
    </row>
    <row r="259" spans="1:13" ht="14.45">
      <c r="A259" s="23"/>
      <c r="B259" s="35"/>
      <c r="C259" s="23"/>
      <c r="D259" s="23"/>
      <c r="E259" s="23"/>
      <c r="F259" s="23"/>
      <c r="G259" s="23"/>
      <c r="H259" s="24"/>
      <c r="I259" s="23"/>
      <c r="J259" s="23"/>
      <c r="K259" s="24"/>
      <c r="L259" s="23"/>
      <c r="M259" s="23"/>
    </row>
    <row r="260" spans="1:13" ht="14.45">
      <c r="A260" s="23"/>
      <c r="B260" s="35"/>
      <c r="C260" s="23"/>
      <c r="D260" s="23"/>
      <c r="E260" s="23"/>
      <c r="F260" s="23"/>
      <c r="G260" s="23"/>
      <c r="H260" s="24"/>
      <c r="I260" s="23"/>
      <c r="J260" s="23"/>
      <c r="K260" s="24"/>
      <c r="L260" s="23"/>
      <c r="M260" s="23"/>
    </row>
    <row r="261" spans="1:13" ht="14.45">
      <c r="A261" s="23"/>
      <c r="B261" s="35"/>
      <c r="C261" s="23"/>
      <c r="D261" s="23"/>
      <c r="E261" s="23"/>
      <c r="F261" s="23"/>
      <c r="G261" s="23"/>
      <c r="H261" s="24"/>
      <c r="I261" s="23"/>
      <c r="J261" s="23"/>
      <c r="K261" s="24"/>
      <c r="L261" s="23"/>
      <c r="M261" s="23"/>
    </row>
    <row r="262" spans="1:13" ht="14.45">
      <c r="A262" s="23"/>
      <c r="B262" s="35"/>
      <c r="C262" s="23"/>
      <c r="D262" s="23"/>
      <c r="E262" s="23"/>
      <c r="F262" s="23"/>
      <c r="G262" s="23"/>
      <c r="H262" s="24"/>
      <c r="I262" s="23"/>
      <c r="J262" s="23"/>
      <c r="K262" s="24"/>
      <c r="L262" s="23"/>
      <c r="M262" s="23"/>
    </row>
    <row r="263" spans="1:13" ht="14.45">
      <c r="A263" s="23"/>
      <c r="B263" s="35"/>
      <c r="C263" s="23"/>
      <c r="D263" s="23"/>
      <c r="E263" s="23"/>
      <c r="F263" s="23"/>
      <c r="G263" s="23"/>
      <c r="H263" s="24"/>
      <c r="I263" s="23"/>
      <c r="J263" s="23"/>
      <c r="K263" s="24"/>
      <c r="L263" s="23"/>
      <c r="M263" s="23"/>
    </row>
    <row r="264" spans="1:13" ht="14.45">
      <c r="A264" s="23"/>
      <c r="B264" s="35"/>
      <c r="C264" s="23"/>
      <c r="D264" s="23"/>
      <c r="E264" s="23"/>
      <c r="F264" s="23"/>
      <c r="G264" s="23"/>
      <c r="H264" s="24"/>
      <c r="I264" s="23"/>
      <c r="J264" s="23"/>
      <c r="K264" s="24"/>
      <c r="L264" s="23"/>
      <c r="M264" s="23"/>
    </row>
    <row r="265" spans="1:13" ht="14.45">
      <c r="A265" s="23"/>
      <c r="B265" s="35"/>
      <c r="C265" s="23"/>
      <c r="D265" s="23"/>
      <c r="E265" s="23"/>
      <c r="F265" s="23"/>
      <c r="G265" s="23"/>
      <c r="H265" s="24"/>
      <c r="I265" s="23"/>
      <c r="J265" s="23"/>
      <c r="K265" s="24"/>
      <c r="L265" s="23"/>
      <c r="M265" s="23"/>
    </row>
    <row r="266" spans="1:13" ht="14.45">
      <c r="A266" s="23"/>
      <c r="B266" s="35"/>
      <c r="C266" s="23"/>
      <c r="D266" s="23"/>
      <c r="E266" s="23"/>
      <c r="F266" s="23"/>
      <c r="G266" s="23"/>
      <c r="H266" s="24"/>
      <c r="I266" s="23"/>
      <c r="J266" s="23"/>
      <c r="K266" s="24"/>
      <c r="L266" s="23"/>
      <c r="M266" s="23"/>
    </row>
    <row r="267" spans="1:13" ht="14.45">
      <c r="A267" s="23"/>
      <c r="B267" s="35"/>
      <c r="C267" s="23"/>
      <c r="D267" s="23"/>
      <c r="E267" s="23"/>
      <c r="F267" s="23"/>
      <c r="G267" s="23"/>
      <c r="H267" s="24"/>
      <c r="I267" s="23"/>
      <c r="J267" s="23"/>
      <c r="K267" s="24"/>
      <c r="L267" s="23"/>
      <c r="M267" s="23"/>
    </row>
    <row r="268" spans="1:13" ht="14.45">
      <c r="A268" s="23"/>
      <c r="B268" s="35"/>
      <c r="C268" s="23"/>
      <c r="D268" s="23"/>
      <c r="E268" s="23"/>
      <c r="F268" s="23"/>
      <c r="G268" s="23"/>
      <c r="H268" s="24"/>
      <c r="I268" s="23"/>
      <c r="J268" s="23"/>
      <c r="K268" s="24"/>
      <c r="L268" s="23"/>
      <c r="M268" s="23"/>
    </row>
    <row r="269" spans="1:13" ht="14.45">
      <c r="A269" s="23"/>
      <c r="B269" s="35"/>
      <c r="C269" s="23"/>
      <c r="D269" s="23"/>
      <c r="E269" s="23"/>
      <c r="F269" s="23"/>
      <c r="G269" s="23"/>
      <c r="H269" s="24"/>
      <c r="I269" s="23"/>
      <c r="J269" s="23"/>
      <c r="K269" s="24"/>
      <c r="L269" s="23"/>
      <c r="M269" s="23"/>
    </row>
    <row r="270" spans="1:13" ht="14.45">
      <c r="A270" s="23"/>
      <c r="B270" s="35"/>
      <c r="C270" s="23"/>
      <c r="D270" s="23"/>
      <c r="E270" s="23"/>
      <c r="F270" s="23"/>
      <c r="G270" s="23"/>
      <c r="H270" s="24"/>
      <c r="I270" s="23"/>
      <c r="J270" s="23"/>
      <c r="K270" s="24"/>
      <c r="L270" s="23"/>
      <c r="M270" s="23"/>
    </row>
    <row r="271" spans="1:13" ht="14.45">
      <c r="A271" s="23"/>
      <c r="B271" s="35"/>
      <c r="C271" s="23"/>
      <c r="D271" s="23"/>
      <c r="E271" s="23"/>
      <c r="F271" s="23"/>
      <c r="G271" s="23"/>
      <c r="H271" s="24"/>
      <c r="I271" s="23"/>
      <c r="J271" s="23"/>
      <c r="K271" s="24"/>
      <c r="L271" s="23"/>
      <c r="M271" s="23"/>
    </row>
    <row r="272" spans="1:13" ht="14.45">
      <c r="A272" s="23"/>
      <c r="B272" s="35"/>
      <c r="C272" s="23"/>
      <c r="D272" s="23"/>
      <c r="E272" s="23"/>
      <c r="F272" s="23"/>
      <c r="G272" s="23"/>
      <c r="H272" s="24"/>
      <c r="I272" s="23"/>
      <c r="J272" s="23"/>
      <c r="K272" s="24"/>
      <c r="L272" s="23"/>
      <c r="M272" s="23"/>
    </row>
    <row r="273" spans="1:13" ht="14.45">
      <c r="A273" s="23"/>
      <c r="B273" s="35"/>
      <c r="C273" s="23"/>
      <c r="D273" s="23"/>
      <c r="E273" s="23"/>
      <c r="F273" s="23"/>
      <c r="G273" s="23"/>
      <c r="H273" s="24"/>
      <c r="I273" s="23"/>
      <c r="J273" s="23"/>
      <c r="K273" s="24"/>
      <c r="L273" s="23"/>
      <c r="M273" s="23"/>
    </row>
    <row r="274" spans="1:13" ht="14.45">
      <c r="A274" s="23"/>
      <c r="B274" s="35"/>
      <c r="C274" s="23"/>
      <c r="D274" s="23"/>
      <c r="E274" s="23"/>
      <c r="F274" s="23"/>
      <c r="G274" s="23"/>
      <c r="H274" s="24"/>
      <c r="I274" s="23"/>
      <c r="J274" s="23"/>
      <c r="K274" s="24"/>
      <c r="L274" s="23"/>
      <c r="M274" s="23"/>
    </row>
    <row r="275" spans="1:13" ht="14.45">
      <c r="A275" s="23"/>
      <c r="B275" s="35"/>
      <c r="C275" s="23"/>
      <c r="D275" s="23"/>
      <c r="E275" s="23"/>
      <c r="F275" s="23"/>
      <c r="G275" s="23"/>
      <c r="H275" s="24"/>
      <c r="I275" s="23"/>
      <c r="J275" s="23"/>
      <c r="K275" s="24"/>
      <c r="L275" s="23"/>
      <c r="M275" s="23"/>
    </row>
    <row r="276" spans="1:13" ht="14.45">
      <c r="A276" s="23"/>
      <c r="B276" s="35"/>
      <c r="C276" s="23"/>
      <c r="D276" s="23"/>
      <c r="E276" s="23"/>
      <c r="F276" s="23"/>
      <c r="G276" s="23"/>
      <c r="H276" s="24"/>
      <c r="I276" s="23"/>
      <c r="J276" s="23"/>
      <c r="K276" s="24"/>
      <c r="L276" s="23"/>
      <c r="M276" s="23"/>
    </row>
    <row r="277" spans="1:13" ht="14.45">
      <c r="A277" s="23"/>
      <c r="B277" s="35"/>
      <c r="C277" s="23"/>
      <c r="D277" s="23"/>
      <c r="E277" s="23"/>
      <c r="F277" s="23"/>
      <c r="G277" s="23"/>
      <c r="H277" s="24"/>
      <c r="I277" s="23"/>
      <c r="J277" s="23"/>
      <c r="K277" s="24"/>
      <c r="L277" s="23"/>
      <c r="M277" s="23"/>
    </row>
    <row r="278" spans="1:13" ht="14.45">
      <c r="A278" s="23"/>
      <c r="B278" s="35"/>
      <c r="C278" s="23"/>
      <c r="D278" s="23"/>
      <c r="E278" s="23"/>
      <c r="F278" s="23"/>
      <c r="G278" s="23"/>
      <c r="H278" s="24"/>
      <c r="I278" s="23"/>
      <c r="J278" s="23"/>
      <c r="K278" s="24"/>
      <c r="L278" s="23"/>
      <c r="M278" s="23"/>
    </row>
    <row r="279" spans="1:13" ht="14.45">
      <c r="A279" s="23"/>
      <c r="B279" s="35"/>
      <c r="C279" s="23"/>
      <c r="D279" s="23"/>
      <c r="E279" s="23"/>
      <c r="F279" s="23"/>
      <c r="G279" s="23"/>
      <c r="H279" s="24"/>
      <c r="I279" s="23"/>
      <c r="J279" s="23"/>
      <c r="K279" s="24"/>
      <c r="L279" s="23"/>
      <c r="M279" s="23"/>
    </row>
    <row r="280" spans="1:13" ht="14.45">
      <c r="A280" s="23"/>
      <c r="B280" s="35"/>
      <c r="C280" s="23"/>
      <c r="D280" s="23"/>
      <c r="E280" s="23"/>
      <c r="F280" s="23"/>
      <c r="G280" s="23"/>
      <c r="H280" s="24"/>
      <c r="I280" s="23"/>
      <c r="J280" s="23"/>
      <c r="K280" s="24"/>
      <c r="L280" s="23"/>
      <c r="M280" s="23"/>
    </row>
    <row r="281" spans="1:13" ht="14.45">
      <c r="A281" s="23"/>
      <c r="B281" s="35"/>
      <c r="C281" s="23"/>
      <c r="D281" s="23"/>
      <c r="E281" s="23"/>
      <c r="F281" s="23"/>
      <c r="G281" s="23"/>
      <c r="H281" s="24"/>
      <c r="I281" s="23"/>
      <c r="J281" s="23"/>
      <c r="K281" s="24"/>
      <c r="L281" s="23"/>
      <c r="M281" s="23"/>
    </row>
    <row r="282" spans="1:13" ht="14.45">
      <c r="A282" s="23"/>
      <c r="B282" s="35"/>
      <c r="C282" s="23"/>
      <c r="D282" s="23"/>
      <c r="E282" s="23"/>
      <c r="F282" s="23"/>
      <c r="G282" s="23"/>
      <c r="H282" s="24"/>
      <c r="I282" s="23"/>
      <c r="J282" s="23"/>
      <c r="K282" s="24"/>
      <c r="L282" s="23"/>
      <c r="M282" s="23"/>
    </row>
    <row r="283" spans="1:13" ht="14.45">
      <c r="A283" s="23"/>
      <c r="B283" s="35"/>
      <c r="C283" s="23"/>
      <c r="D283" s="23"/>
      <c r="E283" s="23"/>
      <c r="F283" s="23"/>
      <c r="G283" s="23"/>
      <c r="H283" s="24"/>
      <c r="I283" s="23"/>
      <c r="J283" s="23"/>
      <c r="K283" s="24"/>
      <c r="L283" s="23"/>
      <c r="M283" s="23"/>
    </row>
    <row r="284" spans="1:13" ht="14.45">
      <c r="A284" s="23"/>
      <c r="B284" s="35"/>
      <c r="C284" s="23"/>
      <c r="D284" s="23"/>
      <c r="E284" s="23"/>
      <c r="F284" s="23"/>
      <c r="G284" s="23"/>
      <c r="H284" s="24"/>
      <c r="I284" s="23"/>
      <c r="J284" s="23"/>
      <c r="K284" s="24"/>
      <c r="L284" s="23"/>
      <c r="M284" s="23"/>
    </row>
    <row r="285" spans="1:13" ht="14.45">
      <c r="A285" s="23"/>
      <c r="B285" s="35"/>
      <c r="C285" s="23"/>
      <c r="D285" s="23"/>
      <c r="E285" s="23"/>
      <c r="F285" s="23"/>
      <c r="G285" s="23"/>
      <c r="H285" s="24"/>
      <c r="I285" s="23"/>
      <c r="J285" s="23"/>
      <c r="K285" s="24"/>
      <c r="L285" s="23"/>
      <c r="M285" s="23"/>
    </row>
    <row r="286" spans="1:13" ht="14.45">
      <c r="A286" s="23"/>
      <c r="B286" s="35"/>
      <c r="C286" s="23"/>
      <c r="D286" s="23"/>
      <c r="E286" s="23"/>
      <c r="F286" s="23"/>
      <c r="G286" s="23"/>
      <c r="H286" s="24"/>
      <c r="I286" s="23"/>
      <c r="J286" s="23"/>
      <c r="K286" s="24"/>
      <c r="L286" s="23"/>
      <c r="M286" s="23"/>
    </row>
    <row r="287" spans="1:13" ht="14.45">
      <c r="A287" s="23"/>
      <c r="B287" s="35"/>
      <c r="C287" s="23"/>
      <c r="D287" s="23"/>
      <c r="E287" s="23"/>
      <c r="F287" s="23"/>
      <c r="G287" s="23"/>
      <c r="H287" s="24"/>
      <c r="I287" s="23"/>
      <c r="J287" s="23"/>
      <c r="K287" s="24"/>
      <c r="L287" s="23"/>
      <c r="M287" s="23"/>
    </row>
    <row r="288" spans="1:13" ht="14.45">
      <c r="A288" s="23"/>
      <c r="B288" s="35"/>
      <c r="C288" s="23"/>
      <c r="D288" s="23"/>
      <c r="E288" s="23"/>
      <c r="F288" s="23"/>
      <c r="G288" s="23"/>
      <c r="H288" s="24"/>
      <c r="I288" s="23"/>
      <c r="J288" s="23"/>
      <c r="K288" s="24"/>
      <c r="L288" s="23"/>
      <c r="M288" s="23"/>
    </row>
    <row r="289" spans="1:13" ht="14.45">
      <c r="A289" s="23"/>
      <c r="B289" s="35"/>
      <c r="C289" s="23"/>
      <c r="D289" s="23"/>
      <c r="E289" s="23"/>
      <c r="F289" s="23"/>
      <c r="G289" s="23"/>
      <c r="H289" s="24"/>
      <c r="I289" s="23"/>
      <c r="J289" s="23"/>
      <c r="K289" s="24"/>
      <c r="L289" s="23"/>
      <c r="M289" s="23"/>
    </row>
    <row r="290" spans="1:13" ht="14.45">
      <c r="A290" s="23"/>
      <c r="B290" s="35"/>
      <c r="C290" s="23"/>
      <c r="D290" s="23"/>
      <c r="E290" s="23"/>
      <c r="F290" s="23"/>
      <c r="G290" s="23"/>
      <c r="H290" s="24"/>
      <c r="I290" s="23"/>
      <c r="J290" s="23"/>
      <c r="K290" s="24"/>
      <c r="L290" s="23"/>
      <c r="M290" s="23"/>
    </row>
    <row r="291" spans="1:13" ht="14.45">
      <c r="A291" s="23"/>
      <c r="B291" s="35"/>
      <c r="C291" s="23"/>
      <c r="D291" s="23"/>
      <c r="E291" s="23"/>
      <c r="F291" s="23"/>
      <c r="G291" s="23"/>
      <c r="H291" s="24"/>
      <c r="I291" s="23"/>
      <c r="J291" s="23"/>
      <c r="K291" s="24"/>
      <c r="L291" s="23"/>
      <c r="M291" s="23"/>
    </row>
    <row r="292" spans="1:13" ht="14.45">
      <c r="A292" s="23"/>
      <c r="B292" s="35"/>
      <c r="C292" s="23"/>
      <c r="D292" s="23"/>
      <c r="E292" s="23"/>
      <c r="F292" s="23"/>
      <c r="G292" s="23"/>
      <c r="H292" s="24"/>
      <c r="I292" s="23"/>
      <c r="J292" s="23"/>
      <c r="K292" s="24"/>
      <c r="L292" s="23"/>
      <c r="M292" s="23"/>
    </row>
    <row r="293" spans="1:13" ht="14.45">
      <c r="A293" s="23"/>
      <c r="B293" s="35"/>
      <c r="C293" s="23"/>
      <c r="D293" s="23"/>
      <c r="E293" s="23"/>
      <c r="F293" s="23"/>
      <c r="G293" s="23"/>
      <c r="H293" s="24"/>
      <c r="I293" s="23"/>
      <c r="J293" s="23"/>
      <c r="K293" s="24"/>
      <c r="L293" s="23"/>
      <c r="M293" s="23"/>
    </row>
    <row r="294" spans="1:13" ht="14.45">
      <c r="A294" s="23"/>
      <c r="B294" s="35"/>
      <c r="C294" s="23"/>
      <c r="D294" s="23"/>
      <c r="E294" s="23"/>
      <c r="F294" s="23"/>
      <c r="G294" s="23"/>
      <c r="H294" s="24"/>
      <c r="I294" s="23"/>
      <c r="J294" s="23"/>
      <c r="K294" s="24"/>
      <c r="L294" s="23"/>
      <c r="M294" s="23"/>
    </row>
    <row r="295" spans="1:13" ht="14.45">
      <c r="A295" s="23"/>
      <c r="B295" s="35"/>
      <c r="C295" s="23"/>
      <c r="D295" s="23"/>
      <c r="E295" s="23"/>
      <c r="F295" s="23"/>
      <c r="G295" s="23"/>
      <c r="H295" s="24"/>
      <c r="I295" s="23"/>
      <c r="J295" s="23"/>
      <c r="K295" s="24"/>
      <c r="L295" s="23"/>
      <c r="M295" s="23"/>
    </row>
    <row r="296" spans="1:13" ht="14.45">
      <c r="A296" s="23"/>
      <c r="B296" s="35"/>
      <c r="C296" s="23"/>
      <c r="D296" s="23"/>
      <c r="E296" s="23"/>
      <c r="F296" s="23"/>
      <c r="G296" s="23"/>
      <c r="H296" s="24"/>
      <c r="I296" s="23"/>
      <c r="J296" s="23"/>
      <c r="K296" s="24"/>
      <c r="L296" s="23"/>
      <c r="M296" s="23"/>
    </row>
    <row r="297" spans="1:13" ht="14.45">
      <c r="A297" s="23"/>
      <c r="B297" s="35"/>
      <c r="C297" s="23"/>
      <c r="D297" s="23"/>
      <c r="E297" s="23"/>
      <c r="F297" s="23"/>
      <c r="G297" s="23"/>
      <c r="H297" s="24"/>
      <c r="I297" s="23"/>
      <c r="J297" s="23"/>
      <c r="K297" s="24"/>
      <c r="L297" s="23"/>
      <c r="M297" s="23"/>
    </row>
    <row r="298" spans="1:13" ht="14.45">
      <c r="A298" s="23"/>
      <c r="B298" s="35"/>
      <c r="C298" s="23"/>
      <c r="D298" s="23"/>
      <c r="E298" s="23"/>
      <c r="F298" s="23"/>
      <c r="G298" s="23"/>
      <c r="H298" s="24"/>
      <c r="I298" s="23"/>
      <c r="J298" s="23"/>
      <c r="K298" s="24"/>
      <c r="L298" s="23"/>
      <c r="M298" s="23"/>
    </row>
    <row r="299" spans="1:13" ht="14.45">
      <c r="A299" s="23"/>
      <c r="B299" s="35"/>
      <c r="C299" s="23"/>
      <c r="D299" s="23"/>
      <c r="E299" s="23"/>
      <c r="F299" s="23"/>
      <c r="G299" s="23"/>
      <c r="H299" s="24"/>
      <c r="I299" s="23"/>
      <c r="J299" s="23"/>
      <c r="K299" s="24"/>
      <c r="L299" s="23"/>
      <c r="M299" s="23"/>
    </row>
    <row r="300" spans="1:13" ht="14.45">
      <c r="A300" s="23"/>
      <c r="B300" s="35"/>
      <c r="C300" s="23"/>
      <c r="D300" s="23"/>
      <c r="E300" s="23"/>
      <c r="F300" s="23"/>
      <c r="G300" s="23"/>
      <c r="H300" s="24"/>
      <c r="I300" s="23"/>
      <c r="J300" s="23"/>
      <c r="K300" s="24"/>
      <c r="L300" s="23"/>
      <c r="M300" s="23"/>
    </row>
    <row r="301" spans="1:13" ht="14.45">
      <c r="A301" s="23"/>
      <c r="B301" s="35"/>
      <c r="C301" s="23"/>
      <c r="D301" s="23"/>
      <c r="E301" s="23"/>
      <c r="F301" s="23"/>
      <c r="G301" s="23"/>
      <c r="H301" s="24"/>
      <c r="I301" s="23"/>
      <c r="J301" s="23"/>
      <c r="K301" s="24"/>
      <c r="L301" s="23"/>
      <c r="M301" s="23"/>
    </row>
    <row r="302" spans="1:13" ht="14.45">
      <c r="A302" s="23"/>
      <c r="B302" s="35"/>
      <c r="C302" s="23"/>
      <c r="D302" s="23"/>
      <c r="E302" s="23"/>
      <c r="F302" s="23"/>
      <c r="G302" s="23"/>
      <c r="H302" s="24"/>
      <c r="I302" s="23"/>
      <c r="J302" s="23"/>
      <c r="K302" s="24"/>
      <c r="L302" s="23"/>
      <c r="M302" s="23"/>
    </row>
    <row r="303" spans="1:13" ht="14.45">
      <c r="A303" s="23"/>
      <c r="B303" s="35"/>
      <c r="C303" s="23"/>
      <c r="D303" s="23"/>
      <c r="E303" s="23"/>
      <c r="F303" s="23"/>
      <c r="G303" s="23"/>
      <c r="H303" s="24"/>
      <c r="I303" s="23"/>
      <c r="J303" s="23"/>
      <c r="K303" s="24"/>
      <c r="L303" s="23"/>
      <c r="M303" s="23"/>
    </row>
    <row r="304" spans="1:13" ht="14.45">
      <c r="A304" s="23"/>
      <c r="B304" s="35"/>
      <c r="C304" s="23"/>
      <c r="D304" s="23"/>
      <c r="E304" s="23"/>
      <c r="F304" s="23"/>
      <c r="G304" s="23"/>
      <c r="H304" s="24"/>
      <c r="I304" s="23"/>
      <c r="J304" s="23"/>
      <c r="K304" s="24"/>
      <c r="L304" s="23"/>
      <c r="M304" s="23"/>
    </row>
    <row r="305" spans="1:13" ht="14.45">
      <c r="A305" s="23"/>
      <c r="B305" s="35"/>
      <c r="C305" s="23"/>
      <c r="D305" s="23"/>
      <c r="E305" s="23"/>
      <c r="F305" s="23"/>
      <c r="G305" s="23"/>
      <c r="H305" s="24"/>
      <c r="I305" s="23"/>
      <c r="J305" s="23"/>
      <c r="K305" s="24"/>
      <c r="L305" s="23"/>
      <c r="M305" s="23"/>
    </row>
    <row r="306" spans="1:13" ht="14.45">
      <c r="A306" s="23"/>
      <c r="B306" s="35"/>
      <c r="C306" s="23"/>
      <c r="D306" s="23"/>
      <c r="E306" s="23"/>
      <c r="F306" s="23"/>
      <c r="G306" s="23"/>
      <c r="H306" s="24"/>
      <c r="I306" s="23"/>
      <c r="J306" s="23"/>
      <c r="K306" s="24"/>
      <c r="L306" s="23"/>
      <c r="M306" s="23"/>
    </row>
    <row r="307" spans="1:13" ht="14.45">
      <c r="A307" s="23"/>
      <c r="B307" s="35"/>
      <c r="C307" s="23"/>
      <c r="D307" s="23"/>
      <c r="E307" s="23"/>
      <c r="F307" s="23"/>
      <c r="G307" s="23"/>
      <c r="H307" s="24"/>
      <c r="I307" s="23"/>
      <c r="J307" s="23"/>
      <c r="K307" s="24"/>
      <c r="L307" s="23"/>
      <c r="M307" s="23"/>
    </row>
    <row r="308" spans="1:13" ht="14.45">
      <c r="A308" s="23"/>
      <c r="B308" s="35"/>
      <c r="C308" s="23"/>
      <c r="D308" s="23"/>
      <c r="E308" s="23"/>
      <c r="F308" s="23"/>
      <c r="G308" s="23"/>
      <c r="H308" s="24"/>
      <c r="I308" s="23"/>
      <c r="J308" s="23"/>
      <c r="K308" s="24"/>
      <c r="L308" s="23"/>
      <c r="M308" s="23"/>
    </row>
    <row r="309" spans="1:13" ht="14.45">
      <c r="A309" s="23"/>
      <c r="B309" s="35"/>
      <c r="C309" s="23"/>
      <c r="D309" s="23"/>
      <c r="E309" s="23"/>
      <c r="F309" s="23"/>
      <c r="G309" s="23"/>
      <c r="H309" s="24"/>
      <c r="I309" s="23"/>
      <c r="J309" s="23"/>
      <c r="K309" s="24"/>
      <c r="L309" s="23"/>
      <c r="M309" s="23"/>
    </row>
    <row r="310" spans="1:13" ht="14.45">
      <c r="A310" s="23"/>
      <c r="B310" s="35"/>
      <c r="C310" s="23"/>
      <c r="D310" s="23"/>
      <c r="E310" s="23"/>
      <c r="F310" s="23"/>
      <c r="G310" s="23"/>
      <c r="H310" s="24"/>
      <c r="I310" s="23"/>
      <c r="J310" s="23"/>
      <c r="K310" s="24"/>
      <c r="L310" s="23"/>
      <c r="M310" s="23"/>
    </row>
    <row r="311" spans="1:13" ht="14.45">
      <c r="A311" s="23"/>
      <c r="B311" s="35"/>
      <c r="C311" s="23"/>
      <c r="D311" s="23"/>
      <c r="E311" s="23"/>
      <c r="F311" s="23"/>
      <c r="G311" s="23"/>
      <c r="H311" s="24"/>
      <c r="I311" s="23"/>
      <c r="J311" s="23"/>
      <c r="K311" s="24"/>
      <c r="L311" s="23"/>
      <c r="M311" s="23"/>
    </row>
    <row r="312" spans="1:13" ht="14.45">
      <c r="A312" s="23"/>
      <c r="B312" s="35"/>
      <c r="C312" s="23"/>
      <c r="D312" s="23"/>
      <c r="E312" s="23"/>
      <c r="F312" s="23"/>
      <c r="G312" s="23"/>
      <c r="H312" s="24"/>
      <c r="I312" s="23"/>
      <c r="J312" s="23"/>
      <c r="K312" s="24"/>
      <c r="L312" s="23"/>
      <c r="M312" s="23"/>
    </row>
    <row r="313" spans="1:13" ht="14.45">
      <c r="A313" s="23"/>
      <c r="B313" s="35"/>
      <c r="C313" s="23"/>
      <c r="D313" s="23"/>
      <c r="E313" s="23"/>
      <c r="F313" s="23"/>
      <c r="G313" s="23"/>
      <c r="H313" s="24"/>
      <c r="I313" s="23"/>
      <c r="J313" s="23"/>
      <c r="K313" s="24"/>
      <c r="L313" s="23"/>
      <c r="M313" s="23"/>
    </row>
    <row r="314" spans="1:13" ht="14.45">
      <c r="A314" s="23"/>
      <c r="B314" s="35"/>
      <c r="C314" s="23"/>
      <c r="D314" s="23"/>
      <c r="E314" s="23"/>
      <c r="F314" s="23"/>
      <c r="G314" s="23"/>
      <c r="H314" s="24"/>
      <c r="I314" s="23"/>
      <c r="J314" s="23"/>
      <c r="K314" s="24"/>
      <c r="L314" s="23"/>
      <c r="M314" s="23"/>
    </row>
    <row r="315" spans="1:13" ht="14.45">
      <c r="A315" s="23"/>
      <c r="B315" s="35"/>
      <c r="C315" s="23"/>
      <c r="D315" s="23"/>
      <c r="E315" s="23"/>
      <c r="F315" s="23"/>
      <c r="G315" s="23"/>
      <c r="H315" s="24"/>
      <c r="I315" s="23"/>
      <c r="J315" s="23"/>
      <c r="K315" s="24"/>
      <c r="L315" s="23"/>
      <c r="M315" s="23"/>
    </row>
    <row r="316" spans="1:13" ht="14.45">
      <c r="A316" s="23"/>
      <c r="B316" s="35"/>
      <c r="C316" s="23"/>
      <c r="D316" s="23"/>
      <c r="E316" s="23"/>
      <c r="F316" s="23"/>
      <c r="G316" s="23"/>
      <c r="H316" s="24"/>
      <c r="I316" s="23"/>
      <c r="J316" s="23"/>
      <c r="K316" s="24"/>
      <c r="L316" s="23"/>
      <c r="M316" s="23"/>
    </row>
    <row r="317" spans="1:13" ht="14.45">
      <c r="A317" s="23"/>
      <c r="B317" s="35"/>
      <c r="C317" s="23"/>
      <c r="D317" s="23"/>
      <c r="E317" s="23"/>
      <c r="F317" s="23"/>
      <c r="G317" s="23"/>
      <c r="H317" s="24"/>
      <c r="I317" s="23"/>
      <c r="J317" s="23"/>
      <c r="K317" s="24"/>
      <c r="L317" s="23"/>
      <c r="M317" s="23"/>
    </row>
    <row r="318" spans="1:13" ht="14.45">
      <c r="A318" s="23"/>
      <c r="B318" s="35"/>
      <c r="C318" s="23"/>
      <c r="D318" s="23"/>
      <c r="E318" s="23"/>
      <c r="F318" s="23"/>
      <c r="G318" s="23"/>
      <c r="H318" s="24"/>
      <c r="I318" s="23"/>
      <c r="J318" s="23"/>
      <c r="K318" s="24"/>
      <c r="L318" s="23"/>
      <c r="M318" s="23"/>
    </row>
    <row r="319" spans="1:13" ht="14.45">
      <c r="A319" s="23"/>
      <c r="B319" s="35"/>
      <c r="C319" s="23"/>
      <c r="D319" s="23"/>
      <c r="E319" s="23"/>
      <c r="F319" s="23"/>
      <c r="G319" s="23"/>
      <c r="H319" s="24"/>
      <c r="I319" s="23"/>
      <c r="J319" s="23"/>
      <c r="K319" s="24"/>
      <c r="L319" s="23"/>
      <c r="M319" s="23"/>
    </row>
    <row r="320" spans="1:13" ht="14.45">
      <c r="A320" s="23"/>
      <c r="B320" s="35"/>
      <c r="C320" s="23"/>
      <c r="D320" s="23"/>
      <c r="E320" s="23"/>
      <c r="F320" s="23"/>
      <c r="G320" s="23"/>
      <c r="H320" s="24"/>
      <c r="I320" s="23"/>
      <c r="J320" s="23"/>
      <c r="K320" s="24"/>
      <c r="L320" s="23"/>
      <c r="M320" s="23"/>
    </row>
    <row r="321" spans="1:13" ht="14.45">
      <c r="A321" s="23"/>
      <c r="B321" s="35"/>
      <c r="C321" s="23"/>
      <c r="D321" s="23"/>
      <c r="E321" s="23"/>
      <c r="F321" s="23"/>
      <c r="G321" s="23"/>
      <c r="H321" s="24"/>
      <c r="I321" s="23"/>
      <c r="J321" s="23"/>
      <c r="K321" s="24"/>
      <c r="L321" s="23"/>
      <c r="M321" s="23"/>
    </row>
    <row r="322" spans="1:13" ht="14.45">
      <c r="A322" s="23"/>
      <c r="B322" s="35"/>
      <c r="C322" s="23"/>
      <c r="D322" s="23"/>
      <c r="E322" s="23"/>
      <c r="F322" s="23"/>
      <c r="G322" s="23"/>
      <c r="H322" s="24"/>
      <c r="I322" s="23"/>
      <c r="J322" s="23"/>
      <c r="K322" s="24"/>
      <c r="L322" s="23"/>
      <c r="M322" s="23"/>
    </row>
    <row r="323" spans="1:13" ht="14.45">
      <c r="A323" s="23"/>
      <c r="B323" s="35"/>
      <c r="C323" s="23"/>
      <c r="D323" s="23"/>
      <c r="E323" s="23"/>
      <c r="F323" s="23"/>
      <c r="G323" s="23"/>
      <c r="H323" s="24"/>
      <c r="I323" s="23"/>
      <c r="J323" s="23"/>
      <c r="K323" s="24"/>
      <c r="L323" s="23"/>
      <c r="M323" s="23"/>
    </row>
    <row r="324" spans="1:13" ht="14.45">
      <c r="A324" s="23"/>
      <c r="B324" s="35"/>
      <c r="C324" s="23"/>
      <c r="F324" s="23"/>
      <c r="G324" s="23"/>
      <c r="H324" s="24"/>
      <c r="I324" s="23"/>
      <c r="J324" s="23"/>
      <c r="K324" s="24"/>
      <c r="L324" s="23"/>
      <c r="M324" s="23"/>
    </row>
    <row r="325" spans="1:13" ht="14.45">
      <c r="A325" s="23"/>
      <c r="B325" s="35"/>
      <c r="C325" s="23"/>
      <c r="F325" s="23"/>
      <c r="G325" s="23"/>
      <c r="H325" s="24"/>
      <c r="I325" s="23"/>
      <c r="J325" s="23"/>
      <c r="K325" s="24"/>
      <c r="L325" s="23"/>
      <c r="M325" s="23"/>
    </row>
    <row r="326" spans="1:13" ht="14.45">
      <c r="A326" s="23"/>
      <c r="B326" s="35"/>
      <c r="C326" s="23"/>
      <c r="F326" s="23"/>
      <c r="G326" s="23"/>
      <c r="H326" s="24"/>
      <c r="I326" s="23"/>
      <c r="J326" s="23"/>
      <c r="K326" s="24"/>
      <c r="L326" s="23"/>
      <c r="M326" s="23"/>
    </row>
    <row r="327" spans="1:13" ht="14.45">
      <c r="A327" s="23"/>
      <c r="B327" s="35"/>
      <c r="C327" s="23"/>
      <c r="F327" s="23"/>
      <c r="G327" s="23"/>
      <c r="H327" s="24"/>
      <c r="I327" s="23"/>
      <c r="J327" s="23"/>
      <c r="K327" s="24"/>
      <c r="L327" s="23"/>
      <c r="M327" s="23"/>
    </row>
    <row r="328" spans="1:13" ht="14.45">
      <c r="A328" s="23"/>
      <c r="B328" s="35"/>
      <c r="C328" s="23"/>
      <c r="F328" s="23"/>
      <c r="G328" s="23"/>
      <c r="H328" s="24"/>
      <c r="I328" s="23"/>
      <c r="J328" s="23"/>
      <c r="K328" s="24"/>
      <c r="L328" s="23"/>
      <c r="M328" s="23"/>
    </row>
    <row r="329" spans="1:13" ht="14.45">
      <c r="A329" s="23"/>
      <c r="B329" s="35"/>
      <c r="C329" s="23"/>
      <c r="F329" s="23"/>
      <c r="G329" s="23"/>
      <c r="H329" s="24"/>
      <c r="I329" s="23"/>
      <c r="J329" s="23"/>
      <c r="K329" s="24"/>
      <c r="L329" s="23"/>
      <c r="M329" s="23"/>
    </row>
    <row r="330" spans="1:13" ht="14.45">
      <c r="A330" s="23"/>
      <c r="B330" s="35"/>
      <c r="C330" s="23"/>
      <c r="F330" s="23"/>
      <c r="G330" s="23"/>
      <c r="H330" s="24"/>
      <c r="I330" s="23"/>
      <c r="J330" s="23"/>
      <c r="K330" s="24"/>
      <c r="L330" s="23"/>
      <c r="M330" s="23"/>
    </row>
    <row r="331" spans="1:13" ht="14.45">
      <c r="A331" s="23"/>
      <c r="B331" s="35"/>
      <c r="C331" s="23"/>
      <c r="F331" s="23"/>
      <c r="G331" s="23"/>
      <c r="H331" s="24"/>
      <c r="I331" s="23"/>
      <c r="J331" s="23"/>
      <c r="K331" s="24"/>
      <c r="L331" s="23"/>
      <c r="M331" s="23"/>
    </row>
    <row r="332" spans="1:13" ht="14.45">
      <c r="A332" s="23"/>
      <c r="B332" s="35"/>
      <c r="C332" s="23"/>
      <c r="F332" s="23"/>
      <c r="G332" s="23"/>
      <c r="H332" s="24"/>
      <c r="I332" s="23"/>
      <c r="J332" s="23"/>
      <c r="K332" s="24"/>
      <c r="L332" s="23"/>
      <c r="M332" s="23"/>
    </row>
    <row r="333" spans="1:13" ht="14.45">
      <c r="A333" s="23"/>
      <c r="B333" s="35"/>
      <c r="C333" s="23"/>
      <c r="F333" s="23"/>
      <c r="G333" s="23"/>
      <c r="H333" s="24"/>
      <c r="I333" s="23"/>
      <c r="J333" s="23"/>
      <c r="K333" s="24"/>
      <c r="L333" s="23"/>
      <c r="M333" s="23"/>
    </row>
    <row r="334" spans="1:13" ht="14.45">
      <c r="A334" s="23"/>
      <c r="B334" s="35"/>
      <c r="C334" s="23"/>
      <c r="F334" s="23"/>
      <c r="G334" s="23"/>
      <c r="H334" s="24"/>
      <c r="I334" s="23"/>
      <c r="J334" s="23"/>
      <c r="K334" s="24"/>
      <c r="L334" s="23"/>
      <c r="M334" s="23"/>
    </row>
    <row r="335" spans="1:13" ht="14.45">
      <c r="A335" s="23"/>
      <c r="B335" s="35"/>
      <c r="C335" s="23"/>
      <c r="F335" s="23"/>
      <c r="G335" s="23"/>
      <c r="H335" s="24"/>
      <c r="I335" s="23"/>
      <c r="J335" s="23"/>
      <c r="K335" s="24"/>
      <c r="L335" s="23"/>
      <c r="M335" s="23"/>
    </row>
    <row r="336" spans="1:13" ht="14.45">
      <c r="A336" s="23"/>
      <c r="B336" s="35"/>
      <c r="C336" s="23"/>
      <c r="F336" s="23"/>
      <c r="G336" s="23"/>
      <c r="H336" s="24"/>
      <c r="I336" s="23"/>
      <c r="J336" s="23"/>
      <c r="K336" s="24"/>
      <c r="L336" s="23"/>
      <c r="M336" s="23"/>
    </row>
    <row r="337" spans="1:13" ht="14.45">
      <c r="A337" s="23"/>
      <c r="B337" s="35"/>
      <c r="C337" s="23"/>
      <c r="F337" s="23"/>
      <c r="G337" s="23"/>
      <c r="H337" s="24"/>
      <c r="I337" s="23"/>
      <c r="J337" s="23"/>
      <c r="K337" s="24"/>
      <c r="L337" s="23"/>
      <c r="M337" s="23"/>
    </row>
    <row r="338" spans="1:13" ht="14.45">
      <c r="A338" s="23"/>
      <c r="B338" s="35"/>
      <c r="C338" s="23"/>
      <c r="F338" s="23"/>
      <c r="G338" s="23"/>
      <c r="H338" s="24"/>
      <c r="I338" s="23"/>
      <c r="J338" s="23"/>
      <c r="K338" s="24"/>
      <c r="L338" s="23"/>
      <c r="M338" s="23"/>
    </row>
    <row r="339" spans="1:13" ht="14.45">
      <c r="A339" s="23"/>
      <c r="B339" s="35"/>
      <c r="C339" s="23"/>
      <c r="F339" s="23"/>
      <c r="G339" s="23"/>
      <c r="H339" s="24"/>
      <c r="I339" s="23"/>
      <c r="J339" s="23"/>
      <c r="K339" s="24"/>
      <c r="L339" s="23"/>
      <c r="M339" s="23"/>
    </row>
    <row r="340" spans="1:13" ht="14.45">
      <c r="A340" s="23"/>
      <c r="B340" s="35"/>
      <c r="C340" s="23"/>
      <c r="F340" s="23"/>
      <c r="G340" s="23"/>
      <c r="H340" s="24"/>
      <c r="I340" s="23"/>
      <c r="J340" s="23"/>
      <c r="K340" s="24"/>
      <c r="L340" s="23"/>
      <c r="M340" s="23"/>
    </row>
    <row r="341" spans="1:13" ht="14.45">
      <c r="A341" s="23"/>
      <c r="B341" s="35"/>
      <c r="C341" s="23"/>
      <c r="F341" s="23"/>
      <c r="G341" s="23"/>
      <c r="H341" s="24"/>
      <c r="I341" s="23"/>
      <c r="J341" s="23"/>
      <c r="K341" s="24"/>
      <c r="L341" s="23"/>
      <c r="M341" s="23"/>
    </row>
    <row r="342" spans="1:13" ht="14.45">
      <c r="C342" s="23"/>
      <c r="F342" s="23"/>
      <c r="G342" s="23"/>
      <c r="H342" s="24"/>
      <c r="I342" s="23"/>
      <c r="J342" s="23"/>
      <c r="K342" s="24"/>
      <c r="L342" s="23"/>
      <c r="M342" s="23"/>
    </row>
  </sheetData>
  <mergeCells count="4">
    <mergeCell ref="I1:K1"/>
    <mergeCell ref="A1:C1"/>
    <mergeCell ref="F1:H1"/>
    <mergeCell ref="A2:B2"/>
  </mergeCells>
  <conditionalFormatting sqref="H2 K2 H4:H100 K4:K100">
    <cfRule type="cellIs" dxfId="2" priority="1" stopIfTrue="1" operator="lessThanOrEqual">
      <formula>-0.1</formula>
    </cfRule>
    <cfRule type="expression" dxfId="1" priority="2">
      <formula>AND(ISNUMBER(H2), H2&gt;=0.1)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F23"/>
  <sheetViews>
    <sheetView workbookViewId="0">
      <pane ySplit="3" topLeftCell="A4" activePane="bottomLeft" state="frozen"/>
      <selection pane="bottomLeft" activeCell="G20" sqref="G20"/>
    </sheetView>
  </sheetViews>
  <sheetFormatPr defaultRowHeight="12.75" customHeight="1"/>
  <cols>
    <col min="1" max="2" width="41.85546875" customWidth="1"/>
    <col min="4" max="4" width="9.140625" customWidth="1"/>
    <col min="5" max="5" width="18.28515625" customWidth="1"/>
    <col min="6" max="13" width="9.140625" customWidth="1"/>
  </cols>
  <sheetData>
    <row r="1" spans="1:6" ht="12.75" customHeight="1">
      <c r="A1" t="s">
        <v>216</v>
      </c>
      <c r="B1" t="s">
        <v>217</v>
      </c>
    </row>
    <row r="3" spans="1:6" ht="13.15">
      <c r="A3" t="s">
        <v>218</v>
      </c>
      <c r="B3" t="s">
        <v>5</v>
      </c>
      <c r="C3" t="s">
        <v>6</v>
      </c>
      <c r="D3" t="s">
        <v>219</v>
      </c>
      <c r="E3" s="2" t="s">
        <v>220</v>
      </c>
    </row>
    <row r="4" spans="1:6" ht="14.45">
      <c r="A4" t="s">
        <v>221</v>
      </c>
      <c r="B4" t="s">
        <v>222</v>
      </c>
      <c r="C4" s="4" t="s">
        <v>223</v>
      </c>
      <c r="F4" s="3"/>
    </row>
    <row r="5" spans="1:6" ht="14.45">
      <c r="A5" t="s">
        <v>224</v>
      </c>
      <c r="B5" t="s">
        <v>225</v>
      </c>
      <c r="C5" s="4" t="s">
        <v>223</v>
      </c>
      <c r="F5" s="3"/>
    </row>
    <row r="6" spans="1:6" ht="14.45">
      <c r="A6" t="s">
        <v>226</v>
      </c>
      <c r="B6" t="s">
        <v>227</v>
      </c>
      <c r="C6" s="4" t="s">
        <v>223</v>
      </c>
      <c r="F6" s="3"/>
    </row>
    <row r="7" spans="1:6" ht="12.75" customHeight="1">
      <c r="A7" t="s">
        <v>228</v>
      </c>
      <c r="B7" t="s">
        <v>229</v>
      </c>
      <c r="C7" s="4" t="s">
        <v>223</v>
      </c>
    </row>
    <row r="8" spans="1:6" ht="12.75" customHeight="1">
      <c r="A8" t="s">
        <v>230</v>
      </c>
      <c r="B8" t="s">
        <v>231</v>
      </c>
      <c r="C8" s="4" t="s">
        <v>223</v>
      </c>
    </row>
    <row r="9" spans="1:6" ht="12.75" customHeight="1">
      <c r="A9" t="s">
        <v>232</v>
      </c>
      <c r="B9" t="s">
        <v>233</v>
      </c>
      <c r="C9" s="4" t="s">
        <v>223</v>
      </c>
    </row>
    <row r="10" spans="1:6" ht="12.75" customHeight="1">
      <c r="A10" t="s">
        <v>234</v>
      </c>
      <c r="B10" t="s">
        <v>235</v>
      </c>
      <c r="C10" s="4" t="s">
        <v>223</v>
      </c>
    </row>
    <row r="11" spans="1:6" ht="12.75" customHeight="1">
      <c r="A11" t="s">
        <v>236</v>
      </c>
      <c r="B11" t="s">
        <v>237</v>
      </c>
      <c r="C11" s="4" t="s">
        <v>223</v>
      </c>
    </row>
    <row r="12" spans="1:6" ht="12.75" customHeight="1">
      <c r="A12" t="s">
        <v>238</v>
      </c>
      <c r="B12" t="s">
        <v>239</v>
      </c>
      <c r="C12" s="4" t="s">
        <v>223</v>
      </c>
    </row>
    <row r="13" spans="1:6" ht="12.75" customHeight="1">
      <c r="A13" t="s">
        <v>240</v>
      </c>
      <c r="B13" t="s">
        <v>241</v>
      </c>
      <c r="C13" s="4" t="s">
        <v>223</v>
      </c>
    </row>
    <row r="14" spans="1:6" ht="12.75" customHeight="1">
      <c r="A14" t="s">
        <v>242</v>
      </c>
      <c r="B14" t="s">
        <v>243</v>
      </c>
      <c r="C14" s="4" t="s">
        <v>223</v>
      </c>
    </row>
    <row r="15" spans="1:6" ht="12.75" customHeight="1">
      <c r="A15" t="s">
        <v>244</v>
      </c>
      <c r="B15" t="s">
        <v>245</v>
      </c>
      <c r="C15" s="4" t="s">
        <v>223</v>
      </c>
    </row>
    <row r="16" spans="1:6" ht="12.75" customHeight="1">
      <c r="A16" t="s">
        <v>246</v>
      </c>
      <c r="B16" t="s">
        <v>247</v>
      </c>
      <c r="C16" s="4" t="s">
        <v>223</v>
      </c>
    </row>
    <row r="17" spans="1:3" ht="12.75" customHeight="1">
      <c r="A17" t="s">
        <v>248</v>
      </c>
      <c r="B17" t="s">
        <v>249</v>
      </c>
      <c r="C17" s="4" t="s">
        <v>223</v>
      </c>
    </row>
    <row r="18" spans="1:3" ht="12.75" customHeight="1">
      <c r="A18" t="s">
        <v>250</v>
      </c>
      <c r="B18" t="s">
        <v>251</v>
      </c>
      <c r="C18" s="4" t="s">
        <v>223</v>
      </c>
    </row>
    <row r="19" spans="1:3" ht="12.75" customHeight="1">
      <c r="A19" t="s">
        <v>252</v>
      </c>
      <c r="B19" t="s">
        <v>253</v>
      </c>
      <c r="C19" s="4" t="s">
        <v>223</v>
      </c>
    </row>
    <row r="20" spans="1:3" ht="12.75" customHeight="1">
      <c r="A20" t="s">
        <v>254</v>
      </c>
      <c r="B20" t="s">
        <v>255</v>
      </c>
      <c r="C20" s="4" t="s">
        <v>223</v>
      </c>
    </row>
    <row r="21" spans="1:3" ht="12.75" customHeight="1">
      <c r="A21" t="s">
        <v>256</v>
      </c>
      <c r="B21" t="s">
        <v>257</v>
      </c>
      <c r="C21" s="4" t="s">
        <v>223</v>
      </c>
    </row>
    <row r="22" spans="1:3" ht="12.75" customHeight="1">
      <c r="A22" s="56" t="s">
        <v>258</v>
      </c>
      <c r="B22" t="s">
        <v>259</v>
      </c>
      <c r="C22" s="4" t="s">
        <v>223</v>
      </c>
    </row>
    <row r="23" spans="1:3" ht="12.75" customHeight="1">
      <c r="A23" t="s">
        <v>260</v>
      </c>
      <c r="B23" t="s">
        <v>261</v>
      </c>
      <c r="C23" s="4" t="s">
        <v>223</v>
      </c>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xml version="1.0" encoding="utf-8"?>
<?mso-contentType ?>
<FormTemplates xmlns="http://schemas.microsoft.com/sharepoint/v3/contenttype/forms">
  <Display>DocumentLibraryForm</Display>
  <Edit>DocumentLibraryForm</Edit>
  <New>DocumentLibraryForm</New>
</FormTemplates>
</file>

<file path=customXml/item19.xml>��
</file>

<file path=customXml/item20.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Props1.xml><?xml version="1.0" encoding="utf-8"?>
<ds:datastoreItem xmlns:ds="http://schemas.openxmlformats.org/officeDocument/2006/customXml" ds:itemID="{CB52044A-5C0B-44A2-99D0-C1C315EC302D}"/>
</file>

<file path=customXml/itemProps2.xml><?xml version="1.0" encoding="utf-8"?>
<ds:datastoreItem xmlns:ds="http://schemas.openxmlformats.org/officeDocument/2006/customXml" ds:itemID="{2BC74AAC-D69B-4AF1-9649-B21EF3C1C463}"/>
</file>

<file path=customXml/itemProps3.xml><?xml version="1.0" encoding="utf-8"?>
<ds:datastoreItem xmlns:ds="http://schemas.openxmlformats.org/officeDocument/2006/customXml" ds:itemID="{0389C43E-394D-44C0-87DC-4780FCFCFB40}"/>
</file>

<file path=customXml/itemProps4.xml><?xml version="1.0" encoding="utf-8"?>
<ds:datastoreItem xmlns:ds="http://schemas.openxmlformats.org/officeDocument/2006/customXml" ds:itemID="{1954BBA4-0359-438C-B0EC-A756015F7C02}"/>
</file>

<file path=customXml/itemProps5.xml><?xml version="1.0" encoding="utf-8"?>
<ds:datastoreItem xmlns:ds="http://schemas.openxmlformats.org/officeDocument/2006/customXml" ds:itemID="{E20E8303-6A67-485C-B6F4-303542CC295C}"/>
</file>

<file path=customXml/itemProps6.xml><?xml version="1.0" encoding="utf-8"?>
<ds:datastoreItem xmlns:ds="http://schemas.openxmlformats.org/officeDocument/2006/customXml" ds:itemID="{BE26B669-A686-459C-A5E9-FEC3409C4C81}"/>
</file>

<file path=customXml/itemProps7.xml><?xml version="1.0" encoding="utf-8"?>
<ds:datastoreItem xmlns:ds="http://schemas.openxmlformats.org/officeDocument/2006/customXml" ds:itemID="{89CF5C07-45EB-4100-9AFB-2C6AF77FA787}"/>
</file>

<file path=customXml/itemProps8.xml><?xml version="1.0" encoding="utf-8"?>
<ds:datastoreItem xmlns:ds="http://schemas.openxmlformats.org/officeDocument/2006/customXml" ds:itemID="{98A113BB-8B7A-453C-8BD4-8EFC67FC2D3F}"/>
</file>

<file path=customXml/itemProps9.xml><?xml version="1.0" encoding="utf-8"?>
<ds:datastoreItem xmlns:ds="http://schemas.openxmlformats.org/officeDocument/2006/customXml" ds:itemID="{F3EAD0E0-75C0-4552-B8E2-59A3D29CAC47}"/>
</file>

<file path=customXml/itemProps10.xml><?xml version="1.0" encoding="utf-8"?>
<ds:datastoreItem xmlns:ds="http://schemas.openxmlformats.org/officeDocument/2006/customXml" ds:itemID="{66B09F59-6532-46F8-924A-9A02417E070D}"/>
</file>

<file path=customXml/itemProps11.xml><?xml version="1.0" encoding="utf-8"?>
<ds:datastoreItem xmlns:ds="http://schemas.openxmlformats.org/officeDocument/2006/customXml" ds:itemID="{3AEAA9D8-2182-46BA-A58E-96C72DDA1C54}"/>
</file>

<file path=customXml/itemProps12.xml><?xml version="1.0" encoding="utf-8"?>
<ds:datastoreItem xmlns:ds="http://schemas.openxmlformats.org/officeDocument/2006/customXml" ds:itemID="{F12EFA50-0068-4A8C-85A0-F1B26389EBC3}"/>
</file>

<file path=customXml/itemProps13.xml><?xml version="1.0" encoding="utf-8"?>
<ds:datastoreItem xmlns:ds="http://schemas.openxmlformats.org/officeDocument/2006/customXml" ds:itemID="{E3716282-BFD2-4ED2-BA47-BFA1123827F0}"/>
</file>

<file path=customXml/itemProps14.xml><?xml version="1.0" encoding="utf-8"?>
<ds:datastoreItem xmlns:ds="http://schemas.openxmlformats.org/officeDocument/2006/customXml" ds:itemID="{D3A7101F-9A85-4235-8B03-415370C100B2}"/>
</file>

<file path=customXml/itemProps15.xml><?xml version="1.0" encoding="utf-8"?>
<ds:datastoreItem xmlns:ds="http://schemas.openxmlformats.org/officeDocument/2006/customXml" ds:itemID="{F6B2B1A1-1C4B-4AC9-9A7D-7A102DD1C942}"/>
</file>

<file path=customXml/itemProps16.xml><?xml version="1.0" encoding="utf-8"?>
<ds:datastoreItem xmlns:ds="http://schemas.openxmlformats.org/officeDocument/2006/customXml" ds:itemID="{14966E4F-347B-477B-B74C-9DAC05405806}"/>
</file>

<file path=customXml/itemProps17.xml><?xml version="1.0" encoding="utf-8"?>
<ds:datastoreItem xmlns:ds="http://schemas.openxmlformats.org/officeDocument/2006/customXml" ds:itemID="{BF5C6359-7763-4C37-8EAF-2BC4698CB285}"/>
</file>

<file path=customXml/itemProps18.xml><?xml version="1.0" encoding="utf-8"?>
<ds:datastoreItem xmlns:ds="http://schemas.openxmlformats.org/officeDocument/2006/customXml" ds:itemID="{7946C510-7D04-49D8-9B25-EEC04582A1CA}"/>
</file>

<file path=customXml/itemProps19.xml><?xml version="1.0" encoding="utf-8"?>
<ds:datastoreItem xmlns:ds="http://schemas.openxmlformats.org/officeDocument/2006/customXml" ds:itemID="{078388C9-06F9-42F4-B857-EF76B5CAF1FD}"/>
</file>

<file path=customXml/itemProps20.xml><?xml version="1.0" encoding="utf-8"?>
<ds:datastoreItem xmlns:ds="http://schemas.openxmlformats.org/officeDocument/2006/customXml" ds:itemID="{8D732231-4216-4543-A665-18A2886B0EB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Dufault, Michael</cp:lastModifiedBy>
  <cp:revision/>
  <dcterms:created xsi:type="dcterms:W3CDTF">2021-01-01T16:39:53Z</dcterms:created>
  <dcterms:modified xsi:type="dcterms:W3CDTF">2025-09-12T21:35:03Z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2024-09-10T16:35:56Z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e59ab839-781c-4451-9f2d-26f144318f70</vt:lpwstr>
  </property>
  <property fmtid="{D5CDD505-2E9C-101B-9397-08002B2CF9AE}" pid="9" name="MSIP_Label_9d817c99-0b37-4a07-8277-96aa1f96b74b_ContentBits">
    <vt:lpwstr>0</vt:lpwstr>
  </property>
</Properties>
</file>