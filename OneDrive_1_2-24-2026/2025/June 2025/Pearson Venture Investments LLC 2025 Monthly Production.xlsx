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78722E15-EDC3-4C17-AB2D-216602A0AC94}" xr6:coauthVersionLast="47" xr6:coauthVersionMax="47" xr10:uidLastSave="{00000000-0000-0000-0000-000000000000}"/>
  <bookViews>
    <workbookView xWindow="-108" yWindow="-108" windowWidth="23256" windowHeight="1245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3" l="1"/>
  <c r="G4" i="30"/>
  <c r="G2" i="30" s="1"/>
  <c r="G4" i="29"/>
  <c r="G4" i="18"/>
  <c r="G2" i="18" s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F4" i="33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<sst xmlns="http://schemas.openxmlformats.org/spreadsheetml/2006/main" count="251" uniqueCount="59">
  <si>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</si>
  <si>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</si>
  <si>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</si>
  <si>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</si>
  <si>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</si>
  <si>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</si>
  <si>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</si>
  <si>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</si>
  <si>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</si>
  <si>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</si>
  <si>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</si>
  <si>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</si>
  <si>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</si>
  <si>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</si>
  <si>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</si>
  <si>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</si>
  <si>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</si>
  <si>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</si>
  <si>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</si>
  <si>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</si>
  <si>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</si>
  <si>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</si>
  <si>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</si>
  <si>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1.Inverter tripped offline at 8:45AM on 12/15/24 due to AC contactor (ABB 145-30) is fault and back online at 10:45 on 01/24/25 after technician replaced AC contactor.</t>
  </si>
  <si>
    <t>1.SR094687</t>
  </si>
  <si>
    <t>February Actual v. Expected</t>
  </si>
  <si>
    <t>February Actual v. Forecasted</t>
  </si>
  <si>
    <t xml:space="preserve">1.Low generation due to weather/snow on 02/09 to 02/25
</t>
  </si>
  <si>
    <t>March Actual v. Expected</t>
  </si>
  <si>
    <t>March Actual v. Forecasted</t>
  </si>
  <si>
    <t>1.Inverters offline from 08:15 to 16:15 due to technician on site on 03/04.</t>
  </si>
  <si>
    <t>1.	SR097756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</si>
  <si>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</si>
  <si>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</si>
  <si>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</si>
  <si>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</si>
  <si>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</si>
  <si>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</si>
  <si>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</si>
  <si>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</si>
  <si>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</si>
  <si>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</si>
  <si>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</si>
  <si>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</si>
  <si>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</si>
  <si>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</si>
  <si>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</si>
  <si>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</si>
  <si>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</si>
  <si>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</si>
  <si>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</si>
  <si>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Pearson Venture Investments LLC</t>
  </si>
  <si>
    <t>Site DAS Name</t>
  </si>
  <si>
    <t>Update</t>
  </si>
  <si>
    <t>DAS</t>
  </si>
  <si>
    <t>MA - Billerica - 2 Sterling Way</t>
  </si>
  <si>
    <t>MA</t>
  </si>
  <si>
    <t>AE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</si>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</sst>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4" sqref="C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Pearson Venture Investments LLC</v>
      </c>
      <c r="B1" s="52"/>
      <c r="C1" s="52"/>
      <c r="D1" s="53" t="s">
        <v>0</v>
      </c>
      <c r="E1" s="53"/>
      <c r="F1" s="53"/>
      <c r="G1" s="51" t="s">
        <v>1</v>
      </c>
      <c r="H1" s="51"/>
      <c r="I1" s="51"/>
    </row>
    <row r="2" spans="1:9" ht="19.5" customHeight="1">
      <c r="A2" s="54" t="s">
        <v>2</v>
      </c>
      <c r="B2" s="54"/>
      <c r="C2" s="5">
        <f>SUM(C4:C79)</f>
        <v>68440</v>
      </c>
      <c r="D2" s="5">
        <f>SUM(D4:D79)</f>
        <v>79981.005999999994</v>
      </c>
      <c r="E2" s="5">
        <f>C2-D2</f>
        <v>-11541.005999999994</v>
      </c>
      <c r="F2" s="6">
        <f>IFERROR(E2/D2, 0)</f>
        <v>-0.14429683467597287</v>
      </c>
      <c r="G2" s="5">
        <f>SUM(G4:G79)</f>
        <v>0</v>
      </c>
      <c r="H2" s="7">
        <f>C2-G2</f>
        <v>68440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Pearson Venture Investments LLC</v>
      </c>
      <c r="B4" s="9" t="str" cm="1">
        <f t="array" ref="B4">Sites[State]</f>
        <v>MA</v>
      </c>
      <c r="C4" s="23">
        <f>SUM('1st Qtr'!C4, '2nd Qtr'!C4, '3rd Qtr'!C4, '4th Qtr'!C4)</f>
        <v>68440</v>
      </c>
      <c r="D4" s="12">
        <f>SUM('1st Qtr'!D4, '2nd Qtr'!D4, '3rd Qtr'!D4, '4th Qtr'!D4)</f>
        <v>79981.005999999994</v>
      </c>
      <c r="E4" s="12">
        <f>IF(AND(ISNUMBER(C4),ISNUMBER(D4)), C4-D4, "")</f>
        <v>-11541.005999999994</v>
      </c>
      <c r="F4" s="13">
        <f>IFERROR(E4/D4, "")</f>
        <v>-0.14429683467597287</v>
      </c>
      <c r="G4" s="14">
        <f>SUM('1st Qtr'!G4, '2nd Qtr'!G4, '3rd Qtr'!G4, '4th Qtr'!G4)</f>
        <v>0</v>
      </c>
      <c r="H4" s="14">
        <f>SUM('1st Qtr'!H4, '2nd Qtr'!H4, '3rd Qtr'!H4, '4th Qtr'!H4)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E14" sqref="E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Pearson Venture Investments LLC</v>
      </c>
      <c r="B1" s="52"/>
      <c r="C1" s="52"/>
      <c r="D1" s="53" t="s">
        <v>10</v>
      </c>
      <c r="E1" s="53"/>
      <c r="F1" s="53"/>
      <c r="G1" s="51" t="s">
        <v>11</v>
      </c>
      <c r="H1" s="51"/>
      <c r="I1" s="51"/>
    </row>
    <row r="2" spans="1:9" ht="19.5" customHeight="1">
      <c r="A2" s="54" t="s">
        <v>2</v>
      </c>
      <c r="B2" s="54"/>
      <c r="C2" s="5">
        <f>SUM(C4:C79)</f>
        <v>17215</v>
      </c>
      <c r="D2" s="5">
        <f>SUM(D4:D79)</f>
        <v>30448.625</v>
      </c>
      <c r="E2" s="5">
        <f>C2-D2</f>
        <v>-13233.625</v>
      </c>
      <c r="F2" s="6">
        <f>IFERROR(E2/D2, 0)</f>
        <v>-0.43462143200226611</v>
      </c>
      <c r="G2" s="5">
        <f>SUM(G4:G79)</f>
        <v>0</v>
      </c>
      <c r="H2" s="7">
        <f>C2-G2</f>
        <v>17215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Pearson Venture Investments LLC</v>
      </c>
      <c r="B4" s="9" t="str" cm="1">
        <f t="array" ref="B4">Sites[State]</f>
        <v>MA</v>
      </c>
      <c r="C4" s="23">
        <f>SUM(Jan!C4, Feb!C4, Mar!C4)</f>
        <v>17215</v>
      </c>
      <c r="D4" s="12">
        <f>SUM(Jan!D4, Feb!D4, Mar!D4)</f>
        <v>30448.625</v>
      </c>
      <c r="E4" s="12">
        <f>IF(AND(ISNUMBER(C4),ISNUMBER(D4)), C4-D4, "")</f>
        <v>-13233.625</v>
      </c>
      <c r="F4" s="13">
        <f>IFERROR(E4/D4, "")</f>
        <v>-0.43462143200226611</v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Pearson Venture Investments LLC</v>
      </c>
      <c r="B1" s="52"/>
      <c r="C1" s="52"/>
      <c r="D1" s="53" t="s">
        <v>12</v>
      </c>
      <c r="E1" s="53"/>
      <c r="F1" s="53"/>
      <c r="G1" s="51" t="s">
        <v>13</v>
      </c>
      <c r="H1" s="51"/>
      <c r="I1" s="51"/>
    </row>
    <row r="2" spans="1:9" ht="19.5" customHeight="1">
      <c r="A2" s="54" t="s">
        <v>2</v>
      </c>
      <c r="B2" s="54"/>
      <c r="C2" s="5">
        <f>SUM(C4:C79)</f>
        <v>51225</v>
      </c>
      <c r="D2" s="5">
        <f>SUM(D4:D79)</f>
        <v>49532.380999999994</v>
      </c>
      <c r="E2" s="5">
        <f>C2-D2</f>
        <v>1692.6190000000061</v>
      </c>
      <c r="F2" s="6">
        <f>IFERROR(E2/D2, 0)</f>
        <v>3.4171969241696784E-2</v>
      </c>
      <c r="G2" s="5">
        <f>SUM(G4:G79)</f>
        <v>0</v>
      </c>
      <c r="H2" s="7">
        <f>C2-G2</f>
        <v>51225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Pearson Venture Investments LLC</v>
      </c>
      <c r="B4" s="9" t="str" cm="1">
        <f t="array" ref="B4">Sites[State]</f>
        <v>MA</v>
      </c>
      <c r="C4" s="23">
        <f>SUM(Apr!C4, May!C4, Jun!C4)</f>
        <v>51225</v>
      </c>
      <c r="D4" s="12">
        <f>SUM(Apr!D4, May!D4, Jun!D4)</f>
        <v>49532.380999999994</v>
      </c>
      <c r="E4" s="12">
        <f>IF(AND(ISNUMBER(C4),ISNUMBER(D4)), C4-D4, "")</f>
        <v>1692.6190000000061</v>
      </c>
      <c r="F4" s="13">
        <f>IFERROR(E4/D4, "")</f>
        <v>3.4171969241696784E-2</v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Pearson Venture Investments LLC</v>
      </c>
      <c r="B1" s="52"/>
      <c r="C1" s="52"/>
      <c r="D1" s="53" t="s">
        <v>14</v>
      </c>
      <c r="E1" s="53"/>
      <c r="F1" s="53"/>
      <c r="G1" s="51" t="s">
        <v>15</v>
      </c>
      <c r="H1" s="51"/>
      <c r="I1" s="51"/>
    </row>
    <row r="2" spans="1:9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Pearson Venture Investments LLC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H12" sqref="H12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Pearson Venture Investments LLC</v>
      </c>
      <c r="B1" s="52"/>
      <c r="C1" s="52"/>
      <c r="D1" s="53" t="s">
        <v>16</v>
      </c>
      <c r="E1" s="53"/>
      <c r="F1" s="53"/>
      <c r="G1" s="51" t="s">
        <v>17</v>
      </c>
      <c r="H1" s="51"/>
      <c r="I1" s="51"/>
    </row>
    <row r="2" spans="1:9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Pearson Venture Investments LLC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4.45">
      <c r="A9" s="20"/>
      <c r="B9" s="10"/>
      <c r="C9" s="40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zoomScale="70" zoomScaleNormal="70" workbookViewId="0">
      <pane xSplit="2" ySplit="3" topLeftCell="C4" activePane="bottomRight" state="frozen"/>
      <selection pane="bottomRight" activeCell="G13" sqref="G13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Pearson Venture Investments LLC</v>
      </c>
      <c r="B1" s="52"/>
      <c r="C1" s="52"/>
      <c r="D1" s="53" t="s">
        <v>18</v>
      </c>
      <c r="E1" s="53"/>
      <c r="F1" s="53"/>
      <c r="G1" s="51" t="s">
        <v>19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SUM(C4:C78)</f>
        <v>992</v>
      </c>
      <c r="D2" s="5">
        <f>SUM(D4:D78)</f>
        <v>8157</v>
      </c>
      <c r="E2" s="5">
        <f>C2-D2</f>
        <v>-7165</v>
      </c>
      <c r="F2" s="6">
        <f>IFERROR(E2/D2, 0)</f>
        <v>-0.87838666176290303</v>
      </c>
      <c r="G2" s="5">
        <f>SUM(G4:G78)</f>
        <v>0</v>
      </c>
      <c r="H2" s="7">
        <f>C2-G2</f>
        <v>992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6" t="s">
        <v>5</v>
      </c>
      <c r="D3" s="47" t="s">
        <v>6</v>
      </c>
      <c r="E3" s="31" t="s">
        <v>7</v>
      </c>
      <c r="F3" s="32" t="s">
        <v>8</v>
      </c>
      <c r="G3" s="48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50.25" customHeight="1">
      <c r="A4" s="45" t="str" cm="1">
        <f t="array" ref="A4">Sites[Site]</f>
        <v>Pearson Venture Investments LLC</v>
      </c>
      <c r="B4" s="27" t="str" cm="1">
        <f t="array" ref="B4">Sites[State]</f>
        <v>MA</v>
      </c>
      <c r="C4" s="23">
        <v>992</v>
      </c>
      <c r="D4" s="12">
        <v>8157</v>
      </c>
      <c r="E4" s="12">
        <f>IF(AND(ISNUMBER(C4),ISNUMBER(D4)), C4-D4, "")</f>
        <v>-7165</v>
      </c>
      <c r="F4" s="13">
        <f>IFERROR(E4/D4, "")</f>
        <v>-0.87838666176290303</v>
      </c>
      <c r="G4" s="49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23</v>
      </c>
      <c r="K4" s="36" t="s">
        <v>24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78 I4:I7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zoomScale="80" zoomScaleNormal="80" workbookViewId="0">
      <pane xSplit="2" ySplit="3" topLeftCell="D4" activePane="bottomRight" state="frozen"/>
      <selection pane="bottomRight" activeCell="J8" sqref="J8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Pearson Venture Investments LLC</v>
      </c>
      <c r="B1" s="52"/>
      <c r="C1" s="52"/>
      <c r="D1" s="53" t="s">
        <v>25</v>
      </c>
      <c r="E1" s="53"/>
      <c r="F1" s="53"/>
      <c r="G1" s="51" t="s">
        <v>26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2209</v>
      </c>
      <c r="D2" s="5">
        <f>SUM(D4:D79)</f>
        <v>8625.9</v>
      </c>
      <c r="E2" s="5">
        <f>C2-D2</f>
        <v>-6416.9</v>
      </c>
      <c r="F2" s="6">
        <f>IFERROR(E2/D2, 0)</f>
        <v>-0.74391078032437197</v>
      </c>
      <c r="G2" s="5">
        <f>SUM(G4:G79)</f>
        <v>0</v>
      </c>
      <c r="H2" s="7">
        <f>C2-G2</f>
        <v>2209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45" t="str" cm="1">
        <f t="array" ref="A4">Sites[Site]</f>
        <v>Pearson Venture Investments LLC</v>
      </c>
      <c r="B4" s="27" t="str" cm="1">
        <f t="array" ref="B4">Sites[State]</f>
        <v>MA</v>
      </c>
      <c r="C4" s="23">
        <v>2209</v>
      </c>
      <c r="D4" s="12">
        <v>8625.9</v>
      </c>
      <c r="E4" s="12">
        <f>IF(AND(ISNUMBER(C4),ISNUMBER(D4)), C4-D4, "")</f>
        <v>-6416.9</v>
      </c>
      <c r="F4" s="13">
        <f>IFERROR(E4/D4, "")</f>
        <v>-0.74391078032437197</v>
      </c>
      <c r="G4" s="49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27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zoomScale="70" zoomScaleNormal="70" workbookViewId="0">
      <pane xSplit="2" ySplit="3" topLeftCell="C4" activePane="bottomRight" state="frozen"/>
      <selection pane="bottomRight" activeCell="E25" sqref="E25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Pearson Venture Investments LLC</v>
      </c>
      <c r="B1" s="52"/>
      <c r="C1" s="52"/>
      <c r="D1" s="53" t="s">
        <v>28</v>
      </c>
      <c r="E1" s="53"/>
      <c r="F1" s="53"/>
      <c r="G1" s="51" t="s">
        <v>29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14014</v>
      </c>
      <c r="D2" s="5">
        <f>SUM(D4:D79)</f>
        <v>13665.725</v>
      </c>
      <c r="E2" s="5">
        <f>C2-D2</f>
        <v>348.27499999999964</v>
      </c>
      <c r="F2" s="6">
        <f>IFERROR(E2/D2, 0)</f>
        <v>2.5485292584184128E-2</v>
      </c>
      <c r="G2" s="5">
        <f>SUM(G4:G79)</f>
        <v>0</v>
      </c>
      <c r="H2" s="7">
        <f>C2-G2</f>
        <v>14014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14014</v>
      </c>
      <c r="D4" s="12">
        <v>13665.725</v>
      </c>
      <c r="E4" s="12">
        <f>IF(AND(ISNUMBER(C4),ISNUMBER(D4)), C4-D4, "")</f>
        <v>348.27499999999964</v>
      </c>
      <c r="F4" s="13">
        <f>IFERROR(E4/D4, "")</f>
        <v>2.5485292584184128E-2</v>
      </c>
      <c r="G4" s="49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30</v>
      </c>
      <c r="K4" s="36" t="s">
        <v>31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F20" sqref="F20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Pearson Venture Investments LLC</v>
      </c>
      <c r="B1" s="52"/>
      <c r="C1" s="52"/>
      <c r="D1" s="53" t="s">
        <v>32</v>
      </c>
      <c r="E1" s="53"/>
      <c r="F1" s="53"/>
      <c r="G1" s="51" t="s">
        <v>33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17067</v>
      </c>
      <c r="D2" s="5">
        <f>SUM(D4:D79)</f>
        <v>16379.147999999999</v>
      </c>
      <c r="E2" s="5">
        <f>C2-D2</f>
        <v>687.85200000000077</v>
      </c>
      <c r="F2" s="6">
        <f>IFERROR(E2/D2, 0)</f>
        <v>4.1995590979457591E-2</v>
      </c>
      <c r="G2" s="5">
        <f>SUM(G4:G79)</f>
        <v>0</v>
      </c>
      <c r="H2" s="7">
        <f>C2-G2</f>
        <v>17067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17067</v>
      </c>
      <c r="D4" s="12">
        <v>16379.147999999999</v>
      </c>
      <c r="E4" s="12">
        <f>IF(AND(ISNUMBER(C4),ISNUMBER(D4)), C4-D4, "")</f>
        <v>687.85200000000077</v>
      </c>
      <c r="F4" s="13">
        <f>IFERROR(E4/D4, "")</f>
        <v>4.1995590979457591E-2</v>
      </c>
      <c r="G4" s="50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F26" sqref="F2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Pearson Venture Investments LLC</v>
      </c>
      <c r="B1" s="52"/>
      <c r="C1" s="52"/>
      <c r="D1" s="53" t="s">
        <v>34</v>
      </c>
      <c r="E1" s="53"/>
      <c r="F1" s="53"/>
      <c r="G1" s="51" t="s">
        <v>35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15768</v>
      </c>
      <c r="D2" s="5">
        <f>SUM(D4:D79)</f>
        <v>15249.130999999999</v>
      </c>
      <c r="E2" s="5">
        <f>C2-D2</f>
        <v>518.8690000000006</v>
      </c>
      <c r="F2" s="6">
        <f>IFERROR(E2/D2, 0)</f>
        <v>3.4026135653238247E-2</v>
      </c>
      <c r="G2" s="5">
        <f>SUM(G4:G79)</f>
        <v>0</v>
      </c>
      <c r="H2" s="7">
        <f>C2-G2</f>
        <v>15768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15768</v>
      </c>
      <c r="D4" s="12">
        <v>15249.130999999999</v>
      </c>
      <c r="E4" s="12">
        <f>IF(AND(ISNUMBER(C4),ISNUMBER(D4)), C4-D4, "")</f>
        <v>518.8690000000006</v>
      </c>
      <c r="F4" s="13">
        <f>IFERROR(E4/D4, "")</f>
        <v>3.4026135653238247E-2</v>
      </c>
      <c r="G4" s="50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G14" sqref="G14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Pearson Venture Investments LLC</v>
      </c>
      <c r="B1" s="52"/>
      <c r="C1" s="52"/>
      <c r="D1" s="53" t="s">
        <v>36</v>
      </c>
      <c r="E1" s="53"/>
      <c r="F1" s="53"/>
      <c r="G1" s="51" t="s">
        <v>37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18390</v>
      </c>
      <c r="D2" s="5">
        <f>SUM(D4:D79)</f>
        <v>17904.101999999999</v>
      </c>
      <c r="E2" s="5">
        <f>C2-D2</f>
        <v>485.89800000000105</v>
      </c>
      <c r="F2" s="6">
        <f>IFERROR(E2/D2, 0)</f>
        <v>2.7138920455211945E-2</v>
      </c>
      <c r="G2" s="5">
        <f>SUM(G4:G79)</f>
        <v>0</v>
      </c>
      <c r="H2" s="7">
        <f>C2-G2</f>
        <v>18390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18390</v>
      </c>
      <c r="D4" s="12">
        <v>17904.101999999999</v>
      </c>
      <c r="E4" s="12">
        <f>IF(AND(ISNUMBER(C4),ISNUMBER(D4)), C4-D4, "")</f>
        <v>485.89800000000105</v>
      </c>
      <c r="F4" s="13">
        <f>IFERROR(E4/D4, "")</f>
        <v>2.7138920455211945E-2</v>
      </c>
      <c r="G4" s="50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Pearson Venture Investments LLC</v>
      </c>
      <c r="B1" s="52"/>
      <c r="C1" s="52"/>
      <c r="D1" s="53" t="s">
        <v>38</v>
      </c>
      <c r="E1" s="53"/>
      <c r="F1" s="53"/>
      <c r="G1" s="51" t="s">
        <v>39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Pearson Venture Investments LLC</v>
      </c>
      <c r="B1" s="52"/>
      <c r="C1" s="52"/>
      <c r="D1" s="53" t="s">
        <v>40</v>
      </c>
      <c r="E1" s="53"/>
      <c r="F1" s="53"/>
      <c r="G1" s="51" t="s">
        <v>41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Pearson Venture Investments LLC</v>
      </c>
      <c r="B1" s="52"/>
      <c r="C1" s="52"/>
      <c r="D1" s="53" t="s">
        <v>42</v>
      </c>
      <c r="E1" s="53"/>
      <c r="F1" s="53"/>
      <c r="G1" s="51" t="s">
        <v>43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Pearson Venture Investments LLC</v>
      </c>
      <c r="B1" s="52"/>
      <c r="C1" s="52"/>
      <c r="D1" s="53" t="s">
        <v>44</v>
      </c>
      <c r="E1" s="53"/>
      <c r="F1" s="53"/>
      <c r="G1" s="51" t="s">
        <v>45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Pearson Venture Investments LLC</v>
      </c>
      <c r="B1" s="52"/>
      <c r="C1" s="52"/>
      <c r="D1" s="53" t="s">
        <v>46</v>
      </c>
      <c r="E1" s="53"/>
      <c r="F1" s="53"/>
      <c r="G1" s="51" t="s">
        <v>47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F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Pearson Venture Investments LLC</v>
      </c>
      <c r="B1" s="52"/>
      <c r="C1" s="52"/>
      <c r="D1" s="53" t="s">
        <v>48</v>
      </c>
      <c r="E1" s="53"/>
      <c r="F1" s="53"/>
      <c r="G1" s="51" t="s">
        <v>49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" sqref="B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50</v>
      </c>
      <c r="B1" t="s">
        <v>51</v>
      </c>
    </row>
    <row r="3" spans="1:12" ht="13.15">
      <c r="A3" t="s">
        <v>52</v>
      </c>
      <c r="B3" t="s">
        <v>3</v>
      </c>
      <c r="C3" t="s">
        <v>4</v>
      </c>
      <c r="D3" t="s">
        <v>53</v>
      </c>
      <c r="E3" s="2" t="s">
        <v>54</v>
      </c>
    </row>
    <row r="4" spans="1:12" ht="14.45">
      <c r="A4" s="44" t="s">
        <v>55</v>
      </c>
      <c r="B4" t="s">
        <v>51</v>
      </c>
      <c r="C4" s="42" t="s">
        <v>56</v>
      </c>
      <c r="D4" s="41" t="s">
        <v>57</v>
      </c>
      <c r="E4" t="s">
        <v>58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14966E4F-347B-477B-B74C-9DAC05405806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66B09F59-6532-46F8-924A-9A02417E070D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D3A7101F-9A85-4235-8B03-415370C100B2}"/>
</file>

<file path=customXml/itemProps13.xml><?xml version="1.0" encoding="utf-8"?>
<ds:datastoreItem xmlns:ds="http://schemas.openxmlformats.org/officeDocument/2006/customXml" ds:itemID="{0389C43E-394D-44C0-87DC-4780FCFCFB40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6EABB899-58CC-4F0F-90DF-F43FAEB9347E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2025-07-17T05:12:54Z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