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1" documentId="13_ncr:1_{55A22CD4-CEC8-41D0-A9B1-37D4B54F9DC1}" xr6:coauthVersionLast="47" xr6:coauthVersionMax="47" xr10:uidLastSave="{21F11CB9-9B5C-4275-9EAC-7CC39EBECE5B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G4" i="34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<sst xmlns="http://schemas.openxmlformats.org/spreadsheetml/2006/main" count="252" uniqueCount="59">
  <si>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</si>
  <si>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</si>
  <si>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</si>
  <si>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</si>
  <si>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</si>
  <si>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</si>
  <si>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</si>
  <si>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</si>
  <si>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</si>
  <si>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</si>
  <si>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</si>
  <si>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</si>
  <si>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</si>
  <si>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</si>
  <si>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</si>
  <si>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</si>
  <si>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</si>
  <si>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</si>
  <si>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</si>
  <si>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</si>
  <si>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</si>
  <si>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</si>
  <si>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</si>
  <si>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production due to snow/rain.</t>
  </si>
  <si>
    <t>February Actual v. Expected</t>
  </si>
  <si>
    <t>February Actual v. Forecasted</t>
  </si>
  <si>
    <t>March Actual v. Expected</t>
  </si>
  <si>
    <t>March Actual v. Forecasted</t>
  </si>
  <si>
    <t>1. Site production was low on 03/05,  03/24 due to rain.</t>
  </si>
  <si>
    <t>April Actual v. Expected</t>
  </si>
  <si>
    <t>April Actual v. Forecasted</t>
  </si>
  <si>
    <t>1.Site was low production on 04/03, 04/05, 04/06, 04/07, 04/12 and 04/26 due to low irradiance.</t>
  </si>
  <si>
    <t>May Actual v. Expected</t>
  </si>
  <si>
    <t>May Actual v. Forecasted</t>
  </si>
  <si>
    <t>1.Site has low productionon 05/05,05/09 and 05/022 due to low irradiance</t>
  </si>
  <si>
    <t>June Actual v. Expected</t>
  </si>
  <si>
    <t>June Actual v. Forecasted</t>
  </si>
  <si>
    <t>1. Site has low production/generation on 06/07,06/09, 06/14,06/15,06/17and 06/18 due to low irradiance.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</si>
  <si>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</si>
  <si>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</si>
  <si>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</si>
  <si>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</si>
  <si>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</si>
  <si>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</si>
  <si>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</si>
  <si>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</si>
  <si>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</si>
  <si>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</si>
  <si>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</si>
  <si>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</si>
  <si>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</si>
  <si>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Burt Process Equipment</t>
  </si>
  <si>
    <t>Site DAS Name</t>
  </si>
  <si>
    <t>Update</t>
  </si>
  <si>
    <t>DAS</t>
  </si>
  <si>
    <t>CT: Hamden - Burt Process Equipment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</si>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</sst>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D11" sqref="D11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Burt Process Equipment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>
      <c r="A2" s="44" t="s">
        <v>2</v>
      </c>
      <c r="B2" s="44"/>
      <c r="C2" s="5">
        <f>SUM(C4:C65)</f>
        <v>117283.9406875</v>
      </c>
      <c r="D2" s="5">
        <f>SUM(D4:D65)</f>
        <v>0</v>
      </c>
      <c r="E2" s="5">
        <f>C2-D2</f>
        <v>117283.9406875</v>
      </c>
      <c r="F2" s="6">
        <f>IFERROR(E2/D2, 0)</f>
        <v>0</v>
      </c>
      <c r="G2" s="5">
        <f>SUM(G4:G65)</f>
        <v>160650.91600000003</v>
      </c>
      <c r="H2" s="7">
        <f>C2-G2</f>
        <v>-43366.975312500028</v>
      </c>
      <c r="I2" s="6">
        <f>IFERROR(H2/G2, 0)</f>
        <v>-0.26994539709004844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Hamden - Burt Process Equipment</v>
      </c>
      <c r="B4" s="9" t="str" cm="1">
        <f t="array" ref="B4">Sites[State]</f>
        <v>CT</v>
      </c>
      <c r="C4" s="18">
        <f>SUM('1st Qtr'!C4, '2nd Qtr'!C4, '3rd Qtr'!C4, '4th Qtr'!C4)</f>
        <v>117283.9406875</v>
      </c>
      <c r="D4" s="11">
        <f>SUM('1st Qtr'!D4, '2nd Qtr'!D4, '3rd Qtr'!D4, '4th Qtr'!D4)</f>
        <v>0</v>
      </c>
      <c r="E4" s="11">
        <f>IF(AND(ISNUMBER(C4),ISNUMBER(D4)), C4-D4, "")</f>
        <v>117283.9406875</v>
      </c>
      <c r="F4" s="12" t="str">
        <f>IFERROR(E4/D4, "")</f>
        <v/>
      </c>
      <c r="G4" s="13">
        <f>SUM('1st Qtr'!G4, '2nd Qtr'!G4, '3rd Qtr'!G4, '4th Qtr'!G4)</f>
        <v>160650.91600000003</v>
      </c>
      <c r="H4" s="13">
        <f>SUM('1st Qtr'!H4, '2nd Qtr'!H4, '3rd Qtr'!H4, '4th Qtr'!H4)</f>
        <v>-43366.975312500006</v>
      </c>
      <c r="I4" s="14">
        <f>IFERROR(H4/G4, "")</f>
        <v>-0.26994539709004833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J4" sqref="J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Burt Process Equipment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>
      <c r="A2" s="44" t="s">
        <v>2</v>
      </c>
      <c r="B2" s="44"/>
      <c r="C2" s="5">
        <f>SUM(C4:C65)</f>
        <v>37754.924687499995</v>
      </c>
      <c r="D2" s="5">
        <f>SUM(D4:D65)</f>
        <v>0</v>
      </c>
      <c r="E2" s="5">
        <f>C2-D2</f>
        <v>37754.924687499995</v>
      </c>
      <c r="F2" s="6">
        <f>IFERROR(E2/D2, 0)</f>
        <v>0</v>
      </c>
      <c r="G2" s="5">
        <f>SUM(G4:G65)</f>
        <v>55227</v>
      </c>
      <c r="H2" s="7">
        <f>C2-G2</f>
        <v>-17472.075312500005</v>
      </c>
      <c r="I2" s="6">
        <f>IFERROR(H2/G2, 0)</f>
        <v>-0.31636835809477259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Hamden - Burt Process Equipment</v>
      </c>
      <c r="B4" s="9" t="str" cm="1">
        <f t="array" ref="B4">Sites[State]</f>
        <v>CT</v>
      </c>
      <c r="C4" s="18">
        <f>SUM(Jan!C4, Feb!C4, Mar!C4)</f>
        <v>37754.924687499995</v>
      </c>
      <c r="D4" s="11">
        <f>SUM(Jan!D4, Feb!D4, Mar!D4)</f>
        <v>0</v>
      </c>
      <c r="E4" s="11">
        <f>IF(AND(ISNUMBER(C4),ISNUMBER(D4)), C4-D4, "")</f>
        <v>37754.924687499995</v>
      </c>
      <c r="F4" s="12" t="str">
        <f>IFERROR(E4/D4, "")</f>
        <v/>
      </c>
      <c r="G4" s="13">
        <f>SUM(Jan!G4, Feb!G4, Mar!G4)</f>
        <v>55227</v>
      </c>
      <c r="H4" s="13">
        <f>SUM(Jan!H4, Feb!H4, Mar!H4)</f>
        <v>-17472.075312500001</v>
      </c>
      <c r="I4" s="14">
        <f>IFERROR(H4/G4, "")</f>
        <v>-0.31636835809477248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Burt Process Equipment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>
      <c r="A2" s="44" t="s">
        <v>2</v>
      </c>
      <c r="B2" s="44"/>
      <c r="C2" s="5">
        <f>SUM(C4:C65)</f>
        <v>79529.016000000003</v>
      </c>
      <c r="D2" s="5">
        <f>SUM(D4:D65)</f>
        <v>0</v>
      </c>
      <c r="E2" s="5">
        <f>C2-D2</f>
        <v>79529.016000000003</v>
      </c>
      <c r="F2" s="6">
        <f>IFERROR(E2/D2, 0)</f>
        <v>0</v>
      </c>
      <c r="G2" s="5">
        <f>SUM(G4:G65)</f>
        <v>105423.91600000001</v>
      </c>
      <c r="H2" s="7">
        <f>C2-G2</f>
        <v>-25894.900000000009</v>
      </c>
      <c r="I2" s="6">
        <f>IFERROR(H2/G2, 0)</f>
        <v>-0.24562642882664315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Hamden - Burt Process Equipment</v>
      </c>
      <c r="B4" s="9" t="str" cm="1">
        <f t="array" ref="B4">Sites[State]</f>
        <v>CT</v>
      </c>
      <c r="C4" s="18">
        <f>SUM(Apr!C4, May!C4, Jun!C4)</f>
        <v>79529.016000000003</v>
      </c>
      <c r="D4" s="11">
        <f>SUM(Apr!D4, May!D4, Jun!D4)</f>
        <v>0</v>
      </c>
      <c r="E4" s="11">
        <f>IF(AND(ISNUMBER(C4),ISNUMBER(D4)), C4-D4, "")</f>
        <v>79529.016000000003</v>
      </c>
      <c r="F4" s="12" t="str">
        <f>IFERROR(E4/D4, "")</f>
        <v/>
      </c>
      <c r="G4" s="13">
        <f>SUM(Apr!G4,May!G4,Jun!G4)</f>
        <v>105423.91600000001</v>
      </c>
      <c r="H4" s="13">
        <f>SUM(Apr!H4, May!H4, Jun!H4)</f>
        <v>-25894.900000000005</v>
      </c>
      <c r="I4" s="14">
        <f>IFERROR(H4/G4, "")</f>
        <v>-0.24562642882664312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Burt Process Equipment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Hamden - Burt Process Equipment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C12" sqref="C12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Burt Process Equipment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Hamden - Burt Process Equipment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J4" activePane="bottomRight" state="frozen"/>
      <selection pane="bottomRight" activeCell="J16" sqref="J16"/>
      <selection pane="bottomLeft" activeCell="G23" sqref="G23"/>
      <selection pane="topRight" activeCell="G23" sqref="G2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SUM(C4:C64)</f>
        <v>8464.09</v>
      </c>
      <c r="D2" s="5">
        <f>SUM(D4:D64)</f>
        <v>0</v>
      </c>
      <c r="E2" s="5">
        <f>C2-D2</f>
        <v>8464.09</v>
      </c>
      <c r="F2" s="6">
        <f>IFERROR(E2/D2, 0)</f>
        <v>0</v>
      </c>
      <c r="G2" s="5">
        <f>SUM(G4:G64)</f>
        <v>12910</v>
      </c>
      <c r="H2" s="7">
        <f>C2-G2</f>
        <v>-4445.91</v>
      </c>
      <c r="I2" s="6">
        <f>IFERROR(H2/G2, 0)</f>
        <v>-0.34437722695584816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37" t="s">
        <v>5</v>
      </c>
      <c r="D3" s="38" t="s">
        <v>6</v>
      </c>
      <c r="E3" s="26" t="s">
        <v>7</v>
      </c>
      <c r="F3" s="27" t="s">
        <v>8</v>
      </c>
      <c r="G3" s="39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9.5" customHeight="1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8464.09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12910</v>
      </c>
      <c r="H4" s="13">
        <f>IF(AND(ISNUMBER(C4),ISNUMBER(G4)), C4-G4, "")</f>
        <v>-4445.91</v>
      </c>
      <c r="I4" s="14">
        <f>IFERROR(H4/G4, "")</f>
        <v>-0.34437722695584816</v>
      </c>
      <c r="J4" s="31" t="s">
        <v>23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D1:F1"/>
    <mergeCell ref="A1:C1"/>
    <mergeCell ref="G1:I1"/>
    <mergeCell ref="A2:B2"/>
  </mergeCells>
  <conditionalFormatting sqref="F2 I2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4:F64 I4:I64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D4" activePane="bottomRight" state="frozen"/>
      <selection pane="bottomRight" activeCell="D14" sqref="D1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24</v>
      </c>
      <c r="E1" s="43"/>
      <c r="F1" s="43"/>
      <c r="G1" s="41" t="s">
        <v>25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6972.03</v>
      </c>
      <c r="D2" s="5">
        <f>SUM(D4:D65)</f>
        <v>0</v>
      </c>
      <c r="E2" s="5">
        <f>C2-D2</f>
        <v>6972.03</v>
      </c>
      <c r="F2" s="6">
        <f>IFERROR(E2/D2, 0)</f>
        <v>0</v>
      </c>
      <c r="G2" s="5">
        <f>SUM(G4:G65)</f>
        <v>17368</v>
      </c>
      <c r="H2" s="7">
        <f>C2-G2</f>
        <v>-10395.970000000001</v>
      </c>
      <c r="I2" s="6">
        <f>IFERROR(H2/G2, 0)</f>
        <v>-0.5985703592814372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6972.03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17368</v>
      </c>
      <c r="H4" s="13">
        <f>IF(AND(ISNUMBER(C4),ISNUMBER(G4)), C4-G4, "")</f>
        <v>-10395.970000000001</v>
      </c>
      <c r="I4" s="14">
        <f>IFERROR(H4/G4, "")</f>
        <v>-0.5985703592814372</v>
      </c>
      <c r="J4" s="31" t="s">
        <v>23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65 I4:I65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zoomScale="90" zoomScaleNormal="90" workbookViewId="0">
      <pane xSplit="2" ySplit="3" topLeftCell="E4" activePane="bottomRight" state="frozen"/>
      <selection pane="bottomRight" activeCell="G9" sqref="G9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26</v>
      </c>
      <c r="E1" s="43"/>
      <c r="F1" s="43"/>
      <c r="G1" s="41" t="s">
        <v>27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22318.8046875</v>
      </c>
      <c r="D2" s="5">
        <f>SUM(D4:D65)</f>
        <v>0</v>
      </c>
      <c r="E2" s="5">
        <f>C2-D2</f>
        <v>22318.8046875</v>
      </c>
      <c r="F2" s="6">
        <f>IFERROR(E2/D2, 0)</f>
        <v>0</v>
      </c>
      <c r="G2" s="5">
        <f>SUM(G4:G65)</f>
        <v>24949</v>
      </c>
      <c r="H2" s="7">
        <f>C2-G2</f>
        <v>-2630.1953125</v>
      </c>
      <c r="I2" s="6">
        <f>IFERROR(H2/G2, 0)</f>
        <v>-0.10542287516533728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40" t="str" cm="1">
        <f t="array" ref="A4">Sites[Site]</f>
        <v>CT: Hamden - Burt Process Equipment</v>
      </c>
      <c r="B4" s="22" t="str" cm="1">
        <f t="array" ref="B4">Sites[State]</f>
        <v>CT</v>
      </c>
      <c r="C4" s="18">
        <v>22318.8046875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24949</v>
      </c>
      <c r="H4" s="13">
        <f>IF(AND(ISNUMBER(C4),ISNUMBER(G4)), C4-G4, "")</f>
        <v>-2630.1953125</v>
      </c>
      <c r="I4" s="14">
        <f>IFERROR(H4/G4, "")</f>
        <v>-0.10542287516533728</v>
      </c>
      <c r="J4" s="31" t="s">
        <v>28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C4" activePane="bottomRight" state="frozen"/>
      <selection pane="bottomRight" activeCell="J4" sqref="J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29</v>
      </c>
      <c r="E1" s="43"/>
      <c r="F1" s="43"/>
      <c r="G1" s="41" t="s">
        <v>30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26949.84</v>
      </c>
      <c r="D2" s="5">
        <f>SUM(D4:D65)</f>
        <v>0</v>
      </c>
      <c r="E2" s="5">
        <f>C2-D2</f>
        <v>26949.84</v>
      </c>
      <c r="F2" s="6">
        <f>IFERROR(E2/D2, 0)</f>
        <v>0</v>
      </c>
      <c r="G2" s="5">
        <f>SUM(G4:G65)</f>
        <v>32612</v>
      </c>
      <c r="H2" s="7">
        <f>C2-G2</f>
        <v>-5662.16</v>
      </c>
      <c r="I2" s="6">
        <f>IFERROR(H2/G2, 0)</f>
        <v>-0.17362197963939655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0.75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26949.84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32612</v>
      </c>
      <c r="H4" s="13">
        <f>IF(AND(ISNUMBER(C4),ISNUMBER(G4)), C4-G4, "")</f>
        <v>-5662.16</v>
      </c>
      <c r="I4" s="14">
        <f>IFERROR(H4/G4, "")</f>
        <v>-0.17362197963939655</v>
      </c>
      <c r="J4" s="31" t="s">
        <v>31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J4" activePane="bottomRight" state="frozen"/>
      <selection pane="bottomRight" activeCell="J12" sqref="J12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32</v>
      </c>
      <c r="E1" s="43"/>
      <c r="F1" s="43"/>
      <c r="G1" s="41" t="s">
        <v>33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24929.806</v>
      </c>
      <c r="D2" s="5">
        <f>SUM(D4:D65)</f>
        <v>0</v>
      </c>
      <c r="E2" s="5">
        <f>C2-D2</f>
        <v>24929.806</v>
      </c>
      <c r="F2" s="6">
        <f>IFERROR(E2/D2, 0)</f>
        <v>0</v>
      </c>
      <c r="G2" s="5">
        <f>SUM(G4:G65)</f>
        <v>36206.798000000003</v>
      </c>
      <c r="H2" s="7">
        <f>C2-G2</f>
        <v>-11276.992000000002</v>
      </c>
      <c r="I2" s="6">
        <f>IFERROR(H2/G2, 0)</f>
        <v>-0.31146062681378234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24929.806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36206.798000000003</v>
      </c>
      <c r="H4" s="13">
        <f>IF(AND(ISNUMBER(C4),ISNUMBER(G4)), C4-G4, "")</f>
        <v>-11276.992000000002</v>
      </c>
      <c r="I4" s="14">
        <f>IFERROR(H4/G4, "")</f>
        <v>-0.31146062681378234</v>
      </c>
      <c r="J4" s="31" t="s">
        <v>34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tabSelected="1" workbookViewId="0">
      <pane xSplit="2" ySplit="3" topLeftCell="C4" activePane="bottomRight" state="frozen"/>
      <selection pane="bottomRight" activeCell="J10" sqref="J10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35</v>
      </c>
      <c r="E1" s="43"/>
      <c r="F1" s="43"/>
      <c r="G1" s="41" t="s">
        <v>36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27649.37</v>
      </c>
      <c r="D2" s="5">
        <f>SUM(D4:D65)</f>
        <v>0</v>
      </c>
      <c r="E2" s="5">
        <f>C2-D2</f>
        <v>27649.37</v>
      </c>
      <c r="F2" s="6">
        <f>IFERROR(E2/D2, 0)</f>
        <v>0</v>
      </c>
      <c r="G2" s="5">
        <f>SUM(G4:G65)</f>
        <v>36605.118000000002</v>
      </c>
      <c r="H2" s="7">
        <f>C2-G2</f>
        <v>-8955.7480000000032</v>
      </c>
      <c r="I2" s="6">
        <f>IFERROR(H2/G2, 0)</f>
        <v>-0.2446583562440641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0.75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27649.37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36605.118000000002</v>
      </c>
      <c r="H4" s="13">
        <f>IF(AND(ISNUMBER(C4),ISNUMBER(G4)), C4-G4, "")</f>
        <v>-8955.7480000000032</v>
      </c>
      <c r="I4" s="14">
        <f>IFERROR(H4/G4, "")</f>
        <v>-0.2446583562440641</v>
      </c>
      <c r="J4" s="31" t="s">
        <v>37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38</v>
      </c>
      <c r="E1" s="43"/>
      <c r="F1" s="43"/>
      <c r="G1" s="41" t="s">
        <v>39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40</v>
      </c>
      <c r="E1" s="43"/>
      <c r="F1" s="43"/>
      <c r="G1" s="41" t="s">
        <v>41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42</v>
      </c>
      <c r="E1" s="43"/>
      <c r="F1" s="43"/>
      <c r="G1" s="41" t="s">
        <v>43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44</v>
      </c>
      <c r="E1" s="43"/>
      <c r="F1" s="43"/>
      <c r="G1" s="41" t="s">
        <v>45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46</v>
      </c>
      <c r="E1" s="43"/>
      <c r="F1" s="43"/>
      <c r="G1" s="41" t="s">
        <v>47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48</v>
      </c>
      <c r="E1" s="43"/>
      <c r="F1" s="43"/>
      <c r="G1" s="41" t="s">
        <v>49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14" sqref="C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45">
      <c r="A4" s="36" t="s">
        <v>51</v>
      </c>
      <c r="B4" t="s">
        <v>55</v>
      </c>
      <c r="C4" s="34" t="s">
        <v>56</v>
      </c>
      <c r="D4" s="33" t="s">
        <v>57</v>
      </c>
      <c r="E4" t="s">
        <v>58</v>
      </c>
      <c r="G4" s="3"/>
    </row>
    <row r="5" spans="1:12" ht="14.45">
      <c r="A5" s="36"/>
      <c r="C5" s="34"/>
      <c r="D5" s="33"/>
      <c r="G5" s="3"/>
    </row>
    <row r="6" spans="1:12" ht="14.45">
      <c r="A6" s="36"/>
      <c r="C6" s="34"/>
      <c r="D6" s="33"/>
      <c r="G6" s="3"/>
    </row>
    <row r="7" spans="1:12" ht="12.75" customHeight="1">
      <c r="A7" s="36"/>
      <c r="C7" s="34"/>
      <c r="D7" s="33"/>
    </row>
    <row r="8" spans="1:12" ht="12.75" customHeight="1">
      <c r="A8" s="36"/>
      <c r="C8" s="34"/>
      <c r="D8" s="33"/>
    </row>
    <row r="9" spans="1:12" ht="12.75" customHeight="1">
      <c r="A9" s="36"/>
      <c r="C9" s="34"/>
      <c r="D9" s="33"/>
    </row>
    <row r="10" spans="1:12" ht="12.75" customHeight="1">
      <c r="A10" s="36"/>
      <c r="C10" s="34"/>
      <c r="D10" s="33"/>
      <c r="K10" s="32"/>
      <c r="L10" s="32"/>
    </row>
    <row r="11" spans="1:12" ht="12.75" customHeight="1">
      <c r="A11" s="36"/>
      <c r="C11" s="34"/>
      <c r="D11" s="33"/>
      <c r="K11" s="32"/>
      <c r="L11" s="32"/>
    </row>
    <row r="12" spans="1:12" ht="12.75" customHeight="1">
      <c r="A12" s="36"/>
      <c r="C12" s="34"/>
      <c r="D12" s="33"/>
      <c r="K12" s="32"/>
      <c r="L12" s="32"/>
    </row>
    <row r="13" spans="1:12" ht="12.75" customHeight="1">
      <c r="A13" s="36"/>
      <c r="C13" s="34"/>
      <c r="D13" s="33"/>
      <c r="K13" s="32"/>
      <c r="L13" s="32"/>
    </row>
    <row r="14" spans="1:12" ht="12.75" customHeight="1">
      <c r="A14" s="36"/>
      <c r="C14" s="34"/>
      <c r="D14" s="33"/>
      <c r="K14" s="32"/>
      <c r="L14" s="32"/>
    </row>
    <row r="15" spans="1:12" ht="12.75" customHeight="1">
      <c r="A15" s="36"/>
      <c r="C15" s="34"/>
      <c r="D15" s="33"/>
      <c r="K15" s="32"/>
      <c r="L15" s="32"/>
    </row>
    <row r="16" spans="1:12" ht="12.75" customHeight="1">
      <c r="A16" s="36"/>
      <c r="C16" s="34"/>
      <c r="D16" s="33"/>
      <c r="K16" s="32"/>
      <c r="L16" s="32"/>
    </row>
    <row r="17" spans="1:12" ht="12.75" customHeight="1">
      <c r="A17" s="36"/>
      <c r="C17" s="34"/>
      <c r="D17" s="33"/>
      <c r="K17" s="32"/>
      <c r="L17" s="32"/>
    </row>
    <row r="18" spans="1:12" ht="12.75" customHeight="1">
      <c r="A18" s="36"/>
      <c r="C18" s="34"/>
      <c r="D18" s="33"/>
      <c r="K18" s="32"/>
      <c r="L18" s="32"/>
    </row>
    <row r="19" spans="1:12" ht="12.75" customHeight="1">
      <c r="A19" s="36"/>
      <c r="C19" s="34"/>
      <c r="D19" s="33"/>
      <c r="K19" s="32"/>
      <c r="L19" s="32"/>
    </row>
    <row r="20" spans="1:12" ht="12.75" customHeight="1">
      <c r="A20" s="36"/>
      <c r="C20" s="34"/>
      <c r="D20" s="33"/>
      <c r="K20" s="32"/>
      <c r="L20" s="32"/>
    </row>
    <row r="21" spans="1:12" ht="12.75" customHeight="1">
      <c r="A21" s="36"/>
      <c r="C21" s="34"/>
      <c r="D21" s="33"/>
      <c r="K21" s="32"/>
      <c r="L21" s="32"/>
    </row>
    <row r="22" spans="1:12" ht="12.75" customHeight="1">
      <c r="A22" s="36"/>
      <c r="C22" s="34"/>
      <c r="D22" s="33"/>
      <c r="K22" s="32"/>
      <c r="L22" s="32"/>
    </row>
    <row r="23" spans="1:12" ht="12.75" customHeight="1">
      <c r="A23" s="36"/>
      <c r="C23" s="34"/>
      <c r="D23" s="33"/>
      <c r="K23" s="32"/>
      <c r="L23" s="32"/>
    </row>
    <row r="24" spans="1:12" ht="12.75" customHeight="1">
      <c r="A24" s="36"/>
      <c r="C24" s="34"/>
      <c r="D24" s="33"/>
      <c r="K24" s="32"/>
      <c r="L24" s="32"/>
    </row>
    <row r="25" spans="1:12" ht="12.75" customHeight="1">
      <c r="A25" s="36"/>
      <c r="C25" s="34"/>
      <c r="D25" s="33"/>
      <c r="K25" s="32"/>
      <c r="L25" s="32"/>
    </row>
    <row r="26" spans="1:12" ht="12.75" customHeight="1">
      <c r="K26" s="32"/>
      <c r="L26" s="32"/>
    </row>
    <row r="27" spans="1:12" ht="12.75" customHeight="1">
      <c r="K27" s="32"/>
      <c r="L27" s="32"/>
    </row>
    <row r="28" spans="1:12" ht="12.75" customHeight="1">
      <c r="K28" s="32"/>
      <c r="L28" s="32"/>
    </row>
    <row r="29" spans="1:12" ht="12.75" customHeight="1">
      <c r="K29" s="32"/>
      <c r="L29" s="32"/>
    </row>
    <row r="30" spans="1:12" ht="12.75" customHeight="1">
      <c r="K30" s="32"/>
      <c r="L30" s="32"/>
    </row>
    <row r="31" spans="1:12" ht="12.75" customHeight="1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D0CAF426-3178-4B34-8B76-AFA20F4ED425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2025-07-17T04:58:02Z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