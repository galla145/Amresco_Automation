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ABE4E062-E66E-45AA-9538-7610DE4882F1}" xr6:coauthVersionLast="47" xr6:coauthVersionMax="47" xr10:uidLastSave="{00000000-0000-0000-0000-000000000000}"/>
  <bookViews>
    <workbookView xWindow="-108" yWindow="-108" windowWidth="23256" windowHeight="12456" tabRatio="866" firstSheet="5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0" l="1"/>
  <c r="G4" i="30"/>
  <c r="G2" i="30" s="1"/>
  <c r="G4" i="29"/>
  <c r="D4" i="29"/>
  <c r="H4" i="19"/>
  <c r="I4" i="19" s="1"/>
  <c r="G4" i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I4" i="20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1" l="1"/>
  <c r="I2" i="21" s="1"/>
  <c r="E2" i="20"/>
  <c r="F2" i="20" s="1"/>
  <c r="E4" i="18"/>
  <c r="F4" i="18" s="1"/>
  <c r="G4" i="34"/>
  <c r="G2" i="34" s="1"/>
  <c r="H2" i="33"/>
  <c r="I2" i="33" s="1"/>
  <c r="C4" i="34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<sst xmlns="http://schemas.openxmlformats.org/spreadsheetml/2006/main" count="246" uniqueCount="56">
  <si>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</si>
  <si>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</si>
  <si>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</si>
  <si>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</si>
  <si>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</si>
  <si>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</si>
  <si>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</si>
  <si>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</si>
  <si>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</si>
  <si>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</si>
  <si>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</si>
  <si>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</si>
  <si>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</si>
  <si>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</si>
  <si>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</si>
  <si>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</si>
  <si>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</si>
  <si>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</si>
  <si>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</si>
  <si>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</si>
  <si>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</si>
  <si>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</si>
  <si>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</si>
  <si>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</si>
  <si>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</si>
  <si>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</si>
  <si>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</si>
  <si>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NA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</si>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</sst>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5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5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activeCell="A6" sqref="A6"/>
      <selection pane="bottomLeft" activeCell="G3" sqref="G3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 x14ac:dyDescent="0.25">
      <c r="A2" s="46" t="s">
        <v>2</v>
      </c>
      <c r="B2" s="46"/>
      <c r="C2" s="6">
        <f>SUM(C4:C60)</f>
        <v>47284.630026999999</v>
      </c>
      <c r="D2" s="6">
        <f>SUM(D4:D60)</f>
        <v>0</v>
      </c>
      <c r="E2" s="6">
        <f>C2-D2</f>
        <v>47284.630026999999</v>
      </c>
      <c r="F2" s="7">
        <f>IFERROR(E2/D2, 0)</f>
        <v>0</v>
      </c>
      <c r="G2" s="6">
        <f>SUM(G4:G60)</f>
        <v>30743.763999999999</v>
      </c>
      <c r="H2" s="8">
        <f>C2-G2</f>
        <v>16540.866027</v>
      </c>
      <c r="I2" s="7">
        <f>IFERROR(H2/G2, 0)</f>
        <v>0.53802345174780808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47284.630026999999</v>
      </c>
      <c r="D4" s="14">
        <f>SUM('1st Qtr'!D4, '2nd Qtr'!D4, '3rd Qtr'!D4, '4th Qtr'!D4)</f>
        <v>0</v>
      </c>
      <c r="E4" s="14">
        <f>IF(AND(ISNUMBER(C4),ISNUMBER(D4)), C4-D4, "")</f>
        <v>47284.630026999999</v>
      </c>
      <c r="F4" s="15" t="str">
        <f>IFERROR(E4/D4, "")</f>
        <v/>
      </c>
      <c r="G4" s="16">
        <f>SUM('1st Qtr'!G4,'2nd Qtr'!G4,'3rd Qtr'!G4,'4th Qtr'!G4)</f>
        <v>30743.763999999999</v>
      </c>
      <c r="H4" s="16">
        <f>SUM('1st Qtr'!H4, '2nd Qtr'!H4, '3rd Qtr'!H4, '4th Qtr'!H4)</f>
        <v>16540.866027</v>
      </c>
      <c r="I4" s="17">
        <f>IFERROR(H4/G4, "")</f>
        <v>0.53802345174780808</v>
      </c>
    </row>
    <row r="5" spans="1:9" ht="13.8" x14ac:dyDescent="0.3">
      <c r="A5" s="23"/>
      <c r="B5" s="23"/>
      <c r="C5" s="23"/>
      <c r="D5" s="23"/>
      <c r="E5" s="23"/>
      <c r="F5" s="24"/>
      <c r="G5" s="23"/>
      <c r="H5" s="23"/>
      <c r="I5" s="24"/>
    </row>
    <row r="6" spans="1:9" ht="13.8" x14ac:dyDescent="0.3">
      <c r="A6" s="23"/>
      <c r="B6" s="23"/>
      <c r="C6" s="23"/>
      <c r="D6" s="23"/>
      <c r="E6" s="23"/>
      <c r="F6" s="24"/>
      <c r="G6" s="23"/>
      <c r="H6" s="23"/>
      <c r="I6" s="24"/>
    </row>
    <row r="7" spans="1:9" ht="13.8" x14ac:dyDescent="0.3">
      <c r="A7" s="23"/>
      <c r="B7" s="23"/>
      <c r="C7" s="23"/>
      <c r="D7" s="23"/>
      <c r="E7" s="23"/>
      <c r="F7" s="24"/>
      <c r="G7" s="23"/>
      <c r="H7" s="23"/>
      <c r="I7" s="24"/>
    </row>
    <row r="8" spans="1:9" ht="13.8" x14ac:dyDescent="0.3">
      <c r="A8" s="23"/>
      <c r="B8" s="23"/>
      <c r="C8" s="23"/>
      <c r="D8" s="23"/>
      <c r="E8" s="23"/>
      <c r="F8" s="24"/>
      <c r="G8" s="23"/>
      <c r="H8" s="23"/>
      <c r="I8" s="24"/>
    </row>
    <row r="9" spans="1:9" ht="13.8" x14ac:dyDescent="0.3">
      <c r="A9" s="23"/>
      <c r="B9" s="23"/>
      <c r="C9" s="23"/>
      <c r="D9" s="23"/>
      <c r="E9" s="23"/>
      <c r="F9" s="24"/>
      <c r="G9" s="23"/>
      <c r="H9" s="23"/>
      <c r="I9" s="24"/>
    </row>
    <row r="10" spans="1:9" ht="13.8" x14ac:dyDescent="0.3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8" x14ac:dyDescent="0.3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8" x14ac:dyDescent="0.3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8" x14ac:dyDescent="0.3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8" x14ac:dyDescent="0.3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8" x14ac:dyDescent="0.3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8" x14ac:dyDescent="0.3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activeCell="A16" sqref="A16:XFD24"/>
      <selection pane="bottomLef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 x14ac:dyDescent="0.25">
      <c r="A2" s="46" t="s">
        <v>2</v>
      </c>
      <c r="B2" s="46"/>
      <c r="C2" s="6">
        <f>SUM(C4:C68)</f>
        <v>16193.530027000001</v>
      </c>
      <c r="D2" s="6">
        <f>SUM(D4:D68)</f>
        <v>0</v>
      </c>
      <c r="E2" s="6">
        <f>C2-D2</f>
        <v>16193.530027000001</v>
      </c>
      <c r="F2" s="7">
        <f>IFERROR(E2/D2, 0)</f>
        <v>0</v>
      </c>
      <c r="G2" s="6">
        <f>SUM(G4:G68)</f>
        <v>10699.763999999999</v>
      </c>
      <c r="H2" s="8">
        <f>C2-G2</f>
        <v>5493.7660270000015</v>
      </c>
      <c r="I2" s="7">
        <f>IFERROR(H2/G2, 0)</f>
        <v>0.51344740192400518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16193.530027000001</v>
      </c>
      <c r="D4" s="14">
        <f>SUM(Jan!D4, Feb!D4, Mar!D4)</f>
        <v>0</v>
      </c>
      <c r="E4" s="14">
        <f>IF(AND(ISNUMBER(C4),ISNUMBER(D4)), C4-D4, "")</f>
        <v>16193.530027000001</v>
      </c>
      <c r="F4" s="15" t="str">
        <f>IFERROR(E4/D4, "")</f>
        <v/>
      </c>
      <c r="G4" s="16">
        <f>SUM(Jan!G4, Feb!G4, Mar!G4)</f>
        <v>10699.763999999999</v>
      </c>
      <c r="H4" s="16">
        <f>SUM(Jan!H4, Feb!H4, Mar!H4)</f>
        <v>5493.7660270000006</v>
      </c>
      <c r="I4" s="17">
        <f>IFERROR(H4/G4, "")</f>
        <v>0.51344740192400518</v>
      </c>
    </row>
    <row r="5" spans="1:9" ht="13.8" x14ac:dyDescent="0.3">
      <c r="A5" s="23"/>
      <c r="B5" s="23"/>
      <c r="C5" s="23"/>
      <c r="D5" s="23"/>
      <c r="E5" s="23"/>
      <c r="F5" s="24"/>
      <c r="G5" s="23"/>
      <c r="H5" s="23"/>
      <c r="I5" s="24"/>
    </row>
    <row r="6" spans="1:9" ht="13.8" x14ac:dyDescent="0.3">
      <c r="A6" s="23"/>
      <c r="B6" s="23"/>
      <c r="C6" s="23"/>
      <c r="D6" s="23"/>
      <c r="E6" s="23"/>
      <c r="F6" s="24"/>
      <c r="G6" s="23"/>
      <c r="H6" s="23"/>
      <c r="I6" s="24"/>
    </row>
    <row r="7" spans="1:9" ht="13.8" x14ac:dyDescent="0.3">
      <c r="A7" s="23"/>
      <c r="B7" s="23"/>
      <c r="C7" s="23"/>
      <c r="D7" s="23"/>
      <c r="E7" s="23"/>
      <c r="F7" s="24"/>
      <c r="G7" s="23"/>
      <c r="H7" s="23"/>
      <c r="I7" s="24"/>
    </row>
    <row r="8" spans="1:9" ht="13.8" x14ac:dyDescent="0.3">
      <c r="A8" s="23"/>
      <c r="B8" s="23"/>
      <c r="C8" s="23"/>
      <c r="D8" s="23"/>
      <c r="E8" s="23"/>
      <c r="F8" s="24"/>
      <c r="G8" s="23"/>
      <c r="H8" s="23"/>
      <c r="I8" s="24"/>
    </row>
    <row r="9" spans="1:9" ht="13.8" x14ac:dyDescent="0.3">
      <c r="A9" s="23"/>
      <c r="B9" s="23"/>
      <c r="C9" s="23"/>
      <c r="D9" s="23"/>
      <c r="E9" s="23"/>
      <c r="F9" s="24"/>
      <c r="G9" s="23"/>
      <c r="H9" s="23"/>
      <c r="I9" s="24"/>
    </row>
    <row r="10" spans="1:9" ht="13.8" x14ac:dyDescent="0.3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8" x14ac:dyDescent="0.3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8" x14ac:dyDescent="0.3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8" x14ac:dyDescent="0.3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8" x14ac:dyDescent="0.3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8" x14ac:dyDescent="0.3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8" x14ac:dyDescent="0.3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activeCell="J20" sqref="J20"/>
      <selection pane="bottomLeft" activeCell="G12" sqref="G12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 x14ac:dyDescent="0.25">
      <c r="A2" s="46" t="s">
        <v>2</v>
      </c>
      <c r="B2" s="46"/>
      <c r="C2" s="6">
        <f>SUM(C4:C90)</f>
        <v>31091.1</v>
      </c>
      <c r="D2" s="6">
        <f>SUM(D4:D90)</f>
        <v>0</v>
      </c>
      <c r="E2" s="6">
        <f>C2-D2</f>
        <v>31091.1</v>
      </c>
      <c r="F2" s="7">
        <f>IFERROR(E2/D2, 0)</f>
        <v>0</v>
      </c>
      <c r="G2" s="6">
        <f>SUM(G4:G90)</f>
        <v>20044</v>
      </c>
      <c r="H2" s="8">
        <f>C2-G2</f>
        <v>11047.099999999999</v>
      </c>
      <c r="I2" s="7">
        <f>IFERROR(H2/G2, 0)</f>
        <v>0.55114248652963471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31091.1</v>
      </c>
      <c r="D4" s="14">
        <f>SUM(Apr!D4, May!D4, Jun!D4)</f>
        <v>0</v>
      </c>
      <c r="E4" s="14">
        <f>IF(AND(ISNUMBER(C4),ISNUMBER(D4)), C4-D4, "")</f>
        <v>31091.1</v>
      </c>
      <c r="F4" s="15" t="str">
        <f>IFERROR(E4/D4, "")</f>
        <v/>
      </c>
      <c r="G4" s="16">
        <f>SUM(Apr!G4+May!G4+Jun!G4)</f>
        <v>20044</v>
      </c>
      <c r="H4" s="16">
        <f>SUM(Apr!H4, May!H4, Jun!H4)</f>
        <v>11047.099999999999</v>
      </c>
      <c r="I4" s="17">
        <f>IFERROR(H4/G4, "")</f>
        <v>0.55114248652963471</v>
      </c>
    </row>
    <row r="5" spans="1:9" ht="15.6" x14ac:dyDescent="0.25">
      <c r="A5" s="19"/>
      <c r="B5" s="11"/>
      <c r="C5" s="12"/>
      <c r="D5" s="20"/>
      <c r="E5" s="20"/>
      <c r="F5" s="21"/>
      <c r="G5" s="22"/>
      <c r="H5" s="22"/>
      <c r="I5" s="21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G5" sqref="G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 x14ac:dyDescent="0.25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4" activePane="bottomLeft" state="frozen"/>
      <selection activeCell="J20" sqref="J20"/>
      <selection pane="bottomLeft" activeCell="G5" sqref="G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 x14ac:dyDescent="0.25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activeCell="J20" sqref="J20"/>
      <selection pane="bottomLeft" activeCell="E17" sqref="E1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SUM(C4:C89)</f>
        <v>3291.35</v>
      </c>
      <c r="D2" s="6">
        <f>SUM(D4:D89)</f>
        <v>0</v>
      </c>
      <c r="E2" s="6">
        <f>C2-D2</f>
        <v>3291.35</v>
      </c>
      <c r="F2" s="7">
        <f>IFERROR(E2/D2, 0)</f>
        <v>0</v>
      </c>
      <c r="G2" s="6">
        <f>SUM(G4:G89)</f>
        <v>2331.9609999999998</v>
      </c>
      <c r="H2" s="8">
        <f>C2-G2</f>
        <v>959.38900000000012</v>
      </c>
      <c r="I2" s="7">
        <f>IFERROR(H2/G2, 0)</f>
        <v>0.41140868136302461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3291.35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2331.9609999999998</v>
      </c>
      <c r="H4" s="16">
        <f>IF(AND(ISNUMBER(C4),ISNUMBER(G4)), C4-G4, "")</f>
        <v>959.38900000000012</v>
      </c>
      <c r="I4" s="17">
        <f>IFERROR(H4/G4, "")</f>
        <v>0.41140868136302461</v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activeCell="C23" sqref="C23"/>
      <selection pane="bottomLeft" activeCell="D11" sqref="D11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4" t="str" cm="1">
        <f t="array" ref="A1">portfolio</f>
        <v>Willwork</v>
      </c>
      <c r="B1" s="44"/>
      <c r="C1" s="44"/>
      <c r="D1" s="45" t="s">
        <v>23</v>
      </c>
      <c r="E1" s="45"/>
      <c r="F1" s="45"/>
      <c r="G1" s="43" t="s">
        <v>24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SUM(C4:C85)</f>
        <v>4379.2150000000001</v>
      </c>
      <c r="D2" s="6">
        <f>SUM(D4:D85)</f>
        <v>0</v>
      </c>
      <c r="E2" s="6">
        <f>C2-D2</f>
        <v>4379.2150000000001</v>
      </c>
      <c r="F2" s="7">
        <f>IFERROR(E2/D2, 0)</f>
        <v>0</v>
      </c>
      <c r="G2" s="6">
        <f>SUM(G4:G85)</f>
        <v>3160.8029999999999</v>
      </c>
      <c r="H2" s="8">
        <f>C2-G2</f>
        <v>1218.4120000000003</v>
      </c>
      <c r="I2" s="7">
        <f>IFERROR(H2/G2, 0)</f>
        <v>0.385475463038981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4379.2150000000001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3160.8029999999999</v>
      </c>
      <c r="H4" s="16">
        <f>IF(AND(ISNUMBER(C4),ISNUMBER(G4)), C4-G4, "")</f>
        <v>1218.4120000000003</v>
      </c>
      <c r="I4" s="17">
        <f>IFERROR(H4/G4, "")</f>
        <v>0.385475463038981</v>
      </c>
      <c r="J4" s="18"/>
      <c r="K4" s="18"/>
    </row>
    <row r="5" spans="1:11" ht="14.4" x14ac:dyDescent="0.3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activeCell="C23" sqref="C23"/>
      <selection pane="bottomLeft" activeCell="J6" sqref="J6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4" t="str" cm="1">
        <f t="array" ref="A1">portfolio</f>
        <v>Willwork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SUM(C4:C90)</f>
        <v>8522.9650270000002</v>
      </c>
      <c r="D2" s="6">
        <f>SUM(D4:D90)</f>
        <v>0</v>
      </c>
      <c r="E2" s="6">
        <f>C2-D2</f>
        <v>8522.9650270000002</v>
      </c>
      <c r="F2" s="7">
        <f>IFERROR(E2/D2, 0)</f>
        <v>0</v>
      </c>
      <c r="G2" s="6">
        <f>SUM(G4:G90)</f>
        <v>5207</v>
      </c>
      <c r="H2" s="8">
        <f>C2-G2</f>
        <v>3315.9650270000002</v>
      </c>
      <c r="I2" s="7">
        <f>IFERROR(H2/G2, 0)</f>
        <v>0.63682831323218747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8522.9650270000002</v>
      </c>
      <c r="D4" s="14" t="s">
        <v>27</v>
      </c>
      <c r="E4" s="14" t="str">
        <f>IF(AND(ISNUMBER(C4),ISNUMBER(D4)), C4-D4, "")</f>
        <v/>
      </c>
      <c r="F4" s="15" t="str">
        <f>IFERROR(E4/D4, "")</f>
        <v/>
      </c>
      <c r="G4" s="16">
        <v>5207</v>
      </c>
      <c r="H4" s="16">
        <f>IF(AND(ISNUMBER(C4),ISNUMBER(G4)), C4-G4, "")</f>
        <v>3315.9650270000002</v>
      </c>
      <c r="I4" s="17">
        <f>IFERROR(H4/G4, "")</f>
        <v>0.63682831323218747</v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80" zoomScaleNormal="80" workbookViewId="0">
      <pane ySplit="2" topLeftCell="A3" activePane="bottomLeft" state="frozen"/>
      <selection activeCell="C23" sqref="C23"/>
      <selection pane="bottomLeft" activeCell="G4" sqref="G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SUM(C4:C90)</f>
        <v>9886.7999999999993</v>
      </c>
      <c r="D2" s="6">
        <f>SUM(D4:D90)</f>
        <v>0</v>
      </c>
      <c r="E2" s="6">
        <f>C2-D2</f>
        <v>9886.7999999999993</v>
      </c>
      <c r="F2" s="7">
        <f>IFERROR(E2/D2, 0)</f>
        <v>0</v>
      </c>
      <c r="G2" s="6">
        <f>SUM(G4:G90)</f>
        <v>5861</v>
      </c>
      <c r="H2" s="8">
        <f>C2-G2</f>
        <v>4025.7999999999993</v>
      </c>
      <c r="I2" s="7">
        <f>IFERROR(H2/G2, 0)</f>
        <v>0.68687937212079841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9886.7999999999993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5861</v>
      </c>
      <c r="H4" s="16">
        <f>IF(AND(ISNUMBER(C4),ISNUMBER(G4)), C4-G4, "")</f>
        <v>4025.7999999999993</v>
      </c>
      <c r="I4" s="17">
        <f>IFERROR(H4/G4, "")</f>
        <v>0.68687937212079841</v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90" zoomScaleNormal="90" workbookViewId="0">
      <pane ySplit="2" topLeftCell="A3" activePane="bottomLeft" state="frozen"/>
      <selection activeCell="C23" sqref="C23"/>
      <selection pane="bottomLeft" activeCell="G4" sqref="G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SUM(C4:C90)</f>
        <v>10029.375</v>
      </c>
      <c r="D2" s="6">
        <f>SUM(D4:D90)</f>
        <v>0</v>
      </c>
      <c r="E2" s="6">
        <f>C2-D2</f>
        <v>10029.375</v>
      </c>
      <c r="F2" s="7">
        <f>IFERROR(E2/D2, 0)</f>
        <v>0</v>
      </c>
      <c r="G2" s="6">
        <f>SUM(G4:G90)</f>
        <v>7082</v>
      </c>
      <c r="H2" s="8">
        <f>C2-G2</f>
        <v>2947.375</v>
      </c>
      <c r="I2" s="7">
        <f>IFERROR(H2/G2, 0)</f>
        <v>0.41617833945213217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10029.375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7082</v>
      </c>
      <c r="H4" s="16">
        <f>IF(AND(ISNUMBER(C4),ISNUMBER(G4)), C4-G4, "")</f>
        <v>2947.375</v>
      </c>
      <c r="I4" s="17">
        <f>IFERROR(H4/G4, "")</f>
        <v>0.41617833945213217</v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abSelected="1" topLeftCell="B1" workbookViewId="0">
      <pane ySplit="2" topLeftCell="A3" activePane="bottomLeft" state="frozen"/>
      <selection activeCell="C23" sqref="C23"/>
      <selection pane="bottomLeft" activeCell="H18" sqref="H18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SUM(C4:C90)</f>
        <v>11174.924999999999</v>
      </c>
      <c r="D2" s="6">
        <f>SUM(D4:D90)</f>
        <v>0</v>
      </c>
      <c r="E2" s="6">
        <f>C2-D2</f>
        <v>11174.924999999999</v>
      </c>
      <c r="F2" s="7">
        <f>IFERROR(E2/D2, 0)</f>
        <v>0</v>
      </c>
      <c r="G2" s="6">
        <f>SUM(G4:G90)</f>
        <v>7101</v>
      </c>
      <c r="H2" s="8">
        <f>C2-G2</f>
        <v>4073.9249999999993</v>
      </c>
      <c r="I2" s="7">
        <f>IFERROR(H2/G2, 0)</f>
        <v>0.57371144909167715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11174.924999999999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7101</v>
      </c>
      <c r="H4" s="16">
        <f>IF(AND(ISNUMBER(C4),ISNUMBER(G4)), C4-G4, "")</f>
        <v>4073.9249999999993</v>
      </c>
      <c r="I4" s="17">
        <f>IFERROR(H4/G4, "")</f>
        <v>0.57371144909167715</v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activeCell="C23" sqref="C23"/>
      <selection pane="bottomLeft" activeCell="C23" sqref="C23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activeCell="C23" sqref="C23"/>
      <selection pane="bottomLeft" activeCell="C23" sqref="C23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" x14ac:dyDescent="0.3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" x14ac:dyDescent="0.3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" x14ac:dyDescent="0.3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" x14ac:dyDescent="0.3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" x14ac:dyDescent="0.3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" x14ac:dyDescent="0.3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activeCell="C23" sqref="C23"/>
      <selection pane="bottomLeft" activeCell="C23" sqref="C23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activeCell="C23" sqref="C23"/>
      <selection pane="bottomLeft" activeCell="C23" sqref="C23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activeCell="C23" sqref="C23"/>
      <selection pane="bottomLeft" activeCell="C23" sqref="C23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activeCell="C23" sqref="C23"/>
      <selection pane="bottomLeft" activeCell="C23" sqref="C23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4" t="str" cm="1">
        <f t="array" ref="A1">portfolio</f>
        <v>Willwork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5"/>
      <c r="K1" s="5"/>
    </row>
    <row r="2" spans="1:11" ht="19.5" customHeight="1" x14ac:dyDescent="0.25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activeCell="A16" sqref="A16:XFD24"/>
      <selection pane="bottomLeft" activeCell="B20" sqref="B20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18.33203125" customWidth="1"/>
    <col min="6" max="14" width="9.109375" customWidth="1"/>
  </cols>
  <sheetData>
    <row r="1" spans="1:7" ht="12.75" customHeight="1" x14ac:dyDescent="0.25">
      <c r="A1" t="s">
        <v>46</v>
      </c>
      <c r="B1" t="s">
        <v>47</v>
      </c>
    </row>
    <row r="3" spans="1:7" ht="13.2" x14ac:dyDescent="0.2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4" x14ac:dyDescent="0.3">
      <c r="A4" t="s">
        <v>51</v>
      </c>
      <c r="B4" t="s">
        <v>52</v>
      </c>
      <c r="C4" s="4" t="s">
        <v>53</v>
      </c>
      <c r="D4" t="s">
        <v>54</v>
      </c>
      <c r="E4" t="s">
        <v>55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2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3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4.xml><?xml version="1.0" encoding="utf-8"?>
<ds:datastoreItem xmlns:ds="http://schemas.openxmlformats.org/officeDocument/2006/customXml" ds:itemID="{8CEB345E-841A-422D-B73A-0505D2B73A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7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8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9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0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1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2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3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4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5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6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7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8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9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2025-07-17T06:09:16Z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