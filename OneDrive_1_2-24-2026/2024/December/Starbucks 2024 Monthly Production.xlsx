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22" documentId="13_ncr:1_{F1961748-8FFD-495F-87CA-9B16E838E30F}" xr6:coauthVersionLast="47" xr6:coauthVersionMax="47" xr10:uidLastSave="{B21B22E9-26F7-4893-9790-3576DCFE7AC2}"/>
  <bookViews>
    <workbookView xWindow="-98" yWindow="-98" windowWidth="21795" windowHeight="12975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4" i="30"/>
  <c r="G4" i="29"/>
  <c r="I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E2" i="28" s="1"/>
  <c r="F2" i="28" s="1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H2" i="20" s="1"/>
  <c r="I2" i="20" s="1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G2" i="72"/>
  <c r="D2" i="72"/>
  <c r="C2" i="72"/>
  <c r="J2" i="72" s="1"/>
  <c r="E4" i="72"/>
  <c r="F4" i="72" s="1"/>
  <c r="A1" i="72" a="1"/>
  <c r="A1" i="72" s="1"/>
  <c r="E4" i="30" l="1"/>
  <c r="F4" i="30" s="1"/>
  <c r="H2" i="33"/>
  <c r="I2" i="33" s="1"/>
  <c r="J2" i="33"/>
  <c r="H2" i="27"/>
  <c r="I2" i="27" s="1"/>
  <c r="H2" i="19"/>
  <c r="I2" i="19" s="1"/>
  <c r="E2" i="20"/>
  <c r="F2" i="20" s="1"/>
  <c r="H2" i="21"/>
  <c r="I2" i="21" s="1"/>
  <c r="H2" i="4"/>
  <c r="I2" i="4" s="1"/>
  <c r="J2" i="4"/>
  <c r="J2" i="21"/>
  <c r="E4" i="18"/>
  <c r="F4" i="18" s="1"/>
  <c r="J2" i="20"/>
  <c r="J2" i="19"/>
  <c r="H2" i="26"/>
  <c r="I2" i="26" s="1"/>
  <c r="J2" i="26"/>
  <c r="J2" i="27"/>
  <c r="H2" i="28"/>
  <c r="I2" i="28" s="1"/>
  <c r="J2" i="28"/>
  <c r="J2" i="31"/>
  <c r="J2" i="32"/>
  <c r="D4" i="34"/>
  <c r="D2" i="34" s="1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<sst xmlns="http://schemas.openxmlformats.org/spreadsheetml/2006/main" count="258" uniqueCount="67">
  <si>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</si>
  <si>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</si>
  <si>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</si>
  <si>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</si>
  <si>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</si>
  <si>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</si>
  <si>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</si>
  <si>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</si>
  <si>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</si>
  <si>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</si>
  <si>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</si>
  <si>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</si>
  <si>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</si>
  <si>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</si>
  <si>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</si>
  <si>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</si>
  <si>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</si>
  <si>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</si>
  <si>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</si>
  <si>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</si>
  <si>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</si>
  <si>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</si>
  <si>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</si>
  <si>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</si>
  <si>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</si>
  <si>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</si>
  <si>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 xml:space="preserve">1.Inverter 4 is offline since 03/20/2024 &amp; continued. </t>
  </si>
  <si>
    <t>1.SR082349</t>
  </si>
  <si>
    <t>April Actual v. Expected</t>
  </si>
  <si>
    <t>April Actual v. Forecasted</t>
  </si>
  <si>
    <t>1. Inverter 3 tripped offline at 12:45 PM on 04/24 and was offline for the whole month</t>
  </si>
  <si>
    <t>1. SR083785</t>
  </si>
  <si>
    <t>May Actual v. Expected</t>
  </si>
  <si>
    <t>May Actual v. Forecasted</t>
  </si>
  <si>
    <t xml:space="preserve">1. Inverter 3 was offline from 04/24 and was replaced on 05/17
2. Weather station reporting 0 w/m2 from 05/28 </t>
  </si>
  <si>
    <t>1. 	SR083785
2. SR086768</t>
  </si>
  <si>
    <t>June Actual v. Expected</t>
  </si>
  <si>
    <t>June Actual v. Forecasted</t>
  </si>
  <si>
    <t>1. Weather station reporting 0 w/m2 from 05/28 due to that expected value is low</t>
  </si>
  <si>
    <t>1. SR086768</t>
  </si>
  <si>
    <t>July Actual v. Expected</t>
  </si>
  <si>
    <t>July Actual v. Forecasted</t>
  </si>
  <si>
    <t>1. The meter is not fully capturing the production of the inverters from 07/06.</t>
  </si>
  <si>
    <t>1. SR087462</t>
  </si>
  <si>
    <t>August Actual v. Expected</t>
  </si>
  <si>
    <t>August Actual v. Forecasted</t>
  </si>
  <si>
    <t>1.  Inverter 5 offline from 08/11.
2. Inverter 7 is derating from 08/14.</t>
  </si>
  <si>
    <t>1. SR088914
2. SR089045</t>
  </si>
  <si>
    <t>September Actual v. Expected</t>
  </si>
  <si>
    <t>September Actual v. Forecasted</t>
  </si>
  <si>
    <t>1. Inverter 7 being RMA'd from 09/04.
2. Inverter 5 offline from 08/11.</t>
  </si>
  <si>
    <t>1. SR089045
2.SR088914</t>
  </si>
  <si>
    <t>October Actual v. Expected</t>
  </si>
  <si>
    <t>October Actual v. Forecasted</t>
  </si>
  <si>
    <t>1. SR089045
2. SR088914</t>
  </si>
  <si>
    <t>November Actual v. Expected</t>
  </si>
  <si>
    <t>November Actual v. Forecasted</t>
  </si>
  <si>
    <t>1. Inverter 7 being RMA'd from 09/04.
2.  Inverter 5 offline from 08/11.</t>
  </si>
  <si>
    <t>December Actual v. Expected</t>
  </si>
  <si>
    <t>December Actual v. Forecasted</t>
  </si>
  <si>
    <t>Portfolio:</t>
  </si>
  <si>
    <t>Starbucks</t>
  </si>
  <si>
    <t>Site DAS Name</t>
  </si>
  <si>
    <t>Update</t>
  </si>
  <si>
    <t>DAS</t>
  </si>
  <si>
    <t>NV: Starbucks - Minden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</si>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</sst>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ySplit="2" topLeftCell="A3" activePane="bottomLeft" state="frozen"/>
      <selection pane="bottomLeft" activeCell="F13" sqref="F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SUM(C4:C88)</f>
        <v>1860493.38</v>
      </c>
      <c r="D2" s="6">
        <f>SUM(D4:D88)</f>
        <v>885962.88</v>
      </c>
      <c r="E2" s="6">
        <f>C2-D2</f>
        <v>974530.49999999988</v>
      </c>
      <c r="F2" s="7">
        <f>IFERROR(E2/D2, 0)</f>
        <v>1.0999676419851809</v>
      </c>
      <c r="G2" s="6">
        <f>SUM(G4:G88)</f>
        <v>2340152.5499999998</v>
      </c>
      <c r="H2" s="8">
        <f>C2-G2</f>
        <v>-479659.16999999993</v>
      </c>
      <c r="I2" s="7">
        <f>IFERROR(H2/G2, 0)</f>
        <v>-0.20496918886762316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SUM('1st Qtr'!C4, '2nd Qtr'!C4, '3rd Qtr'!C4, '4th Qtr'!C4)</f>
        <v>1860493.38</v>
      </c>
      <c r="D4" s="14">
        <f>SUM('1st Qtr'!D4, '2nd Qtr'!D4, '3rd Qtr'!D4, '4th Qtr'!D4)</f>
        <v>885962.88</v>
      </c>
      <c r="E4" s="14">
        <f>IF(AND(ISNUMBER(C4),ISNUMBER(D4)), C4-D4, "")</f>
        <v>974530.49999999988</v>
      </c>
      <c r="F4" s="15">
        <f>IFERROR(E4/D4, 0)</f>
        <v>1.0999676419851809</v>
      </c>
      <c r="G4" s="16">
        <f>SUM('1st Qtr'!G4,'2nd Qtr'!G4,'3rd Qtr'!G4,'4th Qtr'!G4)</f>
        <v>2340152.5499999998</v>
      </c>
      <c r="H4" s="16">
        <f>SUM('1st Qtr'!H4, '2nd Qtr'!H4, '3rd Qtr'!H4, '4th Qtr'!H4)</f>
        <v>-479659.16999999993</v>
      </c>
      <c r="I4" s="17">
        <f>IFERROR(H4/G4, 0)</f>
        <v>-0.20496918886762316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A3" activePane="bottomLeft" state="frozen"/>
      <selection pane="bottomLeft" activeCell="I5" sqref="I5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SUM(C4:C88)</f>
        <v>377896.88</v>
      </c>
      <c r="D2" s="6">
        <f>SUM(D4:D88)</f>
        <v>397843.58</v>
      </c>
      <c r="E2" s="6">
        <f>C2-D2</f>
        <v>-19946.700000000012</v>
      </c>
      <c r="F2" s="7">
        <f>IFERROR(E2/D2, 0)</f>
        <v>-5.0137041296481423E-2</v>
      </c>
      <c r="G2" s="6">
        <f>SUM(G4:G88)</f>
        <v>339538</v>
      </c>
      <c r="H2" s="8">
        <f>C2-G2</f>
        <v>38358.880000000005</v>
      </c>
      <c r="I2" s="7">
        <f>IFERROR(H2/G2, 0)</f>
        <v>0.11297374667931132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SUM(Jan!C4, Feb!C4, Mar!C4)</f>
        <v>377896.88</v>
      </c>
      <c r="D4" s="14">
        <f>SUM(Jan!D4, Feb!D4, Mar!D4)</f>
        <v>397843.58</v>
      </c>
      <c r="E4" s="14">
        <f>IF(AND(ISNUMBER(C4),ISNUMBER(D4)), C4-D4, "")</f>
        <v>-19946.700000000012</v>
      </c>
      <c r="F4" s="15">
        <f>IFERROR(E4/D4, "")</f>
        <v>-5.0137041296481423E-2</v>
      </c>
      <c r="G4" s="16">
        <f>SUM(Jan!G4, Feb!G4, Mar!G4)</f>
        <v>339538</v>
      </c>
      <c r="H4" s="16">
        <f>SUM(Jan!H4, Feb!H4, Mar!H4)</f>
        <v>38358.880000000005</v>
      </c>
      <c r="I4" s="17">
        <f>IFERROR(H4/G4, 0)</f>
        <v>0.11297374667931132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SUM(C4:C89)</f>
        <v>776333</v>
      </c>
      <c r="D2" s="6">
        <f>SUM(D4:D89)</f>
        <v>488119.3</v>
      </c>
      <c r="E2" s="6">
        <f>C2-D2</f>
        <v>288213.7</v>
      </c>
      <c r="F2" s="7">
        <f>IFERROR(E2/D2, 0)</f>
        <v>0.5904574967635986</v>
      </c>
      <c r="G2" s="6">
        <f>SUM(G4:G89)</f>
        <v>797034.72</v>
      </c>
      <c r="H2" s="8">
        <f>C2-G2</f>
        <v>-20701.719999999972</v>
      </c>
      <c r="I2" s="7">
        <f>IFERROR(H2/G2, 0)</f>
        <v>-2.5973423090025455E-2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SUM(Apr!C4, May!C4, Jun!C4)</f>
        <v>776333</v>
      </c>
      <c r="D4" s="14">
        <f>SUM(Apr!D4, May!D4, Jun!D4)</f>
        <v>488119.3</v>
      </c>
      <c r="E4" s="14">
        <f>IF(AND(ISNUMBER(C4),ISNUMBER(D4)), C4-D4, "")</f>
        <v>288213.7</v>
      </c>
      <c r="F4" s="15">
        <f>IFERROR(E4/D4, "")</f>
        <v>0.5904574967635986</v>
      </c>
      <c r="G4" s="16">
        <f>SUM(Apr!G4,May!G4,Jun!G4)</f>
        <v>797034.72</v>
      </c>
      <c r="H4" s="16">
        <f>SUM(Apr!H4, May!H4, Jun!H4)</f>
        <v>-20701.72</v>
      </c>
      <c r="I4" s="17">
        <f>IFERROR(H4/G4, "")</f>
        <v>-2.5973423090025489E-2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ySplit="2" topLeftCell="A3" activePane="bottomLeft" state="frozen"/>
      <selection pane="bottomLeft" activeCell="D4" sqref="D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SUM(C4:C80)</f>
        <v>502114.25</v>
      </c>
      <c r="D2" s="6">
        <f>SUM(D4:D80)</f>
        <v>0</v>
      </c>
      <c r="E2" s="6">
        <f>C2-D2</f>
        <v>502114.25</v>
      </c>
      <c r="F2" s="7">
        <f>IFERROR(E2/D2, 0)</f>
        <v>0</v>
      </c>
      <c r="G2" s="6">
        <f>SUM(G4:G80)</f>
        <v>806787.2</v>
      </c>
      <c r="H2" s="8">
        <f>C2-G2</f>
        <v>-304672.94999999995</v>
      </c>
      <c r="I2" s="7">
        <f>IFERROR(H2/G2, 0)</f>
        <v>-0.37763731254040717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SUM(Jul!C4, Aug!C4, Sep!C4)</f>
        <v>502114.25</v>
      </c>
      <c r="D4" s="14">
        <f>SUM(Jul!D4, Aug!D4, Sep!D4)</f>
        <v>0</v>
      </c>
      <c r="E4" s="14">
        <f>IF(AND(ISNUMBER(C4),ISNUMBER(D4)), C4-D4, "")</f>
        <v>502114.25</v>
      </c>
      <c r="F4" s="15" t="str">
        <f>IFERROR(E4/D4, "")</f>
        <v/>
      </c>
      <c r="G4" s="16">
        <f>SUM(Jul!G4,Aug!G4,Sep!G4)</f>
        <v>806787.2</v>
      </c>
      <c r="H4" s="16">
        <f>SUM(Jul!H4, Aug!H4, Sep!H4)</f>
        <v>-304672.94999999995</v>
      </c>
      <c r="I4" s="17">
        <f>IFERROR(H4/G4, "")</f>
        <v>-0.37763731254040717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204149.25</v>
      </c>
      <c r="D2" s="6">
        <f>SUM(D4:D89)</f>
        <v>0</v>
      </c>
      <c r="E2" s="6">
        <f>C2-D2</f>
        <v>204149.25</v>
      </c>
      <c r="F2" s="7">
        <f>IFERROR(E2/D2, 0)</f>
        <v>0</v>
      </c>
      <c r="G2" s="6">
        <f>SUM(G4:G89)</f>
        <v>396792.63</v>
      </c>
      <c r="H2" s="8">
        <f>C2-G2</f>
        <v>-192643.38</v>
      </c>
      <c r="I2" s="7">
        <f>IFERROR(H2/G2, 0)</f>
        <v>-0.48550140661634772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SUM(Oct!C4, Nov!C4, Dec!C4)</f>
        <v>204149.25</v>
      </c>
      <c r="D4" s="14">
        <f>SUM(Oct!D4, Nov!D4, Dec!D4)</f>
        <v>0</v>
      </c>
      <c r="E4" s="14">
        <f>IF(AND(ISNUMBER(C4),ISNUMBER(D4)), C4-D4, "")</f>
        <v>204149.25</v>
      </c>
      <c r="F4" s="15" t="str">
        <f>IFERROR(E4/D4, "")</f>
        <v/>
      </c>
      <c r="G4" s="16">
        <f>SUM(Oct!G4,Nov!G4,Dec!G4)</f>
        <v>396792.63</v>
      </c>
      <c r="H4" s="16">
        <f>SUM(Oct!H4, Nov!H4, Dec!H4)</f>
        <v>-192643.38</v>
      </c>
      <c r="I4" s="17">
        <f>IFERROR(H4/G4, "")</f>
        <v>-0.48550140661634772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3" sqref="E13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89237.88</v>
      </c>
      <c r="D2" s="6">
        <f>SUM(D4:D89)</f>
        <v>92249.58</v>
      </c>
      <c r="E2" s="6">
        <f>C2-D2</f>
        <v>-3011.6999999999971</v>
      </c>
      <c r="F2" s="7">
        <f>IFERROR(E2/D2, 0)</f>
        <v>-3.2647303109672662E-2</v>
      </c>
      <c r="G2" s="6">
        <f>SUM(G4:G89)</f>
        <v>0</v>
      </c>
      <c r="H2" s="8">
        <f>C2-G2</f>
        <v>89237.88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89237.88</v>
      </c>
      <c r="D4" s="14">
        <v>92249.58</v>
      </c>
      <c r="E4" s="14">
        <f>IF(AND(ISNUMBER(C4),ISNUMBER(D4)), C4-D4, "")</f>
        <v>-3011.6999999999971</v>
      </c>
      <c r="F4" s="15">
        <f>IFERROR(E4/D4, "")</f>
        <v>-3.2647303109672662E-2</v>
      </c>
      <c r="G4" s="16">
        <v>0</v>
      </c>
      <c r="H4" s="16">
        <f>IF(AND(ISNUMBER(C4),ISNUMBER(G4)), C4-G4, "")</f>
        <v>89237.88</v>
      </c>
      <c r="I4" s="17">
        <f>IFERROR(H4/G4, 0)</f>
        <v>0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workbookViewId="0">
      <pane ySplit="2" topLeftCell="A3" activePane="bottomLeft" state="frozen"/>
      <selection pane="bottomLeft" activeCell="F20" sqref="F20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122811</v>
      </c>
      <c r="D2" s="6">
        <f>SUM(D4:D89)</f>
        <v>123904</v>
      </c>
      <c r="E2" s="6">
        <f>C2-D2</f>
        <v>-1093</v>
      </c>
      <c r="F2" s="7">
        <f>IFERROR(E2/D2, 0)</f>
        <v>-8.8213455578512404E-3</v>
      </c>
      <c r="G2" s="6">
        <f>SUM(G4:G89)</f>
        <v>139658</v>
      </c>
      <c r="H2" s="8">
        <f>C2-G2</f>
        <v>-16847</v>
      </c>
      <c r="I2" s="7">
        <f>IFERROR(H2/G2, 0)</f>
        <v>-0.12063039711294735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122811</v>
      </c>
      <c r="D4" s="14">
        <v>123904</v>
      </c>
      <c r="E4" s="14">
        <f>IF(AND(ISNUMBER(C4),ISNUMBER(D4)), C4-D4, "")</f>
        <v>-1093</v>
      </c>
      <c r="F4" s="15">
        <f>IFERROR(E4/D4, "")</f>
        <v>-8.8213455578512404E-3</v>
      </c>
      <c r="G4" s="16">
        <v>139658</v>
      </c>
      <c r="H4" s="16">
        <f>IF(AND(ISNUMBER(C4),ISNUMBER(G4)), C4-G4, "")</f>
        <v>-16847</v>
      </c>
      <c r="I4" s="17">
        <f>IFERROR(H4/G4, "")</f>
        <v>-0.12063039711294735</v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3.9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4" sqref="J4:K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165848</v>
      </c>
      <c r="D2" s="6">
        <f>SUM(D4:D90)</f>
        <v>181690</v>
      </c>
      <c r="E2" s="6">
        <f>C2-D2</f>
        <v>-15842</v>
      </c>
      <c r="F2" s="7">
        <f>IFERROR(E2/D2, 0)</f>
        <v>-8.7192470691837748E-2</v>
      </c>
      <c r="G2" s="6">
        <f>SUM(G4:G90)</f>
        <v>199880</v>
      </c>
      <c r="H2" s="8">
        <f>C2-G2</f>
        <v>-34032</v>
      </c>
      <c r="I2" s="7">
        <f>IFERROR(H2/G2, 0)</f>
        <v>-0.17026215729437663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165848</v>
      </c>
      <c r="D4" s="14">
        <v>181690</v>
      </c>
      <c r="E4" s="14">
        <f>IF(AND(ISNUMBER(C4),ISNUMBER(D4)), C4-D4, "")</f>
        <v>-15842</v>
      </c>
      <c r="F4" s="15">
        <f>IFERROR(E4/D4, "")</f>
        <v>-8.7192470691837748E-2</v>
      </c>
      <c r="G4" s="16">
        <v>199880</v>
      </c>
      <c r="H4" s="16">
        <f>IF(AND(ISNUMBER(C4),ISNUMBER(G4)), C4-G4, "")</f>
        <v>-34032</v>
      </c>
      <c r="I4" s="17">
        <f>IFERROR(H4/G4, "")</f>
        <v>-0.17026215729437663</v>
      </c>
      <c r="J4" s="18" t="s">
        <v>26</v>
      </c>
      <c r="K4" s="18" t="s">
        <v>27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H16" sqref="H16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218040.74</v>
      </c>
      <c r="D2" s="6">
        <f>SUM(D4:D90)</f>
        <v>245902.51</v>
      </c>
      <c r="E2" s="6">
        <f>C2-D2</f>
        <v>-27861.770000000019</v>
      </c>
      <c r="F2" s="7">
        <f>IFERROR(E2/D2, 0)</f>
        <v>-0.11330413016117655</v>
      </c>
      <c r="G2" s="6">
        <f>SUM(G4:G90)</f>
        <v>235942.91</v>
      </c>
      <c r="H2" s="8">
        <f>C2-G2</f>
        <v>-17902.170000000013</v>
      </c>
      <c r="I2" s="7">
        <f>IFERROR(H2/G2, 0)</f>
        <v>-7.5875007221026525E-2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218040.74</v>
      </c>
      <c r="D4" s="14">
        <v>245902.51</v>
      </c>
      <c r="E4" s="14">
        <f>IF(AND(ISNUMBER(C4),ISNUMBER(D4)), C4-D4, "")</f>
        <v>-27861.770000000019</v>
      </c>
      <c r="F4" s="15">
        <f>IFERROR(E4/D4, "")</f>
        <v>-0.11330413016117655</v>
      </c>
      <c r="G4" s="16">
        <v>235942.91</v>
      </c>
      <c r="H4" s="16">
        <f>IF(AND(ISNUMBER(C4),ISNUMBER(G4)), C4-G4, "")</f>
        <v>-17902.170000000013</v>
      </c>
      <c r="I4" s="17">
        <f>IFERROR(H4/G4, "")</f>
        <v>-7.5875007221026525E-2</v>
      </c>
      <c r="J4" s="18" t="s">
        <v>30</v>
      </c>
      <c r="K4" s="18" t="s">
        <v>31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workbookViewId="0">
      <pane ySplit="2" topLeftCell="A3" activePane="bottomLeft" state="frozen"/>
      <selection pane="bottomLeft" activeCell="J4" sqref="J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268728.5</v>
      </c>
      <c r="D2" s="6">
        <f>SUM(D4:D90)</f>
        <v>242173.18</v>
      </c>
      <c r="E2" s="6">
        <f>C2-D2</f>
        <v>26555.320000000007</v>
      </c>
      <c r="F2" s="7">
        <f>IFERROR(E2/D2, 0)</f>
        <v>0.10965425651180699</v>
      </c>
      <c r="G2" s="6">
        <f>SUM(G4:G90)</f>
        <v>271501.45</v>
      </c>
      <c r="H2" s="8">
        <f>C2-G2</f>
        <v>-2772.9500000000116</v>
      </c>
      <c r="I2" s="7">
        <f>IFERROR(H2/G2, 0)</f>
        <v>-1.0213389283924677E-2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268728.5</v>
      </c>
      <c r="D4" s="14">
        <v>242173.18</v>
      </c>
      <c r="E4" s="14">
        <f>IF(AND(ISNUMBER(C4),ISNUMBER(D4)), C4-D4, "")</f>
        <v>26555.320000000007</v>
      </c>
      <c r="F4" s="15">
        <f>IFERROR(E4/D4, "")</f>
        <v>0.10965425651180699</v>
      </c>
      <c r="G4" s="16">
        <v>271501.45</v>
      </c>
      <c r="H4" s="16">
        <f>IF(AND(ISNUMBER(C4),ISNUMBER(G4)), C4-G4, "")</f>
        <v>-2772.9500000000116</v>
      </c>
      <c r="I4" s="17">
        <f>IFERROR(H4/G4, "")</f>
        <v>-1.0213389283924677E-2</v>
      </c>
      <c r="J4" s="18" t="s">
        <v>34</v>
      </c>
      <c r="K4" s="18" t="s">
        <v>35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D14" sqref="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289563.76</v>
      </c>
      <c r="D2" s="6">
        <f>SUM(D4:D90)</f>
        <v>43.61</v>
      </c>
      <c r="E2" s="6">
        <f>C2-D2</f>
        <v>289520.15000000002</v>
      </c>
      <c r="F2" s="7">
        <f>IFERROR(E2/D2, 0)</f>
        <v>6638.8477413437295</v>
      </c>
      <c r="G2" s="6">
        <f>SUM(G4:G90)</f>
        <v>289590.36</v>
      </c>
      <c r="H2" s="8">
        <f>C2-G2</f>
        <v>-26.599999999976717</v>
      </c>
      <c r="I2" s="7">
        <f>IFERROR(H2/G2, 0)</f>
        <v>-9.1853886296410967E-5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289563.76</v>
      </c>
      <c r="D4" s="14">
        <v>43.61</v>
      </c>
      <c r="E4" s="14">
        <f>IF(AND(ISNUMBER(C4),ISNUMBER(D4)), C4-D4, "")</f>
        <v>289520.15000000002</v>
      </c>
      <c r="F4" s="15">
        <f>IFERROR(E4/D4, "")</f>
        <v>6638.8477413437295</v>
      </c>
      <c r="G4" s="16">
        <v>289590.36</v>
      </c>
      <c r="H4" s="16">
        <f>IF(AND(ISNUMBER(C4),ISNUMBER(G4)), C4-G4, "")</f>
        <v>-26.599999999976717</v>
      </c>
      <c r="I4" s="17">
        <f>IFERROR(H4/G4, "")</f>
        <v>-9.1853886296410967E-5</v>
      </c>
      <c r="J4" s="18" t="s">
        <v>38</v>
      </c>
      <c r="K4" s="18" t="s">
        <v>39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219598.62</v>
      </c>
      <c r="D2" s="6">
        <f>SUM(D4:D90)</f>
        <v>0</v>
      </c>
      <c r="E2" s="6">
        <f>C2-D2</f>
        <v>219598.62</v>
      </c>
      <c r="F2" s="7">
        <f>IFERROR(E2/D2, 0)</f>
        <v>0</v>
      </c>
      <c r="G2" s="6">
        <f>SUM(G4:G90)</f>
        <v>294644.09999999998</v>
      </c>
      <c r="H2" s="8">
        <f>C2-G2</f>
        <v>-75045.479999999981</v>
      </c>
      <c r="I2" s="7">
        <f>IFERROR(H2/G2, 0)</f>
        <v>-0.25469873654351127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219598.62</v>
      </c>
      <c r="D4" s="14">
        <v>0</v>
      </c>
      <c r="E4" s="14">
        <f>IF(AND(ISNUMBER(C4),ISNUMBER(D4)), C4-D4, "")</f>
        <v>219598.62</v>
      </c>
      <c r="F4" s="15" t="str">
        <f>IFERROR(E4/D4, "")</f>
        <v/>
      </c>
      <c r="G4" s="16">
        <v>294644.09999999998</v>
      </c>
      <c r="H4" s="16">
        <f>IF(AND(ISNUMBER(C4),ISNUMBER(G4)), C4-G4, "")</f>
        <v>-75045.479999999981</v>
      </c>
      <c r="I4" s="17">
        <f>IFERROR(H4/G4, "")</f>
        <v>-0.25469873654351127</v>
      </c>
      <c r="J4" s="18" t="s">
        <v>42</v>
      </c>
      <c r="K4" s="18" t="s">
        <v>43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J18" sqref="J18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162441.88</v>
      </c>
      <c r="D2" s="6">
        <f>SUM(D4:D90)</f>
        <v>0</v>
      </c>
      <c r="E2" s="6">
        <f>C2-D2</f>
        <v>162441.88</v>
      </c>
      <c r="F2" s="7">
        <f>IFERROR(E2/D2, 0)</f>
        <v>0</v>
      </c>
      <c r="G2" s="6">
        <f>SUM(G4:G90)</f>
        <v>282240.89</v>
      </c>
      <c r="H2" s="8">
        <f>C2-G2</f>
        <v>-119799.01000000001</v>
      </c>
      <c r="I2" s="7">
        <f>IFERROR(H2/G2, 0)</f>
        <v>-0.42445660513613037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0" customHeight="1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162441.88</v>
      </c>
      <c r="D4" s="14">
        <v>0</v>
      </c>
      <c r="E4" s="14">
        <f>IF(AND(ISNUMBER(C4),ISNUMBER(D4)), C4-D4, "")</f>
        <v>162441.88</v>
      </c>
      <c r="F4" s="15" t="str">
        <f>IFERROR(E4/D4, "")</f>
        <v/>
      </c>
      <c r="G4" s="16">
        <v>282240.89</v>
      </c>
      <c r="H4" s="16">
        <f>IF(AND(ISNUMBER(C4),ISNUMBER(G4)), C4-G4, "")</f>
        <v>-119799.01000000001</v>
      </c>
      <c r="I4" s="17">
        <f>IFERROR(H4/G4, "")</f>
        <v>-0.42445660513613037</v>
      </c>
      <c r="J4" s="18" t="s">
        <v>46</v>
      </c>
      <c r="K4" s="18" t="s">
        <v>47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J19" sqref="J19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48</v>
      </c>
      <c r="E1" s="45"/>
      <c r="F1" s="45"/>
      <c r="G1" s="43" t="s">
        <v>49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120073.75</v>
      </c>
      <c r="D2" s="6">
        <f>SUM(D4:D90)</f>
        <v>0</v>
      </c>
      <c r="E2" s="6">
        <f>C2-D2</f>
        <v>120073.75</v>
      </c>
      <c r="F2" s="7">
        <f>IFERROR(E2/D2, 0)</f>
        <v>0</v>
      </c>
      <c r="G2" s="6">
        <f>SUM(G4:G90)</f>
        <v>229902.21</v>
      </c>
      <c r="H2" s="8">
        <f>C2-G2</f>
        <v>-109828.45999999999</v>
      </c>
      <c r="I2" s="7">
        <f>IFERROR(H2/G2, 0)</f>
        <v>-0.47771815677630936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120073.75</v>
      </c>
      <c r="D4" s="14">
        <v>0</v>
      </c>
      <c r="E4" s="14">
        <f>IF(AND(ISNUMBER(C4),ISNUMBER(D4)), C4-D4, "")</f>
        <v>120073.75</v>
      </c>
      <c r="F4" s="15" t="str">
        <f>IFERROR(E4/D4, "")</f>
        <v/>
      </c>
      <c r="G4" s="16">
        <v>229902.21</v>
      </c>
      <c r="H4" s="16">
        <f>IF(AND(ISNUMBER(C4),ISNUMBER(G4)), C4-G4, "")</f>
        <v>-109828.45999999999</v>
      </c>
      <c r="I4" s="17">
        <f>IFERROR(H4/G4, "")</f>
        <v>-0.47771815677630936</v>
      </c>
      <c r="J4" s="18" t="s">
        <v>50</v>
      </c>
      <c r="K4" s="18" t="s">
        <v>51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opLeftCell="B1" zoomScale="90" zoomScaleNormal="90" workbookViewId="0">
      <pane ySplit="2" topLeftCell="A3" activePane="bottomLeft" state="frozen"/>
      <selection pane="bottomLeft" activeCell="J11" sqref="J11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52</v>
      </c>
      <c r="E1" s="45"/>
      <c r="F1" s="45"/>
      <c r="G1" s="43" t="s">
        <v>53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94494.5</v>
      </c>
      <c r="D2" s="6">
        <f>SUM(D4:D90)</f>
        <v>0</v>
      </c>
      <c r="E2" s="6">
        <f>C2-D2</f>
        <v>94494.5</v>
      </c>
      <c r="F2" s="7">
        <f>IFERROR(E2/D2, 0)</f>
        <v>0</v>
      </c>
      <c r="G2" s="6">
        <f>SUM(G4:G90)</f>
        <v>180729.19</v>
      </c>
      <c r="H2" s="8">
        <f>C2-G2</f>
        <v>-86234.69</v>
      </c>
      <c r="I2" s="7">
        <f>IFERROR(H2/G2, 0)</f>
        <v>-0.47714865539982776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94494.5</v>
      </c>
      <c r="D4" s="14">
        <v>0</v>
      </c>
      <c r="E4" s="14">
        <f>IF(AND(ISNUMBER(C4),ISNUMBER(D4)), C4-D4, "")</f>
        <v>94494.5</v>
      </c>
      <c r="F4" s="15" t="str">
        <f>IFERROR(E4/D4, "")</f>
        <v/>
      </c>
      <c r="G4" s="16">
        <v>180729.19</v>
      </c>
      <c r="H4" s="16">
        <f>IF(AND(ISNUMBER(C4),ISNUMBER(G4)), C4-G4, "")</f>
        <v>-86234.69</v>
      </c>
      <c r="I4" s="17">
        <f>IFERROR(H4/G4, "")</f>
        <v>-0.47714865539982776</v>
      </c>
      <c r="J4" s="18" t="s">
        <v>50</v>
      </c>
      <c r="K4" s="18" t="s">
        <v>54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J13" sqref="J13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55</v>
      </c>
      <c r="E1" s="45"/>
      <c r="F1" s="45"/>
      <c r="G1" s="43" t="s">
        <v>56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60788.25</v>
      </c>
      <c r="D2" s="6">
        <f>SUM(D4:D90)</f>
        <v>0</v>
      </c>
      <c r="E2" s="6">
        <f>C2-D2</f>
        <v>60788.25</v>
      </c>
      <c r="F2" s="7">
        <f>IFERROR(E2/D2, 0)</f>
        <v>0</v>
      </c>
      <c r="G2" s="6">
        <f>SUM(G4:G90)</f>
        <v>120248.17</v>
      </c>
      <c r="H2" s="8">
        <f>C2-G2</f>
        <v>-59459.92</v>
      </c>
      <c r="I2" s="7">
        <f>IFERROR(H2/G2, 0)</f>
        <v>-0.49447671428180567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60788.25</v>
      </c>
      <c r="D4" s="14">
        <v>0</v>
      </c>
      <c r="E4" s="14">
        <f>IF(AND(ISNUMBER(C4),ISNUMBER(D4)), C4-D4, "")</f>
        <v>60788.25</v>
      </c>
      <c r="F4" s="15" t="str">
        <f>IFERROR(E4/D4, "")</f>
        <v/>
      </c>
      <c r="G4" s="16">
        <v>120248.17</v>
      </c>
      <c r="H4" s="16">
        <f>IF(AND(ISNUMBER(C4),ISNUMBER(G4)), C4-G4, "")</f>
        <v>-59459.92</v>
      </c>
      <c r="I4" s="17">
        <f>IFERROR(H4/G4, "")</f>
        <v>-0.49447671428180567</v>
      </c>
      <c r="J4" s="18" t="s">
        <v>57</v>
      </c>
      <c r="K4" s="18" t="s">
        <v>54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tabSelected="1" topLeftCell="B1" zoomScale="80" zoomScaleNormal="80" workbookViewId="0">
      <pane ySplit="2" topLeftCell="A3" activePane="bottomLeft" state="frozen"/>
      <selection pane="bottomLeft" activeCell="J10" sqref="J1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58</v>
      </c>
      <c r="E1" s="45"/>
      <c r="F1" s="45"/>
      <c r="G1" s="43" t="s">
        <v>59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48866.5</v>
      </c>
      <c r="D2" s="6">
        <f>SUM(D4:D90)</f>
        <v>0</v>
      </c>
      <c r="E2" s="6">
        <f>C2-D2</f>
        <v>48866.5</v>
      </c>
      <c r="F2" s="7">
        <f>IFERROR(E2/D2, 0)</f>
        <v>0</v>
      </c>
      <c r="G2" s="6">
        <f>SUM(G4:G90)</f>
        <v>95815.27</v>
      </c>
      <c r="H2" s="8">
        <f>C2-G2</f>
        <v>-46948.770000000004</v>
      </c>
      <c r="I2" s="7">
        <f>IFERROR(H2/G2, 0)</f>
        <v>-0.48999256590311757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 customHeight="1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48866.5</v>
      </c>
      <c r="D4" s="14">
        <v>0</v>
      </c>
      <c r="E4" s="14">
        <f>IF(AND(ISNUMBER(C4),ISNUMBER(D4)), C4-D4, "")</f>
        <v>48866.5</v>
      </c>
      <c r="F4" s="15" t="str">
        <f>IFERROR(E4/D4, "")</f>
        <v/>
      </c>
      <c r="G4" s="16">
        <v>95815.27</v>
      </c>
      <c r="H4" s="16">
        <f>IF(AND(ISNUMBER(C4),ISNUMBER(G4)), C4-G4, "")</f>
        <v>-46948.770000000004</v>
      </c>
      <c r="I4" s="17">
        <f>IFERROR(H4/G4, "")</f>
        <v>-0.48999256590311757</v>
      </c>
      <c r="J4" s="18" t="s">
        <v>50</v>
      </c>
      <c r="K4" s="18" t="s">
        <v>54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A10" sqref="A10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60</v>
      </c>
      <c r="B1" s="36" t="s">
        <v>61</v>
      </c>
    </row>
    <row r="3" spans="1:7">
      <c r="A3" t="s">
        <v>62</v>
      </c>
      <c r="B3" t="s">
        <v>3</v>
      </c>
      <c r="C3" t="s">
        <v>4</v>
      </c>
      <c r="D3" t="s">
        <v>63</v>
      </c>
      <c r="E3" s="2" t="s">
        <v>64</v>
      </c>
    </row>
    <row r="4" spans="1:7" ht="14.25">
      <c r="A4" t="s">
        <v>65</v>
      </c>
      <c r="B4" t="s">
        <v>65</v>
      </c>
      <c r="C4" s="4" t="s">
        <v>66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2025-02-13T07:14:59Z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