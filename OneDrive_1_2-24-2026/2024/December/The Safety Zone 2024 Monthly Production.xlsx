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2" documentId="13_ncr:1_{3C964432-3E10-4A38-80B9-8486D5520149}" xr6:coauthVersionLast="47" xr6:coauthVersionMax="47" xr10:uidLastSave="{42E57522-CDDB-4331-8F00-FD0CB660CBE1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3" l="1"/>
  <c r="H4" i="32"/>
  <c r="G4" i="30"/>
  <c r="G2" i="30" s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<sst xmlns="http://schemas.openxmlformats.org/spreadsheetml/2006/main" count="244" uniqueCount="57">
  <si>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</si>
  <si>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</si>
  <si>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</si>
  <si>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</si>
  <si>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</si>
  <si>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</si>
  <si>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</si>
  <si>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</si>
  <si>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</si>
  <si>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</si>
  <si>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</si>
  <si>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</si>
  <si>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</si>
  <si>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</si>
  <si>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</si>
  <si>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</si>
  <si>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</si>
  <si>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</si>
  <si>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</si>
  <si>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</si>
  <si>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</si>
  <si>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</si>
  <si>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</si>
  <si>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</si>
  <si>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</si>
  <si>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</si>
  <si>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</si>
  <si>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</si>
  <si>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</si>
  <si>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</si>
  <si>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</si>
  <si>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</si>
  <si>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A tripped offline on 06/07 at 10:45 &amp; back online at 11:15 on same day and again tripped offline on 06/11 at 12:30 &amp; back online at 13:45 on same day.</t>
  </si>
  <si>
    <t>1.SR085740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</si>
  <si>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</si>
  <si>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</si>
  <si>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</si>
  <si>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</si>
  <si>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</si>
  <si>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</si>
  <si>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</si>
  <si>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</si>
  <si>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</si>
  <si>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</si>
  <si>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1.Inverter is offline on 11/28 and back online at 07:00 on 11/29</t>
  </si>
  <si>
    <t>1.SR093709</t>
  </si>
  <si>
    <t>December Actual v. Expected</t>
  </si>
  <si>
    <t>December Actual v. Forecasted</t>
  </si>
  <si>
    <t>Portfolio:</t>
  </si>
  <si>
    <t>CT: Guilford - Safety Zone</t>
  </si>
  <si>
    <t>Site DAS Name</t>
  </si>
  <si>
    <t>Update</t>
  </si>
  <si>
    <t>DAS</t>
  </si>
  <si>
    <t>The Safety Zone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</si>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</sst>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23" sqref="H2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375186.5</v>
      </c>
      <c r="D2" s="5">
        <f>SUM(D4:D79)</f>
        <v>0</v>
      </c>
      <c r="E2" s="5">
        <f>C2-D2</f>
        <v>375186.5</v>
      </c>
      <c r="F2" s="6">
        <f>IFERROR(E2/D2, 0)</f>
        <v>0</v>
      </c>
      <c r="G2" s="5">
        <f>SUM(G4:G79)</f>
        <v>326787.38199999998</v>
      </c>
      <c r="H2" s="7">
        <f>C2-G2</f>
        <v>48399.118000000017</v>
      </c>
      <c r="I2" s="6">
        <f>IFERROR(H2/G2, 0)</f>
        <v>0.14810583475955635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Safety Zone</v>
      </c>
      <c r="B4" s="9" t="str" cm="1">
        <f t="array" ref="B4">Sites[State]</f>
        <v>CT</v>
      </c>
      <c r="C4" s="23">
        <f>SUM('1st Qtr'!C4, '2nd Qtr'!C4, '3rd Qtr'!C4, '4th Qtr'!C4)</f>
        <v>375186.5</v>
      </c>
      <c r="D4" s="12">
        <f>SUM('1st Qtr'!D4, '2nd Qtr'!D4, '3rd Qtr'!D4, '4th Qtr'!D4)</f>
        <v>0</v>
      </c>
      <c r="E4" s="12">
        <f>IF(AND(ISNUMBER(C4),ISNUMBER(D4)), C4-D4, "")</f>
        <v>375186.5</v>
      </c>
      <c r="F4" s="13" t="str">
        <f>IFERROR(E4/D4, "")</f>
        <v/>
      </c>
      <c r="G4" s="14">
        <f>SUM('1st Qtr'!G4, '2nd Qtr'!G4, '3rd Qtr'!G4, '4th Qtr'!G4)</f>
        <v>326787.38199999998</v>
      </c>
      <c r="H4" s="14">
        <f>SUM('1st Qtr'!H4, '2nd Qtr'!H4, '3rd Qtr'!H4, '4th Qtr'!H4)</f>
        <v>48399.117999999995</v>
      </c>
      <c r="I4" s="15">
        <f>IFERROR(H4/G4, "")</f>
        <v>0.14810583475955627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K4" activePane="bottomRight" state="frozen"/>
      <selection pane="bottomRight" activeCell="K12" sqref="K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65462</v>
      </c>
      <c r="D2" s="5">
        <f>SUM(D4:D79)</f>
        <v>0</v>
      </c>
      <c r="E2" s="5">
        <f>C2-D2</f>
        <v>65462</v>
      </c>
      <c r="F2" s="6">
        <f>IFERROR(E2/D2, 0)</f>
        <v>0</v>
      </c>
      <c r="G2" s="5">
        <f>SUM(G4:G79)</f>
        <v>61858</v>
      </c>
      <c r="H2" s="7">
        <f>C2-G2</f>
        <v>3604</v>
      </c>
      <c r="I2" s="6">
        <f>IFERROR(H2/G2, 0)</f>
        <v>5.8262472113550387E-2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SUM(Jan!C4, Feb!C4, Mar!C4)</f>
        <v>65462</v>
      </c>
      <c r="D4" s="12">
        <f>SUM(Jan!D4, Feb!D4, Mar!D4)</f>
        <v>0</v>
      </c>
      <c r="E4" s="12">
        <f>IF(AND(ISNUMBER(C4),ISNUMBER(D4)), C4-D4, "")</f>
        <v>65462</v>
      </c>
      <c r="F4" s="13" t="str">
        <f>IFERROR(E4/D4, "")</f>
        <v/>
      </c>
      <c r="G4" s="14">
        <f>SUM(Jan!G4, Feb!G4, Mar!G4)</f>
        <v>61858</v>
      </c>
      <c r="H4" s="14">
        <f>SUM(Jan!H4, Feb!H4, Mar!H4)</f>
        <v>3604</v>
      </c>
      <c r="I4" s="15">
        <f>IFERROR(H4/G4, "")</f>
        <v>5.8262472113550387E-2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123564</v>
      </c>
      <c r="D2" s="5">
        <f>SUM(D4:D79)</f>
        <v>0</v>
      </c>
      <c r="E2" s="5">
        <f>C2-D2</f>
        <v>123564</v>
      </c>
      <c r="F2" s="6">
        <f>IFERROR(E2/D2, 0)</f>
        <v>0</v>
      </c>
      <c r="G2" s="5">
        <f>SUM(G4:G79)</f>
        <v>114125.959</v>
      </c>
      <c r="H2" s="7">
        <f>C2-G2</f>
        <v>9438.0409999999974</v>
      </c>
      <c r="I2" s="6">
        <f>IFERROR(H2/G2, 0)</f>
        <v>8.2698459515244876E-2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SUM(Apr!C4, May!C4, Jun!C4)</f>
        <v>123564</v>
      </c>
      <c r="D4" s="12">
        <f>SUM(Apr!D4, May!D4, Jun!D4)</f>
        <v>0</v>
      </c>
      <c r="E4" s="12">
        <f>IF(AND(ISNUMBER(C4),ISNUMBER(D4)), C4-D4, "")</f>
        <v>123564</v>
      </c>
      <c r="F4" s="13" t="str">
        <f>IFERROR(E4/D4, "")</f>
        <v/>
      </c>
      <c r="G4" s="14">
        <f>SUM(Apr!G4,May!G4,Jun!G4)</f>
        <v>114125.959</v>
      </c>
      <c r="H4" s="14">
        <f>SUM(Apr!H4, May!H4, Jun!H4)</f>
        <v>9438.0409999999974</v>
      </c>
      <c r="I4" s="15">
        <f>IFERROR(H4/G4, "")</f>
        <v>8.2698459515244876E-2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N35" sqref="N3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114219.5</v>
      </c>
      <c r="D2" s="5">
        <f>SUM(D4:D79)</f>
        <v>0</v>
      </c>
      <c r="E2" s="5">
        <f>C2-D2</f>
        <v>114219.5</v>
      </c>
      <c r="F2" s="6">
        <f>IFERROR(E2/D2, 0)</f>
        <v>0</v>
      </c>
      <c r="G2" s="5">
        <f>SUM(G4:G79)</f>
        <v>103505.094</v>
      </c>
      <c r="H2" s="7">
        <f>C2-G2</f>
        <v>10714.406000000003</v>
      </c>
      <c r="I2" s="6">
        <f>IFERROR(H2/G2, 0)</f>
        <v>0.1035157361433825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SUM(Jul!C4, Aug!C4, Sep!C4)</f>
        <v>114219.5</v>
      </c>
      <c r="D4" s="12">
        <f>SUM(Jul!D4, Aug!D4, Sep!D4)</f>
        <v>0</v>
      </c>
      <c r="E4" s="12">
        <f>IF(AND(ISNUMBER(C4),ISNUMBER(D4)), C4-D4, "")</f>
        <v>114219.5</v>
      </c>
      <c r="F4" s="13" t="str">
        <f>IFERROR(E4/D4, "")</f>
        <v/>
      </c>
      <c r="G4" s="14">
        <f>SUM(Jul!G4,Aug!G4,Sep!G4)</f>
        <v>103505.094</v>
      </c>
      <c r="H4" s="14">
        <f>SUM(Jul!H4, Aug!H4, Sep!H4)</f>
        <v>10714.405999999999</v>
      </c>
      <c r="I4" s="15">
        <f>IFERROR(H4/G4, "")</f>
        <v>0.10351573614338247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2" sqref="F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71941</v>
      </c>
      <c r="D2" s="5">
        <f>SUM(D4:D79)</f>
        <v>0</v>
      </c>
      <c r="E2" s="5">
        <f>C2-D2</f>
        <v>71941</v>
      </c>
      <c r="F2" s="6">
        <f>IFERROR(E2/D2, 0)</f>
        <v>0</v>
      </c>
      <c r="G2" s="5">
        <f>SUM(G4:G79)</f>
        <v>47298.328999999998</v>
      </c>
      <c r="H2" s="7">
        <f>C2-G2</f>
        <v>24642.671000000002</v>
      </c>
      <c r="I2" s="6">
        <f>IFERROR(H2/G2, 0)</f>
        <v>0.52100510781258258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SUM(Oct!C4, Nov!C4, Dec!C4)</f>
        <v>71941</v>
      </c>
      <c r="D4" s="12">
        <f>SUM(Oct!D4, Nov!D4, Dec!D4)</f>
        <v>0</v>
      </c>
      <c r="E4" s="12">
        <f>IF(AND(ISNUMBER(C4),ISNUMBER(D4)), C4-D4, "")</f>
        <v>71941</v>
      </c>
      <c r="F4" s="13" t="str">
        <f>IFERROR(E4/D4, "")</f>
        <v/>
      </c>
      <c r="G4" s="14">
        <f>SUM(Oct!G4,Nov!G4,Dec!G4)</f>
        <v>47298.328999999998</v>
      </c>
      <c r="H4" s="14">
        <f>SUM(Oct!H4, Nov!H4, Dec!H4)</f>
        <v>24642.670999999998</v>
      </c>
      <c r="I4" s="15">
        <f>IFERROR(H4/G4, "")</f>
        <v>0.52100510781258258</v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10445</v>
      </c>
      <c r="D2" s="5">
        <f>SUM(D4:D78)</f>
        <v>0</v>
      </c>
      <c r="E2" s="5">
        <f>C2-D2</f>
        <v>10445</v>
      </c>
      <c r="F2" s="6">
        <f>IFERROR(E2/D2, 0)</f>
        <v>0</v>
      </c>
      <c r="G2" s="5">
        <f>SUM(G4:G78)</f>
        <v>13616</v>
      </c>
      <c r="H2" s="7">
        <f>C2-G2</f>
        <v>-3171</v>
      </c>
      <c r="I2" s="6">
        <f>IFERROR(H2/G2, 0)</f>
        <v>-0.23288777908343125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CT: Guilford - Safety Zone</v>
      </c>
      <c r="B4" s="27" t="str" cm="1">
        <f t="array" ref="B4">Sites[State]</f>
        <v>CT</v>
      </c>
      <c r="C4" s="50">
        <v>10445</v>
      </c>
      <c r="D4" s="51">
        <v>0</v>
      </c>
      <c r="E4" s="12">
        <f>IF(AND(ISNUMBER(C4),ISNUMBER(D4)), C4-D4, "")</f>
        <v>10445</v>
      </c>
      <c r="F4" s="40" t="str">
        <f>IFERROR(E4/D4, "")</f>
        <v/>
      </c>
      <c r="G4" s="53">
        <v>13616</v>
      </c>
      <c r="H4" s="14">
        <f>IF(AND(ISNUMBER(C4),ISNUMBER(G4)), C4-G4, "")</f>
        <v>-3171</v>
      </c>
      <c r="I4" s="15">
        <f>IFERROR(H4/G4, "")</f>
        <v>-0.23288777908343125</v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D28" activePane="bottomRight" state="frozen"/>
      <selection pane="bottomRight" activeCell="E28" sqref="E2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21166</v>
      </c>
      <c r="D2" s="5">
        <f>SUM(D4:D79)</f>
        <v>0</v>
      </c>
      <c r="E2" s="5">
        <f>C2-D2</f>
        <v>21166</v>
      </c>
      <c r="F2" s="6">
        <f>IFERROR(E2/D2, 0)</f>
        <v>0</v>
      </c>
      <c r="G2" s="5">
        <f>SUM(G4:G79)</f>
        <v>18770</v>
      </c>
      <c r="H2" s="7">
        <f>C2-G2</f>
        <v>2396</v>
      </c>
      <c r="I2" s="6">
        <f>IFERROR(H2/G2, 0)</f>
        <v>0.12765050612679807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CT: Guilford - Safety Zone</v>
      </c>
      <c r="B4" s="27" t="str" cm="1">
        <f t="array" ref="B4">Sites[State]</f>
        <v>CT</v>
      </c>
      <c r="C4" s="23">
        <v>21166</v>
      </c>
      <c r="D4" s="12">
        <v>0</v>
      </c>
      <c r="E4" s="12">
        <f>IF(AND(ISNUMBER(C4),ISNUMBER(D4)), C4-D4, "")</f>
        <v>21166</v>
      </c>
      <c r="F4" s="13" t="str">
        <f>IFERROR(E4/D4, "")</f>
        <v/>
      </c>
      <c r="G4" s="14">
        <v>18770</v>
      </c>
      <c r="H4" s="14">
        <f>IF(AND(ISNUMBER(C4),ISNUMBER(G4)), C4-G4, "")</f>
        <v>2396</v>
      </c>
      <c r="I4" s="15">
        <f>IFERROR(H4/G4, "")</f>
        <v>0.12765050612679807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33851</v>
      </c>
      <c r="D2" s="5">
        <f>SUM(D4:D79)</f>
        <v>0</v>
      </c>
      <c r="E2" s="5">
        <f>C2-D2</f>
        <v>33851</v>
      </c>
      <c r="F2" s="6">
        <f>IFERROR(E2/D2, 0)</f>
        <v>0</v>
      </c>
      <c r="G2" s="5">
        <f>SUM(G4:G79)</f>
        <v>29472</v>
      </c>
      <c r="H2" s="7">
        <f>C2-G2</f>
        <v>4379</v>
      </c>
      <c r="I2" s="6">
        <f>IFERROR(H2/G2, 0)</f>
        <v>0.14858170466883822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33851</v>
      </c>
      <c r="D4" s="12">
        <v>0</v>
      </c>
      <c r="E4" s="12">
        <f>IF(AND(ISNUMBER(C4),ISNUMBER(D4)), C4-D4, "")</f>
        <v>33851</v>
      </c>
      <c r="F4" s="13" t="str">
        <f>IFERROR(E4/D4, "")</f>
        <v/>
      </c>
      <c r="G4" s="14">
        <v>29472</v>
      </c>
      <c r="H4" s="14">
        <f>IF(AND(ISNUMBER(C4),ISNUMBER(G4)), C4-G4, "")</f>
        <v>4379</v>
      </c>
      <c r="I4" s="15">
        <f>IFERROR(H4/G4, "")</f>
        <v>0.14858170466883822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34979.75</v>
      </c>
      <c r="D2" s="5">
        <f>SUM(D4:D79)</f>
        <v>0</v>
      </c>
      <c r="E2" s="5">
        <f>C2-D2</f>
        <v>34979.75</v>
      </c>
      <c r="F2" s="6">
        <f>IFERROR(E2/D2, 0)</f>
        <v>0</v>
      </c>
      <c r="G2" s="5">
        <f>SUM(G4:G79)</f>
        <v>33873.105000000003</v>
      </c>
      <c r="H2" s="7">
        <f>C2-G2</f>
        <v>1106.6449999999968</v>
      </c>
      <c r="I2" s="6">
        <f>IFERROR(H2/G2, 0)</f>
        <v>3.2670314693618925E-2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34979.75</v>
      </c>
      <c r="D4" s="12">
        <v>0</v>
      </c>
      <c r="E4" s="12">
        <f>IF(AND(ISNUMBER(C4),ISNUMBER(D4)), C4-D4, "")</f>
        <v>34979.75</v>
      </c>
      <c r="F4" s="13" t="str">
        <f>IFERROR(E4/D4, "")</f>
        <v/>
      </c>
      <c r="G4" s="14">
        <v>33873.105000000003</v>
      </c>
      <c r="H4" s="14">
        <f>IF(AND(ISNUMBER(C4),ISNUMBER(G4)), C4-G4, "")</f>
        <v>1106.6449999999968</v>
      </c>
      <c r="I4" s="15">
        <f>IFERROR(H4/G4, "")</f>
        <v>3.2670314693618925E-2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42098.25</v>
      </c>
      <c r="D2" s="5">
        <f>SUM(D4:D79)</f>
        <v>0</v>
      </c>
      <c r="E2" s="5">
        <f>C2-D2</f>
        <v>42098.25</v>
      </c>
      <c r="F2" s="6">
        <f>IFERROR(E2/D2, 0)</f>
        <v>0</v>
      </c>
      <c r="G2" s="5">
        <f>SUM(G4:G79)</f>
        <v>39767.35</v>
      </c>
      <c r="H2" s="7">
        <f>C2-G2</f>
        <v>2330.9000000000015</v>
      </c>
      <c r="I2" s="6">
        <f>IFERROR(H2/G2, 0)</f>
        <v>5.8613410247351193E-2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42098.25</v>
      </c>
      <c r="D4" s="12">
        <v>0</v>
      </c>
      <c r="E4" s="12">
        <f>IF(AND(ISNUMBER(C4),ISNUMBER(D4)), C4-D4, "")</f>
        <v>42098.25</v>
      </c>
      <c r="F4" s="13" t="str">
        <f>IFERROR(E4/D4, "")</f>
        <v/>
      </c>
      <c r="G4" s="14">
        <v>39767.35</v>
      </c>
      <c r="H4" s="14">
        <f>IF(AND(ISNUMBER(C4),ISNUMBER(G4)), C4-G4, "")</f>
        <v>2330.9000000000015</v>
      </c>
      <c r="I4" s="15">
        <f>IFERROR(H4/G4, "")</f>
        <v>5.8613410247351193E-2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46486</v>
      </c>
      <c r="D2" s="5">
        <f>SUM(D4:D79)</f>
        <v>0</v>
      </c>
      <c r="E2" s="5">
        <f>C2-D2</f>
        <v>46486</v>
      </c>
      <c r="F2" s="6">
        <f>IFERROR(E2/D2, 0)</f>
        <v>0</v>
      </c>
      <c r="G2" s="5">
        <f>SUM(G4:G79)</f>
        <v>40485.504000000001</v>
      </c>
      <c r="H2" s="7">
        <f>C2-G2</f>
        <v>6000.4959999999992</v>
      </c>
      <c r="I2" s="6">
        <f>IFERROR(H2/G2, 0)</f>
        <v>0.14821344449608431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46486</v>
      </c>
      <c r="D4" s="12">
        <v>0</v>
      </c>
      <c r="E4" s="12">
        <f>IF(AND(ISNUMBER(C4),ISNUMBER(D4)), C4-D4, "")</f>
        <v>46486</v>
      </c>
      <c r="F4" s="13" t="str">
        <f>IFERROR(E4/D4, "")</f>
        <v/>
      </c>
      <c r="G4" s="14">
        <v>40485.504000000001</v>
      </c>
      <c r="H4" s="14">
        <f>IF(AND(ISNUMBER(C4),ISNUMBER(G4)), C4-G4, "")</f>
        <v>6000.4959999999992</v>
      </c>
      <c r="I4" s="15">
        <f>IFERROR(H4/G4, "")</f>
        <v>0.14821344449608431</v>
      </c>
      <c r="J4" s="36" t="s">
        <v>32</v>
      </c>
      <c r="K4" s="3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41571.5</v>
      </c>
      <c r="D2" s="5">
        <f>SUM(D4:D79)</f>
        <v>0</v>
      </c>
      <c r="E2" s="5">
        <f>C2-D2</f>
        <v>41571.5</v>
      </c>
      <c r="F2" s="6">
        <f>IFERROR(E2/D2, 0)</f>
        <v>0</v>
      </c>
      <c r="G2" s="5">
        <f>SUM(G4:G79)</f>
        <v>39241.819000000003</v>
      </c>
      <c r="H2" s="7">
        <f>C2-G2</f>
        <v>2329.6809999999969</v>
      </c>
      <c r="I2" s="6">
        <f>IFERROR(H2/G2, 0)</f>
        <v>5.9367304048775021E-2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41571.5</v>
      </c>
      <c r="D4" s="12">
        <v>0</v>
      </c>
      <c r="E4" s="12">
        <f>IF(AND(ISNUMBER(C4),ISNUMBER(D4)), C4-D4, "")</f>
        <v>41571.5</v>
      </c>
      <c r="F4" s="13" t="str">
        <f>IFERROR(E4/D4, "")</f>
        <v/>
      </c>
      <c r="G4" s="14">
        <v>39241.819000000003</v>
      </c>
      <c r="H4" s="14">
        <f>IF(AND(ISNUMBER(C4),ISNUMBER(G4)), C4-G4, "")</f>
        <v>2329.6809999999969</v>
      </c>
      <c r="I4" s="15">
        <f>IFERROR(H4/G4, "")</f>
        <v>5.9367304048775021E-2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H9" activePane="bottomRight" state="frozen"/>
      <selection pane="bottomRight" activeCell="H9" sqref="H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39379.5</v>
      </c>
      <c r="D2" s="5">
        <f>SUM(D4:D79)</f>
        <v>0</v>
      </c>
      <c r="E2" s="5">
        <f>C2-D2</f>
        <v>39379.5</v>
      </c>
      <c r="F2" s="6">
        <f>IFERROR(E2/D2, 0)</f>
        <v>0</v>
      </c>
      <c r="G2" s="5">
        <f>SUM(G4:G79)</f>
        <v>35506.430999999997</v>
      </c>
      <c r="H2" s="7">
        <f>C2-G2</f>
        <v>3873.0690000000031</v>
      </c>
      <c r="I2" s="6">
        <f>IFERROR(H2/G2, 0)</f>
        <v>0.10908077469121026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39379.5</v>
      </c>
      <c r="D4" s="12">
        <v>0</v>
      </c>
      <c r="E4" s="12">
        <f>IF(AND(ISNUMBER(C4),ISNUMBER(D4)), C4-D4, "")</f>
        <v>39379.5</v>
      </c>
      <c r="F4" s="13" t="str">
        <f>IFERROR(E4/D4, "")</f>
        <v/>
      </c>
      <c r="G4" s="14">
        <v>35506.430999999997</v>
      </c>
      <c r="H4" s="14">
        <f>IF(AND(ISNUMBER(C4),ISNUMBER(G4)), C4-G4, "")</f>
        <v>3873.0690000000031</v>
      </c>
      <c r="I4" s="15">
        <f>IFERROR(H4/G4, "")</f>
        <v>0.10908077469121026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33268.5</v>
      </c>
      <c r="D2" s="5">
        <f>SUM(D4:D79)</f>
        <v>0</v>
      </c>
      <c r="E2" s="5">
        <f>C2-D2</f>
        <v>33268.5</v>
      </c>
      <c r="F2" s="6">
        <f>IFERROR(E2/D2, 0)</f>
        <v>0</v>
      </c>
      <c r="G2" s="5">
        <f>SUM(G4:G79)</f>
        <v>28756.844000000001</v>
      </c>
      <c r="H2" s="7">
        <f>C2-G2</f>
        <v>4511.655999999999</v>
      </c>
      <c r="I2" s="6">
        <f>IFERROR(H2/G2, 0)</f>
        <v>0.15688981725532883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33268.5</v>
      </c>
      <c r="D4" s="12">
        <v>0</v>
      </c>
      <c r="E4" s="12">
        <f>IF(AND(ISNUMBER(C4),ISNUMBER(D4)), C4-D4, "")</f>
        <v>33268.5</v>
      </c>
      <c r="F4" s="13" t="str">
        <f>IFERROR(E4/D4, "")</f>
        <v/>
      </c>
      <c r="G4" s="14">
        <v>28756.844000000001</v>
      </c>
      <c r="H4" s="14">
        <f>IF(AND(ISNUMBER(C4),ISNUMBER(G4)), C4-G4, "")</f>
        <v>4511.655999999999</v>
      </c>
      <c r="I4" s="15">
        <f>IFERROR(H4/G4, "")</f>
        <v>0.15688981725532883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D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32587</v>
      </c>
      <c r="D2" s="5">
        <f>SUM(D4:D79)</f>
        <v>0</v>
      </c>
      <c r="E2" s="5">
        <f>C2-D2</f>
        <v>32587</v>
      </c>
      <c r="F2" s="6">
        <f>IFERROR(E2/D2, 0)</f>
        <v>0</v>
      </c>
      <c r="G2" s="5">
        <f>SUM(G4:G79)</f>
        <v>22041.022000000001</v>
      </c>
      <c r="H2" s="7">
        <f>C2-G2</f>
        <v>10545.977999999999</v>
      </c>
      <c r="I2" s="6">
        <f>IFERROR(H2/G2, 0)</f>
        <v>0.47847046293951334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32587</v>
      </c>
      <c r="D4" s="12">
        <v>0</v>
      </c>
      <c r="E4" s="12">
        <f>IF(AND(ISNUMBER(C4),ISNUMBER(D4)), C4-D4, "")</f>
        <v>32587</v>
      </c>
      <c r="F4" s="13" t="str">
        <f>IFERROR(E4/D4, "")</f>
        <v/>
      </c>
      <c r="G4" s="14">
        <v>22041.022000000001</v>
      </c>
      <c r="H4" s="14">
        <f>IF(AND(ISNUMBER(C4),ISNUMBER(G4)), C4-G4, "")</f>
        <v>10545.977999999999</v>
      </c>
      <c r="I4" s="15">
        <f>IFERROR(H4/G4, "")</f>
        <v>0.47847046293951334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4" sqref="H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22180.5</v>
      </c>
      <c r="D2" s="5">
        <f>SUM(D4:D79)</f>
        <v>0</v>
      </c>
      <c r="E2" s="5">
        <f>C2-D2</f>
        <v>22180.5</v>
      </c>
      <c r="F2" s="6">
        <f>IFERROR(E2/D2, 0)</f>
        <v>0</v>
      </c>
      <c r="G2" s="5">
        <f>SUM(G4:G79)</f>
        <v>13673.326999999999</v>
      </c>
      <c r="H2" s="7">
        <f>C2-G2</f>
        <v>8507.1730000000007</v>
      </c>
      <c r="I2" s="6">
        <f>IFERROR(H2/G2, 0)</f>
        <v>0.62217286253740589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22180.5</v>
      </c>
      <c r="D4" s="12">
        <v>0</v>
      </c>
      <c r="E4" s="12">
        <f>IF(AND(ISNUMBER(C4),ISNUMBER(D4)), C4-D4, "")</f>
        <v>22180.5</v>
      </c>
      <c r="F4" s="13" t="str">
        <f>IFERROR(E4/D4, "")</f>
        <v/>
      </c>
      <c r="G4" s="14">
        <v>13673.326999999999</v>
      </c>
      <c r="H4" s="14">
        <f>IF(AND(ISNUMBER(C4),ISNUMBER(G4)), C4-G4, "")</f>
        <v>8507.1730000000007</v>
      </c>
      <c r="I4" s="15">
        <f>IFERROR(H4/G4, "")</f>
        <v>0.62217286253740589</v>
      </c>
      <c r="J4" s="36" t="s">
        <v>44</v>
      </c>
      <c r="K4" s="36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H8" sqref="H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17173.5</v>
      </c>
      <c r="D2" s="5">
        <f>SUM(D4:D79)</f>
        <v>0</v>
      </c>
      <c r="E2" s="5">
        <f>C2-D2</f>
        <v>17173.5</v>
      </c>
      <c r="F2" s="6">
        <f>IFERROR(E2/D2, 0)</f>
        <v>0</v>
      </c>
      <c r="G2" s="5">
        <f>SUM(G4:G79)</f>
        <v>11583.98</v>
      </c>
      <c r="H2" s="7">
        <f>C2-G2</f>
        <v>5589.52</v>
      </c>
      <c r="I2" s="6">
        <f>IFERROR(H2/G2, 0)</f>
        <v>0.48252155131483315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17173.5</v>
      </c>
      <c r="D4" s="12">
        <v>0</v>
      </c>
      <c r="E4" s="12">
        <f>IF(AND(ISNUMBER(C4),ISNUMBER(D4)), C4-D4, "")</f>
        <v>17173.5</v>
      </c>
      <c r="F4" s="13" t="str">
        <f>IFERROR(E4/D4, "")</f>
        <v/>
      </c>
      <c r="G4" s="14">
        <v>11583.98</v>
      </c>
      <c r="H4" s="14">
        <f>IF(AND(ISNUMBER(C4),ISNUMBER(G4)), C4-G4, "")</f>
        <v>5589.52</v>
      </c>
      <c r="I4" s="15">
        <f>IFERROR(H4/G4, "")</f>
        <v>0.48252155131483315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2025-01-13T05:53:02Z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2024-10-18T20:12:11Z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e6b26769-2ac3-4d60-a35e-1d825aec4a78</vt:lpwstr>
  </property>
  <property fmtid="{D5CDD505-2E9C-101B-9397-08002B2CF9AE}" pid="9" name="MSIP_Label_9d817c99-0b37-4a07-8277-96aa1f96b74b_ContentBits">
    <vt:lpwstr>0</vt:lpwstr>
  </property>
</Properties>
</file>