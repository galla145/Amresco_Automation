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0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LibsysAdmin\Downloads\"/>
    </mc:Choice>
  </mc:AlternateContent>
  <xr:revisionPtr revIDLastSave="14" documentId="13_ncr:1_{E4AC4F03-3559-4FE3-9777-2D04B990F413}" xr6:coauthVersionLast="47" xr6:coauthVersionMax="47" xr10:uidLastSave="{D0AB89C3-FE83-4130-A595-1ACCF7E3250D}"/>
  <bookViews>
    <workbookView xWindow="-108" yWindow="-108" windowWidth="23256" windowHeight="12456" tabRatio="866" firstSheet="16" activeTab="16" xr2:uid="{00000000-000D-0000-FFFF-FFFF00000000}"/>
  </bookViews>
  <sheets>
    <sheet name="Year to Date" sheetId="34" r:id="rId1"/>
    <sheet name="1st Qtr" sheetId="1" r:id="rId2"/>
    <sheet name="2nd Qtr" sheetId="18" r:id="rId3"/>
    <sheet name="3rd Qtr" sheetId="29" r:id="rId4"/>
    <sheet name="4th Qtr" sheetId="30" r:id="rId5"/>
    <sheet name="Jan" sheetId="72" r:id="rId6"/>
    <sheet name="Feb" sheetId="3" r:id="rId7"/>
    <sheet name="Mar" sheetId="4" r:id="rId8"/>
    <sheet name="Apr" sheetId="21" r:id="rId9"/>
    <sheet name="May" sheetId="20" r:id="rId10"/>
    <sheet name="Jun" sheetId="19" r:id="rId11"/>
    <sheet name="Jul" sheetId="26" r:id="rId12"/>
    <sheet name="Aug" sheetId="27" r:id="rId13"/>
    <sheet name="Sep" sheetId="28" r:id="rId14"/>
    <sheet name="Oct" sheetId="31" r:id="rId15"/>
    <sheet name="Nov" sheetId="32" r:id="rId16"/>
    <sheet name="Dec" sheetId="33" r:id="rId17"/>
    <sheet name="Sites" sheetId="68" r:id="rId18"/>
  </sheets>
  <definedNames>
    <definedName name="_xlnm._FilterDatabase" localSheetId="1" hidden="1">'1st Qtr'!$A$2:$I$2</definedName>
    <definedName name="_xlnm._FilterDatabase" localSheetId="2" hidden="1">'2nd Qtr'!$A$2:$I$2</definedName>
    <definedName name="_xlnm._FilterDatabase" localSheetId="3" hidden="1">'3rd Qtr'!$A$2:$I$2</definedName>
    <definedName name="_xlnm._FilterDatabase" localSheetId="4" hidden="1">'4th Qtr'!$A$2:$I$2</definedName>
    <definedName name="_xlnm._FilterDatabase" localSheetId="8" hidden="1">Apr!$A$2:$I$2</definedName>
    <definedName name="_xlnm._FilterDatabase" localSheetId="12" hidden="1">Aug!$A$2:$I$2</definedName>
    <definedName name="_xlnm._FilterDatabase" localSheetId="16" hidden="1">Dec!$A$2:$I$2</definedName>
    <definedName name="_xlnm._FilterDatabase" localSheetId="6" hidden="1">Feb!$A$2:$I$2</definedName>
    <definedName name="_xlnm._FilterDatabase" localSheetId="5" hidden="1">Jan!$A$3:$K$3</definedName>
    <definedName name="_xlnm._FilterDatabase" localSheetId="11" hidden="1">Jul!$A$2:$I$2</definedName>
    <definedName name="_xlnm._FilterDatabase" localSheetId="10" hidden="1">Jun!$A$2:$I$2</definedName>
    <definedName name="_xlnm._FilterDatabase" localSheetId="7" hidden="1">Mar!$A$2:$I$2</definedName>
    <definedName name="_xlnm._FilterDatabase" localSheetId="9" hidden="1">May!$A$2:$I$2</definedName>
    <definedName name="_xlnm._FilterDatabase" localSheetId="15" hidden="1">Nov!$A$2:$I$2</definedName>
    <definedName name="_xlnm._FilterDatabase" localSheetId="14" hidden="1">Oct!$A$2:$I$2</definedName>
    <definedName name="_xlnm._FilterDatabase" localSheetId="13" hidden="1">Sep!$A$2:$I$2</definedName>
    <definedName name="_xlnm._FilterDatabase" localSheetId="0" hidden="1">'Year to Date'!$A$2:$I$2</definedName>
    <definedName name="_xlcn.WorksheetConnection_MultisiteTemplate2024MonthlyProduction.xlsxJan1" hidden="1">Jan</definedName>
    <definedName name="_xlcn.WorksheetConnection_MultisiteTemplate2024MonthlyProduction.xlsxSites1" hidden="1">Sites[]</definedName>
    <definedName name="JanActual">#REF!</definedName>
    <definedName name="JanActual2">#REF!</definedName>
    <definedName name="JanExpected">#REF!</definedName>
    <definedName name="JanExpectedDelta">#REF!</definedName>
    <definedName name="JanExpectedPercent">#REF!</definedName>
    <definedName name="JanExpPercent">#REF!</definedName>
    <definedName name="JanForecasted">#REF!</definedName>
    <definedName name="JanForecastedDelta">#REF!</definedName>
    <definedName name="JanForecastedPercent">#REF!</definedName>
    <definedName name="portfolio">Sites!$B$1:$B$1</definedName>
    <definedName name="Year">Sites!#REF!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ites" name="Sites" connection="WorksheetConnection_MultisiteTemplate 2024 Monthly Production.xlsx!Sites"/>
          <x15:modelTable id="Jan" name="Jan" connection="WorksheetConnection_MultisiteTemplate 2024 Monthly Production.xlsx!Jan"/>
        </x15:modelTables>
        <x15:modelRelationships>
          <x15:modelRelationship fromTable="Sites" fromColumn="Site" toTable="Jan" toColumn="Si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" i="33" l="1"/>
  <c r="G4" i="30"/>
  <c r="G2" i="30" s="1"/>
  <c r="G4" i="29"/>
  <c r="G4" i="18"/>
  <c r="H4" i="4"/>
  <c r="I4" i="4" s="1"/>
  <c r="E4" i="72"/>
  <c r="F4" i="72" s="1"/>
  <c r="B4" i="33" a="1"/>
  <c r="B4" i="33" s="1"/>
  <c r="A4" i="33" a="1"/>
  <c r="A4" i="33" s="1"/>
  <c r="B4" i="32" a="1"/>
  <c r="B4" i="32" s="1"/>
  <c r="A4" i="32" a="1"/>
  <c r="A4" i="32" s="1"/>
  <c r="B4" i="31" a="1"/>
  <c r="B4" i="31" s="1"/>
  <c r="A4" i="31" a="1"/>
  <c r="A4" i="31" s="1"/>
  <c r="B4" i="19" a="1"/>
  <c r="B4" i="19" s="1"/>
  <c r="A4" i="19" a="1"/>
  <c r="A4" i="19" s="1"/>
  <c r="B4" i="20" a="1"/>
  <c r="B4" i="20" s="1"/>
  <c r="A4" i="20" a="1"/>
  <c r="A4" i="20" s="1"/>
  <c r="B4" i="21" a="1"/>
  <c r="B4" i="21" s="1"/>
  <c r="A4" i="21" a="1"/>
  <c r="A4" i="21" s="1"/>
  <c r="B4" i="4" a="1"/>
  <c r="B4" i="4" s="1"/>
  <c r="A4" i="4" a="1"/>
  <c r="A4" i="4" s="1"/>
  <c r="B4" i="3" a="1"/>
  <c r="B4" i="3" s="1"/>
  <c r="A4" i="3" a="1"/>
  <c r="A4" i="3" s="1"/>
  <c r="B4" i="27" a="1"/>
  <c r="B4" i="27" s="1"/>
  <c r="A4" i="27" a="1"/>
  <c r="A4" i="27" s="1"/>
  <c r="B4" i="26" a="1"/>
  <c r="B4" i="26" s="1"/>
  <c r="A4" i="26" a="1"/>
  <c r="A4" i="26" s="1"/>
  <c r="A4" i="72" a="1"/>
  <c r="A4" i="72" s="1"/>
  <c r="A4" i="30" a="1"/>
  <c r="A4" i="30" s="1"/>
  <c r="B4" i="72" a="1"/>
  <c r="B4" i="72" s="1"/>
  <c r="E4" i="3"/>
  <c r="F4" i="3" s="1"/>
  <c r="H4" i="3"/>
  <c r="I4" i="3" s="1"/>
  <c r="G4" i="1"/>
  <c r="B4" i="34" a="1"/>
  <c r="B4" i="34" s="1"/>
  <c r="A4" i="34" a="1"/>
  <c r="A4" i="34" s="1"/>
  <c r="A1" i="34" a="1"/>
  <c r="A1" i="34" s="1"/>
  <c r="D4" i="30"/>
  <c r="C4" i="30"/>
  <c r="D4" i="29"/>
  <c r="D2" i="29" s="1"/>
  <c r="C4" i="29"/>
  <c r="D4" i="18"/>
  <c r="D2" i="18" s="1"/>
  <c r="C4" i="18"/>
  <c r="B4" i="30" a="1"/>
  <c r="B4" i="30" s="1"/>
  <c r="A1" i="30" a="1"/>
  <c r="A1" i="30" s="1"/>
  <c r="B4" i="29" a="1"/>
  <c r="B4" i="29" s="1"/>
  <c r="A4" i="29" a="1"/>
  <c r="A4" i="29" s="1"/>
  <c r="G2" i="29"/>
  <c r="A1" i="29" a="1"/>
  <c r="A1" i="29" s="1"/>
  <c r="B4" i="18" a="1"/>
  <c r="B4" i="18" s="1"/>
  <c r="A4" i="18" a="1"/>
  <c r="A4" i="18" s="1"/>
  <c r="G2" i="18"/>
  <c r="A1" i="18" a="1"/>
  <c r="A1" i="18" s="1"/>
  <c r="C4" i="1"/>
  <c r="D4" i="1"/>
  <c r="B4" i="1" a="1"/>
  <c r="B4" i="1" s="1"/>
  <c r="A4" i="1" a="1"/>
  <c r="A4" i="1" s="1"/>
  <c r="A1" i="1" a="1"/>
  <c r="A1" i="1" s="1"/>
  <c r="H4" i="33"/>
  <c r="I4" i="33" s="1"/>
  <c r="F4" i="33"/>
  <c r="G2" i="33"/>
  <c r="D2" i="33"/>
  <c r="C2" i="33"/>
  <c r="A1" i="33" a="1"/>
  <c r="A1" i="33" s="1"/>
  <c r="H4" i="32"/>
  <c r="I4" i="32" s="1"/>
  <c r="E4" i="32"/>
  <c r="F4" i="32" s="1"/>
  <c r="G2" i="32"/>
  <c r="D2" i="32"/>
  <c r="C2" i="32"/>
  <c r="A1" i="32" a="1"/>
  <c r="A1" i="32" s="1"/>
  <c r="H4" i="31"/>
  <c r="I4" i="31" s="1"/>
  <c r="E4" i="31"/>
  <c r="F4" i="31" s="1"/>
  <c r="G2" i="31"/>
  <c r="D2" i="31"/>
  <c r="C2" i="31"/>
  <c r="A1" i="31" a="1"/>
  <c r="A1" i="31" s="1"/>
  <c r="H4" i="28"/>
  <c r="I4" i="28" s="1"/>
  <c r="E4" i="28"/>
  <c r="F4" i="28" s="1"/>
  <c r="B4" i="28" a="1"/>
  <c r="B4" i="28" s="1"/>
  <c r="A4" i="28" a="1"/>
  <c r="A4" i="28" s="1"/>
  <c r="G2" i="28"/>
  <c r="D2" i="28"/>
  <c r="C2" i="28"/>
  <c r="A1" i="28" a="1"/>
  <c r="A1" i="28" s="1"/>
  <c r="H4" i="27"/>
  <c r="I4" i="27" s="1"/>
  <c r="E4" i="27"/>
  <c r="F4" i="27" s="1"/>
  <c r="G2" i="27"/>
  <c r="D2" i="27"/>
  <c r="C2" i="27"/>
  <c r="A1" i="27" a="1"/>
  <c r="A1" i="27" s="1"/>
  <c r="H4" i="26"/>
  <c r="I4" i="26" s="1"/>
  <c r="E4" i="26"/>
  <c r="F4" i="26" s="1"/>
  <c r="G2" i="26"/>
  <c r="D2" i="26"/>
  <c r="C2" i="26"/>
  <c r="A1" i="26" a="1"/>
  <c r="A1" i="26" s="1"/>
  <c r="H4" i="19"/>
  <c r="I4" i="19" s="1"/>
  <c r="E4" i="19"/>
  <c r="F4" i="19" s="1"/>
  <c r="G2" i="19"/>
  <c r="D2" i="19"/>
  <c r="C2" i="19"/>
  <c r="A1" i="19" a="1"/>
  <c r="A1" i="19" s="1"/>
  <c r="H4" i="20"/>
  <c r="I4" i="20" s="1"/>
  <c r="E4" i="20"/>
  <c r="F4" i="20" s="1"/>
  <c r="G2" i="20"/>
  <c r="D2" i="20"/>
  <c r="C2" i="20"/>
  <c r="A1" i="20" a="1"/>
  <c r="A1" i="20" s="1"/>
  <c r="H4" i="21"/>
  <c r="I4" i="21" s="1"/>
  <c r="E4" i="21"/>
  <c r="F4" i="21" s="1"/>
  <c r="G2" i="21"/>
  <c r="D2" i="21"/>
  <c r="C2" i="21"/>
  <c r="A1" i="21" a="1"/>
  <c r="A1" i="21" s="1"/>
  <c r="E4" i="4"/>
  <c r="F4" i="4" s="1"/>
  <c r="G2" i="4"/>
  <c r="D2" i="4"/>
  <c r="C2" i="4"/>
  <c r="A1" i="4" a="1"/>
  <c r="A1" i="4" s="1"/>
  <c r="G2" i="3"/>
  <c r="D2" i="3"/>
  <c r="C2" i="3"/>
  <c r="J2" i="3" s="1"/>
  <c r="A1" i="3" a="1"/>
  <c r="A1" i="3" s="1"/>
  <c r="H4" i="72"/>
  <c r="I4" i="72" s="1"/>
  <c r="G2" i="72"/>
  <c r="D2" i="72"/>
  <c r="C2" i="72"/>
  <c r="J2" i="72" s="1"/>
  <c r="A1" i="72" a="1"/>
  <c r="A1" i="72" s="1"/>
  <c r="G4" i="34" l="1"/>
  <c r="E4" i="18"/>
  <c r="F4" i="18" s="1"/>
  <c r="D4" i="34"/>
  <c r="D2" i="34" s="1"/>
  <c r="E4" i="30"/>
  <c r="F4" i="30" s="1"/>
  <c r="D2" i="30"/>
  <c r="H2" i="33"/>
  <c r="I2" i="33" s="1"/>
  <c r="J2" i="33"/>
  <c r="H2" i="32"/>
  <c r="I2" i="32" s="1"/>
  <c r="J2" i="32"/>
  <c r="H2" i="31"/>
  <c r="I2" i="31" s="1"/>
  <c r="J2" i="31"/>
  <c r="H2" i="28"/>
  <c r="I2" i="28" s="1"/>
  <c r="J2" i="28"/>
  <c r="E2" i="28"/>
  <c r="F2" i="28" s="1"/>
  <c r="H2" i="27"/>
  <c r="I2" i="27" s="1"/>
  <c r="J2" i="27"/>
  <c r="H2" i="26"/>
  <c r="I2" i="26" s="1"/>
  <c r="J2" i="26"/>
  <c r="H2" i="19"/>
  <c r="I2" i="19" s="1"/>
  <c r="J2" i="19"/>
  <c r="E2" i="20"/>
  <c r="F2" i="20" s="1"/>
  <c r="J2" i="20"/>
  <c r="H2" i="20"/>
  <c r="I2" i="20" s="1"/>
  <c r="H2" i="21"/>
  <c r="I2" i="21" s="1"/>
  <c r="J2" i="21"/>
  <c r="H2" i="4"/>
  <c r="I2" i="4" s="1"/>
  <c r="J2" i="4"/>
  <c r="H2" i="3"/>
  <c r="I2" i="3" s="1"/>
  <c r="G2" i="1"/>
  <c r="H4" i="30"/>
  <c r="I4" i="30" s="1"/>
  <c r="H4" i="29"/>
  <c r="I4" i="29" s="1"/>
  <c r="H4" i="18"/>
  <c r="I4" i="18" s="1"/>
  <c r="C4" i="34"/>
  <c r="C2" i="29"/>
  <c r="E2" i="29" s="1"/>
  <c r="F2" i="29" s="1"/>
  <c r="C2" i="30"/>
  <c r="E4" i="29"/>
  <c r="F4" i="29" s="1"/>
  <c r="C2" i="18"/>
  <c r="H4" i="1"/>
  <c r="C2" i="1"/>
  <c r="E2" i="3"/>
  <c r="F2" i="3" s="1"/>
  <c r="E4" i="1"/>
  <c r="F4" i="1" s="1"/>
  <c r="D2" i="1"/>
  <c r="E2" i="33"/>
  <c r="F2" i="33" s="1"/>
  <c r="E2" i="32"/>
  <c r="F2" i="32" s="1"/>
  <c r="E2" i="31"/>
  <c r="F2" i="31" s="1"/>
  <c r="E2" i="27"/>
  <c r="F2" i="27" s="1"/>
  <c r="E2" i="26"/>
  <c r="F2" i="26" s="1"/>
  <c r="E2" i="19"/>
  <c r="F2" i="19" s="1"/>
  <c r="E2" i="21"/>
  <c r="F2" i="21" s="1"/>
  <c r="E2" i="4"/>
  <c r="F2" i="4" s="1"/>
  <c r="H2" i="72"/>
  <c r="E4" i="34" l="1"/>
  <c r="F4" i="34" s="1"/>
  <c r="G2" i="34"/>
  <c r="H2" i="1"/>
  <c r="I2" i="1" s="1"/>
  <c r="C2" i="34"/>
  <c r="I4" i="1"/>
  <c r="H4" i="34"/>
  <c r="I4" i="34" s="1"/>
  <c r="H2" i="29"/>
  <c r="I2" i="29" s="1"/>
  <c r="H2" i="30"/>
  <c r="I2" i="30" s="1"/>
  <c r="E2" i="30"/>
  <c r="F2" i="30" s="1"/>
  <c r="H2" i="18"/>
  <c r="I2" i="18" s="1"/>
  <c r="E2" i="18"/>
  <c r="F2" i="18" s="1"/>
  <c r="E2" i="1"/>
  <c r="F2" i="1" s="1"/>
  <c r="I2" i="72"/>
  <c r="E2" i="72"/>
  <c r="F2" i="72" s="1"/>
  <c r="H2" i="34" l="1"/>
  <c r="I2" i="34" s="1"/>
  <c r="E2" i="34"/>
  <c r="F2" i="3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85621F-B130-4F0F-92DC-88F44E4571F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15A99F4-5EFC-4CB5-972F-7321CFD2DE9E}" name="WorksheetConnection_MultisiteTemplate 2024 Monthly Production.xlsx!Jan" type="102" refreshedVersion="8" minRefreshableVersion="5">
    <extLst>
      <ext xmlns:x15="http://schemas.microsoft.com/office/spreadsheetml/2010/11/main" uri="{DE250136-89BD-433C-8126-D09CA5730AF9}">
        <x15:connection id="Jan">
          <x15:rangePr sourceName="_xlcn.WorksheetConnection_MultisiteTemplate2024MonthlyProduction.xlsxJan1"/>
        </x15:connection>
      </ext>
    </extLst>
  </connection>
  <connection id="3" xr16:uid="{90B9CE13-4183-48D9-8800-5F7D86DCD1A7}" name="WorksheetConnection_MultisiteTemplate 2024 Monthly Production.xlsx!Sites" type="102" refreshedVersion="8" minRefreshableVersion="5">
    <extLst>
      <ext xmlns:x15="http://schemas.microsoft.com/office/spreadsheetml/2010/11/main" uri="{DE250136-89BD-433C-8126-D09CA5730AF9}">
        <x15:connection id="Sites">
          <x15:rangePr sourceName="_xlcn.WorksheetConnection_MultisiteTemplate2024MonthlyProduction.xlsxSites1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<sst xmlns="http://schemas.openxmlformats.org/spreadsheetml/2006/main" count="248" uniqueCount="60">
  <si>
    <t>Year to Date Actual v. Expected</t>
  </si>
  <si>
    <t>Year to Date Actual v. Forecasted</t>
  </si>
  <si>
    <t>Total</t>
  </si>
  <si>
    <t>Site</t>
  </si>
  <si>
    <t>State</t>
  </si>
  <si>
    <t>Actual</t>
  </si>
  <si>
    <t>Expected</t>
  </si>
  <si>
    <t>Delta</t>
  </si>
  <si>
    <t>%</t>
  </si>
  <si>
    <t>Forecasted</t>
  </si>
  <si>
    <t>1st Quarter Actual v. Expected</t>
  </si>
  <si>
    <t>1st Quarter Actual v. Forecasted</t>
  </si>
  <si>
    <t>2nd Quarter Actual v. Expected</t>
  </si>
  <si>
    <t>2nd Quarter Actual v. Forecasted</t>
  </si>
  <si>
    <t>3rd Quarter Actual v. Expected</t>
  </si>
  <si>
    <t>3rd Quarter Actual v. Forecasted</t>
  </si>
  <si>
    <t>4th Quarter Actual v. Expected</t>
  </si>
  <si>
    <t>4th Quarter Actual v. Forecasted</t>
  </si>
  <si>
    <t>January Actual v. Expected</t>
  </si>
  <si>
    <t>January Actual v. Forecasted</t>
  </si>
  <si>
    <t>Notes</t>
  </si>
  <si>
    <t>Service Requests</t>
  </si>
  <si>
    <t>February Actual v. Expected</t>
  </si>
  <si>
    <t>February Actual v. Forecasted</t>
  </si>
  <si>
    <t>March Actual v. Expected</t>
  </si>
  <si>
    <t>March Actual v. Forecasted</t>
  </si>
  <si>
    <t>1.  Inverter is kept offline from 03/10 for the reason of main control board has failed and will need to be replaced.</t>
  </si>
  <si>
    <t>1. SR081721</t>
  </si>
  <si>
    <t>April Actual v. Expected</t>
  </si>
  <si>
    <t>April Actual v. Forecasted</t>
  </si>
  <si>
    <t>1.  Inverter is kept offline from 03/10 to 04/03 for the reason of main control board has failed and will need to be replaced.
2. Site is offline from 12pm of 04/19 to 2pm of 04/23 due to inverter was faulted with DC input issue
3. Site is offline from 04/24 to 05/13 due to inverter was faulted out</t>
  </si>
  <si>
    <t>1. SR081721
2. SR083649
3. SR081721</t>
  </si>
  <si>
    <t>May Actual v. Expected</t>
  </si>
  <si>
    <t>May Actual v. Forecasted</t>
  </si>
  <si>
    <t>1.  Site is offline from 04/24 to 05/13 due to inverter was faulted out</t>
  </si>
  <si>
    <t>June Actual v. Expected</t>
  </si>
  <si>
    <t>June Actual v. Forecasted</t>
  </si>
  <si>
    <t>July Actual v. Expected</t>
  </si>
  <si>
    <t>July Actual v. Forecasted</t>
  </si>
  <si>
    <t>August Actual v. Expected</t>
  </si>
  <si>
    <t>August Actual v. Forecasted</t>
  </si>
  <si>
    <t>September Actual v. Expected</t>
  </si>
  <si>
    <t>September Actual v. Forecasted</t>
  </si>
  <si>
    <t>October Actual v. Expected</t>
  </si>
  <si>
    <t>October Actual v. Forecasted</t>
  </si>
  <si>
    <t>November Actual v. Expected</t>
  </si>
  <si>
    <t>November Actual v. Forecasted</t>
  </si>
  <si>
    <t>December Actual v. Expected</t>
  </si>
  <si>
    <t>December Actual v. Forecasted</t>
  </si>
  <si>
    <t>1. Site tripped offline at 8:45AM on 12/15 and remained offline throughout the month.</t>
  </si>
  <si>
    <t>1. SR094687</t>
  </si>
  <si>
    <t>Portfolio:</t>
  </si>
  <si>
    <t>Pearson Venture Investments LLC</t>
  </si>
  <si>
    <t>Site DAS Name</t>
  </si>
  <si>
    <t>Update</t>
  </si>
  <si>
    <t>DAS</t>
  </si>
  <si>
    <t>MA - Billerica - 2 Sterling Way</t>
  </si>
  <si>
    <t>MA</t>
  </si>
  <si>
    <t>AE</t>
  </si>
  <si>
    <t>PowerTrack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</si>
</sst>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6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</font>
    <font>
      <b/>
      <sz val="10"/>
      <name val="Arial"/>
      <family val="2"/>
    </font>
    <font>
      <sz val="11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sz val="11"/>
      <name val="Calibri"/>
      <family val="2"/>
    </font>
    <font>
      <sz val="8"/>
      <name val="Calibri"/>
      <family val="2"/>
    </font>
    <font>
      <sz val="10"/>
      <name val="Calibri"/>
      <family val="2"/>
    </font>
    <font>
      <b/>
      <sz val="12"/>
      <color rgb="FFFF0000"/>
      <name val="Arial"/>
      <family val="2"/>
    </font>
    <font>
      <sz val="12"/>
      <color rgb="FF000000"/>
      <name val="Calibri"/>
      <family val="2"/>
    </font>
    <font>
      <sz val="11"/>
      <color rgb="FF000000"/>
      <name val="Calibri"/>
      <family val="2"/>
      <scheme val="minor"/>
    </font>
  </fonts>
  <fills count="48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E2EFDA"/>
        <bgColor rgb="FF000000"/>
      </patternFill>
    </fill>
    <fill>
      <patternFill patternType="solid">
        <fgColor rgb="FFD9E1F2"/>
        <bgColor rgb="FF000000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theme="4" tint="0.39997558519241921"/>
      </top>
      <bottom style="thin">
        <color auto="1"/>
      </bottom>
      <diagonal/>
    </border>
  </borders>
  <cellStyleXfs count="45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5" borderId="0" applyNumberFormat="0" applyBorder="0" applyAlignment="0" applyProtection="0"/>
    <xf numFmtId="0" fontId="11" fillId="6" borderId="0" applyNumberFormat="0" applyBorder="0" applyAlignment="0" applyProtection="0"/>
    <xf numFmtId="0" fontId="12" fillId="7" borderId="0" applyNumberFormat="0" applyBorder="0" applyAlignment="0" applyProtection="0"/>
    <xf numFmtId="0" fontId="13" fillId="8" borderId="5" applyNumberFormat="0" applyAlignment="0" applyProtection="0"/>
    <xf numFmtId="0" fontId="14" fillId="9" borderId="6" applyNumberFormat="0" applyAlignment="0" applyProtection="0"/>
    <xf numFmtId="0" fontId="15" fillId="9" borderId="5" applyNumberFormat="0" applyAlignment="0" applyProtection="0"/>
    <xf numFmtId="0" fontId="16" fillId="0" borderId="7" applyNumberFormat="0" applyFill="0" applyAlignment="0" applyProtection="0"/>
    <xf numFmtId="0" fontId="17" fillId="10" borderId="8" applyNumberFormat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10" applyNumberFormat="0" applyFill="0" applyAlignment="0" applyProtection="0"/>
    <xf numFmtId="0" fontId="2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2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2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2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0" borderId="0"/>
    <xf numFmtId="0" fontId="1" fillId="11" borderId="9" applyNumberFormat="0" applyFont="0" applyAlignment="0" applyProtection="0"/>
  </cellStyleXfs>
  <cellXfs count="57">
    <xf numFmtId="0" fontId="0" fillId="0" borderId="0" xfId="0"/>
    <xf numFmtId="9" fontId="4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23" fillId="0" borderId="0" xfId="0" applyFont="1" applyAlignment="1">
      <alignment horizontal="left"/>
    </xf>
    <xf numFmtId="0" fontId="5" fillId="0" borderId="0" xfId="0" applyFont="1" applyAlignment="1">
      <alignment vertical="center"/>
    </xf>
    <xf numFmtId="3" fontId="25" fillId="36" borderId="1" xfId="0" applyNumberFormat="1" applyFont="1" applyFill="1" applyBorder="1" applyAlignment="1">
      <alignment horizontal="center" vertical="center"/>
    </xf>
    <xf numFmtId="9" fontId="25" fillId="36" borderId="1" xfId="0" applyNumberFormat="1" applyFont="1" applyFill="1" applyBorder="1" applyAlignment="1">
      <alignment horizontal="center" vertical="center"/>
    </xf>
    <xf numFmtId="3" fontId="25" fillId="36" borderId="1" xfId="1" applyNumberFormat="1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9" fontId="28" fillId="40" borderId="0" xfId="0" applyNumberFormat="1" applyFont="1" applyFill="1" applyAlignment="1">
      <alignment horizontal="center" vertical="center"/>
    </xf>
    <xf numFmtId="49" fontId="28" fillId="0" borderId="0" xfId="0" applyNumberFormat="1" applyFont="1" applyAlignment="1">
      <alignment horizontal="center" vertical="center"/>
    </xf>
    <xf numFmtId="49" fontId="27" fillId="40" borderId="0" xfId="0" applyNumberFormat="1" applyFont="1" applyFill="1" applyAlignment="1">
      <alignment horizontal="center" vertical="center"/>
    </xf>
    <xf numFmtId="3" fontId="30" fillId="3" borderId="0" xfId="0" applyNumberFormat="1" applyFont="1" applyFill="1" applyAlignment="1">
      <alignment horizontal="right" vertical="center"/>
    </xf>
    <xf numFmtId="9" fontId="30" fillId="3" borderId="0" xfId="2" applyFont="1" applyFill="1" applyBorder="1" applyAlignment="1">
      <alignment horizontal="center" vertical="center"/>
    </xf>
    <xf numFmtId="3" fontId="30" fillId="4" borderId="0" xfId="1" applyNumberFormat="1" applyFont="1" applyFill="1" applyBorder="1" applyAlignment="1">
      <alignment vertical="center"/>
    </xf>
    <xf numFmtId="9" fontId="30" fillId="37" borderId="0" xfId="2" applyFont="1" applyFill="1" applyBorder="1" applyAlignment="1">
      <alignment horizontal="center" vertical="center"/>
    </xf>
    <xf numFmtId="49" fontId="27" fillId="0" borderId="0" xfId="0" applyNumberFormat="1" applyFont="1" applyAlignment="1">
      <alignment horizontal="center" vertical="center"/>
    </xf>
    <xf numFmtId="3" fontId="30" fillId="0" borderId="0" xfId="0" applyNumberFormat="1" applyFont="1" applyAlignment="1">
      <alignment horizontal="right" vertical="center"/>
    </xf>
    <xf numFmtId="9" fontId="30" fillId="0" borderId="0" xfId="2" applyFont="1" applyFill="1" applyBorder="1" applyAlignment="1">
      <alignment horizontal="center" vertical="center"/>
    </xf>
    <xf numFmtId="3" fontId="30" fillId="0" borderId="0" xfId="1" applyNumberFormat="1" applyFont="1" applyFill="1" applyBorder="1" applyAlignment="1">
      <alignment vertical="center"/>
    </xf>
    <xf numFmtId="0" fontId="32" fillId="0" borderId="0" xfId="0" applyFont="1"/>
    <xf numFmtId="9" fontId="31" fillId="0" borderId="0" xfId="2" applyFont="1" applyAlignment="1">
      <alignment horizontal="center"/>
    </xf>
    <xf numFmtId="0" fontId="29" fillId="43" borderId="1" xfId="0" applyFont="1" applyFill="1" applyBorder="1" applyAlignment="1">
      <alignment horizontal="center" vertical="center" wrapText="1"/>
    </xf>
    <xf numFmtId="164" fontId="28" fillId="44" borderId="0" xfId="1" applyNumberFormat="1" applyFont="1" applyFill="1" applyBorder="1" applyAlignment="1">
      <alignment horizontal="center" vertical="center"/>
    </xf>
    <xf numFmtId="0" fontId="5" fillId="45" borderId="1" xfId="0" applyFont="1" applyFill="1" applyBorder="1" applyAlignment="1">
      <alignment horizontal="center" vertical="center"/>
    </xf>
    <xf numFmtId="0" fontId="33" fillId="0" borderId="0" xfId="0" applyFont="1" applyAlignment="1">
      <alignment vertical="center"/>
    </xf>
    <xf numFmtId="0" fontId="29" fillId="2" borderId="11" xfId="0" applyFont="1" applyFill="1" applyBorder="1" applyAlignment="1">
      <alignment horizontal="center" vertical="center" wrapText="1"/>
    </xf>
    <xf numFmtId="0" fontId="28" fillId="40" borderId="0" xfId="0" applyFont="1" applyFill="1" applyAlignment="1">
      <alignment horizontal="center" vertical="center"/>
    </xf>
    <xf numFmtId="0" fontId="34" fillId="40" borderId="0" xfId="0" applyFont="1" applyFill="1" applyAlignment="1">
      <alignment horizontal="center"/>
    </xf>
    <xf numFmtId="0" fontId="30" fillId="0" borderId="0" xfId="0" applyFont="1"/>
    <xf numFmtId="0" fontId="25" fillId="0" borderId="0" xfId="0" applyFont="1"/>
    <xf numFmtId="0" fontId="24" fillId="41" borderId="1" xfId="0" applyFont="1" applyFill="1" applyBorder="1" applyAlignment="1">
      <alignment horizontal="center" vertical="center" wrapText="1"/>
    </xf>
    <xf numFmtId="9" fontId="24" fillId="41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/>
    </xf>
    <xf numFmtId="0" fontId="24" fillId="42" borderId="1" xfId="0" applyFont="1" applyFill="1" applyBorder="1" applyAlignment="1">
      <alignment horizontal="center" vertical="center" wrapText="1"/>
    </xf>
    <xf numFmtId="9" fontId="24" fillId="42" borderId="1" xfId="2" applyFont="1" applyFill="1" applyBorder="1" applyAlignment="1">
      <alignment horizontal="center" vertical="center" wrapText="1"/>
    </xf>
    <xf numFmtId="49" fontId="30" fillId="38" borderId="0" xfId="2" applyNumberFormat="1" applyFont="1" applyFill="1" applyBorder="1" applyAlignment="1">
      <alignment vertical="top" wrapText="1"/>
    </xf>
    <xf numFmtId="49" fontId="28" fillId="0" borderId="0" xfId="0" applyNumberFormat="1" applyFont="1" applyAlignment="1">
      <alignment vertical="center" wrapText="1"/>
    </xf>
    <xf numFmtId="0" fontId="0" fillId="0" borderId="0" xfId="0" applyAlignment="1">
      <alignment horizontal="center" wrapText="1"/>
    </xf>
    <xf numFmtId="49" fontId="30" fillId="0" borderId="0" xfId="2" applyNumberFormat="1" applyFont="1" applyFill="1" applyBorder="1" applyAlignment="1">
      <alignment vertical="top" wrapText="1"/>
    </xf>
    <xf numFmtId="9" fontId="30" fillId="3" borderId="0" xfId="2" applyFont="1" applyFill="1" applyAlignment="1">
      <alignment horizontal="right" vertical="center"/>
    </xf>
    <xf numFmtId="164" fontId="28" fillId="0" borderId="0" xfId="1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2" fillId="0" borderId="0" xfId="43" applyFont="1" applyAlignment="1">
      <alignment horizontal="center" vertical="center"/>
    </xf>
    <xf numFmtId="49" fontId="27" fillId="40" borderId="0" xfId="0" applyNumberFormat="1" applyFont="1" applyFill="1" applyAlignment="1">
      <alignment horizontal="left" vertical="center"/>
    </xf>
    <xf numFmtId="0" fontId="0" fillId="0" borderId="0" xfId="0" applyAlignment="1">
      <alignment horizontal="left" wrapText="1"/>
    </xf>
    <xf numFmtId="0" fontId="34" fillId="40" borderId="0" xfId="0" applyFont="1" applyFill="1" applyAlignment="1">
      <alignment horizontal="left"/>
    </xf>
    <xf numFmtId="9" fontId="30" fillId="38" borderId="12" xfId="2" applyFont="1" applyFill="1" applyBorder="1" applyAlignment="1">
      <alignment horizontal="left" vertical="top"/>
    </xf>
    <xf numFmtId="0" fontId="29" fillId="43" borderId="11" xfId="0" applyFont="1" applyFill="1" applyBorder="1" applyAlignment="1">
      <alignment horizontal="center" vertical="center" wrapText="1"/>
    </xf>
    <xf numFmtId="0" fontId="24" fillId="41" borderId="11" xfId="0" applyFont="1" applyFill="1" applyBorder="1" applyAlignment="1">
      <alignment horizontal="center" vertical="center" wrapText="1"/>
    </xf>
    <xf numFmtId="3" fontId="35" fillId="46" borderId="0" xfId="0" applyNumberFormat="1" applyFont="1" applyFill="1" applyAlignment="1">
      <alignment vertical="center"/>
    </xf>
    <xf numFmtId="0" fontId="24" fillId="42" borderId="11" xfId="0" applyFont="1" applyFill="1" applyBorder="1" applyAlignment="1">
      <alignment horizontal="center" vertical="center"/>
    </xf>
    <xf numFmtId="3" fontId="35" fillId="47" borderId="0" xfId="0" applyNumberFormat="1" applyFont="1" applyFill="1" applyAlignment="1">
      <alignment vertical="center"/>
    </xf>
    <xf numFmtId="0" fontId="3" fillId="4" borderId="1" xfId="0" applyFont="1" applyFill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24" fillId="39" borderId="1" xfId="0" applyFont="1" applyFill="1" applyBorder="1" applyAlignment="1">
      <alignment horizontal="center" vertical="center"/>
    </xf>
  </cellXfs>
  <cellStyles count="45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te 2" xfId="44" xr:uid="{74FD8891-0B2B-4B5A-B89E-AB361AD9C09D}"/>
    <cellStyle name="Output" xfId="12" builtinId="21" customBuiltin="1"/>
    <cellStyle name="Percent" xfId="2" builtinId="5"/>
    <cellStyle name="Title" xfId="3" builtinId="15" customBuiltin="1"/>
    <cellStyle name="Total" xfId="18" builtinId="25" customBuiltin="1"/>
    <cellStyle name="Warning Text" xfId="16" builtinId="11" customBuiltin="1"/>
  </cellStyles>
  <dxfs count="3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left" vertical="bottom" textRotation="0" wrapText="1" indent="0" justifyLastLine="0" shrinkToFit="0" readingOrder="0"/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89055A"/>
      <color rgb="FF74868C"/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9" Type="http://schemas.openxmlformats.org/officeDocument/2006/relationships/customXml" Target="../customXml/item14.xml"/><Relationship Id="rId21" Type="http://schemas.openxmlformats.org/officeDocument/2006/relationships/styles" Target="styles.xml"/><Relationship Id="rId34" Type="http://schemas.openxmlformats.org/officeDocument/2006/relationships/customXml" Target="../customXml/item9.xml"/><Relationship Id="rId42" Type="http://schemas.openxmlformats.org/officeDocument/2006/relationships/customXml" Target="../customXml/item17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owerPivotData" Target="model/item.data"/><Relationship Id="rId32" Type="http://schemas.openxmlformats.org/officeDocument/2006/relationships/customXml" Target="../customXml/item7.xml"/><Relationship Id="rId37" Type="http://schemas.openxmlformats.org/officeDocument/2006/relationships/customXml" Target="../customXml/item12.xml"/><Relationship Id="rId40" Type="http://schemas.openxmlformats.org/officeDocument/2006/relationships/customXml" Target="../customXml/item15.xml"/><Relationship Id="rId45" Type="http://schemas.openxmlformats.org/officeDocument/2006/relationships/customXml" Target="../customXml/item2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28" Type="http://schemas.openxmlformats.org/officeDocument/2006/relationships/customXml" Target="../customXml/item3.xml"/><Relationship Id="rId36" Type="http://schemas.openxmlformats.org/officeDocument/2006/relationships/customXml" Target="../customXml/item1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31" Type="http://schemas.openxmlformats.org/officeDocument/2006/relationships/customXml" Target="../customXml/item6.xml"/><Relationship Id="rId44" Type="http://schemas.openxmlformats.org/officeDocument/2006/relationships/customXml" Target="../customXml/item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Relationship Id="rId35" Type="http://schemas.openxmlformats.org/officeDocument/2006/relationships/customXml" Target="../customXml/item10.xml"/><Relationship Id="rId43" Type="http://schemas.openxmlformats.org/officeDocument/2006/relationships/customXml" Target="../customXml/item18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33" Type="http://schemas.openxmlformats.org/officeDocument/2006/relationships/customXml" Target="../customXml/item8.xml"/><Relationship Id="rId38" Type="http://schemas.openxmlformats.org/officeDocument/2006/relationships/customXml" Target="../customXml/item13.xml"/><Relationship Id="rId20" Type="http://schemas.openxmlformats.org/officeDocument/2006/relationships/connections" Target="connections.xml"/><Relationship Id="rId41" Type="http://schemas.openxmlformats.org/officeDocument/2006/relationships/customXml" Target="../customXml/item1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C95D9E-67ED-41E0-9F41-9C3DA4ACF4CD}" name="Sites" displayName="Sites" ref="A3:E4" totalsRowShown="0">
  <autoFilter ref="A3:E4" xr:uid="{C9C95D9E-67ED-41E0-9F41-9C3DA4ACF4CD}"/>
  <sortState xmlns:xlrd2="http://schemas.microsoft.com/office/spreadsheetml/2017/richdata2" ref="A4:D6">
    <sortCondition ref="C3:C6"/>
  </sortState>
  <tableColumns count="5">
    <tableColumn id="3" xr3:uid="{3FB6FBC9-911C-415A-89D1-91E602B41CD0}" name="Site DAS Name" dataDxfId="2" dataCellStyle="Normal 2"/>
    <tableColumn id="1" xr3:uid="{9A753695-C18C-437C-AD9C-C2CE5C1A806E}" name="Site" dataDxfId="1" dataCellStyle="Normal 2"/>
    <tableColumn id="2" xr3:uid="{250F229D-34D2-4043-BE8F-6D9C210E223F}" name="State" dataDxfId="0" dataCellStyle="Normal 2"/>
    <tableColumn id="5" xr3:uid="{61DF2E38-E0FD-4D7E-AE61-BDFE8D5E1312}" name="Update"/>
    <tableColumn id="4" xr3:uid="{E086A54F-BF3D-477F-A0D7-706863BF0C38}" name="D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tabColor rgb="FFFFFF00"/>
    <pageSetUpPr fitToPage="1"/>
  </sheetPr>
  <dimension ref="A1:I321"/>
  <sheetViews>
    <sheetView workbookViewId="0">
      <pane xSplit="2" ySplit="3" topLeftCell="C4" activePane="bottomRight" state="frozen"/>
      <selection pane="bottomRight" activeCell="C4" sqref="C4"/>
      <selection pane="bottomLeft" activeCell="C14" sqref="C14"/>
      <selection pane="topRight" activeCell="C14" sqref="C14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4" t="str" cm="1">
        <f t="array" ref="A1">portfolio</f>
        <v>Pearson Venture Investments LLC</v>
      </c>
      <c r="B1" s="54"/>
      <c r="C1" s="54"/>
      <c r="D1" s="55" t="s">
        <v>0</v>
      </c>
      <c r="E1" s="55"/>
      <c r="F1" s="55"/>
      <c r="G1" s="53" t="s">
        <v>1</v>
      </c>
      <c r="H1" s="53"/>
      <c r="I1" s="53"/>
    </row>
    <row r="2" spans="1:9" ht="19.5" customHeight="1">
      <c r="A2" s="56" t="s">
        <v>2</v>
      </c>
      <c r="B2" s="56"/>
      <c r="C2" s="5">
        <f>SUM(C4:C79)</f>
        <v>128669</v>
      </c>
      <c r="D2" s="5">
        <f>SUM(D4:D79)</f>
        <v>159139.24799999999</v>
      </c>
      <c r="E2" s="5">
        <f>C2-D2</f>
        <v>-30470.247999999992</v>
      </c>
      <c r="F2" s="6">
        <f>IFERROR(E2/D2, 0)</f>
        <v>-0.19146909629735082</v>
      </c>
      <c r="G2" s="5">
        <f>SUM(G4:G79)</f>
        <v>0</v>
      </c>
      <c r="H2" s="7">
        <f>C2-G2</f>
        <v>128669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</row>
    <row r="4" spans="1:9" ht="15.6">
      <c r="A4" s="11" t="str" cm="1">
        <f t="array" ref="A4">Sites[Site]</f>
        <v>Pearson Venture Investments LLC</v>
      </c>
      <c r="B4" s="9" t="str" cm="1">
        <f t="array" ref="B4">Sites[State]</f>
        <v>MA</v>
      </c>
      <c r="C4" s="23">
        <f>SUM('1st Qtr'!C4, '2nd Qtr'!C4, '3rd Qtr'!C4, '4th Qtr'!C4)</f>
        <v>128669</v>
      </c>
      <c r="D4" s="12">
        <f>SUM('1st Qtr'!D4, '2nd Qtr'!D4, '3rd Qtr'!D4, '4th Qtr'!D4)</f>
        <v>159139.24799999999</v>
      </c>
      <c r="E4" s="12">
        <f>IF(AND(ISNUMBER(C4),ISNUMBER(D4)), C4-D4, "")</f>
        <v>-30470.247999999992</v>
      </c>
      <c r="F4" s="13">
        <f>IFERROR(E4/D4, "")</f>
        <v>-0.19146909629735082</v>
      </c>
      <c r="G4" s="14">
        <f>SUM('1st Qtr'!G4, '2nd Qtr'!G4, '3rd Qtr'!G4, '4th Qtr'!G4)</f>
        <v>0</v>
      </c>
      <c r="H4" s="14">
        <f>SUM('1st Qtr'!H4, '2nd Qtr'!H4, '3rd Qtr'!H4, '4th Qtr'!H4)</f>
        <v>128669</v>
      </c>
      <c r="I4" s="15" t="str">
        <f>IFERROR(H4/G4, "")</f>
        <v/>
      </c>
    </row>
    <row r="5" spans="1:9" ht="13.9">
      <c r="A5" s="20"/>
      <c r="B5" s="20"/>
      <c r="C5" s="20"/>
      <c r="D5" s="20"/>
      <c r="E5" s="20"/>
      <c r="F5" s="20"/>
      <c r="G5" s="20"/>
      <c r="H5" s="20"/>
      <c r="I5" s="20"/>
    </row>
    <row r="6" spans="1:9" ht="13.9">
      <c r="A6" s="20"/>
      <c r="B6" s="20"/>
      <c r="C6" s="20"/>
      <c r="D6" s="20"/>
      <c r="E6" s="20"/>
      <c r="F6" s="20"/>
      <c r="G6" s="20"/>
      <c r="H6" s="20"/>
      <c r="I6" s="20"/>
    </row>
    <row r="7" spans="1:9" ht="13.9">
      <c r="A7" s="20"/>
      <c r="B7" s="20"/>
      <c r="C7" s="20"/>
      <c r="D7" s="20"/>
      <c r="E7" s="20"/>
      <c r="F7" s="20"/>
      <c r="G7" s="20"/>
      <c r="H7" s="20"/>
      <c r="I7" s="20"/>
    </row>
    <row r="8" spans="1:9" ht="13.9">
      <c r="A8" s="20"/>
      <c r="B8" s="20"/>
      <c r="C8" s="20"/>
      <c r="D8" s="20"/>
      <c r="E8" s="20"/>
      <c r="F8" s="20"/>
      <c r="G8" s="20"/>
      <c r="H8" s="20"/>
      <c r="I8" s="20"/>
    </row>
    <row r="9" spans="1:9" ht="13.9">
      <c r="A9" s="20"/>
      <c r="B9" s="20"/>
      <c r="C9" s="20"/>
      <c r="D9" s="20"/>
      <c r="E9" s="20"/>
      <c r="F9" s="20"/>
      <c r="G9" s="20"/>
      <c r="H9" s="20"/>
      <c r="I9" s="20"/>
    </row>
    <row r="10" spans="1:9" ht="13.9">
      <c r="A10" s="20"/>
      <c r="B10" s="20"/>
      <c r="C10" s="20"/>
      <c r="D10" s="20"/>
      <c r="E10" s="20"/>
      <c r="F10" s="20"/>
      <c r="G10" s="20"/>
      <c r="H10" s="20"/>
      <c r="I10" s="20"/>
    </row>
    <row r="11" spans="1:9" ht="13.9">
      <c r="A11" s="20"/>
      <c r="B11" s="20"/>
      <c r="C11" s="20"/>
      <c r="D11" s="20"/>
      <c r="E11" s="20"/>
      <c r="F11" s="20"/>
      <c r="G11" s="20"/>
      <c r="H11" s="20"/>
      <c r="I11" s="20"/>
    </row>
    <row r="12" spans="1:9" ht="13.9">
      <c r="A12" s="20"/>
      <c r="B12" s="20"/>
      <c r="C12" s="20"/>
      <c r="D12" s="20"/>
      <c r="E12" s="20"/>
      <c r="F12" s="21"/>
      <c r="G12" s="20"/>
      <c r="H12" s="20"/>
      <c r="I12" s="21"/>
    </row>
    <row r="13" spans="1:9" ht="13.9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9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9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9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9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9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9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9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9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9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9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9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9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9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9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9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9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9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9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9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9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9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9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9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9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9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9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9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9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9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9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9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9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9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9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9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9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9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9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9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9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9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9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9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9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9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9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9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9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9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9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9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9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9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9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9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9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9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9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9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9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9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9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9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9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9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9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9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9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9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9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9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9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9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9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9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9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9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9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9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9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9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9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9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9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9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9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9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9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9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9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9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9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9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9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9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9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9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9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9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9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9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9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9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9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9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9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9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9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9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9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9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9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9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9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9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9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9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9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9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9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9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9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9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9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9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9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9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9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9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9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9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9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9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9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9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9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9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9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9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9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9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9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9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9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9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9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9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9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9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9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9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9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9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9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9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9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9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9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9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9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9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9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9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9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9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9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9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9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9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9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9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9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9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9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9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9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9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9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9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9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9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9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9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9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9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9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9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9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9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9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9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9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9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9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9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9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9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9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9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9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9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9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9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9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9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9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9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9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9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9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9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9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9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9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9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9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9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9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9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9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9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9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9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9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9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9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9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9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9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9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9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9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9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9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9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9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9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9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9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9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9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9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9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9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9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9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9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9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9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9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9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9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9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9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9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9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9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9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9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9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9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9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9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9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9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9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9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9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9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9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9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9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9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9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9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9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9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9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9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9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9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9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9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9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9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9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9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9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9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9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9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9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9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9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9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9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9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9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9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9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9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9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9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9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9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9">
      <c r="A319" s="20"/>
      <c r="B319" s="20"/>
      <c r="C319" s="20"/>
      <c r="D319" s="20"/>
      <c r="E319" s="20"/>
      <c r="F319" s="21"/>
      <c r="G319" s="20"/>
      <c r="H319" s="20"/>
      <c r="I319" s="21"/>
    </row>
    <row r="320" spans="1:9" ht="13.9">
      <c r="A320" s="20"/>
      <c r="B320" s="20"/>
      <c r="C320" s="20"/>
      <c r="D320" s="20"/>
      <c r="E320" s="20"/>
      <c r="F320" s="21"/>
      <c r="G320" s="20"/>
      <c r="H320" s="20"/>
      <c r="I320" s="21"/>
    </row>
    <row r="321" spans="1:9" ht="13.9">
      <c r="A321" s="20"/>
      <c r="B321" s="20"/>
      <c r="C321" s="20"/>
      <c r="D321" s="20"/>
      <c r="E321" s="20"/>
      <c r="F321" s="21"/>
      <c r="G321" s="20"/>
      <c r="H321" s="20"/>
      <c r="I321" s="21"/>
    </row>
  </sheetData>
  <autoFilter ref="A2:I2" xr:uid="{D5C25034-9971-4A61-864F-C938F31EB1B8}"/>
  <mergeCells count="4">
    <mergeCell ref="G1:I1"/>
    <mergeCell ref="A1:C1"/>
    <mergeCell ref="D1:F1"/>
    <mergeCell ref="A2:B2"/>
  </mergeCells>
  <conditionalFormatting sqref="F2 I2 F4:F79 I4:I79">
    <cfRule type="cellIs" dxfId="38" priority="1" stopIfTrue="1" operator="lessThanOrEqual">
      <formula>-0.1</formula>
    </cfRule>
    <cfRule type="expression" dxfId="37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I321"/>
  <sheetViews>
    <sheetView workbookViewId="0">
      <pane xSplit="2" ySplit="3" topLeftCell="C4" activePane="bottomRight" state="frozen"/>
      <selection pane="bottomRight" activeCell="C14" sqref="C14"/>
      <selection pane="bottomLeft" activeCell="C14" sqref="C14"/>
      <selection pane="topRight" activeCell="C14" sqref="C14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4" t="str" cm="1">
        <f t="array" ref="A1">portfolio</f>
        <v>Pearson Venture Investments LLC</v>
      </c>
      <c r="B1" s="54"/>
      <c r="C1" s="54"/>
      <c r="D1" s="55" t="s">
        <v>10</v>
      </c>
      <c r="E1" s="55"/>
      <c r="F1" s="55"/>
      <c r="G1" s="53" t="s">
        <v>11</v>
      </c>
      <c r="H1" s="53"/>
      <c r="I1" s="53"/>
    </row>
    <row r="2" spans="1:9" ht="19.5" customHeight="1">
      <c r="A2" s="56" t="s">
        <v>2</v>
      </c>
      <c r="B2" s="56"/>
      <c r="C2" s="5">
        <f>SUM(C4:C79)</f>
        <v>16384</v>
      </c>
      <c r="D2" s="5">
        <f>SUM(D4:D79)</f>
        <v>28624</v>
      </c>
      <c r="E2" s="5">
        <f>C2-D2</f>
        <v>-12240</v>
      </c>
      <c r="F2" s="6">
        <f>IFERROR(E2/D2, 0)</f>
        <v>-0.4276131917272219</v>
      </c>
      <c r="G2" s="5">
        <f>SUM(G4:G79)</f>
        <v>0</v>
      </c>
      <c r="H2" s="7">
        <f>C2-G2</f>
        <v>16384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</row>
    <row r="4" spans="1:9" ht="15.6">
      <c r="A4" s="44" t="str" cm="1">
        <f t="array" ref="A4">Sites[Site]</f>
        <v>Pearson Venture Investments LLC</v>
      </c>
      <c r="B4" s="9" t="str" cm="1">
        <f t="array" ref="B4">Sites[State]</f>
        <v>MA</v>
      </c>
      <c r="C4" s="23">
        <f>SUM(Jan!C4, Feb!C4, Mar!C4)</f>
        <v>16384</v>
      </c>
      <c r="D4" s="12">
        <f>SUM(Jan!D4, Feb!D4, Mar!D4)</f>
        <v>28624</v>
      </c>
      <c r="E4" s="12">
        <f>IF(AND(ISNUMBER(C4),ISNUMBER(D4)), C4-D4, "")</f>
        <v>-12240</v>
      </c>
      <c r="F4" s="13">
        <f>IFERROR(E4/D4, "")</f>
        <v>-0.4276131917272219</v>
      </c>
      <c r="G4" s="14">
        <f>SUM(Jan!G4, Feb!G4, Mar!G4)</f>
        <v>0</v>
      </c>
      <c r="H4" s="14">
        <f>SUM(Jan!H4, Feb!H4, Mar!H4)</f>
        <v>16384</v>
      </c>
      <c r="I4" s="15" t="str">
        <f>IFERROR(H4/G4, "")</f>
        <v/>
      </c>
    </row>
    <row r="5" spans="1:9" ht="14.45">
      <c r="A5" s="20"/>
      <c r="B5" s="10"/>
      <c r="C5" s="20"/>
      <c r="D5" s="20"/>
      <c r="E5" s="20"/>
      <c r="F5" s="20"/>
      <c r="G5" s="20"/>
      <c r="H5" s="20"/>
      <c r="I5" s="20"/>
    </row>
    <row r="6" spans="1:9" ht="13.9">
      <c r="A6" s="20"/>
      <c r="B6" s="20"/>
      <c r="C6" s="20"/>
      <c r="D6" s="20"/>
      <c r="E6" s="20"/>
      <c r="F6" s="20"/>
      <c r="G6" s="20"/>
      <c r="H6" s="20"/>
      <c r="I6" s="20"/>
    </row>
    <row r="7" spans="1:9" ht="13.9">
      <c r="A7" s="20"/>
      <c r="B7" s="20"/>
      <c r="C7" s="20"/>
      <c r="D7" s="20"/>
      <c r="E7" s="20"/>
      <c r="F7" s="20"/>
      <c r="G7" s="20"/>
      <c r="H7" s="20"/>
      <c r="I7" s="20"/>
    </row>
    <row r="8" spans="1:9" ht="13.9">
      <c r="A8" s="20"/>
      <c r="B8" s="20"/>
      <c r="C8" s="20"/>
      <c r="D8" s="20"/>
      <c r="E8" s="20"/>
      <c r="F8" s="20"/>
      <c r="G8" s="20"/>
      <c r="H8" s="20"/>
      <c r="I8" s="20"/>
    </row>
    <row r="9" spans="1:9" ht="13.9">
      <c r="A9" s="20"/>
      <c r="B9" s="20"/>
      <c r="C9" s="20"/>
      <c r="D9" s="20"/>
      <c r="E9" s="20"/>
      <c r="F9" s="20"/>
      <c r="G9" s="20"/>
      <c r="H9" s="20"/>
      <c r="I9" s="20"/>
    </row>
    <row r="10" spans="1:9" ht="13.9">
      <c r="A10" s="20"/>
      <c r="B10" s="20"/>
      <c r="C10" s="20"/>
      <c r="D10" s="20"/>
      <c r="E10" s="20"/>
      <c r="F10" s="20"/>
      <c r="G10" s="20"/>
      <c r="H10" s="20"/>
      <c r="I10" s="20"/>
    </row>
    <row r="11" spans="1:9" ht="13.9">
      <c r="A11" s="20"/>
      <c r="B11" s="20"/>
      <c r="C11" s="20"/>
      <c r="D11" s="20"/>
      <c r="E11" s="20"/>
      <c r="F11" s="20"/>
      <c r="G11" s="20"/>
      <c r="H11" s="20"/>
      <c r="I11" s="20"/>
    </row>
    <row r="12" spans="1:9" ht="13.9">
      <c r="A12" s="20"/>
      <c r="B12" s="20"/>
      <c r="C12" s="20"/>
      <c r="D12" s="20"/>
      <c r="E12" s="20"/>
      <c r="F12" s="21"/>
      <c r="G12" s="20"/>
      <c r="H12" s="20"/>
      <c r="I12" s="21"/>
    </row>
    <row r="13" spans="1:9" ht="13.9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9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9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9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9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9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9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9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9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9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9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9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9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9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9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9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9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9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9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9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9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9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9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9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9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9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9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9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9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9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9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9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9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9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9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9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9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9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9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9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9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9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9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9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9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9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9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9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9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9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9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9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9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9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9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9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9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9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9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9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9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9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9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9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9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9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9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9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9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9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9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9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9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9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9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9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9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9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9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9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9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9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9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9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9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9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9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9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9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9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9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9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9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9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9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9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9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9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9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9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9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9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9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9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9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9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9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9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9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9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9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9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9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9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9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9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9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9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9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9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9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9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9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9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9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9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9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9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9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9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9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9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9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9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9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9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9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9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9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9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9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9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9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9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9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9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9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9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9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9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9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9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9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9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9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9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9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9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9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9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9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9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9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9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9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9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9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9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9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9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9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9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9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9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9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9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9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9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9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9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9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9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9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9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9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9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9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9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9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9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9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9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9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9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9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9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9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9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9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9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9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9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9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9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9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9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9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9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9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9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9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9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9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9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9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9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9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9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9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9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9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9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9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9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9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9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9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9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9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9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9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9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9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9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9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9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9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9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9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9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9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9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9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9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9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9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9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9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9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9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9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9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9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9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9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9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9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9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9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9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9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9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9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9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9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9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9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9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9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9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9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9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9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9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9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9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9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9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9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9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9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9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9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9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9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9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9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9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9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9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9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9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9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9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9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9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9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9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9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9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9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9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9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9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9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9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9">
      <c r="A319" s="20"/>
      <c r="B319" s="20"/>
      <c r="C319" s="20"/>
      <c r="D319" s="20"/>
      <c r="E319" s="20"/>
      <c r="F319" s="21"/>
      <c r="G319" s="20"/>
      <c r="H319" s="20"/>
      <c r="I319" s="21"/>
    </row>
    <row r="320" spans="1:9" ht="13.9">
      <c r="A320" s="20"/>
      <c r="B320" s="20"/>
      <c r="C320" s="20"/>
      <c r="D320" s="20"/>
      <c r="E320" s="20"/>
      <c r="F320" s="21"/>
      <c r="G320" s="20"/>
      <c r="H320" s="20"/>
      <c r="I320" s="21"/>
    </row>
    <row r="321" spans="1:9" ht="13.9">
      <c r="A321" s="20"/>
      <c r="B321" s="20"/>
      <c r="C321" s="20"/>
      <c r="D321" s="20"/>
      <c r="E321" s="20"/>
      <c r="F321" s="21"/>
      <c r="G321" s="20"/>
      <c r="H321" s="20"/>
      <c r="I321" s="21"/>
    </row>
  </sheetData>
  <sortState xmlns:xlrd2="http://schemas.microsoft.com/office/spreadsheetml/2017/richdata2" ref="A3:I3">
    <sortCondition ref="A3"/>
  </sortState>
  <mergeCells count="4">
    <mergeCell ref="G1:I1"/>
    <mergeCell ref="A1:C1"/>
    <mergeCell ref="D1:F1"/>
    <mergeCell ref="A2:B2"/>
  </mergeCells>
  <conditionalFormatting sqref="F2 I2 F4:F79 I4:I79">
    <cfRule type="cellIs" dxfId="36" priority="1" stopIfTrue="1" operator="lessThanOrEqual">
      <formula>-0.1</formula>
    </cfRule>
    <cfRule type="expression" dxfId="35" priority="2">
      <formula>AND(ISNUMBER(F2), F2&gt;=0.1)</formula>
    </cfRule>
  </conditionalFormatting>
  <pageMargins left="0.4" right="0.7" top="0.25" bottom="0.25" header="0.3" footer="0.3"/>
  <pageSetup scale="73" fitToHeight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I321"/>
  <sheetViews>
    <sheetView workbookViewId="0">
      <pane xSplit="2" ySplit="3" topLeftCell="C4" activePane="bottomRight" state="frozen"/>
      <selection pane="bottomRight" activeCell="G4" sqref="G4"/>
      <selection pane="bottomLeft" activeCell="C14" sqref="C14"/>
      <selection pane="topRight" activeCell="C14" sqref="C14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4" t="str" cm="1">
        <f t="array" ref="A1">portfolio</f>
        <v>Pearson Venture Investments LLC</v>
      </c>
      <c r="B1" s="54"/>
      <c r="C1" s="54"/>
      <c r="D1" s="55" t="s">
        <v>12</v>
      </c>
      <c r="E1" s="55"/>
      <c r="F1" s="55"/>
      <c r="G1" s="53" t="s">
        <v>13</v>
      </c>
      <c r="H1" s="53"/>
      <c r="I1" s="53"/>
    </row>
    <row r="2" spans="1:9" ht="19.5" customHeight="1">
      <c r="A2" s="56" t="s">
        <v>2</v>
      </c>
      <c r="B2" s="56"/>
      <c r="C2" s="5">
        <f>SUM(C4:C79)</f>
        <v>39137</v>
      </c>
      <c r="D2" s="5">
        <f>SUM(D4:D79)</f>
        <v>53073.9</v>
      </c>
      <c r="E2" s="5">
        <f>C2-D2</f>
        <v>-13936.900000000001</v>
      </c>
      <c r="F2" s="6">
        <f>IFERROR(E2/D2, 0)</f>
        <v>-0.26259423181639185</v>
      </c>
      <c r="G2" s="5">
        <f>SUM(G4:G79)</f>
        <v>0</v>
      </c>
      <c r="H2" s="7">
        <f>C2-G2</f>
        <v>39137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</row>
    <row r="4" spans="1:9" ht="15.6">
      <c r="A4" s="44" t="str" cm="1">
        <f t="array" ref="A4">Sites[Site]</f>
        <v>Pearson Venture Investments LLC</v>
      </c>
      <c r="B4" s="9" t="str" cm="1">
        <f t="array" ref="B4">Sites[State]</f>
        <v>MA</v>
      </c>
      <c r="C4" s="23">
        <f>SUM(Apr!C4, May!C4, Jun!C4)</f>
        <v>39137</v>
      </c>
      <c r="D4" s="12">
        <f>SUM(Apr!D4, May!D4, Jun!D4)</f>
        <v>53073.9</v>
      </c>
      <c r="E4" s="12">
        <f>IF(AND(ISNUMBER(C4),ISNUMBER(D4)), C4-D4, "")</f>
        <v>-13936.900000000001</v>
      </c>
      <c r="F4" s="13">
        <f>IFERROR(E4/D4, "")</f>
        <v>-0.26259423181639185</v>
      </c>
      <c r="G4" s="14">
        <f>SUM(Apr!G4,May!G4,Jun!G4)</f>
        <v>0</v>
      </c>
      <c r="H4" s="14">
        <f>SUM(Apr!H4, May!H4, Jun!H4)</f>
        <v>39137</v>
      </c>
      <c r="I4" s="15" t="str">
        <f>IFERROR(H4/G4, "")</f>
        <v/>
      </c>
    </row>
    <row r="5" spans="1:9" ht="13.9">
      <c r="A5" s="20"/>
      <c r="B5" s="20"/>
      <c r="C5" s="20"/>
      <c r="D5" s="20"/>
      <c r="E5" s="20"/>
      <c r="F5" s="20"/>
      <c r="G5" s="20"/>
      <c r="H5" s="20"/>
      <c r="I5" s="20"/>
    </row>
    <row r="6" spans="1:9" ht="13.9">
      <c r="A6" s="20"/>
      <c r="B6" s="20"/>
      <c r="C6" s="20"/>
      <c r="D6" s="20"/>
      <c r="E6" s="20"/>
      <c r="F6" s="20"/>
      <c r="G6" s="20"/>
      <c r="H6" s="20"/>
      <c r="I6" s="20"/>
    </row>
    <row r="7" spans="1:9" ht="13.9">
      <c r="A7" s="20"/>
      <c r="B7" s="20"/>
      <c r="C7" s="20"/>
      <c r="D7" s="20"/>
      <c r="E7" s="20"/>
      <c r="F7" s="20"/>
      <c r="G7" s="20"/>
      <c r="H7" s="20"/>
      <c r="I7" s="20"/>
    </row>
    <row r="8" spans="1:9" ht="13.9">
      <c r="A8" s="20"/>
      <c r="B8" s="20"/>
      <c r="C8" s="20"/>
      <c r="D8" s="20"/>
      <c r="E8" s="20"/>
      <c r="F8" s="20"/>
      <c r="G8" s="20"/>
      <c r="H8" s="20"/>
      <c r="I8" s="20"/>
    </row>
    <row r="9" spans="1:9" ht="13.9">
      <c r="A9" s="20"/>
      <c r="B9" s="20"/>
      <c r="C9" s="20"/>
      <c r="D9" s="20"/>
      <c r="E9" s="20"/>
      <c r="F9" s="20"/>
      <c r="G9" s="20"/>
      <c r="H9" s="20"/>
      <c r="I9" s="20"/>
    </row>
    <row r="10" spans="1:9" ht="13.9">
      <c r="A10" s="20"/>
      <c r="B10" s="20"/>
      <c r="C10" s="20"/>
      <c r="D10" s="20"/>
      <c r="E10" s="20"/>
      <c r="F10" s="20"/>
      <c r="G10" s="20"/>
      <c r="H10" s="20"/>
      <c r="I10" s="20"/>
    </row>
    <row r="11" spans="1:9" ht="13.9">
      <c r="A11" s="20"/>
      <c r="B11" s="20"/>
      <c r="C11" s="20"/>
      <c r="D11" s="20"/>
      <c r="E11" s="20"/>
      <c r="F11" s="20"/>
      <c r="G11" s="20"/>
      <c r="H11" s="20"/>
      <c r="I11" s="20"/>
    </row>
    <row r="12" spans="1:9" ht="13.9">
      <c r="A12" s="20"/>
      <c r="B12" s="20"/>
      <c r="C12" s="20"/>
      <c r="D12" s="20"/>
      <c r="E12" s="20"/>
      <c r="F12" s="21"/>
      <c r="G12" s="20"/>
      <c r="H12" s="20"/>
      <c r="I12" s="21"/>
    </row>
    <row r="13" spans="1:9" ht="13.9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9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9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9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9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9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9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9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9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9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9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9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9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9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9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9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9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9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9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9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9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9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9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9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9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9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9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9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9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9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9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9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9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9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9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9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9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9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9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9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9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9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9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9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9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9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9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9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9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9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9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9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9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9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9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9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9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9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9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9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9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9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9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9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9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9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9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9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9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9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9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9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9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9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9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9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9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9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9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9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9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9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9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9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9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9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9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9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9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9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9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9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9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9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9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9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9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9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9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9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9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9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9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9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9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9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9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9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9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9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9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9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9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9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9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9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9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9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9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9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9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9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9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9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9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9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9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9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9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9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9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9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9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9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9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9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9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9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9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9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9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9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9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9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9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9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9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9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9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9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9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9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9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9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9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9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9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9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9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9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9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9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9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9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9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9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9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9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9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9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9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9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9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9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9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9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9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9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9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9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9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9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9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9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9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9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9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9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9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9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9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9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9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9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9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9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9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9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9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9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9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9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9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9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9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9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9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9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9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9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9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9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9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9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9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9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9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9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9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9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9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9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9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9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9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9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9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9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9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9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9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9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9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9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9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9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9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9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9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9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9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9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9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9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9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9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9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9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9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9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9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9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9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9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9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9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9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9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9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9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9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9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9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9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9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9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9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9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9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9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9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9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9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9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9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9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9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9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9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9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9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9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9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9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9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9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9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9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9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9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9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9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9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9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9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9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9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9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9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9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9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9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9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9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9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9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9">
      <c r="A319" s="20"/>
      <c r="B319" s="20"/>
      <c r="C319" s="20"/>
      <c r="D319" s="20"/>
      <c r="E319" s="20"/>
      <c r="F319" s="21"/>
      <c r="G319" s="20"/>
      <c r="H319" s="20"/>
      <c r="I319" s="21"/>
    </row>
    <row r="320" spans="1:9" ht="13.9">
      <c r="A320" s="20"/>
      <c r="B320" s="20"/>
      <c r="C320" s="20"/>
      <c r="D320" s="20"/>
      <c r="E320" s="20"/>
      <c r="F320" s="21"/>
      <c r="G320" s="20"/>
      <c r="H320" s="20"/>
      <c r="I320" s="21"/>
    </row>
    <row r="321" spans="1:9" ht="13.9">
      <c r="A321" s="20"/>
      <c r="B321" s="20"/>
      <c r="C321" s="20"/>
      <c r="D321" s="20"/>
      <c r="E321" s="20"/>
      <c r="F321" s="21"/>
      <c r="G321" s="20"/>
      <c r="H321" s="20"/>
      <c r="I321" s="21"/>
    </row>
  </sheetData>
  <sortState xmlns:xlrd2="http://schemas.microsoft.com/office/spreadsheetml/2017/richdata2" ref="A3:I4">
    <sortCondition ref="A3:A4"/>
  </sortState>
  <mergeCells count="4">
    <mergeCell ref="G1:I1"/>
    <mergeCell ref="A1:C1"/>
    <mergeCell ref="D1:F1"/>
    <mergeCell ref="A2:B2"/>
  </mergeCells>
  <conditionalFormatting sqref="F2 I2 F4:F79 I4:I79">
    <cfRule type="cellIs" dxfId="34" priority="1" stopIfTrue="1" operator="lessThanOrEqual">
      <formula>-0.1</formula>
    </cfRule>
    <cfRule type="expression" dxfId="3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I321"/>
  <sheetViews>
    <sheetView workbookViewId="0">
      <pane xSplit="2" ySplit="3" topLeftCell="C4" activePane="bottomRight" state="frozen"/>
      <selection pane="bottomRight" activeCell="G4" sqref="G4"/>
      <selection pane="bottomLeft" activeCell="C14" sqref="C14"/>
      <selection pane="topRight" activeCell="C14" sqref="C14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4" t="str" cm="1">
        <f t="array" ref="A1">portfolio</f>
        <v>Pearson Venture Investments LLC</v>
      </c>
      <c r="B1" s="54"/>
      <c r="C1" s="54"/>
      <c r="D1" s="55" t="s">
        <v>14</v>
      </c>
      <c r="E1" s="55"/>
      <c r="F1" s="55"/>
      <c r="G1" s="53" t="s">
        <v>15</v>
      </c>
      <c r="H1" s="53"/>
      <c r="I1" s="53"/>
    </row>
    <row r="2" spans="1:9" ht="19.5" customHeight="1">
      <c r="A2" s="56" t="s">
        <v>2</v>
      </c>
      <c r="B2" s="56"/>
      <c r="C2" s="5">
        <f>SUM(C4:C79)</f>
        <v>50447</v>
      </c>
      <c r="D2" s="5">
        <f>SUM(D4:D79)</f>
        <v>50393.099999999991</v>
      </c>
      <c r="E2" s="5">
        <f>C2-D2</f>
        <v>53.900000000008731</v>
      </c>
      <c r="F2" s="6">
        <f>IFERROR(E2/D2, 0)</f>
        <v>1.0695908765289046E-3</v>
      </c>
      <c r="G2" s="5">
        <f>SUM(G4:G79)</f>
        <v>0</v>
      </c>
      <c r="H2" s="7">
        <f>C2-G2</f>
        <v>50447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</row>
    <row r="4" spans="1:9" ht="15.6">
      <c r="A4" s="44" t="str" cm="1">
        <f t="array" ref="A4">Sites[Site]</f>
        <v>Pearson Venture Investments LLC</v>
      </c>
      <c r="B4" s="9" t="str" cm="1">
        <f t="array" ref="B4">Sites[State]</f>
        <v>MA</v>
      </c>
      <c r="C4" s="23">
        <f>SUM(Jul!C4, Aug!C4, Sep!C4)</f>
        <v>50447</v>
      </c>
      <c r="D4" s="12">
        <f>SUM(Jul!D4, Aug!D4, Sep!D4)</f>
        <v>50393.099999999991</v>
      </c>
      <c r="E4" s="12">
        <f>IF(AND(ISNUMBER(C4),ISNUMBER(D4)), C4-D4, "")</f>
        <v>53.900000000008731</v>
      </c>
      <c r="F4" s="13">
        <f>IFERROR(E4/D4, "")</f>
        <v>1.0695908765289046E-3</v>
      </c>
      <c r="G4" s="14">
        <f>SUM(Jul!G4,Aug!G4,Sep!G4)</f>
        <v>0</v>
      </c>
      <c r="H4" s="14">
        <f>SUM(Jul!H4, Aug!H4, Sep!H4)</f>
        <v>50447</v>
      </c>
      <c r="I4" s="15" t="str">
        <f>IFERROR(H4/G4, "")</f>
        <v/>
      </c>
    </row>
    <row r="5" spans="1:9" ht="15.6">
      <c r="A5" s="16"/>
      <c r="B5" s="20"/>
      <c r="C5" s="20"/>
      <c r="D5" s="20"/>
      <c r="E5" s="20"/>
      <c r="F5" s="20"/>
      <c r="G5" s="20"/>
      <c r="H5" s="20"/>
      <c r="I5" s="20"/>
    </row>
    <row r="6" spans="1:9" ht="15.6">
      <c r="A6" s="16"/>
      <c r="B6" s="20"/>
      <c r="C6" s="20"/>
      <c r="D6" s="20"/>
      <c r="E6" s="20"/>
      <c r="F6" s="20"/>
      <c r="G6" s="20"/>
      <c r="H6" s="20"/>
      <c r="I6" s="20"/>
    </row>
    <row r="7" spans="1:9" ht="15.6">
      <c r="A7" s="16"/>
      <c r="B7" s="20"/>
      <c r="C7" s="20"/>
      <c r="D7" s="20"/>
      <c r="E7" s="20"/>
      <c r="F7" s="20"/>
      <c r="G7" s="20"/>
      <c r="H7" s="20"/>
      <c r="I7" s="20"/>
    </row>
    <row r="8" spans="1:9" ht="15.6">
      <c r="A8" s="16"/>
      <c r="B8" s="20"/>
      <c r="C8" s="20"/>
      <c r="D8" s="20"/>
      <c r="E8" s="20"/>
      <c r="F8" s="20"/>
      <c r="G8" s="20"/>
      <c r="H8" s="20"/>
      <c r="I8" s="20"/>
    </row>
    <row r="9" spans="1:9" ht="15.6">
      <c r="A9" s="16"/>
      <c r="B9" s="20"/>
      <c r="C9" s="20"/>
      <c r="D9" s="20"/>
      <c r="E9" s="20"/>
      <c r="F9" s="20"/>
      <c r="G9" s="20"/>
      <c r="H9" s="20"/>
      <c r="I9" s="20"/>
    </row>
    <row r="10" spans="1:9" ht="15.6">
      <c r="A10" s="16"/>
      <c r="B10" s="20"/>
      <c r="C10" s="20"/>
      <c r="D10" s="20"/>
      <c r="E10" s="20"/>
      <c r="F10" s="20"/>
      <c r="G10" s="20"/>
      <c r="H10" s="20"/>
      <c r="I10" s="20"/>
    </row>
    <row r="11" spans="1:9" ht="13.9">
      <c r="A11" s="20"/>
      <c r="B11" s="20"/>
      <c r="C11" s="20"/>
      <c r="D11" s="20"/>
      <c r="E11" s="20"/>
      <c r="F11" s="20"/>
      <c r="G11" s="20"/>
      <c r="H11" s="20"/>
      <c r="I11" s="20"/>
    </row>
    <row r="12" spans="1:9" ht="13.9">
      <c r="A12" s="20"/>
      <c r="B12" s="20"/>
      <c r="C12" s="20"/>
      <c r="D12" s="20"/>
      <c r="E12" s="20"/>
      <c r="F12" s="21"/>
      <c r="G12" s="20"/>
      <c r="H12" s="20"/>
      <c r="I12" s="21"/>
    </row>
    <row r="13" spans="1:9" ht="13.9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9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9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9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9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9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9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9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9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9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9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9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9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9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9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9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9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9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9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9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9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9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9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9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9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9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9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9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9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9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9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9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9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9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9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9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9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9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9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9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9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9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9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9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9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9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9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9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9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9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9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9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9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9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9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9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9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9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9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9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9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9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9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9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9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9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9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9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9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9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9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9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9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9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9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9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9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9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9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9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9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9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9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9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9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9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9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9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9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9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9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9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9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9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9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9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9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9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9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9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9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9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9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9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9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9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9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9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9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9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9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9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9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9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9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9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9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9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9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9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9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9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9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9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9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9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9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9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9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9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9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9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9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9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9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9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9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9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9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9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9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9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9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9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9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9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9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9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9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9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9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9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9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9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9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9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9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9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9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9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9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9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9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9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9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9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9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9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9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9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9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9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9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9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9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9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9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9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9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9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9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9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9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9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9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9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9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9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9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9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9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9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9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9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9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9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9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9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9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9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9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9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9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9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9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9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9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9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9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9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9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9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9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9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9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9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9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9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9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9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9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9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9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9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9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9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9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9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9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9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9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9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9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9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9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9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9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9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9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9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9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9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9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9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9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9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9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9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9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9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9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9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9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9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9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9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9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9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9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9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9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9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9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9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9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9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9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9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9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9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9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9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9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9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9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9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9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9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9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9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9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9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9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9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9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9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9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9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9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9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9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9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9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9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9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9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9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9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9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9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9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9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9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9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9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9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9">
      <c r="A319" s="20"/>
      <c r="B319" s="20"/>
      <c r="C319" s="20"/>
      <c r="D319" s="20"/>
      <c r="E319" s="20"/>
      <c r="F319" s="21"/>
      <c r="G319" s="20"/>
      <c r="H319" s="20"/>
      <c r="I319" s="21"/>
    </row>
    <row r="320" spans="1:9" ht="13.9">
      <c r="A320" s="20"/>
      <c r="B320" s="20"/>
      <c r="C320" s="20"/>
      <c r="D320" s="20"/>
      <c r="E320" s="20"/>
      <c r="F320" s="21"/>
      <c r="G320" s="20"/>
      <c r="H320" s="20"/>
      <c r="I320" s="21"/>
    </row>
    <row r="321" spans="1:9" ht="13.9">
      <c r="A321" s="20"/>
      <c r="B321" s="20"/>
      <c r="C321" s="20"/>
      <c r="D321" s="20"/>
      <c r="E321" s="20"/>
      <c r="F321" s="21"/>
      <c r="G321" s="20"/>
      <c r="H321" s="20"/>
      <c r="I321" s="21"/>
    </row>
  </sheetData>
  <mergeCells count="4">
    <mergeCell ref="G1:I1"/>
    <mergeCell ref="A1:C1"/>
    <mergeCell ref="D1:F1"/>
    <mergeCell ref="A2:B2"/>
  </mergeCells>
  <conditionalFormatting sqref="F2 I2 F4:F79 I4:I79">
    <cfRule type="cellIs" dxfId="32" priority="1" stopIfTrue="1" operator="lessThanOrEqual">
      <formula>-0.1</formula>
    </cfRule>
    <cfRule type="expression" dxfId="3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I321"/>
  <sheetViews>
    <sheetView workbookViewId="0">
      <pane xSplit="2" ySplit="3" topLeftCell="C4" activePane="bottomRight" state="frozen"/>
      <selection pane="bottomRight" activeCell="H12" sqref="H12"/>
      <selection pane="bottomLeft" activeCell="C14" sqref="C14"/>
      <selection pane="topRight" activeCell="C14" sqref="C14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4" t="str" cm="1">
        <f t="array" ref="A1">portfolio</f>
        <v>Pearson Venture Investments LLC</v>
      </c>
      <c r="B1" s="54"/>
      <c r="C1" s="54"/>
      <c r="D1" s="55" t="s">
        <v>16</v>
      </c>
      <c r="E1" s="55"/>
      <c r="F1" s="55"/>
      <c r="G1" s="53" t="s">
        <v>17</v>
      </c>
      <c r="H1" s="53"/>
      <c r="I1" s="53"/>
    </row>
    <row r="2" spans="1:9" ht="19.5" customHeight="1">
      <c r="A2" s="56" t="s">
        <v>2</v>
      </c>
      <c r="B2" s="56"/>
      <c r="C2" s="5">
        <f>SUM(C4:C79)</f>
        <v>22701</v>
      </c>
      <c r="D2" s="5">
        <f>SUM(D4:D79)</f>
        <v>27048.248</v>
      </c>
      <c r="E2" s="5">
        <f>C2-D2</f>
        <v>-4347.2479999999996</v>
      </c>
      <c r="F2" s="6">
        <f>IFERROR(E2/D2, 0)</f>
        <v>-0.1607219809578794</v>
      </c>
      <c r="G2" s="5">
        <f>SUM(G4:G79)</f>
        <v>0</v>
      </c>
      <c r="H2" s="7">
        <f>C2-G2</f>
        <v>22701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</row>
    <row r="4" spans="1:9" ht="15.6">
      <c r="A4" s="44" t="str" cm="1">
        <f t="array" ref="A4">Sites[Site]</f>
        <v>Pearson Venture Investments LLC</v>
      </c>
      <c r="B4" s="9" t="str" cm="1">
        <f t="array" ref="B4">Sites[State]</f>
        <v>MA</v>
      </c>
      <c r="C4" s="23">
        <f>SUM(Oct!C4, Nov!C4, Dec!C4)</f>
        <v>22701</v>
      </c>
      <c r="D4" s="12">
        <f>SUM(Oct!D4, Nov!D4, Dec!D4)</f>
        <v>27048.248</v>
      </c>
      <c r="E4" s="12">
        <f>IF(AND(ISNUMBER(C4),ISNUMBER(D4)), C4-D4, "")</f>
        <v>-4347.2479999999996</v>
      </c>
      <c r="F4" s="13">
        <f>IFERROR(E4/D4, "")</f>
        <v>-0.1607219809578794</v>
      </c>
      <c r="G4" s="14">
        <f>SUM(Oct!G4,Nov!G4,Dec!G4)</f>
        <v>0</v>
      </c>
      <c r="H4" s="14">
        <f>SUM(Oct!H4, Nov!H4, Dec!H4)</f>
        <v>22701</v>
      </c>
      <c r="I4" s="15" t="str">
        <f>IFERROR(H4/G4, "")</f>
        <v/>
      </c>
    </row>
    <row r="5" spans="1:9" ht="15.6">
      <c r="A5" s="16"/>
      <c r="B5" s="10"/>
      <c r="C5" s="41"/>
      <c r="D5" s="17"/>
      <c r="E5" s="17"/>
      <c r="F5" s="18"/>
      <c r="G5" s="19"/>
      <c r="H5" s="19"/>
      <c r="I5" s="18"/>
    </row>
    <row r="6" spans="1:9" ht="14.45">
      <c r="A6" s="20"/>
      <c r="B6" s="10"/>
      <c r="C6" s="41"/>
      <c r="D6" s="17"/>
      <c r="E6" s="17"/>
      <c r="F6" s="18"/>
      <c r="G6" s="19"/>
      <c r="H6" s="19"/>
      <c r="I6" s="18"/>
    </row>
    <row r="7" spans="1:9" ht="14.45">
      <c r="A7" s="20"/>
      <c r="B7" s="10"/>
      <c r="C7" s="41"/>
      <c r="D7" s="17"/>
      <c r="E7" s="17"/>
      <c r="F7" s="18"/>
      <c r="G7" s="19"/>
      <c r="H7" s="19"/>
      <c r="I7" s="18"/>
    </row>
    <row r="8" spans="1:9" ht="14.45">
      <c r="A8" s="20"/>
      <c r="B8" s="10"/>
      <c r="C8" s="41"/>
      <c r="D8" s="17"/>
      <c r="E8" s="17"/>
      <c r="F8" s="18"/>
      <c r="G8" s="19"/>
      <c r="H8" s="19"/>
      <c r="I8" s="18"/>
    </row>
    <row r="9" spans="1:9" ht="14.45">
      <c r="A9" s="20"/>
      <c r="B9" s="10"/>
      <c r="C9" s="41"/>
      <c r="D9" s="17"/>
      <c r="E9" s="17"/>
      <c r="F9" s="18"/>
      <c r="G9" s="19"/>
      <c r="H9" s="19"/>
      <c r="I9" s="18"/>
    </row>
    <row r="10" spans="1:9" ht="13.9">
      <c r="A10" s="20"/>
      <c r="B10" s="20"/>
      <c r="C10" s="20"/>
      <c r="D10" s="20"/>
      <c r="E10" s="20"/>
      <c r="F10" s="20"/>
      <c r="G10" s="20"/>
      <c r="H10" s="20"/>
      <c r="I10" s="20"/>
    </row>
    <row r="11" spans="1:9" ht="13.9">
      <c r="A11" s="20"/>
      <c r="B11" s="20"/>
      <c r="C11" s="20"/>
      <c r="D11" s="20"/>
      <c r="E11" s="20"/>
      <c r="F11" s="20"/>
      <c r="G11" s="20"/>
      <c r="H11" s="20"/>
      <c r="I11" s="20"/>
    </row>
    <row r="12" spans="1:9" ht="13.9">
      <c r="A12" s="20"/>
      <c r="B12" s="20"/>
      <c r="C12" s="20"/>
      <c r="D12" s="20"/>
      <c r="E12" s="20"/>
      <c r="F12" s="21"/>
      <c r="G12" s="20"/>
      <c r="H12" s="20"/>
      <c r="I12" s="21"/>
    </row>
    <row r="13" spans="1:9" ht="13.9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9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9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9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9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9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9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9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9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9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9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9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9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9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9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9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9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9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9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9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9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9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9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9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9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9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9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9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9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9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9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9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9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9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9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9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9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9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9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9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9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9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9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9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9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9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9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9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9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9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9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9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9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9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9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9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9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9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9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9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9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9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9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9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9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9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9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9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9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9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9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9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9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9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9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9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9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9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9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9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9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9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9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9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9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9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9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9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9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9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9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9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9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9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9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9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9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9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9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9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9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9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9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9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9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9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9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9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9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9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9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9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9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9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9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9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9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9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9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9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9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9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9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9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9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9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9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9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9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9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9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9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9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9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9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9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9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9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9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9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9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9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9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9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9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9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9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9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9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9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9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9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9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9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9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9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9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9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9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9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9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9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9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9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9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9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9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9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9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9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9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9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9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9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9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9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9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9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9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9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9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9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9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9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9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9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9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9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9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9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9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9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9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9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9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9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9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9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9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9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9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9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9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9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9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9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9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9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9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9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9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9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9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9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9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9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9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9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9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9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9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9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9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9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9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9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9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9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9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9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9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9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9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9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9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9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9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9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9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9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9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9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9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9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9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9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9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9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9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9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9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9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9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9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9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9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9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9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9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9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9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9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9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9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9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9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9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9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9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9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9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9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9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9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9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9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9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9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9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9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9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9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9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9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9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9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9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9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9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9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9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9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9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9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9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9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9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9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9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9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9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9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9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9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9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9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9">
      <c r="A319" s="20"/>
      <c r="B319" s="20"/>
      <c r="C319" s="20"/>
      <c r="D319" s="20"/>
      <c r="E319" s="20"/>
      <c r="F319" s="21"/>
      <c r="G319" s="20"/>
      <c r="H319" s="20"/>
      <c r="I319" s="21"/>
    </row>
    <row r="320" spans="1:9" ht="13.9">
      <c r="A320" s="20"/>
      <c r="B320" s="20"/>
      <c r="C320" s="20"/>
      <c r="D320" s="20"/>
      <c r="E320" s="20"/>
      <c r="F320" s="21"/>
      <c r="G320" s="20"/>
      <c r="H320" s="20"/>
      <c r="I320" s="21"/>
    </row>
    <row r="321" spans="1:9" ht="13.9">
      <c r="A321" s="20"/>
      <c r="B321" s="20"/>
      <c r="C321" s="20"/>
      <c r="D321" s="20"/>
      <c r="E321" s="20"/>
      <c r="F321" s="21"/>
      <c r="G321" s="20"/>
      <c r="H321" s="20"/>
      <c r="I321" s="21"/>
    </row>
  </sheetData>
  <mergeCells count="4">
    <mergeCell ref="G1:I1"/>
    <mergeCell ref="A1:C1"/>
    <mergeCell ref="D1:F1"/>
    <mergeCell ref="A2:B2"/>
  </mergeCells>
  <conditionalFormatting sqref="F2 I2 F4:F79 I4:I79">
    <cfRule type="cellIs" dxfId="30" priority="1" stopIfTrue="1" operator="lessThanOrEqual">
      <formula>-0.1</formula>
    </cfRule>
    <cfRule type="expression" dxfId="2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DA570-4BE0-4AD5-A388-4413E2BD5FBD}">
  <sheetPr codeName="Sheet6">
    <pageSetUpPr fitToPage="1"/>
  </sheetPr>
  <dimension ref="A1:K320"/>
  <sheetViews>
    <sheetView workbookViewId="0">
      <pane xSplit="2" ySplit="3" topLeftCell="C4" activePane="bottomRight" state="frozen"/>
      <selection pane="bottomRight" activeCell="G14" sqref="G14"/>
      <selection pane="bottomLeft" activeCell="C14" sqref="C14"/>
      <selection pane="topRight" activeCell="C14" sqref="C14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4" t="str" cm="1">
        <f t="array" ref="A1">portfolio</f>
        <v>Pearson Venture Investments LLC</v>
      </c>
      <c r="B1" s="54"/>
      <c r="C1" s="54"/>
      <c r="D1" s="55" t="s">
        <v>18</v>
      </c>
      <c r="E1" s="55"/>
      <c r="F1" s="55"/>
      <c r="G1" s="53" t="s">
        <v>19</v>
      </c>
      <c r="H1" s="53"/>
      <c r="I1" s="53"/>
      <c r="J1" s="4"/>
      <c r="K1" s="4"/>
    </row>
    <row r="2" spans="1:11" ht="19.5" customHeight="1">
      <c r="A2" s="56" t="s">
        <v>2</v>
      </c>
      <c r="B2" s="56"/>
      <c r="C2" s="5">
        <f>SUM(C4:C78)</f>
        <v>3101</v>
      </c>
      <c r="D2" s="5">
        <f>SUM(D4:D78)</f>
        <v>4974</v>
      </c>
      <c r="E2" s="5">
        <f>C2-D2</f>
        <v>-1873</v>
      </c>
      <c r="F2" s="6">
        <f>IFERROR(E2/D2, 0)</f>
        <v>-0.37655810213108165</v>
      </c>
      <c r="G2" s="5">
        <f>SUM(G4:G78)</f>
        <v>0</v>
      </c>
      <c r="H2" s="7">
        <f>C2-G2</f>
        <v>3101</v>
      </c>
      <c r="I2" s="6">
        <f>IFERROR(H2/G2, 0)</f>
        <v>0</v>
      </c>
      <c r="J2" s="25" t="str">
        <f ca="1">IF(AND(TODAY()&gt;DATE(2024, 1,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26" t="s">
        <v>3</v>
      </c>
      <c r="B3" s="8" t="s">
        <v>4</v>
      </c>
      <c r="C3" s="48" t="s">
        <v>5</v>
      </c>
      <c r="D3" s="49" t="s">
        <v>6</v>
      </c>
      <c r="E3" s="31" t="s">
        <v>7</v>
      </c>
      <c r="F3" s="32" t="s">
        <v>8</v>
      </c>
      <c r="G3" s="51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6">
      <c r="A4" s="46" t="str" cm="1">
        <f t="array" ref="A4">Sites[Site]</f>
        <v>Pearson Venture Investments LLC</v>
      </c>
      <c r="B4" s="27" t="str" cm="1">
        <f t="array" ref="B4">Sites[State]</f>
        <v>MA</v>
      </c>
      <c r="C4" s="50">
        <v>3101</v>
      </c>
      <c r="D4" s="50">
        <v>4974</v>
      </c>
      <c r="E4" s="12">
        <f>IF(AND(ISNUMBER(C4),ISNUMBER(D4)), C4-D4, "")</f>
        <v>-1873</v>
      </c>
      <c r="F4" s="40">
        <f>IFERROR(E4/D4, "")</f>
        <v>-0.37655810213108165</v>
      </c>
      <c r="G4" s="52">
        <v>0</v>
      </c>
      <c r="H4" s="14">
        <f>IF(AND(ISNUMBER(C4),ISNUMBER(G4)), C4-G4, "")</f>
        <v>3101</v>
      </c>
      <c r="I4" s="15" t="str">
        <f>IFERROR(H4/G4, "")</f>
        <v/>
      </c>
      <c r="J4" s="47"/>
      <c r="K4" s="47"/>
    </row>
    <row r="5" spans="1:11" ht="14.45">
      <c r="A5" s="20"/>
      <c r="B5" s="29"/>
      <c r="C5" s="38"/>
      <c r="D5" s="20"/>
      <c r="E5" s="20"/>
      <c r="F5" s="20"/>
      <c r="G5" s="20"/>
      <c r="H5" s="20"/>
      <c r="I5" s="20"/>
      <c r="J5" s="39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37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29"/>
      <c r="C11" s="20"/>
      <c r="D11" s="20"/>
      <c r="E11" s="20"/>
      <c r="F11" s="21"/>
      <c r="G11" s="20"/>
      <c r="H11" s="20"/>
      <c r="I11" s="21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</sheetData>
  <mergeCells count="4">
    <mergeCell ref="D1:F1"/>
    <mergeCell ref="A1:C1"/>
    <mergeCell ref="G1:I1"/>
    <mergeCell ref="A2:B2"/>
  </mergeCells>
  <conditionalFormatting sqref="F2 I2 I4:I78">
    <cfRule type="cellIs" dxfId="28" priority="4" stopIfTrue="1" operator="lessThanOrEqual">
      <formula>-0.1</formula>
    </cfRule>
    <cfRule type="expression" dxfId="27" priority="5">
      <formula>AND(ISNUMBER(F2), F2&gt;=0.1)</formula>
    </cfRule>
  </conditionalFormatting>
  <conditionalFormatting sqref="F5:F78">
    <cfRule type="cellIs" dxfId="26" priority="1" stopIfTrue="1" operator="lessThanOrEqual">
      <formula>-0.1</formula>
    </cfRule>
    <cfRule type="expression" dxfId="25" priority="2">
      <formula>AND(ISNUMBER(F5), F5&gt;=0.1)</formula>
    </cfRule>
  </conditionalFormatting>
  <pageMargins left="0.4" right="0.7" top="0.25" bottom="0.25" header="0.3" footer="0.3"/>
  <pageSetup fitToHeight="9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K321"/>
  <sheetViews>
    <sheetView workbookViewId="0">
      <pane xSplit="2" ySplit="3" topLeftCell="C4" activePane="bottomRight" state="frozen"/>
      <selection pane="bottomRight" activeCell="G4" sqref="G4"/>
      <selection pane="bottomLeft" activeCell="C14" sqref="C14"/>
      <selection pane="topRight" activeCell="C14" sqref="C14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4" t="str" cm="1">
        <f t="array" ref="A1">portfolio</f>
        <v>Pearson Venture Investments LLC</v>
      </c>
      <c r="B1" s="54"/>
      <c r="C1" s="54"/>
      <c r="D1" s="55" t="s">
        <v>22</v>
      </c>
      <c r="E1" s="55"/>
      <c r="F1" s="55"/>
      <c r="G1" s="53" t="s">
        <v>23</v>
      </c>
      <c r="H1" s="53"/>
      <c r="I1" s="53"/>
      <c r="J1" s="4"/>
      <c r="K1" s="4"/>
    </row>
    <row r="2" spans="1:11" ht="19.5" customHeight="1">
      <c r="A2" s="56" t="s">
        <v>2</v>
      </c>
      <c r="B2" s="56"/>
      <c r="C2" s="5">
        <f>SUM(C4:C79)</f>
        <v>10528</v>
      </c>
      <c r="D2" s="5">
        <f>SUM(D4:D79)</f>
        <v>10691</v>
      </c>
      <c r="E2" s="5">
        <f>C2-D2</f>
        <v>-163</v>
      </c>
      <c r="F2" s="6">
        <f>IFERROR(E2/D2, 0)</f>
        <v>-1.5246468992610607E-2</v>
      </c>
      <c r="G2" s="5">
        <f>SUM(G4:G79)</f>
        <v>0</v>
      </c>
      <c r="H2" s="7">
        <f>C2-G2</f>
        <v>10528</v>
      </c>
      <c r="I2" s="6">
        <f>IFERROR(H2/G2, 0)</f>
        <v>0</v>
      </c>
      <c r="J2" s="25" t="str">
        <f ca="1">IF(AND(TODAY()&gt;DATE(2024, 2,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6">
      <c r="A4" s="46" t="str" cm="1">
        <f t="array" ref="A4">Sites[Site]</f>
        <v>Pearson Venture Investments LLC</v>
      </c>
      <c r="B4" s="27" t="str" cm="1">
        <f t="array" ref="B4">Sites[State]</f>
        <v>MA</v>
      </c>
      <c r="C4" s="23">
        <v>10528</v>
      </c>
      <c r="D4" s="12">
        <v>10691</v>
      </c>
      <c r="E4" s="12">
        <f>IF(AND(ISNUMBER(C4),ISNUMBER(D4)), C4-D4, "")</f>
        <v>-163</v>
      </c>
      <c r="F4" s="13">
        <f>IFERROR(E4/D4, "")</f>
        <v>-1.5246468992610607E-2</v>
      </c>
      <c r="G4" s="14">
        <v>0</v>
      </c>
      <c r="H4" s="14">
        <f>IF(AND(ISNUMBER(C4),ISNUMBER(G4)), C4-G4, "")</f>
        <v>10528</v>
      </c>
      <c r="I4" s="15" t="str">
        <f>IFERROR(H4/G4, "")</f>
        <v/>
      </c>
      <c r="J4" s="36"/>
      <c r="K4" s="36"/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24" priority="1" stopIfTrue="1" operator="lessThanOrEqual">
      <formula>-0.1</formula>
    </cfRule>
    <cfRule type="expression" dxfId="2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K321"/>
  <sheetViews>
    <sheetView workbookViewId="0">
      <pane xSplit="2" ySplit="3" topLeftCell="E4" activePane="bottomRight" state="frozen"/>
      <selection pane="bottomRight" activeCell="J4" sqref="J4:K4"/>
      <selection pane="bottomLeft" activeCell="C14" sqref="C14"/>
      <selection pane="topRight" activeCell="C14" sqref="C14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4" t="str" cm="1">
        <f t="array" ref="A1">portfolio</f>
        <v>Pearson Venture Investments LLC</v>
      </c>
      <c r="B1" s="54"/>
      <c r="C1" s="54"/>
      <c r="D1" s="55" t="s">
        <v>24</v>
      </c>
      <c r="E1" s="55"/>
      <c r="F1" s="55"/>
      <c r="G1" s="53" t="s">
        <v>25</v>
      </c>
      <c r="H1" s="53"/>
      <c r="I1" s="53"/>
      <c r="J1" s="4"/>
      <c r="K1" s="4"/>
    </row>
    <row r="2" spans="1:11" ht="19.5" customHeight="1">
      <c r="A2" s="56" t="s">
        <v>2</v>
      </c>
      <c r="B2" s="56"/>
      <c r="C2" s="5">
        <f>SUM(C4:C79)</f>
        <v>2755</v>
      </c>
      <c r="D2" s="5">
        <f>SUM(D4:D79)</f>
        <v>12959</v>
      </c>
      <c r="E2" s="5">
        <f>C2-D2</f>
        <v>-10204</v>
      </c>
      <c r="F2" s="6">
        <f>IFERROR(E2/D2, 0)</f>
        <v>-0.7874064356817656</v>
      </c>
      <c r="G2" s="5">
        <f>SUM(G4:G79)</f>
        <v>0</v>
      </c>
      <c r="H2" s="7">
        <f>C2-G2</f>
        <v>2755</v>
      </c>
      <c r="I2" s="6">
        <f>IFERROR(H2/G2, 0)</f>
        <v>0</v>
      </c>
      <c r="J2" s="25" t="str">
        <f ca="1">IF(AND(TODAY()&gt;DATE(2024, 3,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28.9">
      <c r="A4" s="28" t="str" cm="1">
        <f t="array" ref="A4">Sites[Site]</f>
        <v>Pearson Venture Investments LLC</v>
      </c>
      <c r="B4" s="27" t="str" cm="1">
        <f t="array" ref="B4">Sites[State]</f>
        <v>MA</v>
      </c>
      <c r="C4" s="23">
        <v>2755</v>
      </c>
      <c r="D4" s="12">
        <v>12959</v>
      </c>
      <c r="E4" s="12">
        <f>IF(AND(ISNUMBER(C4),ISNUMBER(D4)), C4-D4, "")</f>
        <v>-10204</v>
      </c>
      <c r="F4" s="13">
        <f>IFERROR(E4/D4, "")</f>
        <v>-0.7874064356817656</v>
      </c>
      <c r="G4" s="14">
        <v>0</v>
      </c>
      <c r="H4" s="14">
        <f>IF(AND(ISNUMBER(C4),ISNUMBER(G4)), C4-G4, "")</f>
        <v>2755</v>
      </c>
      <c r="I4" s="15" t="str">
        <f>IFERROR(H4/G4, "")</f>
        <v/>
      </c>
      <c r="J4" s="36" t="s">
        <v>26</v>
      </c>
      <c r="K4" s="36" t="s">
        <v>27</v>
      </c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22" priority="3" stopIfTrue="1" operator="lessThanOrEqual">
      <formula>-0.1</formula>
    </cfRule>
    <cfRule type="expression" dxfId="21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K321"/>
  <sheetViews>
    <sheetView workbookViewId="0">
      <pane xSplit="2" ySplit="3" topLeftCell="C4" activePane="bottomRight" state="frozen"/>
      <selection pane="bottomRight" activeCell="K4" sqref="K4"/>
      <selection pane="bottomLeft" activeCell="C14" sqref="C14"/>
      <selection pane="topRight" activeCell="C14" sqref="C14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4" t="str" cm="1">
        <f t="array" ref="A1">portfolio</f>
        <v>Pearson Venture Investments LLC</v>
      </c>
      <c r="B1" s="54"/>
      <c r="C1" s="54"/>
      <c r="D1" s="55" t="s">
        <v>28</v>
      </c>
      <c r="E1" s="55"/>
      <c r="F1" s="55"/>
      <c r="G1" s="53" t="s">
        <v>29</v>
      </c>
      <c r="H1" s="53"/>
      <c r="I1" s="53"/>
      <c r="J1" s="4"/>
      <c r="K1" s="4"/>
    </row>
    <row r="2" spans="1:11" ht="19.5" customHeight="1">
      <c r="A2" s="56" t="s">
        <v>2</v>
      </c>
      <c r="B2" s="56"/>
      <c r="C2" s="5">
        <f>SUM(C4:C79)</f>
        <v>7314</v>
      </c>
      <c r="D2" s="5">
        <f>SUM(D4:D79)</f>
        <v>15407</v>
      </c>
      <c r="E2" s="5">
        <f>C2-D2</f>
        <v>-8093</v>
      </c>
      <c r="F2" s="6">
        <f>IFERROR(E2/D2, 0)</f>
        <v>-0.52528071655740893</v>
      </c>
      <c r="G2" s="5">
        <f>SUM(G4:G79)</f>
        <v>0</v>
      </c>
      <c r="H2" s="7">
        <f>C2-G2</f>
        <v>7314</v>
      </c>
      <c r="I2" s="6">
        <f>IFERROR(H2/G2, 0)</f>
        <v>0</v>
      </c>
      <c r="J2" s="25" t="str">
        <f ca="1">IF(AND(TODAY()&gt;DATE(2024, 4,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72">
      <c r="A4" s="28" t="str" cm="1">
        <f t="array" ref="A4">Sites[Site]</f>
        <v>Pearson Venture Investments LLC</v>
      </c>
      <c r="B4" s="27" t="str" cm="1">
        <f t="array" ref="B4">Sites[State]</f>
        <v>MA</v>
      </c>
      <c r="C4" s="23">
        <v>7314</v>
      </c>
      <c r="D4" s="12">
        <v>15407</v>
      </c>
      <c r="E4" s="12">
        <f>IF(AND(ISNUMBER(C4),ISNUMBER(D4)), C4-D4, "")</f>
        <v>-8093</v>
      </c>
      <c r="F4" s="13">
        <f>IFERROR(E4/D4, "")</f>
        <v>-0.52528071655740893</v>
      </c>
      <c r="G4" s="14">
        <v>0</v>
      </c>
      <c r="H4" s="14">
        <f>IF(AND(ISNUMBER(C4),ISNUMBER(G4)), C4-G4, "")</f>
        <v>7314</v>
      </c>
      <c r="I4" s="15" t="str">
        <f>IFERROR(H4/G4, "")</f>
        <v/>
      </c>
      <c r="J4" s="36" t="s">
        <v>30</v>
      </c>
      <c r="K4" s="36" t="s">
        <v>31</v>
      </c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20" priority="3" stopIfTrue="1" operator="lessThanOrEqual">
      <formula>-0.1</formula>
    </cfRule>
    <cfRule type="expression" dxfId="19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K321"/>
  <sheetViews>
    <sheetView workbookViewId="0">
      <pane xSplit="2" ySplit="3" topLeftCell="C4" activePane="bottomRight" state="frozen"/>
      <selection pane="bottomRight" activeCell="J16" sqref="J16"/>
      <selection pane="bottomLeft" activeCell="C14" sqref="C14"/>
      <selection pane="topRight" activeCell="C14" sqref="C14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4" t="str" cm="1">
        <f t="array" ref="A1">portfolio</f>
        <v>Pearson Venture Investments LLC</v>
      </c>
      <c r="B1" s="54"/>
      <c r="C1" s="54"/>
      <c r="D1" s="55" t="s">
        <v>32</v>
      </c>
      <c r="E1" s="55"/>
      <c r="F1" s="55"/>
      <c r="G1" s="53" t="s">
        <v>33</v>
      </c>
      <c r="H1" s="53"/>
      <c r="I1" s="53"/>
      <c r="J1" s="4"/>
      <c r="K1" s="4"/>
    </row>
    <row r="2" spans="1:11" ht="19.5" customHeight="1">
      <c r="A2" s="56" t="s">
        <v>2</v>
      </c>
      <c r="B2" s="56"/>
      <c r="C2" s="5">
        <f>SUM(C4:C79)</f>
        <v>11988</v>
      </c>
      <c r="D2" s="5">
        <f>SUM(D4:D79)</f>
        <v>17852.8</v>
      </c>
      <c r="E2" s="5">
        <f>C2-D2</f>
        <v>-5864.7999999999993</v>
      </c>
      <c r="F2" s="6">
        <f>IFERROR(E2/D2, 0)</f>
        <v>-0.32850869331421401</v>
      </c>
      <c r="G2" s="5">
        <f>SUM(G4:G79)</f>
        <v>0</v>
      </c>
      <c r="H2" s="7">
        <f>C2-G2</f>
        <v>11988</v>
      </c>
      <c r="I2" s="6">
        <f>IFERROR(H2/G2, 0)</f>
        <v>0</v>
      </c>
      <c r="J2" s="25" t="str">
        <f ca="1">IF(AND(TODAY()&gt;DATE(2024, 5,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6">
      <c r="A4" s="28" t="str" cm="1">
        <f t="array" ref="A4">Sites[Site]</f>
        <v>Pearson Venture Investments LLC</v>
      </c>
      <c r="B4" s="27" t="str" cm="1">
        <f t="array" ref="B4">Sites[State]</f>
        <v>MA</v>
      </c>
      <c r="C4" s="23">
        <v>11988</v>
      </c>
      <c r="D4" s="12">
        <v>17852.8</v>
      </c>
      <c r="E4" s="12">
        <f>IF(AND(ISNUMBER(C4),ISNUMBER(D4)), C4-D4, "")</f>
        <v>-5864.7999999999993</v>
      </c>
      <c r="F4" s="13">
        <f>IFERROR(E4/D4, "")</f>
        <v>-0.32850869331421401</v>
      </c>
      <c r="G4" s="14">
        <v>0</v>
      </c>
      <c r="H4" s="14">
        <f>IF(AND(ISNUMBER(C4),ISNUMBER(G4)), C4-G4, "")</f>
        <v>11988</v>
      </c>
      <c r="I4" s="15" t="str">
        <f>IFERROR(H4/G4, "")</f>
        <v/>
      </c>
      <c r="J4" s="36" t="s">
        <v>34</v>
      </c>
      <c r="K4" s="36" t="s">
        <v>27</v>
      </c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18" priority="3" stopIfTrue="1" operator="lessThanOrEqual">
      <formula>-0.1</formula>
    </cfRule>
    <cfRule type="expression" dxfId="17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K321"/>
  <sheetViews>
    <sheetView workbookViewId="0">
      <pane xSplit="2" ySplit="3" topLeftCell="C4" activePane="bottomRight" state="frozen"/>
      <selection pane="bottomRight" activeCell="G5" sqref="G5"/>
      <selection pane="bottomLeft" activeCell="C14" sqref="C14"/>
      <selection pane="topRight" activeCell="C14" sqref="C14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4" t="str" cm="1">
        <f t="array" ref="A1">portfolio</f>
        <v>Pearson Venture Investments LLC</v>
      </c>
      <c r="B1" s="54"/>
      <c r="C1" s="54"/>
      <c r="D1" s="55" t="s">
        <v>35</v>
      </c>
      <c r="E1" s="55"/>
      <c r="F1" s="55"/>
      <c r="G1" s="53" t="s">
        <v>36</v>
      </c>
      <c r="H1" s="53"/>
      <c r="I1" s="53"/>
      <c r="J1" s="4"/>
      <c r="K1" s="4"/>
    </row>
    <row r="2" spans="1:11" ht="19.5" customHeight="1">
      <c r="A2" s="56" t="s">
        <v>2</v>
      </c>
      <c r="B2" s="56"/>
      <c r="C2" s="5">
        <f>SUM(C4:C79)</f>
        <v>19835</v>
      </c>
      <c r="D2" s="5">
        <f>SUM(D4:D79)</f>
        <v>19814.099999999999</v>
      </c>
      <c r="E2" s="5">
        <f>C2-D2</f>
        <v>20.900000000001455</v>
      </c>
      <c r="F2" s="6">
        <f>IFERROR(E2/D2, 0)</f>
        <v>1.0548044069627919E-3</v>
      </c>
      <c r="G2" s="5">
        <f>SUM(G4:G79)</f>
        <v>0</v>
      </c>
      <c r="H2" s="7">
        <f>C2-G2</f>
        <v>19835</v>
      </c>
      <c r="I2" s="6">
        <f>IFERROR(H2/G2, 0)</f>
        <v>0</v>
      </c>
      <c r="J2" s="25" t="str">
        <f ca="1">IF(AND(TODAY()&gt;DATE(2024, 6,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6">
      <c r="A4" s="28" t="str" cm="1">
        <f t="array" ref="A4">Sites[Site]</f>
        <v>Pearson Venture Investments LLC</v>
      </c>
      <c r="B4" s="27" t="str" cm="1">
        <f t="array" ref="B4">Sites[State]</f>
        <v>MA</v>
      </c>
      <c r="C4" s="23">
        <v>19835</v>
      </c>
      <c r="D4" s="12">
        <v>19814.099999999999</v>
      </c>
      <c r="E4" s="12">
        <f>IF(AND(ISNUMBER(C4),ISNUMBER(D4)), C4-D4, "")</f>
        <v>20.900000000001455</v>
      </c>
      <c r="F4" s="13">
        <f>IFERROR(E4/D4, "")</f>
        <v>1.0548044069627919E-3</v>
      </c>
      <c r="G4" s="14">
        <v>0</v>
      </c>
      <c r="H4" s="14">
        <f>IF(AND(ISNUMBER(C4),ISNUMBER(G4)), C4-G4, "")</f>
        <v>19835</v>
      </c>
      <c r="I4" s="15" t="str">
        <f>IFERROR(H4/G4, "")</f>
        <v/>
      </c>
      <c r="J4" s="36"/>
      <c r="K4" s="36"/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16" priority="3" stopIfTrue="1" operator="lessThanOrEqual">
      <formula>-0.1</formula>
    </cfRule>
    <cfRule type="expression" dxfId="15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K321"/>
  <sheetViews>
    <sheetView workbookViewId="0">
      <pane xSplit="2" ySplit="3" topLeftCell="C4" activePane="bottomRight" state="frozen"/>
      <selection pane="bottomRight" activeCell="G19" sqref="G19"/>
      <selection pane="bottomLeft" activeCell="C14" sqref="C14"/>
      <selection pane="topRight" activeCell="C14" sqref="C14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4" t="str" cm="1">
        <f t="array" ref="A1">portfolio</f>
        <v>Pearson Venture Investments LLC</v>
      </c>
      <c r="B1" s="54"/>
      <c r="C1" s="54"/>
      <c r="D1" s="55" t="s">
        <v>37</v>
      </c>
      <c r="E1" s="55"/>
      <c r="F1" s="55"/>
      <c r="G1" s="53" t="s">
        <v>38</v>
      </c>
      <c r="H1" s="53"/>
      <c r="I1" s="53"/>
      <c r="J1" s="4"/>
      <c r="K1" s="4"/>
    </row>
    <row r="2" spans="1:11" ht="19.5" customHeight="1">
      <c r="A2" s="56" t="s">
        <v>2</v>
      </c>
      <c r="B2" s="56"/>
      <c r="C2" s="5">
        <f>SUM(C4:C79)</f>
        <v>19240</v>
      </c>
      <c r="D2" s="5">
        <f>SUM(D4:D79)</f>
        <v>19276.117999999999</v>
      </c>
      <c r="E2" s="5">
        <f>C2-D2</f>
        <v>-36.117999999998574</v>
      </c>
      <c r="F2" s="6">
        <f>IFERROR(E2/D2, 0)</f>
        <v>-1.873717519263919E-3</v>
      </c>
      <c r="G2" s="5">
        <f>SUM(G4:G79)</f>
        <v>0</v>
      </c>
      <c r="H2" s="7">
        <f>C2-G2</f>
        <v>19240</v>
      </c>
      <c r="I2" s="6">
        <f>IFERROR(H2/G2, 0)</f>
        <v>0</v>
      </c>
      <c r="J2" s="25" t="str">
        <f ca="1">IF(AND(TODAY()&gt;DATE(2024, 7,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6">
      <c r="A4" s="28" t="str" cm="1">
        <f t="array" ref="A4">Sites[Site]</f>
        <v>Pearson Venture Investments LLC</v>
      </c>
      <c r="B4" s="27" t="str" cm="1">
        <f t="array" ref="B4">Sites[State]</f>
        <v>MA</v>
      </c>
      <c r="C4" s="23">
        <v>19240</v>
      </c>
      <c r="D4" s="12">
        <v>19276.117999999999</v>
      </c>
      <c r="E4" s="12">
        <f>IF(AND(ISNUMBER(C4),ISNUMBER(D4)), C4-D4, "")</f>
        <v>-36.117999999998574</v>
      </c>
      <c r="F4" s="13">
        <f>IFERROR(E4/D4, "")</f>
        <v>-1.873717519263919E-3</v>
      </c>
      <c r="G4" s="14">
        <v>0</v>
      </c>
      <c r="H4" s="14">
        <f>IF(AND(ISNUMBER(C4),ISNUMBER(G4)), C4-G4, "")</f>
        <v>19240</v>
      </c>
      <c r="I4" s="15" t="str">
        <f>IFERROR(H4/G4, "")</f>
        <v/>
      </c>
      <c r="J4" s="36"/>
      <c r="K4" s="36"/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sortState xmlns:xlrd2="http://schemas.microsoft.com/office/spreadsheetml/2017/richdata2" ref="A3:K4">
    <sortCondition ref="A3:A4"/>
  </sortState>
  <mergeCells count="4">
    <mergeCell ref="G1:I1"/>
    <mergeCell ref="A1:C1"/>
    <mergeCell ref="D1:F1"/>
    <mergeCell ref="A2:B2"/>
  </mergeCells>
  <conditionalFormatting sqref="F2 I2 F4:F79 I4:I79">
    <cfRule type="cellIs" dxfId="14" priority="3" stopIfTrue="1" operator="lessThanOrEqual">
      <formula>-0.1</formula>
    </cfRule>
    <cfRule type="expression" dxfId="13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K321"/>
  <sheetViews>
    <sheetView workbookViewId="0">
      <pane xSplit="2" ySplit="3" topLeftCell="C4" activePane="bottomRight" state="frozen"/>
      <selection pane="bottomRight" activeCell="G13" sqref="G13"/>
      <selection pane="bottomLeft" activeCell="C14" sqref="C14"/>
      <selection pane="topRight" activeCell="C14" sqref="C14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4" t="str" cm="1">
        <f t="array" ref="A1">portfolio</f>
        <v>Pearson Venture Investments LLC</v>
      </c>
      <c r="B1" s="54"/>
      <c r="C1" s="54"/>
      <c r="D1" s="55" t="s">
        <v>39</v>
      </c>
      <c r="E1" s="55"/>
      <c r="F1" s="55"/>
      <c r="G1" s="53" t="s">
        <v>40</v>
      </c>
      <c r="H1" s="53"/>
      <c r="I1" s="53"/>
      <c r="J1" s="4"/>
      <c r="K1" s="4"/>
    </row>
    <row r="2" spans="1:11" ht="19.5" customHeight="1">
      <c r="A2" s="56" t="s">
        <v>2</v>
      </c>
      <c r="B2" s="56"/>
      <c r="C2" s="5">
        <f>SUM(C4:C79)</f>
        <v>16759</v>
      </c>
      <c r="D2" s="5">
        <f>SUM(D4:D79)</f>
        <v>16562.758999999998</v>
      </c>
      <c r="E2" s="5">
        <f>C2-D2</f>
        <v>196.2410000000018</v>
      </c>
      <c r="F2" s="6">
        <f>IFERROR(E2/D2, 0)</f>
        <v>1.1848327926524913E-2</v>
      </c>
      <c r="G2" s="5">
        <f>SUM(G4:G79)</f>
        <v>0</v>
      </c>
      <c r="H2" s="7">
        <f>C2-G2</f>
        <v>16759</v>
      </c>
      <c r="I2" s="6">
        <f>IFERROR(H2/G2, 0)</f>
        <v>0</v>
      </c>
      <c r="J2" s="25" t="str">
        <f ca="1">IF(AND(TODAY()&gt;DATE(2024, 8,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6">
      <c r="A4" s="28" t="str" cm="1">
        <f t="array" ref="A4">Sites[Site]</f>
        <v>Pearson Venture Investments LLC</v>
      </c>
      <c r="B4" s="27" t="str" cm="1">
        <f t="array" ref="B4">Sites[State]</f>
        <v>MA</v>
      </c>
      <c r="C4" s="23">
        <v>16759</v>
      </c>
      <c r="D4" s="12">
        <v>16562.758999999998</v>
      </c>
      <c r="E4" s="12">
        <f>IF(AND(ISNUMBER(C4),ISNUMBER(D4)), C4-D4, "")</f>
        <v>196.2410000000018</v>
      </c>
      <c r="F4" s="13">
        <f>IFERROR(E4/D4, "")</f>
        <v>1.1848327926524913E-2</v>
      </c>
      <c r="G4" s="14">
        <v>0</v>
      </c>
      <c r="H4" s="14">
        <f>IF(AND(ISNUMBER(C4),ISNUMBER(G4)), C4-G4, "")</f>
        <v>16759</v>
      </c>
      <c r="I4" s="15" t="str">
        <f>IFERROR(H4/G4, "")</f>
        <v/>
      </c>
      <c r="J4" s="36"/>
      <c r="K4" s="36"/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12" priority="3" stopIfTrue="1" operator="lessThanOrEqual">
      <formula>-0.1</formula>
    </cfRule>
    <cfRule type="expression" dxfId="11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K321"/>
  <sheetViews>
    <sheetView workbookViewId="0">
      <pane xSplit="2" ySplit="3" topLeftCell="C4" activePane="bottomRight" state="frozen"/>
      <selection pane="bottomRight" activeCell="G8" sqref="G8"/>
      <selection pane="bottomLeft" activeCell="C14" sqref="C14"/>
      <selection pane="topRight" activeCell="C14" sqref="C14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4" t="str" cm="1">
        <f t="array" ref="A1">portfolio</f>
        <v>Pearson Venture Investments LLC</v>
      </c>
      <c r="B1" s="54"/>
      <c r="C1" s="54"/>
      <c r="D1" s="55" t="s">
        <v>41</v>
      </c>
      <c r="E1" s="55"/>
      <c r="F1" s="55"/>
      <c r="G1" s="53" t="s">
        <v>42</v>
      </c>
      <c r="H1" s="53"/>
      <c r="I1" s="53"/>
      <c r="J1" s="4"/>
      <c r="K1" s="4"/>
    </row>
    <row r="2" spans="1:11" ht="19.5" customHeight="1">
      <c r="A2" s="56" t="s">
        <v>2</v>
      </c>
      <c r="B2" s="56"/>
      <c r="C2" s="5">
        <f>SUM(C4:C79)</f>
        <v>14448</v>
      </c>
      <c r="D2" s="5">
        <f>SUM(D4:D79)</f>
        <v>14554.223</v>
      </c>
      <c r="E2" s="5">
        <f>C2-D2</f>
        <v>-106.22299999999996</v>
      </c>
      <c r="F2" s="6">
        <f>IFERROR(E2/D2, 0)</f>
        <v>-7.2984315273992954E-3</v>
      </c>
      <c r="G2" s="5">
        <f>SUM(G4:G79)</f>
        <v>0</v>
      </c>
      <c r="H2" s="7">
        <f>C2-G2</f>
        <v>14448</v>
      </c>
      <c r="I2" s="6">
        <f>IFERROR(H2/G2, 0)</f>
        <v>0</v>
      </c>
      <c r="J2" s="25" t="str">
        <f ca="1">IF(AND(TODAY()&gt;DATE(2024, 9,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6">
      <c r="A4" s="28" t="str" cm="1">
        <f t="array" ref="A4">Sites[Site]</f>
        <v>Pearson Venture Investments LLC</v>
      </c>
      <c r="B4" s="27" t="str" cm="1">
        <f t="array" ref="B4">Sites[State]</f>
        <v>MA</v>
      </c>
      <c r="C4" s="23">
        <v>14448</v>
      </c>
      <c r="D4" s="12">
        <v>14554.223</v>
      </c>
      <c r="E4" s="12">
        <f>IF(AND(ISNUMBER(C4),ISNUMBER(D4)), C4-D4, "")</f>
        <v>-106.22299999999996</v>
      </c>
      <c r="F4" s="13">
        <f>IFERROR(E4/D4, "")</f>
        <v>-7.2984315273992954E-3</v>
      </c>
      <c r="G4" s="14">
        <v>0</v>
      </c>
      <c r="H4" s="14">
        <f>IF(AND(ISNUMBER(C4),ISNUMBER(G4)), C4-G4, "")</f>
        <v>14448</v>
      </c>
      <c r="I4" s="15" t="str">
        <f>IFERROR(H4/G4, "")</f>
        <v/>
      </c>
      <c r="J4" s="36"/>
      <c r="K4" s="36"/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10" priority="3" stopIfTrue="1" operator="lessThanOrEqual">
      <formula>-0.1</formula>
    </cfRule>
    <cfRule type="expression" dxfId="9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K321"/>
  <sheetViews>
    <sheetView workbookViewId="0">
      <pane xSplit="2" ySplit="3" topLeftCell="C4" activePane="bottomRight" state="frozen"/>
      <selection pane="bottomRight" activeCell="J4" sqref="J4"/>
      <selection pane="bottomLeft" activeCell="C14" sqref="C14"/>
      <selection pane="topRight" activeCell="C14" sqref="C14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4" t="str" cm="1">
        <f t="array" ref="A1">portfolio</f>
        <v>Pearson Venture Investments LLC</v>
      </c>
      <c r="B1" s="54"/>
      <c r="C1" s="54"/>
      <c r="D1" s="55" t="s">
        <v>43</v>
      </c>
      <c r="E1" s="55"/>
      <c r="F1" s="55"/>
      <c r="G1" s="53" t="s">
        <v>44</v>
      </c>
      <c r="H1" s="53"/>
      <c r="I1" s="53"/>
      <c r="J1" s="4"/>
      <c r="K1" s="4"/>
    </row>
    <row r="2" spans="1:11" ht="19.5" customHeight="1">
      <c r="A2" s="56" t="s">
        <v>2</v>
      </c>
      <c r="B2" s="56"/>
      <c r="C2" s="5">
        <f>SUM(C4:C79)</f>
        <v>11690</v>
      </c>
      <c r="D2" s="5">
        <f>SUM(D4:D79)</f>
        <v>12066.880999999999</v>
      </c>
      <c r="E2" s="5">
        <f>C2-D2</f>
        <v>-376.8809999999994</v>
      </c>
      <c r="F2" s="6">
        <f>IFERROR(E2/D2, 0)</f>
        <v>-3.1232677275925685E-2</v>
      </c>
      <c r="G2" s="5">
        <f>SUM(G4:G79)</f>
        <v>0</v>
      </c>
      <c r="H2" s="7">
        <f>C2-G2</f>
        <v>11690</v>
      </c>
      <c r="I2" s="6">
        <f>IFERROR(H2/G2, 0)</f>
        <v>0</v>
      </c>
      <c r="J2" s="25" t="str">
        <f ca="1">IF(AND(TODAY()&gt;DATE(2024, 10,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6">
      <c r="A4" s="28" t="str" cm="1">
        <f t="array" ref="A4">Sites[Site]</f>
        <v>Pearson Venture Investments LLC</v>
      </c>
      <c r="B4" s="27" t="str" cm="1">
        <f t="array" ref="B4">Sites[State]</f>
        <v>MA</v>
      </c>
      <c r="C4" s="23">
        <v>11690</v>
      </c>
      <c r="D4" s="12">
        <v>12066.880999999999</v>
      </c>
      <c r="E4" s="12">
        <f>IF(AND(ISNUMBER(C4),ISNUMBER(D4)), C4-D4, "")</f>
        <v>-376.8809999999994</v>
      </c>
      <c r="F4" s="13">
        <f>IFERROR(E4/D4, "")</f>
        <v>-3.1232677275925685E-2</v>
      </c>
      <c r="G4" s="14">
        <v>0</v>
      </c>
      <c r="H4" s="14">
        <f>IF(AND(ISNUMBER(C4),ISNUMBER(G4)), C4-G4, "")</f>
        <v>11690</v>
      </c>
      <c r="I4" s="15" t="str">
        <f>IFERROR(H4/G4, "")</f>
        <v/>
      </c>
      <c r="J4" s="36"/>
      <c r="K4" s="36"/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8" priority="3" stopIfTrue="1" operator="lessThanOrEqual">
      <formula>-0.1</formula>
    </cfRule>
    <cfRule type="expression" dxfId="7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K321"/>
  <sheetViews>
    <sheetView workbookViewId="0">
      <pane xSplit="2" ySplit="3" topLeftCell="C4" activePane="bottomRight" state="frozen"/>
      <selection pane="bottomRight" activeCell="J4" sqref="J4"/>
      <selection pane="bottomLeft" activeCell="C14" sqref="C14"/>
      <selection pane="topRight" activeCell="C14" sqref="C14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4" t="str" cm="1">
        <f t="array" ref="A1">portfolio</f>
        <v>Pearson Venture Investments LLC</v>
      </c>
      <c r="B1" s="54"/>
      <c r="C1" s="54"/>
      <c r="D1" s="55" t="s">
        <v>45</v>
      </c>
      <c r="E1" s="55"/>
      <c r="F1" s="55"/>
      <c r="G1" s="53" t="s">
        <v>46</v>
      </c>
      <c r="H1" s="53"/>
      <c r="I1" s="53"/>
      <c r="J1" s="4"/>
      <c r="K1" s="4"/>
    </row>
    <row r="2" spans="1:11" ht="19.5" customHeight="1">
      <c r="A2" s="56" t="s">
        <v>2</v>
      </c>
      <c r="B2" s="56"/>
      <c r="C2" s="5">
        <f>SUM(C4:C79)</f>
        <v>8179</v>
      </c>
      <c r="D2" s="5">
        <f>SUM(D4:D79)</f>
        <v>8393.8130000000001</v>
      </c>
      <c r="E2" s="5">
        <f>C2-D2</f>
        <v>-214.8130000000001</v>
      </c>
      <c r="F2" s="6">
        <f>IFERROR(E2/D2, 0)</f>
        <v>-2.5591825788828047E-2</v>
      </c>
      <c r="G2" s="5">
        <f>SUM(G4:G79)</f>
        <v>0</v>
      </c>
      <c r="H2" s="7">
        <f>C2-G2</f>
        <v>8179</v>
      </c>
      <c r="I2" s="6">
        <f>IFERROR(H2/G2, 0)</f>
        <v>0</v>
      </c>
      <c r="J2" s="25" t="str">
        <f ca="1">IF(AND(TODAY()&gt;DATE(2024, 11,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6">
      <c r="A4" s="28" t="str" cm="1">
        <f t="array" ref="A4">Sites[Site]</f>
        <v>Pearson Venture Investments LLC</v>
      </c>
      <c r="B4" s="27" t="str" cm="1">
        <f t="array" ref="B4">Sites[State]</f>
        <v>MA</v>
      </c>
      <c r="C4" s="23">
        <v>8179</v>
      </c>
      <c r="D4" s="12">
        <v>8393.8130000000001</v>
      </c>
      <c r="E4" s="12">
        <f>IF(AND(ISNUMBER(C4),ISNUMBER(D4)), C4-D4, "")</f>
        <v>-214.8130000000001</v>
      </c>
      <c r="F4" s="13">
        <f>IFERROR(E4/D4, "")</f>
        <v>-2.5591825788828047E-2</v>
      </c>
      <c r="G4" s="14">
        <v>0</v>
      </c>
      <c r="H4" s="14">
        <f>IF(AND(ISNUMBER(C4),ISNUMBER(G4)), C4-G4, "")</f>
        <v>8179</v>
      </c>
      <c r="I4" s="15" t="str">
        <f>IFERROR(H4/G4, "")</f>
        <v/>
      </c>
      <c r="J4" s="36"/>
      <c r="K4" s="36"/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6" priority="3" stopIfTrue="1" operator="lessThanOrEqual">
      <formula>-0.1</formula>
    </cfRule>
    <cfRule type="expression" dxfId="5" priority="4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K321"/>
  <sheetViews>
    <sheetView tabSelected="1" workbookViewId="0">
      <pane xSplit="2" ySplit="3" topLeftCell="F4" activePane="bottomRight" state="frozen"/>
      <selection pane="bottomRight" activeCell="J9" sqref="J9"/>
      <selection pane="bottomLeft" activeCell="C14" sqref="C14"/>
      <selection pane="topRight" activeCell="C14" sqref="C14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4" t="str" cm="1">
        <f t="array" ref="A1">portfolio</f>
        <v>Pearson Venture Investments LLC</v>
      </c>
      <c r="B1" s="54"/>
      <c r="C1" s="54"/>
      <c r="D1" s="55" t="s">
        <v>47</v>
      </c>
      <c r="E1" s="55"/>
      <c r="F1" s="55"/>
      <c r="G1" s="53" t="s">
        <v>48</v>
      </c>
      <c r="H1" s="53"/>
      <c r="I1" s="53"/>
      <c r="J1" s="4"/>
      <c r="K1" s="4"/>
    </row>
    <row r="2" spans="1:11" ht="19.5" customHeight="1">
      <c r="A2" s="56" t="s">
        <v>2</v>
      </c>
      <c r="B2" s="56"/>
      <c r="C2" s="5">
        <f>SUM(C4:C79)</f>
        <v>2832</v>
      </c>
      <c r="D2" s="5">
        <f>SUM(D4:D79)</f>
        <v>6587.5540000000001</v>
      </c>
      <c r="E2" s="5">
        <f>C2-D2</f>
        <v>-3755.5540000000001</v>
      </c>
      <c r="F2" s="6">
        <f>IFERROR(E2/D2, 0)</f>
        <v>-0.57009840071140216</v>
      </c>
      <c r="G2" s="5">
        <f>SUM(G4:G79)</f>
        <v>0</v>
      </c>
      <c r="H2" s="7">
        <f>C2-G2</f>
        <v>2832</v>
      </c>
      <c r="I2" s="6">
        <f>IFERROR(H2/G2, 0)</f>
        <v>0</v>
      </c>
      <c r="J2" s="25" t="str">
        <f ca="1">IF(AND(TODAY()&gt;DATE(2024, 12,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30.75">
      <c r="A4" s="28" t="str" cm="1">
        <f t="array" ref="A4">Sites[Site]</f>
        <v>Pearson Venture Investments LLC</v>
      </c>
      <c r="B4" s="27" t="str" cm="1">
        <f t="array" ref="B4">Sites[State]</f>
        <v>MA</v>
      </c>
      <c r="C4" s="23">
        <v>2832</v>
      </c>
      <c r="D4" s="12">
        <v>6587.5540000000001</v>
      </c>
      <c r="E4" s="12">
        <f>IF(AND(ISNUMBER(C4),ISNUMBER(D4)), C4-D4, "")</f>
        <v>-3755.5540000000001</v>
      </c>
      <c r="F4" s="13">
        <f>IFERROR(E4/D4, "")</f>
        <v>-0.57009840071140216</v>
      </c>
      <c r="G4" s="14">
        <v>0</v>
      </c>
      <c r="H4" s="14">
        <f>IF(AND(ISNUMBER(C4),ISNUMBER(G4)), C4-G4, "")</f>
        <v>2832</v>
      </c>
      <c r="I4" s="15" t="str">
        <f>IFERROR(H4/G4, "")</f>
        <v/>
      </c>
      <c r="J4" s="36" t="s">
        <v>49</v>
      </c>
      <c r="K4" s="36" t="s">
        <v>50</v>
      </c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4" priority="3" stopIfTrue="1" operator="lessThanOrEqual">
      <formula>-0.1</formula>
    </cfRule>
    <cfRule type="expression" dxfId="3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L31"/>
  <sheetViews>
    <sheetView workbookViewId="0">
      <pane ySplit="3" topLeftCell="A4" activePane="bottomLeft" state="frozen"/>
      <selection pane="bottomLeft" activeCell="B1" sqref="B1"/>
    </sheetView>
  </sheetViews>
  <sheetFormatPr defaultRowHeight="12.75" customHeight="1"/>
  <cols>
    <col min="1" max="2" width="41.85546875" customWidth="1"/>
    <col min="4" max="4" width="9.140625" customWidth="1"/>
    <col min="5" max="5" width="24.140625" customWidth="1"/>
    <col min="6" max="10" width="9.140625" customWidth="1"/>
    <col min="11" max="12" width="22" bestFit="1" customWidth="1"/>
    <col min="13" max="14" width="9.140625" customWidth="1"/>
  </cols>
  <sheetData>
    <row r="1" spans="1:12" ht="12.75" customHeight="1">
      <c r="A1" t="s">
        <v>51</v>
      </c>
      <c r="B1" t="s">
        <v>52</v>
      </c>
    </row>
    <row r="3" spans="1:12" ht="13.15">
      <c r="A3" t="s">
        <v>53</v>
      </c>
      <c r="B3" t="s">
        <v>3</v>
      </c>
      <c r="C3" t="s">
        <v>4</v>
      </c>
      <c r="D3" t="s">
        <v>54</v>
      </c>
      <c r="E3" s="2" t="s">
        <v>55</v>
      </c>
    </row>
    <row r="4" spans="1:12" ht="14.45">
      <c r="A4" s="45" t="s">
        <v>56</v>
      </c>
      <c r="B4" t="s">
        <v>52</v>
      </c>
      <c r="C4" s="43" t="s">
        <v>57</v>
      </c>
      <c r="D4" s="42" t="s">
        <v>58</v>
      </c>
      <c r="E4" t="s">
        <v>59</v>
      </c>
      <c r="G4" s="3"/>
    </row>
    <row r="5" spans="1:12" ht="14.45">
      <c r="A5" s="45"/>
      <c r="C5" s="43"/>
      <c r="D5" s="42"/>
      <c r="G5" s="3"/>
    </row>
    <row r="6" spans="1:12" ht="14.45">
      <c r="A6" s="45"/>
      <c r="C6" s="43"/>
      <c r="D6" s="42"/>
      <c r="G6" s="3"/>
    </row>
    <row r="7" spans="1:12" ht="12.75" customHeight="1">
      <c r="A7" s="45"/>
      <c r="C7" s="43"/>
      <c r="D7" s="42"/>
    </row>
    <row r="8" spans="1:12" ht="12.75" customHeight="1">
      <c r="A8" s="45"/>
      <c r="C8" s="43"/>
      <c r="D8" s="42"/>
    </row>
    <row r="9" spans="1:12" ht="12.75" customHeight="1">
      <c r="A9" s="45"/>
      <c r="C9" s="43"/>
      <c r="D9" s="42"/>
    </row>
    <row r="10" spans="1:12" ht="12.75" customHeight="1">
      <c r="A10" s="45"/>
      <c r="C10" s="43"/>
      <c r="D10" s="42"/>
      <c r="K10" s="38"/>
      <c r="L10" s="38"/>
    </row>
    <row r="11" spans="1:12" ht="12.75" customHeight="1">
      <c r="A11" s="45"/>
      <c r="C11" s="43"/>
      <c r="D11" s="42"/>
      <c r="K11" s="38"/>
      <c r="L11" s="38"/>
    </row>
    <row r="12" spans="1:12" ht="12.75" customHeight="1">
      <c r="A12" s="45"/>
      <c r="C12" s="43"/>
      <c r="D12" s="42"/>
      <c r="K12" s="38"/>
      <c r="L12" s="38"/>
    </row>
    <row r="13" spans="1:12" ht="12.75" customHeight="1">
      <c r="A13" s="45"/>
      <c r="C13" s="43"/>
      <c r="D13" s="42"/>
      <c r="K13" s="38"/>
      <c r="L13" s="38"/>
    </row>
    <row r="14" spans="1:12" ht="12.75" customHeight="1">
      <c r="A14" s="45"/>
      <c r="C14" s="43"/>
      <c r="D14" s="42"/>
      <c r="K14" s="38"/>
      <c r="L14" s="38"/>
    </row>
    <row r="15" spans="1:12" ht="12.75" customHeight="1">
      <c r="A15" s="45"/>
      <c r="C15" s="43"/>
      <c r="D15" s="42"/>
      <c r="K15" s="38"/>
      <c r="L15" s="38"/>
    </row>
    <row r="16" spans="1:12" ht="12.75" customHeight="1">
      <c r="A16" s="45"/>
      <c r="C16" s="43"/>
      <c r="D16" s="42"/>
      <c r="K16" s="38"/>
      <c r="L16" s="38"/>
    </row>
    <row r="17" spans="1:12" ht="12.75" customHeight="1">
      <c r="A17" s="45"/>
      <c r="C17" s="43"/>
      <c r="D17" s="42"/>
      <c r="K17" s="38"/>
      <c r="L17" s="38"/>
    </row>
    <row r="18" spans="1:12" ht="12.75" customHeight="1">
      <c r="A18" s="45"/>
      <c r="C18" s="43"/>
      <c r="D18" s="42"/>
      <c r="K18" s="38"/>
      <c r="L18" s="38"/>
    </row>
    <row r="19" spans="1:12" ht="12.75" customHeight="1">
      <c r="A19" s="45"/>
      <c r="C19" s="43"/>
      <c r="D19" s="42"/>
      <c r="K19" s="38"/>
      <c r="L19" s="38"/>
    </row>
    <row r="20" spans="1:12" ht="12.75" customHeight="1">
      <c r="A20" s="45"/>
      <c r="C20" s="43"/>
      <c r="D20" s="42"/>
      <c r="K20" s="38"/>
      <c r="L20" s="38"/>
    </row>
    <row r="21" spans="1:12" ht="12.75" customHeight="1">
      <c r="A21" s="45"/>
      <c r="C21" s="43"/>
      <c r="D21" s="42"/>
      <c r="K21" s="38"/>
      <c r="L21" s="38"/>
    </row>
    <row r="22" spans="1:12" ht="12.75" customHeight="1">
      <c r="A22" s="45"/>
      <c r="C22" s="43"/>
      <c r="D22" s="42"/>
      <c r="K22" s="38"/>
      <c r="L22" s="38"/>
    </row>
    <row r="23" spans="1:12" ht="12.75" customHeight="1">
      <c r="A23" s="45"/>
      <c r="C23" s="43"/>
      <c r="D23" s="42"/>
      <c r="K23" s="38"/>
      <c r="L23" s="38"/>
    </row>
    <row r="24" spans="1:12" ht="12.75" customHeight="1">
      <c r="A24" s="45"/>
      <c r="C24" s="43"/>
      <c r="D24" s="42"/>
      <c r="K24" s="38"/>
      <c r="L24" s="38"/>
    </row>
    <row r="25" spans="1:12" ht="12.75" customHeight="1">
      <c r="A25" s="45"/>
      <c r="C25" s="43"/>
      <c r="D25" s="42"/>
      <c r="K25" s="38"/>
      <c r="L25" s="38"/>
    </row>
    <row r="26" spans="1:12" ht="12.75" customHeight="1">
      <c r="K26" s="38"/>
      <c r="L26" s="38"/>
    </row>
    <row r="27" spans="1:12" ht="12.75" customHeight="1">
      <c r="K27" s="38"/>
      <c r="L27" s="38"/>
    </row>
    <row r="28" spans="1:12" ht="12.75" customHeight="1">
      <c r="K28" s="38"/>
      <c r="L28" s="38"/>
    </row>
    <row r="29" spans="1:12" ht="12.75" customHeight="1">
      <c r="K29" s="38"/>
      <c r="L29" s="38"/>
    </row>
    <row r="30" spans="1:12" ht="12.75" customHeight="1">
      <c r="K30" s="38"/>
      <c r="L30" s="38"/>
    </row>
    <row r="31" spans="1:12" ht="12.75" customHeight="1">
      <c r="K31" s="38"/>
      <c r="L31" s="38"/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��
</file>

<file path=customXml/item3.xml>��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5.xml>��
</file>

<file path=customXml/item6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d19483960f138667885115d5c4edb395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78806dbb98be2979f00cf22499856de4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18.xml>��
</file>

<file path=customXml/item19.xml>��
</file>

<file path=customXml/item20.xml>��
</file>

<file path=customXml/itemProps1.xml><?xml version="1.0" encoding="utf-8"?>
<ds:datastoreItem xmlns:ds="http://schemas.openxmlformats.org/officeDocument/2006/customXml" ds:itemID="{CB52044A-5C0B-44A2-99D0-C1C315EC302D}"/>
</file>

<file path=customXml/itemProps2.xml><?xml version="1.0" encoding="utf-8"?>
<ds:datastoreItem xmlns:ds="http://schemas.openxmlformats.org/officeDocument/2006/customXml" ds:itemID="{F12EFA50-0068-4A8C-85A0-F1B26389EBC3}"/>
</file>

<file path=customXml/itemProps3.xml><?xml version="1.0" encoding="utf-8"?>
<ds:datastoreItem xmlns:ds="http://schemas.openxmlformats.org/officeDocument/2006/customXml" ds:itemID="{BE26B669-A686-459C-A5E9-FEC3409C4C81}"/>
</file>

<file path=customXml/itemProps4.xml><?xml version="1.0" encoding="utf-8"?>
<ds:datastoreItem xmlns:ds="http://schemas.openxmlformats.org/officeDocument/2006/customXml" ds:itemID="{8D732231-4216-4543-A665-18A2886B0EB7}"/>
</file>

<file path=customXml/itemProps5.xml><?xml version="1.0" encoding="utf-8"?>
<ds:datastoreItem xmlns:ds="http://schemas.openxmlformats.org/officeDocument/2006/customXml" ds:itemID="{E20E8303-6A67-485C-B6F4-303542CC295C}"/>
</file>

<file path=customXml/itemProps6.xml><?xml version="1.0" encoding="utf-8"?>
<ds:datastoreItem xmlns:ds="http://schemas.openxmlformats.org/officeDocument/2006/customXml" ds:itemID="{C0BCDC1E-6052-4E48-9BAF-94A40814E7C2}"/>
</file>

<file path=customXml/itemProps7.xml><?xml version="1.0" encoding="utf-8"?>
<ds:datastoreItem xmlns:ds="http://schemas.openxmlformats.org/officeDocument/2006/customXml" ds:itemID="{D3A7101F-9A85-4235-8B03-415370C100B2}"/>
</file>

<file path=customXml/itemProps8.xml><?xml version="1.0" encoding="utf-8"?>
<ds:datastoreItem xmlns:ds="http://schemas.openxmlformats.org/officeDocument/2006/customXml" ds:itemID="{98A113BB-8B7A-453C-8BD4-8EFC67FC2D3F}"/>
</file>

<file path=customXml/itemProps9.xml><?xml version="1.0" encoding="utf-8"?>
<ds:datastoreItem xmlns:ds="http://schemas.openxmlformats.org/officeDocument/2006/customXml" ds:itemID="{0389C43E-394D-44C0-87DC-4780FCFCFB40}"/>
</file>

<file path=customXml/itemProps10.xml><?xml version="1.0" encoding="utf-8"?>
<ds:datastoreItem xmlns:ds="http://schemas.openxmlformats.org/officeDocument/2006/customXml" ds:itemID="{E3716282-BFD2-4ED2-BA47-BFA1123827F0}"/>
</file>

<file path=customXml/itemProps11.xml><?xml version="1.0" encoding="utf-8"?>
<ds:datastoreItem xmlns:ds="http://schemas.openxmlformats.org/officeDocument/2006/customXml" ds:itemID="{BF5C6359-7763-4C37-8EAF-2BC4698CB285}"/>
</file>

<file path=customXml/itemProps12.xml><?xml version="1.0" encoding="utf-8"?>
<ds:datastoreItem xmlns:ds="http://schemas.openxmlformats.org/officeDocument/2006/customXml" ds:itemID="{1954BBA4-0359-438C-B0EC-A756015F7C02}"/>
</file>

<file path=customXml/itemProps13.xml><?xml version="1.0" encoding="utf-8"?>
<ds:datastoreItem xmlns:ds="http://schemas.openxmlformats.org/officeDocument/2006/customXml" ds:itemID="{14966E4F-347B-477B-B74C-9DAC05405806}"/>
</file>

<file path=customXml/itemProps14.xml><?xml version="1.0" encoding="utf-8"?>
<ds:datastoreItem xmlns:ds="http://schemas.openxmlformats.org/officeDocument/2006/customXml" ds:itemID="{F6B2B1A1-1C4B-4AC9-9A7D-7A102DD1C942}"/>
</file>

<file path=customXml/itemProps15.xml><?xml version="1.0" encoding="utf-8"?>
<ds:datastoreItem xmlns:ds="http://schemas.openxmlformats.org/officeDocument/2006/customXml" ds:itemID="{2BC74AAC-D69B-4AF1-9649-B21EF3C1C463}"/>
</file>

<file path=customXml/itemProps16.xml><?xml version="1.0" encoding="utf-8"?>
<ds:datastoreItem xmlns:ds="http://schemas.openxmlformats.org/officeDocument/2006/customXml" ds:itemID="{078388C9-06F9-42F4-B857-EF76B5CAF1FD}"/>
</file>

<file path=customXml/itemProps17.xml><?xml version="1.0" encoding="utf-8"?>
<ds:datastoreItem xmlns:ds="http://schemas.openxmlformats.org/officeDocument/2006/customXml" ds:itemID="{7946C510-7D04-49D8-9B25-EEC04582A1CA}"/>
</file>

<file path=customXml/itemProps18.xml><?xml version="1.0" encoding="utf-8"?>
<ds:datastoreItem xmlns:ds="http://schemas.openxmlformats.org/officeDocument/2006/customXml" ds:itemID="{3AEAA9D8-2182-46BA-A58E-96C72DDA1C54}"/>
</file>

<file path=customXml/itemProps19.xml><?xml version="1.0" encoding="utf-8"?>
<ds:datastoreItem xmlns:ds="http://schemas.openxmlformats.org/officeDocument/2006/customXml" ds:itemID="{89CF5C07-45EB-4100-9AFB-2C6AF77FA787}"/>
</file>

<file path=customXml/itemProps20.xml><?xml version="1.0" encoding="utf-8"?>
<ds:datastoreItem xmlns:ds="http://schemas.openxmlformats.org/officeDocument/2006/customXml" ds:itemID="{66B09F59-6532-46F8-924A-9A02417E070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>Sai Teja Puram [AGS]</cp:lastModifiedBy>
  <cp:revision/>
  <dcterms:created xsi:type="dcterms:W3CDTF">2021-01-01T16:39:53Z</dcterms:created>
  <dcterms:modified xsi:type="dcterms:W3CDTF">2025-01-13T05:36:47Z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</Properties>
</file>