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69" documentId="13_ncr:1_{94610C08-D1E9-46BB-9D77-80CEA80549F9}" xr6:coauthVersionLast="47" xr6:coauthVersionMax="47" xr10:uidLastSave="{3CA78C5A-9081-472F-95BF-76B4F27D8763}"/>
  <bookViews>
    <workbookView xWindow="28680" yWindow="-120" windowWidth="29040" windowHeight="1572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18"/>
  <c r="F4" i="18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<sst xmlns="http://schemas.openxmlformats.org/spreadsheetml/2006/main" count="262" uniqueCount="75">
  <si>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</si>
  <si>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</si>
  <si>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</si>
  <si>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</si>
  <si>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</si>
  <si>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</si>
  <si>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</si>
  <si>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</si>
  <si>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</si>
  <si>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</si>
  <si>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</si>
  <si>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</si>
  <si>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</si>
  <si>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</si>
  <si>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</si>
  <si>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</si>
  <si>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</si>
  <si>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</si>
  <si>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</si>
  <si>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</si>
  <si>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</si>
  <si>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</si>
  <si>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9 was offline since 01/07.</t>
  </si>
  <si>
    <t xml:space="preserve"> 1. SR080386</t>
  </si>
  <si>
    <t>February Actual v. Expected</t>
  </si>
  <si>
    <t>February Actual v. Forecasted</t>
  </si>
  <si>
    <t>1. Inverter 9 is offline throughout the month. 
2. Inverter 3 tripped offline at 11:30 on 02/16 &amp; back online on 02/20 at 09:30</t>
  </si>
  <si>
    <t>1.SR080386
2.SR081057</t>
  </si>
  <si>
    <t>March Actual v. Expected</t>
  </si>
  <si>
    <t>March Actual v. Forecasted</t>
  </si>
  <si>
    <t>1. Site tripped offline on 03/12 at 09:30 &amp; continued throughout the month. 
2. Inverter 9 is offline throughout the month. 
3. Inverters 1, 11, 13 are underproducing around 15kW each compared to its peers since 03/08.</t>
  </si>
  <si>
    <t>1.SR081798
2.SR080386
3. SR081706</t>
  </si>
  <si>
    <t>April Actual v. Expected</t>
  </si>
  <si>
    <t>April Actual v. Forecasted</t>
  </si>
  <si>
    <t>1. Site tripped offline on 03/12 at 09:30 &amp; continued throughout the month.</t>
  </si>
  <si>
    <t>1.SR081798</t>
  </si>
  <si>
    <t>May Actual v. Expected</t>
  </si>
  <si>
    <t>May Actual v. Forecasted</t>
  </si>
  <si>
    <t>1. Site is offline from 03/12 and back online on 05/31.
2. Inverter 8,9,11 and 12 are offline from 05/31.
3. Inverters 1, 13 are underproducing around 15kW each compared to its peers since 03/08.</t>
  </si>
  <si>
    <t>1. SR081798
2. SR085347
3. SR081706</t>
  </si>
  <si>
    <t>June Actual v. Expected</t>
  </si>
  <si>
    <t>June Actual v. Forecasted</t>
  </si>
  <si>
    <t>1. Inverter 8,9,11 and 12 are offline from 05/31 and 8, 12 back online at 12:00PM on 06/06 and inverter 9 and 11 are back online on 06/25 after replacing relay boards. 
2. Inverters 1, 13 are underproducing around 15kW each compared to its peers since 03/08.</t>
  </si>
  <si>
    <t>1. SR085347
2. SR081706</t>
  </si>
  <si>
    <t>July Actual v. Expected</t>
  </si>
  <si>
    <t>July Actual v. Forecasted</t>
  </si>
  <si>
    <t>August Actual v. Expected</t>
  </si>
  <si>
    <t>August Actual v. Forecasted</t>
  </si>
  <si>
    <t>1.Inverter 8 is offline on 08/09 and back online at 12:45 on 08/30. 
Inverter 13 is offline on 08/15 and back online at 14:00 on 08/30.
2. Inverters 4,6 are tripped offline on 08/15 at 16:30PM and back online on 08/16.
3. Inverter 1 is derating due to multiple tripping.
inverters 8 and 13 are being RMA'd and inverter 12 kept offline due to multiple breaker trip events on 08/22.</t>
  </si>
  <si>
    <t>1.SR088801
2.SR089140
3.SR089210</t>
  </si>
  <si>
    <t>September Actual v. Expected</t>
  </si>
  <si>
    <t>September Actual v. Forecasted</t>
  </si>
  <si>
    <t>1.Site is offline from 09/14 at 08:5 and back online on 09/16 at 08:45</t>
  </si>
  <si>
    <t>1.SR090424</t>
  </si>
  <si>
    <t>October Actual v. Expected</t>
  </si>
  <si>
    <t>October Actual v. Forecasted</t>
  </si>
  <si>
    <t>1. Inverter 12 kept offline due to multiple breaker trip events since 08/22.</t>
  </si>
  <si>
    <t>1.SR089210</t>
  </si>
  <si>
    <t>November Actual v. Expected</t>
  </si>
  <si>
    <t>November Actual v. Forecasted</t>
  </si>
  <si>
    <t>1.Inverter 8 was tripped  offline at 16:15 from 11/02  throughout the month
2.Inverter 5 was tripped offline at 11:00AM on 11/12 and came back online at 8:45AM on 11/13
3.Inverter 12 back online on 11:30AM on 11/12</t>
  </si>
  <si>
    <t>1.SR092906 , SR089210
2.SR093173
3.SR088801</t>
  </si>
  <si>
    <t>December Actual v. Expected</t>
  </si>
  <si>
    <t>December Actual v. Forecasted</t>
  </si>
  <si>
    <t>1.Inverter 8 was tripped  offline at 16:15 from 11/02 and being RMA'd on 12/17.</t>
  </si>
  <si>
    <t>1. SR089210, SR093239</t>
  </si>
  <si>
    <t>Portfolio:</t>
  </si>
  <si>
    <t>Canton Ice House</t>
  </si>
  <si>
    <t>Site DAS Name</t>
  </si>
  <si>
    <t>Update</t>
  </si>
  <si>
    <t>DAS</t>
  </si>
  <si>
    <t>MA: Canton - Canton Ice House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</si>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</sst>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horizontal="right"/>
    </xf>
    <xf numFmtId="0" fontId="35" fillId="46" borderId="13" xfId="0" applyFont="1" applyFill="1" applyBorder="1" applyAlignment="1">
      <alignment horizontal="right"/>
    </xf>
    <xf numFmtId="9" fontId="30" fillId="38" borderId="14" xfId="2" applyFont="1" applyFill="1" applyBorder="1" applyAlignment="1">
      <alignment horizontal="left"/>
    </xf>
    <xf numFmtId="49" fontId="30" fillId="38" borderId="0" xfId="2" applyNumberFormat="1" applyFont="1" applyFill="1" applyBorder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SUM(C4:C52)</f>
        <v>385913.80313764029</v>
      </c>
      <c r="D2" s="5">
        <f>SUM(D4:D52)</f>
        <v>0</v>
      </c>
      <c r="E2" s="5">
        <f>C2-D2</f>
        <v>385913.80313764029</v>
      </c>
      <c r="F2" s="6">
        <f>IFERROR(E2/D2, 0)</f>
        <v>0</v>
      </c>
      <c r="G2" s="5">
        <f>SUM(G4:G52)</f>
        <v>0</v>
      </c>
      <c r="H2" s="7">
        <f>C2-G2</f>
        <v>385913.80313764029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Canton - Canton Ice House</v>
      </c>
      <c r="B4" s="9" t="str" cm="1">
        <f t="array" ref="B4">Sites[State]</f>
        <v>MA</v>
      </c>
      <c r="C4" s="18">
        <f>SUM('1st Qtr'!C4, '2nd Qtr'!C4, '3rd Qtr'!C4, '4th Qtr'!C4)</f>
        <v>385913.80313764029</v>
      </c>
      <c r="D4" s="11">
        <f>SUM('1st Qtr'!D4, '2nd Qtr'!D4, '3rd Qtr'!D4, '4th Qtr'!D4)</f>
        <v>0</v>
      </c>
      <c r="E4" s="11">
        <f>IF(AND(ISNUMBER(C4),ISNUMBER(D4)), C4-D4, "")</f>
        <v>385913.80313764029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385913.80313764029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2 I4:I5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SUM(C4:C52)</f>
        <v>53753.287009765598</v>
      </c>
      <c r="D2" s="5">
        <f>SUM(D4:D52)</f>
        <v>0</v>
      </c>
      <c r="E2" s="5">
        <f>C2-D2</f>
        <v>53753.287009765598</v>
      </c>
      <c r="F2" s="6">
        <f>IFERROR(E2/D2, 0)</f>
        <v>0</v>
      </c>
      <c r="G2" s="5">
        <f>SUM(G4:G52)</f>
        <v>0</v>
      </c>
      <c r="H2" s="7">
        <f>C2-G2</f>
        <v>53753.287009765598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SUM(Jan!C4, Feb!C4, Mar!C4)</f>
        <v>53753.287009765598</v>
      </c>
      <c r="D4" s="11">
        <f>SUM(Jan!D4, Feb!D4, Mar!D4)</f>
        <v>0</v>
      </c>
      <c r="E4" s="11">
        <f>IF(AND(ISNUMBER(C4),ISNUMBER(D4)), C4-D4, "")</f>
        <v>53753.287009765598</v>
      </c>
      <c r="F4" s="12" t="str">
        <f>IFERROR(E4/D4, "")</f>
        <v/>
      </c>
      <c r="G4" s="13">
        <f>SUM(Jan!G4, Feb!G4, Mar!G4)</f>
        <v>0</v>
      </c>
      <c r="H4" s="13">
        <f>SUM(Jan!H4, Feb!H4, Mar!H4)</f>
        <v>53753.287009765598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2 I4:I5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SUM(C4:C52)</f>
        <v>72238.341</v>
      </c>
      <c r="D2" s="5">
        <f>SUM(D4:D52)</f>
        <v>0</v>
      </c>
      <c r="E2" s="5">
        <f>C2-D2</f>
        <v>72238.341</v>
      </c>
      <c r="F2" s="6">
        <f>IFERROR(E2/D2, 0)</f>
        <v>0</v>
      </c>
      <c r="G2" s="5">
        <f>SUM(G4:G52)</f>
        <v>0</v>
      </c>
      <c r="H2" s="7">
        <f>C2-G2</f>
        <v>72238.341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SUM(Apr!C4, May!C4, Jun!C4)</f>
        <v>72238.341</v>
      </c>
      <c r="D4" s="11">
        <f>SUM(Apr!D4, May!D4, Jun!D4)</f>
        <v>0</v>
      </c>
      <c r="E4" s="11">
        <f>IF(AND(ISNUMBER(C4),ISNUMBER(D4)), C4-D4, "")</f>
        <v>72238.341</v>
      </c>
      <c r="F4" s="12" t="str">
        <f>IFERROR(E4/D4, "")</f>
        <v/>
      </c>
      <c r="G4" s="13"/>
      <c r="H4" s="13">
        <f>SUM(Apr!H4, May!H4, Jun!H4)</f>
        <v>72238.341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294"/>
  <sheetViews>
    <sheetView workbookViewId="0">
      <pane xSplit="2" ySplit="3" topLeftCell="C4" activePane="bottomRight" state="frozen"/>
      <selection pane="bottomRight" activeCell="G5" sqref="G5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SUM(C4:C52)</f>
        <v>173103.11557787471</v>
      </c>
      <c r="D2" s="5">
        <f>SUM(D4:D52)</f>
        <v>0</v>
      </c>
      <c r="E2" s="5">
        <f>C2-D2</f>
        <v>173103.11557787471</v>
      </c>
      <c r="F2" s="6">
        <f>IFERROR(E2/D2, 0)</f>
        <v>0</v>
      </c>
      <c r="G2" s="5">
        <f>SUM(G4:G52)</f>
        <v>0</v>
      </c>
      <c r="H2" s="7">
        <f>C2-G2</f>
        <v>173103.11557787471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SUM(Jul!C4, Aug!C4, Sep!C4)</f>
        <v>173103.11557787471</v>
      </c>
      <c r="D4" s="11">
        <f>SUM(Jul!D4, Aug!D4, Sep!D4)</f>
        <v>0</v>
      </c>
      <c r="E4" s="11">
        <f>IF(AND(ISNUMBER(C4),ISNUMBER(D4)), C4-D4, "")</f>
        <v>173103.11557787471</v>
      </c>
      <c r="F4" s="12" t="str">
        <f>IFERROR(E4/D4, "")</f>
        <v/>
      </c>
      <c r="G4" s="13">
        <f>SUM(Jul!G4,Aug!G4,Sep!G4)</f>
        <v>0</v>
      </c>
      <c r="H4" s="13">
        <f>SUM(Jul!H4, Aug!H4, Sep!H4)</f>
        <v>173103.11557787471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294"/>
  <sheetViews>
    <sheetView workbookViewId="0">
      <pane xSplit="2" ySplit="3" topLeftCell="C4" activePane="bottomRight" state="frozen"/>
      <selection pane="bottomRight" activeCell="G13" sqref="G13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SUM(C4:C52)</f>
        <v>86819.059550000005</v>
      </c>
      <c r="D2" s="5">
        <f>SUM(D4:D52)</f>
        <v>0</v>
      </c>
      <c r="E2" s="5">
        <f>C2-D2</f>
        <v>86819.059550000005</v>
      </c>
      <c r="F2" s="6">
        <f>IFERROR(E2/D2, 0)</f>
        <v>0</v>
      </c>
      <c r="G2" s="5">
        <f>SUM(G4:G52)</f>
        <v>0</v>
      </c>
      <c r="H2" s="7">
        <f>C2-G2</f>
        <v>86819.059550000005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SUM(Oct!C4, Nov!C4, Dec!C4)</f>
        <v>86819.059550000005</v>
      </c>
      <c r="D4" s="11">
        <f>SUM(Oct!D4, Nov!D4, Dec!D4)</f>
        <v>0</v>
      </c>
      <c r="E4" s="11">
        <f>IF(AND(ISNUMBER(C4),ISNUMBER(D4)), C4-D4, "")</f>
        <v>86819.059550000005</v>
      </c>
      <c r="F4" s="12" t="str">
        <f>IFERROR(E4/D4, "")</f>
        <v/>
      </c>
      <c r="G4" s="13">
        <f>SUM(Oct!G4,Nov!G4,Dec!G4)</f>
        <v>0</v>
      </c>
      <c r="H4" s="13">
        <f>SUM(Oct!H4, Nov!H4, Dec!H4)</f>
        <v>86819.059550000005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4" activePane="bottomRight" state="frozen"/>
      <selection pane="bottomRight" activeCell="J8" sqref="J8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SUM(C4:C51)</f>
        <v>10619.7600097656</v>
      </c>
      <c r="D2" s="5">
        <f>SUM(D4:D51)</f>
        <v>0</v>
      </c>
      <c r="E2" s="5">
        <f>C2-D2</f>
        <v>10619.7600097656</v>
      </c>
      <c r="F2" s="6">
        <f>IFERROR(E2/D2, 0)</f>
        <v>0</v>
      </c>
      <c r="G2" s="5">
        <f>SUM(G4:G51)</f>
        <v>0</v>
      </c>
      <c r="H2" s="7">
        <f>C2-G2</f>
        <v>10619.7600097656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Canton - Canton Ice House</v>
      </c>
      <c r="B4" s="22" t="str" cm="1">
        <f t="array" ref="B4">Sites[State]</f>
        <v>MA</v>
      </c>
      <c r="C4" s="40">
        <v>10619.7600097656</v>
      </c>
      <c r="D4" s="41">
        <v>0</v>
      </c>
      <c r="E4" s="11">
        <f>IF(AND(ISNUMBER(C4),ISNUMBER(D4)), C4-D4, "")</f>
        <v>10619.7600097656</v>
      </c>
      <c r="F4" s="34" t="str">
        <f>IFERROR(E4/D4, "")</f>
        <v/>
      </c>
      <c r="G4" s="13">
        <v>0</v>
      </c>
      <c r="H4" s="13">
        <f>IF(AND(ISNUMBER(C4),ISNUMBER(G4)), C4-G4, "")</f>
        <v>10619.7600097656</v>
      </c>
      <c r="I4" s="14" t="str">
        <f>IFERROR(H4/G4, "")</f>
        <v/>
      </c>
      <c r="J4" s="42" t="s">
        <v>22</v>
      </c>
      <c r="K4" s="42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</sheetData>
  <mergeCells count="4">
    <mergeCell ref="D1:F1"/>
    <mergeCell ref="A1:C1"/>
    <mergeCell ref="G1:I1"/>
    <mergeCell ref="A2:B2"/>
  </mergeCells>
  <conditionalFormatting sqref="F2 I2 I4:I51 F5:F5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294"/>
  <sheetViews>
    <sheetView workbookViewId="0">
      <pane xSplit="2" ySplit="3" topLeftCell="C4" activePane="bottomRight" state="frozen"/>
      <selection pane="bottomRight" activeCell="K4" sqref="K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30895</v>
      </c>
      <c r="D2" s="5">
        <f>SUM(D4:D52)</f>
        <v>0</v>
      </c>
      <c r="E2" s="5">
        <f>C2-D2</f>
        <v>30895</v>
      </c>
      <c r="F2" s="6">
        <f>IFERROR(E2/D2, 0)</f>
        <v>0</v>
      </c>
      <c r="G2" s="5">
        <f>SUM(G4:G52)</f>
        <v>0</v>
      </c>
      <c r="H2" s="7">
        <f>C2-G2</f>
        <v>30895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MA: Canton - Canton Ice House</v>
      </c>
      <c r="B4" s="22" t="str" cm="1">
        <f t="array" ref="B4">Sites[State]</f>
        <v>MA</v>
      </c>
      <c r="C4" s="18">
        <v>30895</v>
      </c>
      <c r="D4" s="11">
        <v>0</v>
      </c>
      <c r="E4" s="11">
        <f>IF(AND(ISNUMBER(C4),ISNUMBER(D4)), C4-D4, "")</f>
        <v>30895</v>
      </c>
      <c r="F4" s="12" t="str">
        <f>IFERROR(E4/D4, "")</f>
        <v/>
      </c>
      <c r="G4" s="13">
        <v>0</v>
      </c>
      <c r="H4" s="13">
        <f>IF(AND(ISNUMBER(C4),ISNUMBER(G4)), C4-G4, "")</f>
        <v>30895</v>
      </c>
      <c r="I4" s="14" t="str">
        <f>IFERROR(H4/G4, "")</f>
        <v/>
      </c>
      <c r="J4" s="43" t="s">
        <v>26</v>
      </c>
      <c r="K4" s="43" t="s">
        <v>27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294"/>
  <sheetViews>
    <sheetView workbookViewId="0">
      <pane xSplit="2" ySplit="3" topLeftCell="C4" activePane="bottomRight" state="frozen"/>
      <selection pane="bottomRight" activeCell="K4" sqref="K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12238.527</v>
      </c>
      <c r="D2" s="5">
        <f>SUM(D4:D52)</f>
        <v>0</v>
      </c>
      <c r="E2" s="5">
        <f>C2-D2</f>
        <v>12238.527</v>
      </c>
      <c r="F2" s="6">
        <f>IFERROR(E2/D2, 0)</f>
        <v>0</v>
      </c>
      <c r="G2" s="5">
        <f>SUM(G4:G52)</f>
        <v>0</v>
      </c>
      <c r="H2" s="7">
        <f>C2-G2</f>
        <v>12238.527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7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44">
        <v>12238.527</v>
      </c>
      <c r="D4" s="11">
        <v>0</v>
      </c>
      <c r="E4" s="11">
        <f>IF(AND(ISNUMBER(C4),ISNUMBER(D4)), C4-D4, "")</f>
        <v>12238.527</v>
      </c>
      <c r="F4" s="12" t="str">
        <f>IFERROR(E4/D4, "")</f>
        <v/>
      </c>
      <c r="G4" s="13">
        <v>0</v>
      </c>
      <c r="H4" s="13">
        <f>IF(AND(ISNUMBER(C4),ISNUMBER(G4)), C4-G4, "")</f>
        <v>12238.527</v>
      </c>
      <c r="I4" s="14" t="str">
        <f>IFERROR(H4/G4, "")</f>
        <v/>
      </c>
      <c r="J4" s="32" t="s">
        <v>30</v>
      </c>
      <c r="K4" s="32" t="s">
        <v>31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294"/>
  <sheetViews>
    <sheetView workbookViewId="0">
      <pane xSplit="2" ySplit="3" topLeftCell="C4" activePane="bottomRight" state="frozen"/>
      <selection pane="bottomRight" activeCell="J11" sqref="J11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7.5" customHeight="1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0</v>
      </c>
      <c r="D4" s="11">
        <v>0</v>
      </c>
      <c r="E4" s="11">
        <f>IF(AND(ISNUMBER(C4),ISNUMBER(D4)), C4-D4, "")</f>
        <v>0</v>
      </c>
      <c r="F4" s="12" t="str">
        <f>IFERROR(E4/D4, "")</f>
        <v/>
      </c>
      <c r="G4" s="13">
        <v>0</v>
      </c>
      <c r="H4" s="13">
        <f>IF(AND(ISNUMBER(C4),ISNUMBER(G4)), C4-G4, "")</f>
        <v>0</v>
      </c>
      <c r="I4" s="14" t="str">
        <f>IFERROR(H4/G4, "")</f>
        <v/>
      </c>
      <c r="J4" s="32" t="s">
        <v>34</v>
      </c>
      <c r="K4" s="32" t="s">
        <v>35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294"/>
  <sheetViews>
    <sheetView workbookViewId="0">
      <pane xSplit="2" ySplit="3" topLeftCell="C4" activePane="bottomRight" state="frozen"/>
      <selection pane="bottomRight" activeCell="A4" sqref="A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2063.1970000000001</v>
      </c>
      <c r="D2" s="5">
        <f>SUM(D4:D52)</f>
        <v>0</v>
      </c>
      <c r="E2" s="5">
        <f>C2-D2</f>
        <v>2063.1970000000001</v>
      </c>
      <c r="F2" s="6">
        <f>IFERROR(E2/D2, 0)</f>
        <v>0</v>
      </c>
      <c r="G2" s="5">
        <f>SUM(G4:G52)</f>
        <v>0</v>
      </c>
      <c r="H2" s="7">
        <f>C2-G2</f>
        <v>2063.1970000000001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3.25" customHeight="1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2063.1970000000001</v>
      </c>
      <c r="D4" s="11">
        <v>0</v>
      </c>
      <c r="E4" s="11">
        <f>IF(AND(ISNUMBER(C4),ISNUMBER(D4)), C4-D4, "")</f>
        <v>2063.1970000000001</v>
      </c>
      <c r="F4" s="12" t="str">
        <f>IFERROR(E4/D4, "")</f>
        <v/>
      </c>
      <c r="G4" s="13">
        <v>0</v>
      </c>
      <c r="H4" s="13">
        <f>IF(AND(ISNUMBER(C4),ISNUMBER(G4)), C4-G4, "")</f>
        <v>2063.1970000000001</v>
      </c>
      <c r="I4" s="14" t="str">
        <f>IFERROR(H4/G4, "")</f>
        <v/>
      </c>
      <c r="J4" s="32" t="s">
        <v>38</v>
      </c>
      <c r="K4" s="32" t="s">
        <v>39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294"/>
  <sheetViews>
    <sheetView workbookViewId="0">
      <pane xSplit="2" ySplit="3" topLeftCell="C4" activePane="bottomRight" state="frozen"/>
      <selection pane="bottomRight" activeCell="K4" sqref="K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70175.144</v>
      </c>
      <c r="D2" s="5">
        <f>SUM(D4:D52)</f>
        <v>0</v>
      </c>
      <c r="E2" s="5">
        <f>C2-D2</f>
        <v>70175.144</v>
      </c>
      <c r="F2" s="6">
        <f>IFERROR(E2/D2, 0)</f>
        <v>0</v>
      </c>
      <c r="G2" s="5">
        <f>SUM(G4:G52)</f>
        <v>0</v>
      </c>
      <c r="H2" s="7">
        <f>C2-G2</f>
        <v>70175.144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7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70175.144</v>
      </c>
      <c r="D4" s="11">
        <v>0</v>
      </c>
      <c r="E4" s="11">
        <f>IF(AND(ISNUMBER(C4),ISNUMBER(D4)), C4-D4, "")</f>
        <v>70175.144</v>
      </c>
      <c r="F4" s="12" t="str">
        <f>IFERROR(E4/D4, "")</f>
        <v/>
      </c>
      <c r="G4" s="13">
        <v>0</v>
      </c>
      <c r="H4" s="13">
        <f>IF(AND(ISNUMBER(C4),ISNUMBER(G4)), C4-G4, "")</f>
        <v>70175.144</v>
      </c>
      <c r="I4" s="14" t="str">
        <f>IFERROR(H4/G4, "")</f>
        <v/>
      </c>
      <c r="J4" s="32" t="s">
        <v>42</v>
      </c>
      <c r="K4" s="32" t="s">
        <v>43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294"/>
  <sheetViews>
    <sheetView workbookViewId="0">
      <pane xSplit="2" ySplit="3" topLeftCell="C4" activePane="bottomRight" state="frozen"/>
      <selection pane="bottomRight" activeCell="C11" sqref="C11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44</v>
      </c>
      <c r="E1" s="47"/>
      <c r="F1" s="47"/>
      <c r="G1" s="45" t="s">
        <v>45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69541.355069283905</v>
      </c>
      <c r="D2" s="5">
        <f>SUM(D4:D52)</f>
        <v>0</v>
      </c>
      <c r="E2" s="5">
        <f>C2-D2</f>
        <v>69541.355069283905</v>
      </c>
      <c r="F2" s="6">
        <f>IFERROR(E2/D2, 0)</f>
        <v>0</v>
      </c>
      <c r="G2" s="5">
        <f>SUM(G4:G52)</f>
        <v>0</v>
      </c>
      <c r="H2" s="7">
        <f>C2-G2</f>
        <v>69541.355069283905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69541.355069283905</v>
      </c>
      <c r="D4" s="11">
        <v>0</v>
      </c>
      <c r="E4" s="11">
        <f>IF(AND(ISNUMBER(C4),ISNUMBER(D4)), C4-D4, "")</f>
        <v>69541.355069283905</v>
      </c>
      <c r="F4" s="12" t="str">
        <f>IFERROR(E4/D4, "")</f>
        <v/>
      </c>
      <c r="G4" s="13">
        <v>0</v>
      </c>
      <c r="H4" s="13">
        <f>IF(AND(ISNUMBER(C4),ISNUMBER(G4)), C4-G4, "")</f>
        <v>69541.355069283905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94"/>
  <sheetViews>
    <sheetView workbookViewId="0">
      <pane xSplit="2" ySplit="3" topLeftCell="G4" activePane="bottomRight" state="frozen"/>
      <selection pane="bottomRight" activeCell="K4" sqref="K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46</v>
      </c>
      <c r="E1" s="47"/>
      <c r="F1" s="47"/>
      <c r="G1" s="45" t="s">
        <v>47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57395.889892578103</v>
      </c>
      <c r="D2" s="5">
        <f>SUM(D4:D52)</f>
        <v>0</v>
      </c>
      <c r="E2" s="5">
        <f>C2-D2</f>
        <v>57395.889892578103</v>
      </c>
      <c r="F2" s="6">
        <f>IFERROR(E2/D2, 0)</f>
        <v>0</v>
      </c>
      <c r="G2" s="5">
        <f>SUM(G4:G52)</f>
        <v>0</v>
      </c>
      <c r="H2" s="7">
        <f>C2-G2</f>
        <v>57395.889892578103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06.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57395.889892578103</v>
      </c>
      <c r="D4" s="11">
        <v>0</v>
      </c>
      <c r="E4" s="11">
        <f>IF(AND(ISNUMBER(C4),ISNUMBER(D4)), C4-D4, "")</f>
        <v>57395.889892578103</v>
      </c>
      <c r="F4" s="12" t="str">
        <f>IFERROR(E4/D4, "")</f>
        <v/>
      </c>
      <c r="G4" s="13">
        <v>0</v>
      </c>
      <c r="H4" s="13">
        <f>IF(AND(ISNUMBER(C4),ISNUMBER(G4)), C4-G4, "")</f>
        <v>57395.889892578103</v>
      </c>
      <c r="I4" s="14" t="str">
        <f>IFERROR(H4/G4, "")</f>
        <v/>
      </c>
      <c r="J4" s="32" t="s">
        <v>48</v>
      </c>
      <c r="K4" s="32" t="s">
        <v>49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94"/>
  <sheetViews>
    <sheetView workbookViewId="0">
      <pane xSplit="2" ySplit="3" topLeftCell="F4" activePane="bottomRight" state="frozen"/>
      <selection pane="bottomRight" activeCell="J10" sqref="J1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50</v>
      </c>
      <c r="E1" s="47"/>
      <c r="F1" s="47"/>
      <c r="G1" s="45" t="s">
        <v>51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46165.870616012697</v>
      </c>
      <c r="D2" s="5">
        <f>SUM(D4:D52)</f>
        <v>0</v>
      </c>
      <c r="E2" s="5">
        <f>C2-D2</f>
        <v>46165.870616012697</v>
      </c>
      <c r="F2" s="6">
        <f>IFERROR(E2/D2, 0)</f>
        <v>0</v>
      </c>
      <c r="G2" s="5">
        <f>SUM(G4:G52)</f>
        <v>0</v>
      </c>
      <c r="H2" s="7">
        <f>C2-G2</f>
        <v>46165.870616012697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46165.870616012697</v>
      </c>
      <c r="D4" s="11">
        <v>0</v>
      </c>
      <c r="E4" s="11">
        <f>IF(AND(ISNUMBER(C4),ISNUMBER(D4)), C4-D4, "")</f>
        <v>46165.870616012697</v>
      </c>
      <c r="F4" s="12" t="str">
        <f>IFERROR(E4/D4, "")</f>
        <v/>
      </c>
      <c r="G4" s="13">
        <v>0</v>
      </c>
      <c r="H4" s="13">
        <f>IF(AND(ISNUMBER(C4),ISNUMBER(G4)), C4-G4, "")</f>
        <v>46165.870616012697</v>
      </c>
      <c r="I4" s="14" t="str">
        <f>IFERROR(H4/G4, "")</f>
        <v/>
      </c>
      <c r="J4" s="32" t="s">
        <v>52</v>
      </c>
      <c r="K4" s="32" t="s">
        <v>53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94"/>
  <sheetViews>
    <sheetView workbookViewId="0">
      <pane xSplit="2" ySplit="3" topLeftCell="D4" activePane="bottomRight" state="frozen"/>
      <selection pane="bottomRight" activeCell="J5" sqref="J5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54</v>
      </c>
      <c r="E1" s="47"/>
      <c r="F1" s="47"/>
      <c r="G1" s="45" t="s">
        <v>55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44019.72006</v>
      </c>
      <c r="D2" s="5">
        <f>SUM(D4:D52)</f>
        <v>0</v>
      </c>
      <c r="E2" s="5">
        <f>C2-D2</f>
        <v>44019.72006</v>
      </c>
      <c r="F2" s="6">
        <f>IFERROR(E2/D2, 0)</f>
        <v>0</v>
      </c>
      <c r="G2" s="5">
        <f>SUM(G4:G52)</f>
        <v>0</v>
      </c>
      <c r="H2" s="7">
        <f>C2-G2</f>
        <v>44019.72006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44019.72006</v>
      </c>
      <c r="D4" s="11">
        <v>0</v>
      </c>
      <c r="E4" s="11">
        <f>IF(AND(ISNUMBER(C4),ISNUMBER(D4)), C4-D4, "")</f>
        <v>44019.72006</v>
      </c>
      <c r="F4" s="12" t="str">
        <f>IFERROR(E4/D4, "")</f>
        <v/>
      </c>
      <c r="G4" s="13">
        <v>0</v>
      </c>
      <c r="H4" s="13">
        <f>IF(AND(ISNUMBER(C4),ISNUMBER(G4)), C4-G4, "")</f>
        <v>44019.72006</v>
      </c>
      <c r="I4" s="14" t="str">
        <f>IFERROR(H4/G4, "")</f>
        <v/>
      </c>
      <c r="J4" s="32" t="s">
        <v>56</v>
      </c>
      <c r="K4" s="32" t="s">
        <v>57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94"/>
  <sheetViews>
    <sheetView workbookViewId="0">
      <pane xSplit="2" ySplit="3" topLeftCell="H4" activePane="bottomRight" state="frozen"/>
      <selection pane="bottomRight" activeCell="K4" sqref="K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58</v>
      </c>
      <c r="E1" s="47"/>
      <c r="F1" s="47"/>
      <c r="G1" s="45" t="s">
        <v>59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26899.635050000001</v>
      </c>
      <c r="D2" s="5">
        <f>SUM(D4:D52)</f>
        <v>0</v>
      </c>
      <c r="E2" s="5">
        <f>C2-D2</f>
        <v>26899.635050000001</v>
      </c>
      <c r="F2" s="6">
        <f>IFERROR(E2/D2, 0)</f>
        <v>0</v>
      </c>
      <c r="G2" s="5">
        <f>SUM(G4:G52)</f>
        <v>0</v>
      </c>
      <c r="H2" s="7">
        <f>C2-G2</f>
        <v>26899.635050000001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60.7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26899.635050000001</v>
      </c>
      <c r="D4" s="11">
        <v>0</v>
      </c>
      <c r="E4" s="11">
        <f>IF(AND(ISNUMBER(C4),ISNUMBER(D4)), C4-D4, "")</f>
        <v>26899.635050000001</v>
      </c>
      <c r="F4" s="12" t="str">
        <f>IFERROR(E4/D4, "")</f>
        <v/>
      </c>
      <c r="G4" s="13">
        <v>0</v>
      </c>
      <c r="H4" s="13">
        <f>IF(AND(ISNUMBER(C4),ISNUMBER(G4)), C4-G4, "")</f>
        <v>26899.635050000001</v>
      </c>
      <c r="I4" s="14" t="str">
        <f>IFERROR(H4/G4, "")</f>
        <v/>
      </c>
      <c r="J4" s="32" t="s">
        <v>60</v>
      </c>
      <c r="K4" s="32" t="s">
        <v>61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94"/>
  <sheetViews>
    <sheetView tabSelected="1" workbookViewId="0">
      <pane xSplit="2" ySplit="3" topLeftCell="C4" activePane="bottomRight" state="frozen"/>
      <selection pane="bottomRight" activeCell="J6" sqref="J6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62</v>
      </c>
      <c r="E1" s="47"/>
      <c r="F1" s="47"/>
      <c r="G1" s="45" t="s">
        <v>63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15899.70444</v>
      </c>
      <c r="D2" s="5">
        <f>SUM(D4:D52)</f>
        <v>0</v>
      </c>
      <c r="E2" s="5">
        <f>C2-D2</f>
        <v>15899.70444</v>
      </c>
      <c r="F2" s="6">
        <f>IFERROR(E2/D2, 0)</f>
        <v>0</v>
      </c>
      <c r="G2" s="5">
        <f>SUM(G4:G52)</f>
        <v>0</v>
      </c>
      <c r="H2" s="7">
        <f>C2-G2</f>
        <v>15899.70444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0.7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15899.70444</v>
      </c>
      <c r="D4" s="11">
        <v>0</v>
      </c>
      <c r="E4" s="11">
        <f>IF(AND(ISNUMBER(C4),ISNUMBER(D4)), C4-D4, "")</f>
        <v>15899.70444</v>
      </c>
      <c r="F4" s="12" t="str">
        <f>IFERROR(E4/D4, "")</f>
        <v/>
      </c>
      <c r="G4" s="13">
        <v>0</v>
      </c>
      <c r="H4" s="13">
        <f>IF(AND(ISNUMBER(C4),ISNUMBER(G4)), C4-G4, "")</f>
        <v>15899.70444</v>
      </c>
      <c r="I4" s="14" t="str">
        <f>IFERROR(H4/G4, "")</f>
        <v/>
      </c>
      <c r="J4" s="32" t="s">
        <v>64</v>
      </c>
      <c r="K4" s="32" t="s">
        <v>65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66</v>
      </c>
      <c r="B1" t="s">
        <v>67</v>
      </c>
    </row>
    <row r="3" spans="1:12" ht="13.15">
      <c r="A3" t="s">
        <v>68</v>
      </c>
      <c r="B3" t="s">
        <v>3</v>
      </c>
      <c r="C3" t="s">
        <v>4</v>
      </c>
      <c r="D3" t="s">
        <v>69</v>
      </c>
      <c r="E3" s="2" t="s">
        <v>70</v>
      </c>
    </row>
    <row r="4" spans="1:12" ht="14.45">
      <c r="A4" s="38" t="s">
        <v>67</v>
      </c>
      <c r="B4" t="s">
        <v>71</v>
      </c>
      <c r="C4" s="36" t="s">
        <v>72</v>
      </c>
      <c r="D4" s="35" t="s">
        <v>73</v>
      </c>
      <c r="E4" t="s">
        <v>74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0C0EB2B2-C534-4C99-9E70-B3A192A90754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