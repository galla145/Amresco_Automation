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50" documentId="13_ncr:1_{6B3F3ADF-7CCC-4D58-8E92-06771130BE9C}" xr6:coauthVersionLast="47" xr6:coauthVersionMax="47" xr10:uidLastSave="{BBC4742B-8C05-48C1-8A29-B494A9C83C0A}"/>
  <bookViews>
    <workbookView xWindow="43080" yWindow="-120" windowWidth="29040" windowHeight="15720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F5" i="34"/>
  <c r="G4" i="34"/>
  <c r="E4" i="4"/>
  <c r="E4" i="72"/>
  <c r="F4" i="72" s="1"/>
  <c r="E5" i="72"/>
  <c r="F5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4" i="34" l="1"/>
  <c r="D4" i="34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18" l="1"/>
  <c r="H4" i="34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<sst xmlns="http://schemas.openxmlformats.org/spreadsheetml/2006/main" count="257" uniqueCount="68">
  <si>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</si>
  <si>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</si>
  <si>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</si>
  <si>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</si>
  <si>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</si>
  <si>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</si>
  <si>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</si>
  <si>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</si>
  <si>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</si>
  <si>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</si>
  <si>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</si>
  <si>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</si>
  <si>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</si>
  <si>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</si>
  <si>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</si>
  <si>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</si>
  <si>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</si>
  <si>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</si>
  <si>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</si>
  <si>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</si>
  <si>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</si>
  <si>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</si>
  <si>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</si>
  <si>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</si>
  <si>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</si>
  <si>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 xml:space="preserve">1. Inverter 2 tripped offline on 02/03 at 16:00 &amp; back online on 02/06 at 14:25. </t>
  </si>
  <si>
    <t>1. SR080701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</si>
  <si>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</si>
  <si>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</si>
  <si>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</si>
  <si>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</si>
  <si>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</si>
  <si>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</si>
  <si>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Site was offline due to utility outage from 05:15 to 10:15 AM on 05/28 but inverter 5 and 3 were not back online when site came back online. Inverter 5 was back online at 14:45 on 05/28 and inverter 3 was back online on next day</t>
  </si>
  <si>
    <t xml:space="preserve">1. SR085207	</t>
  </si>
  <si>
    <t>1. Site was offline on 05/28 due to utility outage and later came back online on 05/29.
2. Inverter 2 tripped offline at 16:45 on 05/22 and back online at 11:45 on 05/23</t>
  </si>
  <si>
    <t>1. SR085206
2. SR085049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</si>
  <si>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</si>
  <si>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</si>
  <si>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</si>
  <si>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</si>
  <si>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</si>
  <si>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</si>
  <si>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</si>
  <si>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</si>
  <si>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</si>
  <si>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</si>
  <si>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1. Inverter 1 is performing low compared to peers due to several optimizers underperformance.</t>
  </si>
  <si>
    <t>1.SR092525</t>
  </si>
  <si>
    <t>November Actual v. Expected</t>
  </si>
  <si>
    <t>November Actual v. Forecasted</t>
  </si>
  <si>
    <t xml:space="preserve">1. Site tripped offline at 06:15 AM to 13:30 on 11/10 
2. Site tripped offline  at 06:45AM to 09:15AM on 11/28 </t>
  </si>
  <si>
    <t>1.SR093121
2.	SR093700</t>
  </si>
  <si>
    <t>1. Site tripped offline at 06:00 AM on 11/10 and back online at 07:00 on 11/11
2. Site tripped offline  at 06:45AM  on 11/28 and back online on 11/29</t>
  </si>
  <si>
    <t>1. SR093120
2. SR093701</t>
  </si>
  <si>
    <t>December Actual v. Expected</t>
  </si>
  <si>
    <t>December Actual v. Forecasted</t>
  </si>
  <si>
    <t>Portfolio:</t>
  </si>
  <si>
    <t>Yankee Sprinkler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</si>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</sst>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C4" sqref="C4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Yankee Sprinkler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SUM(C4:C77)</f>
        <v>197896.68900976024</v>
      </c>
      <c r="D2" s="5">
        <f>SUM(D4:D77)</f>
        <v>0</v>
      </c>
      <c r="E2" s="5">
        <f>C2-D2</f>
        <v>197896.68900976024</v>
      </c>
      <c r="F2" s="6">
        <f>IFERROR(E2/D2, 0)</f>
        <v>0</v>
      </c>
      <c r="G2" s="5">
        <f>SUM(G4:G77)</f>
        <v>216591.34800000003</v>
      </c>
      <c r="H2" s="7">
        <f>C2-G2</f>
        <v>-18694.658990239783</v>
      </c>
      <c r="I2" s="6">
        <f>IFERROR(H2/G2, 0)</f>
        <v>-8.6313046032844218E-2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Yankee Phase 1</v>
      </c>
      <c r="B4" s="30" t="str" cm="1">
        <f t="array" ref="B4:B5">Sites[State]</f>
        <v>MA</v>
      </c>
      <c r="C4" s="23">
        <f>SUM('1st Qtr'!C4, '2nd Qtr'!C4, '3rd Qtr'!C4, '4th Qtr'!C4)</f>
        <v>183997.88900976026</v>
      </c>
      <c r="D4" s="12">
        <f>SUM('1st Qtr'!D4, '2nd Qtr'!D4, '3rd Qtr'!D4, '4th Qtr'!D4)</f>
        <v>0</v>
      </c>
      <c r="E4" s="12">
        <f>IF(AND(ISNUMBER(C4),ISNUMBER(D4)), C4-D4, "")</f>
        <v>183997.88900976026</v>
      </c>
      <c r="F4" s="13" t="str">
        <f>IFERROR(E4/D4, "")</f>
        <v/>
      </c>
      <c r="G4" s="14">
        <f>SUM('1st Qtr'!G4, '2nd Qtr'!G4, '3rd Qtr'!G4, '4th Qtr'!G4)</f>
        <v>216591.34800000003</v>
      </c>
      <c r="H4" s="14">
        <f>SUM('1st Qtr'!H4, '2nd Qtr'!H4, '3rd Qtr'!H4, '4th Qtr'!H4)</f>
        <v>-32593.458990239727</v>
      </c>
      <c r="I4" s="15">
        <f>IFERROR(H4/G4, "")</f>
        <v>-0.15048366101050226</v>
      </c>
    </row>
    <row r="5" spans="1:9" ht="15.75">
      <c r="A5" s="28" t="str">
        <v>Yankee Phase 2</v>
      </c>
      <c r="B5" s="28" t="str">
        <v>MA</v>
      </c>
      <c r="C5" s="11">
        <f>SUM(Jan!C5, Feb!C5, Mar!C5)</f>
        <v>13898.8</v>
      </c>
      <c r="D5" s="17">
        <f>SUM(Jan!D5, Feb!D5, Mar!D5)</f>
        <v>0</v>
      </c>
      <c r="E5" s="17">
        <f t="shared" ref="E5" si="0">IF(AND(ISNUMBER(C5),ISNUMBER(D5)), C5-D5, "")</f>
        <v>13898.8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13898.8</v>
      </c>
      <c r="I5" s="18" t="str">
        <f>IFERROR(H5/G5, "")</f>
        <v/>
      </c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Yankee Sprinkler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SUM(C4:C77)</f>
        <v>41603.64</v>
      </c>
      <c r="D2" s="5">
        <f>SUM(D4:D77)</f>
        <v>0</v>
      </c>
      <c r="E2" s="5">
        <f>C2-D2</f>
        <v>41603.64</v>
      </c>
      <c r="F2" s="6">
        <f>IFERROR(E2/D2, 0)</f>
        <v>0</v>
      </c>
      <c r="G2" s="5">
        <f>SUM(G4:G77)</f>
        <v>40231.33</v>
      </c>
      <c r="H2" s="7">
        <f>C2-G2</f>
        <v>1372.3099999999977</v>
      </c>
      <c r="I2" s="6">
        <f>IFERROR(H2/G2, 0)</f>
        <v>3.4110480563282336E-2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SUM(Jan!C4, Feb!C4, Mar!C4)</f>
        <v>27704.84</v>
      </c>
      <c r="D4" s="12">
        <f>SUM(Jan!D4, Feb!D4, Mar!D4)</f>
        <v>0</v>
      </c>
      <c r="E4" s="12">
        <f>IF(AND(ISNUMBER(C4),ISNUMBER(D4)), C4-D4, "")</f>
        <v>27704.84</v>
      </c>
      <c r="F4" s="13" t="str">
        <f>IFERROR(E4/D4, "")</f>
        <v/>
      </c>
      <c r="G4" s="14">
        <f>SUM(Jan!G4, Feb!G4, Mar!G4)</f>
        <v>40231.33</v>
      </c>
      <c r="H4" s="14">
        <f>SUM(Jan!H4, Feb!H4, Mar!H4)</f>
        <v>-12526.49</v>
      </c>
      <c r="I4" s="15">
        <f>IFERROR(H4/G4, "")</f>
        <v>-0.31136156821064576</v>
      </c>
    </row>
    <row r="5" spans="1:9" ht="15.75">
      <c r="A5" s="16" t="str">
        <v>Yankee Phase 2</v>
      </c>
      <c r="B5" s="10" t="str">
        <v>MA</v>
      </c>
      <c r="C5" s="11">
        <f>SUM(Jan!C5, Feb!C5, Mar!C5)</f>
        <v>13898.8</v>
      </c>
      <c r="D5" s="17">
        <f>SUM(Jan!D5, Feb!D5, Mar!D5)</f>
        <v>0</v>
      </c>
      <c r="E5" s="17">
        <f t="shared" ref="E5" si="0">IF(AND(ISNUMBER(C5),ISNUMBER(D5)), C5-D5, "")</f>
        <v>13898.8</v>
      </c>
      <c r="F5" s="18" t="str">
        <f>IFERROR(E5/D5, "")</f>
        <v/>
      </c>
      <c r="G5" s="19">
        <f>SUM(Jan!G5, Feb!G5, Mar!G5)</f>
        <v>0</v>
      </c>
      <c r="H5" s="19">
        <f>SUM(Jan!H5, Feb!H5, Mar!H5)</f>
        <v>13898.8</v>
      </c>
      <c r="I5" s="18" t="str">
        <f>IFERROR(H5/G5, "")</f>
        <v/>
      </c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G4" activePane="bottomRight" state="frozen"/>
      <selection pane="bottomRight" activeCell="G11" sqref="G11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Yankee Sprinkler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SUM(C4:C77)</f>
        <v>102361.96399999999</v>
      </c>
      <c r="D2" s="5">
        <f>SUM(D4:D77)</f>
        <v>0</v>
      </c>
      <c r="E2" s="5">
        <f>C2-D2</f>
        <v>102361.96399999999</v>
      </c>
      <c r="F2" s="6">
        <f>IFERROR(E2/D2, 0)</f>
        <v>0</v>
      </c>
      <c r="G2" s="5">
        <f>SUM(G4:G77)</f>
        <v>74436.05</v>
      </c>
      <c r="H2" s="7">
        <f>C2-G2</f>
        <v>27925.91399999999</v>
      </c>
      <c r="I2" s="6">
        <f>IFERROR(H2/G2, 0)</f>
        <v>0.3751665221354436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SUM(Apr!C4, May!C4, Jun!C4)</f>
        <v>68696.41399999999</v>
      </c>
      <c r="D4" s="12">
        <f>SUM(Apr!D4, May!D4, Jun!D4)</f>
        <v>0</v>
      </c>
      <c r="E4" s="12">
        <f>IF(AND(ISNUMBER(C4),ISNUMBER(D4)), C4-D4, "")</f>
        <v>68696.41399999999</v>
      </c>
      <c r="F4" s="13" t="str">
        <f>IFERROR(E4/D4, "")</f>
        <v/>
      </c>
      <c r="G4" s="14">
        <f>SUM(Apr!G4,May!G4,Jun!G4)</f>
        <v>74436.05</v>
      </c>
      <c r="H4" s="14">
        <f>SUM(Apr!H4, May!H4, Jun!H4)</f>
        <v>-5739.6360000000059</v>
      </c>
      <c r="I4" s="15">
        <f>IFERROR(H4/G4, "")</f>
        <v>-7.710828288174891E-2</v>
      </c>
    </row>
    <row r="5" spans="1:9" ht="15.75">
      <c r="A5" s="16" t="str">
        <v>Yankee Phase 2</v>
      </c>
      <c r="B5" s="10" t="str">
        <v>MA</v>
      </c>
      <c r="C5" s="11">
        <f>SUM(Apr!C5, May!C5, Jun!C5)</f>
        <v>33665.550000000003</v>
      </c>
      <c r="D5" s="17">
        <f>SUM(Apr!D5, May!D5, Jun!D5)</f>
        <v>0</v>
      </c>
      <c r="E5" s="17">
        <f t="shared" ref="E5" si="0">IF(AND(ISNUMBER(C5),ISNUMBER(D5)), C5-D5, "")</f>
        <v>33665.550000000003</v>
      </c>
      <c r="F5" s="18" t="str">
        <f>IFERROR(E5/D5, "")</f>
        <v/>
      </c>
      <c r="G5" s="20">
        <f>SUM(Apr!G5,May!G5,Jun!G5)</f>
        <v>0</v>
      </c>
      <c r="H5" s="19">
        <f>SUM(Apr!H5, May!H5, Jun!H5)</f>
        <v>33665.550000000003</v>
      </c>
      <c r="I5" s="18" t="str">
        <f>IFERROR(H5/G5, "")</f>
        <v/>
      </c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5">
    <cfRule type="cellIs" dxfId="34" priority="1" stopIfTrue="1" operator="lessThanOrEqual">
      <formula>-0.1</formula>
    </cfRule>
    <cfRule type="expression" dxfId="33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4" sqref="C4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Yankee Sprinkler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SUM(C4:C77)</f>
        <v>91821.281383463516</v>
      </c>
      <c r="D2" s="5">
        <f>SUM(D4:D77)</f>
        <v>0</v>
      </c>
      <c r="E2" s="5">
        <f>C2-D2</f>
        <v>91821.281383463516</v>
      </c>
      <c r="F2" s="6">
        <f>IFERROR(E2/D2, 0)</f>
        <v>0</v>
      </c>
      <c r="G2" s="5">
        <f>SUM(G4:G77)</f>
        <v>71165.920000000013</v>
      </c>
      <c r="H2" s="7">
        <f>C2-G2</f>
        <v>20655.361383463503</v>
      </c>
      <c r="I2" s="6">
        <f>IFERROR(H2/G2, 0)</f>
        <v>0.29024231519052235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SUM(Jul!C4, Aug!C4, Sep!C4)</f>
        <v>61384.895152994701</v>
      </c>
      <c r="D4" s="12">
        <f>SUM(Jul!D4, Aug!D4, Sep!D4)</f>
        <v>0</v>
      </c>
      <c r="E4" s="12">
        <f>IF(AND(ISNUMBER(C4),ISNUMBER(D4)), C4-D4, "")</f>
        <v>61384.895152994701</v>
      </c>
      <c r="F4" s="13" t="str">
        <f>IFERROR(E4/D4, "")</f>
        <v/>
      </c>
      <c r="G4" s="14">
        <f>SUM(Jul!G4,Aug!G4,Sep!G4)</f>
        <v>71165.920000000013</v>
      </c>
      <c r="H4" s="14">
        <f>SUM(Jul!H4, Aug!H4, Sep!H4)</f>
        <v>-9781.0248470053011</v>
      </c>
      <c r="I4" s="15">
        <f>IFERROR(H4/G4, "")</f>
        <v>-0.13743973023893036</v>
      </c>
    </row>
    <row r="5" spans="1:9" ht="15.75">
      <c r="A5" s="16" t="str">
        <v>Yankee Phase 2</v>
      </c>
      <c r="B5" s="10" t="str">
        <v>MA</v>
      </c>
      <c r="C5" s="11">
        <f>SUM(Jul!C5, Aug!C5, Sep!C5)</f>
        <v>30436.386230468815</v>
      </c>
      <c r="D5" s="17">
        <f>SUM(Jul!D5, Aug!D5, Sep!D5)</f>
        <v>0</v>
      </c>
      <c r="E5" s="17">
        <f t="shared" ref="E5" si="0">IF(AND(ISNUMBER(C5),ISNUMBER(D5)), C5-D5, "")</f>
        <v>30436.386230468815</v>
      </c>
      <c r="F5" s="18" t="str">
        <f>IFERROR(E5/D5, "")</f>
        <v/>
      </c>
      <c r="G5" s="17">
        <f>SUM(Jul!G5,Aug!G5,Sep!G5)</f>
        <v>0</v>
      </c>
      <c r="H5" s="19">
        <f>SUM(Jul!H5, Aug!H5, Sep!H5)</f>
        <v>30436.386230468815</v>
      </c>
      <c r="I5" s="18" t="str">
        <f>IFERROR(H5/G5, "")</f>
        <v/>
      </c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G12" sqref="G12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Yankee Sprinkler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SUM(C4:C77)</f>
        <v>40355.934864206989</v>
      </c>
      <c r="D2" s="5">
        <f>SUM(D4:D77)</f>
        <v>0</v>
      </c>
      <c r="E2" s="5">
        <f>C2-D2</f>
        <v>40355.934864206989</v>
      </c>
      <c r="F2" s="6">
        <f>IFERROR(E2/D2, 0)</f>
        <v>0</v>
      </c>
      <c r="G2" s="5">
        <f>SUM(G4:G77)</f>
        <v>30758.047999999999</v>
      </c>
      <c r="H2" s="7">
        <f>C2-G2</f>
        <v>9597.8868642069901</v>
      </c>
      <c r="I2" s="6">
        <f>IFERROR(H2/G2, 0)</f>
        <v>0.31204473262435217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SUM(Oct!C4, Nov!C4, Dec!C4)</f>
        <v>26211.73985676558</v>
      </c>
      <c r="D4" s="12">
        <f>SUM(Oct!D4, Nov!D4, Dec!D4)</f>
        <v>0</v>
      </c>
      <c r="E4" s="12">
        <f>IF(AND(ISNUMBER(C4),ISNUMBER(D4)), C4-D4, "")</f>
        <v>26211.73985676558</v>
      </c>
      <c r="F4" s="13" t="str">
        <f>IFERROR(E4/D4, "")</f>
        <v/>
      </c>
      <c r="G4" s="14">
        <f>SUM(Oct!G4,Nov!G4,Dec!G4)</f>
        <v>30758.047999999999</v>
      </c>
      <c r="H4" s="14">
        <f>SUM(Oct!H4, Nov!H4, Dec!H4)</f>
        <v>-4546.3081432344206</v>
      </c>
      <c r="I4" s="15">
        <f>IFERROR(H4/G4, "")</f>
        <v>-0.14780873426149868</v>
      </c>
    </row>
    <row r="5" spans="1:9" ht="15.75">
      <c r="A5" s="16" t="str">
        <v>Yankee Phase 2</v>
      </c>
      <c r="B5" s="10" t="str">
        <v>MA</v>
      </c>
      <c r="C5" s="11">
        <f>SUM(Oct!C5, Nov!C5, Dec!C5)</f>
        <v>14144.195007441409</v>
      </c>
      <c r="D5" s="17">
        <f>SUM(Oct!D5, Nov!D5, Dec!D5)</f>
        <v>0</v>
      </c>
      <c r="E5" s="17">
        <f t="shared" ref="E5" si="0">IF(AND(ISNUMBER(C5),ISNUMBER(D5)), C5-D5, "")</f>
        <v>14144.195007441409</v>
      </c>
      <c r="F5" s="18" t="str">
        <f>IFERROR(E5/D5, "")</f>
        <v/>
      </c>
      <c r="G5" s="17">
        <f>SUM(Oct!G5,Nov!G5,Dec!G5)</f>
        <v>0</v>
      </c>
      <c r="H5" s="19">
        <f>SUM(Oct!H5, Nov!H5, Dec!H5)</f>
        <v>14144.195007441409</v>
      </c>
      <c r="I5" s="18" t="str">
        <f>IFERROR(H5/G5, "")</f>
        <v/>
      </c>
    </row>
    <row r="6" spans="1:9" ht="14.25">
      <c r="A6" s="20"/>
      <c r="B6" s="10"/>
      <c r="C6" s="42"/>
      <c r="D6" s="17"/>
      <c r="E6" s="17"/>
      <c r="F6" s="18"/>
      <c r="G6" s="19"/>
      <c r="H6" s="19"/>
      <c r="I6" s="18"/>
    </row>
    <row r="7" spans="1:9" ht="14.25">
      <c r="A7" s="20"/>
      <c r="B7" s="10"/>
      <c r="C7" s="42"/>
      <c r="D7" s="17"/>
      <c r="E7" s="17"/>
      <c r="F7" s="18"/>
      <c r="G7" s="19"/>
      <c r="H7" s="19"/>
      <c r="I7" s="18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I4" sqref="I4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SUM(C4:C76)</f>
        <v>5686.9</v>
      </c>
      <c r="D2" s="5">
        <f>SUM(D4:D76)</f>
        <v>0</v>
      </c>
      <c r="E2" s="5">
        <f>C2-D2</f>
        <v>5686.9</v>
      </c>
      <c r="F2" s="6">
        <f>IFERROR(E2/D2, 0)</f>
        <v>0</v>
      </c>
      <c r="G2" s="5">
        <f>SUM(G4:G76)</f>
        <v>9297.5300000000007</v>
      </c>
      <c r="H2" s="7">
        <f>C2-G2</f>
        <v>-3610.630000000001</v>
      </c>
      <c r="I2" s="6">
        <f>IFERROR(H2/G2, 0)</f>
        <v>-0.38834292548666161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3764</v>
      </c>
      <c r="D4" s="12">
        <v>0</v>
      </c>
      <c r="E4" s="12">
        <f>IF(AND(ISNUMBER(C4),ISNUMBER(D4)), C4-D4, "")</f>
        <v>3764</v>
      </c>
      <c r="F4" s="12" t="str">
        <f>IFERROR(E4/D4, "")</f>
        <v/>
      </c>
      <c r="G4" s="14">
        <v>9297.5300000000007</v>
      </c>
      <c r="H4" s="14">
        <f>IF(AND(ISNUMBER(C4),ISNUMBER(G4)), C4-G4, "")</f>
        <v>-5533.5300000000007</v>
      </c>
      <c r="I4" s="15">
        <f>IFERROR(H4/G4, "")</f>
        <v>-0.59516129552687658</v>
      </c>
      <c r="J4" s="39" t="s">
        <v>22</v>
      </c>
      <c r="K4" s="39" t="s">
        <v>22</v>
      </c>
    </row>
    <row r="5" spans="1:11" ht="15.75">
      <c r="A5" s="28" t="str">
        <v>Yankee Phase 2</v>
      </c>
      <c r="B5" s="29" t="str">
        <v>MA</v>
      </c>
      <c r="C5" s="11">
        <v>1922.9</v>
      </c>
      <c r="D5" s="17">
        <v>0</v>
      </c>
      <c r="E5" s="17">
        <f t="shared" ref="E5" si="0">IF(AND(ISNUMBER(C5),ISNUMBER(D5)), C5-D5, "")</f>
        <v>1922.9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1922.9</v>
      </c>
      <c r="I5" s="18" t="str">
        <f t="shared" ref="I5" si="3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L9" sqref="L9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23</v>
      </c>
      <c r="E1" s="49"/>
      <c r="F1" s="49"/>
      <c r="G1" s="47" t="s">
        <v>24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12645.24</v>
      </c>
      <c r="D2" s="5">
        <f>SUM(D4:D77)</f>
        <v>0</v>
      </c>
      <c r="E2" s="5">
        <f>C2-D2</f>
        <v>12645.24</v>
      </c>
      <c r="F2" s="6">
        <f>IFERROR(E2/D2, 0)</f>
        <v>0</v>
      </c>
      <c r="G2" s="5">
        <f>SUM(G4:G77)</f>
        <v>12570</v>
      </c>
      <c r="H2" s="7">
        <f>C2-G2</f>
        <v>75.239999999999782</v>
      </c>
      <c r="I2" s="6">
        <f>IFERROR(H2/G2, 0)</f>
        <v>5.9856801909307705E-3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8538.14</v>
      </c>
      <c r="D4" s="12">
        <v>0</v>
      </c>
      <c r="E4" s="12">
        <f>IF(AND(ISNUMBER(C4),ISNUMBER(D4)), C4-D4, "")</f>
        <v>8538.14</v>
      </c>
      <c r="F4" s="12" t="str">
        <f>IFERROR(E4/D4, "")</f>
        <v/>
      </c>
      <c r="G4" s="14">
        <v>12570</v>
      </c>
      <c r="H4" s="14">
        <f>IF(AND(ISNUMBER(C4),ISNUMBER(G4)), C4-G4, "")</f>
        <v>-4031.8600000000006</v>
      </c>
      <c r="I4" s="15">
        <f>IFERROR(H4/G4, "")</f>
        <v>-0.32075258552108199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4107.1000000000004</v>
      </c>
      <c r="D5" s="17">
        <v>0</v>
      </c>
      <c r="E5" s="17">
        <f t="shared" ref="E5" si="0">IF(AND(ISNUMBER(C5),ISNUMBER(D5)), C5-D5, "")</f>
        <v>4107.1000000000004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4107.1000000000004</v>
      </c>
      <c r="I5" s="18" t="str">
        <f t="shared" ref="I5" si="3">IFERROR(H5/G5, "")</f>
        <v/>
      </c>
      <c r="J5" s="40" t="s">
        <v>25</v>
      </c>
      <c r="K5" s="40" t="s">
        <v>26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J5" sqref="J5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27</v>
      </c>
      <c r="E1" s="49"/>
      <c r="F1" s="49"/>
      <c r="G1" s="47" t="s">
        <v>28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23271.5</v>
      </c>
      <c r="D2" s="5">
        <f>SUM(D4:D77)</f>
        <v>0</v>
      </c>
      <c r="E2" s="5">
        <f>C2-D2</f>
        <v>23271.5</v>
      </c>
      <c r="F2" s="6">
        <f>IFERROR(E2/D2, 0)</f>
        <v>0</v>
      </c>
      <c r="G2" s="5">
        <f>SUM(G4:G77)</f>
        <v>18363.8</v>
      </c>
      <c r="H2" s="7">
        <f>C2-G2</f>
        <v>4907.7000000000007</v>
      </c>
      <c r="I2" s="6">
        <f>IFERROR(H2/G2, 0)</f>
        <v>0.26724860867576433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15402.7</v>
      </c>
      <c r="D4" s="12">
        <v>0</v>
      </c>
      <c r="E4" s="12">
        <f t="shared" ref="E4:E5" si="0">IF(AND(ISNUMBER(C4),ISNUMBER(D4)), C4-D4, "")</f>
        <v>15402.7</v>
      </c>
      <c r="F4" s="12" t="str">
        <f>IFERROR(E4/D4, "")</f>
        <v/>
      </c>
      <c r="G4" s="14">
        <v>18363.8</v>
      </c>
      <c r="H4" s="14">
        <f>IF(AND(ISNUMBER(C4),ISNUMBER(G4)), C4-G4, "")</f>
        <v>-2961.0999999999985</v>
      </c>
      <c r="I4" s="15">
        <f>IFERROR(H4/G4, "")</f>
        <v>-0.16124658295124095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7868.8</v>
      </c>
      <c r="D5" s="17">
        <v>0</v>
      </c>
      <c r="E5" s="17">
        <f t="shared" si="0"/>
        <v>7868.8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7868.8</v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I4:I77">
    <cfRule type="cellIs" dxfId="22" priority="1" stopIfTrue="1" operator="lessThanOrEqual">
      <formula>-0.1</formula>
    </cfRule>
    <cfRule type="expression" dxfId="21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J17" sqref="J17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29</v>
      </c>
      <c r="E1" s="49"/>
      <c r="F1" s="49"/>
      <c r="G1" s="47" t="s">
        <v>30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30220.784</v>
      </c>
      <c r="D2" s="5">
        <f>SUM(D4:D77)</f>
        <v>0</v>
      </c>
      <c r="E2" s="5">
        <f>C2-D2</f>
        <v>30220.784</v>
      </c>
      <c r="F2" s="6">
        <f>IFERROR(E2/D2, 0)</f>
        <v>0</v>
      </c>
      <c r="G2" s="5">
        <f>SUM(G4:G77)</f>
        <v>21548.33</v>
      </c>
      <c r="H2" s="7">
        <f>C2-G2</f>
        <v>8672.4539999999979</v>
      </c>
      <c r="I2" s="6">
        <f>IFERROR(H2/G2, 0)</f>
        <v>0.40246524904714182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20103.083999999999</v>
      </c>
      <c r="D4" s="12">
        <v>0</v>
      </c>
      <c r="E4" s="12">
        <f>IF(AND(ISNUMBER(C4),ISNUMBER(D4)), C4-D4, "")</f>
        <v>20103.083999999999</v>
      </c>
      <c r="F4" s="13" t="str">
        <f>IFERROR(E4/D4, "")</f>
        <v/>
      </c>
      <c r="G4" s="14">
        <v>21548.33</v>
      </c>
      <c r="H4" s="14">
        <f>IF(AND(ISNUMBER(C4),ISNUMBER(G4)), C4-G4, "")</f>
        <v>-1445.2460000000028</v>
      </c>
      <c r="I4" s="15">
        <f>IFERROR(H4/G4, "")</f>
        <v>-6.7069977116556254E-2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10117.700000000001</v>
      </c>
      <c r="D5" s="17">
        <v>0</v>
      </c>
      <c r="E5" s="17">
        <f t="shared" ref="E5" si="0">IF(AND(ISNUMBER(C5),ISNUMBER(D5)), C5-D5, "")</f>
        <v>10117.700000000001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10117.700000000001</v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E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33683.699999999997</v>
      </c>
      <c r="D2" s="5">
        <f>SUM(D4:D77)</f>
        <v>0</v>
      </c>
      <c r="E2" s="5">
        <f>C2-D2</f>
        <v>33683.699999999997</v>
      </c>
      <c r="F2" s="6">
        <f>IFERROR(E2/D2, 0)</f>
        <v>0</v>
      </c>
      <c r="G2" s="5">
        <f>SUM(G4:G77)</f>
        <v>26153.75</v>
      </c>
      <c r="H2" s="7">
        <f>C2-G2</f>
        <v>7529.9499999999971</v>
      </c>
      <c r="I2" s="6">
        <f>IFERROR(H2/G2, 0)</f>
        <v>0.28791091143717429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2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22663.119999999999</v>
      </c>
      <c r="D4" s="12">
        <v>0</v>
      </c>
      <c r="E4" s="12">
        <f>IF(AND(ISNUMBER(C4),ISNUMBER(D4)), C4-D4, "")</f>
        <v>22663.119999999999</v>
      </c>
      <c r="F4" s="13" t="str">
        <f>IFERROR(E4/D4, "")</f>
        <v/>
      </c>
      <c r="G4" s="14">
        <v>26153.75</v>
      </c>
      <c r="H4" s="14">
        <f>IF(AND(ISNUMBER(C4),ISNUMBER(G4)), C4-G4, "")</f>
        <v>-3490.630000000001</v>
      </c>
      <c r="I4" s="15">
        <f>IFERROR(H4/G4, "")</f>
        <v>-0.13346575538880662</v>
      </c>
      <c r="J4" s="39" t="s">
        <v>33</v>
      </c>
      <c r="K4" s="39" t="s">
        <v>34</v>
      </c>
    </row>
    <row r="5" spans="1:11" ht="28.5">
      <c r="A5" s="28" t="str">
        <v>Yankee Phase 2</v>
      </c>
      <c r="B5" s="29" t="str">
        <v>MA</v>
      </c>
      <c r="C5" s="11">
        <v>11020.58</v>
      </c>
      <c r="D5" s="17">
        <v>0</v>
      </c>
      <c r="E5" s="17">
        <f t="shared" ref="E5" si="0">IF(AND(ISNUMBER(C5),ISNUMBER(D5)), C5-D5, "")</f>
        <v>11020.58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11020.58</v>
      </c>
      <c r="I5" s="18" t="str">
        <f t="shared" ref="I5" si="2">IFERROR(H5/G5, "")</f>
        <v/>
      </c>
      <c r="J5" s="45" t="s">
        <v>35</v>
      </c>
      <c r="K5" s="45" t="s">
        <v>36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38457.479999999996</v>
      </c>
      <c r="D2" s="5">
        <f>SUM(D4:D77)</f>
        <v>0</v>
      </c>
      <c r="E2" s="5">
        <f>C2-D2</f>
        <v>38457.479999999996</v>
      </c>
      <c r="F2" s="6">
        <f>IFERROR(E2/D2, 0)</f>
        <v>0</v>
      </c>
      <c r="G2" s="5">
        <f>SUM(G4:G77)</f>
        <v>26733.97</v>
      </c>
      <c r="H2" s="7">
        <f>C2-G2</f>
        <v>11723.509999999995</v>
      </c>
      <c r="I2" s="6">
        <f>IFERROR(H2/G2, 0)</f>
        <v>0.43852484311159151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25930.21</v>
      </c>
      <c r="D4" s="12">
        <v>0</v>
      </c>
      <c r="E4" s="12">
        <f>IF(AND(ISNUMBER(C4),ISNUMBER(D4)), C4-D4, "")</f>
        <v>25930.21</v>
      </c>
      <c r="F4" s="13" t="str">
        <f>IFERROR(E4/D4, "")</f>
        <v/>
      </c>
      <c r="G4" s="14">
        <v>26733.97</v>
      </c>
      <c r="H4" s="14">
        <f>IF(AND(ISNUMBER(C4),ISNUMBER(G4)), C4-G4, "")</f>
        <v>-803.76000000000204</v>
      </c>
      <c r="I4" s="15">
        <f>IFERROR(H4/G4, "")</f>
        <v>-3.0065119396782521E-2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12527.27</v>
      </c>
      <c r="D5" s="17">
        <v>0</v>
      </c>
      <c r="E5" s="17">
        <f t="shared" ref="E5" si="0">IF(AND(ISNUMBER(C5),ISNUMBER(D5)), C5-D5, "")</f>
        <v>12527.27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12527.27</v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D13" sqref="D13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39</v>
      </c>
      <c r="E1" s="49"/>
      <c r="F1" s="49"/>
      <c r="G1" s="47" t="s">
        <v>40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34774.716186523496</v>
      </c>
      <c r="D2" s="5">
        <f>SUM(D4:D77)</f>
        <v>0</v>
      </c>
      <c r="E2" s="5">
        <f>C2-D2</f>
        <v>34774.716186523496</v>
      </c>
      <c r="F2" s="6">
        <f>IFERROR(E2/D2, 0)</f>
        <v>0</v>
      </c>
      <c r="G2" s="5">
        <f>SUM(G4:G77)</f>
        <v>27442.12</v>
      </c>
      <c r="H2" s="7">
        <f>C2-G2</f>
        <v>7332.5961865234967</v>
      </c>
      <c r="I2" s="6">
        <f>IFERROR(H2/G2, 0)</f>
        <v>0.26720224918933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23380.829956054698</v>
      </c>
      <c r="D4" s="12">
        <v>0</v>
      </c>
      <c r="E4" s="12">
        <f>IF(AND(ISNUMBER(C4),ISNUMBER(D4)), C4-D4, "")</f>
        <v>23380.829956054698</v>
      </c>
      <c r="F4" s="13" t="str">
        <f>IFERROR(E4/D4, "")</f>
        <v/>
      </c>
      <c r="G4" s="14">
        <v>27442.12</v>
      </c>
      <c r="H4" s="14">
        <f>IF(AND(ISNUMBER(C4),ISNUMBER(G4)), C4-G4, "")</f>
        <v>-4061.2900439453006</v>
      </c>
      <c r="I4" s="15">
        <f>IFERROR(H4/G4, "")</f>
        <v>-0.1479947629390623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11393.886230468799</v>
      </c>
      <c r="D5" s="17">
        <v>0</v>
      </c>
      <c r="E5" s="17">
        <f t="shared" ref="E5" si="0">IF(AND(ISNUMBER(C5),ISNUMBER(D5)), C5-D5, "")</f>
        <v>11393.886230468799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11393.886230468799</v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G10" sqref="G10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32180.410260939301</v>
      </c>
      <c r="D2" s="5">
        <f>SUM(D4:D77)</f>
        <v>0</v>
      </c>
      <c r="E2" s="5">
        <f>C2-D2</f>
        <v>32180.410260939301</v>
      </c>
      <c r="F2" s="6">
        <f>IFERROR(E2/D2, 0)</f>
        <v>0</v>
      </c>
      <c r="G2" s="5">
        <f>SUM(G4:G77)</f>
        <v>24783.15</v>
      </c>
      <c r="H2" s="7">
        <f>C2-G2</f>
        <v>7397.2602609392998</v>
      </c>
      <c r="I2" s="6">
        <f>IFERROR(H2/G2, 0)</f>
        <v>0.2984794209347601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21486.065229201002</v>
      </c>
      <c r="D4" s="12">
        <v>0</v>
      </c>
      <c r="E4" s="12">
        <f>IF(AND(ISNUMBER(C4),ISNUMBER(D4)), C4-D4, "")</f>
        <v>21486.065229201002</v>
      </c>
      <c r="F4" s="13" t="str">
        <f>IFERROR(E4/D4, "")</f>
        <v/>
      </c>
      <c r="G4" s="14">
        <v>24783.15</v>
      </c>
      <c r="H4" s="14">
        <f>IF(AND(ISNUMBER(C4),ISNUMBER(G4)), C4-G4, "")</f>
        <v>-3297.0847707989997</v>
      </c>
      <c r="I4" s="15">
        <f>IFERROR(H4/G4, "")</f>
        <v>-0.13303735686541054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10694.345031738299</v>
      </c>
      <c r="D5" s="17">
        <v>0</v>
      </c>
      <c r="E5" s="17">
        <f t="shared" ref="E5" si="0">IF(AND(ISNUMBER(C5),ISNUMBER(D5)), C5-D5, "")</f>
        <v>10694.345031738299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10694.345031738299</v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D4" activePane="bottomRight" state="frozen"/>
      <selection pane="bottomRight" activeCell="E15" sqref="E15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24866.154936000719</v>
      </c>
      <c r="D2" s="5">
        <f>SUM(D4:D77)</f>
        <v>0</v>
      </c>
      <c r="E2" s="5">
        <f>C2-D2</f>
        <v>24866.154936000719</v>
      </c>
      <c r="F2" s="6">
        <f>IFERROR(E2/D2, 0)</f>
        <v>0</v>
      </c>
      <c r="G2" s="5">
        <f>SUM(G4:G77)</f>
        <v>18940.650000000001</v>
      </c>
      <c r="H2" s="7">
        <f>C2-G2</f>
        <v>5925.5049360007179</v>
      </c>
      <c r="I2" s="6">
        <f>IFERROR(H2/G2, 0)</f>
        <v>0.31284591267990897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16517.999967739001</v>
      </c>
      <c r="D4" s="12">
        <v>0</v>
      </c>
      <c r="E4" s="12">
        <f>IF(AND(ISNUMBER(C4),ISNUMBER(D4)), C4-D4, "")</f>
        <v>16517.999967739001</v>
      </c>
      <c r="F4" s="13" t="str">
        <f>IFERROR(E4/D4, "")</f>
        <v/>
      </c>
      <c r="G4" s="14">
        <v>18940.650000000001</v>
      </c>
      <c r="H4" s="14">
        <f>IF(AND(ISNUMBER(C4),ISNUMBER(G4)), C4-G4, "")</f>
        <v>-2422.6500322610009</v>
      </c>
      <c r="I4" s="15">
        <f>IFERROR(H4/G4, "")</f>
        <v>-0.12790743888203418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8348.1549682617206</v>
      </c>
      <c r="D5" s="17">
        <v>0</v>
      </c>
      <c r="E5" s="17">
        <f t="shared" ref="E5" si="0">IF(AND(ISNUMBER(C5),ISNUMBER(D5)), C5-D5, "")</f>
        <v>8348.1549682617206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8348.1549682617206</v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D4" activePane="bottomRight" state="frozen"/>
      <selection pane="bottomRight" activeCell="J20" sqref="J20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20626.039905599042</v>
      </c>
      <c r="D2" s="5">
        <f>SUM(D4:D77)</f>
        <v>0</v>
      </c>
      <c r="E2" s="5">
        <f>C2-D2</f>
        <v>20626.039905599042</v>
      </c>
      <c r="F2" s="6">
        <f>IFERROR(E2/D2, 0)</f>
        <v>0</v>
      </c>
      <c r="G2" s="5">
        <f>SUM(G4:G77)</f>
        <v>14719.57</v>
      </c>
      <c r="H2" s="7">
        <f>C2-G2</f>
        <v>5906.4699055990422</v>
      </c>
      <c r="I2" s="6">
        <f>IFERROR(H2/G2, 0)</f>
        <v>0.4012664708003727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13662.274890950601</v>
      </c>
      <c r="D4" s="12">
        <v>0</v>
      </c>
      <c r="E4" s="12">
        <f>IF(AND(ISNUMBER(C4),ISNUMBER(D4)), C4-D4, "")</f>
        <v>13662.274890950601</v>
      </c>
      <c r="F4" s="13" t="str">
        <f>IFERROR(E4/D4, "")</f>
        <v/>
      </c>
      <c r="G4" s="14">
        <v>14719.57</v>
      </c>
      <c r="H4" s="14">
        <f>IF(AND(ISNUMBER(C4),ISNUMBER(G4)), C4-G4, "")</f>
        <v>-1057.2951090493989</v>
      </c>
      <c r="I4" s="15">
        <f>IFERROR(H4/G4, "")</f>
        <v>-7.1829211658316031E-2</v>
      </c>
      <c r="J4" s="39"/>
      <c r="K4" s="39"/>
    </row>
    <row r="5" spans="1:11" ht="28.5">
      <c r="A5" s="28" t="str">
        <v>Yankee Phase 2</v>
      </c>
      <c r="B5" s="29" t="str">
        <v>MA</v>
      </c>
      <c r="C5" s="11">
        <v>6963.7650146484402</v>
      </c>
      <c r="D5" s="17">
        <v>0</v>
      </c>
      <c r="E5" s="17">
        <f t="shared" ref="E5" si="0">IF(AND(ISNUMBER(C5),ISNUMBER(D5)), C5-D5, "")</f>
        <v>6963.7650146484402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6963.7650146484402</v>
      </c>
      <c r="I5" s="18" t="str">
        <f t="shared" ref="I5" si="2">IFERROR(H5/G5, "")</f>
        <v/>
      </c>
      <c r="J5" s="40" t="s">
        <v>47</v>
      </c>
      <c r="K5" s="46" t="s">
        <v>48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49</v>
      </c>
      <c r="E1" s="49"/>
      <c r="F1" s="49"/>
      <c r="G1" s="47" t="s">
        <v>50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12043.160106607949</v>
      </c>
      <c r="D2" s="5">
        <f>SUM(D4:D77)</f>
        <v>0</v>
      </c>
      <c r="E2" s="5">
        <f>C2-D2</f>
        <v>12043.160106607949</v>
      </c>
      <c r="F2" s="6">
        <f>IFERROR(E2/D2, 0)</f>
        <v>0</v>
      </c>
      <c r="G2" s="5">
        <f>SUM(G4:G77)</f>
        <v>8622.8880000000008</v>
      </c>
      <c r="H2" s="7">
        <f>C2-G2</f>
        <v>3420.2721066079484</v>
      </c>
      <c r="I2" s="6">
        <f>IFERROR(H2/G2, 0)</f>
        <v>0.39665041533740764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7733.8601188149796</v>
      </c>
      <c r="D4" s="12">
        <v>0</v>
      </c>
      <c r="E4" s="12">
        <f>IF(AND(ISNUMBER(C4),ISNUMBER(D4)), C4-D4, "")</f>
        <v>7733.8601188149796</v>
      </c>
      <c r="F4" s="13" t="str">
        <f>IFERROR(E4/D4, "")</f>
        <v/>
      </c>
      <c r="G4" s="14">
        <v>8622.8880000000008</v>
      </c>
      <c r="H4" s="14">
        <f>IF(AND(ISNUMBER(C4),ISNUMBER(G4)), C4-G4, "")</f>
        <v>-889.02788118502122</v>
      </c>
      <c r="I4" s="15">
        <f>IFERROR(H4/G4, "")</f>
        <v>-0.10310094265227858</v>
      </c>
      <c r="J4" s="39" t="s">
        <v>51</v>
      </c>
      <c r="K4" s="39" t="s">
        <v>52</v>
      </c>
    </row>
    <row r="5" spans="1:11" ht="28.5">
      <c r="A5" s="28" t="str">
        <v>Yankee Phase 2</v>
      </c>
      <c r="B5" s="29" t="str">
        <v>MA</v>
      </c>
      <c r="C5" s="11">
        <v>4309.2999877929697</v>
      </c>
      <c r="D5" s="17">
        <v>0</v>
      </c>
      <c r="E5" s="17">
        <f t="shared" ref="E5" si="0">IF(AND(ISNUMBER(C5),ISNUMBER(D5)), C5-D5, "")</f>
        <v>4309.2999877929697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4309.2999877929697</v>
      </c>
      <c r="I5" s="18" t="str">
        <f t="shared" ref="I5" si="2">IFERROR(H5/G5, "")</f>
        <v/>
      </c>
      <c r="J5" s="40" t="s">
        <v>53</v>
      </c>
      <c r="K5" s="40" t="s">
        <v>54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D9" sqref="D9"/>
      <selection pane="bottomLeft" activeCell="H30" sqref="H30"/>
      <selection pane="topRight" activeCell="H30" sqref="H30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Yankee Sprinkler</v>
      </c>
      <c r="B1" s="48"/>
      <c r="C1" s="48"/>
      <c r="D1" s="49" t="s">
        <v>55</v>
      </c>
      <c r="E1" s="49"/>
      <c r="F1" s="49"/>
      <c r="G1" s="47" t="s">
        <v>56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7686.7348519999996</v>
      </c>
      <c r="D2" s="5">
        <f>SUM(D4:D77)</f>
        <v>0</v>
      </c>
      <c r="E2" s="5">
        <f>C2-D2</f>
        <v>7686.7348519999996</v>
      </c>
      <c r="F2" s="6">
        <f>IFERROR(E2/D2, 0)</f>
        <v>0</v>
      </c>
      <c r="G2" s="5">
        <f>SUM(G4:G77)</f>
        <v>7415.59</v>
      </c>
      <c r="H2" s="7">
        <f>C2-G2</f>
        <v>271.14485199999945</v>
      </c>
      <c r="I2" s="6">
        <f>IFERROR(H2/G2, 0)</f>
        <v>3.6564164415778033E-2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4815.6048469999996</v>
      </c>
      <c r="D4" s="12">
        <v>0</v>
      </c>
      <c r="E4" s="12">
        <f>IF(AND(ISNUMBER(C4),ISNUMBER(D4)), C4-D4, "")</f>
        <v>4815.6048469999996</v>
      </c>
      <c r="F4" s="13" t="str">
        <f>IFERROR(E4/D4, "")</f>
        <v/>
      </c>
      <c r="G4" s="14">
        <v>7415.59</v>
      </c>
      <c r="H4" s="14">
        <f>IF(AND(ISNUMBER(C4),ISNUMBER(G4)), C4-G4, "")</f>
        <v>-2599.9851530000005</v>
      </c>
      <c r="I4" s="15">
        <f>IFERROR(H4/G4, "")</f>
        <v>-0.35061069355236746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2871.130005</v>
      </c>
      <c r="D5" s="17">
        <v>0</v>
      </c>
      <c r="E5" s="17">
        <f t="shared" ref="E5" si="0">IF(AND(ISNUMBER(C5),ISNUMBER(D5)), C5-D5, "")</f>
        <v>2871.130005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2871.130005</v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57</v>
      </c>
      <c r="B1" t="s">
        <v>58</v>
      </c>
    </row>
    <row r="3" spans="1:12">
      <c r="A3" t="s">
        <v>59</v>
      </c>
      <c r="B3" t="s">
        <v>3</v>
      </c>
      <c r="C3" t="s">
        <v>4</v>
      </c>
      <c r="D3" t="s">
        <v>60</v>
      </c>
      <c r="E3" s="2" t="s">
        <v>61</v>
      </c>
    </row>
    <row r="4" spans="1:12" ht="14.25">
      <c r="A4" t="s">
        <v>62</v>
      </c>
      <c r="B4" t="s">
        <v>63</v>
      </c>
      <c r="C4" t="s">
        <v>64</v>
      </c>
      <c r="E4" t="s">
        <v>65</v>
      </c>
      <c r="G4" s="3"/>
    </row>
    <row r="5" spans="1:12" ht="14.25">
      <c r="A5" t="s">
        <v>66</v>
      </c>
      <c r="B5" t="s">
        <v>67</v>
      </c>
      <c r="C5" t="s">
        <v>64</v>
      </c>
      <c r="E5" t="s">
        <v>65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Mogilipalem[AGS]</cp:lastModifiedBy>
  <cp:revision/>
  <dcterms:created xsi:type="dcterms:W3CDTF">2021-01-01T16:39:53Z</dcterms:created>
  <dcterms:modified xsi:type="dcterms:W3CDTF">2025-01-13T10:18:29Z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2024-10-18T20:10:51Z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5f926c70-9755-41c8-9181-8f4fd1711be3</vt:lpwstr>
  </property>
  <property fmtid="{D5CDD505-2E9C-101B-9397-08002B2CF9AE}" pid="9" name="MSIP_Label_9d817c99-0b37-4a07-8277-96aa1f96b74b_ContentBits">
    <vt:lpwstr>0</vt:lpwstr>
  </property>
</Properties>
</file>