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December/"/>
    </mc:Choice>
  </mc:AlternateContent>
  <xr:revisionPtr revIDLastSave="4" documentId="14_{0FE1F855-1140-4782-A528-08CC563E598F}" xr6:coauthVersionLast="47" xr6:coauthVersionMax="47" xr10:uidLastSave="{6207B11F-2CA6-4AE1-9E62-E8F273D656A8}"/>
  <bookViews>
    <workbookView minimized="1" xWindow="-10500" yWindow="11385" windowWidth="2970" windowHeight="585" tabRatio="866" firstSheet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<sst xmlns="http://schemas.openxmlformats.org/spreadsheetml/2006/main" count="244" uniqueCount="57">
  <si>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</si>
  <si>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</si>
  <si>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</si>
  <si>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</si>
  <si>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</si>
  <si>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</si>
  <si>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</si>
  <si>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</si>
  <si>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</si>
  <si>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</si>
  <si>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</si>
  <si>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</si>
  <si>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</si>
  <si>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</si>
  <si>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</si>
  <si>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</si>
  <si>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</si>
  <si>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</si>
  <si>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</si>
  <si>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</si>
  <si>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</si>
  <si>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</si>
  <si>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</si>
  <si>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</si>
  <si>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</si>
  <si>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</si>
  <si>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</si>
  <si>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</si>
  <si>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</si>
  <si>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</si>
  <si>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</si>
  <si>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</si>
  <si>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</si>
  <si>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</si>
  <si>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</si>
  <si>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</si>
  <si>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</si>
  <si>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</si>
  <si>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1.Inverter 12 is offline since 06/22.</t>
  </si>
  <si>
    <t>1.SR087076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</si>
  <si>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</si>
  <si>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</si>
  <si>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</si>
  <si>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</si>
  <si>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</si>
  <si>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</si>
  <si>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</si>
  <si>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</si>
  <si>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 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</si>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</sst>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tabSelected="1" workbookViewId="0">
      <pane ySplit="2" topLeftCell="A3" activePane="bottomLeft" state="frozen"/>
      <selection pane="bottomLeft" activeCell="E13" sqref="A11:E13"/>
      <selection activeCell="A6" sqref="A6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532511.26199999999</v>
      </c>
      <c r="D2" s="6">
        <f>SUM(D4:D60)</f>
        <v>0</v>
      </c>
      <c r="E2" s="6">
        <f>C2-D2</f>
        <v>532511.26199999999</v>
      </c>
      <c r="F2" s="7">
        <f>IFERROR(E2/D2, 0)</f>
        <v>0</v>
      </c>
      <c r="G2" s="6">
        <f>SUM(G4:G60)</f>
        <v>0</v>
      </c>
      <c r="H2" s="8">
        <f>C2-G2</f>
        <v>532511.26199999999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532511.26199999999</v>
      </c>
      <c r="D4" s="14">
        <f>SUM('1st Qtr'!D4, '2nd Qtr'!D4, '3rd Qtr'!D4, '4th Qtr'!D4)</f>
        <v>0</v>
      </c>
      <c r="E4" s="14">
        <f>IF(AND(ISNUMBER(C4),ISNUMBER(D4)), C4-D4, "")</f>
        <v>532511.26199999999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532511.26199999999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4"/>
      <c r="G5" s="23"/>
      <c r="H5" s="23"/>
      <c r="I5" s="24"/>
    </row>
    <row r="6" spans="1:9" ht="12.95">
      <c r="A6" s="23"/>
      <c r="B6" s="23"/>
      <c r="C6" s="23"/>
      <c r="D6" s="23"/>
      <c r="E6" s="23"/>
      <c r="F6" s="24"/>
      <c r="G6" s="23"/>
      <c r="H6" s="23"/>
      <c r="I6" s="24"/>
    </row>
    <row r="7" spans="1:9" ht="12.95">
      <c r="A7" s="23"/>
      <c r="B7" s="23"/>
      <c r="C7" s="23"/>
      <c r="D7" s="23"/>
      <c r="E7" s="23"/>
      <c r="F7" s="24"/>
      <c r="G7" s="23"/>
      <c r="H7" s="23"/>
      <c r="I7" s="24"/>
    </row>
    <row r="8" spans="1:9" ht="12.95">
      <c r="A8" s="23"/>
      <c r="B8" s="23"/>
      <c r="C8" s="23"/>
      <c r="D8" s="23"/>
      <c r="E8" s="23"/>
      <c r="F8" s="24"/>
      <c r="G8" s="23"/>
      <c r="H8" s="23"/>
      <c r="I8" s="24"/>
    </row>
    <row r="9" spans="1:9" ht="12.95">
      <c r="A9" s="23"/>
      <c r="B9" s="23"/>
      <c r="C9" s="23"/>
      <c r="D9" s="23"/>
      <c r="E9" s="23"/>
      <c r="F9" s="24"/>
      <c r="G9" s="23"/>
      <c r="H9" s="23"/>
      <c r="I9" s="24"/>
    </row>
    <row r="10" spans="1:9" ht="12.9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2.9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2.9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2.9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2.9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4"/>
      <c r="G5" s="23"/>
      <c r="H5" s="23"/>
      <c r="I5" s="24"/>
    </row>
    <row r="6" spans="1:9" ht="12.95">
      <c r="A6" s="23"/>
      <c r="B6" s="23"/>
      <c r="C6" s="23"/>
      <c r="D6" s="23"/>
      <c r="E6" s="23"/>
      <c r="F6" s="24"/>
      <c r="G6" s="23"/>
      <c r="H6" s="23"/>
      <c r="I6" s="24"/>
    </row>
    <row r="7" spans="1:9" ht="12.95">
      <c r="A7" s="23"/>
      <c r="B7" s="23"/>
      <c r="C7" s="23"/>
      <c r="D7" s="23"/>
      <c r="E7" s="23"/>
      <c r="F7" s="24"/>
      <c r="G7" s="23"/>
      <c r="H7" s="23"/>
      <c r="I7" s="24"/>
    </row>
    <row r="8" spans="1:9" ht="12.95">
      <c r="A8" s="23"/>
      <c r="B8" s="23"/>
      <c r="C8" s="23"/>
      <c r="D8" s="23"/>
      <c r="E8" s="23"/>
      <c r="F8" s="24"/>
      <c r="G8" s="23"/>
      <c r="H8" s="23"/>
      <c r="I8" s="24"/>
    </row>
    <row r="9" spans="1:9" ht="12.95">
      <c r="A9" s="23"/>
      <c r="B9" s="23"/>
      <c r="C9" s="23"/>
      <c r="D9" s="23"/>
      <c r="E9" s="23"/>
      <c r="F9" s="24"/>
      <c r="G9" s="23"/>
      <c r="H9" s="23"/>
      <c r="I9" s="24"/>
    </row>
    <row r="10" spans="1:9" ht="12.9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2.9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2.9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2.9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2.9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151962.50200000001</v>
      </c>
      <c r="D2" s="6">
        <f>SUM(D4:D89)</f>
        <v>0</v>
      </c>
      <c r="E2" s="6">
        <f>C2-D2</f>
        <v>151962.50200000001</v>
      </c>
      <c r="F2" s="7">
        <f>IFERROR(E2/D2, 0)</f>
        <v>0</v>
      </c>
      <c r="G2" s="6">
        <f>SUM(G4:G89)</f>
        <v>0</v>
      </c>
      <c r="H2" s="8">
        <f>C2-G2</f>
        <v>151962.50200000001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151962.50200000001</v>
      </c>
      <c r="D4" s="14">
        <f>SUM(Jul!D4, Aug!D4, Sep!D4)</f>
        <v>0</v>
      </c>
      <c r="E4" s="14">
        <f>IF(AND(ISNUMBER(C4),ISNUMBER(D4)), C4-D4, "")</f>
        <v>151962.50200000001</v>
      </c>
      <c r="F4" s="15" t="str">
        <f>IFERROR(E4/D4, "")</f>
        <v/>
      </c>
      <c r="G4" s="16">
        <f>SUM(Jul!G4, Aug!G4, Sep!G4)</f>
        <v>0</v>
      </c>
      <c r="H4" s="16">
        <f>SUM(Jul!H4, Aug!H4, Sep!H4)</f>
        <v>151962.50200000001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H13" sqref="H13"/>
      <selection activeCell="J20" sqref="J20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99771.771999999997</v>
      </c>
      <c r="D2" s="6">
        <f>SUM(D4:D89)</f>
        <v>0</v>
      </c>
      <c r="E2" s="6">
        <f>C2-D2</f>
        <v>99771.771999999997</v>
      </c>
      <c r="F2" s="7">
        <f>IFERROR(E2/D2, 0)</f>
        <v>0</v>
      </c>
      <c r="G2" s="6">
        <f>SUM(G4:G89)</f>
        <v>0</v>
      </c>
      <c r="H2" s="8">
        <f>C2-G2</f>
        <v>99771.771999999997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99771.771999999997</v>
      </c>
      <c r="D4" s="14">
        <f>SUM(Oct!D4, Nov!D4, Dec!D4)</f>
        <v>0</v>
      </c>
      <c r="E4" s="14">
        <f>IF(AND(ISNUMBER(C4),ISNUMBER(D4)), C4-D4, "")</f>
        <v>99771.771999999997</v>
      </c>
      <c r="F4" s="15" t="str">
        <f>IFERROR(E4/D4, "")</f>
        <v/>
      </c>
      <c r="G4" s="16">
        <f>SUM(Oct!G4,Nov!G4,Dec!G4)</f>
        <v>0</v>
      </c>
      <c r="H4" s="16">
        <f>SUM(Oct!H4, Nov!H4, Dec!H4)</f>
        <v>99771.771999999997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9.1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D22" sqref="D22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53490.027000000002</v>
      </c>
      <c r="D2" s="6">
        <f>SUM(D4:D30)</f>
        <v>0</v>
      </c>
      <c r="E2" s="6">
        <f>C2-D2</f>
        <v>53490.027000000002</v>
      </c>
      <c r="F2" s="7">
        <f>IFERROR(E2/D2, 0)</f>
        <v>0</v>
      </c>
      <c r="G2" s="6">
        <f>SUM(G4:G30)</f>
        <v>0</v>
      </c>
      <c r="H2" s="8">
        <f>C2-G2</f>
        <v>53490.027000000002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53490.027000000002</v>
      </c>
      <c r="D4" s="14">
        <v>0</v>
      </c>
      <c r="E4" s="14">
        <f>IF(AND(ISNUMBER(C4),ISNUMBER(D4)), C4-D4, "")</f>
        <v>53490.027000000002</v>
      </c>
      <c r="F4" s="15" t="str">
        <f>IFERROR(E4/D4, "")</f>
        <v/>
      </c>
      <c r="G4" s="16">
        <v>0</v>
      </c>
      <c r="H4" s="16">
        <f>IF(AND(ISNUMBER(C4),ISNUMBER(G4)), C4-G4, "")</f>
        <v>53490.027000000002</v>
      </c>
      <c r="I4" s="17" t="str">
        <f>IFERROR(H4/G4, "")</f>
        <v/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41458.131000000001</v>
      </c>
      <c r="D2" s="6">
        <f>SUM(D4:D90)</f>
        <v>0</v>
      </c>
      <c r="E2" s="6">
        <f>C2-D2</f>
        <v>41458.131000000001</v>
      </c>
      <c r="F2" s="7">
        <f>IFERROR(E2/D2, 0)</f>
        <v>0</v>
      </c>
      <c r="G2" s="6">
        <f>SUM(G4:G90)</f>
        <v>0</v>
      </c>
      <c r="H2" s="8">
        <f>C2-G2</f>
        <v>41458.131000000001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41458.131000000001</v>
      </c>
      <c r="D4" s="14">
        <v>0</v>
      </c>
      <c r="E4" s="14">
        <f>IF(AND(ISNUMBER(C4),ISNUMBER(D4)), C4-D4, "")</f>
        <v>41458.131000000001</v>
      </c>
      <c r="F4" s="15" t="str">
        <f>IFERROR(E4/D4, "")</f>
        <v/>
      </c>
      <c r="G4" s="16">
        <v>0</v>
      </c>
      <c r="H4" s="16">
        <f>IF(AND(ISNUMBER(C4),ISNUMBER(G4)), C4-G4, "")</f>
        <v>41458.131000000001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K23" sqref="K23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35993.305999999997</v>
      </c>
      <c r="D2" s="6">
        <f>SUM(D4:D90)</f>
        <v>0</v>
      </c>
      <c r="E2" s="6">
        <f>C2-D2</f>
        <v>35993.305999999997</v>
      </c>
      <c r="F2" s="7">
        <f>IFERROR(E2/D2, 0)</f>
        <v>0</v>
      </c>
      <c r="G2" s="6">
        <f>SUM(G4:G90)</f>
        <v>0</v>
      </c>
      <c r="H2" s="8">
        <f>C2-G2</f>
        <v>35993.305999999997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35993.305999999997</v>
      </c>
      <c r="D4" s="14">
        <v>0</v>
      </c>
      <c r="E4" s="14">
        <f>IF(AND(ISNUMBER(C4),ISNUMBER(D4)), C4-D4, "")</f>
        <v>35993.305999999997</v>
      </c>
      <c r="F4" s="15" t="str">
        <f>IFERROR(E4/D4, "")</f>
        <v/>
      </c>
      <c r="G4" s="16">
        <v>0</v>
      </c>
      <c r="H4" s="16">
        <f>IF(AND(ISNUMBER(C4),ISNUMBER(G4)), C4-G4, "")</f>
        <v>35993.305999999997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6" sqref="J16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41436.165999999997</v>
      </c>
      <c r="D2" s="6">
        <f>SUM(D4:D90)</f>
        <v>0</v>
      </c>
      <c r="E2" s="6">
        <f>C2-D2</f>
        <v>41436.165999999997</v>
      </c>
      <c r="F2" s="7">
        <f>IFERROR(E2/D2, 0)</f>
        <v>0</v>
      </c>
      <c r="G2" s="6">
        <f>SUM(G4:G90)</f>
        <v>0</v>
      </c>
      <c r="H2" s="8">
        <f>C2-G2</f>
        <v>41436.165999999997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41436.165999999997</v>
      </c>
      <c r="D4" s="14">
        <v>0</v>
      </c>
      <c r="E4" s="14">
        <f>IF(AND(ISNUMBER(C4),ISNUMBER(D4)), C4-D4, "")</f>
        <v>41436.165999999997</v>
      </c>
      <c r="F4" s="15" t="str">
        <f>IFERROR(E4/D4, "")</f>
        <v/>
      </c>
      <c r="G4" s="16">
        <v>0</v>
      </c>
      <c r="H4" s="16">
        <f>IF(AND(ISNUMBER(C4),ISNUMBER(G4)), C4-G4, "")</f>
        <v>41436.165999999997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30" sqref="J30"/>
      <selection activeCell="J20" sqref="J20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22342.3</v>
      </c>
      <c r="D2" s="6">
        <f>SUM(D4:D90)</f>
        <v>0</v>
      </c>
      <c r="E2" s="6">
        <f>C2-D2</f>
        <v>22342.3</v>
      </c>
      <c r="F2" s="7">
        <f>IFERROR(E2/D2, 0)</f>
        <v>0</v>
      </c>
      <c r="G2" s="6">
        <f>SUM(G4:G90)</f>
        <v>0</v>
      </c>
      <c r="H2" s="8">
        <f>C2-G2</f>
        <v>22342.3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22342.3</v>
      </c>
      <c r="D4" s="14">
        <v>0</v>
      </c>
      <c r="E4" s="14">
        <f>IF(AND(ISNUMBER(C4),ISNUMBER(D4)), C4-D4, "")</f>
        <v>22342.3</v>
      </c>
      <c r="F4" s="15" t="str">
        <f>IFERROR(E4/D4, "")</f>
        <v/>
      </c>
      <c r="G4" s="16">
        <v>0</v>
      </c>
      <c r="H4" s="16">
        <f>IF(AND(ISNUMBER(C4),ISNUMBER(G4)), C4-G4, "")</f>
        <v>22342.3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>
        <v>1933992</v>
      </c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>
        <v>2749697</v>
      </c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 t="s">
        <v>48</v>
      </c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 ht="12.6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50</v>
      </c>
      <c r="B4" t="s">
        <v>54</v>
      </c>
      <c r="C4" s="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2025-04-16T21:13:26Z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2025-04-16T13:23:39Z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6d896946-0220-46b8-9452-f0d832bb0e67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