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1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libsysit-my.sharepoint.com/personal/kusumapotlada_amgsol_com/Documents/Microsoft Teams Chat Files/"/>
    </mc:Choice>
  </mc:AlternateContent>
  <xr:revisionPtr revIDLastSave="12" documentId="13_ncr:1_{3B21F398-C192-4540-B34D-174916123C3D}" xr6:coauthVersionLast="47" xr6:coauthVersionMax="47" xr10:uidLastSave="{AB20C07E-80C9-48DE-9964-522B016ABB47}"/>
  <bookViews>
    <workbookView xWindow="-98" yWindow="-98" windowWidth="21795" windowHeight="12975" tabRatio="866" firstSheet="14" activeTab="14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" hidden="1">Jan</definedName>
    <definedName name="_xlcn.WorksheetConnection_MultisiteTemplate2024MonthlyProduction.xlsxSites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30" l="1"/>
  <c r="G4" i="29"/>
  <c r="G4" i="18"/>
  <c r="G4" i="1"/>
  <c r="E4" i="28"/>
  <c r="E4" i="26"/>
  <c r="H4" i="4"/>
  <c r="H4" i="3"/>
  <c r="E4" i="72" l="1"/>
  <c r="E4" i="3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F4" i="3"/>
  <c r="I4" i="3"/>
  <c r="E5" i="3"/>
  <c r="F5" i="3" s="1"/>
  <c r="H5" i="3"/>
  <c r="I5" i="3" s="1"/>
  <c r="E6" i="72"/>
  <c r="F6" i="72" s="1"/>
  <c r="H6" i="72"/>
  <c r="I6" i="72" s="1"/>
  <c r="G4" i="34"/>
  <c r="G2" i="34" s="1"/>
  <c r="B4" i="34" a="1"/>
  <c r="B4" i="34" s="1"/>
  <c r="A4" i="34" a="1"/>
  <c r="A4" i="34" s="1"/>
  <c r="A1" i="34" a="1"/>
  <c r="A1" i="34" s="1"/>
  <c r="D4" i="30"/>
  <c r="D2" i="30" s="1"/>
  <c r="C4" i="30"/>
  <c r="D4" i="29"/>
  <c r="C4" i="29"/>
  <c r="D4" i="18"/>
  <c r="C4" i="18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G2" i="18"/>
  <c r="A1" i="18" a="1"/>
  <c r="A1" i="18" s="1"/>
  <c r="C4" i="1"/>
  <c r="D4" i="1"/>
  <c r="B4" i="1" a="1"/>
  <c r="B4" i="1" s="1"/>
  <c r="A4" i="1" a="1"/>
  <c r="A4" i="1" s="1"/>
  <c r="A1" i="1" a="1"/>
  <c r="A1" i="1" s="1"/>
  <c r="H5" i="33"/>
  <c r="I5" i="33" s="1"/>
  <c r="E5" i="33"/>
  <c r="F5" i="33" s="1"/>
  <c r="H4" i="33"/>
  <c r="I4" i="33" s="1"/>
  <c r="E4" i="33"/>
  <c r="F4" i="33" s="1"/>
  <c r="G2" i="33"/>
  <c r="D2" i="33"/>
  <c r="C2" i="33"/>
  <c r="A1" i="33" a="1"/>
  <c r="A1" i="33" s="1"/>
  <c r="H5" i="32"/>
  <c r="I5" i="32" s="1"/>
  <c r="E5" i="32"/>
  <c r="F5" i="32" s="1"/>
  <c r="H4" i="32"/>
  <c r="I4" i="32" s="1"/>
  <c r="E4" i="32"/>
  <c r="F4" i="32" s="1"/>
  <c r="G2" i="32"/>
  <c r="D2" i="32"/>
  <c r="C2" i="32"/>
  <c r="H2" i="32" s="1"/>
  <c r="I2" i="32" s="1"/>
  <c r="A1" i="32" a="1"/>
  <c r="A1" i="32" s="1"/>
  <c r="H5" i="31"/>
  <c r="I5" i="31" s="1"/>
  <c r="E5" i="31"/>
  <c r="F5" i="31" s="1"/>
  <c r="H4" i="31"/>
  <c r="I4" i="31" s="1"/>
  <c r="E4" i="31"/>
  <c r="F4" i="31" s="1"/>
  <c r="G2" i="31"/>
  <c r="D2" i="31"/>
  <c r="C2" i="31"/>
  <c r="H2" i="31" s="1"/>
  <c r="I2" i="31" s="1"/>
  <c r="A1" i="31" a="1"/>
  <c r="A1" i="31" s="1"/>
  <c r="H5" i="28"/>
  <c r="I5" i="28" s="1"/>
  <c r="E5" i="28"/>
  <c r="F5" i="28" s="1"/>
  <c r="H4" i="28"/>
  <c r="I4" i="28" s="1"/>
  <c r="F4" i="28"/>
  <c r="B4" i="28" a="1"/>
  <c r="B4" i="28" s="1"/>
  <c r="A4" i="28" a="1"/>
  <c r="A4" i="28" s="1"/>
  <c r="G2" i="28"/>
  <c r="D2" i="28"/>
  <c r="C2" i="28"/>
  <c r="H2" i="28" s="1"/>
  <c r="I2" i="28" s="1"/>
  <c r="A1" i="28" a="1"/>
  <c r="A1" i="28" s="1"/>
  <c r="H5" i="27"/>
  <c r="I5" i="27" s="1"/>
  <c r="E5" i="27"/>
  <c r="F5" i="27" s="1"/>
  <c r="H4" i="27"/>
  <c r="I4" i="27" s="1"/>
  <c r="E4" i="27"/>
  <c r="F4" i="27" s="1"/>
  <c r="G2" i="27"/>
  <c r="D2" i="27"/>
  <c r="C2" i="27"/>
  <c r="A1" i="27" a="1"/>
  <c r="A1" i="27" s="1"/>
  <c r="H5" i="26"/>
  <c r="E5" i="26"/>
  <c r="F5" i="26" s="1"/>
  <c r="H4" i="26"/>
  <c r="I4" i="26" s="1"/>
  <c r="F4" i="26"/>
  <c r="G2" i="26"/>
  <c r="D2" i="26"/>
  <c r="C2" i="26"/>
  <c r="A1" i="26" a="1"/>
  <c r="A1" i="26" s="1"/>
  <c r="H5" i="19"/>
  <c r="I5" i="19" s="1"/>
  <c r="E5" i="19"/>
  <c r="F5" i="19" s="1"/>
  <c r="H4" i="19"/>
  <c r="I4" i="19" s="1"/>
  <c r="E4" i="19"/>
  <c r="F4" i="19" s="1"/>
  <c r="G2" i="19"/>
  <c r="D2" i="19"/>
  <c r="C2" i="19"/>
  <c r="A1" i="19" a="1"/>
  <c r="A1" i="19" s="1"/>
  <c r="H5" i="20"/>
  <c r="I5" i="20" s="1"/>
  <c r="E5" i="20"/>
  <c r="F5" i="20" s="1"/>
  <c r="H4" i="20"/>
  <c r="I4" i="20" s="1"/>
  <c r="E4" i="20"/>
  <c r="F4" i="20" s="1"/>
  <c r="G2" i="20"/>
  <c r="D2" i="20"/>
  <c r="C2" i="20"/>
  <c r="A1" i="20" a="1"/>
  <c r="A1" i="20" s="1"/>
  <c r="H5" i="21"/>
  <c r="I5" i="21" s="1"/>
  <c r="E5" i="21"/>
  <c r="F5" i="21" s="1"/>
  <c r="H4" i="21"/>
  <c r="I4" i="21" s="1"/>
  <c r="E4" i="21"/>
  <c r="F4" i="21" s="1"/>
  <c r="G2" i="21"/>
  <c r="D2" i="21"/>
  <c r="C2" i="21"/>
  <c r="A1" i="21" a="1"/>
  <c r="A1" i="21" s="1"/>
  <c r="H5" i="4"/>
  <c r="I5" i="4" s="1"/>
  <c r="E5" i="4"/>
  <c r="F5" i="4" s="1"/>
  <c r="I4" i="4"/>
  <c r="E4" i="4"/>
  <c r="F4" i="4" s="1"/>
  <c r="G2" i="4"/>
  <c r="D2" i="4"/>
  <c r="C2" i="4"/>
  <c r="H2" i="4" s="1"/>
  <c r="I2" i="4" s="1"/>
  <c r="A1" i="4" a="1"/>
  <c r="A1" i="4" s="1"/>
  <c r="G2" i="3"/>
  <c r="D2" i="3"/>
  <c r="C2" i="3"/>
  <c r="J2" i="3" s="1"/>
  <c r="A1" i="3" a="1"/>
  <c r="A1" i="3" s="1"/>
  <c r="E5" i="72"/>
  <c r="F5" i="72" s="1"/>
  <c r="H5" i="72"/>
  <c r="I5" i="72" s="1"/>
  <c r="H4" i="72"/>
  <c r="I4" i="72" s="1"/>
  <c r="G2" i="72"/>
  <c r="D2" i="72"/>
  <c r="C2" i="72"/>
  <c r="J2" i="72" s="1"/>
  <c r="F4" i="72"/>
  <c r="A1" i="72" a="1"/>
  <c r="A1" i="72" s="1"/>
  <c r="H2" i="33" l="1"/>
  <c r="I2" i="33" s="1"/>
  <c r="E4" i="30"/>
  <c r="F4" i="30" s="1"/>
  <c r="H2" i="27"/>
  <c r="I2" i="27" s="1"/>
  <c r="H2" i="26"/>
  <c r="I2" i="26" s="1"/>
  <c r="E2" i="20"/>
  <c r="F2" i="20" s="1"/>
  <c r="J2" i="4"/>
  <c r="H2" i="21"/>
  <c r="I2" i="21" s="1"/>
  <c r="J2" i="21"/>
  <c r="H2" i="20"/>
  <c r="I2" i="20" s="1"/>
  <c r="D2" i="18"/>
  <c r="E4" i="18"/>
  <c r="F4" i="18" s="1"/>
  <c r="J2" i="20"/>
  <c r="H2" i="19"/>
  <c r="I2" i="19" s="1"/>
  <c r="J2" i="19"/>
  <c r="D2" i="29"/>
  <c r="J2" i="26"/>
  <c r="J2" i="27"/>
  <c r="E2" i="28"/>
  <c r="F2" i="28" s="1"/>
  <c r="J2" i="28"/>
  <c r="J2" i="31"/>
  <c r="J2" i="33"/>
  <c r="D4" i="34"/>
  <c r="D2" i="34" s="1"/>
  <c r="J2" i="32"/>
  <c r="H2" i="3"/>
  <c r="I2" i="3" s="1"/>
  <c r="G2" i="1"/>
  <c r="H4" i="30"/>
  <c r="I4" i="30" s="1"/>
  <c r="I5" i="26"/>
  <c r="H4" i="29"/>
  <c r="I4" i="29" s="1"/>
  <c r="H4" i="18"/>
  <c r="I4" i="18" s="1"/>
  <c r="C4" i="34"/>
  <c r="C2" i="29"/>
  <c r="C2" i="30"/>
  <c r="E4" i="29"/>
  <c r="F4" i="29" s="1"/>
  <c r="C2" i="18"/>
  <c r="H4" i="1"/>
  <c r="I4" i="1" s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2" i="29" l="1"/>
  <c r="F2" i="29" s="1"/>
  <c r="E4" i="34"/>
  <c r="F4" i="34" s="1"/>
  <c r="H2" i="1"/>
  <c r="I2" i="1" s="1"/>
  <c r="C2" i="34"/>
  <c r="H2" i="34" s="1"/>
  <c r="I2" i="34" s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E2" i="34" l="1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<sst xmlns="http://schemas.openxmlformats.org/spreadsheetml/2006/main" count="238" uniqueCount="51">
  <si>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</si>
  <si>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</si>
  <si>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</si>
  <si>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</si>
  <si>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</si>
  <si>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</si>
  <si>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</si>
  <si>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</si>
  <si>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</si>
  <si>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</si>
  <si>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</si>
  <si>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</si>
  <si>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</si>
  <si>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</si>
  <si>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</si>
  <si>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</si>
  <si>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</si>
  <si>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</si>
  <si>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</si>
  <si>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</si>
  <si>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</si>
  <si>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</si>
  <si>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February Actual v. Expected</t>
  </si>
  <si>
    <t>February Actual v. Forecasted</t>
  </si>
  <si>
    <t>March Actual v. Expected</t>
  </si>
  <si>
    <t>March Actual v. Forecasted</t>
  </si>
  <si>
    <t>April Actual v. Expected</t>
  </si>
  <si>
    <t>April Actual v. Forecasted</t>
  </si>
  <si>
    <t>May Actual v. Expected</t>
  </si>
  <si>
    <t>May Actual v. Forecasted</t>
  </si>
  <si>
    <t>June Actual v. Expected</t>
  </si>
  <si>
    <t>June Actual v. Forecasted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</si>
  <si>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</si>
  <si>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</si>
  <si>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</si>
  <si>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</si>
  <si>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</si>
  <si>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</si>
  <si>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</si>
  <si>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</si>
  <si>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</si>
  <si>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</si>
  <si>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</si>
  <si>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</si>
  <si>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</si>
  <si>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MAC Phase II</t>
  </si>
  <si>
    <t>Site DAS Name</t>
  </si>
  <si>
    <t>Update</t>
  </si>
  <si>
    <t>DAS</t>
  </si>
  <si>
    <t>MAC - Phase 2</t>
  </si>
  <si>
    <t>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</si>
</sst>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5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</cellStyleXfs>
  <cellXfs count="48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22" fillId="0" borderId="0" xfId="43" applyFont="1"/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164" fontId="28" fillId="0" borderId="0" xfId="1" applyNumberFormat="1" applyFont="1" applyBorder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horizontal="left" vertical="top" wrapText="1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0" fontId="23" fillId="0" borderId="12" xfId="0" applyFont="1" applyBorder="1"/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outline="0">
        <left style="thin">
          <color rgb="FF000000"/>
        </left>
      </border>
    </dxf>
    <dxf>
      <font>
        <strike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outline="0">
        <right style="thin">
          <color rgb="FF000000"/>
        </right>
      </border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4" totalsRowShown="0">
  <autoFilter ref="A3:E4" xr:uid="{C9C95D9E-67ED-41E0-9F41-9C3DA4ACF4CD}"/>
  <sortState xmlns:xlrd2="http://schemas.microsoft.com/office/spreadsheetml/2017/richdata2" ref="A4:D4">
    <sortCondition ref="C3:C4"/>
  </sortState>
  <tableColumns count="5">
    <tableColumn id="3" xr3:uid="{3FB6FBC9-911C-415A-89D1-91E602B41CD0}" name="Site DAS Name" dataDxfId="2" dataCellStyle="Normal 2"/>
    <tableColumn id="1" xr3:uid="{9A753695-C18C-437C-AD9C-C2CE5C1A806E}" name="Site" dataDxfId="1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31"/>
  <sheetViews>
    <sheetView workbookViewId="0">
      <pane ySplit="2" topLeftCell="A3" activePane="bottomLeft" state="frozen"/>
      <selection pane="bottomLeft" activeCell="G4" sqref="G4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5" t="str" cm="1">
        <f t="array" ref="A1">portfolio</f>
        <v>MAC Phase II</v>
      </c>
      <c r="B1" s="45"/>
      <c r="C1" s="45"/>
      <c r="D1" s="46" t="s">
        <v>0</v>
      </c>
      <c r="E1" s="46"/>
      <c r="F1" s="46"/>
      <c r="G1" s="44" t="s">
        <v>1</v>
      </c>
      <c r="H1" s="44"/>
      <c r="I1" s="44"/>
    </row>
    <row r="2" spans="1:9" ht="19.5" customHeight="1">
      <c r="A2" s="47" t="s">
        <v>2</v>
      </c>
      <c r="B2" s="47"/>
      <c r="C2" s="6">
        <f>SUM(C4:C89)</f>
        <v>984304</v>
      </c>
      <c r="D2" s="6">
        <f>SUM(D4:D89)</f>
        <v>1033972.77</v>
      </c>
      <c r="E2" s="6">
        <f>C2-D2</f>
        <v>-49668.770000000019</v>
      </c>
      <c r="F2" s="7">
        <f>IFERROR(E2/D2, 0)</f>
        <v>-4.8036825960126608E-2</v>
      </c>
      <c r="G2" s="6">
        <f>SUM(G4:G89)</f>
        <v>1182536.2779999999</v>
      </c>
      <c r="H2" s="8">
        <f>C2-G2</f>
        <v>-198232.27799999993</v>
      </c>
      <c r="I2" s="7">
        <f>IFERROR(H2/G2, 0)</f>
        <v>-0.16763314723440556</v>
      </c>
    </row>
    <row r="3" spans="1:9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</row>
    <row r="4" spans="1:9" ht="15.75">
      <c r="A4" s="13" t="str" cm="1">
        <f t="array" ref="A4">Sites[Site]</f>
        <v>MAC - Phase 2</v>
      </c>
      <c r="B4" s="10" t="str" cm="1">
        <f t="array" ref="B4">Sites[State]</f>
        <v>MN</v>
      </c>
      <c r="C4" s="26">
        <f>SUM('1st Qtr'!C4, '2nd Qtr'!C4, '3rd Qtr'!C4, '4th Qtr'!C4)</f>
        <v>984304</v>
      </c>
      <c r="D4" s="14">
        <f>SUM('1st Qtr'!D4, '2nd Qtr'!D4, '3rd Qtr'!D4, '4th Qtr'!D4)</f>
        <v>1033972.77</v>
      </c>
      <c r="E4" s="14">
        <f>IF(AND(ISNUMBER(C4),ISNUMBER(D4)), C4-D4, "")</f>
        <v>-49668.770000000019</v>
      </c>
      <c r="F4" s="15">
        <f>IFERROR(E4/D4, 0)</f>
        <v>-4.8036825960126608E-2</v>
      </c>
      <c r="G4" s="16">
        <f>SUM('1st Qtr'!G4,'2nd Qtr'!G4,'3rd Qtr'!G4,'4th Qtr'!G4)</f>
        <v>1182536.2779999999</v>
      </c>
      <c r="H4" s="16">
        <f>SUM('1st Qtr'!H4, '2nd Qtr'!H4, '3rd Qtr'!H4, '4th Qtr'!H4)</f>
        <v>-198232.27799999999</v>
      </c>
      <c r="I4" s="17">
        <f>IFERROR(H4/G4, 0)</f>
        <v>-0.16763314723440562</v>
      </c>
    </row>
    <row r="5" spans="1:9" ht="13.15">
      <c r="A5" s="23"/>
      <c r="B5" s="23"/>
      <c r="C5" s="23"/>
      <c r="D5" s="23"/>
      <c r="E5" s="23"/>
      <c r="F5" s="23"/>
      <c r="G5" s="23"/>
      <c r="H5" s="23"/>
      <c r="I5" s="23"/>
    </row>
    <row r="6" spans="1:9" ht="13.15">
      <c r="A6" s="23"/>
      <c r="B6" s="23"/>
      <c r="C6" s="23"/>
      <c r="D6" s="23"/>
      <c r="E6" s="23"/>
      <c r="F6" s="23"/>
      <c r="G6" s="23"/>
      <c r="H6" s="23"/>
      <c r="I6" s="23"/>
    </row>
    <row r="7" spans="1:9" ht="12.75" customHeight="1">
      <c r="A7" s="23"/>
      <c r="B7" s="23"/>
      <c r="C7" s="23"/>
      <c r="D7" s="23"/>
      <c r="E7" s="23"/>
      <c r="F7" s="23"/>
      <c r="G7" s="23"/>
      <c r="H7" s="23"/>
      <c r="I7" s="23"/>
    </row>
    <row r="8" spans="1:9" ht="13.15">
      <c r="A8" s="23"/>
      <c r="B8" s="23"/>
      <c r="C8" s="23"/>
      <c r="D8" s="23"/>
      <c r="E8" s="23"/>
      <c r="F8" s="23"/>
      <c r="G8" s="23"/>
      <c r="H8" s="23"/>
      <c r="I8" s="23"/>
    </row>
    <row r="9" spans="1:9" ht="13.15">
      <c r="A9" s="23"/>
      <c r="B9" s="23"/>
      <c r="C9" s="23"/>
      <c r="D9" s="23"/>
      <c r="E9" s="23"/>
      <c r="F9" s="23"/>
      <c r="G9" s="23"/>
      <c r="H9" s="23"/>
      <c r="I9" s="23"/>
    </row>
    <row r="10" spans="1:9" ht="13.15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15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15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15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15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15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15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15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15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15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15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15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15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15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15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15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15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15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15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15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15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15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15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15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15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15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15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15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15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15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15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15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15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15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15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15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15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15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15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15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15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15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15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15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15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15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15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15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15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15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15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15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15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15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15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15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15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15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15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15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15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15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15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15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15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15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15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15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15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15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15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15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15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15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15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15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15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15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15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15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15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15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15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15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15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15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15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15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15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15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15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15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15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15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15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15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15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15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15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15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15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15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15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15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15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15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15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15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15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15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15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15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15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15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15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15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15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15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15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15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15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15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15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15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15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15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15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15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15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15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15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15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15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15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15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15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15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15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15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15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15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15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15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15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15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15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15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15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15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15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15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15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15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15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15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15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15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15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15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15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15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15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15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15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15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15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15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15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15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15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15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15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15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15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15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15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15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15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15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15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15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15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15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15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15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15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15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15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15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15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15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15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15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15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15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15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15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15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15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15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15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15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15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15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15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15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15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15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15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15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15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15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15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15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15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15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15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15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15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15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15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15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15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15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15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15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15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15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15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15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15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15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15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15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15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15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15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15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15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15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15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15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15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15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15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15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15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15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15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15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15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15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15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15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15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15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15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15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15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15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15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15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15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15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15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15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15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15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15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15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15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15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15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15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15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15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15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15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15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15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15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15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15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15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15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15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15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15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15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15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15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15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15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15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15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15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15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15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15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15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15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15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15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15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15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15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15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15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15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15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15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15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15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15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15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15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15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15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15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15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15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15">
      <c r="A331" s="23"/>
      <c r="B331" s="23"/>
      <c r="C331" s="23"/>
      <c r="D331" s="23"/>
      <c r="E331" s="23"/>
      <c r="F331" s="24"/>
      <c r="G331" s="23"/>
      <c r="H331" s="23"/>
      <c r="I331" s="24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89 I4:I89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31"/>
  <sheetViews>
    <sheetView workbookViewId="0">
      <pane ySplit="2" topLeftCell="A3" activePane="bottomLeft" state="frozen"/>
      <selection pane="bottomLeft" activeCell="G4" sqref="G4"/>
      <selection activeCell="E22" sqref="E22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5" t="str" cm="1">
        <f t="array" ref="A1">portfolio</f>
        <v>MAC Phase II</v>
      </c>
      <c r="B1" s="45"/>
      <c r="C1" s="45"/>
      <c r="D1" s="46" t="s">
        <v>10</v>
      </c>
      <c r="E1" s="46"/>
      <c r="F1" s="46"/>
      <c r="G1" s="44" t="s">
        <v>11</v>
      </c>
      <c r="H1" s="44"/>
      <c r="I1" s="44"/>
    </row>
    <row r="2" spans="1:9" ht="19.5" customHeight="1">
      <c r="A2" s="47" t="s">
        <v>2</v>
      </c>
      <c r="B2" s="47"/>
      <c r="C2" s="6">
        <f>SUM(C4:C89)</f>
        <v>186219</v>
      </c>
      <c r="D2" s="6">
        <f>SUM(D4:D89)</f>
        <v>218647.715</v>
      </c>
      <c r="E2" s="6">
        <f>C2-D2</f>
        <v>-32428.714999999997</v>
      </c>
      <c r="F2" s="7">
        <f>IFERROR(E2/D2, 0)</f>
        <v>-0.1483149046400965</v>
      </c>
      <c r="G2" s="6">
        <f>SUM(G4:G89)</f>
        <v>259441.318</v>
      </c>
      <c r="H2" s="8">
        <f>C2-G2</f>
        <v>-73222.317999999999</v>
      </c>
      <c r="I2" s="7">
        <f>IFERROR(H2/G2, 0)</f>
        <v>-0.2822307509245694</v>
      </c>
    </row>
    <row r="3" spans="1:9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</row>
    <row r="4" spans="1:9" ht="15.75">
      <c r="A4" s="13" t="str" cm="1">
        <f t="array" ref="A4">Sites[Site]</f>
        <v>MAC - Phase 2</v>
      </c>
      <c r="B4" s="10" t="str" cm="1">
        <f t="array" ref="B4">Sites[State]</f>
        <v>MN</v>
      </c>
      <c r="C4" s="26">
        <f>SUM(Jan!C4, Feb!C4, Mar!C4)</f>
        <v>186219</v>
      </c>
      <c r="D4" s="14">
        <f>SUM(Jan!D4, Feb!D4, Mar!D4)</f>
        <v>218647.715</v>
      </c>
      <c r="E4" s="14">
        <f>IF(AND(ISNUMBER(C4),ISNUMBER(D4)), C4-D4, "")</f>
        <v>-32428.714999999997</v>
      </c>
      <c r="F4" s="15">
        <f>IFERROR(E4/D4, 0)</f>
        <v>-0.1483149046400965</v>
      </c>
      <c r="G4" s="16">
        <f>SUM(Jan!G4, Feb!G4, Mar!G4)</f>
        <v>259441.318</v>
      </c>
      <c r="H4" s="16">
        <f>SUM(Jan!H4, Feb!H4, Mar!H4)</f>
        <v>-73222.317999999999</v>
      </c>
      <c r="I4" s="17">
        <f>IFERROR(H4/G4, 0)</f>
        <v>-0.2822307509245694</v>
      </c>
    </row>
    <row r="5" spans="1:9" ht="13.15">
      <c r="A5" s="23"/>
      <c r="B5" s="23"/>
      <c r="C5" s="23"/>
      <c r="D5" s="23"/>
      <c r="E5" s="23"/>
      <c r="F5" s="23"/>
      <c r="G5" s="23"/>
      <c r="H5" s="23"/>
      <c r="I5" s="23"/>
    </row>
    <row r="6" spans="1:9" ht="13.15">
      <c r="A6" s="23"/>
      <c r="B6" s="23"/>
      <c r="C6" s="23"/>
      <c r="D6" s="23"/>
      <c r="E6" s="23"/>
      <c r="F6" s="23"/>
      <c r="G6" s="23"/>
      <c r="H6" s="23"/>
      <c r="I6" s="23"/>
    </row>
    <row r="7" spans="1:9" ht="12.75" customHeight="1">
      <c r="A7" s="23"/>
      <c r="B7" s="23"/>
      <c r="C7" s="23"/>
      <c r="D7" s="23"/>
      <c r="E7" s="23"/>
      <c r="F7" s="23"/>
      <c r="G7" s="23"/>
      <c r="H7" s="23"/>
      <c r="I7" s="23"/>
    </row>
    <row r="8" spans="1:9" ht="13.15">
      <c r="A8" s="23"/>
      <c r="B8" s="23"/>
      <c r="C8" s="23"/>
      <c r="D8" s="23"/>
      <c r="E8" s="23"/>
      <c r="F8" s="23"/>
      <c r="G8" s="23"/>
      <c r="H8" s="23"/>
      <c r="I8" s="23"/>
    </row>
    <row r="9" spans="1:9" ht="13.15">
      <c r="A9" s="23"/>
      <c r="B9" s="23"/>
      <c r="C9" s="23"/>
      <c r="D9" s="23"/>
      <c r="E9" s="23"/>
      <c r="F9" s="23"/>
      <c r="G9" s="23"/>
      <c r="H9" s="23"/>
      <c r="I9" s="23"/>
    </row>
    <row r="10" spans="1:9" ht="13.15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15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15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15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15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15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15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15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15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15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15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15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15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15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15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15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15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15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15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15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15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15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15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15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15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15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15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15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15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15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15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15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15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15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15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15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15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15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15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15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15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15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15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15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15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15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15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15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15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15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15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15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15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15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15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15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15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15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15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15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15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15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15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15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15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15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15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15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15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15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15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15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15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15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15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15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15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15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15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15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15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15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15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15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15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15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15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15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15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15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15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15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15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15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15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15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15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15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15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15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15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15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15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15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15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15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15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15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15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15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15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15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15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15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15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15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15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15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15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15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15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15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15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15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15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15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15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15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15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15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15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15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15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15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15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15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15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15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15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15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15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15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15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15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15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15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15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15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15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15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15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15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15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15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15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15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15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15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15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15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15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15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15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15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15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15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15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15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15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15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15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15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15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15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15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15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15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15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15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15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15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15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15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15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15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15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15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15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15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15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15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15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15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15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15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15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15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15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15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15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15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15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15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15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15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15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15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15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15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15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15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15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15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15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15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15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15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15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15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15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15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15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15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15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15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15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15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15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15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15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15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15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15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15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15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15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15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15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15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15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15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15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15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15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15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15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15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15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15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15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15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15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15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15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15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15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15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15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15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15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15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15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15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15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15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15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15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15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15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15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15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15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15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15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15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15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15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15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15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15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15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15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15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15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15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15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15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15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15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15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15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15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15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15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15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15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15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15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15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15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15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15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15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15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15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15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15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15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15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15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15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15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15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15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15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15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15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15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15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15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15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15">
      <c r="A331" s="23"/>
      <c r="B331" s="23"/>
      <c r="C331" s="23"/>
      <c r="D331" s="23"/>
      <c r="E331" s="23"/>
      <c r="F331" s="24"/>
      <c r="G331" s="23"/>
      <c r="H331" s="23"/>
      <c r="I331" s="24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89 I4:I89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31"/>
  <sheetViews>
    <sheetView workbookViewId="0">
      <pane ySplit="2" topLeftCell="A4" activePane="bottomLeft" state="frozen"/>
      <selection pane="bottomLeft" activeCell="G4" sqref="G4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5" t="str" cm="1">
        <f t="array" ref="A1">portfolio</f>
        <v>MAC Phase II</v>
      </c>
      <c r="B1" s="45"/>
      <c r="C1" s="45"/>
      <c r="D1" s="46" t="s">
        <v>12</v>
      </c>
      <c r="E1" s="46"/>
      <c r="F1" s="46"/>
      <c r="G1" s="44" t="s">
        <v>13</v>
      </c>
      <c r="H1" s="44"/>
      <c r="I1" s="44"/>
    </row>
    <row r="2" spans="1:9" ht="19.5" customHeight="1">
      <c r="A2" s="47" t="s">
        <v>2</v>
      </c>
      <c r="B2" s="47"/>
      <c r="C2" s="6">
        <f>SUM(C4:C89)</f>
        <v>317286</v>
      </c>
      <c r="D2" s="6">
        <f>SUM(D4:D89)</f>
        <v>310548</v>
      </c>
      <c r="E2" s="6">
        <f>C2-D2</f>
        <v>6738</v>
      </c>
      <c r="F2" s="7">
        <f>IFERROR(E2/D2, 0)</f>
        <v>2.1697128946249856E-2</v>
      </c>
      <c r="G2" s="6">
        <f>SUM(G4:G89)</f>
        <v>372945</v>
      </c>
      <c r="H2" s="8">
        <f>C2-G2</f>
        <v>-55659</v>
      </c>
      <c r="I2" s="7">
        <f>IFERROR(H2/G2, 0)</f>
        <v>-0.14924184531231147</v>
      </c>
    </row>
    <row r="3" spans="1:9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</row>
    <row r="4" spans="1:9" ht="15.75">
      <c r="A4" s="13" t="str" cm="1">
        <f t="array" ref="A4">Sites[Site]</f>
        <v>MAC - Phase 2</v>
      </c>
      <c r="B4" s="10" t="str" cm="1">
        <f t="array" ref="B4">Sites[State]</f>
        <v>MN</v>
      </c>
      <c r="C4" s="26">
        <f>SUM(Apr!C4, May!C4, Jun!C4)</f>
        <v>317286</v>
      </c>
      <c r="D4" s="14">
        <f>SUM(Apr!D4, May!D4, Jun!D4)</f>
        <v>310548</v>
      </c>
      <c r="E4" s="14">
        <f>IF(AND(ISNUMBER(C4),ISNUMBER(D4)), C4-D4, "")</f>
        <v>6738</v>
      </c>
      <c r="F4" s="15">
        <f>IFERROR(E4/D4, "")</f>
        <v>2.1697128946249856E-2</v>
      </c>
      <c r="G4" s="16">
        <f>SUM(Apr!G4,May!G4,Jun!G4)</f>
        <v>372945</v>
      </c>
      <c r="H4" s="16">
        <f>SUM(Apr!H4, May!H4, Jun!H4)</f>
        <v>-55659</v>
      </c>
      <c r="I4" s="17">
        <f>IFERROR(H4/G4, "")</f>
        <v>-0.14924184531231147</v>
      </c>
    </row>
    <row r="5" spans="1:9" ht="13.15">
      <c r="A5" s="23"/>
      <c r="B5" s="23"/>
      <c r="C5" s="23"/>
      <c r="D5" s="23"/>
      <c r="E5" s="23"/>
      <c r="F5" s="23"/>
      <c r="G5" s="23"/>
      <c r="H5" s="23"/>
      <c r="I5" s="23"/>
    </row>
    <row r="6" spans="1:9" ht="13.15">
      <c r="A6" s="23"/>
      <c r="B6" s="23"/>
      <c r="C6" s="23"/>
      <c r="D6" s="23"/>
      <c r="E6" s="23"/>
      <c r="F6" s="23"/>
      <c r="G6" s="23"/>
      <c r="H6" s="23"/>
      <c r="I6" s="23"/>
    </row>
    <row r="7" spans="1:9" ht="12.75" customHeight="1">
      <c r="A7" s="23"/>
      <c r="B7" s="23"/>
      <c r="C7" s="23"/>
      <c r="D7" s="23"/>
      <c r="E7" s="23"/>
      <c r="F7" s="23"/>
      <c r="G7" s="23"/>
      <c r="H7" s="23"/>
      <c r="I7" s="23"/>
    </row>
    <row r="8" spans="1:9" ht="13.15">
      <c r="A8" s="23"/>
      <c r="B8" s="23"/>
      <c r="C8" s="23"/>
      <c r="D8" s="23"/>
      <c r="E8" s="23"/>
      <c r="F8" s="23"/>
      <c r="G8" s="23"/>
      <c r="H8" s="23"/>
      <c r="I8" s="23"/>
    </row>
    <row r="9" spans="1:9" ht="13.15">
      <c r="A9" s="23"/>
      <c r="B9" s="23"/>
      <c r="C9" s="23"/>
      <c r="D9" s="23"/>
      <c r="E9" s="23"/>
      <c r="F9" s="23"/>
      <c r="G9" s="23"/>
      <c r="H9" s="23"/>
      <c r="I9" s="23"/>
    </row>
    <row r="10" spans="1:9" ht="13.15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15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15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15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15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15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15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15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15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15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15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15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15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15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15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15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15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15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15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15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15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15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15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15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15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15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15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15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15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15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15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15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15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15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15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15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15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15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15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15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15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15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15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15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15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15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15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15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15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15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15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15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15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15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15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15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15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15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15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15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15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15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15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15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15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15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15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15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15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15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15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15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15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15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15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15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15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15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15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15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15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15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15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15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15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15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15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15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15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15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15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15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15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15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15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15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15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15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15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15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15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15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15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15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15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15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15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15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15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15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15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15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15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15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15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15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15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15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15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15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15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15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15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15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15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15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15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15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15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15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15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15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15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15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15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15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15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15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15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15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15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15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15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15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15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15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15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15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15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15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15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15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15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15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15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15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15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15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15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15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15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15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15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15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15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15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15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15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15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15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15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15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15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15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15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15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15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15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15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15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15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15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15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15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15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15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15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15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15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15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15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15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15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15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15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15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15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15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15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15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15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15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15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15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15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15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15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15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15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15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15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15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15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15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15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15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15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15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15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15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15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15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15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15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15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15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15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15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15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15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15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15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15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15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15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15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15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15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15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15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15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15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15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15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15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15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15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15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15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15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15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15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15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15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15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15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15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15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15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15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15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15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15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15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15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15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15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15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15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15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15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15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15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15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15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15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15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15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15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15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15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15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15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15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15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15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15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15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15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15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15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15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15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15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15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15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15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15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15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15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15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15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15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15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15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15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15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15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15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15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15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15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15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15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15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15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15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15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15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15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15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15">
      <c r="A331" s="23"/>
      <c r="B331" s="23"/>
      <c r="C331" s="23"/>
      <c r="D331" s="23"/>
      <c r="E331" s="23"/>
      <c r="F331" s="24"/>
      <c r="G331" s="23"/>
      <c r="H331" s="23"/>
      <c r="I331" s="24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89 I4:I89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31"/>
  <sheetViews>
    <sheetView workbookViewId="0">
      <pane ySplit="2" topLeftCell="A3" activePane="bottomLeft" state="frozen"/>
      <selection pane="bottomLeft" activeCell="G4" sqref="G4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5" t="str" cm="1">
        <f t="array" ref="A1">portfolio</f>
        <v>MAC Phase II</v>
      </c>
      <c r="B1" s="45"/>
      <c r="C1" s="45"/>
      <c r="D1" s="46" t="s">
        <v>14</v>
      </c>
      <c r="E1" s="46"/>
      <c r="F1" s="46"/>
      <c r="G1" s="44" t="s">
        <v>15</v>
      </c>
      <c r="H1" s="44"/>
      <c r="I1" s="44"/>
    </row>
    <row r="2" spans="1:9" ht="19.5" customHeight="1">
      <c r="A2" s="47" t="s">
        <v>2</v>
      </c>
      <c r="B2" s="47"/>
      <c r="C2" s="6">
        <f>SUM(C4:C89)</f>
        <v>337217</v>
      </c>
      <c r="D2" s="6">
        <f>SUM(D4:D89)</f>
        <v>336964.22499999998</v>
      </c>
      <c r="E2" s="6">
        <f>C2-D2</f>
        <v>252.77500000002328</v>
      </c>
      <c r="F2" s="7">
        <f>IFERROR(E2/D2, 0)</f>
        <v>7.5015381825777885E-4</v>
      </c>
      <c r="G2" s="6">
        <f>SUM(G4:G89)</f>
        <v>360458</v>
      </c>
      <c r="H2" s="8">
        <f>C2-G2</f>
        <v>-23241</v>
      </c>
      <c r="I2" s="7">
        <f>IFERROR(H2/G2, 0)</f>
        <v>-6.4476305145120927E-2</v>
      </c>
    </row>
    <row r="3" spans="1:9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</row>
    <row r="4" spans="1:9" ht="15.75">
      <c r="A4" s="13" t="str" cm="1">
        <f t="array" ref="A4">Sites[Site]</f>
        <v>MAC - Phase 2</v>
      </c>
      <c r="B4" s="10" t="str" cm="1">
        <f t="array" ref="B4">Sites[State]</f>
        <v>MN</v>
      </c>
      <c r="C4" s="26">
        <f>SUM(Jul!C4, Aug!C4, Sep!C4)</f>
        <v>337217</v>
      </c>
      <c r="D4" s="14">
        <f>SUM(Jul!D4, Aug!D4, Sep!D4)</f>
        <v>336964.22499999998</v>
      </c>
      <c r="E4" s="14">
        <f>IF(AND(ISNUMBER(C4),ISNUMBER(D4)), C4-D4, "")</f>
        <v>252.77500000002328</v>
      </c>
      <c r="F4" s="15">
        <f>IFERROR(E4/D4, "")</f>
        <v>7.5015381825777885E-4</v>
      </c>
      <c r="G4" s="16">
        <f>SUM(Jul!G4,Aug!G4,Sep!G4)</f>
        <v>360458</v>
      </c>
      <c r="H4" s="16">
        <f>SUM(Jul!H4, Aug!H4, Sep!H4)</f>
        <v>-23241</v>
      </c>
      <c r="I4" s="17">
        <f>IFERROR(H4/G4, "")</f>
        <v>-6.4476305145120927E-2</v>
      </c>
    </row>
    <row r="5" spans="1:9" ht="13.15">
      <c r="A5" s="23"/>
      <c r="B5" s="23"/>
      <c r="C5" s="23"/>
      <c r="D5" s="23"/>
      <c r="E5" s="23"/>
      <c r="F5" s="23"/>
      <c r="G5" s="23"/>
      <c r="H5" s="23"/>
      <c r="I5" s="23"/>
    </row>
    <row r="6" spans="1:9" ht="13.15">
      <c r="A6" s="23"/>
      <c r="B6" s="23"/>
      <c r="C6" s="23"/>
      <c r="D6" s="23"/>
      <c r="E6" s="23"/>
      <c r="F6" s="23"/>
      <c r="G6" s="23"/>
      <c r="H6" s="23"/>
      <c r="I6" s="23"/>
    </row>
    <row r="7" spans="1:9" ht="12.75" customHeight="1">
      <c r="A7" s="23"/>
      <c r="B7" s="23"/>
      <c r="C7" s="23"/>
      <c r="D7" s="23"/>
      <c r="E7" s="23"/>
      <c r="F7" s="23"/>
      <c r="G7" s="23"/>
      <c r="H7" s="23"/>
      <c r="I7" s="23"/>
    </row>
    <row r="8" spans="1:9" ht="13.15">
      <c r="A8" s="23"/>
      <c r="B8" s="23"/>
      <c r="C8" s="23"/>
      <c r="D8" s="23"/>
      <c r="E8" s="23"/>
      <c r="F8" s="23"/>
      <c r="G8" s="23"/>
      <c r="H8" s="23"/>
      <c r="I8" s="23"/>
    </row>
    <row r="9" spans="1:9" ht="13.15">
      <c r="A9" s="23"/>
      <c r="B9" s="23"/>
      <c r="C9" s="23"/>
      <c r="D9" s="23"/>
      <c r="E9" s="23"/>
      <c r="F9" s="23"/>
      <c r="G9" s="23"/>
      <c r="H9" s="23"/>
      <c r="I9" s="23"/>
    </row>
    <row r="10" spans="1:9" ht="13.15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15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15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15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15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15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15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15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15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15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15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15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15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15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15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15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15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15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15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15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15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15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15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15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15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15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15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15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15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15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15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15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15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15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15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15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15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15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15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15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15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15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15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15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15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15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15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15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15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15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15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15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15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15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15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15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15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15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15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15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15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15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15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15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15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15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15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15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15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15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15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15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15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15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15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15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15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15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15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15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15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15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15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15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15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15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15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15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15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15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15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15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15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15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15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15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15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15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15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15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15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15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15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15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15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15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15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15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15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15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15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15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15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15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15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15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15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15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15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15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15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15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15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15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15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15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15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15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15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15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15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15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15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15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15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15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15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15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15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15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15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15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15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15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15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15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15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15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15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15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15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15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15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15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15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15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15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15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15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15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15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15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15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15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15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15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15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15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15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15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15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15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15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15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15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15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15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15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15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15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15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15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15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15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15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15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15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15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15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15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15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15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15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15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15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15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15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15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15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15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15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15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15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15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15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15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15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15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15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15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15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15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15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15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15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15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15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15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15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15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15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15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15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15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15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15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15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15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15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15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15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15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15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15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15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15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15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15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15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15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15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15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15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15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15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15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15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15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15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15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15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15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15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15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15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15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15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15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15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15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15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15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15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15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15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15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15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15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15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15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15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15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15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15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15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15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15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15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15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15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15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15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15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15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15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15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15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15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15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15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15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15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15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15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15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15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15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15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15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15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15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15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15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15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15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15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15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15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15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15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15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15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15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15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15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15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15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15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15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15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15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15">
      <c r="A331" s="23"/>
      <c r="B331" s="23"/>
      <c r="C331" s="23"/>
      <c r="D331" s="23"/>
      <c r="E331" s="23"/>
      <c r="F331" s="24"/>
      <c r="G331" s="23"/>
      <c r="H331" s="23"/>
      <c r="I331" s="24"/>
    </row>
  </sheetData>
  <mergeCells count="4">
    <mergeCell ref="G1:I1"/>
    <mergeCell ref="A1:C1"/>
    <mergeCell ref="D1:F1"/>
    <mergeCell ref="A2:B2"/>
  </mergeCells>
  <conditionalFormatting sqref="F2 I2 F4:F89 I4:I89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31"/>
  <sheetViews>
    <sheetView workbookViewId="0">
      <pane ySplit="2" topLeftCell="A3" activePane="bottomLeft" state="frozen"/>
      <selection pane="bottomLeft" activeCell="G11" sqref="G11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5" t="str" cm="1">
        <f t="array" ref="A1">portfolio</f>
        <v>MAC Phase II</v>
      </c>
      <c r="B1" s="45"/>
      <c r="C1" s="45"/>
      <c r="D1" s="46" t="s">
        <v>16</v>
      </c>
      <c r="E1" s="46"/>
      <c r="F1" s="46"/>
      <c r="G1" s="44" t="s">
        <v>17</v>
      </c>
      <c r="H1" s="44"/>
      <c r="I1" s="44"/>
    </row>
    <row r="2" spans="1:9" ht="19.5" customHeight="1">
      <c r="A2" s="47" t="s">
        <v>2</v>
      </c>
      <c r="B2" s="47"/>
      <c r="C2" s="6">
        <f>SUM(C4:C89)</f>
        <v>143582</v>
      </c>
      <c r="D2" s="6">
        <f>SUM(D4:D89)</f>
        <v>167812.83000000002</v>
      </c>
      <c r="E2" s="6">
        <f>C2-D2</f>
        <v>-24230.830000000016</v>
      </c>
      <c r="F2" s="7">
        <f>IFERROR(E2/D2, 0)</f>
        <v>-0.14439199910996087</v>
      </c>
      <c r="G2" s="6">
        <f>SUM(G4:G89)</f>
        <v>189691.96000000002</v>
      </c>
      <c r="H2" s="8">
        <f>C2-G2</f>
        <v>-46109.960000000021</v>
      </c>
      <c r="I2" s="7">
        <f>IFERROR(H2/G2, 0)</f>
        <v>-0.24307809355757626</v>
      </c>
    </row>
    <row r="3" spans="1:9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</row>
    <row r="4" spans="1:9" ht="15.75">
      <c r="A4" s="13" t="str" cm="1">
        <f t="array" ref="A4">Sites[Site]</f>
        <v>MAC - Phase 2</v>
      </c>
      <c r="B4" s="10" t="str" cm="1">
        <f t="array" ref="B4">Sites[State]</f>
        <v>MN</v>
      </c>
      <c r="C4" s="26">
        <f>SUM(Oct!C4, Nov!C4, Dec!C4)</f>
        <v>143582</v>
      </c>
      <c r="D4" s="14">
        <f>SUM(Oct!D4, Nov!D4, Dec!D4)</f>
        <v>167812.83000000002</v>
      </c>
      <c r="E4" s="14">
        <f>IF(AND(ISNUMBER(C4),ISNUMBER(D4)), C4-D4, "")</f>
        <v>-24230.830000000016</v>
      </c>
      <c r="F4" s="15">
        <f>IFERROR(E4/D4, "")</f>
        <v>-0.14439199910996087</v>
      </c>
      <c r="G4" s="16">
        <f>SUM(Oct!G4,Nov!G4,Dec!G4)</f>
        <v>189691.96000000002</v>
      </c>
      <c r="H4" s="16">
        <f>SUM(Oct!H4, Nov!H4, Dec!H4)</f>
        <v>-46109.960000000006</v>
      </c>
      <c r="I4" s="17">
        <f>IFERROR(H4/G4, "")</f>
        <v>-0.2430780935575762</v>
      </c>
    </row>
    <row r="5" spans="1:9" ht="13.15">
      <c r="A5" s="23"/>
      <c r="B5" s="23"/>
      <c r="C5" s="23"/>
      <c r="D5" s="23"/>
      <c r="E5" s="23"/>
      <c r="F5" s="23"/>
      <c r="G5" s="23"/>
      <c r="H5" s="23"/>
      <c r="I5" s="23"/>
    </row>
    <row r="6" spans="1:9" ht="13.15">
      <c r="A6" s="23"/>
      <c r="B6" s="23"/>
      <c r="C6" s="23"/>
      <c r="D6" s="23"/>
      <c r="E6" s="23"/>
      <c r="F6" s="23"/>
      <c r="G6" s="23"/>
      <c r="H6" s="23"/>
      <c r="I6" s="23"/>
    </row>
    <row r="7" spans="1:9" ht="12.75" customHeight="1">
      <c r="A7" s="23"/>
      <c r="B7" s="23"/>
      <c r="C7" s="23"/>
      <c r="D7" s="23"/>
      <c r="E7" s="23"/>
      <c r="F7" s="23"/>
      <c r="G7" s="23"/>
      <c r="H7" s="23"/>
      <c r="I7" s="23"/>
    </row>
    <row r="8" spans="1:9" ht="13.15">
      <c r="A8" s="23"/>
      <c r="B8" s="23"/>
      <c r="C8" s="23"/>
      <c r="D8" s="23"/>
      <c r="E8" s="23"/>
      <c r="F8" s="23"/>
      <c r="G8" s="23"/>
      <c r="H8" s="23"/>
      <c r="I8" s="23"/>
    </row>
    <row r="9" spans="1:9" ht="13.15">
      <c r="A9" s="23"/>
      <c r="B9" s="23"/>
      <c r="C9" s="23"/>
      <c r="D9" s="23"/>
      <c r="E9" s="23"/>
      <c r="F9" s="23"/>
      <c r="G9" s="23"/>
      <c r="H9" s="23"/>
      <c r="I9" s="23"/>
    </row>
    <row r="10" spans="1:9" ht="13.15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15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15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15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15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15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15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15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15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15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15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15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15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15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15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15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15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15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15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15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15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15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15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15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15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15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15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15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15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15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15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15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15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15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15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15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15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15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15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15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15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15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15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15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15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15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15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15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15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15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15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15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15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15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15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15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15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15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15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15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15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15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15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15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15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15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15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15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15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15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15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15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15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15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15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15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15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15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15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15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15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15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15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15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15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15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15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15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15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15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15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15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15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15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15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15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15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15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15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15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15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15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15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15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15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15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15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15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15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15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15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15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15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15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15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15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15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15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15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15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15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15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15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15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15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15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15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15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15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15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15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15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15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15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15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15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15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15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15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15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15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15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15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15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15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15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15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15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15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15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15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15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15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15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15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15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15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15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15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15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15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15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15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15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15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15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15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15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15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15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15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15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15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15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15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15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15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15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15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15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15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15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15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15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15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15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15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15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15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15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15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15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15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15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15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15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15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15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15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15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15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15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15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15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15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15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15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15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15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15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15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15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15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15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15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15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15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15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15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15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15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15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15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15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15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15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15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15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15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15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15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15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15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15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15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15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15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15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15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15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15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15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15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15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15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15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15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15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15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15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15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15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15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15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15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15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15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15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15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15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15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15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15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15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15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15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15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15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15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15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15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15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15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15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15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15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15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15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15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15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15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15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15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15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15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15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15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15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15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15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15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15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15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15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15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15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15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15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15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15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15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15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15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15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15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15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15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15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15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15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15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15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15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15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15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15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15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15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15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15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15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15">
      <c r="A331" s="23"/>
      <c r="B331" s="23"/>
      <c r="C331" s="23"/>
      <c r="D331" s="23"/>
      <c r="E331" s="23"/>
      <c r="F331" s="24"/>
      <c r="G331" s="23"/>
      <c r="H331" s="23"/>
      <c r="I331" s="24"/>
    </row>
  </sheetData>
  <mergeCells count="4">
    <mergeCell ref="G1:I1"/>
    <mergeCell ref="A1:C1"/>
    <mergeCell ref="D1:F1"/>
    <mergeCell ref="A2:B2"/>
  </mergeCells>
  <conditionalFormatting sqref="F2 I2 F4:F89 I4:I89">
    <cfRule type="cellIs" dxfId="28" priority="1" stopIfTrue="1" operator="lessThanOrEqual">
      <formula>-0.1</formula>
    </cfRule>
    <cfRule type="expression" dxfId="2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31"/>
  <sheetViews>
    <sheetView workbookViewId="0">
      <pane ySplit="3" topLeftCell="A4" activePane="bottomLeft" state="frozen"/>
      <selection pane="bottomLeft" activeCell="G14" sqref="G14"/>
      <selection activeCell="A6" sqref="A6:A15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5" t="str" cm="1">
        <f t="array" ref="A1">portfolio</f>
        <v>MAC Phase II</v>
      </c>
      <c r="B1" s="45"/>
      <c r="C1" s="45"/>
      <c r="D1" s="46" t="s">
        <v>18</v>
      </c>
      <c r="E1" s="46"/>
      <c r="F1" s="46"/>
      <c r="G1" s="44" t="s">
        <v>19</v>
      </c>
      <c r="H1" s="44"/>
      <c r="I1" s="44"/>
      <c r="J1" s="5"/>
      <c r="K1" s="5"/>
    </row>
    <row r="2" spans="1:11" ht="19.5" customHeight="1">
      <c r="A2" s="47" t="s">
        <v>2</v>
      </c>
      <c r="B2" s="47"/>
      <c r="C2" s="6">
        <f>SUM(C4:C89)</f>
        <v>32705</v>
      </c>
      <c r="D2" s="6">
        <f>SUM(D4:D89)</f>
        <v>38564.798000000003</v>
      </c>
      <c r="E2" s="6">
        <f>C2-D2</f>
        <v>-5859.7980000000025</v>
      </c>
      <c r="F2" s="7">
        <f>IFERROR(E2/D2, 0)</f>
        <v>-0.1519468091081406</v>
      </c>
      <c r="G2" s="6">
        <f>SUM(G4:G89)</f>
        <v>71547.255000000005</v>
      </c>
      <c r="H2" s="8">
        <f>C2-G2</f>
        <v>-38842.255000000005</v>
      </c>
      <c r="I2" s="7">
        <f>IFERROR(H2/G2, 0)</f>
        <v>-0.54288952105849486</v>
      </c>
      <c r="J2" s="28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2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42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75">
      <c r="A4" s="33" t="str" cm="1">
        <f t="array" ref="A4">Sites[Site]</f>
        <v>MAC - Phase 2</v>
      </c>
      <c r="B4" s="30" t="str" cm="1">
        <f t="array" ref="B4">Sites[State]</f>
        <v>MN</v>
      </c>
      <c r="C4" s="26">
        <v>32705</v>
      </c>
      <c r="D4" s="14">
        <v>38564.798000000003</v>
      </c>
      <c r="E4" s="14">
        <f>IF(AND(ISNUMBER(C4),ISNUMBER(D4)), C4-D4, "")</f>
        <v>-5859.7980000000025</v>
      </c>
      <c r="F4" s="15">
        <f>IFERROR(E4/D4, 0)</f>
        <v>-0.1519468091081406</v>
      </c>
      <c r="G4" s="16">
        <v>71547.255000000005</v>
      </c>
      <c r="H4" s="16">
        <f>IF(AND(ISNUMBER(C4),ISNUMBER(G4)), C4-G4, "")</f>
        <v>-38842.255000000005</v>
      </c>
      <c r="I4" s="17">
        <f>IFERROR(H4/G4, 0)</f>
        <v>-0.54288952105849486</v>
      </c>
      <c r="J4" s="18"/>
      <c r="K4" s="18"/>
    </row>
    <row r="5" spans="1:11" ht="15.7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25">
      <c r="A6" s="23"/>
      <c r="B6" s="34"/>
      <c r="C6" s="23"/>
      <c r="D6" s="23"/>
      <c r="E6" s="23" t="str">
        <f t="shared" ref="E6" si="4">IF(AND(ISNUMBER(C6),ISNUMBER(D6)), C6-D6, "")</f>
        <v/>
      </c>
      <c r="F6" s="23" t="str">
        <f t="shared" ref="F6" si="5">IFERROR(E6/D6, "")</f>
        <v/>
      </c>
      <c r="G6" s="23"/>
      <c r="H6" s="23" t="str">
        <f t="shared" ref="H6" si="6">IF(AND(ISNUMBER(C6),ISNUMBER(G6)), C6-G6, "")</f>
        <v/>
      </c>
      <c r="I6" s="23" t="str">
        <f t="shared" ref="I6" si="7">IFERROR(H6/G6, "")</f>
        <v/>
      </c>
      <c r="J6" s="23"/>
      <c r="K6" s="23"/>
    </row>
    <row r="7" spans="1:11" ht="12.75" customHeight="1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4.25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4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</sheetData>
  <mergeCells count="4">
    <mergeCell ref="D1:F1"/>
    <mergeCell ref="A1:C1"/>
    <mergeCell ref="G1:I1"/>
    <mergeCell ref="A2:B2"/>
  </mergeCells>
  <conditionalFormatting sqref="F2 I2 F4:F89 I4:I89">
    <cfRule type="cellIs" dxfId="26" priority="2" stopIfTrue="1" operator="lessThanOrEqual">
      <formula>-0.1</formula>
    </cfRule>
    <cfRule type="expression" dxfId="25" priority="3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32"/>
  <sheetViews>
    <sheetView workbookViewId="0">
      <pane ySplit="2" topLeftCell="A3" activePane="bottomLeft" state="frozen"/>
      <selection pane="bottomLeft" activeCell="H4" sqref="H4"/>
      <selection activeCell="A6" sqref="A6:A15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5" t="str" cm="1">
        <f t="array" ref="A1">portfolio</f>
        <v>MAC Phase II</v>
      </c>
      <c r="B1" s="45"/>
      <c r="C1" s="45"/>
      <c r="D1" s="46" t="s">
        <v>22</v>
      </c>
      <c r="E1" s="46"/>
      <c r="F1" s="46"/>
      <c r="G1" s="44" t="s">
        <v>23</v>
      </c>
      <c r="H1" s="44"/>
      <c r="I1" s="44"/>
      <c r="J1" s="5"/>
      <c r="K1" s="5"/>
    </row>
    <row r="2" spans="1:11" ht="19.5" customHeight="1">
      <c r="A2" s="47" t="s">
        <v>2</v>
      </c>
      <c r="B2" s="47"/>
      <c r="C2" s="6">
        <f>SUM(C4:C90)</f>
        <v>61184</v>
      </c>
      <c r="D2" s="6">
        <f>SUM(D4:D90)</f>
        <v>80052.623999999996</v>
      </c>
      <c r="E2" s="6">
        <f>C2-D2</f>
        <v>-18868.623999999996</v>
      </c>
      <c r="F2" s="7">
        <f>IFERROR(E2/D2, 0)</f>
        <v>-0.23570275472793992</v>
      </c>
      <c r="G2" s="6">
        <f>SUM(G4:G90)</f>
        <v>83809.535999999993</v>
      </c>
      <c r="H2" s="8">
        <f>C2-G2</f>
        <v>-22625.535999999993</v>
      </c>
      <c r="I2" s="7">
        <f>IFERROR(H2/G2, 0)</f>
        <v>-0.2699637425507283</v>
      </c>
      <c r="J2" s="28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75">
      <c r="A4" s="33" t="str" cm="1">
        <f t="array" ref="A4">Sites[Site]</f>
        <v>MAC - Phase 2</v>
      </c>
      <c r="B4" s="30" t="str" cm="1">
        <f t="array" ref="B4">Sites[State]</f>
        <v>MN</v>
      </c>
      <c r="C4" s="26">
        <v>61184</v>
      </c>
      <c r="D4" s="14">
        <v>80052.623999999996</v>
      </c>
      <c r="E4" s="14">
        <f>IF(AND(ISNUMBER(C4),ISNUMBER(D4)), C4-D4, "")</f>
        <v>-18868.623999999996</v>
      </c>
      <c r="F4" s="15">
        <f>IFERROR(E4/D4, "")</f>
        <v>-0.23570275472793992</v>
      </c>
      <c r="G4" s="16">
        <v>83809.535999999993</v>
      </c>
      <c r="H4" s="16">
        <f>IF(AND(ISNUMBER(C4),ISNUMBER(G4)), C4-G4, "")</f>
        <v>-22625.535999999993</v>
      </c>
      <c r="I4" s="17">
        <f>IFERROR(H4/G4, "")</f>
        <v>-0.2699637425507283</v>
      </c>
      <c r="J4" s="18"/>
      <c r="K4" s="18"/>
    </row>
    <row r="5" spans="1:11" ht="15.7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2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2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3.9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32"/>
  <sheetViews>
    <sheetView workbookViewId="0">
      <pane ySplit="2" topLeftCell="A3" activePane="bottomLeft" state="frozen"/>
      <selection pane="bottomLeft" activeCell="H9" sqref="H9"/>
      <selection activeCell="A6" sqref="A6:A15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5" t="str" cm="1">
        <f t="array" ref="A1">portfolio</f>
        <v>MAC Phase II</v>
      </c>
      <c r="B1" s="45"/>
      <c r="C1" s="45"/>
      <c r="D1" s="46" t="s">
        <v>24</v>
      </c>
      <c r="E1" s="46"/>
      <c r="F1" s="46"/>
      <c r="G1" s="44" t="s">
        <v>25</v>
      </c>
      <c r="H1" s="44"/>
      <c r="I1" s="44"/>
      <c r="J1" s="5"/>
      <c r="K1" s="5"/>
    </row>
    <row r="2" spans="1:11" ht="19.5" customHeight="1">
      <c r="A2" s="47" t="s">
        <v>2</v>
      </c>
      <c r="B2" s="47"/>
      <c r="C2" s="6">
        <f>SUM(C4:C90)</f>
        <v>92330</v>
      </c>
      <c r="D2" s="6">
        <f>SUM(D4:D90)</f>
        <v>100030.29300000001</v>
      </c>
      <c r="E2" s="6">
        <f>C2-D2</f>
        <v>-7700.2930000000051</v>
      </c>
      <c r="F2" s="7">
        <f>IFERROR(E2/D2, 0)</f>
        <v>-7.6979610566571113E-2</v>
      </c>
      <c r="G2" s="6">
        <f>SUM(G4:G90)</f>
        <v>104084.527</v>
      </c>
      <c r="H2" s="8">
        <f>C2-G2</f>
        <v>-11754.527000000002</v>
      </c>
      <c r="I2" s="7">
        <f>IFERROR(H2/G2, 0)</f>
        <v>-0.11293251109264302</v>
      </c>
      <c r="J2" s="28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75">
      <c r="A4" s="33" t="str" cm="1">
        <f t="array" ref="A4">Sites[Site]</f>
        <v>MAC - Phase 2</v>
      </c>
      <c r="B4" s="30" t="str" cm="1">
        <f t="array" ref="B4">Sites[State]</f>
        <v>MN</v>
      </c>
      <c r="C4" s="26">
        <v>92330</v>
      </c>
      <c r="D4" s="14">
        <v>100030.29300000001</v>
      </c>
      <c r="E4" s="14">
        <f>IF(AND(ISNUMBER(C4),ISNUMBER(D4)), C4-D4, "")</f>
        <v>-7700.2930000000051</v>
      </c>
      <c r="F4" s="15">
        <f>IFERROR(E4/D4, "")</f>
        <v>-7.6979610566571113E-2</v>
      </c>
      <c r="G4" s="16">
        <v>104084.527</v>
      </c>
      <c r="H4" s="16">
        <f>IF(AND(ISNUMBER(C4),ISNUMBER(G4)), C4-G4, "")</f>
        <v>-11754.527000000002</v>
      </c>
      <c r="I4" s="17">
        <f>IFERROR(H4/G4, "")</f>
        <v>-0.11293251109264302</v>
      </c>
      <c r="J4" s="18"/>
      <c r="K4" s="18"/>
    </row>
    <row r="5" spans="1:11" ht="15.7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2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2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3.9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22" priority="1" stopIfTrue="1" operator="lessThanOrEqual">
      <formula>-0.1</formula>
    </cfRule>
    <cfRule type="expression" dxfId="2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32"/>
  <sheetViews>
    <sheetView workbookViewId="0">
      <pane ySplit="2" topLeftCell="A3" activePane="bottomLeft" state="frozen"/>
      <selection pane="bottomLeft" activeCell="G4" sqref="G4"/>
      <selection activeCell="A6" sqref="A6:A15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5" t="str" cm="1">
        <f t="array" ref="A1">portfolio</f>
        <v>MAC Phase II</v>
      </c>
      <c r="B1" s="45"/>
      <c r="C1" s="45"/>
      <c r="D1" s="46" t="s">
        <v>26</v>
      </c>
      <c r="E1" s="46"/>
      <c r="F1" s="46"/>
      <c r="G1" s="44" t="s">
        <v>27</v>
      </c>
      <c r="H1" s="44"/>
      <c r="I1" s="44"/>
      <c r="J1" s="5"/>
      <c r="K1" s="5"/>
    </row>
    <row r="2" spans="1:11" ht="19.5" customHeight="1">
      <c r="A2" s="47" t="s">
        <v>2</v>
      </c>
      <c r="B2" s="47"/>
      <c r="C2" s="6">
        <f>SUM(C4:C90)</f>
        <v>91983</v>
      </c>
      <c r="D2" s="6">
        <f>SUM(D4:D90)</f>
        <v>92446</v>
      </c>
      <c r="E2" s="6">
        <f>C2-D2</f>
        <v>-463</v>
      </c>
      <c r="F2" s="7">
        <f>IFERROR(E2/D2, 0)</f>
        <v>-5.0083291867684919E-3</v>
      </c>
      <c r="G2" s="6">
        <f>SUM(G4:G90)</f>
        <v>109491</v>
      </c>
      <c r="H2" s="8">
        <f>C2-G2</f>
        <v>-17508</v>
      </c>
      <c r="I2" s="7">
        <f>IFERROR(H2/G2, 0)</f>
        <v>-0.15990355371674383</v>
      </c>
      <c r="J2" s="28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75">
      <c r="A4" s="33" t="str" cm="1">
        <f t="array" ref="A4">Sites[Site]</f>
        <v>MAC - Phase 2</v>
      </c>
      <c r="B4" s="30" t="str" cm="1">
        <f t="array" ref="B4">Sites[State]</f>
        <v>MN</v>
      </c>
      <c r="C4" s="26">
        <v>91983</v>
      </c>
      <c r="D4" s="14">
        <v>92446</v>
      </c>
      <c r="E4" s="14">
        <f>IF(AND(ISNUMBER(C4),ISNUMBER(D4)), C4-D4, "")</f>
        <v>-463</v>
      </c>
      <c r="F4" s="15">
        <f>IFERROR(E4/D4, "")</f>
        <v>-5.0083291867684919E-3</v>
      </c>
      <c r="G4" s="16">
        <v>109491</v>
      </c>
      <c r="H4" s="16">
        <f>IF(AND(ISNUMBER(C4),ISNUMBER(G4)), C4-G4, "")</f>
        <v>-17508</v>
      </c>
      <c r="I4" s="17">
        <f>IFERROR(H4/G4, "")</f>
        <v>-0.15990355371674383</v>
      </c>
      <c r="J4" s="18"/>
      <c r="K4" s="18"/>
    </row>
    <row r="5" spans="1:11" ht="15.7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2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2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3.9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20" priority="1" stopIfTrue="1" operator="lessThanOrEqual">
      <formula>-0.1</formula>
    </cfRule>
    <cfRule type="expression" dxfId="1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32"/>
  <sheetViews>
    <sheetView workbookViewId="0">
      <pane ySplit="2" topLeftCell="A3" activePane="bottomLeft" state="frozen"/>
      <selection pane="bottomLeft" activeCell="G12" sqref="G12"/>
      <selection activeCell="A6" sqref="A6:A15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5" t="str" cm="1">
        <f t="array" ref="A1">portfolio</f>
        <v>MAC Phase II</v>
      </c>
      <c r="B1" s="45"/>
      <c r="C1" s="45"/>
      <c r="D1" s="46" t="s">
        <v>28</v>
      </c>
      <c r="E1" s="46"/>
      <c r="F1" s="46"/>
      <c r="G1" s="44" t="s">
        <v>29</v>
      </c>
      <c r="H1" s="44"/>
      <c r="I1" s="44"/>
      <c r="J1" s="5"/>
      <c r="K1" s="5"/>
    </row>
    <row r="2" spans="1:11" ht="19.5" customHeight="1">
      <c r="A2" s="47" t="s">
        <v>2</v>
      </c>
      <c r="B2" s="47"/>
      <c r="C2" s="6">
        <f>SUM(C4:C90)</f>
        <v>118190</v>
      </c>
      <c r="D2" s="6">
        <f>SUM(D4:D90)</f>
        <v>115597</v>
      </c>
      <c r="E2" s="6">
        <f>C2-D2</f>
        <v>2593</v>
      </c>
      <c r="F2" s="7">
        <f>IFERROR(E2/D2, 0)</f>
        <v>2.2431377976937117E-2</v>
      </c>
      <c r="G2" s="6">
        <f>SUM(G4:G90)</f>
        <v>130996</v>
      </c>
      <c r="H2" s="8">
        <f>C2-G2</f>
        <v>-12806</v>
      </c>
      <c r="I2" s="7">
        <f>IFERROR(H2/G2, 0)</f>
        <v>-9.7758710189624107E-2</v>
      </c>
      <c r="J2" s="28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75">
      <c r="A4" s="33" t="str" cm="1">
        <f t="array" ref="A4">Sites[Site]</f>
        <v>MAC - Phase 2</v>
      </c>
      <c r="B4" s="30" t="str" cm="1">
        <f t="array" ref="B4">Sites[State]</f>
        <v>MN</v>
      </c>
      <c r="C4" s="26">
        <v>118190</v>
      </c>
      <c r="D4" s="14">
        <v>115597</v>
      </c>
      <c r="E4" s="14">
        <f>IF(AND(ISNUMBER(C4),ISNUMBER(D4)), C4-D4, "")</f>
        <v>2593</v>
      </c>
      <c r="F4" s="15">
        <f>IFERROR(E4/D4, "")</f>
        <v>2.2431377976937117E-2</v>
      </c>
      <c r="G4" s="16">
        <v>130996</v>
      </c>
      <c r="H4" s="16">
        <f>IF(AND(ISNUMBER(C4),ISNUMBER(G4)), C4-G4, "")</f>
        <v>-12806</v>
      </c>
      <c r="I4" s="17">
        <f>IFERROR(H4/G4, "")</f>
        <v>-9.7758710189624107E-2</v>
      </c>
      <c r="J4" s="18"/>
      <c r="K4" s="18"/>
    </row>
    <row r="5" spans="1:11" ht="15.7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2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2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3.9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8" priority="1" stopIfTrue="1" operator="lessThanOrEqual">
      <formula>-0.1</formula>
    </cfRule>
    <cfRule type="expression" dxfId="1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32"/>
  <sheetViews>
    <sheetView workbookViewId="0">
      <pane ySplit="2" topLeftCell="A3" activePane="bottomLeft" state="frozen"/>
      <selection pane="bottomLeft" activeCell="G13" sqref="G13"/>
      <selection activeCell="A6" sqref="A6:A15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5" t="str" cm="1">
        <f t="array" ref="A1">portfolio</f>
        <v>MAC Phase II</v>
      </c>
      <c r="B1" s="45"/>
      <c r="C1" s="45"/>
      <c r="D1" s="46" t="s">
        <v>30</v>
      </c>
      <c r="E1" s="46"/>
      <c r="F1" s="46"/>
      <c r="G1" s="44" t="s">
        <v>31</v>
      </c>
      <c r="H1" s="44"/>
      <c r="I1" s="44"/>
      <c r="J1" s="5"/>
      <c r="K1" s="5"/>
    </row>
    <row r="2" spans="1:11" ht="19.5" customHeight="1">
      <c r="A2" s="47" t="s">
        <v>2</v>
      </c>
      <c r="B2" s="47"/>
      <c r="C2" s="6">
        <f>SUM(C4:C90)</f>
        <v>107113</v>
      </c>
      <c r="D2" s="6">
        <f>SUM(D4:D90)</f>
        <v>102505</v>
      </c>
      <c r="E2" s="6">
        <f>C2-D2</f>
        <v>4608</v>
      </c>
      <c r="F2" s="7">
        <f>IFERROR(E2/D2, 0)</f>
        <v>4.4953904687576214E-2</v>
      </c>
      <c r="G2" s="6">
        <f>SUM(G4:G90)</f>
        <v>132458</v>
      </c>
      <c r="H2" s="8">
        <f>C2-G2</f>
        <v>-25345</v>
      </c>
      <c r="I2" s="7">
        <f>IFERROR(H2/G2, 0)</f>
        <v>-0.19134367120143744</v>
      </c>
      <c r="J2" s="28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75">
      <c r="A4" s="33" t="str" cm="1">
        <f t="array" ref="A4">Sites[Site]</f>
        <v>MAC - Phase 2</v>
      </c>
      <c r="B4" s="30" t="str" cm="1">
        <f t="array" ref="B4">Sites[State]</f>
        <v>MN</v>
      </c>
      <c r="C4" s="26">
        <v>107113</v>
      </c>
      <c r="D4" s="14">
        <v>102505</v>
      </c>
      <c r="E4" s="14">
        <f>IF(AND(ISNUMBER(C4),ISNUMBER(D4)), C4-D4, "")</f>
        <v>4608</v>
      </c>
      <c r="F4" s="15">
        <f>IFERROR(E4/D4, "")</f>
        <v>4.4953904687576214E-2</v>
      </c>
      <c r="G4" s="16">
        <v>132458</v>
      </c>
      <c r="H4" s="16">
        <f>IF(AND(ISNUMBER(C4),ISNUMBER(G4)), C4-G4, "")</f>
        <v>-25345</v>
      </c>
      <c r="I4" s="17">
        <f>IFERROR(H4/G4, "")</f>
        <v>-0.19134367120143744</v>
      </c>
      <c r="J4" s="18"/>
      <c r="K4" s="18"/>
    </row>
    <row r="5" spans="1:11" ht="15.7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2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2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3.9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6" priority="1" stopIfTrue="1" operator="lessThanOrEqual">
      <formula>-0.1</formula>
    </cfRule>
    <cfRule type="expression" dxfId="15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27"/>
  <sheetViews>
    <sheetView workbookViewId="0">
      <pane ySplit="2" topLeftCell="A3" activePane="bottomLeft" state="frozen"/>
      <selection pane="bottomLeft" activeCell="F11" sqref="F11"/>
      <selection activeCell="A6" sqref="A6:A15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5" t="str" cm="1">
        <f t="array" ref="A1">portfolio</f>
        <v>MAC Phase II</v>
      </c>
      <c r="B1" s="45"/>
      <c r="C1" s="45"/>
      <c r="D1" s="46" t="s">
        <v>32</v>
      </c>
      <c r="E1" s="46"/>
      <c r="F1" s="46"/>
      <c r="G1" s="44" t="s">
        <v>33</v>
      </c>
      <c r="H1" s="44"/>
      <c r="I1" s="44"/>
      <c r="J1" s="5"/>
      <c r="K1" s="5"/>
    </row>
    <row r="2" spans="1:11" ht="19.5" customHeight="1">
      <c r="A2" s="47" t="s">
        <v>2</v>
      </c>
      <c r="B2" s="47"/>
      <c r="C2" s="6">
        <f>SUM(C4:C85)</f>
        <v>118925</v>
      </c>
      <c r="D2" s="6">
        <f>SUM(D4:D85)</f>
        <v>114848</v>
      </c>
      <c r="E2" s="6">
        <f>C2-D2</f>
        <v>4077</v>
      </c>
      <c r="F2" s="7">
        <f>IFERROR(E2/D2, 0)</f>
        <v>3.5499094455280024E-2</v>
      </c>
      <c r="G2" s="6">
        <f>SUM(G4:G85)</f>
        <v>135551</v>
      </c>
      <c r="H2" s="8">
        <f>C2-G2</f>
        <v>-16626</v>
      </c>
      <c r="I2" s="7">
        <f>IFERROR(H2/G2, 0)</f>
        <v>-0.12265494168246638</v>
      </c>
      <c r="J2" s="28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75">
      <c r="A4" s="33" t="str" cm="1">
        <f t="array" ref="A4">Sites[Site]</f>
        <v>MAC - Phase 2</v>
      </c>
      <c r="B4" s="30" t="str" cm="1">
        <f t="array" ref="B4">Sites[State]</f>
        <v>MN</v>
      </c>
      <c r="C4" s="26">
        <v>118925</v>
      </c>
      <c r="D4" s="14">
        <v>114848</v>
      </c>
      <c r="E4" s="14">
        <f>IF(AND(ISNUMBER(C4),ISNUMBER(D4)), C4-D4, "")</f>
        <v>4077</v>
      </c>
      <c r="F4" s="15">
        <f>IFERROR(E4/D4, "")</f>
        <v>3.5499094455280024E-2</v>
      </c>
      <c r="G4" s="16">
        <v>135551</v>
      </c>
      <c r="H4" s="16">
        <f>IF(AND(ISNUMBER(C4),ISNUMBER(G4)), C4-G4, "")</f>
        <v>-16626</v>
      </c>
      <c r="I4" s="17">
        <f>IFERROR(H4/G4, "")</f>
        <v>-0.12265494168246638</v>
      </c>
      <c r="J4" s="18"/>
      <c r="K4" s="18"/>
    </row>
    <row r="5" spans="1:11" ht="15.7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2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2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4"/>
      <c r="G18" s="23"/>
      <c r="H18" s="23"/>
      <c r="I18" s="24"/>
      <c r="J18" s="23"/>
      <c r="K18" s="23"/>
    </row>
    <row r="19" spans="1:11" ht="14.25">
      <c r="A19" s="23"/>
      <c r="B19" s="34"/>
      <c r="C19" s="23"/>
      <c r="D19" s="23"/>
      <c r="E19" s="23"/>
      <c r="F19" s="24"/>
      <c r="G19" s="23"/>
      <c r="H19" s="23"/>
      <c r="I19" s="24"/>
      <c r="J19" s="23"/>
      <c r="K19" s="23"/>
    </row>
    <row r="20" spans="1:11" ht="14.25">
      <c r="A20" s="23"/>
      <c r="B20" s="34"/>
      <c r="C20" s="23"/>
      <c r="D20" s="23"/>
      <c r="E20" s="23"/>
      <c r="F20" s="24"/>
      <c r="G20" s="23"/>
      <c r="H20" s="23"/>
      <c r="I20" s="24"/>
      <c r="J20" s="23"/>
      <c r="K20" s="23"/>
    </row>
    <row r="21" spans="1:11" ht="14.25">
      <c r="A21" s="23"/>
      <c r="B21" s="34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25">
      <c r="A22" s="23"/>
      <c r="B22" s="34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3.9">
      <c r="C327" s="23"/>
      <c r="D327" s="23"/>
      <c r="E327" s="23"/>
      <c r="F327" s="24"/>
      <c r="G327" s="23"/>
      <c r="H327" s="23"/>
      <c r="I327" s="24"/>
      <c r="J327" s="23"/>
      <c r="K327" s="23"/>
    </row>
  </sheetData>
  <sortState xmlns:xlrd2="http://schemas.microsoft.com/office/spreadsheetml/2017/richdata2" ref="A3:K5">
    <sortCondition ref="A3:A5"/>
  </sortState>
  <mergeCells count="4">
    <mergeCell ref="G1:I1"/>
    <mergeCell ref="A1:C1"/>
    <mergeCell ref="D1:F1"/>
    <mergeCell ref="A2:B2"/>
  </mergeCells>
  <conditionalFormatting sqref="F2 I2 F4:F85 I4:I85">
    <cfRule type="cellIs" dxfId="14" priority="1" stopIfTrue="1" operator="lessThanOrEqual">
      <formula>-0.1</formula>
    </cfRule>
    <cfRule type="expression" dxfId="1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32"/>
  <sheetViews>
    <sheetView topLeftCell="B1" workbookViewId="0">
      <pane ySplit="2" topLeftCell="A3" activePane="bottomLeft" state="frozen"/>
      <selection pane="bottomLeft" activeCell="I14" sqref="I14"/>
      <selection activeCell="A6" sqref="A6:A15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5" t="str" cm="1">
        <f t="array" ref="A1">portfolio</f>
        <v>MAC Phase II</v>
      </c>
      <c r="B1" s="45"/>
      <c r="C1" s="45"/>
      <c r="D1" s="46" t="s">
        <v>34</v>
      </c>
      <c r="E1" s="46"/>
      <c r="F1" s="46"/>
      <c r="G1" s="44" t="s">
        <v>35</v>
      </c>
      <c r="H1" s="44"/>
      <c r="I1" s="44"/>
      <c r="J1" s="5"/>
      <c r="K1" s="5"/>
    </row>
    <row r="2" spans="1:11" ht="19.5" customHeight="1">
      <c r="A2" s="47" t="s">
        <v>2</v>
      </c>
      <c r="B2" s="47"/>
      <c r="C2" s="6">
        <f>SUM(C4:C90)</f>
        <v>107895</v>
      </c>
      <c r="D2" s="6">
        <f>SUM(D4:D90)</f>
        <v>108317.22500000001</v>
      </c>
      <c r="E2" s="6">
        <f>C2-D2</f>
        <v>-422.22500000000582</v>
      </c>
      <c r="F2" s="7">
        <f>IFERROR(E2/D2, 0)</f>
        <v>-3.8980411471952478E-3</v>
      </c>
      <c r="G2" s="6">
        <f>SUM(G4:G90)</f>
        <v>121980</v>
      </c>
      <c r="H2" s="8">
        <f>C2-G2</f>
        <v>-14085</v>
      </c>
      <c r="I2" s="7">
        <f>IFERROR(H2/G2, 0)</f>
        <v>-0.11546974913920315</v>
      </c>
      <c r="J2" s="28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75">
      <c r="A4" s="33" t="str" cm="1">
        <f t="array" ref="A4">Sites[Site]</f>
        <v>MAC - Phase 2</v>
      </c>
      <c r="B4" s="30" t="str" cm="1">
        <f t="array" ref="B4">Sites[State]</f>
        <v>MN</v>
      </c>
      <c r="C4" s="26">
        <v>107895</v>
      </c>
      <c r="D4" s="14">
        <v>108317.22500000001</v>
      </c>
      <c r="E4" s="14">
        <f>IF(AND(ISNUMBER(C4),ISNUMBER(D4)), C4-D4, "")</f>
        <v>-422.22500000000582</v>
      </c>
      <c r="F4" s="15">
        <f>IFERROR(E4/D4, "")</f>
        <v>-3.8980411471952478E-3</v>
      </c>
      <c r="G4" s="16">
        <v>121980</v>
      </c>
      <c r="H4" s="16">
        <f>IF(AND(ISNUMBER(C4),ISNUMBER(G4)), C4-G4, "")</f>
        <v>-14085</v>
      </c>
      <c r="I4" s="17">
        <f>IFERROR(H4/G4, "")</f>
        <v>-0.11546974913920315</v>
      </c>
      <c r="J4" s="18"/>
      <c r="K4" s="18"/>
    </row>
    <row r="5" spans="1:11" ht="15.7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2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2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3.9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2" priority="1" stopIfTrue="1" operator="lessThanOrEqual">
      <formula>-0.1</formula>
    </cfRule>
    <cfRule type="expression" dxfId="1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31"/>
  <sheetViews>
    <sheetView topLeftCell="B1" workbookViewId="0">
      <pane ySplit="2" topLeftCell="A3" activePane="bottomLeft" state="frozen"/>
      <selection pane="bottomLeft" activeCell="J19" sqref="J19"/>
      <selection activeCell="A6" sqref="A6:A15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5" t="str" cm="1">
        <f t="array" ref="A1">portfolio</f>
        <v>MAC Phase II</v>
      </c>
      <c r="B1" s="45"/>
      <c r="C1" s="45"/>
      <c r="D1" s="46" t="s">
        <v>36</v>
      </c>
      <c r="E1" s="46"/>
      <c r="F1" s="46"/>
      <c r="G1" s="44" t="s">
        <v>37</v>
      </c>
      <c r="H1" s="44"/>
      <c r="I1" s="44"/>
      <c r="J1" s="5"/>
      <c r="K1" s="5"/>
    </row>
    <row r="2" spans="1:11" ht="19.5" customHeight="1">
      <c r="A2" s="47" t="s">
        <v>2</v>
      </c>
      <c r="B2" s="47"/>
      <c r="C2" s="6">
        <f>SUM(C4:C89)</f>
        <v>110397</v>
      </c>
      <c r="D2" s="6">
        <f>SUM(D4:D89)</f>
        <v>113799</v>
      </c>
      <c r="E2" s="6">
        <f>C2-D2</f>
        <v>-3402</v>
      </c>
      <c r="F2" s="7">
        <f>IFERROR(E2/D2, 0)</f>
        <v>-2.9894814541428307E-2</v>
      </c>
      <c r="G2" s="6">
        <f>SUM(G4:G89)</f>
        <v>102927</v>
      </c>
      <c r="H2" s="8">
        <f>C2-G2</f>
        <v>7470</v>
      </c>
      <c r="I2" s="7">
        <f>IFERROR(H2/G2, 0)</f>
        <v>7.2575708997639099E-2</v>
      </c>
      <c r="J2" s="28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75">
      <c r="A4" s="33" t="str" cm="1">
        <f t="array" ref="A4">Sites[Site]</f>
        <v>MAC - Phase 2</v>
      </c>
      <c r="B4" s="30" t="str" cm="1">
        <f t="array" ref="B4">Sites[State]</f>
        <v>MN</v>
      </c>
      <c r="C4" s="26">
        <v>110397</v>
      </c>
      <c r="D4" s="14">
        <v>113799</v>
      </c>
      <c r="E4" s="14">
        <f>IF(AND(ISNUMBER(C4),ISNUMBER(D4)), C4-D4, "")</f>
        <v>-3402</v>
      </c>
      <c r="F4" s="15">
        <f>IFERROR(E4/D4, "")</f>
        <v>-2.9894814541428307E-2</v>
      </c>
      <c r="G4" s="16">
        <v>102927</v>
      </c>
      <c r="H4" s="16">
        <f>IF(AND(ISNUMBER(C4),ISNUMBER(G4)), C4-G4, "")</f>
        <v>7470</v>
      </c>
      <c r="I4" s="17">
        <f>IFERROR(H4/G4, "")</f>
        <v>7.2575708997639099E-2</v>
      </c>
      <c r="J4" s="18"/>
      <c r="K4" s="18"/>
    </row>
    <row r="5" spans="1:11" ht="15.7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2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2.75" customHeight="1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4.25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4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3.9">
      <c r="C331" s="23"/>
      <c r="D331" s="23"/>
      <c r="E331" s="23"/>
      <c r="F331" s="24"/>
      <c r="G331" s="23"/>
      <c r="H331" s="23"/>
      <c r="I331" s="24"/>
      <c r="J331" s="23"/>
      <c r="K331" s="23"/>
    </row>
  </sheetData>
  <mergeCells count="4">
    <mergeCell ref="G1:I1"/>
    <mergeCell ref="A1:C1"/>
    <mergeCell ref="D1:F1"/>
    <mergeCell ref="A2:B2"/>
  </mergeCells>
  <conditionalFormatting sqref="F2 I2 F4:F89 I4:I89">
    <cfRule type="cellIs" dxfId="10" priority="1" stopIfTrue="1" operator="lessThanOrEqual">
      <formula>-0.1</formula>
    </cfRule>
    <cfRule type="expression" dxfId="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32"/>
  <sheetViews>
    <sheetView tabSelected="1" zoomScale="90" zoomScaleNormal="90" workbookViewId="0">
      <pane ySplit="2" topLeftCell="A3" activePane="bottomLeft" state="frozen"/>
      <selection pane="bottomLeft" activeCell="G19" sqref="G19"/>
      <selection activeCell="A6" sqref="A6:A15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5" t="str" cm="1">
        <f t="array" ref="A1">portfolio</f>
        <v>MAC Phase II</v>
      </c>
      <c r="B1" s="45"/>
      <c r="C1" s="45"/>
      <c r="D1" s="46" t="s">
        <v>38</v>
      </c>
      <c r="E1" s="46"/>
      <c r="F1" s="46"/>
      <c r="G1" s="44" t="s">
        <v>39</v>
      </c>
      <c r="H1" s="44"/>
      <c r="I1" s="44"/>
      <c r="J1" s="5"/>
      <c r="K1" s="5"/>
    </row>
    <row r="2" spans="1:11" ht="19.5" customHeight="1">
      <c r="A2" s="47" t="s">
        <v>2</v>
      </c>
      <c r="B2" s="47"/>
      <c r="C2" s="6">
        <f>SUM(C4:C90)</f>
        <v>81296</v>
      </c>
      <c r="D2" s="6">
        <f>SUM(D4:D90)</f>
        <v>89208.394</v>
      </c>
      <c r="E2" s="6">
        <f>C2-D2</f>
        <v>-7912.3940000000002</v>
      </c>
      <c r="F2" s="7">
        <f>IFERROR(E2/D2, 0)</f>
        <v>-8.8695622073411612E-2</v>
      </c>
      <c r="G2" s="6">
        <f>SUM(G4:G90)</f>
        <v>82698.762000000002</v>
      </c>
      <c r="H2" s="8">
        <f>C2-G2</f>
        <v>-1402.7620000000024</v>
      </c>
      <c r="I2" s="7">
        <f>IFERROR(H2/G2, 0)</f>
        <v>-1.6962309544609658E-2</v>
      </c>
      <c r="J2" s="28" t="str">
        <f ca="1">IF(AND(TODAY()&gt;DATE(2024, 10,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75">
      <c r="A4" s="33" t="str" cm="1">
        <f t="array" ref="A4">Sites[Site]</f>
        <v>MAC - Phase 2</v>
      </c>
      <c r="B4" s="30" t="str" cm="1">
        <f t="array" ref="B4">Sites[State]</f>
        <v>MN</v>
      </c>
      <c r="C4" s="26">
        <v>81296</v>
      </c>
      <c r="D4" s="14">
        <v>89208.394</v>
      </c>
      <c r="E4" s="14">
        <f>IF(AND(ISNUMBER(C4),ISNUMBER(D4)), C4-D4, "")</f>
        <v>-7912.3940000000002</v>
      </c>
      <c r="F4" s="15">
        <f>IFERROR(E4/D4, "")</f>
        <v>-8.8695622073411612E-2</v>
      </c>
      <c r="G4" s="16">
        <v>82698.762000000002</v>
      </c>
      <c r="H4" s="16">
        <f>IF(AND(ISNUMBER(C4),ISNUMBER(G4)), C4-G4, "")</f>
        <v>-1402.7620000000024</v>
      </c>
      <c r="I4" s="17">
        <f>IFERROR(H4/G4, "")</f>
        <v>-1.6962309544609658E-2</v>
      </c>
      <c r="J4" s="18"/>
      <c r="K4" s="18"/>
    </row>
    <row r="5" spans="1:11" ht="15.7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2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2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3.9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8" priority="1" stopIfTrue="1" operator="lessThanOrEqual">
      <formula>-0.1</formula>
    </cfRule>
    <cfRule type="expression" dxfId="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32"/>
  <sheetViews>
    <sheetView workbookViewId="0">
      <pane ySplit="2" topLeftCell="A3" activePane="bottomLeft" state="frozen"/>
      <selection pane="bottomLeft" activeCell="J12" sqref="J12"/>
      <selection activeCell="A6" sqref="A6:A15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5" t="str" cm="1">
        <f t="array" ref="A1">portfolio</f>
        <v>MAC Phase II</v>
      </c>
      <c r="B1" s="45"/>
      <c r="C1" s="45"/>
      <c r="D1" s="46" t="s">
        <v>40</v>
      </c>
      <c r="E1" s="46"/>
      <c r="F1" s="46"/>
      <c r="G1" s="44" t="s">
        <v>41</v>
      </c>
      <c r="H1" s="44"/>
      <c r="I1" s="44"/>
      <c r="J1" s="5"/>
      <c r="K1" s="5"/>
    </row>
    <row r="2" spans="1:11" ht="19.5" customHeight="1">
      <c r="A2" s="47" t="s">
        <v>2</v>
      </c>
      <c r="B2" s="47"/>
      <c r="C2" s="6">
        <f>SUM(C4:C90)</f>
        <v>37621</v>
      </c>
      <c r="D2" s="6">
        <f>SUM(D4:D90)</f>
        <v>44194.485999999997</v>
      </c>
      <c r="E2" s="6">
        <f>C2-D2</f>
        <v>-6573.4859999999971</v>
      </c>
      <c r="F2" s="7">
        <f>IFERROR(E2/D2, 0)</f>
        <v>-0.1487399581929745</v>
      </c>
      <c r="G2" s="6">
        <f>SUM(G4:G90)</f>
        <v>54237.15</v>
      </c>
      <c r="H2" s="8">
        <f>C2-G2</f>
        <v>-16616.150000000001</v>
      </c>
      <c r="I2" s="7">
        <f>IFERROR(H2/G2, 0)</f>
        <v>-0.30636104588828877</v>
      </c>
      <c r="J2" s="28" t="str">
        <f ca="1">IF(AND(TODAY()&gt;DATE(2024, 11,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75">
      <c r="A4" s="33" t="str" cm="1">
        <f t="array" ref="A4">Sites[Site]</f>
        <v>MAC - Phase 2</v>
      </c>
      <c r="B4" s="30" t="str" cm="1">
        <f t="array" ref="B4">Sites[State]</f>
        <v>MN</v>
      </c>
      <c r="C4" s="26">
        <v>37621</v>
      </c>
      <c r="D4" s="14">
        <v>44194.485999999997</v>
      </c>
      <c r="E4" s="14">
        <f>IF(AND(ISNUMBER(C4),ISNUMBER(D4)), C4-D4, "")</f>
        <v>-6573.4859999999971</v>
      </c>
      <c r="F4" s="15">
        <f>IFERROR(E4/D4, "")</f>
        <v>-0.1487399581929745</v>
      </c>
      <c r="G4" s="16">
        <v>54237.15</v>
      </c>
      <c r="H4" s="16">
        <f>IF(AND(ISNUMBER(C4),ISNUMBER(G4)), C4-G4, "")</f>
        <v>-16616.150000000001</v>
      </c>
      <c r="I4" s="17">
        <f>IFERROR(H4/G4, "")</f>
        <v>-0.30636104588828877</v>
      </c>
      <c r="J4" s="18"/>
      <c r="K4" s="18"/>
    </row>
    <row r="5" spans="1:11" ht="15.7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2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2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3.9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6" priority="1" stopIfTrue="1" operator="lessThanOrEqual">
      <formula>-0.1</formula>
    </cfRule>
    <cfRule type="expression" dxfId="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32"/>
  <sheetViews>
    <sheetView topLeftCell="B1" zoomScale="90" zoomScaleNormal="90" workbookViewId="0">
      <pane ySplit="2" topLeftCell="A3" activePane="bottomLeft" state="frozen"/>
      <selection pane="bottomLeft" activeCell="G8" sqref="G8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5" t="str" cm="1">
        <f t="array" ref="A1">portfolio</f>
        <v>MAC Phase II</v>
      </c>
      <c r="B1" s="45"/>
      <c r="C1" s="45"/>
      <c r="D1" s="46" t="s">
        <v>42</v>
      </c>
      <c r="E1" s="46"/>
      <c r="F1" s="46"/>
      <c r="G1" s="44" t="s">
        <v>43</v>
      </c>
      <c r="H1" s="44"/>
      <c r="I1" s="44"/>
      <c r="J1" s="5"/>
      <c r="K1" s="5"/>
    </row>
    <row r="2" spans="1:11" ht="19.5" customHeight="1">
      <c r="A2" s="47" t="s">
        <v>2</v>
      </c>
      <c r="B2" s="47"/>
      <c r="C2" s="6">
        <f>SUM(C4:C90)</f>
        <v>24665</v>
      </c>
      <c r="D2" s="6">
        <f>SUM(D4:D90)</f>
        <v>34409.949999999997</v>
      </c>
      <c r="E2" s="6">
        <f>C2-D2</f>
        <v>-9744.9499999999971</v>
      </c>
      <c r="F2" s="7">
        <f>IFERROR(E2/D2, 0)</f>
        <v>-0.28320151584062164</v>
      </c>
      <c r="G2" s="6">
        <f>SUM(G4:G90)</f>
        <v>52756.048000000003</v>
      </c>
      <c r="H2" s="8">
        <f>C2-G2</f>
        <v>-28091.048000000003</v>
      </c>
      <c r="I2" s="7">
        <f>IFERROR(H2/G2, 0)</f>
        <v>-0.5324706657329602</v>
      </c>
      <c r="J2" s="28" t="str">
        <f ca="1">IF(AND(TODAY()&gt;DATE(2024, 12,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75">
      <c r="A4" s="33" t="str" cm="1">
        <f t="array" ref="A4">Sites[Site]</f>
        <v>MAC - Phase 2</v>
      </c>
      <c r="B4" s="30" t="str" cm="1">
        <f t="array" ref="B4">Sites[State]</f>
        <v>MN</v>
      </c>
      <c r="C4" s="26">
        <v>24665</v>
      </c>
      <c r="D4" s="14">
        <v>34409.949999999997</v>
      </c>
      <c r="E4" s="14">
        <f>IF(AND(ISNUMBER(C4),ISNUMBER(D4)), C4-D4, "")</f>
        <v>-9744.9499999999971</v>
      </c>
      <c r="F4" s="15">
        <f>IFERROR(E4/D4, "")</f>
        <v>-0.28320151584062164</v>
      </c>
      <c r="G4" s="16">
        <v>52756.048000000003</v>
      </c>
      <c r="H4" s="16">
        <f>IF(AND(ISNUMBER(C4),ISNUMBER(G4)), C4-G4, "")</f>
        <v>-28091.048000000003</v>
      </c>
      <c r="I4" s="17">
        <f>IFERROR(H4/G4, "")</f>
        <v>-0.5324706657329602</v>
      </c>
      <c r="J4" s="18"/>
      <c r="K4" s="18"/>
    </row>
    <row r="5" spans="1:11" ht="15.7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2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2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3.9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4" priority="1" stopIfTrue="1" operator="lessThanOrEqual">
      <formula>-0.1</formula>
    </cfRule>
    <cfRule type="expression" dxfId="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G4"/>
  <sheetViews>
    <sheetView workbookViewId="0">
      <pane ySplit="3" topLeftCell="A4" activePane="bottomLeft" state="frozen"/>
      <selection pane="bottomLeft" activeCell="B18" sqref="B18"/>
    </sheetView>
  </sheetViews>
  <sheetFormatPr defaultRowHeight="12.75" customHeight="1"/>
  <cols>
    <col min="1" max="2" width="41.85546875" customWidth="1"/>
    <col min="4" max="4" width="9.140625" customWidth="1"/>
    <col min="5" max="5" width="18.28515625" customWidth="1"/>
    <col min="6" max="14" width="9.140625" customWidth="1"/>
  </cols>
  <sheetData>
    <row r="1" spans="1:7" ht="12.75" customHeight="1">
      <c r="A1" t="s">
        <v>44</v>
      </c>
      <c r="B1" s="36" t="s">
        <v>45</v>
      </c>
    </row>
    <row r="3" spans="1:7">
      <c r="A3" t="s">
        <v>46</v>
      </c>
      <c r="B3" t="s">
        <v>3</v>
      </c>
      <c r="C3" t="s">
        <v>4</v>
      </c>
      <c r="D3" t="s">
        <v>47</v>
      </c>
      <c r="E3" s="2" t="s">
        <v>48</v>
      </c>
    </row>
    <row r="4" spans="1:7" ht="14.25">
      <c r="A4" s="36" t="s">
        <v>45</v>
      </c>
      <c r="B4" s="43" t="s">
        <v>49</v>
      </c>
      <c r="C4" s="4" t="s">
        <v>50</v>
      </c>
      <c r="G4" s="3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��
</file>

<file path=customXml/item3.xml>��
</file>

<file path=customXml/item4.xml>��
</file>

<file path=customXml/item5.xml>��
</file>

<file path=customXml/item6.xml>��
</file>

<file path=customXml/item7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C0BCDC1E-6052-4E48-9BAF-94A40814E7C2}"/>
</file>

<file path=customXml/itemProps2.xml><?xml version="1.0" encoding="utf-8"?>
<ds:datastoreItem xmlns:ds="http://schemas.openxmlformats.org/officeDocument/2006/customXml" ds:itemID="{BF5C6359-7763-4C37-8EAF-2BC4698CB285}"/>
</file>

<file path=customXml/itemProps3.xml><?xml version="1.0" encoding="utf-8"?>
<ds:datastoreItem xmlns:ds="http://schemas.openxmlformats.org/officeDocument/2006/customXml" ds:itemID="{E20E8303-6A67-485C-B6F4-303542CC295C}"/>
</file>

<file path=customXml/itemProps4.xml><?xml version="1.0" encoding="utf-8"?>
<ds:datastoreItem xmlns:ds="http://schemas.openxmlformats.org/officeDocument/2006/customXml" ds:itemID="{CB52044A-5C0B-44A2-99D0-C1C315EC302D}"/>
</file>

<file path=customXml/itemProps5.xml><?xml version="1.0" encoding="utf-8"?>
<ds:datastoreItem xmlns:ds="http://schemas.openxmlformats.org/officeDocument/2006/customXml" ds:itemID="{0389C43E-394D-44C0-87DC-4780FCFCFB40}"/>
</file>

<file path=customXml/itemProps6.xml><?xml version="1.0" encoding="utf-8"?>
<ds:datastoreItem xmlns:ds="http://schemas.openxmlformats.org/officeDocument/2006/customXml" ds:itemID="{E3716282-BFD2-4ED2-BA47-BFA1123827F0}"/>
</file>

<file path=customXml/itemProps7.xml><?xml version="1.0" encoding="utf-8"?>
<ds:datastoreItem xmlns:ds="http://schemas.openxmlformats.org/officeDocument/2006/customXml" ds:itemID="{8D732231-4216-4543-A665-18A2886B0EB7}"/>
</file>

<file path=customXml/itemProps8.xml><?xml version="1.0" encoding="utf-8"?>
<ds:datastoreItem xmlns:ds="http://schemas.openxmlformats.org/officeDocument/2006/customXml" ds:itemID="{2BC74AAC-D69B-4AF1-9649-B21EF3C1C463}"/>
</file>

<file path=customXml/itemProps9.xml><?xml version="1.0" encoding="utf-8"?>
<ds:datastoreItem xmlns:ds="http://schemas.openxmlformats.org/officeDocument/2006/customXml" ds:itemID="{F6B2B1A1-1C4B-4AC9-9A7D-7A102DD1C942}"/>
</file>

<file path=customXml/itemProps10.xml><?xml version="1.0" encoding="utf-8"?>
<ds:datastoreItem xmlns:ds="http://schemas.openxmlformats.org/officeDocument/2006/customXml" ds:itemID="{66B09F59-6532-46F8-924A-9A02417E070D}"/>
</file>

<file path=customXml/itemProps11.xml><?xml version="1.0" encoding="utf-8"?>
<ds:datastoreItem xmlns:ds="http://schemas.openxmlformats.org/officeDocument/2006/customXml" ds:itemID="{F12EFA50-0068-4A8C-85A0-F1B26389EBC3}"/>
</file>

<file path=customXml/itemProps12.xml><?xml version="1.0" encoding="utf-8"?>
<ds:datastoreItem xmlns:ds="http://schemas.openxmlformats.org/officeDocument/2006/customXml" ds:itemID="{078388C9-06F9-42F4-B857-EF76B5CAF1FD}"/>
</file>

<file path=customXml/itemProps13.xml><?xml version="1.0" encoding="utf-8"?>
<ds:datastoreItem xmlns:ds="http://schemas.openxmlformats.org/officeDocument/2006/customXml" ds:itemID="{3AEAA9D8-2182-46BA-A58E-96C72DDA1C54}"/>
</file>

<file path=customXml/itemProps14.xml><?xml version="1.0" encoding="utf-8"?>
<ds:datastoreItem xmlns:ds="http://schemas.openxmlformats.org/officeDocument/2006/customXml" ds:itemID="{98A113BB-8B7A-453C-8BD4-8EFC67FC2D3F}"/>
</file>

<file path=customXml/itemProps15.xml><?xml version="1.0" encoding="utf-8"?>
<ds:datastoreItem xmlns:ds="http://schemas.openxmlformats.org/officeDocument/2006/customXml" ds:itemID="{7946C510-7D04-49D8-9B25-EEC04582A1CA}"/>
</file>

<file path=customXml/itemProps16.xml><?xml version="1.0" encoding="utf-8"?>
<ds:datastoreItem xmlns:ds="http://schemas.openxmlformats.org/officeDocument/2006/customXml" ds:itemID="{14966E4F-347B-477B-B74C-9DAC05405806}"/>
</file>

<file path=customXml/itemProps17.xml><?xml version="1.0" encoding="utf-8"?>
<ds:datastoreItem xmlns:ds="http://schemas.openxmlformats.org/officeDocument/2006/customXml" ds:itemID="{BE26B669-A686-459C-A5E9-FEC3409C4C81}"/>
</file>

<file path=customXml/itemProps18.xml><?xml version="1.0" encoding="utf-8"?>
<ds:datastoreItem xmlns:ds="http://schemas.openxmlformats.org/officeDocument/2006/customXml" ds:itemID="{89CF5C07-45EB-4100-9AFB-2C6AF77FA787}"/>
</file>

<file path=customXml/itemProps19.xml><?xml version="1.0" encoding="utf-8"?>
<ds:datastoreItem xmlns:ds="http://schemas.openxmlformats.org/officeDocument/2006/customXml" ds:itemID="{D3A7101F-9A85-4235-8B03-415370C100B2}"/>
</file>

<file path=customXml/itemProps20.xml><?xml version="1.0" encoding="utf-8"?>
<ds:datastoreItem xmlns:ds="http://schemas.openxmlformats.org/officeDocument/2006/customXml" ds:itemID="{1954BBA4-0359-438C-B0EC-A756015F7C0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Kusuma Potlada [AGS]</cp:lastModifiedBy>
  <cp:revision/>
  <dcterms:created xsi:type="dcterms:W3CDTF">2021-01-01T16:39:53Z</dcterms:created>
  <dcterms:modified xsi:type="dcterms:W3CDTF">2025-03-20T04:43:51Z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