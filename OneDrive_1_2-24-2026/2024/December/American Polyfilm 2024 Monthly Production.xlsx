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13_ncr:1_{95223888-2AC5-4676-B270-90DCFD23EA5F}" xr6:coauthVersionLast="47" xr6:coauthVersionMax="47" xr10:uidLastSave="{12F15835-E156-432D-88A8-CB94F7B3ED97}"/>
  <bookViews>
    <workbookView xWindow="32025" yWindow="1455" windowWidth="17280" windowHeight="888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D5" i="34"/>
  <c r="C5" i="34"/>
  <c r="C4" i="34"/>
  <c r="G5" i="30"/>
  <c r="G4" i="30"/>
  <c r="G4" i="29"/>
  <c r="G5" i="29"/>
  <c r="G5" i="18"/>
  <c r="G2" i="18" s="1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G4" i="34" s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D2" i="18"/>
  <c r="E5" i="18"/>
  <c r="F5" i="18" s="1"/>
  <c r="E5" i="30"/>
  <c r="F5" i="30" s="1"/>
  <c r="D2" i="29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I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<sst xmlns="http://schemas.openxmlformats.org/spreadsheetml/2006/main" count="245" uniqueCount="56">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</sst>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tabSelected="1" workbookViewId="0">
      <pane xSplit="2" ySplit="3" topLeftCell="C4" activePane="bottomRight" state="frozen"/>
      <selection pane="bottomRight" activeCell="D5" sqref="D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SUM(C4:C69)</f>
        <v>250475.50000000006</v>
      </c>
      <c r="D2" s="5">
        <f>SUM(D4:D69)</f>
        <v>0</v>
      </c>
      <c r="E2" s="5">
        <f>C2-D2</f>
        <v>250475.50000000006</v>
      </c>
      <c r="F2" s="6">
        <f>IFERROR(E2/D2, 0)</f>
        <v>0</v>
      </c>
      <c r="G2" s="5">
        <f>SUM(G4:G69)</f>
        <v>135795.56</v>
      </c>
      <c r="H2" s="7">
        <f>C2-G2</f>
        <v>114679.94000000006</v>
      </c>
      <c r="I2" s="6">
        <f>IFERROR(H2/G2, 0)</f>
        <v>0.84450434167361632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91068.9</v>
      </c>
      <c r="D4" s="13">
        <f>SUM('1st Qtr'!D4, '2nd Qtr'!D4, '3rd Qtr'!D4, '4th Qtr'!D4)</f>
        <v>0</v>
      </c>
      <c r="E4" s="13">
        <f>IF(AND(ISNUMBER(C4),ISNUMBER(D4)), C4-D4, "")</f>
        <v>91068.9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91068.9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SUM('1st Qtr'!C5, '2nd Qtr'!C5, '3rd Qtr'!C5, '4th Qtr'!C5)</f>
        <v>159406.60000000006</v>
      </c>
      <c r="D5" s="20">
        <f>SUM('1st Qtr'!D5, '2nd Qtr'!D5, '3rd Qtr'!D5, '4th Qtr'!D5)</f>
        <v>0</v>
      </c>
      <c r="E5" s="18">
        <f t="shared" ref="E5" si="0">IF(AND(ISNUMBER(C5),ISNUMBER(D5)), C5-D5, "")</f>
        <v>159406.60000000006</v>
      </c>
      <c r="F5" s="19" t="str">
        <f>IFERROR(E5/D5, "")</f>
        <v/>
      </c>
      <c r="G5" s="20">
        <f>SUM('1st Qtr'!G5, '2nd Qtr'!G5, '3rd Qtr'!G5, '4th Qtr'!G5)</f>
        <v>135795.56</v>
      </c>
      <c r="H5" s="20">
        <f>SUM('1st Qtr'!H5, '2nd Qtr'!H5, '3rd Qtr'!H5, '4th Qtr'!H5)</f>
        <v>23611.040000000074</v>
      </c>
      <c r="I5" s="19">
        <f>IFERROR(H5/G5, "")</f>
        <v>0.17387195870027028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SUM(C4:C69)</f>
        <v>42161.2</v>
      </c>
      <c r="D2" s="5">
        <f>SUM(D4:D69)</f>
        <v>0</v>
      </c>
      <c r="E2" s="5">
        <f>C2-D2</f>
        <v>42161.2</v>
      </c>
      <c r="F2" s="6">
        <f>IFERROR(E2/D2, 0)</f>
        <v>0</v>
      </c>
      <c r="G2" s="5">
        <f>SUM(G4:G69)</f>
        <v>28761.561000000002</v>
      </c>
      <c r="H2" s="7">
        <f>C2-G2</f>
        <v>13399.638999999996</v>
      </c>
      <c r="I2" s="6">
        <f>IFERROR(H2/G2, 0)</f>
        <v>0.46588705668652669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15773</v>
      </c>
      <c r="D4" s="13">
        <f>SUM(Jan!D4, Feb!D4, Mar!D4)</f>
        <v>0</v>
      </c>
      <c r="E4" s="13">
        <f>IF(AND(ISNUMBER(C4),ISNUMBER(D4)), C4-D4, "")</f>
        <v>15773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15773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SUM(Jan!G5, Feb!G5, Mar!G5)</f>
        <v>28761.561000000002</v>
      </c>
      <c r="H5" s="20">
        <f>SUM(Jan!H5, Feb!H5, Mar!H5)</f>
        <v>-2373.3609999999999</v>
      </c>
      <c r="I5" s="19">
        <f>IFERROR(H5/G5, "")</f>
        <v>-8.2518504471993007E-2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G7" sqref="G7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SUM(C4:C69)</f>
        <v>84804.6</v>
      </c>
      <c r="D2" s="5">
        <f>SUM(D4:D69)</f>
        <v>0</v>
      </c>
      <c r="E2" s="5">
        <f>C2-D2</f>
        <v>84804.6</v>
      </c>
      <c r="F2" s="6">
        <f>IFERROR(E2/D2, 0)</f>
        <v>0</v>
      </c>
      <c r="G2" s="5">
        <f>SUM(G4:G69)</f>
        <v>41918</v>
      </c>
      <c r="H2" s="7">
        <f>C2-G2</f>
        <v>42886.600000000006</v>
      </c>
      <c r="I2" s="6">
        <f>IFERROR(H2/G2, 0)</f>
        <v>1.0231070184646216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30755</v>
      </c>
      <c r="D4" s="13">
        <f>SUM(Apr!D4, May!D4, Jun!D4)</f>
        <v>0</v>
      </c>
      <c r="E4" s="13">
        <f>IF(AND(ISNUMBER(C4),ISNUMBER(D4)), C4-D4, "")</f>
        <v>30755</v>
      </c>
      <c r="F4" s="14" t="str">
        <f>IFERROR(E4/D4, "")</f>
        <v/>
      </c>
      <c r="G4" s="15">
        <f>SUM(Apr!G4,May!G4,Jun!G4)</f>
        <v>0</v>
      </c>
      <c r="H4" s="15">
        <f>SUM(Apr!H4, May!H4, Jun!H4)</f>
        <v>30755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54049.599999999999</v>
      </c>
      <c r="D5" s="18">
        <f>SUM(Apr!D5, May!D5, Jun!D5)</f>
        <v>0</v>
      </c>
      <c r="E5" s="18">
        <f t="shared" ref="E5" si="0">IF(AND(ISNUMBER(C5),ISNUMBER(D5)), C5-D5, "")</f>
        <v>54049.599999999999</v>
      </c>
      <c r="F5" s="19" t="str">
        <f>IFERROR(E5/D5, "")</f>
        <v/>
      </c>
      <c r="G5" s="18">
        <f>SUM(Apr!G5,May!G5,Jun!G5)</f>
        <v>41918</v>
      </c>
      <c r="H5" s="20">
        <f>SUM(Apr!H5, May!H5, Jun!H5)</f>
        <v>12131.6</v>
      </c>
      <c r="I5" s="19">
        <f>IFERROR(H5/G5, "")</f>
        <v>0.28941266281788253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SUM(C4:C69)</f>
        <v>78340.899999999994</v>
      </c>
      <c r="D2" s="5">
        <f>SUM(D4:D69)</f>
        <v>0</v>
      </c>
      <c r="E2" s="5">
        <f>C2-D2</f>
        <v>78340.899999999994</v>
      </c>
      <c r="F2" s="6">
        <f>IFERROR(E2/D2, 0)</f>
        <v>0</v>
      </c>
      <c r="G2" s="5">
        <f>SUM(G4:G69)</f>
        <v>41764.998999999996</v>
      </c>
      <c r="H2" s="7">
        <f>C2-G2</f>
        <v>36575.900999999998</v>
      </c>
      <c r="I2" s="6">
        <f>IFERROR(H2/G2, 0)</f>
        <v>0.87575486354016197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28345</v>
      </c>
      <c r="D4" s="13">
        <f>SUM(Jul!D4, Aug!D4, Sep!D4)</f>
        <v>0</v>
      </c>
      <c r="E4" s="13">
        <f>IF(AND(ISNUMBER(C4),ISNUMBER(D4)), C4-D4, "")</f>
        <v>28345</v>
      </c>
      <c r="F4" s="14" t="str">
        <f>IFERROR(E4/D4, "")</f>
        <v/>
      </c>
      <c r="G4" s="15">
        <f>SUM(Jul!G4,Aug!G4,Sep!G4)</f>
        <v>0</v>
      </c>
      <c r="H4" s="15">
        <f>SUM(Jul!H4, Aug!H4, Sep!H4)</f>
        <v>28345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49995.899999999994</v>
      </c>
      <c r="D5" s="18">
        <f>SUM(Jul!D5, Aug!D5, Sep!D5)</f>
        <v>0</v>
      </c>
      <c r="E5" s="18">
        <f t="shared" ref="E5" si="0">IF(AND(ISNUMBER(C5),ISNUMBER(D5)), C5-D5, "")</f>
        <v>49995.899999999994</v>
      </c>
      <c r="F5" s="19" t="str">
        <f>IFERROR(E5/D5, "")</f>
        <v/>
      </c>
      <c r="G5" s="18">
        <f>SUM(Jul!G5,Aug!G5,Sep!G5)</f>
        <v>41764.998999999996</v>
      </c>
      <c r="H5" s="20">
        <f>SUM(Jul!H5, Aug!H5, Sep!H5)</f>
        <v>8230.9010000000017</v>
      </c>
      <c r="I5" s="19">
        <f>IFERROR(H5/G5, "")</f>
        <v>0.19707652812346535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E17" sqref="E17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SUM(C4:C69)</f>
        <v>45168.800000000068</v>
      </c>
      <c r="D2" s="5">
        <f>SUM(D4:D69)</f>
        <v>0</v>
      </c>
      <c r="E2" s="5">
        <f>C2-D2</f>
        <v>45168.800000000068</v>
      </c>
      <c r="F2" s="6">
        <f>IFERROR(E2/D2, 0)</f>
        <v>0</v>
      </c>
      <c r="G2" s="5">
        <f>SUM(G4:G69)</f>
        <v>23351</v>
      </c>
      <c r="H2" s="7">
        <f>C2-G2</f>
        <v>21817.800000000068</v>
      </c>
      <c r="I2" s="6">
        <f>IFERROR(H2/G2, 0)</f>
        <v>0.93434114170699623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16195.899999999998</v>
      </c>
      <c r="D4" s="13">
        <f>SUM(Oct!D4, Nov!D4, Dec!D4)</f>
        <v>0</v>
      </c>
      <c r="E4" s="13">
        <f>IF(AND(ISNUMBER(C4),ISNUMBER(D4)), C4-D4, "")</f>
        <v>16195.899999999998</v>
      </c>
      <c r="F4" s="14" t="str">
        <f>IFERROR(E4/D4, "")</f>
        <v/>
      </c>
      <c r="G4" s="15">
        <f>SUM(Oct!G4,Nov!G4,Dec!G4)</f>
        <v>0</v>
      </c>
      <c r="H4" s="15">
        <f>SUM(Oct!H4, Nov!H4, Dec!H4)</f>
        <v>16195.899999999998</v>
      </c>
      <c r="I4" s="16" t="str">
        <f>IFERROR(H4/G4, "")</f>
        <v/>
      </c>
    </row>
    <row r="5" spans="1:9" ht="15.75">
      <c r="A5" s="47" t="str">
        <v>8 Sycamore Way</v>
      </c>
      <c r="B5" s="10" t="str">
        <v>CT</v>
      </c>
      <c r="C5" s="11">
        <f>SUM(Oct!C5, Nov!C5, Dec!C5)</f>
        <v>28972.900000000071</v>
      </c>
      <c r="D5" s="18">
        <f>SUM(Oct!D5, Nov!D5, Dec!D5)</f>
        <v>0</v>
      </c>
      <c r="E5" s="18">
        <f t="shared" ref="E5" si="0">IF(AND(ISNUMBER(C5),ISNUMBER(D5)), C5-D5, "")</f>
        <v>28972.900000000071</v>
      </c>
      <c r="F5" s="19" t="str">
        <f>IFERROR(E5/D5, "")</f>
        <v/>
      </c>
      <c r="G5" s="11">
        <f>SUM(Oct!G5,Nov!G5,Dec!G5)</f>
        <v>23351</v>
      </c>
      <c r="H5" s="20">
        <f>SUM(Oct!H5, Nov!H5, Dec!H5)</f>
        <v>5621.9000000000706</v>
      </c>
      <c r="I5" s="19">
        <f>IFERROR(H5/G5, "")</f>
        <v>0.24075628452743225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K5" sqref="K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SUM(C4:C68)</f>
        <v>6829</v>
      </c>
      <c r="D2" s="5">
        <f>SUM(D4:D68)</f>
        <v>0</v>
      </c>
      <c r="E2" s="5">
        <f>C2-D2</f>
        <v>6829</v>
      </c>
      <c r="F2" s="6">
        <f>IFERROR(E2/D2, 0)</f>
        <v>0</v>
      </c>
      <c r="G2" s="5">
        <f>SUM(G4:G68)</f>
        <v>7721</v>
      </c>
      <c r="H2" s="7">
        <f>C2-G2</f>
        <v>-892</v>
      </c>
      <c r="I2" s="6">
        <f>IFERROR(H2/G2, 0)</f>
        <v>-0.11552907654448906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2566</v>
      </c>
      <c r="D4" s="13">
        <v>0</v>
      </c>
      <c r="E4" s="13">
        <f>IF(AND(ISNUMBER(C4),ISNUMBER(D4)), C4-D4, "")</f>
        <v>2566</v>
      </c>
      <c r="F4" s="43" t="str">
        <f>IFERROR(E4/D4, "")</f>
        <v/>
      </c>
      <c r="G4" s="15">
        <v>0</v>
      </c>
      <c r="H4" s="15">
        <f>IF(AND(ISNUMBER(C4),ISNUMBER(G4)), C4-G4, "")</f>
        <v>2566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8">
        <v>4263</v>
      </c>
      <c r="D5" s="18">
        <v>0</v>
      </c>
      <c r="E5" s="18">
        <f t="shared" ref="E5" si="0">IF(AND(ISNUMBER(C5),ISNUMBER(D5)), C5-D5, "")</f>
        <v>4263</v>
      </c>
      <c r="F5" s="22" t="str">
        <f t="shared" ref="F5" si="1">IFERROR(E5/D5, "")</f>
        <v/>
      </c>
      <c r="G5" s="20">
        <v>7721</v>
      </c>
      <c r="H5" s="20">
        <f t="shared" ref="H5" si="2">IF(AND(ISNUMBER(C5),ISNUMBER(G5)), C5-G5, "")</f>
        <v>-3458</v>
      </c>
      <c r="I5" s="19">
        <f t="shared" ref="I5" si="3">IFERROR(H5/G5, "")</f>
        <v>-0.44786944696282865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12786.2</v>
      </c>
      <c r="D2" s="5">
        <f>SUM(D4:D69)</f>
        <v>0</v>
      </c>
      <c r="E2" s="5">
        <f>C2-D2</f>
        <v>12786.2</v>
      </c>
      <c r="F2" s="6">
        <f>IFERROR(E2/D2, 0)</f>
        <v>0</v>
      </c>
      <c r="G2" s="5">
        <f>SUM(G4:G69)</f>
        <v>9234.19</v>
      </c>
      <c r="H2" s="7">
        <f>C2-G2</f>
        <v>3552.01</v>
      </c>
      <c r="I2" s="6">
        <f>IFERROR(H2/G2, 0)</f>
        <v>0.38465853529113003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4931</v>
      </c>
      <c r="D4" s="13">
        <v>0</v>
      </c>
      <c r="E4" s="13">
        <f>IF(AND(ISNUMBER(C4),ISNUMBER(D4)), C4-D4, "")</f>
        <v>4931</v>
      </c>
      <c r="F4" s="14" t="str">
        <f>IFERROR(E4/D4, "")</f>
        <v/>
      </c>
      <c r="G4" s="15">
        <v>0</v>
      </c>
      <c r="H4" s="15">
        <f>IF(AND(ISNUMBER(C4),ISNUMBER(G4)), C4-G4, "")</f>
        <v>4931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7855.2</v>
      </c>
      <c r="D5" s="18">
        <v>0</v>
      </c>
      <c r="E5" s="18">
        <f t="shared" ref="E5" si="0">IF(AND(ISNUMBER(C5),ISNUMBER(D5)), C5-D5, "")</f>
        <v>7855.2</v>
      </c>
      <c r="F5" s="19" t="str">
        <f>IFERROR(E5/D5, "")</f>
        <v/>
      </c>
      <c r="G5" s="20">
        <v>9234.19</v>
      </c>
      <c r="H5" s="20">
        <f t="shared" ref="H5" si="1">IF(AND(ISNUMBER(C5),ISNUMBER(G5)), C5-G5, "")</f>
        <v>-1378.9900000000007</v>
      </c>
      <c r="I5" s="19">
        <f t="shared" ref="I5" si="2">IFERROR(H5/G5, "")</f>
        <v>-0.14933524218150163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workbookViewId="0">
      <pane xSplit="2" ySplit="3" topLeftCell="E4" activePane="bottomRight" state="frozen"/>
      <selection pane="bottomRight" activeCell="I10" sqref="I10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22546</v>
      </c>
      <c r="D2" s="5">
        <f>SUM(D4:D69)</f>
        <v>0</v>
      </c>
      <c r="E2" s="5">
        <f>C2-D2</f>
        <v>22546</v>
      </c>
      <c r="F2" s="6">
        <f>IFERROR(E2/D2, 0)</f>
        <v>0</v>
      </c>
      <c r="G2" s="5">
        <f>SUM(G4:G69)</f>
        <v>11806.370999999999</v>
      </c>
      <c r="H2" s="7">
        <f>C2-G2</f>
        <v>10739.629000000001</v>
      </c>
      <c r="I2" s="6">
        <f>IFERROR(H2/G2, 0)</f>
        <v>0.90964691860013558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8276</v>
      </c>
      <c r="D4" s="13">
        <v>0</v>
      </c>
      <c r="E4" s="13">
        <f>IF(AND(ISNUMBER(C4),ISNUMBER(D4)), C4-D4, "")</f>
        <v>8276</v>
      </c>
      <c r="F4" s="14" t="str">
        <f>IFERROR(E4/D4, "")</f>
        <v/>
      </c>
      <c r="G4" s="15">
        <v>0</v>
      </c>
      <c r="H4" s="15">
        <f>IF(AND(ISNUMBER(C4),ISNUMBER(G4)), C4-G4, "")</f>
        <v>8276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14270</v>
      </c>
      <c r="D5" s="18">
        <v>0</v>
      </c>
      <c r="E5" s="18">
        <f t="shared" ref="E5" si="0">IF(AND(ISNUMBER(C5),ISNUMBER(D5)), C5-D5, "")</f>
        <v>14270</v>
      </c>
      <c r="F5" s="19" t="str">
        <f>IFERROR(E5/D5, "")</f>
        <v/>
      </c>
      <c r="G5" s="20">
        <v>11806.370999999999</v>
      </c>
      <c r="H5" s="20">
        <f t="shared" ref="H5" si="1">IF(AND(ISNUMBER(C5),ISNUMBER(G5)), C5-G5, "")</f>
        <v>2463.6290000000008</v>
      </c>
      <c r="I5" s="19">
        <f t="shared" ref="I5" si="2">IFERROR(H5/G5, "")</f>
        <v>0.20866945482231594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E4" activePane="bottomRight" state="frozen"/>
      <selection pane="bottomRight" activeCell="H4" sqref="H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23638.1</v>
      </c>
      <c r="D2" s="5">
        <f>SUM(D4:D69)</f>
        <v>0</v>
      </c>
      <c r="E2" s="5">
        <f>C2-D2</f>
        <v>23638.1</v>
      </c>
      <c r="F2" s="6">
        <f>IFERROR(E2/D2, 0)</f>
        <v>0</v>
      </c>
      <c r="G2" s="5">
        <f>SUM(G4:G69)</f>
        <v>13203</v>
      </c>
      <c r="H2" s="7">
        <f>C2-G2</f>
        <v>10435.099999999999</v>
      </c>
      <c r="I2" s="6">
        <f>IFERROR(H2/G2, 0)</f>
        <v>0.79035825191244402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8649</v>
      </c>
      <c r="D4" s="13">
        <v>0</v>
      </c>
      <c r="E4" s="13">
        <f>IF(AND(ISNUMBER(C4),ISNUMBER(D4)), C4-D4, "")</f>
        <v>8649</v>
      </c>
      <c r="F4" s="14" t="str">
        <f>IFERROR(E4/D4, "")</f>
        <v/>
      </c>
      <c r="G4" s="15">
        <v>0</v>
      </c>
      <c r="H4" s="15">
        <f>IF(AND(ISNUMBER(C4),ISNUMBER(G4)), C4-G4, "")</f>
        <v>8649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14989.1</v>
      </c>
      <c r="D5" s="18">
        <v>0</v>
      </c>
      <c r="E5" s="18">
        <f t="shared" ref="E5" si="0">IF(AND(ISNUMBER(C5),ISNUMBER(D5)), C5-D5, "")</f>
        <v>14989.1</v>
      </c>
      <c r="F5" s="19" t="str">
        <f>IFERROR(E5/D5, "")</f>
        <v/>
      </c>
      <c r="G5" s="20">
        <v>13203</v>
      </c>
      <c r="H5" s="20">
        <f t="shared" ref="H5" si="1">IF(AND(ISNUMBER(C5),ISNUMBER(G5)), C5-G5, "")</f>
        <v>1786.1000000000004</v>
      </c>
      <c r="I5" s="19">
        <f t="shared" ref="I5" si="2">IFERROR(H5/G5, "")</f>
        <v>0.13527986063773387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28960.400000000001</v>
      </c>
      <c r="D2" s="5">
        <f>SUM(D4:D69)</f>
        <v>0</v>
      </c>
      <c r="E2" s="5">
        <f>C2-D2</f>
        <v>28960.400000000001</v>
      </c>
      <c r="F2" s="6">
        <f>IFERROR(E2/D2, 0)</f>
        <v>0</v>
      </c>
      <c r="G2" s="5">
        <f>SUM(G4:G69)</f>
        <v>14156</v>
      </c>
      <c r="H2" s="7">
        <f>C2-G2</f>
        <v>14804.400000000001</v>
      </c>
      <c r="I2" s="6">
        <f>IFERROR(H2/G2, 0)</f>
        <v>1.0458038994066121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10465</v>
      </c>
      <c r="D4" s="13">
        <v>0</v>
      </c>
      <c r="E4" s="13">
        <f>IF(AND(ISNUMBER(C4),ISNUMBER(D4)), C4-D4, "")</f>
        <v>10465</v>
      </c>
      <c r="F4" s="14" t="str">
        <f>IFERROR(E4/D4, "")</f>
        <v/>
      </c>
      <c r="G4" s="15">
        <v>0</v>
      </c>
      <c r="H4" s="15">
        <f>IF(AND(ISNUMBER(C4),ISNUMBER(G4)), C4-G4, "")</f>
        <v>10465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18495.400000000001</v>
      </c>
      <c r="D5" s="18">
        <v>0</v>
      </c>
      <c r="E5" s="18">
        <f t="shared" ref="E5" si="0">IF(AND(ISNUMBER(C5),ISNUMBER(D5)), C5-D5, "")</f>
        <v>18495.400000000001</v>
      </c>
      <c r="F5" s="19" t="str">
        <f>IFERROR(E5/D5, "")</f>
        <v/>
      </c>
      <c r="G5" s="20">
        <v>14156</v>
      </c>
      <c r="H5" s="20">
        <f t="shared" ref="H5" si="1">IF(AND(ISNUMBER(C5),ISNUMBER(G5)), C5-G5, "")</f>
        <v>4339.4000000000015</v>
      </c>
      <c r="I5" s="19">
        <f t="shared" ref="I5" si="2">IFERROR(H5/G5, "")</f>
        <v>0.30654139587454093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H4" activePane="bottomRight" state="frozen"/>
      <selection pane="bottomRight" activeCell="H4" sqref="H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32206.1</v>
      </c>
      <c r="D2" s="5">
        <f>SUM(D4:D69)</f>
        <v>0</v>
      </c>
      <c r="E2" s="5">
        <f>C2-D2</f>
        <v>32206.1</v>
      </c>
      <c r="F2" s="6">
        <f>IFERROR(E2/D2, 0)</f>
        <v>0</v>
      </c>
      <c r="G2" s="5">
        <f>SUM(G4:G69)</f>
        <v>14559</v>
      </c>
      <c r="H2" s="7">
        <f>C2-G2</f>
        <v>17647.099999999999</v>
      </c>
      <c r="I2" s="6">
        <f>IFERROR(H2/G2, 0)</f>
        <v>1.2121093481695171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11641</v>
      </c>
      <c r="D4" s="13">
        <v>0</v>
      </c>
      <c r="E4" s="13">
        <f>IF(AND(ISNUMBER(C4),ISNUMBER(D4)), C4-D4, "")</f>
        <v>11641</v>
      </c>
      <c r="F4" s="14" t="str">
        <f>IFERROR(E4/D4, "")</f>
        <v/>
      </c>
      <c r="G4" s="15">
        <v>0</v>
      </c>
      <c r="H4" s="15">
        <f>IF(AND(ISNUMBER(C4),ISNUMBER(G4)), C4-G4, "")</f>
        <v>11641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20565.099999999999</v>
      </c>
      <c r="D5" s="18">
        <v>0</v>
      </c>
      <c r="E5" s="18">
        <f t="shared" ref="E5" si="0">IF(AND(ISNUMBER(C5),ISNUMBER(D5)), C5-D5, "")</f>
        <v>20565.099999999999</v>
      </c>
      <c r="F5" s="19" t="str">
        <f>IFERROR(E5/D5, "")</f>
        <v/>
      </c>
      <c r="G5" s="20">
        <v>14559</v>
      </c>
      <c r="H5" s="20">
        <f t="shared" ref="H5" si="1">IF(AND(ISNUMBER(C5),ISNUMBER(G5)), C5-G5, "")</f>
        <v>6006.0999999999985</v>
      </c>
      <c r="I5" s="19">
        <f t="shared" ref="I5" si="2">IFERROR(H5/G5, "")</f>
        <v>0.41253520159351592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G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28842.5</v>
      </c>
      <c r="D2" s="5">
        <f>SUM(D4:D69)</f>
        <v>0</v>
      </c>
      <c r="E2" s="5">
        <f>C2-D2</f>
        <v>28842.5</v>
      </c>
      <c r="F2" s="6">
        <f>IFERROR(E2/D2, 0)</f>
        <v>0</v>
      </c>
      <c r="G2" s="5">
        <f>SUM(G4:G69)</f>
        <v>15470.001</v>
      </c>
      <c r="H2" s="7">
        <f>C2-G2</f>
        <v>13372.499</v>
      </c>
      <c r="I2" s="6">
        <f>IFERROR(H2/G2, 0)</f>
        <v>0.86441487624984636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10356</v>
      </c>
      <c r="D4" s="13">
        <v>0</v>
      </c>
      <c r="E4" s="13">
        <f>IF(AND(ISNUMBER(C4),ISNUMBER(D4)), C4-D4, "")</f>
        <v>10356</v>
      </c>
      <c r="F4" s="14" t="str">
        <f>IFERROR(E4/D4, "")</f>
        <v/>
      </c>
      <c r="G4" s="15">
        <v>0</v>
      </c>
      <c r="H4" s="15">
        <f>IF(AND(ISNUMBER(C4),ISNUMBER(G4)), C4-G4, "")</f>
        <v>10356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18486.5</v>
      </c>
      <c r="D5" s="18">
        <v>0</v>
      </c>
      <c r="E5" s="18">
        <f t="shared" ref="E5" si="0">IF(AND(ISNUMBER(C5),ISNUMBER(D5)), C5-D5, "")</f>
        <v>18486.5</v>
      </c>
      <c r="F5" s="19" t="str">
        <f>IFERROR(E5/D5, "")</f>
        <v/>
      </c>
      <c r="G5" s="20">
        <v>15470.001</v>
      </c>
      <c r="H5" s="20">
        <f t="shared" ref="H5" si="1">IF(AND(ISNUMBER(C5),ISNUMBER(G5)), C5-G5, "")</f>
        <v>3016.4989999999998</v>
      </c>
      <c r="I5" s="19">
        <f t="shared" ref="I5" si="2">IFERROR(H5/G5, "")</f>
        <v>0.19499022656818185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G4" activePane="bottomRight" state="frozen"/>
      <selection pane="bottomRight" activeCell="G5" sqref="G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26890.2</v>
      </c>
      <c r="D2" s="5">
        <f>SUM(D4:D69)</f>
        <v>0</v>
      </c>
      <c r="E2" s="5">
        <f>C2-D2</f>
        <v>26890.2</v>
      </c>
      <c r="F2" s="6">
        <f>IFERROR(E2/D2, 0)</f>
        <v>0</v>
      </c>
      <c r="G2" s="5">
        <f>SUM(G4:G69)</f>
        <v>14048.998</v>
      </c>
      <c r="H2" s="7">
        <f>C2-G2</f>
        <v>12841.202000000001</v>
      </c>
      <c r="I2" s="6">
        <f>IFERROR(H2/G2, 0)</f>
        <v>0.91402974076870114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9754</v>
      </c>
      <c r="D4" s="13">
        <v>0</v>
      </c>
      <c r="E4" s="13">
        <f>IF(AND(ISNUMBER(C4),ISNUMBER(D4)), C4-D4, "")</f>
        <v>9754</v>
      </c>
      <c r="F4" s="14" t="str">
        <f>IFERROR(E4/D4, "")</f>
        <v/>
      </c>
      <c r="G4" s="15">
        <v>0</v>
      </c>
      <c r="H4" s="15">
        <f>IF(AND(ISNUMBER(C4),ISNUMBER(G4)), C4-G4, "")</f>
        <v>9754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17136.2</v>
      </c>
      <c r="D5" s="18">
        <v>0</v>
      </c>
      <c r="E5" s="18">
        <f t="shared" ref="E5" si="0">IF(AND(ISNUMBER(C5),ISNUMBER(D5)), C5-D5, "")</f>
        <v>17136.2</v>
      </c>
      <c r="F5" s="19" t="str">
        <f>IFERROR(E5/D5, "")</f>
        <v/>
      </c>
      <c r="G5" s="20">
        <v>14048.998</v>
      </c>
      <c r="H5" s="20">
        <f t="shared" ref="H5" si="1">IF(AND(ISNUMBER(C5),ISNUMBER(G5)), C5-G5, "")</f>
        <v>3087.2020000000011</v>
      </c>
      <c r="I5" s="19">
        <f t="shared" ref="I5" si="2">IFERROR(H5/G5, "")</f>
        <v>0.21974535123430164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C4" sqref="C4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22608.2</v>
      </c>
      <c r="D2" s="5">
        <f>SUM(D4:D69)</f>
        <v>0</v>
      </c>
      <c r="E2" s="5">
        <f>C2-D2</f>
        <v>22608.2</v>
      </c>
      <c r="F2" s="6">
        <f>IFERROR(E2/D2, 0)</f>
        <v>0</v>
      </c>
      <c r="G2" s="5">
        <f>SUM(G4:G69)</f>
        <v>12246</v>
      </c>
      <c r="H2" s="7">
        <f>C2-G2</f>
        <v>10362.200000000001</v>
      </c>
      <c r="I2" s="6">
        <f>IFERROR(H2/G2, 0)</f>
        <v>0.84617017801731187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8235</v>
      </c>
      <c r="D4" s="13">
        <v>0</v>
      </c>
      <c r="E4" s="13">
        <f>IF(AND(ISNUMBER(C4),ISNUMBER(D4)), C4-D4, "")</f>
        <v>8235</v>
      </c>
      <c r="F4" s="14" t="str">
        <f>IFERROR(E4/D4, "")</f>
        <v/>
      </c>
      <c r="G4" s="15">
        <v>0</v>
      </c>
      <c r="H4" s="15">
        <f>IF(AND(ISNUMBER(C4),ISNUMBER(G4)), C4-G4, "")</f>
        <v>8235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14373.2</v>
      </c>
      <c r="D5" s="18">
        <v>0</v>
      </c>
      <c r="E5" s="18">
        <f t="shared" ref="E5" si="0">IF(AND(ISNUMBER(C5),ISNUMBER(D5)), C5-D5, "")</f>
        <v>14373.2</v>
      </c>
      <c r="F5" s="19" t="str">
        <f>IFERROR(E5/D5, "")</f>
        <v/>
      </c>
      <c r="G5" s="20">
        <v>12246</v>
      </c>
      <c r="H5" s="20">
        <f t="shared" ref="H5" si="1">IF(AND(ISNUMBER(C5),ISNUMBER(G5)), C5-G5, "")</f>
        <v>2127.2000000000007</v>
      </c>
      <c r="I5" s="19">
        <f t="shared" ref="I5" si="2">IFERROR(H5/G5, "")</f>
        <v>0.17370569982034956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H7" sqref="H7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20951.599999999999</v>
      </c>
      <c r="D2" s="5">
        <f>SUM(D4:D69)</f>
        <v>0</v>
      </c>
      <c r="E2" s="5">
        <f>C2-D2</f>
        <v>20951.599999999999</v>
      </c>
      <c r="F2" s="6">
        <f>IFERROR(E2/D2, 0)</f>
        <v>0</v>
      </c>
      <c r="G2" s="5">
        <f>SUM(G4:G69)</f>
        <v>9608</v>
      </c>
      <c r="H2" s="7">
        <f>C2-G2</f>
        <v>11343.599999999999</v>
      </c>
      <c r="I2" s="6">
        <f>IFERROR(H2/G2, 0)</f>
        <v>1.1806411323896751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7532.9</v>
      </c>
      <c r="D4" s="13">
        <v>0</v>
      </c>
      <c r="E4" s="13">
        <f>IF(AND(ISNUMBER(C4),ISNUMBER(D4)), C4-D4, "")</f>
        <v>7532.9</v>
      </c>
      <c r="F4" s="14" t="str">
        <f>IFERROR(E4/D4, "")</f>
        <v/>
      </c>
      <c r="G4" s="15">
        <v>0</v>
      </c>
      <c r="H4" s="15">
        <f>IF(AND(ISNUMBER(C4),ISNUMBER(G4)), C4-G4, "")</f>
        <v>7532.9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13418.7</v>
      </c>
      <c r="D5" s="18">
        <v>0</v>
      </c>
      <c r="E5" s="18">
        <f t="shared" ref="E5" si="0">IF(AND(ISNUMBER(C5),ISNUMBER(D5)), C5-D5, "")</f>
        <v>13418.7</v>
      </c>
      <c r="F5" s="19" t="str">
        <f>IFERROR(E5/D5, "")</f>
        <v/>
      </c>
      <c r="G5" s="20">
        <v>9608</v>
      </c>
      <c r="H5" s="20">
        <f t="shared" ref="H5" si="1">IF(AND(ISNUMBER(C5),ISNUMBER(G5)), C5-G5, "")</f>
        <v>3810.7000000000007</v>
      </c>
      <c r="I5" s="19">
        <f t="shared" ref="I5" si="2">IFERROR(H5/G5, "")</f>
        <v>0.39661740216486269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E15" sqref="E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13425.740000000071</v>
      </c>
      <c r="D2" s="5">
        <f>SUM(D4:D69)</f>
        <v>0</v>
      </c>
      <c r="E2" s="5">
        <f>C2-D2</f>
        <v>13425.740000000071</v>
      </c>
      <c r="F2" s="6">
        <f>IFERROR(E2/D2, 0)</f>
        <v>0</v>
      </c>
      <c r="G2" s="5">
        <f>SUM(G4:G69)</f>
        <v>7454</v>
      </c>
      <c r="H2" s="7">
        <f>C2-G2</f>
        <v>5971.7400000000707</v>
      </c>
      <c r="I2" s="6">
        <f>IFERROR(H2/G2, 0)</f>
        <v>0.80114569358734511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4730.04</v>
      </c>
      <c r="D4" s="13">
        <v>0</v>
      </c>
      <c r="E4" s="13">
        <f>IF(AND(ISNUMBER(C4),ISNUMBER(D4)), C4-D4, "")</f>
        <v>4730.04</v>
      </c>
      <c r="F4" s="14" t="str">
        <f>IFERROR(E4/D4, "")</f>
        <v/>
      </c>
      <c r="G4" s="15">
        <v>0</v>
      </c>
      <c r="H4" s="15">
        <f>IF(AND(ISNUMBER(C4),ISNUMBER(G4)), C4-G4, "")</f>
        <v>4730.04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8695.7000000000698</v>
      </c>
      <c r="D5" s="18">
        <v>0</v>
      </c>
      <c r="E5" s="18">
        <f t="shared" ref="E5" si="0">IF(AND(ISNUMBER(C5),ISNUMBER(D5)), C5-D5, "")</f>
        <v>8695.7000000000698</v>
      </c>
      <c r="F5" s="19" t="str">
        <f>IFERROR(E5/D5, "")</f>
        <v/>
      </c>
      <c r="G5" s="20">
        <v>7454</v>
      </c>
      <c r="H5" s="20">
        <f t="shared" ref="H5" si="1">IF(AND(ISNUMBER(C5),ISNUMBER(G5)), C5-G5, "")</f>
        <v>1241.7000000000698</v>
      </c>
      <c r="I5" s="19">
        <f t="shared" ref="I5" si="2">IFERROR(H5/G5, "")</f>
        <v>0.16658170110008985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E4" activePane="bottomRight" state="frozen"/>
      <selection pane="bottomRight" activeCell="J5" sqref="J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10791.46</v>
      </c>
      <c r="D2" s="5">
        <f>SUM(D4:D69)</f>
        <v>0</v>
      </c>
      <c r="E2" s="5">
        <f>C2-D2</f>
        <v>10791.46</v>
      </c>
      <c r="F2" s="6">
        <f>IFERROR(E2/D2, 0)</f>
        <v>0</v>
      </c>
      <c r="G2" s="5">
        <f>SUM(G4:G69)</f>
        <v>6289</v>
      </c>
      <c r="H2" s="7">
        <f>C2-G2</f>
        <v>4502.4599999999991</v>
      </c>
      <c r="I2" s="6">
        <f>IFERROR(H2/G2, 0)</f>
        <v>0.71592622038479869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3932.96</v>
      </c>
      <c r="D4" s="13">
        <v>0</v>
      </c>
      <c r="E4" s="13">
        <f>IF(AND(ISNUMBER(C4),ISNUMBER(D4)), C4-D4, "")</f>
        <v>3932.96</v>
      </c>
      <c r="F4" s="14" t="str">
        <f>IFERROR(E4/D4, "")</f>
        <v/>
      </c>
      <c r="G4" s="15">
        <v>0</v>
      </c>
      <c r="H4" s="15">
        <f>IF(AND(ISNUMBER(C4),ISNUMBER(G4)), C4-G4, "")</f>
        <v>3932.96</v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>
        <v>6858.5</v>
      </c>
      <c r="D5" s="18">
        <v>0</v>
      </c>
      <c r="E5" s="18">
        <f t="shared" ref="E5" si="0">IF(AND(ISNUMBER(C5),ISNUMBER(D5)), C5-D5, "")</f>
        <v>6858.5</v>
      </c>
      <c r="F5" s="19" t="str">
        <f>IFERROR(E5/D5, "")</f>
        <v/>
      </c>
      <c r="G5" s="20">
        <v>6289</v>
      </c>
      <c r="H5" s="20">
        <f t="shared" ref="H5" si="1">IF(AND(ISNUMBER(C5),ISNUMBER(G5)), C5-G5, "")</f>
        <v>569.5</v>
      </c>
      <c r="I5" s="19">
        <f t="shared" ref="I5" si="2">IFERROR(H5/G5, "")</f>
        <v>9.0554937191922411E-2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" t="s">
        <v>49</v>
      </c>
      <c r="B4" s="3" t="s">
        <v>50</v>
      </c>
      <c r="C4" s="51" t="s">
        <v>51</v>
      </c>
      <c r="D4" s="2" t="s">
        <v>52</v>
      </c>
      <c r="E4" t="s">
        <v>53</v>
      </c>
      <c r="G4" s="3"/>
    </row>
    <row r="5" spans="1:12" ht="14.45">
      <c r="A5" s="3" t="s">
        <v>54</v>
      </c>
      <c r="B5" s="3" t="s">
        <v>54</v>
      </c>
      <c r="C5" s="51" t="s">
        <v>51</v>
      </c>
      <c r="D5" s="2" t="s">
        <v>55</v>
      </c>
      <c r="E5" t="s">
        <v>53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A9304F40-617D-454F-BA22-09C16557ED07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