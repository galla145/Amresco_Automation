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hyamalan_amgsol_com/Documents/Microsoft Teams Chat Files/"/>
    </mc:Choice>
  </mc:AlternateContent>
  <xr:revisionPtr revIDLastSave="273" documentId="13_ncr:1_{6AF11B07-92E7-4B0C-975E-6AD51AB59555}" xr6:coauthVersionLast="47" xr6:coauthVersionMax="47" xr10:uidLastSave="{62151BF2-275B-43AB-9F02-C69851A52F7F}"/>
  <bookViews>
    <workbookView xWindow="-98" yWindow="-98" windowWidth="21795" windowHeight="12975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9" l="1"/>
  <c r="G7" i="29"/>
  <c r="G8" i="29"/>
  <c r="G9" i="29"/>
  <c r="G5" i="29"/>
  <c r="G4" i="29"/>
  <c r="G6" i="18"/>
  <c r="G7" i="18"/>
  <c r="G8" i="18"/>
  <c r="G9" i="18"/>
  <c r="G5" i="18"/>
  <c r="G4" i="18"/>
  <c r="E4" i="72"/>
  <c r="F4" i="72" s="1"/>
  <c r="H4" i="72"/>
  <c r="I4" i="72" s="1"/>
  <c r="E5" i="72"/>
  <c r="F5" i="72" s="1"/>
  <c r="H5" i="72"/>
  <c r="I5" i="72" s="1"/>
  <c r="E6" i="72"/>
  <c r="F6" i="72" s="1"/>
  <c r="H6" i="72"/>
  <c r="I6" i="72" s="1"/>
  <c r="E7" i="72"/>
  <c r="F7" i="72" s="1"/>
  <c r="H7" i="72"/>
  <c r="I7" i="72" s="1"/>
  <c r="E8" i="72"/>
  <c r="F8" i="72" s="1"/>
  <c r="H8" i="72"/>
  <c r="I8" i="72" s="1"/>
  <c r="E9" i="72"/>
  <c r="F9" i="72" s="1"/>
  <c r="H9" i="72"/>
  <c r="I9" i="72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G6" i="1"/>
  <c r="G6" i="34" s="1"/>
  <c r="G7" i="1"/>
  <c r="G7" i="34" s="1"/>
  <c r="G8" i="1"/>
  <c r="G8" i="34" s="1"/>
  <c r="G9" i="1"/>
  <c r="G9" i="34" s="1"/>
  <c r="G5" i="1"/>
  <c r="G5" i="34" s="1"/>
  <c r="G4" i="1"/>
  <c r="G4" i="34" s="1"/>
  <c r="D9" i="34"/>
  <c r="D8" i="34"/>
  <c r="D7" i="34"/>
  <c r="D6" i="34"/>
  <c r="D5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9" i="29"/>
  <c r="C9" i="29"/>
  <c r="D8" i="29"/>
  <c r="C8" i="29"/>
  <c r="D7" i="29"/>
  <c r="C7" i="29"/>
  <c r="D6" i="29"/>
  <c r="C6" i="29"/>
  <c r="D5" i="29"/>
  <c r="C5" i="29"/>
  <c r="D4" i="29"/>
  <c r="C4" i="29"/>
  <c r="D9" i="18"/>
  <c r="C9" i="18"/>
  <c r="E9" i="18" s="1"/>
  <c r="F9" i="18" s="1"/>
  <c r="D8" i="18"/>
  <c r="C8" i="18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9" i="1"/>
  <c r="C8" i="1"/>
  <c r="C7" i="1"/>
  <c r="C6" i="1"/>
  <c r="C5" i="1"/>
  <c r="C4" i="1"/>
  <c r="D6" i="1"/>
  <c r="D7" i="1"/>
  <c r="D8" i="1"/>
  <c r="D9" i="1"/>
  <c r="D5" i="1"/>
  <c r="D4" i="1"/>
  <c r="B4" i="1" a="1"/>
  <c r="B4" i="1" s="1"/>
  <c r="A4" i="1" a="1"/>
  <c r="A4" i="1" s="1"/>
  <c r="A1" i="1" a="1"/>
  <c r="A1" i="1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0" i="27"/>
  <c r="I10" i="27" s="1"/>
  <c r="E10" i="27"/>
  <c r="F10" i="27" s="1"/>
  <c r="H9" i="27"/>
  <c r="I9" i="27" s="1"/>
  <c r="E9" i="27"/>
  <c r="F9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E6" i="30" l="1"/>
  <c r="F6" i="30" s="1"/>
  <c r="E6" i="29"/>
  <c r="F6" i="29" s="1"/>
  <c r="E9" i="29"/>
  <c r="F9" i="29" s="1"/>
  <c r="H9" i="29"/>
  <c r="I9" i="29" s="1"/>
  <c r="E8" i="29"/>
  <c r="F8" i="29" s="1"/>
  <c r="D2" i="29"/>
  <c r="E5" i="29"/>
  <c r="F5" i="29" s="1"/>
  <c r="D2" i="18"/>
  <c r="E8" i="18"/>
  <c r="F8" i="18" s="1"/>
  <c r="H6" i="30"/>
  <c r="I6" i="30" s="1"/>
  <c r="H6" i="29"/>
  <c r="I6" i="29" s="1"/>
  <c r="D4" i="34"/>
  <c r="D2" i="34" s="1"/>
  <c r="H7" i="29"/>
  <c r="I7" i="29" s="1"/>
  <c r="E9" i="30"/>
  <c r="F9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9" i="1"/>
  <c r="F9" i="1" s="1"/>
  <c r="E9" i="34"/>
  <c r="F9" i="34" s="1"/>
  <c r="E5" i="1"/>
  <c r="F5" i="1" s="1"/>
  <c r="E6" i="1"/>
  <c r="F6" i="1" s="1"/>
  <c r="H9" i="30"/>
  <c r="I9" i="30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I9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H9" i="34"/>
  <c r="I9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tc={9A0E6939-2DAA-4B6E-A78A-AD3D0D55F9CE}</author>
    <author>tc={46C4B7E8-83D3-4961-9EF6-AF6D02352E63}</author>
    <author>tc={C490C181-98DA-4593-AE05-C732E1782985}</author>
    <author>tc={348E943D-2FDB-4DB4-B661-3833AFF342A8}</author>
    <author>tc={3B829DE0-21A9-460D-B27A-39F2E27C2902}</author>
  </authors>
  <commentList>
    <comment ref="D4" authorId="0" shapeId="0" xr:uid="{9A0E6939-2DAA-4B6E-A78A-AD3D0D55F9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
</t>
      </text>
    </comment>
    <comment ref="D5" authorId="1" shapeId="0" xr:uid="{46C4B7E8-83D3-4961-9EF6-AF6D02352E6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C490C181-98DA-4593-AE05-C732E178298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348E943D-2FDB-4DB4-B661-3833AFF342A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3B829DE0-21A9-460D-B27A-39F2E27C290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tc={F6458B33-9B33-4A77-AC10-89DF44A6DAF8}</author>
    <author>tc={D5AFEF53-8390-4BCF-A2A2-89C18CA4D078}</author>
    <author>tc={430DFAB9-72AA-4424-917A-AC67B48E7E23}</author>
    <author>tc={99A38ADF-37E8-4058-8B0D-D48CC2690018}</author>
    <author>tc={51B9C412-DBF2-445F-A129-BF3A0BD4C5D1}</author>
  </authors>
  <commentList>
    <comment ref="D4" authorId="0" shapeId="0" xr:uid="{F6458B33-9B33-4A77-AC10-89DF44A6DAF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D5AFEF53-8390-4BCF-A2A2-89C18CA4D07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430DFAB9-72AA-4424-917A-AC67B48E7E2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99A38ADF-37E8-4058-8B0D-D48CC269001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51B9C412-DBF2-445F-A129-BF3A0BD4C5D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tc={5256FC0C-6903-4BC1-88E3-DBCD234445C5}</author>
  </authors>
  <commentList>
    <comment ref="D4" authorId="0" shapeId="0" xr:uid="{5256FC0C-6903-4BC1-88E3-DBCD234445C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tc={45B1799B-CD17-4EB5-9CB7-1D284709FC8B}</author>
    <author>tc={66DDE5BC-DA88-4748-91AF-CFE5B8268D89}</author>
    <author>tc={3EFF22BE-9EC5-4171-A99C-3000AB9F8133}</author>
    <author>tc={666E3D53-A946-4D2E-9ABB-510755FE90E2}</author>
    <author>tc={926BE923-B18E-42CE-8803-13B1F23F1382}</author>
  </authors>
  <commentList>
    <comment ref="D4" authorId="0" shapeId="0" xr:uid="{45B1799B-CD17-4EB5-9CB7-1D284709FC8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5" authorId="1" shapeId="0" xr:uid="{66DDE5BC-DA88-4748-91AF-CFE5B8268D8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6" authorId="2" shapeId="0" xr:uid="{3EFF22BE-9EC5-4171-A99C-3000AB9F813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7" authorId="3" shapeId="0" xr:uid="{666E3D53-A946-4D2E-9ABB-510755FE90E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9" authorId="4" shapeId="0" xr:uid="{926BE923-B18E-42CE-8803-13B1F23F138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tc={6079D441-BBE4-420A-9C1B-5F2943D7F459}</author>
    <author>tc={FC6E6EF4-5045-4E01-A5FC-7B8249249F8E}</author>
    <author>tc={5DC661E8-B346-488C-AABB-6D22B94C84D2}</author>
    <author>tc={B6DA3073-0A67-46B3-8175-82B09D4F530E}</author>
    <author>tc={07E75B0F-A9D5-4352-83FA-E12B4965D7A3}</author>
  </authors>
  <commentList>
    <comment ref="D4" authorId="0" shapeId="0" xr:uid="{6079D441-BBE4-420A-9C1B-5F2943D7F45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FC6E6EF4-5045-4E01-A5FC-7B8249249F8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5DC661E8-B346-488C-AABB-6D22B94C84D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B6DA3073-0A67-46B3-8175-82B09D4F530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07E75B0F-A9D5-4352-83FA-E12B4965D7A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tc={E007D360-A36A-4640-9EA7-1B6C23511362}</author>
    <author>tc={C2D15422-6D8C-4608-B02B-B0F0CC5427E1}</author>
    <author>tc={8C03C4CD-F1E6-470E-A55C-0E0DB680FF0D}</author>
    <author>tc={0269FA90-544F-4138-9F23-16A68C243748}</author>
    <author>tc={80B36D22-EBA9-402D-A358-077899D4FFCA}</author>
  </authors>
  <commentList>
    <comment ref="D4" authorId="0" shapeId="0" xr:uid="{E007D360-A36A-4640-9EA7-1B6C2351136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5" authorId="1" shapeId="0" xr:uid="{C2D15422-6D8C-4608-B02B-B0F0CC5427E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6" authorId="2" shapeId="0" xr:uid="{8C03C4CD-F1E6-470E-A55C-0E0DB680FF0D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7" authorId="3" shapeId="0" xr:uid="{0269FA90-544F-4138-9F23-16A68C24374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9" authorId="4" shapeId="0" xr:uid="{80B36D22-EBA9-402D-A358-077899D4FFCA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tc={5D0C1146-AE43-4C78-8CD2-5797C82B4001}</author>
    <author>tc={8C4D49ED-6228-4543-9F64-79B74BD9337B}</author>
    <author>tc={C302B5E1-7FE5-49F3-8C8A-5707A44D3E9B}</author>
    <author>tc={95AAF360-F73F-49B8-9360-DB14DCAE5AD5}</author>
    <author>tc={227F81CB-3512-4A7D-AEB9-DCC33DAAF31E}</author>
  </authors>
  <commentList>
    <comment ref="D4" authorId="0" shapeId="0" xr:uid="{5D0C1146-AE43-4C78-8CD2-5797C82B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8C4D49ED-6228-4543-9F64-79B74BD9337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C302B5E1-7FE5-49F3-8C8A-5707A44D3E9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95AAF360-F73F-49B8-9360-DB14DCAE5AD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227F81CB-3512-4A7D-AEB9-DCC33DAAF31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<sst xmlns="http://schemas.openxmlformats.org/spreadsheetml/2006/main" count="305" uniqueCount="103">
  <si>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</si>
  <si>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</si>
  <si>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</si>
  <si>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</si>
  <si>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</si>
  <si>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</si>
  <si>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</si>
  <si>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</si>
  <si>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</si>
  <si>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</si>
  <si>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</si>
  <si>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</si>
  <si>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</si>
  <si>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</si>
  <si>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</si>
  <si>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</si>
  <si>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</si>
  <si>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</si>
  <si>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</si>
  <si>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</si>
  <si>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</si>
  <si>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</si>
  <si>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</si>
  <si>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</si>
  <si>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Meter damaged due to thermal event and inverter 1 is offline from 02/14 to 02/29</t>
  </si>
  <si>
    <t>1. SR081003</t>
  </si>
  <si>
    <t>March Actual v. Expected</t>
  </si>
  <si>
    <t>March Actual v. Forecasted</t>
  </si>
  <si>
    <t>1. Inverter 1 is offline from 02/14 to 03/18</t>
  </si>
  <si>
    <t>1. Inverter 7 is offline on 03/30 and back online on 03/31</t>
  </si>
  <si>
    <t>1. SR082935</t>
  </si>
  <si>
    <t>April Actual v. Expected</t>
  </si>
  <si>
    <t>April Actual v. Forecasted</t>
  </si>
  <si>
    <t>1. Inverter 2.2 was offline throughout the month</t>
  </si>
  <si>
    <t>1. SR077210</t>
  </si>
  <si>
    <t>1. Inverter 7 was offline from 04/29</t>
  </si>
  <si>
    <t>1. SR083982</t>
  </si>
  <si>
    <t>May Actual v. Expected</t>
  </si>
  <si>
    <t>May Actual v. Forecasted</t>
  </si>
  <si>
    <t>1. Inverter 2 was offline from 05/17 and issue continued throughout the month</t>
  </si>
  <si>
    <t>1. SR084831</t>
  </si>
  <si>
    <t>1. Inverter 7 was offline on 05/03,05/10,05/14, 05/27</t>
  </si>
  <si>
    <t>June Actual v. Expected</t>
  </si>
  <si>
    <t>June Actual v. Forecasted</t>
  </si>
  <si>
    <t>1. Inverter 2.2 was offline throughout the month
2. Inverter 1.2 was offline on 06/18, 06/28 &amp; 06/29</t>
  </si>
  <si>
    <t>1. SR077210
2. SR086359</t>
  </si>
  <si>
    <t>1. Inverter 3.1 was offline on 06/01,06/10,06/12,06/24,06/28</t>
  </si>
  <si>
    <t>1. SR085406</t>
  </si>
  <si>
    <t>1. Inverter 2 was offline throughout the month</t>
  </si>
  <si>
    <t>July Actual v. Expected</t>
  </si>
  <si>
    <t>July Actual v. Forecasted</t>
  </si>
  <si>
    <t>1. Inverter 2.2 is offline since 07/02/2024.</t>
  </si>
  <si>
    <t>1. SR077210.</t>
  </si>
  <si>
    <t>1. Inverter 3.1 is offline from 07/03 to 07/05 and from 07/07 to 07/11 and again offline on 07/13, 07/17, 07/21, 07/23, 07/24.
2. Inverter 2.2 is offline on 07/21 and back online on 07/22.</t>
  </si>
  <si>
    <t>1. SR085406.
2. SR087970.</t>
  </si>
  <si>
    <t>1. Inverter 2 is offline from 06/10</t>
  </si>
  <si>
    <t>1. SR084831.</t>
  </si>
  <si>
    <t>August Actual v. Expected</t>
  </si>
  <si>
    <t>August Actual v. Forecasted</t>
  </si>
  <si>
    <t>1. Inverter 1.2 is offline from 08/06/2024 to 08/19/2024 and from 08/24/2024.
2. Inverter 2.2 is offline since 07/02/2024.</t>
  </si>
  <si>
    <t>1. SR088712.
2. SR077210.</t>
  </si>
  <si>
    <t>1. Inverter 3.1 is offline from 08/02 and being RMA'd from 08/22.
2. Inverter 2.2 is offline from 08/26 and back online on 08/27</t>
  </si>
  <si>
    <t>1. Inverter 2 is offline from 06/10 and being RMA'd from 08/23 and back online on 08/27.
2. Inverter 1 is underperforming approximately 7kW from 08/16 and produced with its peers from 08/17.</t>
  </si>
  <si>
    <t>1. SR084831, SR089011
2. 	SR089011</t>
  </si>
  <si>
    <t>September Actual v. Expected</t>
  </si>
  <si>
    <t>September Actual v. Forecasted</t>
  </si>
  <si>
    <t>1. Inverter 1.2 was offline from 08/24/2024 to 09/01/2024 and on 09/04, 09/13. Inverter 1.2 was replaced on 09/18
2. Inverter 2.2 is offline since from 07/02/2024 to 09/17/2024. Inverter 2.2 was replaced on 09/18</t>
  </si>
  <si>
    <t>1. SR088712
2. SR077210</t>
  </si>
  <si>
    <t xml:space="preserve">1. Inverter 3.1 is offline from 08/02. Inverter 3.1 was replaced and back online on 09/19.
2. Inverter 2.2 is offline from 09/24 and being RMA'd </t>
  </si>
  <si>
    <t>1. SR085406
2. SR091127</t>
  </si>
  <si>
    <t>October Actual v. Expected</t>
  </si>
  <si>
    <t>October Actual v. Forecasted</t>
  </si>
  <si>
    <t xml:space="preserve">
1. Inverter 2.2 is offline from 09/24 and was replaced on 10/09</t>
  </si>
  <si>
    <t xml:space="preserve">
1. SR091127</t>
  </si>
  <si>
    <t>1. Site tripped offline at 07:30AM on 10/14/24 and back online at 11:45AM on 10/15/24</t>
  </si>
  <si>
    <t>1. SR092135</t>
  </si>
  <si>
    <t>November Actual v. Expected</t>
  </si>
  <si>
    <t>November Actual v. Forecasted</t>
  </si>
  <si>
    <t>1.  Inverter 5 is clipping by 8kW from 11/30</t>
  </si>
  <si>
    <t>1. SR094078</t>
  </si>
  <si>
    <t>December Actual v. Expected</t>
  </si>
  <si>
    <t>December Actual v. Forecasted</t>
  </si>
  <si>
    <t>1.Inverter 5 producing as excepted from 12/06</t>
  </si>
  <si>
    <t>1.	SR094078</t>
  </si>
  <si>
    <t>Portfolio:</t>
  </si>
  <si>
    <t>Troy School District</t>
  </si>
  <si>
    <t>Site DAS Name</t>
  </si>
  <si>
    <t>Update</t>
  </si>
  <si>
    <t>DAS</t>
  </si>
  <si>
    <t>IL: Joliet - Craughwell ES</t>
  </si>
  <si>
    <t>Joliet - Craughwell</t>
  </si>
  <si>
    <t>IL</t>
  </si>
  <si>
    <t>AssetPlanner</t>
  </si>
  <si>
    <t>IL: Joliet - Heritage Trail</t>
  </si>
  <si>
    <t>Joliet - Heritage Trail</t>
  </si>
  <si>
    <t>IL: Plainfield - Troy MS</t>
  </si>
  <si>
    <t>Plainfield - Troy</t>
  </si>
  <si>
    <t>IL: Plainfield - William B Orenic IS</t>
  </si>
  <si>
    <t>Plainfield - William B Orenic</t>
  </si>
  <si>
    <t>IL: Shorewood - Cronin ES</t>
  </si>
  <si>
    <t>Shorewood - Cronin</t>
  </si>
  <si>
    <t>IL: Shorewood - Hofer ES</t>
  </si>
  <si>
    <t>Shorewood - Hofer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</si>
</sst>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 wrapText="1"/>
    </xf>
    <xf numFmtId="164" fontId="28" fillId="0" borderId="0" xfId="1" applyNumberFormat="1" applyFont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 wrapText="1"/>
    </xf>
    <xf numFmtId="3" fontId="30" fillId="3" borderId="0" xfId="0" applyNumberFormat="1" applyFont="1" applyFill="1" applyAlignment="1">
      <alignment horizontal="right" vertical="center" wrapText="1"/>
    </xf>
    <xf numFmtId="164" fontId="28" fillId="0" borderId="0" xfId="1" applyNumberFormat="1" applyFont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F2101760-07CB-4940-80FB-C36454AC45AA}" userId="S::kusumapotlada@amgsol.com::a4794fd0-fb2a-418d-b379-bb3c7e6c0e3d" providerId="AD"/>
  <person displayName="Jayasri  Garapati [AGS]" id="{C34EC6BB-8E1B-4337-8CB2-A343FCFD5DEE}" userId="S::JayasriGarapati@amgsol.com::282c909e-c88d-461e-8dcb-55676bfed37e" providerId="AD"/>
  <person displayName="Guest User" id="{2A186F63-0C68-4C4D-8D29-062DB64B58AB}" userId="S::urn:spo:anon#e84203b1262b69a51109c13abdfdc0a0c7dc35435f99d8d59e7121f8ae246606::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07-10T07:08:42.39" personId="{2A186F63-0C68-4C4D-8D29-062DB64B58AB}" id="{9A0E6939-2DAA-4B6E-A78A-AD3D0D55F9CE}">
    <text xml:space="preserve">Expected Energy not available from April.
</text>
  </threadedComment>
  <threadedComment ref="D5" dT="2024-07-10T07:08:52.27" personId="{2A186F63-0C68-4C4D-8D29-062DB64B58AB}" id="{46C4B7E8-83D3-4961-9EF6-AF6D02352E63}">
    <text>Expected Energy not available from April.</text>
  </threadedComment>
  <threadedComment ref="D6" dT="2024-07-10T07:09:04.08" personId="{2A186F63-0C68-4C4D-8D29-062DB64B58AB}" id="{C490C181-98DA-4593-AE05-C732E1782985}">
    <text>Expected Energy not available from April.</text>
  </threadedComment>
  <threadedComment ref="D7" dT="2024-07-10T07:09:12.06" personId="{2A186F63-0C68-4C4D-8D29-062DB64B58AB}" id="{348E943D-2FDB-4DB4-B661-3833AFF342A8}">
    <text>Expected Energy not available from April.</text>
  </threadedComment>
  <threadedComment ref="D9" dT="2024-07-10T07:09:22.86" personId="{2A186F63-0C68-4C4D-8D29-062DB64B58AB}" id="{3B829DE0-21A9-460D-B27A-39F2E27C2902}">
    <text>Expected Energy not available from April.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5-01-07T06:36:15.93" personId="{F2101760-07CB-4940-80FB-C36454AC45AA}" id="{F6458B33-9B33-4A77-AC10-89DF44A6DAF8}">
    <text>Expected Energy not available from April.</text>
  </threadedComment>
  <threadedComment ref="D5" dT="2025-01-07T06:36:19.65" personId="{F2101760-07CB-4940-80FB-C36454AC45AA}" id="{D5AFEF53-8390-4BCF-A2A2-89C18CA4D078}">
    <text>Expected Energy not available from April.</text>
  </threadedComment>
  <threadedComment ref="D6" dT="2025-01-07T06:36:23.71" personId="{F2101760-07CB-4940-80FB-C36454AC45AA}" id="{430DFAB9-72AA-4424-917A-AC67B48E7E23}">
    <text>Expected Energy not available from April.</text>
  </threadedComment>
  <threadedComment ref="D7" dT="2025-01-07T06:36:28.27" personId="{F2101760-07CB-4940-80FB-C36454AC45AA}" id="{99A38ADF-37E8-4058-8B0D-D48CC2690018}">
    <text>Expected Energy not available from April.</text>
  </threadedComment>
  <threadedComment ref="D9" dT="2025-01-07T06:36:32.04" personId="{F2101760-07CB-4940-80FB-C36454AC45AA}" id="{51B9C412-DBF2-445F-A129-BF3A0BD4C5D1}">
    <text>Expected Energy not available from April.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5-01-07T06:36:41.02" personId="{F2101760-07CB-4940-80FB-C36454AC45AA}" id="{5256FC0C-6903-4BC1-88E3-DBCD234445C5}">
    <text>Expected Energy not available from April.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5-01-07T06:36:21.99" personId="{C34EC6BB-8E1B-4337-8CB2-A343FCFD5DEE}" id="{45B1799B-CD17-4EB5-9CB7-1D284709FC8B}">
    <text>Expected energy not available from April</text>
  </threadedComment>
  <threadedComment ref="D5" dT="2025-01-07T06:36:27.88" personId="{C34EC6BB-8E1B-4337-8CB2-A343FCFD5DEE}" id="{66DDE5BC-DA88-4748-91AF-CFE5B8268D89}">
    <text>Expected energy not available from April</text>
  </threadedComment>
  <threadedComment ref="D6" dT="2025-01-07T06:36:33.29" personId="{C34EC6BB-8E1B-4337-8CB2-A343FCFD5DEE}" id="{3EFF22BE-9EC5-4171-A99C-3000AB9F8133}">
    <text>Expected energy not available from April</text>
  </threadedComment>
  <threadedComment ref="D7" dT="2025-01-07T06:36:42.56" personId="{C34EC6BB-8E1B-4337-8CB2-A343FCFD5DEE}" id="{666E3D53-A946-4D2E-9ABB-510755FE90E2}">
    <text>Expected energy not available from April</text>
  </threadedComment>
  <threadedComment ref="D9" dT="2025-01-07T06:36:47.85" personId="{C34EC6BB-8E1B-4337-8CB2-A343FCFD5DEE}" id="{926BE923-B18E-42CE-8803-13B1F23F1382}">
    <text>Expected energy not available from April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5-01-07T06:35:25.43" personId="{F2101760-07CB-4940-80FB-C36454AC45AA}" id="{6079D441-BBE4-420A-9C1B-5F2943D7F459}">
    <text>Expected Energy not available from April.</text>
  </threadedComment>
  <threadedComment ref="D5" dT="2025-01-07T06:35:29.40" personId="{F2101760-07CB-4940-80FB-C36454AC45AA}" id="{FC6E6EF4-5045-4E01-A5FC-7B8249249F8E}">
    <text>Expected Energy not available from April.</text>
  </threadedComment>
  <threadedComment ref="D6" dT="2025-01-07T06:35:34.46" personId="{F2101760-07CB-4940-80FB-C36454AC45AA}" id="{5DC661E8-B346-488C-AABB-6D22B94C84D2}">
    <text>Expected Energy not available from April.</text>
  </threadedComment>
  <threadedComment ref="D7" dT="2025-01-07T06:35:38.98" personId="{F2101760-07CB-4940-80FB-C36454AC45AA}" id="{B6DA3073-0A67-46B3-8175-82B09D4F530E}">
    <text>Expected Energy not available from April.</text>
  </threadedComment>
  <threadedComment ref="D9" dT="2025-01-07T06:35:43.02" personId="{F2101760-07CB-4940-80FB-C36454AC45AA}" id="{07E75B0F-A9D5-4352-83FA-E12B4965D7A3}">
    <text>Expected Energy not available from April.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4" dT="2025-01-07T06:35:27.30" personId="{C34EC6BB-8E1B-4337-8CB2-A343FCFD5DEE}" id="{E007D360-A36A-4640-9EA7-1B6C23511362}">
    <text>Expected energy not available from April</text>
  </threadedComment>
  <threadedComment ref="D5" dT="2025-01-07T06:35:38.30" personId="{C34EC6BB-8E1B-4337-8CB2-A343FCFD5DEE}" id="{C2D15422-6D8C-4608-B02B-B0F0CC5427E1}">
    <text>Expected energy not available from April</text>
  </threadedComment>
  <threadedComment ref="D6" dT="2025-01-07T06:35:46.95" personId="{C34EC6BB-8E1B-4337-8CB2-A343FCFD5DEE}" id="{8C03C4CD-F1E6-470E-A55C-0E0DB680FF0D}">
    <text>Expected energy not available from April</text>
  </threadedComment>
  <threadedComment ref="D7" dT="2025-01-07T06:35:53.98" personId="{C34EC6BB-8E1B-4337-8CB2-A343FCFD5DEE}" id="{0269FA90-544F-4138-9F23-16A68C243748}">
    <text>Expected energy not available from April</text>
  </threadedComment>
  <threadedComment ref="D9" dT="2025-01-07T06:35:55.16" personId="{F2101760-07CB-4940-80FB-C36454AC45AA}" id="{80B36D22-EBA9-402D-A358-077899D4FFCA}">
    <text>Expected Energy not available from April.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4" dT="2025-01-07T06:34:53.63" personId="{F2101760-07CB-4940-80FB-C36454AC45AA}" id="{5D0C1146-AE43-4C78-8CD2-5797C82B4001}">
    <text>Expected Energy not available from April.</text>
  </threadedComment>
  <threadedComment ref="D5" dT="2025-01-07T06:35:00.29" personId="{F2101760-07CB-4940-80FB-C36454AC45AA}" id="{8C4D49ED-6228-4543-9F64-79B74BD9337B}">
    <text>Expected Energy not available from April.</text>
  </threadedComment>
  <threadedComment ref="D6" dT="2025-01-07T06:35:05.43" personId="{F2101760-07CB-4940-80FB-C36454AC45AA}" id="{C302B5E1-7FE5-49F3-8C8A-5707A44D3E9B}">
    <text>Expected Energy not available from April.</text>
  </threadedComment>
  <threadedComment ref="D7" dT="2025-01-07T06:35:11.38" personId="{F2101760-07CB-4940-80FB-C36454AC45AA}" id="{95AAF360-F73F-49B8-9360-DB14DCAE5AD5}">
    <text>Expected Energy not available from April.</text>
  </threadedComment>
  <threadedComment ref="D9" dT="2025-01-07T06:35:16.69" personId="{F2101760-07CB-4940-80FB-C36454AC45AA}" id="{227F81CB-3512-4A7D-AEB9-DCC33DAAF31E}">
    <text>Expected Energy not available from April.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6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G7" sqref="G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Troy School District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SUM(C4:C77)</f>
        <v>-2045154.6193999988</v>
      </c>
      <c r="D2" s="5">
        <f>SUM(D4:D77)</f>
        <v>543761.25160000019</v>
      </c>
      <c r="E2" s="5">
        <f>C2-D2</f>
        <v>-2588915.8709999989</v>
      </c>
      <c r="F2" s="6">
        <f>IFERROR(E2/D2, 0)</f>
        <v>-4.761126070278447</v>
      </c>
      <c r="G2" s="5">
        <f>SUM(G4:G77)</f>
        <v>0</v>
      </c>
      <c r="H2" s="7">
        <f>C2-G2</f>
        <v>-2045154.6193999988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9">Sites[Site]</f>
        <v>Joliet - Craughwell</v>
      </c>
      <c r="B4" s="9" t="str" cm="1">
        <f t="array" ref="B4:B9">Sites[State]</f>
        <v>IL</v>
      </c>
      <c r="C4" s="24">
        <f>SUM('1st Qtr'!C4, '2nd Qtr'!C4, '3rd Qtr'!C4, '4th Qtr'!C4)</f>
        <v>321566.5</v>
      </c>
      <c r="D4" s="13">
        <f>SUM('1st Qtr'!D4, '2nd Qtr'!D4, '3rd Qtr'!D4, '4th Qtr'!D4)</f>
        <v>87540.72589999999</v>
      </c>
      <c r="E4" s="13">
        <f>IF(AND(ISNUMBER(C4),ISNUMBER(D4)), C4-D4, "")</f>
        <v>234025.77410000001</v>
      </c>
      <c r="F4" s="14">
        <f>IFERROR(E4/D4, "")</f>
        <v>2.6733360009755187</v>
      </c>
      <c r="G4" s="15">
        <f>SUM('1st Qtr'!G4, '2nd Qtr'!G4, '3rd Qtr'!G4, '4th Qtr'!G4)</f>
        <v>0</v>
      </c>
      <c r="H4" s="15">
        <f>SUM('1st Qtr'!H4, '2nd Qtr'!H4, '3rd Qtr'!H4, '4th Qtr'!H4)</f>
        <v>321566.5</v>
      </c>
      <c r="I4" s="16" t="str">
        <f>IFERROR(H4/G4, "")</f>
        <v/>
      </c>
    </row>
    <row r="5" spans="1:9" ht="15.75">
      <c r="A5" s="17" t="str">
        <v>Joliet - Heritage Trail</v>
      </c>
      <c r="B5" s="10" t="str">
        <v>IL</v>
      </c>
      <c r="C5" s="11">
        <f>SUM(Jan!C5, Feb!C5, Mar!C5)</f>
        <v>73363.000599999999</v>
      </c>
      <c r="D5" s="18">
        <f>SUM(Jan!D5, Feb!D5, Mar!D5)</f>
        <v>93318.709499999997</v>
      </c>
      <c r="E5" s="18">
        <f t="shared" ref="E5:E9" si="0">IF(AND(ISNUMBER(C5),ISNUMBER(D5)), C5-D5, "")</f>
        <v>-19955.708899999998</v>
      </c>
      <c r="F5" s="19">
        <f>IFERROR(E5/D5, "")</f>
        <v>-0.21384467280915409</v>
      </c>
      <c r="G5" s="20">
        <f>SUM('1st Qtr'!G5, '2nd Qtr'!G5, '3rd Qtr'!G5, '4th Qtr'!G5)</f>
        <v>0</v>
      </c>
      <c r="H5" s="20">
        <f>SUM(Jan!H5, Feb!H5, Mar!H5)</f>
        <v>73363.000599999999</v>
      </c>
      <c r="I5" s="19" t="str">
        <f>IFERROR(H5/G5, "")</f>
        <v/>
      </c>
    </row>
    <row r="6" spans="1:9" ht="15.75">
      <c r="A6" s="12" t="str">
        <v>Plainfield - Troy</v>
      </c>
      <c r="B6" s="9" t="str">
        <v>IL</v>
      </c>
      <c r="C6" s="24">
        <f>SUM(Jan!C6, Feb!C6, Mar!C6)</f>
        <v>-2673543.6199999987</v>
      </c>
      <c r="D6" s="13">
        <f>SUM(Jan!D6, Feb!D6, Mar!D6)</f>
        <v>72354.019500000155</v>
      </c>
      <c r="E6" s="13">
        <f t="shared" si="0"/>
        <v>-2745897.6394999987</v>
      </c>
      <c r="F6" s="14">
        <f t="shared" ref="F6:F9" si="1">IFERROR(E6/D6, "")</f>
        <v>-37.950865183101442</v>
      </c>
      <c r="G6" s="15">
        <f>SUM('1st Qtr'!G6, '2nd Qtr'!G6, '3rd Qtr'!G6, '4th Qtr'!G6)</f>
        <v>0</v>
      </c>
      <c r="H6" s="15">
        <f>SUM(Jan!H6, Feb!H6, Mar!H6)</f>
        <v>-2673543.6199999987</v>
      </c>
      <c r="I6" s="16" t="str">
        <f t="shared" ref="I6:I9" si="2">IFERROR(H6/G6, "")</f>
        <v/>
      </c>
    </row>
    <row r="7" spans="1:9" ht="15.75">
      <c r="A7" s="17" t="str">
        <v>Plainfield - William B Orenic</v>
      </c>
      <c r="B7" s="10" t="str">
        <v>IL</v>
      </c>
      <c r="C7" s="11">
        <f>SUM(Jan!C7, Feb!C7, Mar!C7)</f>
        <v>75380.75</v>
      </c>
      <c r="D7" s="18">
        <f>SUM(Jan!D7, Feb!D7, Mar!D7)</f>
        <v>91529.34440000006</v>
      </c>
      <c r="E7" s="18">
        <f t="shared" si="0"/>
        <v>-16148.59440000006</v>
      </c>
      <c r="F7" s="19">
        <f t="shared" si="1"/>
        <v>-0.17643078846307184</v>
      </c>
      <c r="G7" s="20">
        <f>SUM('1st Qtr'!G7, '2nd Qtr'!G7, '3rd Qtr'!G7, '4th Qtr'!G7)</f>
        <v>0</v>
      </c>
      <c r="H7" s="20">
        <f>SUM(Jan!H7, Feb!H7, Mar!H7)</f>
        <v>75380.75</v>
      </c>
      <c r="I7" s="19" t="str">
        <f t="shared" si="2"/>
        <v/>
      </c>
    </row>
    <row r="8" spans="1:9" ht="15.75">
      <c r="A8" s="12" t="str">
        <v>Shorewood - Cronin</v>
      </c>
      <c r="B8" s="9" t="str">
        <v>IL</v>
      </c>
      <c r="C8" s="24">
        <f>SUM(Jan!C8, Feb!C8, Mar!C8)</f>
        <v>85943.5</v>
      </c>
      <c r="D8" s="13">
        <f>SUM(Jan!D8, Feb!D8, Mar!D8)</f>
        <v>101280.88920000003</v>
      </c>
      <c r="E8" s="13">
        <f t="shared" si="0"/>
        <v>-15337.389200000034</v>
      </c>
      <c r="F8" s="14">
        <f t="shared" si="1"/>
        <v>-0.15143418784281398</v>
      </c>
      <c r="G8" s="15">
        <f>SUM('1st Qtr'!G8, '2nd Qtr'!G8, '3rd Qtr'!G8, '4th Qtr'!G8)</f>
        <v>0</v>
      </c>
      <c r="H8" s="15">
        <f>SUM(Jan!H8, Feb!H8, Mar!H8)</f>
        <v>85943.5</v>
      </c>
      <c r="I8" s="16" t="str">
        <f t="shared" si="2"/>
        <v/>
      </c>
    </row>
    <row r="9" spans="1:9" ht="15.75">
      <c r="A9" s="17" t="str">
        <v>Shorewood - Hofer</v>
      </c>
      <c r="B9" s="10" t="str">
        <v>IL</v>
      </c>
      <c r="C9" s="11">
        <f>SUM(Jan!C9, Feb!C9, Mar!C9)</f>
        <v>72135.25</v>
      </c>
      <c r="D9" s="18">
        <f>SUM(Jan!D9, Feb!D9, Mar!D9)</f>
        <v>97737.563100000014</v>
      </c>
      <c r="E9" s="18">
        <f t="shared" si="0"/>
        <v>-25602.313100000014</v>
      </c>
      <c r="F9" s="19">
        <f t="shared" si="1"/>
        <v>-0.26194957484058667</v>
      </c>
      <c r="G9" s="20">
        <f>SUM('1st Qtr'!G9, '2nd Qtr'!G9, '3rd Qtr'!G9, '4th Qtr'!G9)</f>
        <v>0</v>
      </c>
      <c r="H9" s="20">
        <f>SUM(Jan!H9, Feb!H9, Mar!H9)</f>
        <v>72135.25</v>
      </c>
      <c r="I9" s="19" t="str">
        <f t="shared" si="2"/>
        <v/>
      </c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D4" activePane="bottomRight" state="frozen"/>
      <selection pane="bottomRight" activeCell="G6" sqref="G6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Troy School District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SUM(C4:C77)</f>
        <v>-2300763.6193999988</v>
      </c>
      <c r="D2" s="5">
        <f>SUM(D4:D77)</f>
        <v>543761.25160000019</v>
      </c>
      <c r="E2" s="5">
        <f>C2-D2</f>
        <v>-2844524.8709999989</v>
      </c>
      <c r="F2" s="6">
        <f>IFERROR(E2/D2, 0)</f>
        <v>-5.2312018604306116</v>
      </c>
      <c r="G2" s="5">
        <f>SUM(G4:G77)</f>
        <v>0</v>
      </c>
      <c r="H2" s="7">
        <f>C2-G2</f>
        <v>-2300763.6193999988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SUM(Jan!C4, Feb!C4, Mar!C4)</f>
        <v>65957.5</v>
      </c>
      <c r="D4" s="13">
        <f>SUM(Jan!D4, Feb!D4, Mar!D4)</f>
        <v>87540.72589999999</v>
      </c>
      <c r="E4" s="13">
        <f>IF(AND(ISNUMBER(C4),ISNUMBER(D4)), C4-D4, "")</f>
        <v>-21583.22589999999</v>
      </c>
      <c r="F4" s="14">
        <f>IFERROR(E4/D4, "")</f>
        <v>-0.24655068458828022</v>
      </c>
      <c r="G4" s="15">
        <f>SUM(Jan!G4, Feb!G4, Mar!G4)</f>
        <v>0</v>
      </c>
      <c r="H4" s="15">
        <f>SUM(Jan!H4, Feb!H4, Mar!H4)</f>
        <v>65957.5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SUM(Jan!C5, Feb!C5, Mar!C5)</f>
        <v>73363.000599999999</v>
      </c>
      <c r="D5" s="18">
        <f>SUM(Jan!D5, Feb!D5, Mar!D5)</f>
        <v>93318.709499999997</v>
      </c>
      <c r="E5" s="18">
        <f t="shared" ref="E5:E9" si="0">IF(AND(ISNUMBER(C5),ISNUMBER(D5)), C5-D5, "")</f>
        <v>-19955.708899999998</v>
      </c>
      <c r="F5" s="19">
        <f>IFERROR(E5/D5, "")</f>
        <v>-0.21384467280915409</v>
      </c>
      <c r="G5" s="20">
        <f>SUM(Jan!G5, Feb!G5, Mar!G5)</f>
        <v>0</v>
      </c>
      <c r="H5" s="20">
        <f>SUM(Jan!H5, Feb!H5, Mar!H5)</f>
        <v>73363.000599999999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SUM(Jan!C6, Feb!C6, Mar!C6)</f>
        <v>-2673543.6199999987</v>
      </c>
      <c r="D6" s="13">
        <f>SUM(Jan!D6, Feb!D6, Mar!D6)</f>
        <v>72354.019500000155</v>
      </c>
      <c r="E6" s="13">
        <f t="shared" si="0"/>
        <v>-2745897.6394999987</v>
      </c>
      <c r="F6" s="14">
        <f t="shared" ref="F6:F9" si="1">IFERROR(E6/D6, "")</f>
        <v>-37.950865183101442</v>
      </c>
      <c r="G6" s="15">
        <f>SUM(Jan!G6, Feb!G6, Mar!G6)</f>
        <v>0</v>
      </c>
      <c r="H6" s="15">
        <f>SUM(Jan!H6, Feb!H6, Mar!H6)</f>
        <v>-2673543.6199999987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SUM(Jan!C7, Feb!C7, Mar!C7)</f>
        <v>75380.75</v>
      </c>
      <c r="D7" s="18">
        <f>SUM(Jan!D7, Feb!D7, Mar!D7)</f>
        <v>91529.34440000006</v>
      </c>
      <c r="E7" s="18">
        <f t="shared" si="0"/>
        <v>-16148.59440000006</v>
      </c>
      <c r="F7" s="19">
        <f t="shared" si="1"/>
        <v>-0.17643078846307184</v>
      </c>
      <c r="G7" s="20">
        <f>SUM(Jan!G7, Feb!G7, Mar!G7)</f>
        <v>0</v>
      </c>
      <c r="H7" s="20">
        <f>SUM(Jan!H7, Feb!H7, Mar!H7)</f>
        <v>75380.75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SUM(Jan!C8, Feb!C8, Mar!C8)</f>
        <v>85943.5</v>
      </c>
      <c r="D8" s="13">
        <f>SUM(Jan!D8, Feb!D8, Mar!D8)</f>
        <v>101280.88920000003</v>
      </c>
      <c r="E8" s="13">
        <f t="shared" si="0"/>
        <v>-15337.389200000034</v>
      </c>
      <c r="F8" s="14">
        <f t="shared" si="1"/>
        <v>-0.15143418784281398</v>
      </c>
      <c r="G8" s="15">
        <f>SUM(Jan!G8, Feb!G8, Mar!G8)</f>
        <v>0</v>
      </c>
      <c r="H8" s="15">
        <f>SUM(Jan!H8, Feb!H8, Mar!H8)</f>
        <v>85943.5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SUM(Jan!C9, Feb!C9, Mar!C9)</f>
        <v>72135.25</v>
      </c>
      <c r="D9" s="18">
        <f>SUM(Jan!D9, Feb!D9, Mar!D9)</f>
        <v>97737.563100000014</v>
      </c>
      <c r="E9" s="18">
        <f t="shared" si="0"/>
        <v>-25602.313100000014</v>
      </c>
      <c r="F9" s="19">
        <f t="shared" si="1"/>
        <v>-0.26194957484058667</v>
      </c>
      <c r="G9" s="20">
        <f>SUM(Jan!G9, Feb!G9, Mar!G9)</f>
        <v>0</v>
      </c>
      <c r="H9" s="20">
        <f>SUM(Jan!H9, Feb!H9, Mar!H9)</f>
        <v>72135.25</v>
      </c>
      <c r="I9" s="19" t="str">
        <f t="shared" si="2"/>
        <v/>
      </c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D4" activePane="bottomRight" state="frozen"/>
      <selection pane="bottomRight" activeCell="G16" sqref="G16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Troy School District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SUM(C4:C77)</f>
        <v>909941.25</v>
      </c>
      <c r="D2" s="5">
        <f>SUM(D4:D77)</f>
        <v>177342.34</v>
      </c>
      <c r="E2" s="5">
        <f>C2-D2</f>
        <v>732598.91</v>
      </c>
      <c r="F2" s="6">
        <f>IFERROR(E2/D2, 0)</f>
        <v>4.1309870502441779</v>
      </c>
      <c r="G2" s="5">
        <f>SUM(G4:G77)</f>
        <v>0</v>
      </c>
      <c r="H2" s="7">
        <f>C2-G2</f>
        <v>909941.25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SUM(Apr!C4, May!C4, Jun!C4)</f>
        <v>127073</v>
      </c>
      <c r="D4" s="13">
        <f>SUM(Apr!D4, May!D4, Jun!D4)</f>
        <v>0</v>
      </c>
      <c r="E4" s="13">
        <f>IF(AND(ISNUMBER(C4),ISNUMBER(D4)), C4-D4, "")</f>
        <v>127073</v>
      </c>
      <c r="F4" s="14" t="str">
        <f>IFERROR(E4/D4, "")</f>
        <v/>
      </c>
      <c r="G4" s="15">
        <f>SUM(Apr!G4,May!G4,Jun!G4)</f>
        <v>0</v>
      </c>
      <c r="H4" s="15">
        <f>SUM(Apr!H4, May!H4, Jun!H4)</f>
        <v>127073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SUM(Apr!C5, May!C5, Jun!C5)</f>
        <v>154349</v>
      </c>
      <c r="D5" s="18">
        <f>SUM(Apr!D5, May!D5, Jun!D5)</f>
        <v>0</v>
      </c>
      <c r="E5" s="18">
        <f t="shared" ref="E5:E9" si="0">IF(AND(ISNUMBER(C5),ISNUMBER(D5)), C5-D5, "")</f>
        <v>154349</v>
      </c>
      <c r="F5" s="19" t="str">
        <f>IFERROR(E5/D5, "")</f>
        <v/>
      </c>
      <c r="G5" s="18">
        <f>SUM(Apr!G5,May!G5,Jun!G5)</f>
        <v>0</v>
      </c>
      <c r="H5" s="20">
        <f>SUM(Apr!H5, May!H5, Jun!H5)</f>
        <v>154349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SUM(Apr!C6, May!C6, Jun!C6)</f>
        <v>150555</v>
      </c>
      <c r="D6" s="13">
        <f>SUM(Apr!D6, May!D6, Jun!D6)</f>
        <v>0</v>
      </c>
      <c r="E6" s="13">
        <f t="shared" si="0"/>
        <v>150555</v>
      </c>
      <c r="F6" s="14" t="str">
        <f t="shared" ref="F6:F9" si="1">IFERROR(E6/D6, "")</f>
        <v/>
      </c>
      <c r="G6" s="15">
        <f>SUM(Apr!G6,May!G6,Jun!G6)</f>
        <v>0</v>
      </c>
      <c r="H6" s="15">
        <f>SUM(Apr!H6, May!H6, Jun!H6)</f>
        <v>150555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SUM(Apr!C7, May!C7, Jun!C7)</f>
        <v>150161</v>
      </c>
      <c r="D7" s="18">
        <f>SUM(Apr!D7, May!D7, Jun!D7)</f>
        <v>0</v>
      </c>
      <c r="E7" s="18">
        <f t="shared" si="0"/>
        <v>150161</v>
      </c>
      <c r="F7" s="19" t="str">
        <f t="shared" si="1"/>
        <v/>
      </c>
      <c r="G7" s="18">
        <f>SUM(Apr!G7,May!G7,Jun!G7)</f>
        <v>0</v>
      </c>
      <c r="H7" s="20">
        <f>SUM(Apr!H7, May!H7, Jun!H7)</f>
        <v>150161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SUM(Apr!C8, May!C8, Jun!C8)</f>
        <v>172370.5</v>
      </c>
      <c r="D8" s="13">
        <f>SUM(Apr!D8, May!D8, Jun!D8)</f>
        <v>177342.34</v>
      </c>
      <c r="E8" s="13">
        <f t="shared" si="0"/>
        <v>-4971.8399999999965</v>
      </c>
      <c r="F8" s="14">
        <f t="shared" si="1"/>
        <v>-2.8035267832825464E-2</v>
      </c>
      <c r="G8" s="15">
        <f>SUM(Apr!G8,May!G8,Jun!G8)</f>
        <v>0</v>
      </c>
      <c r="H8" s="15">
        <f>SUM(Apr!H8, May!H8, Jun!H8)</f>
        <v>172370.5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SUM(Apr!C9, May!C9, Jun!C9)</f>
        <v>155432.75</v>
      </c>
      <c r="D9" s="18">
        <f>SUM(Apr!D9, May!D9, Jun!D9)</f>
        <v>0</v>
      </c>
      <c r="E9" s="18">
        <f t="shared" si="0"/>
        <v>155432.75</v>
      </c>
      <c r="F9" s="19" t="str">
        <f t="shared" si="1"/>
        <v/>
      </c>
      <c r="G9" s="18">
        <f>SUM(Apr!G9,May!G9,Jun!G9)</f>
        <v>0</v>
      </c>
      <c r="H9" s="20">
        <f>SUM(Apr!H9, May!H9, Jun!H9)</f>
        <v>155432.75</v>
      </c>
      <c r="I9" s="19" t="str">
        <f t="shared" si="2"/>
        <v/>
      </c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14" sqref="G14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Troy School District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SUM(C4:C77)</f>
        <v>758403.69</v>
      </c>
      <c r="D2" s="5">
        <f>SUM(D4:D77)</f>
        <v>170580.11</v>
      </c>
      <c r="E2" s="5">
        <f>C2-D2</f>
        <v>587823.57999999996</v>
      </c>
      <c r="F2" s="6">
        <f>IFERROR(E2/D2, 0)</f>
        <v>3.4460265033244499</v>
      </c>
      <c r="G2" s="5">
        <f>SUM(G4:G77)</f>
        <v>0</v>
      </c>
      <c r="H2" s="7">
        <f>C2-G2</f>
        <v>758403.69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SUM(Jul!C4, Aug!C4, Sep!C4)</f>
        <v>71389</v>
      </c>
      <c r="D4" s="13">
        <f>SUM(Jul!D4, Aug!D4, Sep!D4)</f>
        <v>0</v>
      </c>
      <c r="E4" s="13">
        <f>IF(AND(ISNUMBER(C4),ISNUMBER(D4)), C4-D4, "")</f>
        <v>71389</v>
      </c>
      <c r="F4" s="14" t="str">
        <f>IFERROR(E4/D4, "")</f>
        <v/>
      </c>
      <c r="G4" s="15">
        <f>SUM(Oct!G4,Nov!G4,Dec!G4)</f>
        <v>0</v>
      </c>
      <c r="H4" s="15">
        <f>SUM(Jul!H4, Aug!H4, Sep!H4)</f>
        <v>71389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SUM(Jul!C5, Aug!C5, Sep!C5)</f>
        <v>135430.70000000001</v>
      </c>
      <c r="D5" s="18">
        <f>SUM(Jul!D5, Aug!D5, Sep!D5)</f>
        <v>0</v>
      </c>
      <c r="E5" s="18">
        <f t="shared" ref="E5:E9" si="0">IF(AND(ISNUMBER(C5),ISNUMBER(D5)), C5-D5, "")</f>
        <v>135430.70000000001</v>
      </c>
      <c r="F5" s="19" t="str">
        <f>IFERROR(E5/D5, "")</f>
        <v/>
      </c>
      <c r="G5" s="18">
        <f>SUM(Oct!G5,Nov!G5,Dec!G5)</f>
        <v>0</v>
      </c>
      <c r="H5" s="20">
        <f>SUM(Jul!H5, Aug!H5, Sep!H5)</f>
        <v>135430.70000000001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SUM(Jul!C6, Aug!C6, Sep!C6)</f>
        <v>145894.24</v>
      </c>
      <c r="D6" s="13">
        <f>SUM(Jul!D6, Aug!D6, Sep!D6)</f>
        <v>0</v>
      </c>
      <c r="E6" s="13">
        <f t="shared" si="0"/>
        <v>145894.24</v>
      </c>
      <c r="F6" s="14" t="str">
        <f t="shared" ref="F6:F9" si="1">IFERROR(E6/D6, "")</f>
        <v/>
      </c>
      <c r="G6" s="15">
        <f>SUM(Oct!G6,Nov!G6,Dec!G6)</f>
        <v>0</v>
      </c>
      <c r="H6" s="15">
        <f>SUM(Jul!H6, Aug!H6, Sep!H6)</f>
        <v>145894.24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SUM(Jul!C7, Aug!C7, Sep!C7)</f>
        <v>144643.25</v>
      </c>
      <c r="D7" s="18">
        <f>SUM(Jul!D7, Aug!D7, Sep!D7)</f>
        <v>0</v>
      </c>
      <c r="E7" s="18">
        <f t="shared" si="0"/>
        <v>144643.25</v>
      </c>
      <c r="F7" s="19" t="str">
        <f t="shared" si="1"/>
        <v/>
      </c>
      <c r="G7" s="18">
        <f>SUM(Oct!G7,Nov!G7,Dec!G7)</f>
        <v>0</v>
      </c>
      <c r="H7" s="20">
        <f>SUM(Jul!H7, Aug!H7, Sep!H7)</f>
        <v>144643.25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SUM(Jul!C8, Aug!C9, Sep!C8)</f>
        <v>162551.75</v>
      </c>
      <c r="D8" s="13">
        <f>SUM(Jul!D8, Aug!D9, Sep!D8)</f>
        <v>170580.11</v>
      </c>
      <c r="E8" s="13">
        <f t="shared" si="0"/>
        <v>-8028.359999999986</v>
      </c>
      <c r="F8" s="14">
        <f t="shared" si="1"/>
        <v>-4.7065041756626763E-2</v>
      </c>
      <c r="G8" s="15">
        <f>SUM(Oct!G8,Nov!G8,Dec!G8)</f>
        <v>0</v>
      </c>
      <c r="H8" s="15">
        <f>SUM(Jul!H8, Aug!H9, Sep!H8)</f>
        <v>162551.75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SUM(Jul!C9, Aug!C10, Sep!C9)</f>
        <v>98494.75</v>
      </c>
      <c r="D9" s="18">
        <f>SUM(Jul!D9, Aug!D10, Sep!D9)</f>
        <v>0</v>
      </c>
      <c r="E9" s="18">
        <f t="shared" si="0"/>
        <v>98494.75</v>
      </c>
      <c r="F9" s="19" t="str">
        <f t="shared" si="1"/>
        <v/>
      </c>
      <c r="G9" s="18">
        <f>SUM(Oct!G9,Nov!G9,Dec!G9)</f>
        <v>0</v>
      </c>
      <c r="H9" s="20">
        <f>SUM(Jul!H9, Aug!H10, Sep!H9)</f>
        <v>98494.75</v>
      </c>
      <c r="I9" s="19" t="str">
        <f t="shared" si="2"/>
        <v/>
      </c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0" sqref="A10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Troy School District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SUM(C4:C77)</f>
        <v>387319</v>
      </c>
      <c r="D2" s="5">
        <f>SUM(D4:D77)</f>
        <v>76718</v>
      </c>
      <c r="E2" s="5">
        <f>C2-D2</f>
        <v>310601</v>
      </c>
      <c r="F2" s="6">
        <f>IFERROR(E2/D2, 0)</f>
        <v>4.0486065851560262</v>
      </c>
      <c r="G2" s="5">
        <f>SUM(G4:G77)</f>
        <v>0</v>
      </c>
      <c r="H2" s="7">
        <f>C2-G2</f>
        <v>387319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SUM(Oct!C4, Nov!C4, Dec!C4)</f>
        <v>57147</v>
      </c>
      <c r="D4" s="13">
        <f>SUM(Oct!D4, Nov!D4, Dec!D4)</f>
        <v>0</v>
      </c>
      <c r="E4" s="13">
        <f>IF(AND(ISNUMBER(C4),ISNUMBER(D4)), C4-D4, "")</f>
        <v>57147</v>
      </c>
      <c r="F4" s="14" t="str">
        <f>IFERROR(E4/D4, "")</f>
        <v/>
      </c>
      <c r="G4" s="15"/>
      <c r="H4" s="15">
        <f>SUM(Oct!H4, Nov!H4, Dec!H4)</f>
        <v>57147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SUM(Oct!C5, Nov!C5, Dec!C5)</f>
        <v>60827</v>
      </c>
      <c r="D5" s="18">
        <f>SUM(Oct!D5, Nov!D5, Dec!D5)</f>
        <v>0</v>
      </c>
      <c r="E5" s="18">
        <f t="shared" ref="E5:E9" si="0">IF(AND(ISNUMBER(C5),ISNUMBER(D5)), C5-D5, "")</f>
        <v>60827</v>
      </c>
      <c r="F5" s="19" t="str">
        <f>IFERROR(E5/D5, "")</f>
        <v/>
      </c>
      <c r="G5" s="20"/>
      <c r="H5" s="20">
        <f>SUM(Oct!H5, Nov!H5, Dec!H5)</f>
        <v>60827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SUM(Oct!C6, Nov!C6, Dec!C6)</f>
        <v>69428</v>
      </c>
      <c r="D6" s="13">
        <f>SUM(Oct!D6, Nov!D6, Dec!D6)</f>
        <v>0</v>
      </c>
      <c r="E6" s="13">
        <f t="shared" si="0"/>
        <v>69428</v>
      </c>
      <c r="F6" s="14" t="str">
        <f t="shared" ref="F6:F9" si="1">IFERROR(E6/D6, "")</f>
        <v/>
      </c>
      <c r="G6" s="15"/>
      <c r="H6" s="15">
        <f>SUM(Oct!H6, Nov!H6, Dec!H6)</f>
        <v>69428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SUM(Oct!C7, Nov!C7, Dec!C7)</f>
        <v>64037</v>
      </c>
      <c r="D7" s="18">
        <f>SUM(Oct!D7, Nov!D7, Dec!D7)</f>
        <v>0</v>
      </c>
      <c r="E7" s="18">
        <f t="shared" si="0"/>
        <v>64037</v>
      </c>
      <c r="F7" s="19" t="str">
        <f t="shared" si="1"/>
        <v/>
      </c>
      <c r="G7" s="20"/>
      <c r="H7" s="20">
        <f>SUM(Oct!H7, Nov!H7, Dec!H7)</f>
        <v>64037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SUM(Oct!C8, Nov!C8, Dec!C8)</f>
        <v>72156</v>
      </c>
      <c r="D8" s="13">
        <f>SUM(Oct!D8, Nov!D8, Dec!D8)</f>
        <v>76718</v>
      </c>
      <c r="E8" s="13">
        <f t="shared" si="0"/>
        <v>-4562</v>
      </c>
      <c r="F8" s="14">
        <f t="shared" si="1"/>
        <v>-5.9464532443494353E-2</v>
      </c>
      <c r="G8" s="15"/>
      <c r="H8" s="15">
        <f>SUM(Oct!H8, Nov!H8, Dec!H8)</f>
        <v>72156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SUM(Oct!C9, Nov!C9, Dec!C9)</f>
        <v>63724</v>
      </c>
      <c r="D9" s="18">
        <f>SUM(Oct!D9, Nov!D9, Dec!D9)</f>
        <v>0</v>
      </c>
      <c r="E9" s="18">
        <f t="shared" si="0"/>
        <v>63724</v>
      </c>
      <c r="F9" s="19" t="str">
        <f t="shared" si="1"/>
        <v/>
      </c>
      <c r="G9" s="20"/>
      <c r="H9" s="20">
        <f>SUM(Oct!H9, Nov!H9, Dec!H9)</f>
        <v>63724</v>
      </c>
      <c r="I9" s="19" t="str">
        <f t="shared" si="2"/>
        <v/>
      </c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F6" sqref="F6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SUM(C4:C76)</f>
        <v>25235</v>
      </c>
      <c r="D2" s="5">
        <f>SUM(D4:D76)</f>
        <v>102094</v>
      </c>
      <c r="E2" s="5">
        <f>C2-D2</f>
        <v>-76859</v>
      </c>
      <c r="F2" s="6">
        <f>IFERROR(E2/D2, 0)</f>
        <v>-0.75282582717887436</v>
      </c>
      <c r="G2" s="5">
        <f>SUM(G4:G76)</f>
        <v>0</v>
      </c>
      <c r="H2" s="7">
        <f>C2-G2</f>
        <v>25235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8" t="str" cm="1">
        <f t="array" ref="A4:A9">Sites[Site]</f>
        <v>Joliet - Craughwell</v>
      </c>
      <c r="B4" s="29" t="str" cm="1">
        <f t="array" ref="B4:B9">Sites[State]</f>
        <v>IL</v>
      </c>
      <c r="C4" s="13">
        <v>3467</v>
      </c>
      <c r="D4" s="13">
        <v>15948</v>
      </c>
      <c r="E4" s="13">
        <f>IF(AND(ISNUMBER(C4),ISNUMBER(D4)), C4-D4, "")</f>
        <v>-12481</v>
      </c>
      <c r="F4" s="42">
        <f>IFERROR(E4/D4, "")</f>
        <v>-0.78260596940055183</v>
      </c>
      <c r="G4" s="15">
        <v>0</v>
      </c>
      <c r="H4" s="15">
        <f>IF(AND(ISNUMBER(C4),ISNUMBER(G4)), C4-G4, "")</f>
        <v>3467</v>
      </c>
      <c r="I4" s="16" t="str">
        <f>IFERROR(H4/G4, "")</f>
        <v/>
      </c>
      <c r="J4" s="51"/>
      <c r="K4" s="51"/>
    </row>
    <row r="5" spans="1:11" ht="15.75">
      <c r="A5" s="49" t="str">
        <v>Joliet - Heritage Trail</v>
      </c>
      <c r="B5" s="31" t="str">
        <v>IL</v>
      </c>
      <c r="C5" s="18">
        <v>4288</v>
      </c>
      <c r="D5" s="18">
        <v>17449</v>
      </c>
      <c r="E5" s="18">
        <f t="shared" ref="E5:E9" si="0">IF(AND(ISNUMBER(C5),ISNUMBER(D5)), C5-D5, "")</f>
        <v>-13161</v>
      </c>
      <c r="F5" s="42">
        <f t="shared" ref="F5:F9" si="1">IFERROR(E5/D5, "")</f>
        <v>-0.7542552581809846</v>
      </c>
      <c r="G5" s="20">
        <v>0</v>
      </c>
      <c r="H5" s="20">
        <f t="shared" ref="H5:H6" si="2">IF(AND(ISNUMBER(C5),ISNUMBER(G5)), C5-G5, "")</f>
        <v>4288</v>
      </c>
      <c r="I5" s="19" t="str">
        <f t="shared" ref="I5:I6" si="3">IFERROR(H5/G5, "")</f>
        <v/>
      </c>
      <c r="J5" s="52"/>
      <c r="K5" s="52"/>
    </row>
    <row r="6" spans="1:11" ht="15.75">
      <c r="A6" s="50" t="str">
        <v>Plainfield - Troy</v>
      </c>
      <c r="B6" s="29" t="str">
        <v>IL</v>
      </c>
      <c r="C6" s="13">
        <v>4367</v>
      </c>
      <c r="D6" s="13">
        <v>14453</v>
      </c>
      <c r="E6" s="13">
        <f t="shared" si="0"/>
        <v>-10086</v>
      </c>
      <c r="F6" s="42">
        <f t="shared" si="1"/>
        <v>-0.69784819760603334</v>
      </c>
      <c r="G6" s="15">
        <v>0</v>
      </c>
      <c r="H6" s="15">
        <f t="shared" si="2"/>
        <v>4367</v>
      </c>
      <c r="I6" s="16" t="str">
        <f t="shared" si="3"/>
        <v/>
      </c>
      <c r="J6" s="51"/>
      <c r="K6" s="51"/>
    </row>
    <row r="7" spans="1:11" ht="15.75">
      <c r="A7" s="49" t="str">
        <v>Plainfield - William B Orenic</v>
      </c>
      <c r="B7" s="31" t="str">
        <v>IL</v>
      </c>
      <c r="C7" s="18">
        <v>4435</v>
      </c>
      <c r="D7" s="18">
        <v>17416</v>
      </c>
      <c r="E7" s="18">
        <f t="shared" si="0"/>
        <v>-12981</v>
      </c>
      <c r="F7" s="42">
        <f t="shared" si="1"/>
        <v>-0.7453491042719339</v>
      </c>
      <c r="G7" s="20">
        <v>0</v>
      </c>
      <c r="H7" s="20">
        <f t="shared" ref="H7:H9" si="4">IF(AND(ISNUMBER(C7),ISNUMBER(G7)), C7-G7, "")</f>
        <v>4435</v>
      </c>
      <c r="I7" s="19" t="str">
        <f t="shared" ref="I7:I9" si="5">IFERROR(H7/G7, "")</f>
        <v/>
      </c>
      <c r="J7" s="52"/>
      <c r="K7" s="52"/>
    </row>
    <row r="8" spans="1:11" ht="15.75">
      <c r="A8" s="50" t="str">
        <v>Shorewood - Cronin</v>
      </c>
      <c r="B8" s="29" t="str">
        <v>IL</v>
      </c>
      <c r="C8" s="13">
        <v>4681</v>
      </c>
      <c r="D8" s="13">
        <v>18468</v>
      </c>
      <c r="E8" s="13">
        <f t="shared" si="0"/>
        <v>-13787</v>
      </c>
      <c r="F8" s="42">
        <f t="shared" si="1"/>
        <v>-0.74653454624214854</v>
      </c>
      <c r="G8" s="15">
        <v>0</v>
      </c>
      <c r="H8" s="15">
        <f t="shared" si="4"/>
        <v>4681</v>
      </c>
      <c r="I8" s="16" t="str">
        <f t="shared" si="5"/>
        <v/>
      </c>
      <c r="J8" s="51"/>
      <c r="K8" s="51"/>
    </row>
    <row r="9" spans="1:11" ht="15.75">
      <c r="A9" s="49" t="str">
        <v>Shorewood - Hofer</v>
      </c>
      <c r="B9" s="31" t="str">
        <v>IL</v>
      </c>
      <c r="C9" s="18">
        <v>3997</v>
      </c>
      <c r="D9" s="18">
        <v>18360</v>
      </c>
      <c r="E9" s="18">
        <f t="shared" si="0"/>
        <v>-14363</v>
      </c>
      <c r="F9" s="42">
        <f t="shared" si="1"/>
        <v>-0.78229847494553373</v>
      </c>
      <c r="G9" s="20">
        <v>0</v>
      </c>
      <c r="H9" s="20">
        <f t="shared" si="4"/>
        <v>3997</v>
      </c>
      <c r="I9" s="19" t="str">
        <f t="shared" si="5"/>
        <v/>
      </c>
      <c r="J9" s="52"/>
      <c r="K9" s="52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</sheetData>
  <mergeCells count="4">
    <mergeCell ref="D1:F1"/>
    <mergeCell ref="A1:C1"/>
    <mergeCell ref="G1:I1"/>
    <mergeCell ref="A2:B2"/>
  </mergeCells>
  <conditionalFormatting sqref="F2 I2 I4:I76 F10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E24" sqref="E24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22</v>
      </c>
      <c r="E1" s="61"/>
      <c r="F1" s="61"/>
      <c r="G1" s="59" t="s">
        <v>23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SUM(C4:C77)</f>
        <v>-2554905.2499999991</v>
      </c>
      <c r="D2" s="5">
        <f>SUM(D4:D77)</f>
        <v>195441.72309999994</v>
      </c>
      <c r="E2" s="5">
        <f>C2-D2</f>
        <v>-2750346.9730999991</v>
      </c>
      <c r="F2" s="6">
        <f>IFERROR(E2/D2, 0)</f>
        <v>-14.072465845446693</v>
      </c>
      <c r="G2" s="5">
        <f>SUM(G4:G77)</f>
        <v>0</v>
      </c>
      <c r="H2" s="7">
        <f>C2-G2</f>
        <v>-2554905.2499999991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8" t="str" cm="1">
        <f t="array" ref="A4:A9">Sites[Site]</f>
        <v>Joliet - Craughwell</v>
      </c>
      <c r="B4" s="29" t="str" cm="1">
        <f t="array" ref="B4:B9">Sites[State]</f>
        <v>IL</v>
      </c>
      <c r="C4" s="24">
        <v>27622.5</v>
      </c>
      <c r="D4" s="13">
        <v>33134.507199999993</v>
      </c>
      <c r="E4" s="13">
        <f>IF(AND(ISNUMBER(C4),ISNUMBER(D4)), C4-D4, "")</f>
        <v>-5512.0071999999927</v>
      </c>
      <c r="F4" s="14">
        <f>IFERROR(E4/D4, "")</f>
        <v>-0.16635247256672628</v>
      </c>
      <c r="G4" s="15">
        <v>0</v>
      </c>
      <c r="H4" s="15">
        <f>IF(AND(ISNUMBER(C4),ISNUMBER(G4)), C4-G4, "")</f>
        <v>27622.5</v>
      </c>
      <c r="I4" s="16" t="str">
        <f>IFERROR(H4/G4, "")</f>
        <v/>
      </c>
      <c r="J4" s="51"/>
      <c r="K4" s="51"/>
    </row>
    <row r="5" spans="1:11" ht="15.75">
      <c r="A5" s="49" t="str">
        <v>Joliet - Heritage Trail</v>
      </c>
      <c r="B5" s="31" t="str">
        <v>IL</v>
      </c>
      <c r="C5" s="11">
        <v>30818</v>
      </c>
      <c r="D5" s="18">
        <v>35701.063799999996</v>
      </c>
      <c r="E5" s="18">
        <f t="shared" ref="E5:E9" si="0">IF(AND(ISNUMBER(C5),ISNUMBER(D5)), C5-D5, "")</f>
        <v>-4883.0637999999963</v>
      </c>
      <c r="F5" s="19">
        <f>IFERROR(E5/D5, "")</f>
        <v>-0.13677642289191386</v>
      </c>
      <c r="G5" s="20">
        <v>0</v>
      </c>
      <c r="H5" s="20">
        <f t="shared" ref="H5:H9" si="1">IF(AND(ISNUMBER(C5),ISNUMBER(G5)), C5-G5, "")</f>
        <v>30818</v>
      </c>
      <c r="I5" s="19" t="str">
        <f t="shared" ref="I5:I9" si="2">IFERROR(H5/G5, "")</f>
        <v/>
      </c>
      <c r="J5" s="52"/>
      <c r="K5" s="52"/>
    </row>
    <row r="6" spans="1:11" ht="15.75">
      <c r="A6" s="50" t="str">
        <v>Plainfield - Troy</v>
      </c>
      <c r="B6" s="29" t="str">
        <v>IL</v>
      </c>
      <c r="C6" s="24">
        <v>-2714541.4999999991</v>
      </c>
      <c r="D6" s="13">
        <v>15739.583800000015</v>
      </c>
      <c r="E6" s="13">
        <f t="shared" si="0"/>
        <v>-2730281.0837999992</v>
      </c>
      <c r="F6" s="14">
        <f t="shared" ref="F6:F9" si="3">IFERROR(E6/D6, "")</f>
        <v>-173.46590090901873</v>
      </c>
      <c r="G6" s="15">
        <v>0</v>
      </c>
      <c r="H6" s="15">
        <f t="shared" si="1"/>
        <v>-2714541.4999999991</v>
      </c>
      <c r="I6" s="16" t="str">
        <f t="shared" si="2"/>
        <v/>
      </c>
      <c r="J6" s="51" t="s">
        <v>24</v>
      </c>
      <c r="K6" s="51" t="s">
        <v>25</v>
      </c>
    </row>
    <row r="7" spans="1:11" ht="15.75">
      <c r="A7" s="49" t="str">
        <v>Plainfield - William B Orenic</v>
      </c>
      <c r="B7" s="31" t="str">
        <v>IL</v>
      </c>
      <c r="C7" s="11">
        <v>32717.75</v>
      </c>
      <c r="D7" s="18">
        <v>34977.903900000041</v>
      </c>
      <c r="E7" s="18">
        <f t="shared" si="0"/>
        <v>-2260.1539000000412</v>
      </c>
      <c r="F7" s="19">
        <f t="shared" si="3"/>
        <v>-6.4616619293760433E-2</v>
      </c>
      <c r="G7" s="20">
        <v>0</v>
      </c>
      <c r="H7" s="20">
        <f t="shared" si="1"/>
        <v>32717.75</v>
      </c>
      <c r="I7" s="19" t="str">
        <f t="shared" si="2"/>
        <v/>
      </c>
      <c r="J7" s="52"/>
      <c r="K7" s="53"/>
    </row>
    <row r="8" spans="1:11" ht="15.75">
      <c r="A8" s="50" t="str">
        <v>Shorewood - Cronin</v>
      </c>
      <c r="B8" s="29" t="str">
        <v>IL</v>
      </c>
      <c r="C8" s="24">
        <v>37469.75</v>
      </c>
      <c r="D8" s="13">
        <v>38519.775499999982</v>
      </c>
      <c r="E8" s="13">
        <f t="shared" si="0"/>
        <v>-1050.0254999999815</v>
      </c>
      <c r="F8" s="14">
        <f t="shared" si="3"/>
        <v>-2.7259387843524219E-2</v>
      </c>
      <c r="G8" s="15">
        <v>0</v>
      </c>
      <c r="H8" s="15">
        <f t="shared" si="1"/>
        <v>37469.75</v>
      </c>
      <c r="I8" s="16" t="str">
        <f t="shared" si="2"/>
        <v/>
      </c>
      <c r="J8" s="51"/>
      <c r="K8" s="51"/>
    </row>
    <row r="9" spans="1:11" ht="15.75">
      <c r="A9" s="49" t="str">
        <v>Shorewood - Hofer</v>
      </c>
      <c r="B9" s="31" t="str">
        <v>IL</v>
      </c>
      <c r="C9" s="11">
        <v>31008.25</v>
      </c>
      <c r="D9" s="18">
        <v>37368.888899999918</v>
      </c>
      <c r="E9" s="18">
        <f t="shared" si="0"/>
        <v>-6360.6388999999181</v>
      </c>
      <c r="F9" s="19">
        <f t="shared" si="3"/>
        <v>-0.17021214939039656</v>
      </c>
      <c r="G9" s="20">
        <v>0</v>
      </c>
      <c r="H9" s="20">
        <f t="shared" si="1"/>
        <v>31008.25</v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I17" sqref="I17"/>
      <selection pane="bottomLeft" activeCell="A10" sqref="A10:XFD32"/>
      <selection pane="topRight" activeCell="A10" sqref="A10:XFD32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SUM(C4:C77)</f>
        <v>228906.63060000015</v>
      </c>
      <c r="D2" s="5">
        <f>SUM(D4:D77)</f>
        <v>246225.52850000034</v>
      </c>
      <c r="E2" s="5">
        <f>C2-D2</f>
        <v>-17318.897900000185</v>
      </c>
      <c r="F2" s="6">
        <f>IFERROR(E2/D2, 0)</f>
        <v>-7.0337539756768805E-2</v>
      </c>
      <c r="G2" s="5">
        <f>SUM(G4:G77)</f>
        <v>0</v>
      </c>
      <c r="H2" s="7">
        <f>C2-G2</f>
        <v>228906.63060000015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34868</v>
      </c>
      <c r="D4" s="13">
        <v>38458.218700000005</v>
      </c>
      <c r="E4" s="13">
        <f>IF(AND(ISNUMBER(C4),ISNUMBER(D4)), C4-D4, "")</f>
        <v>-3590.2187000000049</v>
      </c>
      <c r="F4" s="14">
        <f>IFERROR(E4/D4, "")</f>
        <v>-9.3353743916381765E-2</v>
      </c>
      <c r="G4" s="15">
        <v>0</v>
      </c>
      <c r="H4" s="15">
        <f>IF(AND(ISNUMBER(C4),ISNUMBER(G4)), C4-G4, "")</f>
        <v>34868</v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>
        <v>38257.000599999999</v>
      </c>
      <c r="D5" s="18">
        <v>40168.645699999994</v>
      </c>
      <c r="E5" s="18">
        <f t="shared" ref="E5:E9" si="0">IF(AND(ISNUMBER(C5),ISNUMBER(D5)), C5-D5, "")</f>
        <v>-1911.6450999999943</v>
      </c>
      <c r="F5" s="19">
        <f>IFERROR(E5/D5, "")</f>
        <v>-4.7590479257805664E-2</v>
      </c>
      <c r="G5" s="20">
        <v>0</v>
      </c>
      <c r="H5" s="20">
        <f t="shared" ref="H5:H9" si="1">IF(AND(ISNUMBER(C5),ISNUMBER(G5)), C5-G5, "")</f>
        <v>38257.000599999999</v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>
        <v>36630.88000000015</v>
      </c>
      <c r="D6" s="13">
        <v>42161.43570000014</v>
      </c>
      <c r="E6" s="13">
        <f t="shared" si="0"/>
        <v>-5530.5556999999899</v>
      </c>
      <c r="F6" s="14">
        <f t="shared" ref="F6:F9" si="3">IFERROR(E6/D6, "")</f>
        <v>-0.13117569665683779</v>
      </c>
      <c r="G6" s="15">
        <v>0</v>
      </c>
      <c r="H6" s="15">
        <f t="shared" si="1"/>
        <v>36630.88000000015</v>
      </c>
      <c r="I6" s="16" t="str">
        <f t="shared" si="2"/>
        <v/>
      </c>
      <c r="J6" s="51" t="s">
        <v>28</v>
      </c>
      <c r="K6" s="51" t="s">
        <v>25</v>
      </c>
    </row>
    <row r="7" spans="1:11" ht="15.75">
      <c r="A7" s="30" t="str">
        <v>Plainfield - William B Orenic</v>
      </c>
      <c r="B7" s="31" t="str">
        <v>IL</v>
      </c>
      <c r="C7" s="11">
        <v>38228</v>
      </c>
      <c r="D7" s="18">
        <v>39135.440500000026</v>
      </c>
      <c r="E7" s="18">
        <f t="shared" si="0"/>
        <v>-907.44050000002608</v>
      </c>
      <c r="F7" s="19">
        <f t="shared" si="3"/>
        <v>-2.3187179916884428E-2</v>
      </c>
      <c r="G7" s="20">
        <v>0</v>
      </c>
      <c r="H7" s="20">
        <f t="shared" si="1"/>
        <v>38228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43792.75</v>
      </c>
      <c r="D8" s="13">
        <v>44293.11370000006</v>
      </c>
      <c r="E8" s="13">
        <f t="shared" si="0"/>
        <v>-500.36370000005991</v>
      </c>
      <c r="F8" s="14">
        <f t="shared" si="3"/>
        <v>-1.1296647677312855E-2</v>
      </c>
      <c r="G8" s="15">
        <v>0</v>
      </c>
      <c r="H8" s="15">
        <f t="shared" si="1"/>
        <v>43792.75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37130</v>
      </c>
      <c r="D9" s="18">
        <v>42008.674200000096</v>
      </c>
      <c r="E9" s="18">
        <f t="shared" si="0"/>
        <v>-4878.6742000000959</v>
      </c>
      <c r="F9" s="19">
        <f t="shared" si="3"/>
        <v>-0.11613492434379385</v>
      </c>
      <c r="G9" s="20">
        <v>0</v>
      </c>
      <c r="H9" s="20">
        <f t="shared" si="1"/>
        <v>37130</v>
      </c>
      <c r="I9" s="19" t="str">
        <f t="shared" si="2"/>
        <v/>
      </c>
      <c r="J9" s="52" t="s">
        <v>29</v>
      </c>
      <c r="K9" s="53" t="s">
        <v>30</v>
      </c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E13" sqref="E13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31</v>
      </c>
      <c r="E1" s="61"/>
      <c r="F1" s="61"/>
      <c r="G1" s="59" t="s">
        <v>32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SUM(C4:C77)</f>
        <v>263649</v>
      </c>
      <c r="D2" s="5">
        <f>SUM(D4:D77)</f>
        <v>49433</v>
      </c>
      <c r="E2" s="5">
        <f>C2-D2</f>
        <v>214216</v>
      </c>
      <c r="F2" s="6">
        <f>IFERROR(E2/D2, 0)</f>
        <v>4.3334614528756097</v>
      </c>
      <c r="G2" s="5">
        <f>SUM(G4:G77)</f>
        <v>0</v>
      </c>
      <c r="H2" s="7">
        <f>C2-G2</f>
        <v>263649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40399</v>
      </c>
      <c r="D4" s="13">
        <v>0</v>
      </c>
      <c r="E4" s="13">
        <f>IF(AND(ISNUMBER(C4),ISNUMBER(D4)), C4-D4, "")</f>
        <v>40399</v>
      </c>
      <c r="F4" s="14" t="str">
        <f>IFERROR(E4/D4, "")</f>
        <v/>
      </c>
      <c r="G4" s="15">
        <v>0</v>
      </c>
      <c r="H4" s="15">
        <f>IF(AND(ISNUMBER(C4),ISNUMBER(G4)), C4-G4, "")</f>
        <v>40399</v>
      </c>
      <c r="I4" s="16" t="str">
        <f>IFERROR(H4/G4, "")</f>
        <v/>
      </c>
      <c r="J4" s="51" t="s">
        <v>33</v>
      </c>
      <c r="K4" s="51" t="s">
        <v>34</v>
      </c>
    </row>
    <row r="5" spans="1:11" ht="15.75">
      <c r="A5" s="30" t="str">
        <v>Joliet - Heritage Trail</v>
      </c>
      <c r="B5" s="31" t="str">
        <v>IL</v>
      </c>
      <c r="C5" s="11">
        <v>43972</v>
      </c>
      <c r="D5" s="18">
        <v>0</v>
      </c>
      <c r="E5" s="18">
        <f t="shared" ref="E5:E9" si="0">IF(AND(ISNUMBER(C5),ISNUMBER(D5)), C5-D5, "")</f>
        <v>43972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43972</v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>
        <v>45621</v>
      </c>
      <c r="D6" s="13">
        <v>0</v>
      </c>
      <c r="E6" s="13">
        <f t="shared" si="0"/>
        <v>45621</v>
      </c>
      <c r="F6" s="14" t="str">
        <f t="shared" ref="F6:F9" si="3">IFERROR(E6/D6, "")</f>
        <v/>
      </c>
      <c r="G6" s="15">
        <v>0</v>
      </c>
      <c r="H6" s="15">
        <f t="shared" si="1"/>
        <v>45621</v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>
        <v>42537</v>
      </c>
      <c r="D7" s="18">
        <v>0</v>
      </c>
      <c r="E7" s="18">
        <f t="shared" si="0"/>
        <v>42537</v>
      </c>
      <c r="F7" s="19" t="str">
        <f t="shared" si="3"/>
        <v/>
      </c>
      <c r="G7" s="20">
        <v>0</v>
      </c>
      <c r="H7" s="20">
        <f t="shared" si="1"/>
        <v>42537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49064.5</v>
      </c>
      <c r="D8" s="13">
        <v>49433</v>
      </c>
      <c r="E8" s="13">
        <f t="shared" si="0"/>
        <v>-368.5</v>
      </c>
      <c r="F8" s="14">
        <f t="shared" si="3"/>
        <v>-7.4545344203265024E-3</v>
      </c>
      <c r="G8" s="15">
        <v>0</v>
      </c>
      <c r="H8" s="15">
        <f t="shared" si="1"/>
        <v>49064.5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42055.5</v>
      </c>
      <c r="D9" s="18">
        <v>0</v>
      </c>
      <c r="E9" s="18">
        <f t="shared" si="0"/>
        <v>42055.5</v>
      </c>
      <c r="F9" s="19" t="str">
        <f t="shared" si="3"/>
        <v/>
      </c>
      <c r="G9" s="20">
        <v>0</v>
      </c>
      <c r="H9" s="20">
        <f t="shared" si="1"/>
        <v>42055.5</v>
      </c>
      <c r="I9" s="19" t="str">
        <f t="shared" si="2"/>
        <v/>
      </c>
      <c r="J9" s="52" t="s">
        <v>35</v>
      </c>
      <c r="K9" s="52" t="s">
        <v>36</v>
      </c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D9" sqref="D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37</v>
      </c>
      <c r="E1" s="61"/>
      <c r="F1" s="61"/>
      <c r="G1" s="59" t="s">
        <v>38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SUM(C4:C77)</f>
        <v>338091.75</v>
      </c>
      <c r="D2" s="5">
        <f>SUM(D4:D77)</f>
        <v>65584.36</v>
      </c>
      <c r="E2" s="5">
        <f>C2-D2</f>
        <v>272507.39</v>
      </c>
      <c r="F2" s="6">
        <f>IFERROR(E2/D2, 0)</f>
        <v>4.1550666957792988</v>
      </c>
      <c r="G2" s="5">
        <f>SUM(G4:G77)</f>
        <v>0</v>
      </c>
      <c r="H2" s="7">
        <f>C2-G2</f>
        <v>338091.75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47126</v>
      </c>
      <c r="D4" s="13">
        <v>0</v>
      </c>
      <c r="E4" s="13">
        <f>IF(AND(ISNUMBER(C4),ISNUMBER(D4)), C4-D4, "")</f>
        <v>47126</v>
      </c>
      <c r="F4" s="14" t="str">
        <f>IFERROR(E4/D4, "")</f>
        <v/>
      </c>
      <c r="G4" s="15">
        <v>0</v>
      </c>
      <c r="H4" s="15">
        <f>IF(AND(ISNUMBER(C4),ISNUMBER(G4)), C4-G4, "")</f>
        <v>47126</v>
      </c>
      <c r="I4" s="16" t="str">
        <f>IFERROR(H4/G4, "")</f>
        <v/>
      </c>
      <c r="J4" s="51" t="s">
        <v>33</v>
      </c>
      <c r="K4" s="51" t="s">
        <v>34</v>
      </c>
    </row>
    <row r="5" spans="1:11" ht="15.75">
      <c r="A5" s="30" t="str">
        <v>Joliet - Heritage Trail</v>
      </c>
      <c r="B5" s="31" t="str">
        <v>IL</v>
      </c>
      <c r="C5" s="11">
        <v>56820</v>
      </c>
      <c r="D5" s="18">
        <v>0</v>
      </c>
      <c r="E5" s="18">
        <f t="shared" ref="E5:E9" si="0">IF(AND(ISNUMBER(C5),ISNUMBER(D5)), C5-D5, "")</f>
        <v>56820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56820</v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>
        <v>56900</v>
      </c>
      <c r="D6" s="13">
        <v>0</v>
      </c>
      <c r="E6" s="13">
        <f t="shared" si="0"/>
        <v>56900</v>
      </c>
      <c r="F6" s="14" t="str">
        <f t="shared" ref="F6:F9" si="3">IFERROR(E6/D6, "")</f>
        <v/>
      </c>
      <c r="G6" s="15">
        <v>0</v>
      </c>
      <c r="H6" s="15">
        <f t="shared" si="1"/>
        <v>56900</v>
      </c>
      <c r="I6" s="16" t="str">
        <f t="shared" si="2"/>
        <v/>
      </c>
      <c r="J6" s="51" t="s">
        <v>39</v>
      </c>
      <c r="K6" s="51" t="s">
        <v>40</v>
      </c>
    </row>
    <row r="7" spans="1:11" ht="15.75">
      <c r="A7" s="30" t="str">
        <v>Plainfield - William B Orenic</v>
      </c>
      <c r="B7" s="31" t="str">
        <v>IL</v>
      </c>
      <c r="C7" s="11">
        <v>55554</v>
      </c>
      <c r="D7" s="18">
        <v>0</v>
      </c>
      <c r="E7" s="18">
        <f t="shared" si="0"/>
        <v>55554</v>
      </c>
      <c r="F7" s="19" t="str">
        <f t="shared" si="3"/>
        <v/>
      </c>
      <c r="G7" s="20">
        <v>0</v>
      </c>
      <c r="H7" s="20">
        <f t="shared" si="1"/>
        <v>55554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63684</v>
      </c>
      <c r="D8" s="13">
        <v>65584.36</v>
      </c>
      <c r="E8" s="13">
        <f t="shared" si="0"/>
        <v>-1900.3600000000006</v>
      </c>
      <c r="F8" s="14">
        <f t="shared" si="3"/>
        <v>-2.8975810696330657E-2</v>
      </c>
      <c r="G8" s="15">
        <v>0</v>
      </c>
      <c r="H8" s="15">
        <f t="shared" si="1"/>
        <v>63684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58007.75</v>
      </c>
      <c r="D9" s="18">
        <v>0</v>
      </c>
      <c r="E9" s="18">
        <f t="shared" si="0"/>
        <v>58007.75</v>
      </c>
      <c r="F9" s="19" t="str">
        <f t="shared" si="3"/>
        <v/>
      </c>
      <c r="G9" s="20">
        <v>0</v>
      </c>
      <c r="H9" s="20">
        <f t="shared" si="1"/>
        <v>58007.75</v>
      </c>
      <c r="I9" s="19" t="str">
        <f t="shared" si="2"/>
        <v/>
      </c>
      <c r="J9" s="52" t="s">
        <v>41</v>
      </c>
      <c r="K9" s="52" t="s">
        <v>36</v>
      </c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D5" sqref="D5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SUM(C4:C77)</f>
        <v>308200.5</v>
      </c>
      <c r="D2" s="5">
        <f>SUM(D4:D77)</f>
        <v>62324.98</v>
      </c>
      <c r="E2" s="5">
        <f>C2-D2</f>
        <v>245875.52</v>
      </c>
      <c r="F2" s="6">
        <f>IFERROR(E2/D2, 0)</f>
        <v>3.9450557384855958</v>
      </c>
      <c r="G2" s="5">
        <f>SUM(G4:G77)</f>
        <v>0</v>
      </c>
      <c r="H2" s="7">
        <f>C2-G2</f>
        <v>308200.5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28.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39548</v>
      </c>
      <c r="D4" s="13">
        <v>0</v>
      </c>
      <c r="E4" s="13">
        <f>IF(AND(ISNUMBER(C4),ISNUMBER(D4)), C4-D4, "")</f>
        <v>39548</v>
      </c>
      <c r="F4" s="14" t="str">
        <f>IFERROR(E4/D4, "")</f>
        <v/>
      </c>
      <c r="G4" s="15">
        <v>0</v>
      </c>
      <c r="H4" s="15">
        <f>IF(AND(ISNUMBER(C4),ISNUMBER(G4)), C4-G4, "")</f>
        <v>39548</v>
      </c>
      <c r="I4" s="16" t="str">
        <f>IFERROR(H4/G4, "")</f>
        <v/>
      </c>
      <c r="J4" s="51" t="s">
        <v>44</v>
      </c>
      <c r="K4" s="51" t="s">
        <v>45</v>
      </c>
    </row>
    <row r="5" spans="1:11" ht="15.75">
      <c r="A5" s="30" t="str">
        <v>Joliet - Heritage Trail</v>
      </c>
      <c r="B5" s="31" t="str">
        <v>IL</v>
      </c>
      <c r="C5" s="11">
        <v>53557</v>
      </c>
      <c r="D5" s="18">
        <v>0</v>
      </c>
      <c r="E5" s="18">
        <f t="shared" ref="E5:E9" si="0">IF(AND(ISNUMBER(C5),ISNUMBER(D5)), C5-D5, "")</f>
        <v>53557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53557</v>
      </c>
      <c r="I5" s="19" t="str">
        <f t="shared" ref="I5:I9" si="2">IFERROR(H5/G5, "")</f>
        <v/>
      </c>
      <c r="J5" s="52" t="s">
        <v>46</v>
      </c>
      <c r="K5" s="52" t="s">
        <v>47</v>
      </c>
    </row>
    <row r="6" spans="1:11" ht="15.75">
      <c r="A6" s="28" t="str">
        <v>Plainfield - Troy</v>
      </c>
      <c r="B6" s="29" t="str">
        <v>IL</v>
      </c>
      <c r="C6" s="24">
        <v>48034</v>
      </c>
      <c r="D6" s="13">
        <v>0</v>
      </c>
      <c r="E6" s="13">
        <f t="shared" si="0"/>
        <v>48034</v>
      </c>
      <c r="F6" s="14" t="str">
        <f t="shared" ref="F6:F9" si="3">IFERROR(E6/D6, "")</f>
        <v/>
      </c>
      <c r="G6" s="15">
        <v>0</v>
      </c>
      <c r="H6" s="15">
        <f t="shared" si="1"/>
        <v>48034</v>
      </c>
      <c r="I6" s="16" t="str">
        <f t="shared" si="2"/>
        <v/>
      </c>
      <c r="J6" s="51" t="s">
        <v>48</v>
      </c>
      <c r="K6" s="51" t="s">
        <v>40</v>
      </c>
    </row>
    <row r="7" spans="1:11" ht="15.75">
      <c r="A7" s="30" t="str">
        <v>Plainfield - William B Orenic</v>
      </c>
      <c r="B7" s="31" t="str">
        <v>IL</v>
      </c>
      <c r="C7" s="11">
        <v>52070</v>
      </c>
      <c r="D7" s="18">
        <v>0</v>
      </c>
      <c r="E7" s="18">
        <f t="shared" si="0"/>
        <v>52070</v>
      </c>
      <c r="F7" s="19" t="str">
        <f t="shared" si="3"/>
        <v/>
      </c>
      <c r="G7" s="20">
        <v>0</v>
      </c>
      <c r="H7" s="20">
        <f t="shared" si="1"/>
        <v>52070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59622</v>
      </c>
      <c r="D8" s="13">
        <v>62324.98</v>
      </c>
      <c r="E8" s="13">
        <f t="shared" si="0"/>
        <v>-2702.9800000000032</v>
      </c>
      <c r="F8" s="14">
        <f t="shared" si="3"/>
        <v>-4.3369127434938655E-2</v>
      </c>
      <c r="G8" s="15">
        <v>0</v>
      </c>
      <c r="H8" s="15">
        <f t="shared" si="1"/>
        <v>59622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55369.5</v>
      </c>
      <c r="D9" s="18">
        <v>0</v>
      </c>
      <c r="E9" s="18">
        <f t="shared" si="0"/>
        <v>55369.5</v>
      </c>
      <c r="F9" s="19" t="str">
        <f t="shared" si="3"/>
        <v/>
      </c>
      <c r="G9" s="20">
        <v>0</v>
      </c>
      <c r="H9" s="20">
        <f t="shared" si="1"/>
        <v>55369.5</v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D9" sqref="D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49</v>
      </c>
      <c r="E1" s="61"/>
      <c r="F1" s="61"/>
      <c r="G1" s="59" t="s">
        <v>50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SUM(C4:C77)</f>
        <v>300772.62</v>
      </c>
      <c r="D2" s="5">
        <f>SUM(D4:D77)</f>
        <v>60949.760000000002</v>
      </c>
      <c r="E2" s="5">
        <f>C2-D2</f>
        <v>239822.86</v>
      </c>
      <c r="F2" s="6">
        <f>IFERROR(E2/D2, 0)</f>
        <v>3.934762991683642</v>
      </c>
      <c r="G2" s="5">
        <f>SUM(G4:G77)</f>
        <v>0</v>
      </c>
      <c r="H2" s="7">
        <f>C2-G2</f>
        <v>300772.62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38756.25</v>
      </c>
      <c r="D4" s="13">
        <v>0</v>
      </c>
      <c r="E4" s="13">
        <f>IF(AND(ISNUMBER(C4),ISNUMBER(D4)), C4-D4, "")</f>
        <v>38756.25</v>
      </c>
      <c r="F4" s="14" t="str">
        <f>IFERROR(E4/D4, "")</f>
        <v/>
      </c>
      <c r="G4" s="15">
        <v>0</v>
      </c>
      <c r="H4" s="15">
        <f>IF(AND(ISNUMBER(C4),ISNUMBER(G4)), C4-G4, "")</f>
        <v>38756.25</v>
      </c>
      <c r="I4" s="16" t="str">
        <f>IFERROR(H4/G4, "")</f>
        <v/>
      </c>
      <c r="J4" s="51" t="s">
        <v>51</v>
      </c>
      <c r="K4" s="51" t="s">
        <v>52</v>
      </c>
    </row>
    <row r="5" spans="1:11" ht="42.75">
      <c r="A5" s="30" t="str">
        <v>Joliet - Heritage Trail</v>
      </c>
      <c r="B5" s="31" t="str">
        <v>IL</v>
      </c>
      <c r="C5" s="11">
        <v>48983</v>
      </c>
      <c r="D5" s="18">
        <v>0</v>
      </c>
      <c r="E5" s="18">
        <f t="shared" ref="E5:E9" si="0">IF(AND(ISNUMBER(C5),ISNUMBER(D5)), C5-D5, "")</f>
        <v>48983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48983</v>
      </c>
      <c r="I5" s="19" t="str">
        <f t="shared" ref="I5:I9" si="2">IFERROR(H5/G5, "")</f>
        <v/>
      </c>
      <c r="J5" s="52" t="s">
        <v>53</v>
      </c>
      <c r="K5" s="52" t="s">
        <v>54</v>
      </c>
    </row>
    <row r="6" spans="1:11" ht="15.75">
      <c r="A6" s="28" t="str">
        <v>Plainfield - Troy</v>
      </c>
      <c r="B6" s="29" t="str">
        <v>IL</v>
      </c>
      <c r="C6" s="24">
        <v>48680.12</v>
      </c>
      <c r="D6" s="13">
        <v>0</v>
      </c>
      <c r="E6" s="13">
        <f t="shared" si="0"/>
        <v>48680.12</v>
      </c>
      <c r="F6" s="14" t="str">
        <f t="shared" ref="F6:F9" si="3">IFERROR(E6/D6, "")</f>
        <v/>
      </c>
      <c r="G6" s="15">
        <v>0</v>
      </c>
      <c r="H6" s="15">
        <f t="shared" si="1"/>
        <v>48680.12</v>
      </c>
      <c r="I6" s="16" t="str">
        <f t="shared" si="2"/>
        <v/>
      </c>
      <c r="J6" s="51" t="s">
        <v>55</v>
      </c>
      <c r="K6" s="51" t="s">
        <v>56</v>
      </c>
    </row>
    <row r="7" spans="1:11" ht="15.75">
      <c r="A7" s="30" t="str">
        <v>Plainfield - William B Orenic</v>
      </c>
      <c r="B7" s="31" t="str">
        <v>IL</v>
      </c>
      <c r="C7" s="11">
        <v>51839.75</v>
      </c>
      <c r="D7" s="18">
        <v>0</v>
      </c>
      <c r="E7" s="18">
        <f t="shared" si="0"/>
        <v>51839.75</v>
      </c>
      <c r="F7" s="19" t="str">
        <f t="shared" si="3"/>
        <v/>
      </c>
      <c r="G7" s="20">
        <v>0</v>
      </c>
      <c r="H7" s="20">
        <f t="shared" si="1"/>
        <v>51839.75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58263.5</v>
      </c>
      <c r="D8" s="13">
        <v>60949.760000000002</v>
      </c>
      <c r="E8" s="13">
        <f t="shared" si="0"/>
        <v>-2686.260000000002</v>
      </c>
      <c r="F8" s="14">
        <f t="shared" si="3"/>
        <v>-4.4073348278976028E-2</v>
      </c>
      <c r="G8" s="15">
        <v>0</v>
      </c>
      <c r="H8" s="15">
        <f t="shared" si="1"/>
        <v>58263.5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54250</v>
      </c>
      <c r="D9" s="18">
        <v>0</v>
      </c>
      <c r="E9" s="18">
        <f t="shared" si="0"/>
        <v>54250</v>
      </c>
      <c r="F9" s="19" t="str">
        <f t="shared" si="3"/>
        <v/>
      </c>
      <c r="G9" s="20">
        <v>0</v>
      </c>
      <c r="H9" s="20">
        <f t="shared" si="1"/>
        <v>54250</v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sortState xmlns:xlrd2="http://schemas.microsoft.com/office/spreadsheetml/2017/richdata2" ref="A3:K9">
    <sortCondition ref="A3:A9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tabSelected="1" zoomScale="80" zoomScaleNormal="80" workbookViewId="0">
      <pane xSplit="2" ySplit="3" topLeftCell="C4" activePane="bottomRight" state="frozen"/>
      <selection pane="bottomRight" activeCell="D5" sqref="D5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57</v>
      </c>
      <c r="E1" s="61"/>
      <c r="F1" s="61"/>
      <c r="G1" s="59" t="s">
        <v>58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201499.03999999998</v>
      </c>
      <c r="D2" s="5">
        <f>SUM(D4:D78)</f>
        <v>59162.239999999998</v>
      </c>
      <c r="E2" s="5">
        <f>C2-D2</f>
        <v>142336.79999999999</v>
      </c>
      <c r="F2" s="6">
        <f>IFERROR(E2/D2, 0)</f>
        <v>2.4058723942839215</v>
      </c>
      <c r="G2" s="5">
        <f>SUM(G4:G78)</f>
        <v>0</v>
      </c>
      <c r="H2" s="7">
        <f>C2-G2</f>
        <v>201499.03999999998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28.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51" t="s">
        <v>59</v>
      </c>
      <c r="K4" s="51" t="s">
        <v>60</v>
      </c>
    </row>
    <row r="5" spans="1:11" ht="28.5">
      <c r="A5" s="30" t="str">
        <v>Joliet - Heritage Trail</v>
      </c>
      <c r="B5" s="31" t="str">
        <v>IL</v>
      </c>
      <c r="C5" s="11">
        <v>45457.2</v>
      </c>
      <c r="D5" s="18">
        <v>0</v>
      </c>
      <c r="E5" s="18">
        <f t="shared" ref="E5:E10" si="0">IF(AND(ISNUMBER(C5),ISNUMBER(D5)), C5-D5, "")</f>
        <v>45457.2</v>
      </c>
      <c r="F5" s="19" t="str">
        <f>IFERROR(E5/D5, "")</f>
        <v/>
      </c>
      <c r="G5" s="20">
        <v>0</v>
      </c>
      <c r="H5" s="20">
        <f t="shared" ref="H5:H10" si="1">IF(AND(ISNUMBER(C5),ISNUMBER(G5)), C5-G5, "")</f>
        <v>45457.2</v>
      </c>
      <c r="I5" s="19" t="str">
        <f t="shared" ref="I5:I10" si="2">IFERROR(H5/G5, "")</f>
        <v/>
      </c>
      <c r="J5" s="52" t="s">
        <v>61</v>
      </c>
      <c r="K5" s="52" t="s">
        <v>54</v>
      </c>
    </row>
    <row r="6" spans="1:11" ht="66.75" customHeight="1">
      <c r="A6" s="28" t="str">
        <v>Plainfield - Troy</v>
      </c>
      <c r="B6" s="29" t="str">
        <v>IL</v>
      </c>
      <c r="C6" s="24">
        <v>49740.09</v>
      </c>
      <c r="D6" s="13">
        <v>0</v>
      </c>
      <c r="E6" s="13">
        <f t="shared" si="0"/>
        <v>49740.09</v>
      </c>
      <c r="F6" s="14" t="str">
        <f t="shared" ref="F6:F10" si="3">IFERROR(E6/D6, "")</f>
        <v/>
      </c>
      <c r="G6" s="15">
        <v>0</v>
      </c>
      <c r="H6" s="15">
        <f t="shared" si="1"/>
        <v>49740.09</v>
      </c>
      <c r="I6" s="16" t="str">
        <f t="shared" si="2"/>
        <v/>
      </c>
      <c r="J6" s="51" t="s">
        <v>62</v>
      </c>
      <c r="K6" s="51" t="s">
        <v>63</v>
      </c>
    </row>
    <row r="7" spans="1:11" ht="15.75">
      <c r="A7" s="30" t="str">
        <v>Plainfield - William B Orenic</v>
      </c>
      <c r="B7" s="31" t="str">
        <v>IL</v>
      </c>
      <c r="C7" s="11">
        <v>49963.25</v>
      </c>
      <c r="D7" s="18">
        <v>0</v>
      </c>
      <c r="E7" s="18">
        <f t="shared" si="0"/>
        <v>49963.25</v>
      </c>
      <c r="F7" s="19" t="str">
        <f t="shared" si="3"/>
        <v/>
      </c>
      <c r="G7" s="20">
        <v>0</v>
      </c>
      <c r="H7" s="20">
        <f t="shared" si="1"/>
        <v>49963.25</v>
      </c>
      <c r="I7" s="19" t="str">
        <f t="shared" si="2"/>
        <v/>
      </c>
      <c r="J7" s="52"/>
      <c r="K7" s="54"/>
    </row>
    <row r="8" spans="1:11" ht="15.75">
      <c r="A8" s="28" t="str">
        <v>Shorewood - Cronin</v>
      </c>
      <c r="B8" s="29" t="str">
        <v>IL</v>
      </c>
      <c r="C8" s="24"/>
      <c r="D8" s="13"/>
      <c r="E8" s="13"/>
      <c r="F8" s="14"/>
      <c r="G8" s="15"/>
      <c r="H8" s="15"/>
      <c r="I8" s="16"/>
      <c r="J8" s="51"/>
      <c r="K8" s="51"/>
    </row>
    <row r="9" spans="1:11" ht="15.75">
      <c r="A9" s="30" t="str">
        <v>Shorewood - Hofer</v>
      </c>
      <c r="B9" s="31" t="str">
        <v>IL</v>
      </c>
      <c r="C9" s="11">
        <v>56338.5</v>
      </c>
      <c r="D9" s="18">
        <v>59162.239999999998</v>
      </c>
      <c r="E9" s="18">
        <f t="shared" si="0"/>
        <v>-2823.739999999998</v>
      </c>
      <c r="F9" s="19">
        <f t="shared" si="3"/>
        <v>-4.7728754016075084E-2</v>
      </c>
      <c r="G9" s="20">
        <v>0</v>
      </c>
      <c r="H9" s="20">
        <f t="shared" si="1"/>
        <v>56338.5</v>
      </c>
      <c r="I9" s="19" t="str">
        <f t="shared" si="2"/>
        <v/>
      </c>
      <c r="J9" s="52"/>
      <c r="K9" s="54"/>
    </row>
    <row r="10" spans="1:11" ht="15.75">
      <c r="A10" s="30"/>
      <c r="B10" s="31"/>
      <c r="C10" s="1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19" t="str">
        <f t="shared" si="2"/>
        <v/>
      </c>
      <c r="J10" s="52"/>
      <c r="K10" s="53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3.9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zoomScale="90" zoomScaleNormal="90" workbookViewId="0">
      <pane xSplit="2" ySplit="3" topLeftCell="J22" activePane="bottomRight" state="frozen"/>
      <selection pane="bottomRight" activeCell="J22" sqref="J22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64</v>
      </c>
      <c r="E1" s="61"/>
      <c r="F1" s="61"/>
      <c r="G1" s="59" t="s">
        <v>65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SUM(C4:C77)</f>
        <v>256132.03</v>
      </c>
      <c r="D2" s="5">
        <f>SUM(D4:D77)</f>
        <v>50468.11</v>
      </c>
      <c r="E2" s="5">
        <f>C2-D2</f>
        <v>205663.91999999998</v>
      </c>
      <c r="F2" s="6">
        <f>IFERROR(E2/D2, 0)</f>
        <v>4.0751262529942176</v>
      </c>
      <c r="G2" s="5">
        <f>SUM(G4:G77)</f>
        <v>0</v>
      </c>
      <c r="H2" s="7">
        <f>C2-G2</f>
        <v>256132.03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57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32632.75</v>
      </c>
      <c r="D4" s="13">
        <v>0</v>
      </c>
      <c r="E4" s="13">
        <f>IF(AND(ISNUMBER(C4),ISNUMBER(D4)), C4-D4, "")</f>
        <v>32632.75</v>
      </c>
      <c r="F4" s="14" t="str">
        <f>IFERROR(E4/D4, "")</f>
        <v/>
      </c>
      <c r="G4" s="15">
        <v>0</v>
      </c>
      <c r="H4" s="15">
        <f>IF(AND(ISNUMBER(C4),ISNUMBER(G4)), C4-G4, "")</f>
        <v>32632.75</v>
      </c>
      <c r="I4" s="16" t="str">
        <f>IFERROR(H4/G4, "")</f>
        <v/>
      </c>
      <c r="J4" s="51" t="s">
        <v>66</v>
      </c>
      <c r="K4" s="51" t="s">
        <v>67</v>
      </c>
    </row>
    <row r="5" spans="1:11" ht="28.5">
      <c r="A5" s="30" t="str">
        <v>Joliet - Heritage Trail</v>
      </c>
      <c r="B5" s="31" t="str">
        <v>IL</v>
      </c>
      <c r="C5" s="11">
        <v>40990.5</v>
      </c>
      <c r="D5" s="18">
        <v>0</v>
      </c>
      <c r="E5" s="18">
        <f t="shared" ref="E5:E9" si="0">IF(AND(ISNUMBER(C5),ISNUMBER(D5)), C5-D5, "")</f>
        <v>40990.5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40990.5</v>
      </c>
      <c r="I5" s="19" t="str">
        <f t="shared" ref="I5:I9" si="2">IFERROR(H5/G5, "")</f>
        <v/>
      </c>
      <c r="J5" s="52" t="s">
        <v>68</v>
      </c>
      <c r="K5" s="52" t="s">
        <v>69</v>
      </c>
    </row>
    <row r="6" spans="1:11" ht="15.75">
      <c r="A6" s="28" t="str">
        <v>Plainfield - Troy</v>
      </c>
      <c r="B6" s="29" t="str">
        <v>IL</v>
      </c>
      <c r="C6" s="24">
        <v>47474.03</v>
      </c>
      <c r="D6" s="13">
        <v>0</v>
      </c>
      <c r="E6" s="13">
        <f t="shared" si="0"/>
        <v>47474.03</v>
      </c>
      <c r="F6" s="14" t="str">
        <f t="shared" ref="F6:F9" si="3">IFERROR(E6/D6, "")</f>
        <v/>
      </c>
      <c r="G6" s="15">
        <v>0</v>
      </c>
      <c r="H6" s="15">
        <f t="shared" si="1"/>
        <v>47474.03</v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>
        <v>42840.25</v>
      </c>
      <c r="D7" s="18">
        <v>0</v>
      </c>
      <c r="E7" s="18">
        <f t="shared" si="0"/>
        <v>42840.25</v>
      </c>
      <c r="F7" s="19" t="str">
        <f t="shared" si="3"/>
        <v/>
      </c>
      <c r="G7" s="20">
        <v>0</v>
      </c>
      <c r="H7" s="20">
        <f t="shared" si="1"/>
        <v>42840.25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47949.75</v>
      </c>
      <c r="D8" s="13">
        <v>50468.11</v>
      </c>
      <c r="E8" s="13">
        <f t="shared" si="0"/>
        <v>-2518.3600000000006</v>
      </c>
      <c r="F8" s="14">
        <f t="shared" si="3"/>
        <v>-4.9900025976800017E-2</v>
      </c>
      <c r="G8" s="15">
        <v>0</v>
      </c>
      <c r="H8" s="15">
        <f t="shared" si="1"/>
        <v>47949.75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44244.75</v>
      </c>
      <c r="D9" s="18">
        <v>0</v>
      </c>
      <c r="E9" s="18">
        <f t="shared" si="0"/>
        <v>44244.75</v>
      </c>
      <c r="F9" s="19" t="str">
        <f t="shared" si="3"/>
        <v/>
      </c>
      <c r="G9" s="20">
        <v>0</v>
      </c>
      <c r="H9" s="20">
        <f t="shared" si="1"/>
        <v>44244.75</v>
      </c>
      <c r="I9" s="19" t="str">
        <f t="shared" si="2"/>
        <v/>
      </c>
      <c r="J9" s="52"/>
      <c r="K9" s="52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D9" sqref="D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70</v>
      </c>
      <c r="E1" s="61"/>
      <c r="F1" s="61"/>
      <c r="G1" s="59" t="s">
        <v>71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SUM(C4:C77)</f>
        <v>231409</v>
      </c>
      <c r="D2" s="5">
        <f>SUM(D4:D77)</f>
        <v>45643</v>
      </c>
      <c r="E2" s="5">
        <f>C2-D2</f>
        <v>185766</v>
      </c>
      <c r="F2" s="6">
        <f>IFERROR(E2/D2, 0)</f>
        <v>4.0699778717437507</v>
      </c>
      <c r="G2" s="5">
        <f>SUM(G4:G77)</f>
        <v>0</v>
      </c>
      <c r="H2" s="7">
        <f>C2-G2</f>
        <v>231409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34135</v>
      </c>
      <c r="D4" s="13">
        <v>0</v>
      </c>
      <c r="E4" s="13">
        <f>IF(AND(ISNUMBER(C4),ISNUMBER(D4)), C4-D4, "")</f>
        <v>34135</v>
      </c>
      <c r="F4" s="14" t="str">
        <f>IFERROR(E4/D4, "")</f>
        <v/>
      </c>
      <c r="G4" s="15">
        <v>0</v>
      </c>
      <c r="H4" s="15">
        <f>IF(AND(ISNUMBER(C4),ISNUMBER(G4)), C4-G4, "")</f>
        <v>34135</v>
      </c>
      <c r="I4" s="16" t="str">
        <f>IFERROR(H4/G4, "")</f>
        <v/>
      </c>
      <c r="J4" s="51"/>
      <c r="K4" s="51"/>
    </row>
    <row r="5" spans="1:11" ht="28.5">
      <c r="A5" s="30" t="str">
        <v>Joliet - Heritage Trail</v>
      </c>
      <c r="B5" s="31" t="str">
        <v>IL</v>
      </c>
      <c r="C5" s="11">
        <v>36117</v>
      </c>
      <c r="D5" s="18">
        <v>0</v>
      </c>
      <c r="E5" s="18">
        <f t="shared" ref="E5:E9" si="0">IF(AND(ISNUMBER(C5),ISNUMBER(D5)), C5-D5, "")</f>
        <v>36117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36117</v>
      </c>
      <c r="I5" s="19" t="str">
        <f t="shared" ref="I5:I9" si="2">IFERROR(H5/G5, "")</f>
        <v/>
      </c>
      <c r="J5" s="52" t="s">
        <v>72</v>
      </c>
      <c r="K5" s="52" t="s">
        <v>73</v>
      </c>
    </row>
    <row r="6" spans="1:11" ht="28.5">
      <c r="A6" s="28" t="str">
        <v>Plainfield - Troy</v>
      </c>
      <c r="B6" s="29" t="str">
        <v>IL</v>
      </c>
      <c r="C6" s="24">
        <v>41117</v>
      </c>
      <c r="D6" s="13">
        <v>0</v>
      </c>
      <c r="E6" s="13">
        <f t="shared" si="0"/>
        <v>41117</v>
      </c>
      <c r="F6" s="14" t="str">
        <f t="shared" ref="F6:F9" si="3">IFERROR(E6/D6, "")</f>
        <v/>
      </c>
      <c r="G6" s="15">
        <v>0</v>
      </c>
      <c r="H6" s="15">
        <f t="shared" si="1"/>
        <v>41117</v>
      </c>
      <c r="I6" s="16" t="str">
        <f t="shared" si="2"/>
        <v/>
      </c>
      <c r="J6" s="51" t="s">
        <v>74</v>
      </c>
      <c r="K6" s="51" t="s">
        <v>75</v>
      </c>
    </row>
    <row r="7" spans="1:11" ht="15.75">
      <c r="A7" s="30" t="str">
        <v>Plainfield - William B Orenic</v>
      </c>
      <c r="B7" s="31" t="str">
        <v>IL</v>
      </c>
      <c r="C7" s="55">
        <v>38422</v>
      </c>
      <c r="D7" s="18">
        <v>0</v>
      </c>
      <c r="E7" s="18">
        <f t="shared" si="0"/>
        <v>38422</v>
      </c>
      <c r="F7" s="19" t="str">
        <f t="shared" si="3"/>
        <v/>
      </c>
      <c r="G7" s="20">
        <v>0</v>
      </c>
      <c r="H7" s="20">
        <f t="shared" si="1"/>
        <v>38422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56">
        <v>43356</v>
      </c>
      <c r="D8" s="57">
        <v>45643</v>
      </c>
      <c r="E8" s="13">
        <f t="shared" si="0"/>
        <v>-2287</v>
      </c>
      <c r="F8" s="14">
        <f t="shared" si="3"/>
        <v>-5.0106259448327237E-2</v>
      </c>
      <c r="G8" s="15">
        <v>0</v>
      </c>
      <c r="H8" s="15">
        <f t="shared" si="1"/>
        <v>43356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55">
        <v>38262</v>
      </c>
      <c r="D9" s="18">
        <v>0</v>
      </c>
      <c r="E9" s="18">
        <f t="shared" si="0"/>
        <v>38262</v>
      </c>
      <c r="F9" s="19" t="str">
        <f t="shared" si="3"/>
        <v/>
      </c>
      <c r="G9" s="20">
        <v>0</v>
      </c>
      <c r="H9" s="20">
        <f t="shared" si="1"/>
        <v>38262</v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zoomScale="80" zoomScaleNormal="80" workbookViewId="0">
      <pane xSplit="2" ySplit="3" topLeftCell="C4" activePane="bottomRight" state="frozen"/>
      <selection pane="bottomRight" activeCell="E15" sqref="E15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76</v>
      </c>
      <c r="E1" s="61"/>
      <c r="F1" s="61"/>
      <c r="G1" s="59" t="s">
        <v>77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SUM(C4:C77)</f>
        <v>94126</v>
      </c>
      <c r="D2" s="5">
        <f>SUM(D4:D77)</f>
        <v>15203</v>
      </c>
      <c r="E2" s="5">
        <f>C2-D2</f>
        <v>78923</v>
      </c>
      <c r="F2" s="6">
        <f>IFERROR(E2/D2, 0)</f>
        <v>5.1912780372294938</v>
      </c>
      <c r="G2" s="5">
        <f>SUM(G4:G77)</f>
        <v>0</v>
      </c>
      <c r="H2" s="7">
        <f>C2-G2</f>
        <v>94126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13802</v>
      </c>
      <c r="D4" s="13">
        <v>0</v>
      </c>
      <c r="E4" s="13">
        <f>IF(AND(ISNUMBER(C4),ISNUMBER(D4)), C4-D4, "")</f>
        <v>13802</v>
      </c>
      <c r="F4" s="14" t="str">
        <f>IFERROR(E4/D4, "")</f>
        <v/>
      </c>
      <c r="G4" s="15">
        <v>0</v>
      </c>
      <c r="H4" s="15">
        <f>IF(AND(ISNUMBER(C4),ISNUMBER(G4)), C4-G4, "")</f>
        <v>13802</v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>
        <v>14646</v>
      </c>
      <c r="D5" s="18">
        <v>0</v>
      </c>
      <c r="E5" s="18">
        <f t="shared" ref="E5:E9" si="0">IF(AND(ISNUMBER(C5),ISNUMBER(D5)), C5-D5, "")</f>
        <v>14646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14646</v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>
        <v>17327</v>
      </c>
      <c r="D6" s="13">
        <v>0</v>
      </c>
      <c r="E6" s="13">
        <f t="shared" si="0"/>
        <v>17327</v>
      </c>
      <c r="F6" s="14" t="str">
        <f t="shared" ref="F6:F9" si="3">IFERROR(E6/D6, "")</f>
        <v/>
      </c>
      <c r="G6" s="15">
        <v>0</v>
      </c>
      <c r="H6" s="15">
        <f t="shared" si="1"/>
        <v>17327</v>
      </c>
      <c r="I6" s="16" t="str">
        <f t="shared" si="2"/>
        <v/>
      </c>
      <c r="J6" s="51" t="s">
        <v>78</v>
      </c>
      <c r="K6" s="51" t="s">
        <v>79</v>
      </c>
    </row>
    <row r="7" spans="1:11" ht="15.75">
      <c r="A7" s="30" t="str">
        <v>Plainfield - William B Orenic</v>
      </c>
      <c r="B7" s="31" t="str">
        <v>IL</v>
      </c>
      <c r="C7" s="58">
        <v>15573</v>
      </c>
      <c r="D7" s="18">
        <v>0</v>
      </c>
      <c r="E7" s="18">
        <f t="shared" si="0"/>
        <v>15573</v>
      </c>
      <c r="F7" s="19" t="str">
        <f t="shared" si="3"/>
        <v/>
      </c>
      <c r="G7" s="20">
        <v>0</v>
      </c>
      <c r="H7" s="20">
        <f t="shared" si="1"/>
        <v>15573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17412</v>
      </c>
      <c r="D8" s="13">
        <v>15203</v>
      </c>
      <c r="E8" s="13">
        <f t="shared" si="0"/>
        <v>2209</v>
      </c>
      <c r="F8" s="14">
        <f t="shared" si="3"/>
        <v>0.14530026968361506</v>
      </c>
      <c r="G8" s="15">
        <v>0</v>
      </c>
      <c r="H8" s="15">
        <f t="shared" si="1"/>
        <v>17412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58">
        <v>15366</v>
      </c>
      <c r="D9" s="18">
        <v>0</v>
      </c>
      <c r="E9" s="18">
        <f t="shared" si="0"/>
        <v>15366</v>
      </c>
      <c r="F9" s="19" t="str">
        <f t="shared" si="3"/>
        <v/>
      </c>
      <c r="G9" s="20">
        <v>0</v>
      </c>
      <c r="H9" s="20">
        <f t="shared" si="1"/>
        <v>15366</v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zoomScale="70" zoomScaleNormal="70" workbookViewId="0">
      <pane xSplit="2" ySplit="3" topLeftCell="C4" activePane="bottomRight" state="frozen"/>
      <selection pane="bottomRight" activeCell="D9" sqref="D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Troy School District</v>
      </c>
      <c r="B1" s="60"/>
      <c r="C1" s="60"/>
      <c r="D1" s="61" t="s">
        <v>80</v>
      </c>
      <c r="E1" s="61"/>
      <c r="F1" s="61"/>
      <c r="G1" s="59" t="s">
        <v>81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SUM(C4:C77)</f>
        <v>61784</v>
      </c>
      <c r="D2" s="5">
        <f>SUM(D4:D77)</f>
        <v>15872</v>
      </c>
      <c r="E2" s="5">
        <f>C2-D2</f>
        <v>45912</v>
      </c>
      <c r="F2" s="6">
        <f>IFERROR(E2/D2, 0)</f>
        <v>2.892641129032258</v>
      </c>
      <c r="G2" s="5">
        <f>SUM(G4:G77)</f>
        <v>0</v>
      </c>
      <c r="H2" s="7">
        <f>C2-G2</f>
        <v>61784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9210</v>
      </c>
      <c r="D4" s="13">
        <v>0</v>
      </c>
      <c r="E4" s="13">
        <f>IF(AND(ISNUMBER(C4),ISNUMBER(D4)), C4-D4, "")</f>
        <v>9210</v>
      </c>
      <c r="F4" s="14" t="str">
        <f>IFERROR(E4/D4, "")</f>
        <v/>
      </c>
      <c r="G4" s="15">
        <v>0</v>
      </c>
      <c r="H4" s="15">
        <f>IF(AND(ISNUMBER(C4),ISNUMBER(G4)), C4-G4, "")</f>
        <v>9210</v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>
        <v>10064</v>
      </c>
      <c r="D5" s="18">
        <v>0</v>
      </c>
      <c r="E5" s="18">
        <f t="shared" ref="E5:E9" si="0">IF(AND(ISNUMBER(C5),ISNUMBER(D5)), C5-D5, "")</f>
        <v>10064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10064</v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>
        <v>10984</v>
      </c>
      <c r="D6" s="13">
        <v>0</v>
      </c>
      <c r="E6" s="13">
        <f t="shared" si="0"/>
        <v>10984</v>
      </c>
      <c r="F6" s="14" t="str">
        <f t="shared" ref="F6:F9" si="3">IFERROR(E6/D6, "")</f>
        <v/>
      </c>
      <c r="G6" s="15">
        <v>0</v>
      </c>
      <c r="H6" s="15">
        <f t="shared" si="1"/>
        <v>10984</v>
      </c>
      <c r="I6" s="16" t="str">
        <f t="shared" si="2"/>
        <v/>
      </c>
      <c r="J6" s="51" t="s">
        <v>82</v>
      </c>
      <c r="K6" s="51" t="s">
        <v>83</v>
      </c>
    </row>
    <row r="7" spans="1:11" ht="15.75">
      <c r="A7" s="30" t="str">
        <v>Plainfield - William B Orenic</v>
      </c>
      <c r="B7" s="31" t="str">
        <v>IL</v>
      </c>
      <c r="C7" s="11">
        <v>10042</v>
      </c>
      <c r="D7" s="18">
        <v>0</v>
      </c>
      <c r="E7" s="18">
        <f t="shared" si="0"/>
        <v>10042</v>
      </c>
      <c r="F7" s="19" t="str">
        <f t="shared" si="3"/>
        <v/>
      </c>
      <c r="G7" s="20">
        <v>0</v>
      </c>
      <c r="H7" s="20">
        <f t="shared" si="1"/>
        <v>10042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11388</v>
      </c>
      <c r="D8" s="13">
        <v>15872</v>
      </c>
      <c r="E8" s="13">
        <f t="shared" si="0"/>
        <v>-4484</v>
      </c>
      <c r="F8" s="14">
        <f t="shared" si="3"/>
        <v>-0.28251008064516131</v>
      </c>
      <c r="G8" s="15">
        <v>0</v>
      </c>
      <c r="H8" s="15">
        <f t="shared" si="1"/>
        <v>11388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10096</v>
      </c>
      <c r="D9" s="18">
        <v>0</v>
      </c>
      <c r="E9" s="18">
        <f t="shared" si="0"/>
        <v>10096</v>
      </c>
      <c r="F9" s="19" t="str">
        <f t="shared" si="3"/>
        <v/>
      </c>
      <c r="G9" s="20">
        <v>0</v>
      </c>
      <c r="H9" s="20">
        <f t="shared" si="1"/>
        <v>10096</v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84</v>
      </c>
      <c r="B1" t="s">
        <v>85</v>
      </c>
    </row>
    <row r="3" spans="1:12">
      <c r="A3" t="s">
        <v>86</v>
      </c>
      <c r="B3" t="s">
        <v>3</v>
      </c>
      <c r="C3" t="s">
        <v>4</v>
      </c>
      <c r="D3" t="s">
        <v>87</v>
      </c>
      <c r="E3" s="2" t="s">
        <v>88</v>
      </c>
    </row>
    <row r="4" spans="1:12" ht="14.25">
      <c r="A4" s="47" t="s">
        <v>89</v>
      </c>
      <c r="B4" t="s">
        <v>90</v>
      </c>
      <c r="C4" s="44" t="s">
        <v>91</v>
      </c>
      <c r="D4" s="43"/>
      <c r="E4" t="s">
        <v>92</v>
      </c>
      <c r="G4" s="3"/>
    </row>
    <row r="5" spans="1:12" ht="14.25">
      <c r="A5" s="47" t="s">
        <v>93</v>
      </c>
      <c r="B5" t="s">
        <v>94</v>
      </c>
      <c r="C5" s="44" t="s">
        <v>91</v>
      </c>
      <c r="D5" s="43"/>
      <c r="E5" t="s">
        <v>92</v>
      </c>
      <c r="G5" s="3"/>
    </row>
    <row r="6" spans="1:12" ht="14.25">
      <c r="A6" s="47" t="s">
        <v>95</v>
      </c>
      <c r="B6" t="s">
        <v>96</v>
      </c>
      <c r="C6" s="44" t="s">
        <v>91</v>
      </c>
      <c r="D6" s="43"/>
      <c r="E6" t="s">
        <v>92</v>
      </c>
      <c r="G6" s="3"/>
    </row>
    <row r="7" spans="1:12" ht="12.75" customHeight="1">
      <c r="A7" s="47" t="s">
        <v>97</v>
      </c>
      <c r="B7" t="s">
        <v>98</v>
      </c>
      <c r="C7" s="44" t="s">
        <v>91</v>
      </c>
      <c r="D7" s="43"/>
      <c r="E7" t="s">
        <v>92</v>
      </c>
    </row>
    <row r="8" spans="1:12" ht="12.75" customHeight="1">
      <c r="A8" s="47" t="s">
        <v>99</v>
      </c>
      <c r="B8" t="s">
        <v>100</v>
      </c>
      <c r="C8" s="44" t="s">
        <v>91</v>
      </c>
      <c r="D8" s="43"/>
      <c r="E8" t="s">
        <v>92</v>
      </c>
    </row>
    <row r="9" spans="1:12" ht="12.75" customHeight="1">
      <c r="A9" s="47" t="s">
        <v>101</v>
      </c>
      <c r="B9" t="s">
        <v>102</v>
      </c>
      <c r="C9" s="44" t="s">
        <v>91</v>
      </c>
      <c r="D9" s="43"/>
      <c r="E9" t="s">
        <v>92</v>
      </c>
    </row>
    <row r="10" spans="1:12" ht="12.75" customHeight="1">
      <c r="A10" s="47"/>
      <c r="C10" s="44"/>
      <c r="D10" s="43"/>
      <c r="K10" s="41"/>
      <c r="L10" s="41"/>
    </row>
    <row r="11" spans="1:12" ht="12.75" customHeight="1">
      <c r="A11" s="47"/>
      <c r="C11" s="44"/>
      <c r="D11" s="43"/>
      <c r="K11" s="41"/>
      <c r="L11" s="41"/>
    </row>
    <row r="12" spans="1:12" ht="12.75" customHeight="1">
      <c r="A12" s="47"/>
      <c r="C12" s="44"/>
      <c r="D12" s="43"/>
      <c r="K12" s="41"/>
      <c r="L12" s="41"/>
    </row>
    <row r="13" spans="1:12" ht="12.75" customHeight="1">
      <c r="A13" s="47"/>
      <c r="C13" s="44"/>
      <c r="D13" s="43"/>
      <c r="K13" s="41"/>
      <c r="L13" s="41"/>
    </row>
    <row r="14" spans="1:12" ht="12.75" customHeight="1">
      <c r="A14" s="47"/>
      <c r="C14" s="44"/>
      <c r="D14" s="43"/>
      <c r="K14" s="41"/>
      <c r="L14" s="41"/>
    </row>
    <row r="15" spans="1:12" ht="12.75" customHeight="1">
      <c r="A15" s="47"/>
      <c r="C15" s="44"/>
      <c r="D15" s="43"/>
      <c r="K15" s="41"/>
      <c r="L15" s="41"/>
    </row>
    <row r="16" spans="1:12" ht="12.75" customHeight="1">
      <c r="A16" s="47"/>
      <c r="C16" s="44"/>
      <c r="D16" s="43"/>
      <c r="K16" s="41"/>
      <c r="L16" s="41"/>
    </row>
    <row r="17" spans="1:12" ht="12.75" customHeight="1">
      <c r="A17" s="47"/>
      <c r="C17" s="44"/>
      <c r="D17" s="43"/>
      <c r="K17" s="41"/>
      <c r="L17" s="41"/>
    </row>
    <row r="18" spans="1:12" ht="12.75" customHeight="1">
      <c r="A18" s="47"/>
      <c r="C18" s="44"/>
      <c r="D18" s="43"/>
      <c r="K18" s="41"/>
      <c r="L18" s="41"/>
    </row>
    <row r="19" spans="1:12" ht="12.75" customHeight="1">
      <c r="A19" s="47"/>
      <c r="C19" s="44"/>
      <c r="D19" s="43"/>
      <c r="K19" s="41"/>
      <c r="L19" s="41"/>
    </row>
    <row r="20" spans="1:12" ht="12.75" customHeight="1">
      <c r="A20" s="47"/>
      <c r="C20" s="44"/>
      <c r="D20" s="43"/>
      <c r="K20" s="41"/>
      <c r="L20" s="41"/>
    </row>
    <row r="21" spans="1:12" ht="12.75" customHeight="1">
      <c r="A21" s="47"/>
      <c r="C21" s="44"/>
      <c r="D21" s="43"/>
      <c r="K21" s="41"/>
      <c r="L21" s="41"/>
    </row>
    <row r="22" spans="1:12" ht="12.75" customHeight="1">
      <c r="A22" s="47"/>
      <c r="C22" s="44"/>
      <c r="D22" s="43"/>
      <c r="K22" s="41"/>
      <c r="L22" s="41"/>
    </row>
    <row r="23" spans="1:12" ht="12.75" customHeight="1">
      <c r="A23" s="47"/>
      <c r="C23" s="44"/>
      <c r="D23" s="43"/>
      <c r="K23" s="41"/>
      <c r="L23" s="41"/>
    </row>
    <row r="24" spans="1:12" ht="12.75" customHeight="1">
      <c r="A24" s="47"/>
      <c r="C24" s="44"/>
      <c r="D24" s="43"/>
      <c r="K24" s="41"/>
      <c r="L24" s="41"/>
    </row>
    <row r="25" spans="1:12" ht="12.75" customHeight="1">
      <c r="A25" s="47"/>
      <c r="C25" s="44"/>
      <c r="D25" s="43"/>
      <c r="K25" s="41"/>
      <c r="L25" s="41"/>
    </row>
    <row r="26" spans="1:12" ht="12.75" customHeight="1">
      <c r="K26" s="41"/>
      <c r="L26" s="41"/>
    </row>
    <row r="27" spans="1:12" ht="12.75" customHeight="1">
      <c r="K27" s="41"/>
      <c r="L27" s="41"/>
    </row>
    <row r="28" spans="1:12" ht="12.75" customHeight="1">
      <c r="K28" s="41"/>
      <c r="L28" s="41"/>
    </row>
    <row r="29" spans="1:12" ht="12.75" customHeight="1">
      <c r="K29" s="41"/>
      <c r="L29" s="41"/>
    </row>
    <row r="30" spans="1:12" ht="12.75" customHeight="1">
      <c r="K30" s="41"/>
      <c r="L30" s="41"/>
    </row>
    <row r="31" spans="1:12" ht="12.75" customHeight="1">
      <c r="K31" s="41"/>
      <c r="L31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FC3A8666-D047-4CD0-8D68-7AC4D2D13AFB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2024-10-15T23:26:19Z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8425c95b-1d77-408a-82bc-99f2fb944e0b</vt:lpwstr>
  </property>
  <property fmtid="{D5CDD505-2E9C-101B-9397-08002B2CF9AE}" pid="9" name="MSIP_Label_9d817c99-0b37-4a07-8277-96aa1f96b74b_ContentBits">
    <vt:lpwstr>0</vt:lpwstr>
  </property>
</Properties>
</file>