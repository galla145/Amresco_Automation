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5" documentId="13_ncr:1_{1F3B2CC0-E3A0-4981-8B1F-62A77B75FAB1}" xr6:coauthVersionLast="47" xr6:coauthVersionMax="47" xr10:uidLastSave="{332DD785-0DDE-418E-A205-7C2E4D31E7E2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30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<sst xmlns="http://schemas.openxmlformats.org/spreadsheetml/2006/main" count="256" uniqueCount="67">
  <si>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</si>
  <si>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</si>
  <si>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</si>
  <si>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</si>
  <si>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</si>
  <si>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</si>
  <si>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</si>
  <si>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</si>
  <si>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</si>
  <si>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</si>
  <si>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</si>
  <si>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</si>
  <si>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</si>
  <si>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</si>
  <si>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</si>
  <si>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</si>
  <si>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</si>
  <si>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</si>
  <si>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</si>
  <si>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</si>
  <si>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</si>
  <si>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</si>
  <si>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9 and 10 are offline on 01/21 at 9:15 AM and self resolved next day.</t>
  </si>
  <si>
    <t>1. SR080379</t>
  </si>
  <si>
    <t>February Actual v. Expected</t>
  </si>
  <si>
    <t>February Actual v. Forecasted</t>
  </si>
  <si>
    <t>March Actual v. Expected</t>
  </si>
  <si>
    <t>March Actual v. Forecasted</t>
  </si>
  <si>
    <t xml:space="preserve">1. Inverters 7 -10 tripped offline on 0/07 at 11:30 &amp; back online at 03/04. </t>
  </si>
  <si>
    <t>1.SR081642</t>
  </si>
  <si>
    <t>April Actual v. Expected</t>
  </si>
  <si>
    <t>April Actual v. Forecasted</t>
  </si>
  <si>
    <t>1. Inverter 7 offline at 07:00 and back online at 16:30 on 04/01</t>
  </si>
  <si>
    <t>1. SR082978</t>
  </si>
  <si>
    <t>May Actual v. Expected</t>
  </si>
  <si>
    <t>May Actual v. Forecasted</t>
  </si>
  <si>
    <t>1. Inverter 8,9,10 are tripped offline at 08:45 on 05/16 and are back online a 16:30 on 05/23
2. Inverters 7 is underperforming 10kW compared to peer inverter from 05/28.</t>
  </si>
  <si>
    <t>1. SR084777
2. SR085327</t>
  </si>
  <si>
    <t>June Actual v. Expected</t>
  </si>
  <si>
    <t>June Actual v. Forecasted</t>
  </si>
  <si>
    <t>1.  Weather station reporting erroneous values at 14:30 on 06/03 
2. Inverters 7 is underperforming 10kW compared to peer inverter from 05/28.</t>
  </si>
  <si>
    <t>1. SR085514
2. SR085327</t>
  </si>
  <si>
    <t>July Actual v. Expected</t>
  </si>
  <si>
    <t>July Actual v. Forecasted</t>
  </si>
  <si>
    <t xml:space="preserve">1. Inverters 9 and 10 tripped offline at 08:00AM on 07/18 and back online at 07:00AM on 07/19.
2.Weather station reporting erroneous values at 14:30 on 06/03 </t>
  </si>
  <si>
    <t>1. SR087891
2. SR085514</t>
  </si>
  <si>
    <t>August Actual v. Expected</t>
  </si>
  <si>
    <t>August Actual v. Forecasted</t>
  </si>
  <si>
    <t xml:space="preserve">1.  Weather station reporting erroneous values at 14:30 on 06/03 </t>
  </si>
  <si>
    <t>1. SR085514</t>
  </si>
  <si>
    <t>September Actual v. Expected</t>
  </si>
  <si>
    <t>September Actual v. Forecasted</t>
  </si>
  <si>
    <t>October Actual v. Expected</t>
  </si>
  <si>
    <t>October Actual v. Forecasted</t>
  </si>
  <si>
    <t>1.  Weather station reporting accurate values from 10/19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</si>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</sst>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15" sqref="H15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881133.5</v>
      </c>
      <c r="D2" s="6">
        <f>SUM(D4:D60)</f>
        <v>552292.36100000003</v>
      </c>
      <c r="E2" s="6">
        <f>C2-D2</f>
        <v>328841.13899999997</v>
      </c>
      <c r="F2" s="7">
        <f>IFERROR(E2/D2, 0)</f>
        <v>0.59541134772276882</v>
      </c>
      <c r="G2" s="6">
        <f>SUM(G4:G60)</f>
        <v>871588.87</v>
      </c>
      <c r="H2" s="8">
        <f>C2-G2</f>
        <v>9544.6300000000047</v>
      </c>
      <c r="I2" s="7">
        <f>IFERROR(H2/G2, 0)</f>
        <v>1.0950839700373876E-2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881133.5</v>
      </c>
      <c r="D4" s="14">
        <f>SUM('1st Qtr'!D4, '2nd Qtr'!D4, '3rd Qtr'!D4, '4th Qtr'!D4)</f>
        <v>552292.36100000003</v>
      </c>
      <c r="E4" s="14">
        <f>IF(AND(ISNUMBER(C4),ISNUMBER(D4)), C4-D4, "")</f>
        <v>328841.13899999997</v>
      </c>
      <c r="F4" s="15">
        <f>IFERROR(E4/D4, "")</f>
        <v>0.59541134772276882</v>
      </c>
      <c r="G4" s="16">
        <f>SUM('1st Qtr'!G4,'2nd Qtr'!G4,'3rd Qtr'!G4,'4th Qtr'!G4)</f>
        <v>871588.87</v>
      </c>
      <c r="H4" s="16">
        <f>SUM('1st Qtr'!H4, '2nd Qtr'!H4, '3rd Qtr'!H4, '4th Qtr'!H4)</f>
        <v>9544.6300000000192</v>
      </c>
      <c r="I4" s="17">
        <f>IFERROR(H4/G4, "")</f>
        <v>1.0950839700373893E-2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D3" activePane="bottomLeft" state="frozen"/>
      <selection pane="bottomLeft" activeCell="D4" sqref="D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168125.75</v>
      </c>
      <c r="D2" s="6">
        <f>SUM(D4:D68)</f>
        <v>188107.85</v>
      </c>
      <c r="E2" s="6">
        <f>C2-D2</f>
        <v>-19982.100000000006</v>
      </c>
      <c r="F2" s="7">
        <f>IFERROR(E2/D2, 0)</f>
        <v>-0.10622682679112012</v>
      </c>
      <c r="G2" s="6">
        <f>SUM(G4:G68)</f>
        <v>191038.45</v>
      </c>
      <c r="H2" s="8">
        <f>C2-G2</f>
        <v>-22912.700000000012</v>
      </c>
      <c r="I2" s="7">
        <f>IFERROR(H2/G2, 0)</f>
        <v>-0.11993763559115984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168125.75</v>
      </c>
      <c r="D4" s="14">
        <f>SUM(Jan!D4, Feb!D4, Mar!D4)</f>
        <v>188107.85</v>
      </c>
      <c r="E4" s="14">
        <f>IF(AND(ISNUMBER(C4),ISNUMBER(D4)), C4-D4, "")</f>
        <v>-19982.100000000006</v>
      </c>
      <c r="F4" s="15">
        <f>IFERROR(E4/D4, "")</f>
        <v>-0.10622682679112012</v>
      </c>
      <c r="G4" s="16">
        <f>SUM(Jan!G4, Feb!G4, Mar!G4)</f>
        <v>191038.45</v>
      </c>
      <c r="H4" s="16">
        <f>SUM(Jan!H4, Feb!H4, Mar!H4)</f>
        <v>-22912.699999999997</v>
      </c>
      <c r="I4" s="17">
        <f>IFERROR(H4/G4, "")</f>
        <v>-0.11993763559115976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zoomScale="90" zoomScaleNormal="90" workbookViewId="0">
      <pane ySplit="2" topLeftCell="D3" activePane="bottomLeft" state="frozen"/>
      <selection pane="bottomLeft" activeCell="D4" sqref="D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293359.75</v>
      </c>
      <c r="D2" s="6">
        <f>SUM(D4:D90)</f>
        <v>227760.88</v>
      </c>
      <c r="E2" s="6">
        <f>C2-D2</f>
        <v>65598.87</v>
      </c>
      <c r="F2" s="7">
        <f>IFERROR(E2/D2, 0)</f>
        <v>0.28801640562681352</v>
      </c>
      <c r="G2" s="6">
        <f>SUM(G4:G90)</f>
        <v>264541.3</v>
      </c>
      <c r="H2" s="8">
        <f>C2-G2</f>
        <v>28818.450000000012</v>
      </c>
      <c r="I2" s="7">
        <f>IFERROR(H2/G2, 0)</f>
        <v>0.10893743245383618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293359.75</v>
      </c>
      <c r="D4" s="14">
        <f>SUM(Apr!D4, May!D4, Jun!D4)</f>
        <v>227760.88</v>
      </c>
      <c r="E4" s="14">
        <f>IF(AND(ISNUMBER(C4),ISNUMBER(D4)), C4-D4, "")</f>
        <v>65598.87</v>
      </c>
      <c r="F4" s="15">
        <f>IFERROR(E4/D4, "")</f>
        <v>0.28801640562681352</v>
      </c>
      <c r="G4" s="16">
        <f>SUM(Apr!G4,May!G4,Jun!G4)</f>
        <v>264541.3</v>
      </c>
      <c r="H4" s="16">
        <f>SUM(Apr!H4, May!H4, Jun!H4)</f>
        <v>28818.450000000012</v>
      </c>
      <c r="I4" s="17">
        <f>IFERROR(H4/G4, "")</f>
        <v>0.10893743245383618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C3" activePane="bottomLeft" state="frozen"/>
      <selection pane="bottomLeft" activeCell="L15" sqref="L1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267328.75</v>
      </c>
      <c r="D2" s="6">
        <f>SUM(D4:D89)</f>
        <v>11765.151</v>
      </c>
      <c r="E2" s="6">
        <f>C2-D2</f>
        <v>255563.59899999999</v>
      </c>
      <c r="F2" s="7">
        <f>IFERROR(E2/D2, 0)</f>
        <v>21.722084059949591</v>
      </c>
      <c r="G2" s="6">
        <f>SUM(G4:G89)</f>
        <v>237608.09999999998</v>
      </c>
      <c r="H2" s="8">
        <f>C2-G2</f>
        <v>29720.650000000023</v>
      </c>
      <c r="I2" s="7">
        <f>IFERROR(H2/G2, 0)</f>
        <v>0.12508264659327703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267328.75</v>
      </c>
      <c r="D4" s="14">
        <f>SUM(Jul!D4, Aug!D4, Sep!D4)</f>
        <v>11765.151</v>
      </c>
      <c r="E4" s="14">
        <f>IF(AND(ISNUMBER(C4),ISNUMBER(D4)), C4-D4, "")</f>
        <v>255563.59899999999</v>
      </c>
      <c r="F4" s="15">
        <f>IFERROR(E4/D4, "")</f>
        <v>21.722084059949591</v>
      </c>
      <c r="G4" s="16">
        <f>SUM(Jul!G4,Aug!G4,Sep!G4)</f>
        <v>237608.09999999998</v>
      </c>
      <c r="H4" s="16">
        <f>SUM(Jul!H4, Aug!H4, Sep!H4)</f>
        <v>29720.650000000009</v>
      </c>
      <c r="I4" s="17">
        <f>IFERROR(H4/G4, "")</f>
        <v>0.12508264659327697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C3" activePane="bottomLeft" state="frozen"/>
      <selection pane="bottomLeft" activeCell="H9" sqref="H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152319.25</v>
      </c>
      <c r="D2" s="6">
        <f>SUM(D4:D89)</f>
        <v>124658.48000000001</v>
      </c>
      <c r="E2" s="6">
        <f>C2-D2</f>
        <v>27660.76999999999</v>
      </c>
      <c r="F2" s="7">
        <f>IFERROR(E2/D2, 0)</f>
        <v>0.22189240555476039</v>
      </c>
      <c r="G2" s="6">
        <f>SUM(G4:G89)</f>
        <v>178401.02000000002</v>
      </c>
      <c r="H2" s="8">
        <f>C2-G2</f>
        <v>-26081.770000000019</v>
      </c>
      <c r="I2" s="7">
        <f>IFERROR(H2/G2, 0)</f>
        <v>-0.14619742644969191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152319.25</v>
      </c>
      <c r="D4" s="14">
        <f>SUM(Oct!D4, Nov!D4, Dec!D4)</f>
        <v>124658.48000000001</v>
      </c>
      <c r="E4" s="14">
        <f>IF(AND(ISNUMBER(C4),ISNUMBER(D4)), C4-D4, "")</f>
        <v>27660.76999999999</v>
      </c>
      <c r="F4" s="15">
        <f>IFERROR(E4/D4, "")</f>
        <v>0.22189240555476039</v>
      </c>
      <c r="G4" s="16">
        <f>SUM(Oct!G4,Nov!G4,Dec!G4)</f>
        <v>178401.02000000002</v>
      </c>
      <c r="H4" s="16">
        <f>SUM(Oct!H4, Nov!H4, Dec!H4)</f>
        <v>-26081.770000000004</v>
      </c>
      <c r="I4" s="17">
        <f>IFERROR(H4/G4, "")</f>
        <v>-0.14619742644969183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40996.75</v>
      </c>
      <c r="D2" s="6">
        <f>SUM(D4:D89)</f>
        <v>47627.85</v>
      </c>
      <c r="E2" s="6">
        <f>C2-D2</f>
        <v>-6631.0999999999985</v>
      </c>
      <c r="F2" s="7">
        <f>IFERROR(E2/D2, 0)</f>
        <v>-0.13922736382179751</v>
      </c>
      <c r="G2" s="6">
        <f>SUM(G4:G89)</f>
        <v>54968.45</v>
      </c>
      <c r="H2" s="8">
        <f>C2-G2</f>
        <v>-13971.699999999997</v>
      </c>
      <c r="I2" s="7">
        <f>IFERROR(H2/G2, 0)</f>
        <v>-0.25417671409690462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40996.75</v>
      </c>
      <c r="D4" s="14"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v>54968.45</v>
      </c>
      <c r="H4" s="16">
        <f>IF(AND(ISNUMBER(C4),ISNUMBER(G4)), C4-G4, "")</f>
        <v>-13971.699999999997</v>
      </c>
      <c r="I4" s="17">
        <f>IFERROR(H4/G4, "")</f>
        <v>-0.25417671409690462</v>
      </c>
      <c r="J4" s="18" t="s">
        <v>22</v>
      </c>
      <c r="K4" s="18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52699</v>
      </c>
      <c r="D2" s="6">
        <f>SUM(D4:D85)</f>
        <v>58562</v>
      </c>
      <c r="E2" s="6">
        <f>C2-D2</f>
        <v>-5863</v>
      </c>
      <c r="F2" s="7">
        <f>IFERROR(E2/D2, 0)</f>
        <v>-0.10011611625286021</v>
      </c>
      <c r="G2" s="6">
        <f>SUM(G4:G85)</f>
        <v>59097</v>
      </c>
      <c r="H2" s="8">
        <f>C2-G2</f>
        <v>-6398</v>
      </c>
      <c r="I2" s="7">
        <f>IFERROR(H2/G2, 0)</f>
        <v>-0.10826268676920994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52699</v>
      </c>
      <c r="D4" s="14">
        <v>58562</v>
      </c>
      <c r="E4" s="14">
        <f>IF(AND(ISNUMBER(C4),ISNUMBER(D4)), C4-D4, "")</f>
        <v>-5863</v>
      </c>
      <c r="F4" s="15">
        <f>IFERROR(E4/D4, "")</f>
        <v>-0.10011611625286021</v>
      </c>
      <c r="G4" s="16">
        <v>59097</v>
      </c>
      <c r="H4" s="16">
        <f>IF(AND(ISNUMBER(C4),ISNUMBER(G4)), C4-G4, "")</f>
        <v>-6398</v>
      </c>
      <c r="I4" s="17">
        <f>IFERROR(H4/G4, "")</f>
        <v>-0.10826268676920994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20" sqref="G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74430</v>
      </c>
      <c r="D2" s="6">
        <f>SUM(D4:D90)</f>
        <v>81918</v>
      </c>
      <c r="E2" s="6">
        <f>C2-D2</f>
        <v>-7488</v>
      </c>
      <c r="F2" s="7">
        <f>IFERROR(E2/D2, 0)</f>
        <v>-9.1408481652384091E-2</v>
      </c>
      <c r="G2" s="6">
        <f>SUM(G4:G90)</f>
        <v>76973</v>
      </c>
      <c r="H2" s="8">
        <f>C2-G2</f>
        <v>-2543</v>
      </c>
      <c r="I2" s="7">
        <f>IFERROR(H2/G2, 0)</f>
        <v>-3.3037558624452727E-2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74430</v>
      </c>
      <c r="D4" s="14">
        <v>81918</v>
      </c>
      <c r="E4" s="14">
        <f>IF(AND(ISNUMBER(C4),ISNUMBER(D4)), C4-D4, "")</f>
        <v>-7488</v>
      </c>
      <c r="F4" s="15">
        <f>IFERROR(E4/D4, "")</f>
        <v>-9.1408481652384091E-2</v>
      </c>
      <c r="G4" s="16">
        <v>76973</v>
      </c>
      <c r="H4" s="16">
        <f>IF(AND(ISNUMBER(C4),ISNUMBER(G4)), C4-G4, "")</f>
        <v>-2543</v>
      </c>
      <c r="I4" s="17">
        <f>IFERROR(H4/G4, "")</f>
        <v>-3.3037558624452727E-2</v>
      </c>
      <c r="J4" s="18" t="s">
        <v>28</v>
      </c>
      <c r="K4" s="18" t="s">
        <v>29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93414.5</v>
      </c>
      <c r="D2" s="6">
        <f>SUM(D4:D90)</f>
        <v>99616.09</v>
      </c>
      <c r="E2" s="6">
        <f>C2-D2</f>
        <v>-6201.5899999999965</v>
      </c>
      <c r="F2" s="7">
        <f>IFERROR(E2/D2, 0)</f>
        <v>-6.2254902797329197E-2</v>
      </c>
      <c r="G2" s="6">
        <f>SUM(G4:G90)</f>
        <v>85214.11</v>
      </c>
      <c r="H2" s="8">
        <f>C2-G2</f>
        <v>8200.39</v>
      </c>
      <c r="I2" s="7">
        <f>IFERROR(H2/G2, 0)</f>
        <v>9.6232771779227635E-2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93414.5</v>
      </c>
      <c r="D4" s="14">
        <v>99616.09</v>
      </c>
      <c r="E4" s="14">
        <f>IF(AND(ISNUMBER(C4),ISNUMBER(D4)), C4-D4, "")</f>
        <v>-6201.5899999999965</v>
      </c>
      <c r="F4" s="15">
        <f>IFERROR(E4/D4, "")</f>
        <v>-6.2254902797329197E-2</v>
      </c>
      <c r="G4" s="16">
        <v>85214.11</v>
      </c>
      <c r="H4" s="16">
        <f>IF(AND(ISNUMBER(C4),ISNUMBER(G4)), C4-G4, "")</f>
        <v>8200.39</v>
      </c>
      <c r="I4" s="17">
        <f>IFERROR(H4/G4, "")</f>
        <v>9.6232771779227635E-2</v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103245.75</v>
      </c>
      <c r="D2" s="6">
        <f>SUM(D4:D90)</f>
        <v>110829.9</v>
      </c>
      <c r="E2" s="6">
        <f>C2-D2</f>
        <v>-7584.1499999999942</v>
      </c>
      <c r="F2" s="7">
        <f>IFERROR(E2/D2, 0)</f>
        <v>-6.8430540855852026E-2</v>
      </c>
      <c r="G2" s="6">
        <f>SUM(G4:G90)</f>
        <v>90808.4</v>
      </c>
      <c r="H2" s="8">
        <f>C2-G2</f>
        <v>12437.350000000006</v>
      </c>
      <c r="I2" s="7">
        <f>IFERROR(H2/G2, 0)</f>
        <v>0.13696254972007002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103245.75</v>
      </c>
      <c r="D4" s="14">
        <v>110829.9</v>
      </c>
      <c r="E4" s="14">
        <f>IF(AND(ISNUMBER(C4),ISNUMBER(D4)), C4-D4, "")</f>
        <v>-7584.1499999999942</v>
      </c>
      <c r="F4" s="15">
        <f>IFERROR(E4/D4, "")</f>
        <v>-6.8430540855852026E-2</v>
      </c>
      <c r="G4" s="16">
        <v>90808.4</v>
      </c>
      <c r="H4" s="16">
        <f>IF(AND(ISNUMBER(C4),ISNUMBER(G4)), C4-G4, "")</f>
        <v>12437.350000000006</v>
      </c>
      <c r="I4" s="17">
        <f>IFERROR(H4/G4, "")</f>
        <v>0.13696254972007002</v>
      </c>
      <c r="J4" s="18" t="s">
        <v>36</v>
      </c>
      <c r="K4" s="18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96699.5</v>
      </c>
      <c r="D2" s="6">
        <f>SUM(D4:D90)</f>
        <v>17314.89</v>
      </c>
      <c r="E2" s="6">
        <f>C2-D2</f>
        <v>79384.61</v>
      </c>
      <c r="F2" s="7">
        <f>IFERROR(E2/D2, 0)</f>
        <v>4.5847597068188133</v>
      </c>
      <c r="G2" s="6">
        <f>SUM(G4:G90)</f>
        <v>88518.79</v>
      </c>
      <c r="H2" s="8">
        <f>C2-G2</f>
        <v>8180.7100000000064</v>
      </c>
      <c r="I2" s="7">
        <f>IFERROR(H2/G2, 0)</f>
        <v>9.2417779321204083E-2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96699.5</v>
      </c>
      <c r="D4" s="14">
        <v>17314.89</v>
      </c>
      <c r="E4" s="14">
        <f>IF(AND(ISNUMBER(C4),ISNUMBER(D4)), C4-D4, "")</f>
        <v>79384.61</v>
      </c>
      <c r="F4" s="15">
        <f>IFERROR(E4/D4, "")</f>
        <v>4.5847597068188133</v>
      </c>
      <c r="G4" s="16">
        <v>88518.79</v>
      </c>
      <c r="H4" s="16">
        <f>IF(AND(ISNUMBER(C4),ISNUMBER(G4)), C4-G4, "")</f>
        <v>8180.7100000000064</v>
      </c>
      <c r="I4" s="17">
        <f>IFERROR(H4/G4, "")</f>
        <v>9.2417779321204083E-2</v>
      </c>
      <c r="J4" s="18" t="s">
        <v>40</v>
      </c>
      <c r="K4" s="18" t="s">
        <v>41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I21" sqref="I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99428.75</v>
      </c>
      <c r="D2" s="6">
        <f>SUM(D4:D90)</f>
        <v>5103.6120000000001</v>
      </c>
      <c r="E2" s="6">
        <f>C2-D2</f>
        <v>94325.138000000006</v>
      </c>
      <c r="F2" s="7">
        <f>IFERROR(E2/D2, 0)</f>
        <v>18.482035468213493</v>
      </c>
      <c r="G2" s="6">
        <f>SUM(G4:G90)</f>
        <v>84572.4</v>
      </c>
      <c r="H2" s="8">
        <f>C2-G2</f>
        <v>14856.350000000006</v>
      </c>
      <c r="I2" s="7">
        <f>IFERROR(H2/G2, 0)</f>
        <v>0.17566428291026395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99428.75</v>
      </c>
      <c r="D4" s="14">
        <v>5103.6120000000001</v>
      </c>
      <c r="E4" s="14">
        <f>IF(AND(ISNUMBER(C4),ISNUMBER(D4)), C4-D4, "")</f>
        <v>94325.138000000006</v>
      </c>
      <c r="F4" s="15">
        <f>IFERROR(E4/D4, "")</f>
        <v>18.482035468213493</v>
      </c>
      <c r="G4" s="16">
        <v>84572.4</v>
      </c>
      <c r="H4" s="16">
        <f>IF(AND(ISNUMBER(C4),ISNUMBER(G4)), C4-G4, "")</f>
        <v>14856.350000000006</v>
      </c>
      <c r="I4" s="17">
        <f>IFERROR(H4/G4, "")</f>
        <v>0.17566428291026395</v>
      </c>
      <c r="J4" s="18" t="s">
        <v>44</v>
      </c>
      <c r="K4" s="18" t="s">
        <v>45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D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89747.75</v>
      </c>
      <c r="D2" s="6">
        <f>SUM(D4:D30)</f>
        <v>2697.058</v>
      </c>
      <c r="E2" s="6">
        <f>C2-D2</f>
        <v>87050.691999999995</v>
      </c>
      <c r="F2" s="7">
        <f>IFERROR(E2/D2, 0)</f>
        <v>32.27616610395475</v>
      </c>
      <c r="G2" s="6">
        <f>SUM(G4:G30)</f>
        <v>79544.19</v>
      </c>
      <c r="H2" s="8">
        <f>C2-G2</f>
        <v>10203.559999999998</v>
      </c>
      <c r="I2" s="7">
        <f>IFERROR(H2/G2, 0)</f>
        <v>0.12827536492608696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89747.75</v>
      </c>
      <c r="D4" s="14">
        <v>2697.058</v>
      </c>
      <c r="E4" s="14">
        <f>IF(AND(ISNUMBER(C4),ISNUMBER(D4)), C4-D4, "")</f>
        <v>87050.691999999995</v>
      </c>
      <c r="F4" s="15">
        <f>IFERROR(E4/D4, "")</f>
        <v>32.27616610395475</v>
      </c>
      <c r="G4" s="16">
        <v>79544.19</v>
      </c>
      <c r="H4" s="16">
        <f>IF(AND(ISNUMBER(C4),ISNUMBER(G4)), C4-G4, "")</f>
        <v>10203.559999999998</v>
      </c>
      <c r="I4" s="17">
        <f>IFERROR(H4/G4, "")</f>
        <v>0.12827536492608696</v>
      </c>
      <c r="J4" s="18" t="s">
        <v>48</v>
      </c>
      <c r="K4" s="18" t="s">
        <v>49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50</v>
      </c>
      <c r="E1" s="44"/>
      <c r="F1" s="44"/>
      <c r="G1" s="42" t="s">
        <v>51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78152.25</v>
      </c>
      <c r="D2" s="6">
        <f>SUM(D4:D90)</f>
        <v>3964.4810000000002</v>
      </c>
      <c r="E2" s="6">
        <f>C2-D2</f>
        <v>74187.769</v>
      </c>
      <c r="F2" s="7">
        <f>IFERROR(E2/D2, 0)</f>
        <v>18.713109988419667</v>
      </c>
      <c r="G2" s="6">
        <f>SUM(G4:G90)</f>
        <v>73491.509999999995</v>
      </c>
      <c r="H2" s="8">
        <f>C2-G2</f>
        <v>4660.7400000000052</v>
      </c>
      <c r="I2" s="7">
        <f>IFERROR(H2/G2, 0)</f>
        <v>6.3418754084655568E-2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78152.25</v>
      </c>
      <c r="D4" s="14">
        <v>3964.4810000000002</v>
      </c>
      <c r="E4" s="14">
        <f>IF(AND(ISNUMBER(C4),ISNUMBER(D4)), C4-D4, "")</f>
        <v>74187.769</v>
      </c>
      <c r="F4" s="15">
        <f>IFERROR(E4/D4, "")</f>
        <v>18.713109988419667</v>
      </c>
      <c r="G4" s="16">
        <v>73491.509999999995</v>
      </c>
      <c r="H4" s="16">
        <f>IF(AND(ISNUMBER(C4),ISNUMBER(G4)), C4-G4, "")</f>
        <v>4660.7400000000052</v>
      </c>
      <c r="I4" s="17">
        <f>IFERROR(H4/G4, "")</f>
        <v>6.3418754084655568E-2</v>
      </c>
      <c r="J4" s="18" t="s">
        <v>48</v>
      </c>
      <c r="K4" s="18" t="s">
        <v>49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H11" sqref="H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52</v>
      </c>
      <c r="E1" s="44"/>
      <c r="F1" s="44"/>
      <c r="G1" s="42" t="s">
        <v>53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65039</v>
      </c>
      <c r="D2" s="6">
        <f>SUM(D4:D90)</f>
        <v>29020.65</v>
      </c>
      <c r="E2" s="6">
        <f>C2-D2</f>
        <v>36018.35</v>
      </c>
      <c r="F2" s="7">
        <f>IFERROR(E2/D2, 0)</f>
        <v>1.2411283000208471</v>
      </c>
      <c r="G2" s="6">
        <f>SUM(G4:G90)</f>
        <v>68264.02</v>
      </c>
      <c r="H2" s="8">
        <f>C2-G2</f>
        <v>-3225.0200000000041</v>
      </c>
      <c r="I2" s="7">
        <f>IFERROR(H2/G2, 0)</f>
        <v>-4.7243335508222399E-2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65039</v>
      </c>
      <c r="D4" s="14">
        <v>29020.65</v>
      </c>
      <c r="E4" s="14">
        <f>IF(AND(ISNUMBER(C4),ISNUMBER(D4)), C4-D4, "")</f>
        <v>36018.35</v>
      </c>
      <c r="F4" s="15">
        <f>IFERROR(E4/D4, "")</f>
        <v>1.2411283000208471</v>
      </c>
      <c r="G4" s="16">
        <v>68264.02</v>
      </c>
      <c r="H4" s="16">
        <f>IF(AND(ISNUMBER(C4),ISNUMBER(G4)), C4-G4, "")</f>
        <v>-3225.0200000000041</v>
      </c>
      <c r="I4" s="17">
        <f>IFERROR(H4/G4, "")</f>
        <v>-4.7243335508222399E-2</v>
      </c>
      <c r="J4" s="18" t="s">
        <v>54</v>
      </c>
      <c r="K4" s="18" t="s">
        <v>49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7" sqref="G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55</v>
      </c>
      <c r="E1" s="44"/>
      <c r="F1" s="44"/>
      <c r="G1" s="42" t="s">
        <v>56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49621.25</v>
      </c>
      <c r="D2" s="6">
        <f>SUM(D4:D90)</f>
        <v>54060.05</v>
      </c>
      <c r="E2" s="6">
        <f>C2-D2</f>
        <v>-4438.8000000000029</v>
      </c>
      <c r="F2" s="7">
        <f>IFERROR(E2/D2, 0)</f>
        <v>-8.2108692093329591E-2</v>
      </c>
      <c r="G2" s="6">
        <f>SUM(G4:G90)</f>
        <v>58309</v>
      </c>
      <c r="H2" s="8">
        <f>C2-G2</f>
        <v>-8687.75</v>
      </c>
      <c r="I2" s="7">
        <f>IFERROR(H2/G2, 0)</f>
        <v>-0.14899500934675608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49621.25</v>
      </c>
      <c r="D4" s="14">
        <v>54060.05</v>
      </c>
      <c r="E4" s="14">
        <f>IF(AND(ISNUMBER(C4),ISNUMBER(D4)), C4-D4, "")</f>
        <v>-4438.8000000000029</v>
      </c>
      <c r="F4" s="15">
        <f>IFERROR(E4/D4, "")</f>
        <v>-8.2108692093329591E-2</v>
      </c>
      <c r="G4" s="16">
        <v>58309</v>
      </c>
      <c r="H4" s="16">
        <f>IF(AND(ISNUMBER(C4),ISNUMBER(G4)), C4-G4, "")</f>
        <v>-8687.75</v>
      </c>
      <c r="I4" s="17">
        <f>IFERROR(H4/G4, "")</f>
        <v>-0.14899500934675608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5:F90 I5:I9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 I4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workbookViewId="0">
      <pane ySplit="2" topLeftCell="A3" activePane="bottomLeft" state="frozen"/>
      <selection pane="bottomLeft" activeCell="D4" sqref="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57</v>
      </c>
      <c r="E1" s="44"/>
      <c r="F1" s="44"/>
      <c r="G1" s="42" t="s">
        <v>58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37659</v>
      </c>
      <c r="D2" s="6">
        <f>SUM(D4:D90)</f>
        <v>41577.78</v>
      </c>
      <c r="E2" s="6">
        <f>C2-D2</f>
        <v>-3918.7799999999988</v>
      </c>
      <c r="F2" s="7">
        <f>IFERROR(E2/D2, 0)</f>
        <v>-9.4251785448862327E-2</v>
      </c>
      <c r="G2" s="6">
        <f>SUM(G4:G90)</f>
        <v>51828</v>
      </c>
      <c r="H2" s="8">
        <f>C2-G2</f>
        <v>-14169</v>
      </c>
      <c r="I2" s="7">
        <f>IFERROR(H2/G2, 0)</f>
        <v>-0.27338504283398934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37659</v>
      </c>
      <c r="D4" s="14">
        <v>41577.78</v>
      </c>
      <c r="E4" s="14">
        <f>IF(AND(ISNUMBER(C4),ISNUMBER(D4)), C4-D4, "")</f>
        <v>-3918.7799999999988</v>
      </c>
      <c r="F4" s="15">
        <f>IFERROR(E4/D4, "")</f>
        <v>-9.4251785448862327E-2</v>
      </c>
      <c r="G4" s="16">
        <v>51828</v>
      </c>
      <c r="H4" s="16">
        <f>IF(AND(ISNUMBER(C4),ISNUMBER(G4)), C4-G4, "")</f>
        <v>-14169</v>
      </c>
      <c r="I4" s="17">
        <f>IFERROR(H4/G4, "")</f>
        <v>-0.27338504283398934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45">
      <c r="A4" t="s">
        <v>64</v>
      </c>
      <c r="B4" t="s">
        <v>65</v>
      </c>
      <c r="C4" s="4" t="s">
        <v>66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A82596FA-D072-408C-8E48-B97F4D8A43F9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