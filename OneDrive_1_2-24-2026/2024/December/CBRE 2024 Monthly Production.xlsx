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76" documentId="13_ncr:1_{E8B5066D-45D3-438F-8451-70AF374DDA77}" xr6:coauthVersionLast="47" xr6:coauthVersionMax="47" xr10:uidLastSave="{2F1BF97B-14BF-42EE-BCC4-CB62CEE304E8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4" l="1"/>
  <c r="H25" i="34"/>
  <c r="H26" i="34"/>
  <c r="G25" i="34"/>
  <c r="G26" i="34"/>
  <c r="G27" i="34"/>
  <c r="E26" i="34"/>
  <c r="E27" i="34"/>
  <c r="D25" i="34"/>
  <c r="D26" i="34"/>
  <c r="D27" i="34"/>
  <c r="C26" i="34"/>
  <c r="C27" i="34"/>
  <c r="E27" i="30"/>
  <c r="G26" i="30"/>
  <c r="G27" i="30"/>
  <c r="E26" i="30"/>
  <c r="H26" i="30"/>
  <c r="H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H5" i="33"/>
  <c r="H6" i="33"/>
  <c r="H4" i="33"/>
  <c r="H4" i="32"/>
  <c r="H7" i="33" l="1"/>
  <c r="H27" i="33"/>
  <c r="I27" i="33" s="1"/>
  <c r="E27" i="33"/>
  <c r="F27" i="33" s="1"/>
  <c r="H26" i="33"/>
  <c r="I26" i="33" s="1"/>
  <c r="E26" i="33"/>
  <c r="F26" i="33" s="1"/>
  <c r="H24" i="33"/>
  <c r="E9" i="33"/>
  <c r="C7" i="30"/>
  <c r="C24" i="30"/>
  <c r="C2" i="1"/>
  <c r="C26" i="29"/>
  <c r="D26" i="29"/>
  <c r="E26" i="29"/>
  <c r="F26" i="29"/>
  <c r="G26" i="29"/>
  <c r="H26" i="29"/>
  <c r="I26" i="29"/>
  <c r="C27" i="29"/>
  <c r="D27" i="29"/>
  <c r="E27" i="29"/>
  <c r="F27" i="29"/>
  <c r="G27" i="29"/>
  <c r="H27" i="29"/>
  <c r="I27" i="29"/>
  <c r="C24" i="29"/>
  <c r="F15" i="31"/>
  <c r="H24" i="26"/>
  <c r="E24" i="26"/>
  <c r="H24" i="27"/>
  <c r="E24" i="27"/>
  <c r="I25" i="21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G5" i="18" l="1"/>
  <c r="G6" i="18"/>
  <c r="G7" i="18"/>
  <c r="G8" i="18"/>
  <c r="G9" i="18"/>
  <c r="G10" i="18"/>
  <c r="G11" i="18"/>
  <c r="G12" i="18"/>
  <c r="G12" i="34" s="1"/>
  <c r="G13" i="18"/>
  <c r="G14" i="18"/>
  <c r="G15" i="18"/>
  <c r="G16" i="18"/>
  <c r="G16" i="34" s="1"/>
  <c r="G17" i="18"/>
  <c r="G18" i="18"/>
  <c r="G19" i="18"/>
  <c r="G20" i="18"/>
  <c r="G20" i="34" s="1"/>
  <c r="G21" i="18"/>
  <c r="G22" i="18"/>
  <c r="G23" i="18"/>
  <c r="G23" i="34" s="1"/>
  <c r="G24" i="18"/>
  <c r="G25" i="18"/>
  <c r="G4" i="18"/>
  <c r="C4" i="18"/>
  <c r="G5" i="34"/>
  <c r="G6" i="34"/>
  <c r="G7" i="34"/>
  <c r="G8" i="34"/>
  <c r="G9" i="34"/>
  <c r="G10" i="34"/>
  <c r="G11" i="34"/>
  <c r="G13" i="34"/>
  <c r="G14" i="34"/>
  <c r="G15" i="34"/>
  <c r="G17" i="34"/>
  <c r="G18" i="34"/>
  <c r="G19" i="34"/>
  <c r="G21" i="34"/>
  <c r="G22" i="34"/>
  <c r="G24" i="34"/>
  <c r="G4" i="34"/>
  <c r="E18" i="33"/>
  <c r="F18" i="33" s="1"/>
  <c r="H18" i="33"/>
  <c r="I18" i="33" s="1"/>
  <c r="E19" i="33"/>
  <c r="F19" i="33" s="1"/>
  <c r="H19" i="33"/>
  <c r="I19" i="33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E23" i="33"/>
  <c r="F23" i="33" s="1"/>
  <c r="H23" i="33"/>
  <c r="I23" i="33" s="1"/>
  <c r="E24" i="33"/>
  <c r="F24" i="33" s="1"/>
  <c r="I24" i="33"/>
  <c r="E25" i="33"/>
  <c r="F25" i="33" s="1"/>
  <c r="H25" i="33"/>
  <c r="H25" i="30" s="1"/>
  <c r="I25" i="30" s="1"/>
  <c r="I25" i="33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 s="1"/>
  <c r="E21" i="28"/>
  <c r="F21" i="28" s="1"/>
  <c r="H21" i="28"/>
  <c r="I21" i="28" s="1"/>
  <c r="E22" i="28"/>
  <c r="F22" i="28" s="1"/>
  <c r="H22" i="28"/>
  <c r="I22" i="28" s="1"/>
  <c r="E23" i="28"/>
  <c r="F23" i="28" s="1"/>
  <c r="H23" i="28"/>
  <c r="I23" i="28" s="1"/>
  <c r="E24" i="28"/>
  <c r="F24" i="28"/>
  <c r="H24" i="28"/>
  <c r="I24" i="28" s="1"/>
  <c r="E25" i="28"/>
  <c r="F25" i="28" s="1"/>
  <c r="H25" i="28"/>
  <c r="I25" i="28" s="1"/>
  <c r="E18" i="27"/>
  <c r="F18" i="27" s="1"/>
  <c r="H18" i="27"/>
  <c r="I18" i="27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/>
  <c r="E23" i="27"/>
  <c r="F23" i="27" s="1"/>
  <c r="H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/>
  <c r="H22" i="26"/>
  <c r="I22" i="26" s="1"/>
  <c r="E23" i="26"/>
  <c r="F23" i="26" s="1"/>
  <c r="H23" i="26"/>
  <c r="I23" i="26" s="1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/>
  <c r="H19" i="19"/>
  <c r="I19" i="19"/>
  <c r="E20" i="19"/>
  <c r="F20" i="19" s="1"/>
  <c r="H20" i="19"/>
  <c r="I20" i="19" s="1"/>
  <c r="E21" i="19"/>
  <c r="F21" i="19"/>
  <c r="H21" i="19"/>
  <c r="I21" i="19"/>
  <c r="E22" i="19"/>
  <c r="F22" i="19" s="1"/>
  <c r="H22" i="19"/>
  <c r="I22" i="19" s="1"/>
  <c r="I23" i="19"/>
  <c r="E24" i="19"/>
  <c r="F24" i="19" s="1"/>
  <c r="H24" i="19"/>
  <c r="I24" i="19" s="1"/>
  <c r="E25" i="19"/>
  <c r="F25" i="19"/>
  <c r="H25" i="19"/>
  <c r="I25" i="19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/>
  <c r="E20" i="21"/>
  <c r="F20" i="21" s="1"/>
  <c r="H20" i="21"/>
  <c r="I20" i="21" s="1"/>
  <c r="E21" i="21"/>
  <c r="F21" i="21" s="1"/>
  <c r="H21" i="21"/>
  <c r="I21" i="2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E18" i="4"/>
  <c r="F18" i="4"/>
  <c r="H18" i="4"/>
  <c r="H18" i="1" s="1"/>
  <c r="I18" i="4"/>
  <c r="E19" i="4"/>
  <c r="F19" i="4" s="1"/>
  <c r="H19" i="4"/>
  <c r="I19" i="4" s="1"/>
  <c r="E20" i="4"/>
  <c r="F20" i="4"/>
  <c r="H20" i="4"/>
  <c r="H20" i="34" s="1"/>
  <c r="I20" i="4"/>
  <c r="E21" i="4"/>
  <c r="F21" i="4" s="1"/>
  <c r="H21" i="4"/>
  <c r="I21" i="4" s="1"/>
  <c r="E22" i="4"/>
  <c r="F22" i="4"/>
  <c r="H22" i="4"/>
  <c r="I22" i="4"/>
  <c r="E23" i="4"/>
  <c r="F23" i="4" s="1"/>
  <c r="H23" i="4"/>
  <c r="I23" i="4" s="1"/>
  <c r="E24" i="4"/>
  <c r="F24" i="4"/>
  <c r="H24" i="4"/>
  <c r="I24" i="4"/>
  <c r="E25" i="4"/>
  <c r="F25" i="4" s="1"/>
  <c r="H25" i="4"/>
  <c r="I25" i="4" s="1"/>
  <c r="E18" i="3"/>
  <c r="F18" i="3" s="1"/>
  <c r="H18" i="3"/>
  <c r="I18" i="3" s="1"/>
  <c r="E19" i="3"/>
  <c r="F19" i="3" s="1"/>
  <c r="H19" i="3"/>
  <c r="H19" i="34" s="1"/>
  <c r="E20" i="3"/>
  <c r="F20" i="3" s="1"/>
  <c r="H20" i="3"/>
  <c r="I20" i="3" s="1"/>
  <c r="E21" i="3"/>
  <c r="F21" i="3" s="1"/>
  <c r="H21" i="3"/>
  <c r="H21" i="34" s="1"/>
  <c r="E22" i="3"/>
  <c r="F22" i="3" s="1"/>
  <c r="H22" i="3"/>
  <c r="I22" i="3" s="1"/>
  <c r="E23" i="3"/>
  <c r="F23" i="3" s="1"/>
  <c r="H23" i="3"/>
  <c r="H23" i="34" s="1"/>
  <c r="E24" i="3"/>
  <c r="F24" i="3" s="1"/>
  <c r="H24" i="3"/>
  <c r="I24" i="3" s="1"/>
  <c r="E25" i="3"/>
  <c r="F25" i="3" s="1"/>
  <c r="H25" i="3"/>
  <c r="I25" i="3" s="1"/>
  <c r="E18" i="72"/>
  <c r="F18" i="72"/>
  <c r="H18" i="72"/>
  <c r="I18" i="72"/>
  <c r="E19" i="72"/>
  <c r="F19" i="72" s="1"/>
  <c r="H19" i="72"/>
  <c r="I19" i="72" s="1"/>
  <c r="E20" i="72"/>
  <c r="F20" i="72"/>
  <c r="H20" i="72"/>
  <c r="I20" i="72"/>
  <c r="E21" i="72"/>
  <c r="F21" i="72" s="1"/>
  <c r="H21" i="72"/>
  <c r="I21" i="72" s="1"/>
  <c r="E22" i="72"/>
  <c r="F22" i="72"/>
  <c r="H22" i="72"/>
  <c r="I22" i="72"/>
  <c r="E23" i="72"/>
  <c r="F23" i="72" s="1"/>
  <c r="H23" i="72"/>
  <c r="I23" i="72" s="1"/>
  <c r="E24" i="72"/>
  <c r="F24" i="72"/>
  <c r="H24" i="72"/>
  <c r="I24" i="72"/>
  <c r="E25" i="72"/>
  <c r="F25" i="72" s="1"/>
  <c r="H25" i="72"/>
  <c r="I25" i="72" s="1"/>
  <c r="C18" i="30"/>
  <c r="C19" i="30"/>
  <c r="C20" i="30"/>
  <c r="C21" i="30"/>
  <c r="C22" i="30"/>
  <c r="H22" i="30"/>
  <c r="I22" i="30" s="1"/>
  <c r="C23" i="30"/>
  <c r="C25" i="30"/>
  <c r="C18" i="29"/>
  <c r="D18" i="29"/>
  <c r="D18" i="34" s="1"/>
  <c r="C19" i="29"/>
  <c r="D19" i="29"/>
  <c r="C20" i="29"/>
  <c r="D20" i="29"/>
  <c r="C21" i="29"/>
  <c r="D21" i="29"/>
  <c r="C22" i="29"/>
  <c r="D22" i="29"/>
  <c r="D22" i="34" s="1"/>
  <c r="C23" i="29"/>
  <c r="D23" i="29"/>
  <c r="D24" i="29"/>
  <c r="C25" i="29"/>
  <c r="D25" i="29"/>
  <c r="C18" i="18"/>
  <c r="D18" i="18"/>
  <c r="C19" i="18"/>
  <c r="D19" i="18"/>
  <c r="C20" i="18"/>
  <c r="D20" i="18"/>
  <c r="H20" i="18"/>
  <c r="C21" i="18"/>
  <c r="D21" i="18"/>
  <c r="C22" i="18"/>
  <c r="D22" i="18"/>
  <c r="C23" i="18"/>
  <c r="D23" i="18"/>
  <c r="H23" i="18"/>
  <c r="I23" i="18" s="1"/>
  <c r="C24" i="18"/>
  <c r="D24" i="18"/>
  <c r="C25" i="18"/>
  <c r="D25" i="18"/>
  <c r="H22" i="34"/>
  <c r="C18" i="1"/>
  <c r="D18" i="1"/>
  <c r="G18" i="1"/>
  <c r="C19" i="1"/>
  <c r="D19" i="1"/>
  <c r="G19" i="1"/>
  <c r="C20" i="1"/>
  <c r="D20" i="1"/>
  <c r="G20" i="1"/>
  <c r="H20" i="1"/>
  <c r="C21" i="1"/>
  <c r="E21" i="1" s="1"/>
  <c r="F21" i="1" s="1"/>
  <c r="D21" i="1"/>
  <c r="G21" i="1"/>
  <c r="H21" i="1"/>
  <c r="C22" i="1"/>
  <c r="D22" i="1"/>
  <c r="G22" i="1"/>
  <c r="H22" i="1"/>
  <c r="C23" i="1"/>
  <c r="D23" i="1"/>
  <c r="G23" i="1"/>
  <c r="H23" i="1"/>
  <c r="C24" i="1"/>
  <c r="D24" i="1"/>
  <c r="G24" i="1"/>
  <c r="H24" i="1"/>
  <c r="I24" i="1" s="1"/>
  <c r="C25" i="1"/>
  <c r="D25" i="1"/>
  <c r="G25" i="1"/>
  <c r="H25" i="1"/>
  <c r="I25" i="1" s="1"/>
  <c r="C16" i="30"/>
  <c r="C17" i="30"/>
  <c r="C16" i="29"/>
  <c r="D16" i="29"/>
  <c r="C17" i="29"/>
  <c r="D17" i="29"/>
  <c r="C16" i="18"/>
  <c r="D16" i="18"/>
  <c r="C17" i="18"/>
  <c r="C17" i="34" s="1"/>
  <c r="D17" i="18"/>
  <c r="C16" i="1"/>
  <c r="D16" i="1"/>
  <c r="G16" i="1"/>
  <c r="C17" i="1"/>
  <c r="D17" i="1"/>
  <c r="G17" i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F14" i="4"/>
  <c r="E14" i="4"/>
  <c r="H13" i="4"/>
  <c r="I13" i="4" s="1"/>
  <c r="E13" i="4"/>
  <c r="F13" i="4" s="1"/>
  <c r="H12" i="4"/>
  <c r="I12" i="4" s="1"/>
  <c r="E12" i="4"/>
  <c r="F12" i="4" s="1"/>
  <c r="I11" i="4"/>
  <c r="H11" i="4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C23" i="34" l="1"/>
  <c r="H20" i="30"/>
  <c r="I20" i="30" s="1"/>
  <c r="C18" i="34"/>
  <c r="E18" i="34" s="1"/>
  <c r="F18" i="34" s="1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I19" i="34"/>
  <c r="H22" i="29"/>
  <c r="I22" i="29" s="1"/>
  <c r="H21" i="29"/>
  <c r="I21" i="29" s="1"/>
  <c r="D24" i="34"/>
  <c r="D17" i="34"/>
  <c r="E17" i="34" s="1"/>
  <c r="F17" i="34" s="1"/>
  <c r="D16" i="34"/>
  <c r="D15" i="34"/>
  <c r="D11" i="34"/>
  <c r="D8" i="34"/>
  <c r="D7" i="34"/>
  <c r="D6" i="34"/>
  <c r="D5" i="34"/>
  <c r="C22" i="34"/>
  <c r="E22" i="34" s="1"/>
  <c r="F22" i="34" s="1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E25" i="34" s="1"/>
  <c r="F25" i="34" s="1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I22" i="34"/>
  <c r="I23" i="34"/>
  <c r="G2" i="18"/>
  <c r="I20" i="18"/>
  <c r="I21" i="34"/>
  <c r="G2" i="34"/>
  <c r="I20" i="34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5" i="34"/>
  <c r="I23" i="3"/>
  <c r="I21" i="3"/>
  <c r="I19" i="3"/>
  <c r="H24" i="34"/>
  <c r="I24" i="34" s="1"/>
  <c r="I22" i="1"/>
  <c r="I20" i="1"/>
  <c r="I18" i="1"/>
  <c r="E24" i="1"/>
  <c r="F24" i="1" s="1"/>
  <c r="E22" i="1"/>
  <c r="F22" i="1" s="1"/>
  <c r="E17" i="1"/>
  <c r="F17" i="1" s="1"/>
  <c r="I23" i="1"/>
  <c r="I21" i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13" i="34"/>
  <c r="F13" i="34" s="1"/>
  <c r="G2" i="1"/>
  <c r="E8" i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3" i="34" l="1"/>
  <c r="F23" i="34" s="1"/>
  <c r="E21" i="34"/>
  <c r="F21" i="34" s="1"/>
  <c r="E12" i="34"/>
  <c r="F12" i="34" s="1"/>
  <c r="E7" i="34"/>
  <c r="F7" i="34" s="1"/>
  <c r="C2" i="34"/>
  <c r="H2" i="34" s="1"/>
  <c r="I2" i="34" s="1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<sst xmlns="http://schemas.openxmlformats.org/spreadsheetml/2006/main" count="424" uniqueCount="145">
  <si>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</si>
  <si>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</si>
  <si>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</si>
  <si>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</si>
  <si>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</si>
  <si>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</si>
  <si>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</si>
  <si>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</si>
  <si>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</si>
  <si>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</si>
  <si>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</si>
  <si>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</si>
  <si>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</si>
  <si>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</si>
  <si>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</si>
  <si>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</si>
  <si>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</si>
  <si>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</si>
  <si>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</si>
  <si>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</si>
  <si>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</si>
  <si>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</si>
  <si>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</si>
  <si>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</si>
  <si>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</si>
  <si>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</si>
  <si>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</si>
  <si>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</si>
  <si>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Microinverter 202305091322 has never produced from the day site has started</t>
  </si>
  <si>
    <t>1. SR088272</t>
  </si>
  <si>
    <t>1. Site is offline from 04/01/2024 to 06/27/2024 and again offline from 07/19/2024 (site started communicatimg from April 2024)</t>
  </si>
  <si>
    <t>1.SR088245</t>
  </si>
  <si>
    <t>1. Microinverter 202305093144 is offline
     Microinverter 202305091209 has no communication
     Microinverter 202305089706 has no communication
these issues been present since site started communicating</t>
  </si>
  <si>
    <t>1. SR086320</t>
  </si>
  <si>
    <t>1. Site gateway not reporting since 08/01/2023</t>
  </si>
  <si>
    <t>1. SR086405</t>
  </si>
  <si>
    <t/>
  </si>
  <si>
    <t xml:space="preserve">1. Microinverter 202305092066 is starting late (between 9:30am to 12pm) for production on multiple days </t>
  </si>
  <si>
    <t>1. SR088271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</si>
  <si>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</si>
  <si>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</si>
  <si>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</si>
  <si>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</si>
  <si>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</si>
  <si>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</si>
  <si>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Microinverter 202305091322 is offline from the day site has started</t>
  </si>
  <si>
    <t>1. Site is offline from 07/26.</t>
  </si>
  <si>
    <t>1. SR088245</t>
  </si>
  <si>
    <t>1. Microinverter 202305093144 is offline
 Microinverter 202305091209 has no communication
 Microinverter 202305089706 has no communication
these issues been present since site started communicating</t>
  </si>
  <si>
    <t>1. Site is not communicating from 08/01/23.</t>
  </si>
  <si>
    <t>August Actual v. Expected</t>
  </si>
  <si>
    <t>August Actual v. Forecasted</t>
  </si>
  <si>
    <t>1. Two microinverters - 202305095495, 202305096808 are offline from 08/22 and RMA is needed.</t>
  </si>
  <si>
    <t>1. SR088242</t>
  </si>
  <si>
    <t>1. Microinverter is being RMA'd from 08/27.</t>
  </si>
  <si>
    <t>1. Microinverter 202305093144 is offline
Microinverter 202305091209 has no communication
 Microinverter 202305089706 has no communication
these issues been present since site started communicating</t>
  </si>
  <si>
    <t>1. One microinverter 202036040228 is not reporting from 4/15/2023.</t>
  </si>
  <si>
    <t>1. SR088366</t>
  </si>
  <si>
    <t>September Actual v. Expected</t>
  </si>
  <si>
    <t>September Actual v. Forecasted</t>
  </si>
  <si>
    <t>1. 6 inverters being RMA'd from 09/25.</t>
  </si>
  <si>
    <t>1. Microinverters 202305091322 is offline from the day site has started and it is back online on 09/11.</t>
  </si>
  <si>
    <t>1. Microinverter 202305093144 is offline
 Microinverter 202305091209 has no communication
 Microinverter 202305089706 has no communication
these issues been present since site started communicating and being RMA'd from 09/11.</t>
  </si>
  <si>
    <t>1. 58 micro inverters are not reporting 09/23.</t>
  </si>
  <si>
    <t>1.SR091083</t>
  </si>
  <si>
    <t>1. One microinverter will be offline from 09/13.</t>
  </si>
  <si>
    <t>October Actual v. Expected</t>
  </si>
  <si>
    <t>October Actual v. Forecasted</t>
  </si>
  <si>
    <t>1. 6 micro inverters were replaced on 10/03.</t>
  </si>
  <si>
    <t xml:space="preserve">1. Site was re-energized on 10/02.
2. 2 micro inverters are offline from 10/24 </t>
  </si>
  <si>
    <t>1.  SR088245
2. 	SR092523</t>
  </si>
  <si>
    <t>1. 3 micro inverters were replaced on 10/01</t>
  </si>
  <si>
    <t>1. Site was not communicating throughout the month but was online and producing.</t>
  </si>
  <si>
    <t>1. One microinverter was replaced on 10/02.</t>
  </si>
  <si>
    <t>November Actual v. Expected</t>
  </si>
  <si>
    <t>November Actual v. Forecasted</t>
  </si>
  <si>
    <t>1. 2 micro inverters are back online on 11/14</t>
  </si>
  <si>
    <t>1. 	SR092523</t>
  </si>
  <si>
    <t>1. Site regained communication on 11/05</t>
  </si>
  <si>
    <t>December Actual v. Expected</t>
  </si>
  <si>
    <t>December Actual v. Forecasted</t>
  </si>
  <si>
    <t>1. One microinverter offline from 12/26</t>
  </si>
  <si>
    <t>1.SR095094</t>
  </si>
  <si>
    <t>1. 2 microinverters are currently not reporting from 12/18</t>
  </si>
  <si>
    <t>1.SR094910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</si>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</sst>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164" fontId="0" fillId="0" borderId="0" xfId="0" applyNumberFormat="1"/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15" xfId="0" applyFont="1" applyBorder="1"/>
    <xf numFmtId="0" fontId="36" fillId="0" borderId="0" xfId="0" applyFont="1"/>
    <xf numFmtId="0" fontId="3" fillId="4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F32" sqref="F3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CBRE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SUM(C4:C87)</f>
        <v>286282.87299999996</v>
      </c>
      <c r="D2" s="5">
        <f>SUM(D4:D87)</f>
        <v>0</v>
      </c>
      <c r="E2" s="5">
        <f>C2-D2</f>
        <v>286282.87299999996</v>
      </c>
      <c r="F2" s="6">
        <f>IFERROR(E2/D2, 0)</f>
        <v>0</v>
      </c>
      <c r="G2" s="5">
        <f>SUM(G4:G87)</f>
        <v>0</v>
      </c>
      <c r="H2" s="7">
        <f>C2-G2</f>
        <v>286282.87299999996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30608.288</v>
      </c>
      <c r="D4" s="13">
        <f>SUM('1st Qtr'!D4, '2nd Qtr'!D4, '3rd Qtr'!D4, '4th Qtr'!D4)</f>
        <v>0</v>
      </c>
      <c r="E4" s="13">
        <f>IF(AND(ISNUMBER(C4),ISNUMBER(D4)), C4-D4, "")</f>
        <v>30608.288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30608.288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SUM('1st Qtr'!C5, '2nd Qtr'!C5, '3rd Qtr'!C5, '4th Qtr'!C5)</f>
        <v>10846.984</v>
      </c>
      <c r="D5" s="18">
        <f>SUM('1st Qtr'!D5, '2nd Qtr'!D5, '3rd Qtr'!D5, '4th Qtr'!D5)</f>
        <v>0</v>
      </c>
      <c r="E5" s="18">
        <f t="shared" ref="E5:E13" si="0">IF(AND(ISNUMBER(C5),ISNUMBER(D5)), C5-D5, "")</f>
        <v>10846.984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SUM('1st Qtr'!C6, '2nd Qtr'!C6, '3rd Qtr'!C6, '4th Qtr'!C6)</f>
        <v>5563.3329999999996</v>
      </c>
      <c r="D6" s="13">
        <f>SUM('1st Qtr'!D6, '2nd Qtr'!D6, '3rd Qtr'!D6, '4th Qtr'!D6)</f>
        <v>0</v>
      </c>
      <c r="E6" s="13">
        <f t="shared" si="0"/>
        <v>5563.3329999999996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SUM('1st Qtr'!C7, '2nd Qtr'!C7, '3rd Qtr'!C7, '4th Qtr'!C7)</f>
        <v>12284.991</v>
      </c>
      <c r="D7" s="18">
        <f>SUM('1st Qtr'!D7, '2nd Qtr'!D7, '3rd Qtr'!D7, '4th Qtr'!D7)</f>
        <v>0</v>
      </c>
      <c r="E7" s="18">
        <f t="shared" si="0"/>
        <v>12284.991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SUM('1st Qtr'!C8, '2nd Qtr'!C8, '3rd Qtr'!C8, '4th Qtr'!C8)</f>
        <v>17911.14</v>
      </c>
      <c r="D8" s="13">
        <f>SUM('1st Qtr'!D8, '2nd Qtr'!D8, '3rd Qtr'!D8, '4th Qtr'!D8)</f>
        <v>0</v>
      </c>
      <c r="E8" s="13">
        <f t="shared" si="0"/>
        <v>17911.14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SUM('1st Qtr'!C9, '2nd Qtr'!C9, '3rd Qtr'!C9, '4th Qtr'!C9)</f>
        <v>14661.189</v>
      </c>
      <c r="D9" s="18">
        <f>SUM('1st Qtr'!D9, '2nd Qtr'!D9, '3rd Qtr'!D9, '4th Qtr'!D9)</f>
        <v>0</v>
      </c>
      <c r="E9" s="18">
        <f t="shared" si="0"/>
        <v>14661.189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SUM('1st Qtr'!C10, '2nd Qtr'!C10, '3rd Qtr'!C10, '4th Qtr'!C10)</f>
        <v>17429.21</v>
      </c>
      <c r="D10" s="13">
        <f>SUM('1st Qtr'!D10, '2nd Qtr'!D10, '3rd Qtr'!D10, '4th Qtr'!D10)</f>
        <v>0</v>
      </c>
      <c r="E10" s="13">
        <f t="shared" si="0"/>
        <v>17429.21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SUM('1st Qtr'!C11, '2nd Qtr'!C11, '3rd Qtr'!C11, '4th Qtr'!C11)</f>
        <v>29656.133000000002</v>
      </c>
      <c r="D11" s="18">
        <f>SUM('1st Qtr'!D11, '2nd Qtr'!D11, '3rd Qtr'!D11, '4th Qtr'!D11)</f>
        <v>0</v>
      </c>
      <c r="E11" s="18">
        <f t="shared" si="0"/>
        <v>29656.133000000002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SUM('1st Qtr'!C12, '2nd Qtr'!C12, '3rd Qtr'!C12, '4th Qtr'!C12)</f>
        <v>3151.1</v>
      </c>
      <c r="D12" s="13">
        <f>SUM('1st Qtr'!D12, '2nd Qtr'!D12, '3rd Qtr'!D12, '4th Qtr'!D12)</f>
        <v>0</v>
      </c>
      <c r="E12" s="13">
        <f t="shared" si="0"/>
        <v>3151.1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SUM('1st Qtr'!C13, '2nd Qtr'!C13, '3rd Qtr'!C13, '4th Qtr'!C13)</f>
        <v>22694.672999999999</v>
      </c>
      <c r="D13" s="18">
        <f>SUM('1st Qtr'!D13, '2nd Qtr'!D13, '3rd Qtr'!D13, '4th Qtr'!D13)</f>
        <v>0</v>
      </c>
      <c r="E13" s="18">
        <f t="shared" si="0"/>
        <v>22694.672999999999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SUM('1st Qtr'!C14, '2nd Qtr'!C14, '3rd Qtr'!C14, '4th Qtr'!C14)</f>
        <v>11965.349999999999</v>
      </c>
      <c r="D14" s="13">
        <f>SUM('1st Qtr'!D14, '2nd Qtr'!D14, '3rd Qtr'!D14, '4th Qtr'!D14)</f>
        <v>0</v>
      </c>
      <c r="E14" s="13">
        <f>IF(AND(ISNUMBER(C14),ISNUMBER(D14)), C14-D14, "")</f>
        <v>11965.349999999999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75">
      <c r="A15" s="17" t="str">
        <v>Columbus - BA Eastmoor</v>
      </c>
      <c r="B15" s="10" t="str">
        <v>OH</v>
      </c>
      <c r="C15" s="11">
        <f>SUM('1st Qtr'!C15, '2nd Qtr'!C15, '3rd Qtr'!C15, '4th Qtr'!C15)</f>
        <v>19293.62</v>
      </c>
      <c r="D15" s="18">
        <f>SUM('1st Qtr'!D15, '2nd Qtr'!D15, '3rd Qtr'!D15, '4th Qtr'!D15)</f>
        <v>0</v>
      </c>
      <c r="E15" s="18">
        <f>IF(AND(ISNUMBER(C15),ISNUMBER(D15)), C15-D15, "")</f>
        <v>19293.62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75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SUM('1st Qtr'!C17, '2nd Qtr'!C17, '3rd Qtr'!C17, '4th Qtr'!C17)</f>
        <v>11940.741</v>
      </c>
      <c r="D17" s="18">
        <f>SUM('1st Qtr'!D17, '2nd Qtr'!D17, '3rd Qtr'!D17, '4th Qtr'!D17)</f>
        <v>0</v>
      </c>
      <c r="E17" s="18">
        <f t="shared" si="3"/>
        <v>11940.741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0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0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SUM('1st Qtr'!C19, '2nd Qtr'!C19, '3rd Qtr'!C19, '4th Qtr'!C19)</f>
        <v>2914.86</v>
      </c>
      <c r="D19" s="18">
        <f>SUM('1st Qtr'!D19, '2nd Qtr'!D19, '3rd Qtr'!D19, '4th Qtr'!D19)</f>
        <v>0</v>
      </c>
      <c r="E19" s="18">
        <f t="shared" si="6"/>
        <v>2914.86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SUM('1st Qtr'!C20, '2nd Qtr'!C20, '3rd Qtr'!C20, '4th Qtr'!C20)</f>
        <v>14822.528999999999</v>
      </c>
      <c r="D20" s="13">
        <f>SUM('1st Qtr'!D20, '2nd Qtr'!D20, '3rd Qtr'!D20, '4th Qtr'!D20)</f>
        <v>0</v>
      </c>
      <c r="E20" s="13">
        <f t="shared" si="6"/>
        <v>14822.528999999999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SUM('1st Qtr'!C21, '2nd Qtr'!C21, '3rd Qtr'!C21, '4th Qtr'!C21)</f>
        <v>17911.577000000001</v>
      </c>
      <c r="D21" s="18">
        <f>SUM('1st Qtr'!D21, '2nd Qtr'!D21, '3rd Qtr'!D21, '4th Qtr'!D21)</f>
        <v>0</v>
      </c>
      <c r="E21" s="18">
        <f t="shared" si="6"/>
        <v>17911.577000000001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SUM('1st Qtr'!C23, '2nd Qtr'!C23, '3rd Qtr'!C23, '4th Qtr'!C23)</f>
        <v>19891.787</v>
      </c>
      <c r="D23" s="18">
        <f>SUM('1st Qtr'!D23, '2nd Qtr'!D23, '3rd Qtr'!D23, '4th Qtr'!D23)</f>
        <v>0</v>
      </c>
      <c r="E23" s="18">
        <f t="shared" si="6"/>
        <v>19891.787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SUM('1st Qtr'!C24, '2nd Qtr'!C24, '3rd Qtr'!C24, '4th Qtr'!C24)</f>
        <v>12098.571999999998</v>
      </c>
      <c r="D24" s="13">
        <f>SUM('1st Qtr'!D24, '2nd Qtr'!D24, '3rd Qtr'!D24, '4th Qtr'!D24)</f>
        <v>0</v>
      </c>
      <c r="E24" s="13">
        <f t="shared" si="6"/>
        <v>12098.571999999998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SUM('1st Qtr'!C25, '2nd Qtr'!C25, '3rd Qtr'!C25, '4th Qtr'!C25)</f>
        <v>9640.2999999999993</v>
      </c>
      <c r="D25" s="18">
        <f>SUM('1st Qtr'!D25, '2nd Qtr'!D25, '3rd Qtr'!D25, '4th Qtr'!D25)</f>
        <v>0</v>
      </c>
      <c r="E25" s="18">
        <f t="shared" si="6"/>
        <v>9640.2999999999993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>Coventry - BA ATM</v>
      </c>
      <c r="B26" s="9" t="str">
        <v>RI</v>
      </c>
      <c r="C26" s="24">
        <f>SUM('1st Qtr'!C26, '2nd Qtr'!C26, '3rd Qtr'!C26, '4th Qtr'!C26)</f>
        <v>394.48</v>
      </c>
      <c r="D26" s="13">
        <f>SUM('1st Qtr'!D26, '2nd Qtr'!D26, '3rd Qtr'!D26, '4th Qtr'!D26)</f>
        <v>0</v>
      </c>
      <c r="E26" s="18">
        <f t="shared" si="6"/>
        <v>394.48</v>
      </c>
      <c r="F26" s="14"/>
      <c r="G26" s="16">
        <f>SUM('1st Qtr'!G26, '2nd Qtr'!G26, '3rd Qtr'!G26, '4th Qtr'!G26)</f>
        <v>0</v>
      </c>
      <c r="H26" s="15">
        <f>SUM(Jan!H26, Feb!H26, Mar!H26)</f>
        <v>0</v>
      </c>
      <c r="I26" s="16"/>
    </row>
    <row r="27" spans="1:9" ht="15.75">
      <c r="A27" s="17" t="str">
        <v>Woodbridge - BA ATM</v>
      </c>
      <c r="B27" s="10" t="str">
        <v>VA</v>
      </c>
      <c r="C27" s="11">
        <f>SUM('1st Qtr'!C27, '2nd Qtr'!C27, '3rd Qtr'!C27, '4th Qtr'!C27)</f>
        <v>602.01600000000008</v>
      </c>
      <c r="D27" s="18">
        <f>SUM('1st Qtr'!D27, '2nd Qtr'!D27, '3rd Qtr'!D27, '4th Qtr'!D27)</f>
        <v>0</v>
      </c>
      <c r="E27" s="11">
        <f t="shared" si="6"/>
        <v>602.01600000000008</v>
      </c>
      <c r="F27" s="19"/>
      <c r="G27" s="19">
        <f>SUM('1st Qtr'!G27, '2nd Qtr'!G27, '3rd Qtr'!G27, '4th Qtr'!G27)</f>
        <v>0</v>
      </c>
      <c r="H27" s="20">
        <f>SUM(Jan!H27, Feb!H27, Mar!H27)</f>
        <v>0</v>
      </c>
      <c r="I27" s="19"/>
    </row>
    <row r="28" spans="1:9">
      <c r="A28" s="21"/>
      <c r="B28" s="21"/>
      <c r="C28" s="21"/>
      <c r="D28" s="21"/>
      <c r="E28" s="21"/>
      <c r="F28" s="22"/>
      <c r="G28" s="21"/>
      <c r="H28" s="21"/>
      <c r="I28" s="22"/>
    </row>
    <row r="29" spans="1: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F25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6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A33" sqref="A33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CBRE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SUM(C4:C87)</f>
        <v>0</v>
      </c>
      <c r="D2" s="5">
        <f>SUM(D4:D87)</f>
        <v>0</v>
      </c>
      <c r="E2" s="5">
        <f>C2-D2</f>
        <v>0</v>
      </c>
      <c r="F2" s="6">
        <f>IFERROR(E2/D2, 0)</f>
        <v>0</v>
      </c>
      <c r="G2" s="5">
        <f>SUM(G4:G87)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SUM(Jan!C6, Feb!C6, Mar!C6)</f>
        <v>0</v>
      </c>
      <c r="D6" s="13">
        <f>SUM(Jan!D6, Feb!D6, Mar!D6)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SUM(Jan!C7, Feb!C7, Mar!C7)</f>
        <v>0</v>
      </c>
      <c r="D7" s="18">
        <f>SUM(Jan!D7, Feb!D7, Mar!D7)</f>
        <v>0</v>
      </c>
      <c r="E7" s="18">
        <f t="shared" si="0"/>
        <v>0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SUM(Jan!C8, Feb!C8, Mar!C8)</f>
        <v>0</v>
      </c>
      <c r="D8" s="13">
        <f>SUM(Jan!D8, Feb!D8, Mar!D8)</f>
        <v>0</v>
      </c>
      <c r="E8" s="13">
        <f t="shared" si="0"/>
        <v>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SUM(Jan!C9, Feb!C9, Mar!C9)</f>
        <v>0</v>
      </c>
      <c r="D9" s="18">
        <f>SUM(Jan!D9, Feb!D9, Mar!D9)</f>
        <v>0</v>
      </c>
      <c r="E9" s="18">
        <f t="shared" si="0"/>
        <v>0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SUM(Jan!C10, Feb!C10, Mar!C10)</f>
        <v>0</v>
      </c>
      <c r="D10" s="13">
        <f>SUM(Jan!D10, Feb!D10, Mar!D10)</f>
        <v>0</v>
      </c>
      <c r="E10" s="13">
        <f t="shared" si="0"/>
        <v>0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SUM(Jan!C11, Feb!C11, Mar!C11)</f>
        <v>0</v>
      </c>
      <c r="D11" s="18">
        <f>SUM(Jan!D11, Feb!D11, Mar!D11)</f>
        <v>0</v>
      </c>
      <c r="E11" s="18">
        <f t="shared" si="0"/>
        <v>0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SUM(Jan!C12, Feb!C12, Mar!C12)</f>
        <v>0</v>
      </c>
      <c r="D12" s="13">
        <f>SUM(Jan!D12, Feb!D12, Mar!D12)</f>
        <v>0</v>
      </c>
      <c r="E12" s="13">
        <f t="shared" si="0"/>
        <v>0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SUM(Jan!C14, Feb!C14, Mar!C14)</f>
        <v>0</v>
      </c>
      <c r="D14" s="13">
        <f>SUM(Jan!D14, Feb!D14, Mar!D14)</f>
        <v>0</v>
      </c>
      <c r="E14" s="13">
        <f t="shared" si="0"/>
        <v>0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SUM(Jan!C15, Feb!C15, Mar!C15)</f>
        <v>0</v>
      </c>
      <c r="D15" s="18">
        <f>SUM(Jan!D15, Feb!D15, Mar!D15)</f>
        <v>0</v>
      </c>
      <c r="E15" s="18">
        <f t="shared" si="0"/>
        <v>0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SUM(Jan!C17, Feb!C17, Mar!C17)</f>
        <v>0</v>
      </c>
      <c r="D17" s="18">
        <f>SUM(Jan!D17, Feb!D17, Mar!D17)</f>
        <v>0</v>
      </c>
      <c r="E17" s="18">
        <f t="shared" si="3"/>
        <v>0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SUM(Jan!C19, Feb!C19, Mar!C19)</f>
        <v>0</v>
      </c>
      <c r="D19" s="18">
        <f>SUM(Jan!D19, Feb!D19, Mar!D19)</f>
        <v>0</v>
      </c>
      <c r="E19" s="18">
        <f t="shared" si="6"/>
        <v>0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SUM(Jan!C20, Feb!C20, Mar!C20)</f>
        <v>0</v>
      </c>
      <c r="D20" s="13">
        <f>SUM(Jan!D20, Feb!D20, Mar!D20)</f>
        <v>0</v>
      </c>
      <c r="E20" s="13">
        <f t="shared" si="6"/>
        <v>0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SUM(Jan!C21, Feb!C21, Mar!C21)</f>
        <v>0</v>
      </c>
      <c r="D21" s="18">
        <f>SUM(Jan!D21, Feb!D21, Mar!D21)</f>
        <v>0</v>
      </c>
      <c r="E21" s="18">
        <f t="shared" si="6"/>
        <v>0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SUM(Jan!C23, Feb!C23, Mar!C23)</f>
        <v>0</v>
      </c>
      <c r="D23" s="18">
        <f>SUM(Jan!D23, Feb!D23, Mar!D23)</f>
        <v>0</v>
      </c>
      <c r="E23" s="18">
        <f t="shared" si="6"/>
        <v>0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SUM(Jan!C24, Feb!C24, Mar!C24)</f>
        <v>0</v>
      </c>
      <c r="D24" s="13">
        <f>SUM(Jan!D24, Feb!D24, Mar!D24)</f>
        <v>0</v>
      </c>
      <c r="E24" s="13">
        <f t="shared" si="6"/>
        <v>0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SUM(Jan!C25, Feb!C25, Mar!C25)</f>
        <v>0</v>
      </c>
      <c r="D25" s="18">
        <f>SUM(Jan!D25, Feb!D25, Mar!D25)</f>
        <v>0</v>
      </c>
      <c r="E25" s="18">
        <f t="shared" si="6"/>
        <v>0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9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4" activePane="bottomRight" state="frozen"/>
      <selection pane="bottomRight" activeCell="C24" sqref="C2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CBRE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SUM(C4:C86)</f>
        <v>100099.47299999998</v>
      </c>
      <c r="D2" s="5">
        <f>SUM(D4:D86)</f>
        <v>0</v>
      </c>
      <c r="E2" s="5">
        <f>C2-D2</f>
        <v>100099.47299999998</v>
      </c>
      <c r="F2" s="6">
        <f>IFERROR(E2/D2, 0)</f>
        <v>0</v>
      </c>
      <c r="G2" s="5">
        <f>SUM(G4:G86)</f>
        <v>0</v>
      </c>
      <c r="H2" s="7">
        <f>C2-G2</f>
        <v>100099.47299999998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9160.7989999999991</v>
      </c>
      <c r="D4" s="13">
        <f>SUM(Apr!D4, May!D4, Jun!D4)</f>
        <v>0</v>
      </c>
      <c r="E4" s="13">
        <f>IF(AND(ISNUMBER(C4),ISNUMBER(D4)), C4-D4, "")</f>
        <v>9160.7989999999991</v>
      </c>
      <c r="F4" s="14" t="str">
        <f>IFERROR(E4/D4, "")</f>
        <v/>
      </c>
      <c r="G4" s="16">
        <f>SUM(Apr!G4, May!G4, Jun!G4)</f>
        <v>0</v>
      </c>
      <c r="H4" s="15">
        <f>SUM(Apr!H4, May!H4, Jun!H4)</f>
        <v>9160.7989999999991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SUM(Apr!C5, May!C5, Jun!C5)</f>
        <v>4212.07</v>
      </c>
      <c r="D5" s="18">
        <f>SUM(Apr!D5, May!D5, Jun!D5)</f>
        <v>0</v>
      </c>
      <c r="E5" s="18">
        <f t="shared" ref="E5:E15" si="0">IF(AND(ISNUMBER(C5),ISNUMBER(D5)), C5-D5, "")</f>
        <v>4212.07</v>
      </c>
      <c r="F5" s="19" t="str">
        <f>IFERROR(E5/D5, "")</f>
        <v/>
      </c>
      <c r="G5" s="19">
        <f>SUM(Apr!G5, May!G5, Jun!G5)</f>
        <v>0</v>
      </c>
      <c r="H5" s="20">
        <f>SUM(Apr!H5, May!H5, Jun!H5)</f>
        <v>4212.07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SUM(Apr!C6, May!C6, Jun!C6)</f>
        <v>2257</v>
      </c>
      <c r="D6" s="13">
        <f>SUM(Apr!D6, May!D6, Jun!D6)</f>
        <v>0</v>
      </c>
      <c r="E6" s="13">
        <f t="shared" si="0"/>
        <v>2257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2257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SUM(Apr!C7, May!C7, Jun!C7)</f>
        <v>4847</v>
      </c>
      <c r="D7" s="18">
        <f>SUM(Apr!D7, May!D7, Jun!D7)</f>
        <v>0</v>
      </c>
      <c r="E7" s="18">
        <f t="shared" si="0"/>
        <v>4847</v>
      </c>
      <c r="F7" s="19" t="str">
        <f t="shared" si="1"/>
        <v/>
      </c>
      <c r="G7" s="19">
        <f>SUM(Apr!G7, May!G7, Jun!G7)</f>
        <v>0</v>
      </c>
      <c r="H7" s="20">
        <f>SUM(Apr!H7, May!H7, Jun!H7)</f>
        <v>4847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SUM(Apr!C8, May!C8, Jun!C8)</f>
        <v>7155</v>
      </c>
      <c r="D8" s="13">
        <f>SUM(Apr!D8, May!D8, Jun!D8)</f>
        <v>0</v>
      </c>
      <c r="E8" s="13">
        <f t="shared" si="0"/>
        <v>7155</v>
      </c>
      <c r="F8" s="14" t="str">
        <f t="shared" si="1"/>
        <v/>
      </c>
      <c r="G8" s="16">
        <f>SUM(Apr!G8, May!G8, Jun!G8)</f>
        <v>0</v>
      </c>
      <c r="H8" s="15">
        <f>SUM(Apr!H8, May!H8, Jun!H8)</f>
        <v>7155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SUM(Apr!C9, May!C9, Jun!C9)</f>
        <v>5955</v>
      </c>
      <c r="D9" s="18">
        <f>SUM(Apr!D9, May!D9, Jun!D9)</f>
        <v>0</v>
      </c>
      <c r="E9" s="18">
        <f t="shared" si="0"/>
        <v>5955</v>
      </c>
      <c r="F9" s="19" t="str">
        <f t="shared" si="1"/>
        <v/>
      </c>
      <c r="G9" s="19">
        <f>SUM(Apr!G9, May!G9, Jun!G9)</f>
        <v>0</v>
      </c>
      <c r="H9" s="20">
        <f>SUM(Apr!H9, May!H9, Jun!H9)</f>
        <v>5955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SUM(Apr!C10, May!C10, Jun!C10)</f>
        <v>6955</v>
      </c>
      <c r="D10" s="13">
        <f>SUM(Apr!D10, May!D10, Jun!D10)</f>
        <v>0</v>
      </c>
      <c r="E10" s="13">
        <f t="shared" si="0"/>
        <v>6955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6955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SUM(Apr!C11, May!C11, Jun!C11)</f>
        <v>5070.2070000000003</v>
      </c>
      <c r="D11" s="18">
        <f>SUM(Apr!D11, May!D11, Jun!D11)</f>
        <v>0</v>
      </c>
      <c r="E11" s="18">
        <f t="shared" si="0"/>
        <v>5070.2070000000003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5070.2070000000003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SUM(Apr!C13, May!C13, Jun!C13)</f>
        <v>9116.7609999999986</v>
      </c>
      <c r="D13" s="18">
        <f>SUM(Apr!D13, May!D13, Jun!D13)</f>
        <v>0</v>
      </c>
      <c r="E13" s="18">
        <f t="shared" si="0"/>
        <v>9116.7609999999986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9116.7609999999986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SUM(Apr!C14, May!C14, Jun!C14)</f>
        <v>5070</v>
      </c>
      <c r="D14" s="13">
        <f>SUM(Apr!D14, May!D14, Jun!D14)</f>
        <v>0</v>
      </c>
      <c r="E14" s="13">
        <f t="shared" si="0"/>
        <v>5070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5070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SUM(Apr!C15, May!C15, Jun!C15)</f>
        <v>8285.5600000000013</v>
      </c>
      <c r="D15" s="18">
        <f>SUM(Apr!D15, May!D15, Jun!D15)</f>
        <v>0</v>
      </c>
      <c r="E15" s="18">
        <f t="shared" si="0"/>
        <v>8285.5600000000013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8285.5600000000013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SUM(Apr!C17, May!C17, Jun!C17)</f>
        <v>1570.8910000000001</v>
      </c>
      <c r="D17" s="18">
        <f>SUM(Apr!D17, May!D17, Jun!D17)</f>
        <v>0</v>
      </c>
      <c r="E17" s="18">
        <f t="shared" si="3"/>
        <v>1570.8910000000001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1570.8910000000001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75">
      <c r="A19" s="17" t="str">
        <v>Baltimore - BA Sudbrook Lane</v>
      </c>
      <c r="B19" s="10" t="str">
        <v>MD</v>
      </c>
      <c r="C19" s="11">
        <f>SUM(Apr!C19, May!C19, Jun!C19)</f>
        <v>0</v>
      </c>
      <c r="D19" s="18">
        <f>SUM(Apr!D19, May!D19, Jun!D19)</f>
        <v>0</v>
      </c>
      <c r="E19" s="18">
        <f t="shared" si="3"/>
        <v>0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75">
      <c r="A20" s="12" t="str">
        <v>Stamford - BA West Stamford</v>
      </c>
      <c r="B20" s="9" t="str">
        <v>CT</v>
      </c>
      <c r="C20" s="24">
        <f>SUM(Apr!C20, May!C20, Jun!C20)</f>
        <v>5901.9989999999998</v>
      </c>
      <c r="D20" s="13">
        <f>SUM(Apr!D20, May!D20, Jun!D20)</f>
        <v>0</v>
      </c>
      <c r="E20" s="13">
        <f t="shared" ref="E20:E25" si="6">IF(AND(ISNUMBER(C20),ISNUMBER(D20)), C20-D20, "")</f>
        <v>5901.9989999999998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5901.9989999999998</v>
      </c>
      <c r="I20" s="16" t="str">
        <f t="shared" ref="I20:I25" si="8">IFERROR(H20/G20, "")</f>
        <v/>
      </c>
    </row>
    <row r="21" spans="1:9" ht="15.75">
      <c r="A21" s="17" t="str">
        <v>Hanover - BA Arundel Mills</v>
      </c>
      <c r="B21" s="10" t="str">
        <v>MD</v>
      </c>
      <c r="C21" s="11">
        <f>SUM(Apr!C21, May!C21, Jun!C21)</f>
        <v>7407.1970000000001</v>
      </c>
      <c r="D21" s="18">
        <f>SUM(Apr!D21, May!D21, Jun!D21)</f>
        <v>0</v>
      </c>
      <c r="E21" s="18">
        <f t="shared" si="6"/>
        <v>7407.1970000000001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7407.1970000000001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SUM(Apr!C23, May!C23, Jun!C23)</f>
        <v>8348.0169999999998</v>
      </c>
      <c r="D23" s="18">
        <f>SUM(Apr!D23, May!D23, Jun!D23)</f>
        <v>0</v>
      </c>
      <c r="E23" s="18">
        <f t="shared" si="6"/>
        <v>8348.0169999999998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8348017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SUM(Apr!C24, May!C24, Jun!C24)</f>
        <v>4545.9719999999998</v>
      </c>
      <c r="D24" s="13">
        <f>SUM(Apr!D24, May!D24, Jun!D24)</f>
        <v>0</v>
      </c>
      <c r="E24" s="13">
        <f t="shared" si="6"/>
        <v>4545.9719999999998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4545.9719999999998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SUM(Apr!C25, May!C25, Jun!C25)</f>
        <v>4241</v>
      </c>
      <c r="D25" s="18">
        <f>SUM(Apr!D25, May!D25, Jun!D25)</f>
        <v>0</v>
      </c>
      <c r="E25" s="18">
        <f t="shared" si="6"/>
        <v>4241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4241</v>
      </c>
      <c r="I25" s="19" t="str">
        <f t="shared" si="8"/>
        <v/>
      </c>
    </row>
    <row r="26" spans="1:9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9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5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6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36" sqref="L3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CBRE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SUM(C4:C85)</f>
        <v>119276.61999999998</v>
      </c>
      <c r="D2" s="5">
        <f>SUM(D4:D85)</f>
        <v>0</v>
      </c>
      <c r="E2" s="5">
        <f>C2-D2</f>
        <v>119276.61999999998</v>
      </c>
      <c r="F2" s="6">
        <f>IFERROR(E2/D2, 0)</f>
        <v>0</v>
      </c>
      <c r="G2" s="5">
        <f>SUM(G4:G85)</f>
        <v>0</v>
      </c>
      <c r="H2" s="7">
        <f>C2-G2</f>
        <v>119276.61999999998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8499.9000000000015</v>
      </c>
      <c r="D4" s="13">
        <f>SUM(Jul!D4, Aug!D4, Sep!D4)</f>
        <v>0</v>
      </c>
      <c r="E4" s="13">
        <f>IF(AND(ISNUMBER(C4),ISNUMBER(D4)), C4-D4, "")</f>
        <v>8499.9000000000015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8499.9000000000015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SUM(Jul!C5, Aug!C5, Sep!C5)</f>
        <v>4136.8739999999998</v>
      </c>
      <c r="D5" s="18">
        <f>SUM(Jul!D5, Aug!D5, Sep!D5)</f>
        <v>0</v>
      </c>
      <c r="E5" s="18">
        <f t="shared" ref="E5:E15" si="0">IF(AND(ISNUMBER(C5),ISNUMBER(D5)), C5-D5, "")</f>
        <v>4136.8739999999998</v>
      </c>
      <c r="F5" s="19" t="str">
        <f>IFERROR(E5/D5, "")</f>
        <v/>
      </c>
      <c r="G5" s="20">
        <f>SUM(Jul!G5, Aug!G5, Sep!G5)</f>
        <v>0</v>
      </c>
      <c r="H5" s="20">
        <f>SUM(Jul!H5, Aug!H5, Sep!H5)</f>
        <v>4136.8739999999998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SUM(Jul!C6, Aug!C6, Sep!C6)</f>
        <v>2253.6729999999998</v>
      </c>
      <c r="D6" s="13">
        <f>SUM(Jul!D6, Aug!D6, Sep!D6)</f>
        <v>0</v>
      </c>
      <c r="E6" s="13">
        <f t="shared" si="0"/>
        <v>2253.6729999999998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2253.6729999999998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SUM(Jul!C7, Aug!C7, Sep!C7)</f>
        <v>4909.5110000000004</v>
      </c>
      <c r="D7" s="18">
        <f>SUM(Jul!D7, Aug!D7, Sep!D7)</f>
        <v>0</v>
      </c>
      <c r="E7" s="18">
        <f t="shared" si="0"/>
        <v>4909.5110000000004</v>
      </c>
      <c r="F7" s="19" t="str">
        <f t="shared" si="1"/>
        <v/>
      </c>
      <c r="G7" s="20">
        <f>SUM(Jul!G7, Aug!G7, Sep!G7)</f>
        <v>0</v>
      </c>
      <c r="H7" s="20">
        <f>SUM(Jul!H7, Aug!H7, Sep!H7)</f>
        <v>4909.5110000000004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SUM(Jul!C8, Aug!C8, Sep!C8)</f>
        <v>7053.01</v>
      </c>
      <c r="D8" s="13">
        <f>SUM(Jul!D8, Aug!D8, Sep!D8)</f>
        <v>0</v>
      </c>
      <c r="E8" s="13">
        <f t="shared" si="0"/>
        <v>7053.01</v>
      </c>
      <c r="F8" s="14" t="str">
        <f t="shared" si="1"/>
        <v/>
      </c>
      <c r="G8" s="15">
        <f>SUM(Jul!G8, Aug!G8, Sep!G8)</f>
        <v>0</v>
      </c>
      <c r="H8" s="15">
        <f>SUM(Jul!H8, Aug!H8, Sep!H8)</f>
        <v>7053.01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SUM(Jul!C9, Aug!C9, Sep!C9)</f>
        <v>5840.7489999999998</v>
      </c>
      <c r="D9" s="18">
        <f>SUM(Jul!D9, Aug!D9, Sep!D9)</f>
        <v>0</v>
      </c>
      <c r="E9" s="18">
        <f t="shared" si="0"/>
        <v>5840.7489999999998</v>
      </c>
      <c r="F9" s="19" t="str">
        <f t="shared" si="1"/>
        <v/>
      </c>
      <c r="G9" s="20">
        <f>SUM(Jul!G9, Aug!G9, Sep!G9)</f>
        <v>0</v>
      </c>
      <c r="H9" s="20">
        <f>SUM(Jul!H9, Aug!H9, Sep!H9)</f>
        <v>5840.7489999999998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SUM(Jul!C10, Aug!C10, Sep!C10)</f>
        <v>6841.76</v>
      </c>
      <c r="D10" s="13">
        <f>SUM(Jul!D10, Aug!D10, Sep!D10)</f>
        <v>0</v>
      </c>
      <c r="E10" s="13">
        <f t="shared" si="0"/>
        <v>6841.76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6841.76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SUM(Jul!C11, Aug!C11, Sep!C11)</f>
        <v>21827.686000000002</v>
      </c>
      <c r="D11" s="18">
        <f>SUM(Jul!D11, Aug!D11, Sep!D11)</f>
        <v>0</v>
      </c>
      <c r="E11" s="18">
        <f t="shared" si="0"/>
        <v>21827.686000000002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21827.686000000002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SUM(Jul!C12, Aug!C12, Sep!C12)</f>
        <v>1192.77</v>
      </c>
      <c r="D12" s="13">
        <f>SUM(Jul!D12, Aug!D12, Sep!D12)</f>
        <v>0</v>
      </c>
      <c r="E12" s="13">
        <f t="shared" si="0"/>
        <v>1192.77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1192.77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SUM(Jul!C13, Aug!C13, Sep!C13)</f>
        <v>9139.4</v>
      </c>
      <c r="D13" s="18">
        <f>SUM(Jul!D13, Aug!D13, Sep!D13)</f>
        <v>0</v>
      </c>
      <c r="E13" s="18">
        <f t="shared" si="0"/>
        <v>9139.4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9139.4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SUM(Jul!C14, Aug!C14, Sep!C14)</f>
        <v>4827.3999999999996</v>
      </c>
      <c r="D14" s="13">
        <f>SUM(Jul!D14, Aug!D14, Sep!D14)</f>
        <v>0</v>
      </c>
      <c r="E14" s="13">
        <f t="shared" si="0"/>
        <v>4827.3999999999996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4827.3999999999996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SUM(Jul!C15, Aug!C15, Sep!C15)</f>
        <v>8209.58</v>
      </c>
      <c r="D15" s="18">
        <f>SUM(Jul!D15, Aug!D15, Sep!D15)</f>
        <v>0</v>
      </c>
      <c r="E15" s="18">
        <f t="shared" si="0"/>
        <v>8209.58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8209.58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SUM(Jul!C17, Aug!C17, Sep!C17)</f>
        <v>7026.79</v>
      </c>
      <c r="D17" s="18">
        <f>SUM(Jul!D17, Aug!D17, Sep!D17)</f>
        <v>0</v>
      </c>
      <c r="E17" s="18">
        <f t="shared" si="3"/>
        <v>7026.79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7026.79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75">
      <c r="A19" s="17" t="str">
        <v>Baltimore - BA Sudbrook Lane</v>
      </c>
      <c r="B19" s="10" t="str">
        <v>MD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75">
      <c r="A20" s="12" t="str">
        <v>Stamford - BA West Stamford</v>
      </c>
      <c r="B20" s="9" t="str">
        <v>CT</v>
      </c>
      <c r="C20" s="24">
        <f>SUM(Jul!C20, Aug!C20, Sep!C20)</f>
        <v>5627.317</v>
      </c>
      <c r="D20" s="13">
        <f>SUM(Jul!D20, Aug!D20, Sep!D20)</f>
        <v>0</v>
      </c>
      <c r="E20" s="13">
        <f t="shared" ref="E20:E25" si="6">IF(AND(ISNUMBER(C20),ISNUMBER(D20)), C20-D20, "")</f>
        <v>5627.317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5627.317</v>
      </c>
      <c r="I20" s="16" t="str">
        <f t="shared" ref="I20:I25" si="8">IFERROR(H20/G20, "")</f>
        <v/>
      </c>
    </row>
    <row r="21" spans="1:9" ht="15.75">
      <c r="A21" s="17" t="str">
        <v>Hanover - BA Arundel Mills</v>
      </c>
      <c r="B21" s="10" t="str">
        <v>MD</v>
      </c>
      <c r="C21" s="11">
        <f>SUM(Jul!C21, Aug!C21, Sep!C21)</f>
        <v>6868.5</v>
      </c>
      <c r="D21" s="18">
        <f>SUM(Jul!D21, Aug!D21, Sep!D21)</f>
        <v>0</v>
      </c>
      <c r="E21" s="18">
        <f t="shared" si="6"/>
        <v>6868.5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6868.5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SUM(Jul!C23, Aug!C23, Sep!C23)</f>
        <v>7754.1</v>
      </c>
      <c r="D23" s="18">
        <f>SUM(Jul!D23, Aug!D23, Sep!D23)</f>
        <v>0</v>
      </c>
      <c r="E23" s="18">
        <f t="shared" si="6"/>
        <v>7754.1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7754.1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SUM(Jul!C24, Jul!C24, Sep!C24)</f>
        <v>4096.2</v>
      </c>
      <c r="D24" s="13">
        <f>SUM(Jul!D24, Aug!D24, Sep!D24)</f>
        <v>0</v>
      </c>
      <c r="E24" s="13">
        <f t="shared" si="6"/>
        <v>4096.2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4097.6000000000004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SUM(Jul!C25, Aug!C25, Sep!C25)</f>
        <v>3171.4</v>
      </c>
      <c r="D25" s="18">
        <f>SUM(Jul!D25, Aug!D25, Sep!D25)</f>
        <v>0</v>
      </c>
      <c r="E25" s="18">
        <f t="shared" si="6"/>
        <v>3171.4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3171.4</v>
      </c>
      <c r="I25" s="19" t="str">
        <f t="shared" si="8"/>
        <v/>
      </c>
    </row>
    <row r="26" spans="1:9" ht="15.75">
      <c r="A26" s="12" t="str">
        <v>Coventry - BA ATM</v>
      </c>
      <c r="B26" s="9" t="str">
        <v>RI</v>
      </c>
      <c r="C26" s="24">
        <f>SUM(Jul!C26, Jul!C26, Sep!C26)</f>
        <v>0</v>
      </c>
      <c r="D26" s="13">
        <f>SUM(Jul!D26, Aug!D26, Sep!D26)</f>
        <v>0</v>
      </c>
      <c r="E26" s="13">
        <f t="shared" ref="E26:E27" si="9">IF(AND(ISNUMBER(C26),ISNUMBER(D26)), C26-D26, "")</f>
        <v>0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75">
      <c r="A27" s="17" t="str">
        <v>Woodbridge - BA ATM</v>
      </c>
      <c r="B27" s="10" t="str">
        <v>VA</v>
      </c>
      <c r="C27" s="11">
        <f>SUM(Jul!C27, Aug!C27, Sep!C27)</f>
        <v>0</v>
      </c>
      <c r="D27" s="18">
        <f>SUM(Jul!D27, Aug!D27, Sep!D27)</f>
        <v>0</v>
      </c>
      <c r="E27" s="18">
        <f t="shared" si="9"/>
        <v>0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C7" activePane="bottomRight" state="frozen"/>
      <selection pane="bottomRight" activeCell="H32" sqref="H32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CBRE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SUM(C4:C86)</f>
        <v>66906.78</v>
      </c>
      <c r="D2" s="5">
        <f>SUM(D4:D86)</f>
        <v>0</v>
      </c>
      <c r="E2" s="5">
        <f>C2-D2</f>
        <v>66906.78</v>
      </c>
      <c r="F2" s="6">
        <f>IFERROR(E2/D2, 0)</f>
        <v>0</v>
      </c>
      <c r="G2" s="5">
        <f>SUM(G4:G86)</f>
        <v>0</v>
      </c>
      <c r="H2" s="7">
        <f>C2-G2</f>
        <v>66906.78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12947.589</v>
      </c>
      <c r="D4" s="13">
        <f>SUM(Oct!D4, Nov!D4, Dec!D4)</f>
        <v>0</v>
      </c>
      <c r="E4" s="13">
        <f>IF(AND(ISNUMBER(C4),ISNUMBER(D4)), C4-D4, "")</f>
        <v>12947.589</v>
      </c>
      <c r="F4" s="14" t="str">
        <f>IFERROR(E4/D4, "")</f>
        <v/>
      </c>
      <c r="G4" s="15">
        <f>SUM(Oct!G4, Nov!G4, Dec!G4)</f>
        <v>0</v>
      </c>
      <c r="H4" s="15">
        <f>SUM(Oct!H4, Nov!H4, Dec!H4)</f>
        <v>12947.589</v>
      </c>
      <c r="I4" s="16" t="str">
        <f>IFERROR(H4/G4, "")</f>
        <v/>
      </c>
    </row>
    <row r="5" spans="1:9" ht="15.75">
      <c r="A5" s="17" t="str">
        <v>Indianapolis - BA Speedway</v>
      </c>
      <c r="B5" s="10" t="str">
        <v>IN</v>
      </c>
      <c r="C5" s="11">
        <f>SUM(Oct!C5, Nov!C5, Dec!C5)</f>
        <v>2498.04</v>
      </c>
      <c r="D5" s="18">
        <f>SUM(Oct!D5, Nov!D5, Dec!D5)</f>
        <v>0</v>
      </c>
      <c r="E5" s="18">
        <f t="shared" ref="E5:E15" si="0">IF(AND(ISNUMBER(C5),ISNUMBER(D5)), C5-D5, "")</f>
        <v>2498.04</v>
      </c>
      <c r="F5" s="19" t="str">
        <f>IFERROR(E5/D5, "")</f>
        <v/>
      </c>
      <c r="G5" s="20">
        <f>SUM(Oct!G5, Nov!G5, Dec!G5)</f>
        <v>0</v>
      </c>
      <c r="H5" s="20">
        <f>SUM(Oct!H5, Nov!H5, Dec!H5)</f>
        <v>2498.04</v>
      </c>
      <c r="I5" s="19" t="str">
        <f>IFERROR(H5/G5, "")</f>
        <v/>
      </c>
    </row>
    <row r="6" spans="1:9" ht="15.75">
      <c r="A6" s="12" t="str">
        <v>Greenwood - BA</v>
      </c>
      <c r="B6" s="9" t="str">
        <v>IN</v>
      </c>
      <c r="C6" s="24">
        <f>SUM(Oct!C6, Nov!C6, Dec!C6)</f>
        <v>1052.6600000000001</v>
      </c>
      <c r="D6" s="13">
        <f>SUM(Oct!D6, Nov!D6, Dec!D6)</f>
        <v>0</v>
      </c>
      <c r="E6" s="13">
        <f t="shared" si="0"/>
        <v>1052.6600000000001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1052.6600000000001</v>
      </c>
      <c r="I6" s="16" t="str">
        <f t="shared" ref="I6:I15" si="2">IFERROR(H6/G6, "")</f>
        <v/>
      </c>
    </row>
    <row r="7" spans="1:9" ht="15.75">
      <c r="A7" s="17" t="str">
        <v>West Chester - BA</v>
      </c>
      <c r="B7" s="10" t="str">
        <v>OH</v>
      </c>
      <c r="C7" s="11">
        <f>SUM(Oct!C7, Nov!C7, Dec!C7)</f>
        <v>2528.48</v>
      </c>
      <c r="D7" s="18">
        <f>SUM(Oct!D7, Nov!D7, Dec!D7)</f>
        <v>0</v>
      </c>
      <c r="E7" s="18">
        <f t="shared" si="0"/>
        <v>2528.48</v>
      </c>
      <c r="F7" s="19" t="str">
        <f t="shared" si="1"/>
        <v/>
      </c>
      <c r="G7" s="20">
        <f>SUM(Oct!G7, Nov!G7, Dec!G7)</f>
        <v>0</v>
      </c>
      <c r="H7" s="20">
        <f>SUM(Oct!H7, Nov!H7, Dec!H7)</f>
        <v>2528.48</v>
      </c>
      <c r="I7" s="19" t="str">
        <f t="shared" si="2"/>
        <v/>
      </c>
    </row>
    <row r="8" spans="1:9" ht="15.75">
      <c r="A8" s="12" t="str">
        <v>Cincinnati - BA MLK and Burnet</v>
      </c>
      <c r="B8" s="9" t="str">
        <v>OH</v>
      </c>
      <c r="C8" s="24">
        <f>SUM(Oct!C8, Nov!C8, Dec!C8)</f>
        <v>3703.13</v>
      </c>
      <c r="D8" s="13">
        <f>SUM(Oct!D8, Nov!D8, Dec!D8)</f>
        <v>0</v>
      </c>
      <c r="E8" s="13">
        <f t="shared" si="0"/>
        <v>3703.13</v>
      </c>
      <c r="F8" s="14" t="str">
        <f t="shared" si="1"/>
        <v/>
      </c>
      <c r="G8" s="15">
        <f>SUM(Oct!G8, Nov!G8, Dec!G8)</f>
        <v>0</v>
      </c>
      <c r="H8" s="15">
        <f>SUM(Oct!H8, Nov!H8, Dec!H8)</f>
        <v>3703.13</v>
      </c>
      <c r="I8" s="16" t="str">
        <f t="shared" si="2"/>
        <v/>
      </c>
    </row>
    <row r="9" spans="1:9" ht="15.75">
      <c r="A9" s="17" t="str">
        <v>Columbus - BA Harrisburg Pike</v>
      </c>
      <c r="B9" s="10" t="str">
        <v>OH</v>
      </c>
      <c r="C9" s="11">
        <f>SUM(Oct!C9, Nov!C9, Dec!C9)</f>
        <v>2865.44</v>
      </c>
      <c r="D9" s="18">
        <f>SUM(Oct!D9, Nov!D9, Dec!D9)</f>
        <v>0</v>
      </c>
      <c r="E9" s="18">
        <f t="shared" si="0"/>
        <v>2865.44</v>
      </c>
      <c r="F9" s="19" t="str">
        <f t="shared" si="1"/>
        <v/>
      </c>
      <c r="G9" s="20">
        <f>SUM(Oct!G9, Nov!G9, Dec!G9)</f>
        <v>0</v>
      </c>
      <c r="H9" s="20">
        <f>SUM(Oct!H9, Nov!H9, Dec!H9)</f>
        <v>2865.44</v>
      </c>
      <c r="I9" s="19" t="str">
        <f t="shared" si="2"/>
        <v/>
      </c>
    </row>
    <row r="10" spans="1:9" ht="15.75">
      <c r="A10" s="12" t="str">
        <v>Cincinnati - BA Hyde Pk Plaza</v>
      </c>
      <c r="B10" s="9" t="str">
        <v>OH</v>
      </c>
      <c r="C10" s="24">
        <f>SUM(Oct!C10, Nov!C10, Dec!C10)</f>
        <v>3632.45</v>
      </c>
      <c r="D10" s="13">
        <f>SUM(Oct!D10, Nov!D10, Dec!D10)</f>
        <v>0</v>
      </c>
      <c r="E10" s="13">
        <f t="shared" si="0"/>
        <v>3632.45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3632.45</v>
      </c>
      <c r="I10" s="16" t="str">
        <f t="shared" si="2"/>
        <v/>
      </c>
    </row>
    <row r="11" spans="1:9" ht="15.75">
      <c r="A11" s="17" t="str">
        <v>Cleveland - BA Carnegie &amp; 79th</v>
      </c>
      <c r="B11" s="10" t="str">
        <v>OH</v>
      </c>
      <c r="C11" s="11">
        <f>SUM(Oct!C11, Nov!C11, Dec!C11)</f>
        <v>2758.24</v>
      </c>
      <c r="D11" s="18">
        <f>SUM(Oct!D11, Nov!D11, Dec!D11)</f>
        <v>0</v>
      </c>
      <c r="E11" s="18">
        <f t="shared" si="0"/>
        <v>2758.24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2758.24</v>
      </c>
      <c r="I11" s="19" t="str">
        <f t="shared" si="2"/>
        <v/>
      </c>
    </row>
    <row r="12" spans="1:9" ht="15.75">
      <c r="A12" s="12" t="str">
        <v>Cincinnati - BA Sharonville</v>
      </c>
      <c r="B12" s="9" t="str">
        <v>OH</v>
      </c>
      <c r="C12" s="24">
        <f>SUM(Oct!C12, Nov!C12, Dec!C12)</f>
        <v>1958.33</v>
      </c>
      <c r="D12" s="13">
        <f>SUM(Oct!D12, Nov!D12, Dec!D12)</f>
        <v>0</v>
      </c>
      <c r="E12" s="13">
        <f t="shared" si="0"/>
        <v>1958.33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1958.33</v>
      </c>
      <c r="I12" s="16" t="str">
        <f t="shared" si="2"/>
        <v/>
      </c>
    </row>
    <row r="13" spans="1:9" ht="15.75">
      <c r="A13" s="17" t="str">
        <v>Zionsville - BA</v>
      </c>
      <c r="B13" s="10" t="str">
        <v>IN</v>
      </c>
      <c r="C13" s="11">
        <f>SUM(Oct!C13, Nov!C13, Dec!C13)</f>
        <v>4438.5119999999997</v>
      </c>
      <c r="D13" s="18">
        <f>SUM(Oct!D13, Nov!D13, Dec!D13)</f>
        <v>0</v>
      </c>
      <c r="E13" s="18">
        <f t="shared" si="0"/>
        <v>4438.5119999999997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4438.5119999999997</v>
      </c>
      <c r="I13" s="19" t="str">
        <f t="shared" si="2"/>
        <v/>
      </c>
    </row>
    <row r="14" spans="1:9" ht="15.75">
      <c r="A14" s="12" t="str">
        <v>Columbus - BA  Eastgate</v>
      </c>
      <c r="B14" s="9" t="str">
        <v>OH</v>
      </c>
      <c r="C14" s="24">
        <f>SUM(Oct!C14, Nov!C14, Dec!C14)</f>
        <v>2067.9499999999998</v>
      </c>
      <c r="D14" s="13">
        <f>SUM(Oct!D14, Nov!D14, Dec!D14)</f>
        <v>0</v>
      </c>
      <c r="E14" s="13">
        <f t="shared" si="0"/>
        <v>2067.9499999999998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2067.9499999999998</v>
      </c>
      <c r="I14" s="16" t="str">
        <f t="shared" si="2"/>
        <v/>
      </c>
    </row>
    <row r="15" spans="1:9" ht="15.75">
      <c r="A15" s="17" t="str">
        <v>Columbus - BA Eastmoor</v>
      </c>
      <c r="B15" s="10" t="str">
        <v>OH</v>
      </c>
      <c r="C15" s="11">
        <f>SUM(Oct!C7, Nov!C7, Dec!C15)</f>
        <v>2798.48</v>
      </c>
      <c r="D15" s="18">
        <f>SUM(Oct!D15, Nov!D15, Dec!D15)</f>
        <v>0</v>
      </c>
      <c r="E15" s="18">
        <f t="shared" si="0"/>
        <v>2798.48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4118.9799999999996</v>
      </c>
      <c r="I15" s="19" t="str">
        <f t="shared" si="2"/>
        <v/>
      </c>
    </row>
    <row r="16" spans="1:9" ht="15.75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75">
      <c r="A17" s="17" t="str">
        <v>Pittsburg - BA Fox Chapel</v>
      </c>
      <c r="B17" s="10" t="str">
        <v>PA</v>
      </c>
      <c r="C17" s="11">
        <f>SUM(Oct!C17, Nov!C17, Dec!C17)</f>
        <v>3343.06</v>
      </c>
      <c r="D17" s="18">
        <f>SUM(Oct!D17, Nov!D17, Dec!D17)</f>
        <v>0</v>
      </c>
      <c r="E17" s="18">
        <f t="shared" si="3"/>
        <v>3343.06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3343.06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75">
      <c r="A19" s="17" t="str">
        <v>Baltimore - BA Sudbrook Lane</v>
      </c>
      <c r="B19" s="10" t="str">
        <v>MD</v>
      </c>
      <c r="C19" s="11">
        <f>SUM(Oct!C19, Nov!C19, Dec!C19)</f>
        <v>2914.86</v>
      </c>
      <c r="D19" s="18">
        <f>SUM(Oct!D19, Nov!D19, Dec!D19)</f>
        <v>0</v>
      </c>
      <c r="E19" s="18">
        <f t="shared" si="6"/>
        <v>2914.86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2914.86</v>
      </c>
      <c r="I19" s="19" t="str">
        <f t="shared" si="8"/>
        <v/>
      </c>
    </row>
    <row r="20" spans="1:9" ht="15.75">
      <c r="A20" s="12" t="str">
        <v>Stamford - BA West Stamford</v>
      </c>
      <c r="B20" s="9" t="str">
        <v>CT</v>
      </c>
      <c r="C20" s="24">
        <f>SUM(Oct!C20, Nov!C20, Dec!C20)</f>
        <v>3293.2129999999997</v>
      </c>
      <c r="D20" s="13">
        <f>SUM(Oct!D20, Nov!D20, Dec!D20)</f>
        <v>0</v>
      </c>
      <c r="E20" s="13">
        <f t="shared" si="6"/>
        <v>3293.2129999999997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3293.2129999999997</v>
      </c>
      <c r="I20" s="16" t="str">
        <f t="shared" si="8"/>
        <v/>
      </c>
    </row>
    <row r="21" spans="1:9" ht="15.75">
      <c r="A21" s="17" t="str">
        <v>Hanover - BA Arundel Mills</v>
      </c>
      <c r="B21" s="10" t="str">
        <v>MD</v>
      </c>
      <c r="C21" s="11">
        <f>SUM(Oct!C21, Nov!C21, Dec!C21)</f>
        <v>3635.88</v>
      </c>
      <c r="D21" s="18">
        <f>SUM(Oct!D21, Nov!D21, Dec!D21)</f>
        <v>0</v>
      </c>
      <c r="E21" s="18">
        <f t="shared" si="6"/>
        <v>3635.88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3635.88</v>
      </c>
      <c r="I21" s="19" t="str">
        <f t="shared" si="8"/>
        <v/>
      </c>
    </row>
    <row r="22" spans="1:9" ht="15.75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75">
      <c r="A23" s="17" t="str">
        <v>Brooklyn - BA North 4th &amp; Berry</v>
      </c>
      <c r="B23" s="10" t="str">
        <v>NY</v>
      </c>
      <c r="C23" s="11">
        <f>SUM(Oct!C23, Nov!C23, Dec!C23)</f>
        <v>3789.67</v>
      </c>
      <c r="D23" s="18">
        <f>SUM(Oct!D23, Nov!D23, Dec!D23)</f>
        <v>0</v>
      </c>
      <c r="E23" s="18">
        <f t="shared" si="6"/>
        <v>3789.67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3789.67</v>
      </c>
      <c r="I23" s="19" t="str">
        <f t="shared" si="8"/>
        <v/>
      </c>
    </row>
    <row r="24" spans="1:9" ht="15.75">
      <c r="A24" s="12" t="str">
        <v>Midlothian - BA Brandermill</v>
      </c>
      <c r="B24" s="9" t="str">
        <v>VA</v>
      </c>
      <c r="C24" s="24">
        <f>SUM(Oct!C24, Oct!C24, Dec!C24)</f>
        <v>3456.4</v>
      </c>
      <c r="D24" s="13">
        <f>SUM(Oct!D24, Nov!D24, Dec!D24)</f>
        <v>0</v>
      </c>
      <c r="E24" s="13">
        <f t="shared" si="6"/>
        <v>3456.4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2961.3380000000002</v>
      </c>
      <c r="I24" s="16" t="str">
        <f t="shared" si="8"/>
        <v/>
      </c>
    </row>
    <row r="25" spans="1:9" ht="15.75">
      <c r="A25" s="17" t="str">
        <v>Lexington - BA North Park</v>
      </c>
      <c r="B25" s="10" t="str">
        <v>KY</v>
      </c>
      <c r="C25" s="11">
        <f>SUM(Oct!C25, Nov!C25, Dec!C25)</f>
        <v>2227.9</v>
      </c>
      <c r="D25" s="18">
        <f>SUM(Oct!D25, Nov!D25, Dec!D25)</f>
        <v>0</v>
      </c>
      <c r="E25" s="18">
        <f>IF(AND(ISNUMBER(C25),ISNUMBER(D26)), C25-D26, "")</f>
        <v>2227.9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2227.9</v>
      </c>
      <c r="I25" s="19" t="str">
        <f t="shared" si="8"/>
        <v/>
      </c>
    </row>
    <row r="26" spans="1:9" ht="15.75">
      <c r="A26" s="12" t="str">
        <v>Coventry - BA ATM</v>
      </c>
      <c r="B26" s="9" t="str">
        <v>RI</v>
      </c>
      <c r="C26" s="24">
        <f>SUM(Oct!C26, Oct!C26, Dec!C26)</f>
        <v>394.48</v>
      </c>
      <c r="D26" s="13">
        <f>SUM(Oct!D26, Nov!D26, Dec!D26)</f>
        <v>0</v>
      </c>
      <c r="E26" s="13">
        <f t="shared" si="6"/>
        <v>394.48</v>
      </c>
      <c r="F26" s="14"/>
      <c r="G26" s="15">
        <f>SUM(Oct!G26, Nov!G26, Dec!G26)</f>
        <v>0</v>
      </c>
      <c r="H26" s="15">
        <f>SUM(Oct!H26, Nov!H26, Dec!H26)</f>
        <v>366.93</v>
      </c>
      <c r="I26" s="16"/>
    </row>
    <row r="27" spans="1:9" ht="15.75">
      <c r="A27" s="17" t="str">
        <v>Woodbridge - BA ATM</v>
      </c>
      <c r="B27" s="10" t="str">
        <v>VA</v>
      </c>
      <c r="C27" s="11">
        <f>SUM(Oct!C27, Nov!C27, Dec!C27)</f>
        <v>602.01600000000008</v>
      </c>
      <c r="D27" s="18">
        <f>SUM(Oct!D27, Nov!D27, Dec!D27)</f>
        <v>0</v>
      </c>
      <c r="E27" s="18">
        <f>IF(AND(ISNUMBER(C27),ISNUMBER(D27)), C27-D27, "")</f>
        <v>602.01600000000008</v>
      </c>
      <c r="F27" s="19"/>
      <c r="G27" s="20">
        <f>SUM(Oct!G27, Nov!G27, Dec!G27)</f>
        <v>0</v>
      </c>
      <c r="H27" s="20">
        <f>SUM(Oct!H27, Nov!H27, Dec!H27)</f>
        <v>602.01600000000008</v>
      </c>
      <c r="I27" s="19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7"/>
  <sheetViews>
    <sheetView workbookViewId="0">
      <pane xSplit="2" ySplit="3" topLeftCell="C6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4"/>
        <v/>
      </c>
      <c r="I8" s="16" t="str">
        <f t="shared" si="5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5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5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5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5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5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5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5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15"/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6"/>
        <v/>
      </c>
      <c r="F17" s="19" t="str">
        <f t="shared" si="7"/>
        <v/>
      </c>
      <c r="G17" s="20"/>
      <c r="H17" s="20" t="str">
        <f t="shared" si="8"/>
        <v/>
      </c>
      <c r="I17" s="19" t="str">
        <f t="shared" si="9"/>
        <v/>
      </c>
      <c r="J17" s="42"/>
      <c r="K17" s="43"/>
    </row>
    <row r="18" spans="1:11" ht="15.75">
      <c r="A18" s="28" t="str">
        <v>New York - BA Two Bryant Pk</v>
      </c>
      <c r="B18" s="29" t="str">
        <v>NY</v>
      </c>
      <c r="C18" s="24"/>
      <c r="D18" s="13"/>
      <c r="E18" s="13" t="str">
        <f t="shared" ref="E18:E25" si="10">IF(AND(ISNUMBER(C18),ISNUMBER(D18)), C18-D18, "")</f>
        <v/>
      </c>
      <c r="F18" s="14" t="str">
        <f t="shared" ref="F18:F25" si="11">IFERROR(E18/D18, "")</f>
        <v/>
      </c>
      <c r="G18" s="15"/>
      <c r="H18" s="15" t="str">
        <f t="shared" ref="H18:H25" si="12">IF(AND(ISNUMBER(C18),ISNUMBER(G18)), C18-G18, "")</f>
        <v/>
      </c>
      <c r="I18" s="16" t="str">
        <f t="shared" ref="I18:I25" si="13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10"/>
        <v/>
      </c>
      <c r="F19" s="19" t="str">
        <f t="shared" si="11"/>
        <v/>
      </c>
      <c r="G19" s="20"/>
      <c r="H19" s="20" t="str">
        <f t="shared" si="12"/>
        <v/>
      </c>
      <c r="I19" s="19" t="str">
        <f t="shared" si="13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10"/>
        <v/>
      </c>
      <c r="F20" s="14" t="str">
        <f t="shared" si="11"/>
        <v/>
      </c>
      <c r="G20" s="15"/>
      <c r="H20" s="15" t="str">
        <f t="shared" si="12"/>
        <v/>
      </c>
      <c r="I20" s="16" t="str">
        <f t="shared" si="13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10"/>
        <v/>
      </c>
      <c r="F21" s="19" t="str">
        <f t="shared" si="11"/>
        <v/>
      </c>
      <c r="G21" s="20"/>
      <c r="H21" s="20" t="str">
        <f t="shared" si="12"/>
        <v/>
      </c>
      <c r="I21" s="19" t="str">
        <f t="shared" si="13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10"/>
        <v/>
      </c>
      <c r="F22" s="14" t="str">
        <f t="shared" si="11"/>
        <v/>
      </c>
      <c r="G22" s="15"/>
      <c r="H22" s="15" t="str">
        <f t="shared" si="12"/>
        <v/>
      </c>
      <c r="I22" s="16" t="str">
        <f t="shared" si="13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10"/>
        <v/>
      </c>
      <c r="F23" s="19" t="str">
        <f t="shared" si="11"/>
        <v/>
      </c>
      <c r="G23" s="20"/>
      <c r="H23" s="20" t="str">
        <f t="shared" si="12"/>
        <v/>
      </c>
      <c r="I23" s="19" t="str">
        <f t="shared" si="13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10"/>
        <v/>
      </c>
      <c r="F24" s="14" t="str">
        <f t="shared" si="11"/>
        <v/>
      </c>
      <c r="G24" s="15"/>
      <c r="H24" s="15" t="str">
        <f t="shared" si="12"/>
        <v/>
      </c>
      <c r="I24" s="16" t="str">
        <f t="shared" si="13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10"/>
        <v/>
      </c>
      <c r="F25" s="19" t="str">
        <f t="shared" si="11"/>
        <v/>
      </c>
      <c r="G25" s="20"/>
      <c r="H25" s="20" t="str">
        <f t="shared" si="12"/>
        <v/>
      </c>
      <c r="I25" s="19" t="str">
        <f t="shared" si="13"/>
        <v/>
      </c>
      <c r="J25" s="42"/>
      <c r="K25" s="43"/>
    </row>
    <row r="26" spans="1:11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1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8"/>
  <sheetViews>
    <sheetView workbookViewId="0">
      <pane xSplit="2" ySplit="3" topLeftCell="E8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22</v>
      </c>
      <c r="E1" s="62"/>
      <c r="F1" s="62"/>
      <c r="G1" s="60" t="s">
        <v>23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5" si="0">IF(AND(ISNUMBER(C5),ISNUMBER(D5)), C5-D5, "")</f>
        <v/>
      </c>
      <c r="F5" s="19" t="str">
        <f>IFERROR(E5/D5, "")</f>
        <v/>
      </c>
      <c r="G5" s="20"/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15"/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4"/>
        <v/>
      </c>
      <c r="F17" s="19" t="str">
        <f t="shared" si="5"/>
        <v/>
      </c>
      <c r="G17" s="20"/>
      <c r="H17" s="20" t="str">
        <f t="shared" si="6"/>
        <v/>
      </c>
      <c r="I17" s="19" t="str">
        <f t="shared" si="7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8">IF(AND(ISNUMBER(C18),ISNUMBER(D18)), C18-D18, "")</f>
        <v/>
      </c>
      <c r="F18" s="14" t="str">
        <f t="shared" ref="F18:F25" si="9">IFERROR(E18/D18, "")</f>
        <v/>
      </c>
      <c r="G18" s="15"/>
      <c r="H18" s="15" t="str">
        <f t="shared" ref="H18:H25" si="10">IF(AND(ISNUMBER(C18),ISNUMBER(G18)), C18-G18, "")</f>
        <v/>
      </c>
      <c r="I18" s="16" t="str">
        <f t="shared" ref="I18:I25" si="11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8"/>
        <v/>
      </c>
      <c r="F19" s="19" t="str">
        <f t="shared" si="9"/>
        <v/>
      </c>
      <c r="G19" s="20"/>
      <c r="H19" s="20" t="str">
        <f t="shared" si="10"/>
        <v/>
      </c>
      <c r="I19" s="19" t="str">
        <f t="shared" si="11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8"/>
        <v/>
      </c>
      <c r="F20" s="14" t="str">
        <f t="shared" si="9"/>
        <v/>
      </c>
      <c r="G20" s="15"/>
      <c r="H20" s="15" t="str">
        <f t="shared" si="10"/>
        <v/>
      </c>
      <c r="I20" s="16" t="str">
        <f t="shared" si="11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8"/>
        <v/>
      </c>
      <c r="F21" s="19" t="str">
        <f t="shared" si="9"/>
        <v/>
      </c>
      <c r="G21" s="20"/>
      <c r="H21" s="20" t="str">
        <f t="shared" si="10"/>
        <v/>
      </c>
      <c r="I21" s="19" t="str">
        <f t="shared" si="11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8"/>
        <v/>
      </c>
      <c r="F22" s="14" t="str">
        <f t="shared" si="9"/>
        <v/>
      </c>
      <c r="G22" s="15"/>
      <c r="H22" s="15" t="str">
        <f t="shared" si="10"/>
        <v/>
      </c>
      <c r="I22" s="16" t="str">
        <f t="shared" si="11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8"/>
        <v/>
      </c>
      <c r="F23" s="19" t="str">
        <f t="shared" si="9"/>
        <v/>
      </c>
      <c r="G23" s="20"/>
      <c r="H23" s="20" t="str">
        <f t="shared" si="10"/>
        <v/>
      </c>
      <c r="I23" s="19" t="str">
        <f t="shared" si="11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8"/>
        <v/>
      </c>
      <c r="F24" s="14" t="str">
        <f t="shared" si="9"/>
        <v/>
      </c>
      <c r="G24" s="15"/>
      <c r="H24" s="15" t="str">
        <f t="shared" si="10"/>
        <v/>
      </c>
      <c r="I24" s="16" t="str">
        <f t="shared" si="11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8"/>
        <v/>
      </c>
      <c r="F25" s="19" t="str">
        <f t="shared" si="9"/>
        <v/>
      </c>
      <c r="G25" s="20"/>
      <c r="H25" s="20" t="str">
        <f t="shared" si="10"/>
        <v/>
      </c>
      <c r="I25" s="19" t="str">
        <f t="shared" si="11"/>
        <v/>
      </c>
      <c r="J25" s="42"/>
      <c r="K25" s="43"/>
    </row>
    <row r="26" spans="1:11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1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xSplit="2" ySplit="3" topLeftCell="C4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75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1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80" zoomScaleNormal="80" workbookViewId="0">
      <pane xSplit="2" ySplit="3" topLeftCell="C9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CBRE</v>
      </c>
      <c r="B1" s="61"/>
      <c r="C1" s="61"/>
      <c r="D1" s="62" t="s">
        <v>26</v>
      </c>
      <c r="E1" s="62"/>
      <c r="F1" s="62"/>
      <c r="G1" s="60" t="s">
        <v>27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SUM(C4:C85)</f>
        <v>29085.181000000004</v>
      </c>
      <c r="D2" s="5">
        <f>SUM(D4:D85)</f>
        <v>0</v>
      </c>
      <c r="E2" s="5">
        <f>C2-D2</f>
        <v>29085.181000000004</v>
      </c>
      <c r="F2" s="6">
        <f>IFERROR(E2/D2, 0)</f>
        <v>0</v>
      </c>
      <c r="G2" s="5">
        <f>SUM(G4:G85)</f>
        <v>0</v>
      </c>
      <c r="H2" s="7">
        <f>C2-G2</f>
        <v>29085.181000000004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2586.0650000000001</v>
      </c>
      <c r="D4" s="13">
        <v>0</v>
      </c>
      <c r="E4" s="13">
        <f>IF(AND(ISNUMBER(C4),ISNUMBER(D4)), C4-D4, "")</f>
        <v>2586.0650000000001</v>
      </c>
      <c r="F4" s="14" t="str">
        <f>IFERROR(E4/D4, "")</f>
        <v/>
      </c>
      <c r="G4" s="15">
        <v>0</v>
      </c>
      <c r="H4" s="15">
        <f>IF(AND(ISNUMBER(C4),ISNUMBER(G4)), C4-G4, "")</f>
        <v>2586.0650000000001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1249.07</v>
      </c>
      <c r="D5" s="18">
        <v>0</v>
      </c>
      <c r="E5" s="18">
        <f t="shared" ref="E5:E17" si="0">IF(AND(ISNUMBER(C5),ISNUMBER(D5)), C5-D5, "")</f>
        <v>1249.07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1249.07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661</v>
      </c>
      <c r="D6" s="13">
        <v>0</v>
      </c>
      <c r="E6" s="13">
        <f t="shared" si="0"/>
        <v>661</v>
      </c>
      <c r="F6" s="14" t="str">
        <f t="shared" ref="F6:F17" si="3">IFERROR(E6/D6, "")</f>
        <v/>
      </c>
      <c r="G6" s="15">
        <v>0</v>
      </c>
      <c r="H6" s="15">
        <f t="shared" si="1"/>
        <v>661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1473</v>
      </c>
      <c r="D7" s="18">
        <v>0</v>
      </c>
      <c r="E7" s="18">
        <f t="shared" si="0"/>
        <v>1473</v>
      </c>
      <c r="F7" s="19" t="str">
        <f t="shared" si="3"/>
        <v/>
      </c>
      <c r="G7" s="20">
        <v>0</v>
      </c>
      <c r="H7" s="20">
        <f t="shared" si="1"/>
        <v>1473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2200</v>
      </c>
      <c r="D8" s="13">
        <v>0</v>
      </c>
      <c r="E8" s="13">
        <f t="shared" si="0"/>
        <v>2200</v>
      </c>
      <c r="F8" s="14" t="str">
        <f t="shared" si="3"/>
        <v/>
      </c>
      <c r="G8" s="15">
        <v>0</v>
      </c>
      <c r="H8" s="15">
        <f t="shared" si="1"/>
        <v>2200</v>
      </c>
      <c r="I8" s="16" t="str">
        <f t="shared" si="2"/>
        <v/>
      </c>
      <c r="J8" s="41"/>
      <c r="K8" s="41"/>
      <c r="L8" s="47"/>
    </row>
    <row r="9" spans="1:12" ht="15.75">
      <c r="A9" s="30" t="str">
        <v>Columbus - BA Harrisburg Pike</v>
      </c>
      <c r="B9" s="31" t="str">
        <v>OH</v>
      </c>
      <c r="C9" s="11">
        <v>1805</v>
      </c>
      <c r="D9" s="18">
        <v>0</v>
      </c>
      <c r="E9" s="18">
        <f t="shared" si="0"/>
        <v>1805</v>
      </c>
      <c r="F9" s="19" t="str">
        <f t="shared" si="3"/>
        <v/>
      </c>
      <c r="G9" s="20">
        <v>0</v>
      </c>
      <c r="H9" s="20">
        <f t="shared" si="1"/>
        <v>1805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2125</v>
      </c>
      <c r="D10" s="13">
        <v>0</v>
      </c>
      <c r="E10" s="13">
        <f t="shared" si="0"/>
        <v>2125</v>
      </c>
      <c r="F10" s="14" t="str">
        <f t="shared" si="3"/>
        <v/>
      </c>
      <c r="G10" s="15">
        <v>0</v>
      </c>
      <c r="H10" s="15">
        <f t="shared" si="1"/>
        <v>2125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1460.7059999999999</v>
      </c>
      <c r="D11" s="18">
        <v>0</v>
      </c>
      <c r="E11" s="18">
        <f t="shared" si="0"/>
        <v>1460.7059999999999</v>
      </c>
      <c r="F11" s="19" t="str">
        <f t="shared" si="3"/>
        <v/>
      </c>
      <c r="G11" s="20">
        <v>0</v>
      </c>
      <c r="H11" s="20">
        <f t="shared" si="1"/>
        <v>1460.7059999999999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2625.9929999999999</v>
      </c>
      <c r="D13" s="18">
        <v>0</v>
      </c>
      <c r="E13" s="18">
        <f t="shared" si="0"/>
        <v>2625.9929999999999</v>
      </c>
      <c r="F13" s="19" t="str">
        <f t="shared" si="3"/>
        <v/>
      </c>
      <c r="G13" s="20">
        <v>0</v>
      </c>
      <c r="H13" s="20">
        <f t="shared" si="1"/>
        <v>2625.9929999999999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1460</v>
      </c>
      <c r="D14" s="13">
        <v>0</v>
      </c>
      <c r="E14" s="13">
        <f t="shared" si="0"/>
        <v>1460</v>
      </c>
      <c r="F14" s="14" t="str">
        <f t="shared" si="3"/>
        <v/>
      </c>
      <c r="G14" s="15">
        <v>0</v>
      </c>
      <c r="H14" s="15">
        <f t="shared" si="1"/>
        <v>1460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2539.623</v>
      </c>
      <c r="D15" s="18">
        <v>0</v>
      </c>
      <c r="E15" s="18">
        <f t="shared" si="0"/>
        <v>2539.623</v>
      </c>
      <c r="F15" s="19" t="str">
        <f t="shared" si="3"/>
        <v/>
      </c>
      <c r="G15" s="20">
        <v>0</v>
      </c>
      <c r="H15" s="20">
        <f t="shared" si="1"/>
        <v>2539.623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1673.3820000000001</v>
      </c>
      <c r="D20" s="13">
        <v>0</v>
      </c>
      <c r="E20" s="13">
        <f t="shared" si="4"/>
        <v>1673.3820000000001</v>
      </c>
      <c r="F20" s="14" t="str">
        <f t="shared" si="5"/>
        <v/>
      </c>
      <c r="G20" s="15">
        <v>0</v>
      </c>
      <c r="H20" s="15">
        <f t="shared" si="6"/>
        <v>1673.3820000000001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2159.1080000000002</v>
      </c>
      <c r="D21" s="18">
        <v>0</v>
      </c>
      <c r="E21" s="18">
        <f t="shared" si="4"/>
        <v>2159.1080000000002</v>
      </c>
      <c r="F21" s="19" t="str">
        <f t="shared" si="5"/>
        <v/>
      </c>
      <c r="G21" s="20">
        <v>0</v>
      </c>
      <c r="H21" s="20">
        <f t="shared" si="6"/>
        <v>2159.1080000000002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2439.8870000000002</v>
      </c>
      <c r="D23" s="18">
        <v>0</v>
      </c>
      <c r="E23" s="18">
        <v>2439887</v>
      </c>
      <c r="F23" s="19" t="s">
        <v>36</v>
      </c>
      <c r="G23" s="20">
        <v>0</v>
      </c>
      <c r="H23" s="20">
        <v>2439887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1345.347</v>
      </c>
      <c r="D24" s="13">
        <v>0</v>
      </c>
      <c r="E24" s="13">
        <f t="shared" si="4"/>
        <v>1345.347</v>
      </c>
      <c r="F24" s="14" t="str">
        <f t="shared" si="5"/>
        <v/>
      </c>
      <c r="G24" s="15">
        <v>0</v>
      </c>
      <c r="H24" s="15">
        <f t="shared" si="6"/>
        <v>1345.347</v>
      </c>
      <c r="I24" s="16" t="str">
        <f t="shared" si="7"/>
        <v/>
      </c>
      <c r="J24" s="41"/>
      <c r="K24" s="41"/>
      <c r="L24" s="47"/>
    </row>
    <row r="25" spans="1:12" ht="28.5">
      <c r="A25" s="30" t="str">
        <v>Lexington - BA North Park</v>
      </c>
      <c r="B25" s="31" t="str">
        <v>KY</v>
      </c>
      <c r="C25" s="11">
        <v>1282</v>
      </c>
      <c r="D25" s="18">
        <v>0</v>
      </c>
      <c r="E25" s="18">
        <f t="shared" si="4"/>
        <v>1282</v>
      </c>
      <c r="F25" s="19" t="str">
        <f t="shared" si="5"/>
        <v/>
      </c>
      <c r="G25" s="20">
        <v>0</v>
      </c>
      <c r="H25" s="20">
        <f t="shared" si="6"/>
        <v>1282</v>
      </c>
      <c r="I25" s="19" t="str">
        <f t="shared" si="7"/>
        <v/>
      </c>
      <c r="J25" s="42" t="s">
        <v>37</v>
      </c>
      <c r="K25" s="42" t="s">
        <v>38</v>
      </c>
    </row>
    <row r="26" spans="1:12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2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80" zoomScaleNormal="80" workbookViewId="0">
      <pane xSplit="2" ySplit="3" topLeftCell="C9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CBRE</v>
      </c>
      <c r="B1" s="61"/>
      <c r="C1" s="61"/>
      <c r="D1" s="62" t="s">
        <v>39</v>
      </c>
      <c r="E1" s="62"/>
      <c r="F1" s="62"/>
      <c r="G1" s="60" t="s">
        <v>40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SUM(C4:C86)</f>
        <v>33269.073999999993</v>
      </c>
      <c r="D2" s="5">
        <f>SUM(D4:D86)</f>
        <v>0</v>
      </c>
      <c r="E2" s="5">
        <f>C2-D2</f>
        <v>33269.073999999993</v>
      </c>
      <c r="F2" s="6">
        <f>IFERROR(E2/D2, 0)</f>
        <v>0</v>
      </c>
      <c r="G2" s="5">
        <f>SUM(G4:G86)</f>
        <v>0</v>
      </c>
      <c r="H2" s="7">
        <f>C2-G2</f>
        <v>33269.073999999993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3115.7159999999999</v>
      </c>
      <c r="D4" s="13">
        <v>0</v>
      </c>
      <c r="E4" s="13">
        <f>IF(AND(ISNUMBER(C4),ISNUMBER(D4)), C4-D4, "")</f>
        <v>3115.7159999999999</v>
      </c>
      <c r="F4" s="14" t="str">
        <f>IFERROR(E4/D4, "")</f>
        <v/>
      </c>
      <c r="G4" s="15">
        <v>0</v>
      </c>
      <c r="H4" s="15">
        <f>IF(AND(ISNUMBER(C4),ISNUMBER(G4)), C4-G4, "")</f>
        <v>3115.7159999999999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1447</v>
      </c>
      <c r="D5" s="18">
        <v>0</v>
      </c>
      <c r="E5" s="18">
        <f t="shared" ref="E5:E17" si="0">IF(AND(ISNUMBER(C5),ISNUMBER(D5)), C5-D5, "")</f>
        <v>1447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1447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777</v>
      </c>
      <c r="D6" s="13">
        <v>0</v>
      </c>
      <c r="E6" s="13">
        <f t="shared" si="0"/>
        <v>777</v>
      </c>
      <c r="F6" s="14" t="str">
        <f t="shared" ref="F6:F17" si="3">IFERROR(E6/D6, "")</f>
        <v/>
      </c>
      <c r="G6" s="15">
        <v>0</v>
      </c>
      <c r="H6" s="15">
        <f t="shared" si="1"/>
        <v>777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1641</v>
      </c>
      <c r="D7" s="18">
        <v>0</v>
      </c>
      <c r="E7" s="18">
        <f t="shared" si="0"/>
        <v>1641</v>
      </c>
      <c r="F7" s="19" t="str">
        <f t="shared" si="3"/>
        <v/>
      </c>
      <c r="G7" s="20">
        <v>0</v>
      </c>
      <c r="H7" s="20">
        <f t="shared" si="1"/>
        <v>1641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2385</v>
      </c>
      <c r="D8" s="13">
        <v>0</v>
      </c>
      <c r="E8" s="13">
        <f t="shared" si="0"/>
        <v>2385</v>
      </c>
      <c r="F8" s="14" t="str">
        <f t="shared" si="3"/>
        <v/>
      </c>
      <c r="G8" s="15">
        <v>0</v>
      </c>
      <c r="H8" s="15">
        <f t="shared" si="1"/>
        <v>2385</v>
      </c>
      <c r="I8" s="16" t="str">
        <f t="shared" si="2"/>
        <v/>
      </c>
      <c r="J8" s="41"/>
      <c r="K8" s="41"/>
      <c r="L8" s="47"/>
    </row>
    <row r="9" spans="1:12" ht="15.75">
      <c r="A9" s="30" t="str">
        <v>Columbus - BA Harrisburg Pike</v>
      </c>
      <c r="B9" s="31" t="str">
        <v>OH</v>
      </c>
      <c r="C9" s="11">
        <v>1997</v>
      </c>
      <c r="D9" s="18">
        <v>0</v>
      </c>
      <c r="E9" s="18">
        <f t="shared" si="0"/>
        <v>1997</v>
      </c>
      <c r="F9" s="19" t="str">
        <f t="shared" si="3"/>
        <v/>
      </c>
      <c r="G9" s="20">
        <v>0</v>
      </c>
      <c r="H9" s="20">
        <f t="shared" si="1"/>
        <v>1997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2324</v>
      </c>
      <c r="D10" s="13">
        <v>0</v>
      </c>
      <c r="E10" s="13">
        <f t="shared" si="0"/>
        <v>2324</v>
      </c>
      <c r="F10" s="14" t="str">
        <f t="shared" si="3"/>
        <v/>
      </c>
      <c r="G10" s="15">
        <v>0</v>
      </c>
      <c r="H10" s="15">
        <f t="shared" si="1"/>
        <v>2324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1858.76</v>
      </c>
      <c r="D11" s="18">
        <v>0</v>
      </c>
      <c r="E11" s="18">
        <f t="shared" si="0"/>
        <v>1858.76</v>
      </c>
      <c r="F11" s="19" t="str">
        <f t="shared" si="3"/>
        <v/>
      </c>
      <c r="G11" s="20">
        <v>0</v>
      </c>
      <c r="H11" s="20">
        <f t="shared" si="1"/>
        <v>1858.76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3194.9070000000002</v>
      </c>
      <c r="D13" s="18">
        <v>0</v>
      </c>
      <c r="E13" s="18">
        <f t="shared" si="0"/>
        <v>3194.9070000000002</v>
      </c>
      <c r="F13" s="19" t="str">
        <f t="shared" si="3"/>
        <v/>
      </c>
      <c r="G13" s="20">
        <v>0</v>
      </c>
      <c r="H13" s="20">
        <f t="shared" si="1"/>
        <v>3194.9070000000002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1859</v>
      </c>
      <c r="D14" s="13">
        <v>0</v>
      </c>
      <c r="E14" s="13">
        <f t="shared" si="0"/>
        <v>1859</v>
      </c>
      <c r="F14" s="14" t="str">
        <f t="shared" si="3"/>
        <v/>
      </c>
      <c r="G14" s="15">
        <v>0</v>
      </c>
      <c r="H14" s="15">
        <f t="shared" si="1"/>
        <v>1859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2798.6950000000002</v>
      </c>
      <c r="D15" s="18">
        <v>0</v>
      </c>
      <c r="E15" s="18">
        <f t="shared" si="0"/>
        <v>2798.6950000000002</v>
      </c>
      <c r="F15" s="19" t="str">
        <f t="shared" si="3"/>
        <v/>
      </c>
      <c r="G15" s="20">
        <v>0</v>
      </c>
      <c r="H15" s="20">
        <f t="shared" si="1"/>
        <v>2798.6950000000002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0</v>
      </c>
      <c r="D17" s="18">
        <v>0</v>
      </c>
      <c r="E17" s="18">
        <f t="shared" si="0"/>
        <v>0</v>
      </c>
      <c r="F17" s="19" t="str">
        <f t="shared" si="3"/>
        <v/>
      </c>
      <c r="G17" s="20">
        <v>0</v>
      </c>
      <c r="H17" s="20">
        <f t="shared" si="1"/>
        <v>0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1975.9580000000001</v>
      </c>
      <c r="D20" s="13">
        <v>0</v>
      </c>
      <c r="E20" s="13">
        <f t="shared" si="4"/>
        <v>1975.9580000000001</v>
      </c>
      <c r="F20" s="14" t="str">
        <f t="shared" si="5"/>
        <v/>
      </c>
      <c r="G20" s="15">
        <v>0</v>
      </c>
      <c r="H20" s="15">
        <f t="shared" si="6"/>
        <v>1975.9580000000001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2269.547</v>
      </c>
      <c r="D21" s="18">
        <v>0</v>
      </c>
      <c r="E21" s="18">
        <f t="shared" si="4"/>
        <v>2269.547</v>
      </c>
      <c r="F21" s="19" t="str">
        <f t="shared" si="5"/>
        <v/>
      </c>
      <c r="G21" s="20">
        <v>0</v>
      </c>
      <c r="H21" s="20">
        <f t="shared" si="6"/>
        <v>2269.547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2727.1</v>
      </c>
      <c r="D23" s="18">
        <v>0</v>
      </c>
      <c r="E23" s="18">
        <v>2727100</v>
      </c>
      <c r="F23" s="19" t="s">
        <v>36</v>
      </c>
      <c r="G23" s="20">
        <v>0</v>
      </c>
      <c r="H23" s="20">
        <v>2727100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1486.3910000000001</v>
      </c>
      <c r="D24" s="13">
        <v>0</v>
      </c>
      <c r="E24" s="13">
        <f t="shared" si="4"/>
        <v>1486.3910000000001</v>
      </c>
      <c r="F24" s="14" t="str">
        <f t="shared" si="5"/>
        <v/>
      </c>
      <c r="G24" s="15">
        <v>0</v>
      </c>
      <c r="H24" s="15">
        <f t="shared" si="6"/>
        <v>1486.3910000000001</v>
      </c>
      <c r="I24" s="16" t="str">
        <f t="shared" si="7"/>
        <v/>
      </c>
      <c r="J24" s="41"/>
      <c r="K24" s="41"/>
      <c r="L24" s="47"/>
    </row>
    <row r="25" spans="1:12" ht="28.5">
      <c r="A25" s="30" t="str">
        <v>Lexington - BA North Park</v>
      </c>
      <c r="B25" s="31" t="str">
        <v>KY</v>
      </c>
      <c r="C25" s="11">
        <v>1412</v>
      </c>
      <c r="D25" s="18">
        <v>0</v>
      </c>
      <c r="E25" s="18">
        <f t="shared" si="4"/>
        <v>1412</v>
      </c>
      <c r="F25" s="19" t="str">
        <f t="shared" si="5"/>
        <v/>
      </c>
      <c r="G25" s="20">
        <v>0</v>
      </c>
      <c r="H25" s="20">
        <f t="shared" si="6"/>
        <v>1412</v>
      </c>
      <c r="I25" s="19" t="str">
        <f t="shared" si="7"/>
        <v/>
      </c>
      <c r="J25" s="42" t="s">
        <v>37</v>
      </c>
      <c r="K25" s="42" t="s">
        <v>38</v>
      </c>
      <c r="L25" s="47"/>
    </row>
    <row r="26" spans="1:12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2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80" zoomScaleNormal="80" workbookViewId="0">
      <pane xSplit="2" ySplit="3" topLeftCell="C15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CBRE</v>
      </c>
      <c r="B1" s="61"/>
      <c r="C1" s="61"/>
      <c r="D1" s="62" t="s">
        <v>41</v>
      </c>
      <c r="E1" s="62"/>
      <c r="F1" s="62"/>
      <c r="G1" s="60" t="s">
        <v>42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SUM(C4:C86)</f>
        <v>37745.218000000001</v>
      </c>
      <c r="D2" s="5">
        <f>SUM(D4:D86)</f>
        <v>0</v>
      </c>
      <c r="E2" s="5">
        <f>C2-D2</f>
        <v>37745.218000000001</v>
      </c>
      <c r="F2" s="6">
        <f>IFERROR(E2/D2, 0)</f>
        <v>0</v>
      </c>
      <c r="G2" s="5">
        <f>SUM(G4:G86)</f>
        <v>0</v>
      </c>
      <c r="H2" s="7">
        <f>C2-G2</f>
        <v>37745.218000000001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3459.018</v>
      </c>
      <c r="D4" s="13">
        <v>0</v>
      </c>
      <c r="E4" s="13">
        <f>IF(AND(ISNUMBER(C4),ISNUMBER(D4)), C4-D4, "")</f>
        <v>3459.018</v>
      </c>
      <c r="F4" s="14" t="str">
        <f>IFERROR(E4/D4, "")</f>
        <v/>
      </c>
      <c r="G4" s="15">
        <v>0</v>
      </c>
      <c r="H4" s="15">
        <f>IF(AND(ISNUMBER(C4),ISNUMBER(G4)), C4-G4, "")</f>
        <v>3459.018</v>
      </c>
      <c r="I4" s="16" t="str">
        <f>IFERROR(H4/G4, "")</f>
        <v/>
      </c>
      <c r="J4" s="41"/>
      <c r="K4" s="41"/>
      <c r="L4" s="47"/>
    </row>
    <row r="5" spans="1:12" ht="15.75">
      <c r="A5" s="30" t="str">
        <v>Indianapolis - BA Speedway</v>
      </c>
      <c r="B5" s="31" t="str">
        <v>IN</v>
      </c>
      <c r="C5" s="11">
        <v>1516</v>
      </c>
      <c r="D5" s="18">
        <v>0</v>
      </c>
      <c r="E5" s="18">
        <f t="shared" ref="E5:E17" si="0">IF(AND(ISNUMBER(C5),ISNUMBER(D5)), C5-D5, "")</f>
        <v>1516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1516</v>
      </c>
      <c r="I5" s="19" t="str">
        <f t="shared" ref="I5:I17" si="2">IFERROR(H5/G5, "")</f>
        <v/>
      </c>
      <c r="J5" s="42"/>
      <c r="K5" s="42"/>
      <c r="L5" s="47"/>
    </row>
    <row r="6" spans="1:12" ht="15.75">
      <c r="A6" s="28" t="str">
        <v>Greenwood - BA</v>
      </c>
      <c r="B6" s="29" t="str">
        <v>IN</v>
      </c>
      <c r="C6" s="24">
        <v>819</v>
      </c>
      <c r="D6" s="13">
        <v>0</v>
      </c>
      <c r="E6" s="13">
        <f t="shared" si="0"/>
        <v>819</v>
      </c>
      <c r="F6" s="14" t="str">
        <f t="shared" ref="F6:F17" si="3">IFERROR(E6/D6, "")</f>
        <v/>
      </c>
      <c r="G6" s="15">
        <v>0</v>
      </c>
      <c r="H6" s="15">
        <f t="shared" si="1"/>
        <v>819</v>
      </c>
      <c r="I6" s="16" t="str">
        <f t="shared" si="2"/>
        <v/>
      </c>
      <c r="J6" s="41"/>
      <c r="K6" s="41"/>
      <c r="L6" s="47"/>
    </row>
    <row r="7" spans="1:12" ht="15.75">
      <c r="A7" s="30" t="str">
        <v>West Chester - BA</v>
      </c>
      <c r="B7" s="31" t="str">
        <v>OH</v>
      </c>
      <c r="C7" s="11">
        <v>1733</v>
      </c>
      <c r="D7" s="18">
        <v>0</v>
      </c>
      <c r="E7" s="18">
        <f t="shared" si="0"/>
        <v>1733</v>
      </c>
      <c r="F7" s="19" t="str">
        <f t="shared" si="3"/>
        <v/>
      </c>
      <c r="G7" s="20">
        <v>0</v>
      </c>
      <c r="H7" s="20">
        <f t="shared" si="1"/>
        <v>1733</v>
      </c>
      <c r="I7" s="19" t="str">
        <f t="shared" si="2"/>
        <v/>
      </c>
      <c r="J7" s="42"/>
      <c r="K7" s="43"/>
      <c r="L7" s="47"/>
    </row>
    <row r="8" spans="1:12" ht="15.75">
      <c r="A8" s="28" t="str">
        <v>Cincinnati - BA MLK and Burnet</v>
      </c>
      <c r="B8" s="29" t="str">
        <v>OH</v>
      </c>
      <c r="C8" s="24">
        <v>2570</v>
      </c>
      <c r="D8" s="13">
        <v>0</v>
      </c>
      <c r="E8" s="13">
        <f t="shared" si="0"/>
        <v>2570</v>
      </c>
      <c r="F8" s="14" t="str">
        <f t="shared" si="3"/>
        <v/>
      </c>
      <c r="G8" s="15">
        <v>0</v>
      </c>
      <c r="H8" s="15">
        <f t="shared" si="1"/>
        <v>2570</v>
      </c>
      <c r="I8" s="16" t="str">
        <f t="shared" si="2"/>
        <v/>
      </c>
      <c r="J8" s="41"/>
      <c r="K8" s="41"/>
      <c r="L8" s="47"/>
    </row>
    <row r="9" spans="1:12" ht="15.75">
      <c r="A9" s="30" t="str">
        <v>Columbus - BA Harrisburg Pike</v>
      </c>
      <c r="B9" s="31" t="str">
        <v>OH</v>
      </c>
      <c r="C9" s="11">
        <v>2153</v>
      </c>
      <c r="D9" s="18">
        <v>0</v>
      </c>
      <c r="E9" s="18">
        <f t="shared" si="0"/>
        <v>2153</v>
      </c>
      <c r="F9" s="19" t="str">
        <f t="shared" si="3"/>
        <v/>
      </c>
      <c r="G9" s="20">
        <v>0</v>
      </c>
      <c r="H9" s="20">
        <f t="shared" si="1"/>
        <v>2153</v>
      </c>
      <c r="I9" s="19" t="str">
        <f t="shared" si="2"/>
        <v/>
      </c>
      <c r="J9" s="42" t="s">
        <v>28</v>
      </c>
      <c r="K9" s="43" t="s">
        <v>29</v>
      </c>
      <c r="L9" s="47"/>
    </row>
    <row r="10" spans="1:12" ht="15.75">
      <c r="A10" s="28" t="str">
        <v>Cincinnati - BA Hyde Pk Plaza</v>
      </c>
      <c r="B10" s="29" t="str">
        <v>OH</v>
      </c>
      <c r="C10" s="24">
        <v>2506</v>
      </c>
      <c r="D10" s="13">
        <v>0</v>
      </c>
      <c r="E10" s="13">
        <f t="shared" si="0"/>
        <v>2506</v>
      </c>
      <c r="F10" s="14" t="str">
        <f t="shared" si="3"/>
        <v/>
      </c>
      <c r="G10" s="15">
        <v>0</v>
      </c>
      <c r="H10" s="15">
        <f t="shared" si="1"/>
        <v>2506</v>
      </c>
      <c r="I10" s="16" t="str">
        <f t="shared" si="2"/>
        <v/>
      </c>
      <c r="J10" s="41"/>
      <c r="K10" s="41"/>
      <c r="L10" s="47"/>
    </row>
    <row r="11" spans="1:12" ht="15.75">
      <c r="A11" s="30" t="str">
        <v>Cleveland - BA Carnegie &amp; 79th</v>
      </c>
      <c r="B11" s="31" t="str">
        <v>OH</v>
      </c>
      <c r="C11" s="11">
        <v>1750.741</v>
      </c>
      <c r="D11" s="18">
        <v>0</v>
      </c>
      <c r="E11" s="18">
        <f t="shared" si="0"/>
        <v>1750.741</v>
      </c>
      <c r="F11" s="19" t="str">
        <f t="shared" si="3"/>
        <v/>
      </c>
      <c r="G11" s="20">
        <v>0</v>
      </c>
      <c r="H11" s="20">
        <f t="shared" si="1"/>
        <v>1750.741</v>
      </c>
      <c r="I11" s="19" t="str">
        <f t="shared" si="2"/>
        <v/>
      </c>
      <c r="J11" s="42"/>
      <c r="K11" s="43"/>
      <c r="L11" s="47"/>
    </row>
    <row r="12" spans="1:12" ht="28.5">
      <c r="A12" s="28" t="str">
        <v>Cincinnati - BA Sharonville</v>
      </c>
      <c r="B12" s="29" t="str">
        <v>OH</v>
      </c>
      <c r="C12" s="24">
        <v>0</v>
      </c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 t="s">
        <v>30</v>
      </c>
      <c r="K12" s="41" t="s">
        <v>31</v>
      </c>
      <c r="L12" s="47"/>
    </row>
    <row r="13" spans="1:12" ht="15.75">
      <c r="A13" s="30" t="str">
        <v>Zionsville - BA</v>
      </c>
      <c r="B13" s="31" t="str">
        <v>IN</v>
      </c>
      <c r="C13" s="11">
        <v>3295.8609999999999</v>
      </c>
      <c r="D13" s="18">
        <v>0</v>
      </c>
      <c r="E13" s="18">
        <f t="shared" si="0"/>
        <v>3295.8609999999999</v>
      </c>
      <c r="F13" s="19" t="str">
        <f t="shared" si="3"/>
        <v/>
      </c>
      <c r="G13" s="20">
        <v>0</v>
      </c>
      <c r="H13" s="20">
        <f t="shared" si="1"/>
        <v>3295.8609999999999</v>
      </c>
      <c r="I13" s="19" t="str">
        <f t="shared" si="2"/>
        <v/>
      </c>
      <c r="J13" s="42"/>
      <c r="K13" s="43"/>
      <c r="L13" s="47"/>
    </row>
    <row r="14" spans="1:12" ht="15.75">
      <c r="A14" s="28" t="str">
        <v>Columbus - BA  Eastgate</v>
      </c>
      <c r="B14" s="29" t="str">
        <v>OH</v>
      </c>
      <c r="C14" s="24">
        <v>1751</v>
      </c>
      <c r="D14" s="13">
        <v>0</v>
      </c>
      <c r="E14" s="13">
        <f t="shared" si="0"/>
        <v>1751</v>
      </c>
      <c r="F14" s="14" t="str">
        <f t="shared" si="3"/>
        <v/>
      </c>
      <c r="G14" s="15">
        <v>0</v>
      </c>
      <c r="H14" s="15">
        <f t="shared" si="1"/>
        <v>1751</v>
      </c>
      <c r="I14" s="16" t="str">
        <f t="shared" si="2"/>
        <v/>
      </c>
      <c r="J14" s="41"/>
      <c r="K14" s="41"/>
      <c r="L14" s="47"/>
    </row>
    <row r="15" spans="1:12" ht="57">
      <c r="A15" s="30" t="str">
        <v>Columbus - BA Eastmoor</v>
      </c>
      <c r="B15" s="31" t="str">
        <v>OH</v>
      </c>
      <c r="C15" s="11">
        <v>2947.2420000000002</v>
      </c>
      <c r="D15" s="18">
        <v>0</v>
      </c>
      <c r="E15" s="18">
        <f t="shared" si="0"/>
        <v>2947.2420000000002</v>
      </c>
      <c r="F15" s="19" t="str">
        <f t="shared" si="3"/>
        <v/>
      </c>
      <c r="G15" s="20">
        <v>0</v>
      </c>
      <c r="H15" s="20">
        <f t="shared" si="1"/>
        <v>2947.2420000000002</v>
      </c>
      <c r="I15" s="19" t="str">
        <f t="shared" si="2"/>
        <v/>
      </c>
      <c r="J15" s="42" t="s">
        <v>32</v>
      </c>
      <c r="K15" s="46" t="s">
        <v>33</v>
      </c>
      <c r="L15" s="47"/>
    </row>
    <row r="16" spans="1:12" ht="15.75">
      <c r="A16" s="28" t="str">
        <v>Brooklyn - BA Canarsie</v>
      </c>
      <c r="B16" s="29" t="str">
        <v>NY</v>
      </c>
      <c r="C16" s="24">
        <v>0</v>
      </c>
      <c r="D16" s="13"/>
      <c r="E16" s="13"/>
      <c r="F16" s="14"/>
      <c r="G16" s="15"/>
      <c r="H16" s="15"/>
      <c r="I16" s="16" t="str">
        <f t="shared" si="2"/>
        <v/>
      </c>
      <c r="J16" s="41"/>
      <c r="K16" s="41"/>
      <c r="L16" s="47"/>
    </row>
    <row r="17" spans="1:12" ht="15.75">
      <c r="A17" s="30" t="str">
        <v>Pittsburg - BA Fox Chapel</v>
      </c>
      <c r="B17" s="31" t="str">
        <v>PA</v>
      </c>
      <c r="C17" s="11">
        <v>1570.8910000000001</v>
      </c>
      <c r="D17" s="18">
        <v>0</v>
      </c>
      <c r="E17" s="18">
        <f t="shared" si="0"/>
        <v>1570.8910000000001</v>
      </c>
      <c r="F17" s="19" t="str">
        <f t="shared" si="3"/>
        <v/>
      </c>
      <c r="G17" s="20">
        <v>0</v>
      </c>
      <c r="H17" s="20">
        <f t="shared" si="1"/>
        <v>1570.8910000000001</v>
      </c>
      <c r="I17" s="19" t="str">
        <f t="shared" si="2"/>
        <v/>
      </c>
      <c r="J17" s="42"/>
      <c r="K17" s="43"/>
      <c r="L17" s="47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47"/>
    </row>
    <row r="19" spans="1:12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34</v>
      </c>
      <c r="K19" s="42" t="s">
        <v>35</v>
      </c>
      <c r="L19" s="47"/>
    </row>
    <row r="20" spans="1:12" ht="15.75">
      <c r="A20" s="28" t="str">
        <v>Stamford - BA West Stamford</v>
      </c>
      <c r="B20" s="29" t="str">
        <v>CT</v>
      </c>
      <c r="C20" s="24">
        <v>2252.6590000000001</v>
      </c>
      <c r="D20" s="13">
        <v>0</v>
      </c>
      <c r="E20" s="13">
        <f t="shared" si="4"/>
        <v>2252.6590000000001</v>
      </c>
      <c r="F20" s="14" t="str">
        <f t="shared" si="5"/>
        <v/>
      </c>
      <c r="G20" s="15">
        <v>0</v>
      </c>
      <c r="H20" s="15">
        <f t="shared" si="6"/>
        <v>2252.6590000000001</v>
      </c>
      <c r="I20" s="16" t="str">
        <f t="shared" si="7"/>
        <v/>
      </c>
      <c r="J20" s="41"/>
      <c r="K20" s="41"/>
      <c r="L20" s="47"/>
    </row>
    <row r="21" spans="1:12" ht="15.75">
      <c r="A21" s="30" t="str">
        <v>Hanover - BA Arundel Mills</v>
      </c>
      <c r="B21" s="31" t="str">
        <v>MD</v>
      </c>
      <c r="C21" s="11">
        <v>2978.5419999999999</v>
      </c>
      <c r="D21" s="18">
        <v>0</v>
      </c>
      <c r="E21" s="18">
        <f t="shared" si="4"/>
        <v>2978.5419999999999</v>
      </c>
      <c r="F21" s="19" t="str">
        <f t="shared" si="5"/>
        <v/>
      </c>
      <c r="G21" s="20">
        <v>0</v>
      </c>
      <c r="H21" s="20">
        <f t="shared" si="6"/>
        <v>2978.5419999999999</v>
      </c>
      <c r="I21" s="19" t="str">
        <f t="shared" si="7"/>
        <v/>
      </c>
      <c r="J21" s="42"/>
      <c r="K21" s="43"/>
      <c r="L21" s="47"/>
    </row>
    <row r="22" spans="1:12" ht="15.75">
      <c r="A22" s="28" t="str">
        <v>Glen Cove - BA Forest Ave</v>
      </c>
      <c r="B22" s="29" t="str">
        <v>NY</v>
      </c>
      <c r="C22" s="24">
        <v>0</v>
      </c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  <c r="L22" s="47"/>
    </row>
    <row r="23" spans="1:12" ht="15.75">
      <c r="A23" s="30" t="str">
        <v>Brooklyn - BA North 4th &amp; Berry</v>
      </c>
      <c r="B23" s="31" t="str">
        <v>NY</v>
      </c>
      <c r="C23" s="11">
        <v>3181.03</v>
      </c>
      <c r="D23" s="18">
        <v>0</v>
      </c>
      <c r="E23" s="18">
        <v>3181030</v>
      </c>
      <c r="F23" s="19" t="s">
        <v>36</v>
      </c>
      <c r="G23" s="20">
        <v>0</v>
      </c>
      <c r="H23" s="20">
        <v>3181030</v>
      </c>
      <c r="I23" s="19" t="str">
        <f t="shared" si="7"/>
        <v/>
      </c>
      <c r="J23" s="42"/>
      <c r="K23" s="43"/>
      <c r="L23" s="47"/>
    </row>
    <row r="24" spans="1:12" ht="15.75">
      <c r="A24" s="28" t="str">
        <v>Midlothian - BA Brandermill</v>
      </c>
      <c r="B24" s="29" t="str">
        <v>VA</v>
      </c>
      <c r="C24" s="24">
        <v>1714.2339999999999</v>
      </c>
      <c r="D24" s="13">
        <v>0</v>
      </c>
      <c r="E24" s="13">
        <f t="shared" si="4"/>
        <v>1714.2339999999999</v>
      </c>
      <c r="F24" s="14" t="str">
        <f t="shared" si="5"/>
        <v/>
      </c>
      <c r="G24" s="15">
        <v>0</v>
      </c>
      <c r="H24" s="15">
        <f t="shared" si="6"/>
        <v>1714.2339999999999</v>
      </c>
      <c r="I24" s="16" t="str">
        <f t="shared" si="7"/>
        <v/>
      </c>
      <c r="J24" s="41"/>
      <c r="K24" s="41"/>
      <c r="L24" s="47"/>
    </row>
    <row r="25" spans="1:12" ht="28.5">
      <c r="A25" s="30" t="str">
        <v>Lexington - BA North Park</v>
      </c>
      <c r="B25" s="31" t="str">
        <v>KY</v>
      </c>
      <c r="C25" s="11">
        <v>1547</v>
      </c>
      <c r="D25" s="18">
        <v>0</v>
      </c>
      <c r="E25" s="18">
        <f t="shared" si="4"/>
        <v>1547</v>
      </c>
      <c r="F25" s="19" t="str">
        <f t="shared" si="5"/>
        <v/>
      </c>
      <c r="G25" s="20">
        <v>0</v>
      </c>
      <c r="H25" s="20">
        <f t="shared" si="6"/>
        <v>1547</v>
      </c>
      <c r="I25" s="19" t="str">
        <f t="shared" si="7"/>
        <v/>
      </c>
      <c r="J25" s="42" t="s">
        <v>37</v>
      </c>
      <c r="K25" s="42" t="s">
        <v>38</v>
      </c>
      <c r="L25" s="47"/>
    </row>
    <row r="26" spans="1:12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2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2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15" activePane="bottomRight" state="frozen"/>
      <selection pane="bottomRight" activeCell="A26" sqref="A26:K27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43</v>
      </c>
      <c r="E1" s="62"/>
      <c r="F1" s="62"/>
      <c r="G1" s="60" t="s">
        <v>44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SUM(C4:C87)</f>
        <v>56006.408999999992</v>
      </c>
      <c r="D2" s="5">
        <f>SUM(D4:D87)</f>
        <v>0</v>
      </c>
      <c r="E2" s="5">
        <f>C2-D2</f>
        <v>56006.408999999992</v>
      </c>
      <c r="F2" s="6">
        <f>IFERROR(E2/D2, 0)</f>
        <v>0</v>
      </c>
      <c r="G2" s="5">
        <f>SUM(G4:G87)</f>
        <v>0</v>
      </c>
      <c r="H2" s="7">
        <f>C2-G2</f>
        <v>56006.408999999992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3284.1</v>
      </c>
      <c r="D4" s="13">
        <v>0</v>
      </c>
      <c r="E4" s="13">
        <f>IF(AND(ISNUMBER(C4),ISNUMBER(D4)), C4-D4, "")</f>
        <v>3284.1</v>
      </c>
      <c r="F4" s="14" t="str">
        <f>IFERROR(E4/D4, "")</f>
        <v/>
      </c>
      <c r="G4" s="15">
        <v>0</v>
      </c>
      <c r="H4" s="15">
        <f>IF(AND(ISNUMBER(C4),ISNUMBER(G4)), C4-G4, "")</f>
        <v>3284.1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1479.1959999999999</v>
      </c>
      <c r="D5" s="18">
        <v>0</v>
      </c>
      <c r="E5" s="18">
        <f t="shared" ref="E5:E17" si="0">IF(AND(ISNUMBER(C5),ISNUMBER(D5)), C5-D5, "")</f>
        <v>1479.1959999999999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1479.1959999999999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>
        <v>827.37300000000005</v>
      </c>
      <c r="D6" s="13">
        <v>0</v>
      </c>
      <c r="E6" s="13">
        <f t="shared" si="0"/>
        <v>827.37300000000005</v>
      </c>
      <c r="F6" s="14" t="str">
        <f t="shared" ref="F6:F17" si="3">IFERROR(E6/D6, "")</f>
        <v/>
      </c>
      <c r="G6" s="15">
        <v>0</v>
      </c>
      <c r="H6" s="15">
        <f t="shared" si="1"/>
        <v>827.37300000000005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1770</v>
      </c>
      <c r="D7" s="18">
        <v>0</v>
      </c>
      <c r="E7" s="18">
        <f t="shared" si="0"/>
        <v>1770</v>
      </c>
      <c r="F7" s="19" t="str">
        <f t="shared" si="3"/>
        <v/>
      </c>
      <c r="G7" s="20">
        <v>0</v>
      </c>
      <c r="H7" s="20">
        <f t="shared" si="1"/>
        <v>1770</v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>
        <v>2545.8000000000002</v>
      </c>
      <c r="D8" s="13">
        <v>0</v>
      </c>
      <c r="E8" s="13">
        <f t="shared" si="0"/>
        <v>2545.8000000000002</v>
      </c>
      <c r="F8" s="14" t="str">
        <f t="shared" si="3"/>
        <v/>
      </c>
      <c r="G8" s="15">
        <v>0</v>
      </c>
      <c r="H8" s="15">
        <f t="shared" si="1"/>
        <v>2545.8000000000002</v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>
        <v>2208.46</v>
      </c>
      <c r="D9" s="18">
        <v>0</v>
      </c>
      <c r="E9" s="18">
        <f t="shared" si="0"/>
        <v>2208.46</v>
      </c>
      <c r="F9" s="19" t="str">
        <f t="shared" si="3"/>
        <v/>
      </c>
      <c r="G9" s="20">
        <v>0</v>
      </c>
      <c r="H9" s="20">
        <f t="shared" si="1"/>
        <v>2208.46</v>
      </c>
      <c r="I9" s="19" t="str">
        <f t="shared" si="2"/>
        <v/>
      </c>
      <c r="J9" s="42" t="s">
        <v>45</v>
      </c>
      <c r="K9" s="54" t="s">
        <v>29</v>
      </c>
    </row>
    <row r="10" spans="1:11" ht="15.75">
      <c r="A10" s="28" t="str">
        <v>Cincinnati - BA Hyde Pk Plaza</v>
      </c>
      <c r="B10" s="29" t="str">
        <v>OH</v>
      </c>
      <c r="C10" s="24">
        <v>2472</v>
      </c>
      <c r="D10" s="13">
        <v>0</v>
      </c>
      <c r="E10" s="13">
        <f t="shared" si="0"/>
        <v>2472</v>
      </c>
      <c r="F10" s="14" t="str">
        <f t="shared" si="3"/>
        <v/>
      </c>
      <c r="G10" s="15">
        <v>0</v>
      </c>
      <c r="H10" s="15">
        <f t="shared" si="1"/>
        <v>2472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18516</v>
      </c>
      <c r="D11" s="18">
        <v>0</v>
      </c>
      <c r="E11" s="18">
        <f t="shared" si="0"/>
        <v>18516</v>
      </c>
      <c r="F11" s="19" t="str">
        <f t="shared" si="3"/>
        <v/>
      </c>
      <c r="G11" s="20">
        <v>0</v>
      </c>
      <c r="H11" s="20">
        <f t="shared" si="1"/>
        <v>18516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1192.77</v>
      </c>
      <c r="D12" s="13">
        <v>0</v>
      </c>
      <c r="E12" s="13">
        <f t="shared" si="0"/>
        <v>1192.77</v>
      </c>
      <c r="F12" s="14" t="str">
        <f t="shared" si="3"/>
        <v/>
      </c>
      <c r="G12" s="15">
        <v>0</v>
      </c>
      <c r="H12" s="15">
        <f t="shared" si="1"/>
        <v>1192.77</v>
      </c>
      <c r="I12" s="16" t="str">
        <f t="shared" si="2"/>
        <v/>
      </c>
      <c r="J12" s="41" t="s">
        <v>46</v>
      </c>
      <c r="K12" s="41" t="s">
        <v>47</v>
      </c>
    </row>
    <row r="13" spans="1:11" ht="15.75">
      <c r="A13" s="30" t="str">
        <v>Zionsville - BA</v>
      </c>
      <c r="B13" s="31" t="str">
        <v>IN</v>
      </c>
      <c r="C13" s="11">
        <v>3282.6</v>
      </c>
      <c r="D13" s="18">
        <v>0</v>
      </c>
      <c r="E13" s="18">
        <f t="shared" si="0"/>
        <v>3282.6</v>
      </c>
      <c r="F13" s="19" t="str">
        <f t="shared" si="3"/>
        <v/>
      </c>
      <c r="G13" s="20">
        <v>0</v>
      </c>
      <c r="H13" s="20">
        <f t="shared" si="1"/>
        <v>3282.6</v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>
        <v>1880.6</v>
      </c>
      <c r="D14" s="13">
        <v>0</v>
      </c>
      <c r="E14" s="13">
        <f t="shared" si="0"/>
        <v>1880.6</v>
      </c>
      <c r="F14" s="14" t="str">
        <f t="shared" si="3"/>
        <v/>
      </c>
      <c r="G14" s="15">
        <v>0</v>
      </c>
      <c r="H14" s="15">
        <f t="shared" si="1"/>
        <v>1880.6</v>
      </c>
      <c r="I14" s="16" t="str">
        <f t="shared" si="2"/>
        <v/>
      </c>
      <c r="J14" s="41"/>
      <c r="K14" s="41"/>
    </row>
    <row r="15" spans="1:11" ht="57">
      <c r="A15" s="30" t="str">
        <v>Columbus - BA Eastmoor</v>
      </c>
      <c r="B15" s="31" t="str">
        <v>OH</v>
      </c>
      <c r="C15" s="11">
        <v>3030.3</v>
      </c>
      <c r="D15" s="18">
        <v>0</v>
      </c>
      <c r="E15" s="18">
        <f t="shared" si="0"/>
        <v>3030.3</v>
      </c>
      <c r="F15" s="19" t="str">
        <f t="shared" si="3"/>
        <v/>
      </c>
      <c r="G15" s="20">
        <v>0</v>
      </c>
      <c r="H15" s="20">
        <f t="shared" si="1"/>
        <v>3030.3</v>
      </c>
      <c r="I15" s="19" t="str">
        <f t="shared" si="2"/>
        <v/>
      </c>
      <c r="J15" s="42" t="s">
        <v>48</v>
      </c>
      <c r="K15" s="54" t="s">
        <v>33</v>
      </c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2656.7</v>
      </c>
      <c r="D17" s="18">
        <v>0</v>
      </c>
      <c r="E17" s="18">
        <f t="shared" si="0"/>
        <v>2656.7</v>
      </c>
      <c r="F17" s="19" t="str">
        <f t="shared" si="3"/>
        <v/>
      </c>
      <c r="G17" s="20">
        <v>0</v>
      </c>
      <c r="H17" s="20">
        <f t="shared" si="1"/>
        <v>2656.7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5" si="4">IF(AND(ISNUMBER(C18),ISNUMBER(D18)), C18-D18, "")</f>
        <v>0</v>
      </c>
      <c r="F18" s="14" t="str">
        <f t="shared" ref="F18:F25" si="5">IFERROR(E18/D18, "")</f>
        <v/>
      </c>
      <c r="G18" s="15">
        <v>0</v>
      </c>
      <c r="H18" s="15">
        <f t="shared" ref="H18:H25" si="6">IF(AND(ISNUMBER(C18),ISNUMBER(G18)), C18-G18, "")</f>
        <v>0</v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49</v>
      </c>
      <c r="K19" s="43" t="s">
        <v>35</v>
      </c>
    </row>
    <row r="20" spans="1:11" ht="15.75">
      <c r="A20" s="28" t="str">
        <v>Stamford - BA West Stamford</v>
      </c>
      <c r="B20" s="29" t="str">
        <v>CT</v>
      </c>
      <c r="C20" s="24">
        <v>2171.71</v>
      </c>
      <c r="D20" s="13">
        <v>0</v>
      </c>
      <c r="E20" s="13">
        <f t="shared" si="4"/>
        <v>2171.71</v>
      </c>
      <c r="F20" s="14" t="str">
        <f t="shared" si="5"/>
        <v/>
      </c>
      <c r="G20" s="15">
        <v>0</v>
      </c>
      <c r="H20" s="15">
        <f t="shared" si="6"/>
        <v>2171.71</v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2676.7</v>
      </c>
      <c r="D21" s="18">
        <v>0</v>
      </c>
      <c r="E21" s="18">
        <f t="shared" si="4"/>
        <v>2676.7</v>
      </c>
      <c r="F21" s="19" t="str">
        <f t="shared" si="5"/>
        <v/>
      </c>
      <c r="G21" s="20">
        <v>0</v>
      </c>
      <c r="H21" s="20">
        <f t="shared" si="6"/>
        <v>2676.7</v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4"/>
        <v>0</v>
      </c>
      <c r="F22" s="14" t="str">
        <f t="shared" si="5"/>
        <v/>
      </c>
      <c r="G22" s="15">
        <v>0</v>
      </c>
      <c r="H22" s="15">
        <f t="shared" si="6"/>
        <v>0</v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3060.4</v>
      </c>
      <c r="D23" s="18">
        <v>0</v>
      </c>
      <c r="E23" s="18">
        <f t="shared" si="4"/>
        <v>3060.4</v>
      </c>
      <c r="F23" s="19" t="str">
        <f t="shared" si="5"/>
        <v/>
      </c>
      <c r="G23" s="20">
        <v>0</v>
      </c>
      <c r="H23" s="20">
        <f t="shared" si="6"/>
        <v>3060.4</v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>
        <v>1499.2</v>
      </c>
      <c r="D24" s="13">
        <v>0</v>
      </c>
      <c r="E24" s="13">
        <f t="shared" si="4"/>
        <v>1499.2</v>
      </c>
      <c r="F24" s="14" t="str">
        <f t="shared" si="5"/>
        <v/>
      </c>
      <c r="G24" s="15">
        <v>0</v>
      </c>
      <c r="H24" s="15">
        <f t="shared" si="6"/>
        <v>1499.2</v>
      </c>
      <c r="I24" s="16" t="str">
        <f t="shared" si="7"/>
        <v/>
      </c>
      <c r="J24" s="41"/>
      <c r="K24" s="41"/>
    </row>
    <row r="25" spans="1:11" ht="15.75">
      <c r="A25" s="30" t="str">
        <v>Lexington - BA North Park</v>
      </c>
      <c r="B25" s="31" t="str">
        <v>KY</v>
      </c>
      <c r="C25" s="11">
        <v>1452.5</v>
      </c>
      <c r="D25" s="18">
        <v>0</v>
      </c>
      <c r="E25" s="18">
        <f t="shared" si="4"/>
        <v>1452.5</v>
      </c>
      <c r="F25" s="19" t="str">
        <f t="shared" si="5"/>
        <v/>
      </c>
      <c r="G25" s="20">
        <v>0</v>
      </c>
      <c r="H25" s="20">
        <f t="shared" si="6"/>
        <v>1452.5</v>
      </c>
      <c r="I25" s="19" t="str">
        <f t="shared" si="7"/>
        <v/>
      </c>
      <c r="J25" s="42"/>
      <c r="K25" s="43"/>
    </row>
    <row r="26" spans="1:11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1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2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3.9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16" activePane="bottomRight" state="frozen"/>
      <selection pane="bottomRight" activeCell="A26" sqref="A26:XFD26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SUM(C4:C86)</f>
        <v>35283.397000000004</v>
      </c>
      <c r="D2" s="5">
        <f>SUM(D4:D86)</f>
        <v>0</v>
      </c>
      <c r="E2" s="5">
        <f>C2-D2</f>
        <v>35283.397000000004</v>
      </c>
      <c r="F2" s="6">
        <f>IFERROR(E2/D2, 0)</f>
        <v>0</v>
      </c>
      <c r="G2" s="5">
        <f>SUM(G4:G86)</f>
        <v>0</v>
      </c>
      <c r="H2" s="7">
        <f>C2-G2</f>
        <v>35283.397000000004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2795</v>
      </c>
      <c r="D4" s="13">
        <v>0</v>
      </c>
      <c r="E4" s="13">
        <f>IF(AND(ISNUMBER(C4),ISNUMBER(D4)), C4-D4, "")</f>
        <v>2795</v>
      </c>
      <c r="F4" s="14" t="str">
        <f>IFERROR(E4/D4, "")</f>
        <v/>
      </c>
      <c r="G4" s="15">
        <v>0</v>
      </c>
      <c r="H4" s="15">
        <f>IF(AND(ISNUMBER(C4),ISNUMBER(G4)), C4-G4, "")</f>
        <v>2795</v>
      </c>
      <c r="I4" s="16" t="str">
        <f>IFERROR(H4/G4, "")</f>
        <v/>
      </c>
      <c r="J4" s="41"/>
      <c r="K4" s="41"/>
    </row>
    <row r="5" spans="1:11" ht="28.5">
      <c r="A5" s="30" t="str">
        <v>Indianapolis - BA Speedway</v>
      </c>
      <c r="B5" s="31" t="str">
        <v>IN</v>
      </c>
      <c r="C5" s="11">
        <v>1488.7170000000001</v>
      </c>
      <c r="D5" s="18">
        <v>0</v>
      </c>
      <c r="E5" s="18">
        <f t="shared" ref="E5:E17" si="0">IF(AND(ISNUMBER(C5),ISNUMBER(D5)), C5-D5, "")</f>
        <v>1488.7170000000001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1488.7170000000001</v>
      </c>
      <c r="I5" s="19" t="str">
        <f t="shared" ref="I5:I17" si="2">IFERROR(H5/G5, "")</f>
        <v/>
      </c>
      <c r="J5" s="52" t="s">
        <v>52</v>
      </c>
      <c r="K5" s="46" t="s">
        <v>53</v>
      </c>
    </row>
    <row r="6" spans="1:11" ht="15.75">
      <c r="A6" s="28" t="str">
        <v>Greenwood - BA</v>
      </c>
      <c r="B6" s="29" t="str">
        <v>IN</v>
      </c>
      <c r="C6" s="24">
        <v>804.3</v>
      </c>
      <c r="D6" s="13">
        <v>0</v>
      </c>
      <c r="E6" s="13">
        <f t="shared" si="0"/>
        <v>804.3</v>
      </c>
      <c r="F6" s="14" t="str">
        <f t="shared" ref="F6:F17" si="3">IFERROR(E6/D6, "")</f>
        <v/>
      </c>
      <c r="G6" s="15">
        <v>0</v>
      </c>
      <c r="H6" s="15">
        <f t="shared" si="1"/>
        <v>804.3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1754.3</v>
      </c>
      <c r="D7" s="18">
        <v>0</v>
      </c>
      <c r="E7" s="18">
        <f t="shared" si="0"/>
        <v>1754.3</v>
      </c>
      <c r="F7" s="19" t="str">
        <f t="shared" si="3"/>
        <v/>
      </c>
      <c r="G7" s="20">
        <v>0</v>
      </c>
      <c r="H7" s="20">
        <f t="shared" si="1"/>
        <v>1754.3</v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>
        <v>2516.21</v>
      </c>
      <c r="D8" s="13">
        <v>0</v>
      </c>
      <c r="E8" s="13">
        <f t="shared" si="0"/>
        <v>2516.21</v>
      </c>
      <c r="F8" s="14" t="str">
        <f t="shared" si="3"/>
        <v/>
      </c>
      <c r="G8" s="15">
        <v>0</v>
      </c>
      <c r="H8" s="15">
        <f t="shared" si="1"/>
        <v>2516.21</v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>
        <v>2004.7</v>
      </c>
      <c r="D9" s="18">
        <v>0</v>
      </c>
      <c r="E9" s="18">
        <f t="shared" si="0"/>
        <v>2004.7</v>
      </c>
      <c r="F9" s="19" t="str">
        <f t="shared" si="3"/>
        <v/>
      </c>
      <c r="G9" s="20">
        <v>0</v>
      </c>
      <c r="H9" s="20">
        <f t="shared" si="1"/>
        <v>2004.7</v>
      </c>
      <c r="I9" s="19" t="str">
        <f t="shared" si="2"/>
        <v/>
      </c>
      <c r="J9" s="42" t="s">
        <v>54</v>
      </c>
      <c r="K9" s="43" t="s">
        <v>29</v>
      </c>
    </row>
    <row r="10" spans="1:11" ht="15.75">
      <c r="A10" s="28" t="str">
        <v>Cincinnati - BA Hyde Pk Plaza</v>
      </c>
      <c r="B10" s="29" t="str">
        <v>OH</v>
      </c>
      <c r="C10" s="24">
        <v>2431.86</v>
      </c>
      <c r="D10" s="13">
        <v>0</v>
      </c>
      <c r="E10" s="13">
        <f t="shared" si="0"/>
        <v>2431.86</v>
      </c>
      <c r="F10" s="14" t="str">
        <f t="shared" si="3"/>
        <v/>
      </c>
      <c r="G10" s="15">
        <v>0</v>
      </c>
      <c r="H10" s="15">
        <f t="shared" si="1"/>
        <v>2431.86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1830.7</v>
      </c>
      <c r="D11" s="18">
        <v>0</v>
      </c>
      <c r="E11" s="18">
        <f t="shared" si="0"/>
        <v>1830.7</v>
      </c>
      <c r="F11" s="19" t="str">
        <f t="shared" si="3"/>
        <v/>
      </c>
      <c r="G11" s="20">
        <v>0</v>
      </c>
      <c r="H11" s="20">
        <f t="shared" si="1"/>
        <v>1830.7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 t="s">
        <v>46</v>
      </c>
      <c r="K12" s="41" t="s">
        <v>47</v>
      </c>
    </row>
    <row r="13" spans="1:11" ht="15.75">
      <c r="A13" s="30" t="str">
        <v>Zionsville - BA</v>
      </c>
      <c r="B13" s="31" t="str">
        <v>IN</v>
      </c>
      <c r="C13" s="11">
        <v>3283.8</v>
      </c>
      <c r="D13" s="18">
        <v>0</v>
      </c>
      <c r="E13" s="18">
        <f t="shared" si="0"/>
        <v>3283.8</v>
      </c>
      <c r="F13" s="19" t="str">
        <f t="shared" si="3"/>
        <v/>
      </c>
      <c r="G13" s="20">
        <v>0</v>
      </c>
      <c r="H13" s="20">
        <f t="shared" si="1"/>
        <v>3283.8</v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>
        <v>1575</v>
      </c>
      <c r="D14" s="13">
        <v>0</v>
      </c>
      <c r="E14" s="13">
        <f t="shared" si="0"/>
        <v>1575</v>
      </c>
      <c r="F14" s="14" t="str">
        <f t="shared" si="3"/>
        <v/>
      </c>
      <c r="G14" s="15">
        <v>0</v>
      </c>
      <c r="H14" s="15">
        <f t="shared" si="1"/>
        <v>1575</v>
      </c>
      <c r="I14" s="16" t="str">
        <f t="shared" si="2"/>
        <v/>
      </c>
      <c r="J14" s="41"/>
      <c r="K14" s="41"/>
    </row>
    <row r="15" spans="1:11" ht="57">
      <c r="A15" s="30" t="str">
        <v>Columbus - BA Eastmoor</v>
      </c>
      <c r="B15" s="31" t="str">
        <v>OH</v>
      </c>
      <c r="C15" s="11">
        <v>2812.68</v>
      </c>
      <c r="D15" s="18">
        <v>0</v>
      </c>
      <c r="E15" s="18">
        <f t="shared" si="0"/>
        <v>2812.68</v>
      </c>
      <c r="F15" s="19" t="str">
        <f t="shared" si="3"/>
        <v/>
      </c>
      <c r="G15" s="20">
        <v>0</v>
      </c>
      <c r="H15" s="20">
        <f t="shared" si="1"/>
        <v>2812.68</v>
      </c>
      <c r="I15" s="19" t="str">
        <f t="shared" si="2"/>
        <v/>
      </c>
      <c r="J15" s="42" t="s">
        <v>55</v>
      </c>
      <c r="K15" s="53" t="s">
        <v>33</v>
      </c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2337.23</v>
      </c>
      <c r="D17" s="18">
        <v>0</v>
      </c>
      <c r="E17" s="18">
        <f t="shared" si="0"/>
        <v>2337.23</v>
      </c>
      <c r="F17" s="19" t="str">
        <f t="shared" si="3"/>
        <v/>
      </c>
      <c r="G17" s="20">
        <v>0</v>
      </c>
      <c r="H17" s="20">
        <f t="shared" si="1"/>
        <v>2337.23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5" si="4">IF(AND(ISNUMBER(C18),ISNUMBER(D18)), C18-D18, "")</f>
        <v>0</v>
      </c>
      <c r="F18" s="14" t="str">
        <f t="shared" ref="F18:F25" si="5">IFERROR(E18/D18, "")</f>
        <v/>
      </c>
      <c r="G18" s="15">
        <v>0</v>
      </c>
      <c r="H18" s="15">
        <f t="shared" ref="H18:H25" si="6">IF(AND(ISNUMBER(C18),ISNUMBER(G18)), C18-G18, "")</f>
        <v>0</v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49</v>
      </c>
      <c r="K19" s="43" t="s">
        <v>35</v>
      </c>
    </row>
    <row r="20" spans="1:11" ht="15.75">
      <c r="A20" s="28" t="str">
        <v>Stamford - BA West Stamford</v>
      </c>
      <c r="B20" s="29" t="str">
        <v>CT</v>
      </c>
      <c r="C20" s="24">
        <v>1876.2</v>
      </c>
      <c r="D20" s="13">
        <v>0</v>
      </c>
      <c r="E20" s="13">
        <f t="shared" si="4"/>
        <v>1876.2</v>
      </c>
      <c r="F20" s="14" t="str">
        <f t="shared" si="5"/>
        <v/>
      </c>
      <c r="G20" s="15">
        <v>0</v>
      </c>
      <c r="H20" s="15">
        <f t="shared" si="6"/>
        <v>1876.2</v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2457.9</v>
      </c>
      <c r="D21" s="18">
        <v>0</v>
      </c>
      <c r="E21" s="18">
        <f t="shared" si="4"/>
        <v>2457.9</v>
      </c>
      <c r="F21" s="19" t="str">
        <f t="shared" si="5"/>
        <v/>
      </c>
      <c r="G21" s="20">
        <v>0</v>
      </c>
      <c r="H21" s="20">
        <f t="shared" si="6"/>
        <v>2457.9</v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4"/>
        <v>0</v>
      </c>
      <c r="F22" s="14" t="str">
        <f t="shared" si="5"/>
        <v/>
      </c>
      <c r="G22" s="15">
        <v>0</v>
      </c>
      <c r="H22" s="15">
        <f t="shared" si="6"/>
        <v>0</v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2603.3000000000002</v>
      </c>
      <c r="D23" s="18">
        <v>0</v>
      </c>
      <c r="E23" s="18">
        <f t="shared" si="4"/>
        <v>2603.3000000000002</v>
      </c>
      <c r="F23" s="19" t="str">
        <f t="shared" si="5"/>
        <v/>
      </c>
      <c r="G23" s="20">
        <v>0</v>
      </c>
      <c r="H23" s="20">
        <f t="shared" si="6"/>
        <v>2603.3000000000002</v>
      </c>
      <c r="I23" s="19" t="str">
        <f t="shared" si="7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>
        <v>1500.6</v>
      </c>
      <c r="D24" s="13">
        <v>0</v>
      </c>
      <c r="E24" s="13">
        <f t="shared" si="4"/>
        <v>1500.6</v>
      </c>
      <c r="F24" s="14" t="str">
        <f t="shared" si="5"/>
        <v/>
      </c>
      <c r="G24" s="15">
        <v>0</v>
      </c>
      <c r="H24" s="15">
        <f t="shared" si="6"/>
        <v>1500.6</v>
      </c>
      <c r="I24" s="16" t="str">
        <f t="shared" si="7"/>
        <v/>
      </c>
      <c r="J24" s="41" t="s">
        <v>56</v>
      </c>
      <c r="K24" s="41" t="s">
        <v>57</v>
      </c>
    </row>
    <row r="25" spans="1:11" ht="15.75">
      <c r="A25" s="30" t="str">
        <v>Lexington - BA North Park</v>
      </c>
      <c r="B25" s="31" t="str">
        <v>KY</v>
      </c>
      <c r="C25" s="11">
        <v>1210.9000000000001</v>
      </c>
      <c r="D25" s="18">
        <v>0</v>
      </c>
      <c r="E25" s="18">
        <f t="shared" si="4"/>
        <v>1210.9000000000001</v>
      </c>
      <c r="F25" s="19" t="str">
        <f t="shared" si="5"/>
        <v/>
      </c>
      <c r="G25" s="20">
        <v>0</v>
      </c>
      <c r="H25" s="20">
        <f t="shared" si="6"/>
        <v>1210.9000000000001</v>
      </c>
      <c r="I25" s="19" t="str">
        <f t="shared" si="7"/>
        <v/>
      </c>
      <c r="J25" s="42"/>
      <c r="K25" s="43"/>
    </row>
    <row r="26" spans="1:11" ht="15.75">
      <c r="A26" s="12" t="str">
        <v>Coventry - BA ATM</v>
      </c>
      <c r="B26" s="9" t="str">
        <v>RI</v>
      </c>
      <c r="C26" s="24"/>
      <c r="D26" s="13"/>
      <c r="E26" s="13"/>
      <c r="F26" s="14"/>
      <c r="G26" s="15"/>
      <c r="H26" s="15"/>
      <c r="I26" s="16"/>
    </row>
    <row r="27" spans="1:11" ht="15.75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xSplit="2" ySplit="3" topLeftCell="C10" activePane="bottomRight" state="frozen"/>
      <selection pane="bottomRight" activeCell="C19" sqref="C19:D1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58</v>
      </c>
      <c r="E1" s="62"/>
      <c r="F1" s="62"/>
      <c r="G1" s="60" t="s">
        <v>59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SUM(C4:C85)</f>
        <v>27988.214000000004</v>
      </c>
      <c r="D2" s="5">
        <f>SUM(D4:D85)</f>
        <v>0</v>
      </c>
      <c r="E2" s="5">
        <f>C2-D2</f>
        <v>27988.214000000004</v>
      </c>
      <c r="F2" s="6">
        <f>IFERROR(E2/D2, 0)</f>
        <v>0</v>
      </c>
      <c r="G2" s="5">
        <f>SUM(G4:G85)</f>
        <v>0</v>
      </c>
      <c r="H2" s="7">
        <f>C2-G2</f>
        <v>27988.214000000004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2420.8000000000002</v>
      </c>
      <c r="D4" s="13">
        <v>0</v>
      </c>
      <c r="E4" s="13">
        <f>IF(AND(ISNUMBER(C4),ISNUMBER(D4)), C4-D4, "")</f>
        <v>2420.8000000000002</v>
      </c>
      <c r="F4" s="14" t="str">
        <f>IFERROR(E4/D4, "")</f>
        <v/>
      </c>
      <c r="G4" s="15">
        <v>0</v>
      </c>
      <c r="H4" s="15">
        <f>IF(AND(ISNUMBER(C4),ISNUMBER(G4)), C4-G4, "")</f>
        <v>2420.8000000000002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1168.961</v>
      </c>
      <c r="D5" s="18">
        <v>0</v>
      </c>
      <c r="E5" s="18">
        <f t="shared" ref="E5:E17" si="0">IF(AND(ISNUMBER(C5),ISNUMBER(D5)), C5-D5, "")</f>
        <v>1168.961</v>
      </c>
      <c r="F5" s="19" t="str">
        <f>IFERROR(E5/D5, "")</f>
        <v/>
      </c>
      <c r="G5" s="20">
        <v>0</v>
      </c>
      <c r="H5" s="20">
        <f t="shared" ref="H5:H17" si="1">IF(AND(ISNUMBER(C5),ISNUMBER(G5)), C5-G5, "")</f>
        <v>1168.961</v>
      </c>
      <c r="I5" s="19" t="str">
        <f t="shared" ref="I5:I17" si="2">IFERROR(H5/G5, "")</f>
        <v/>
      </c>
      <c r="J5" s="42" t="s">
        <v>60</v>
      </c>
      <c r="K5" s="42" t="s">
        <v>53</v>
      </c>
    </row>
    <row r="6" spans="1:11" ht="15.75">
      <c r="A6" s="28" t="str">
        <v>Greenwood - BA</v>
      </c>
      <c r="B6" s="29" t="str">
        <v>IN</v>
      </c>
      <c r="C6" s="24">
        <v>622</v>
      </c>
      <c r="D6" s="13">
        <v>0</v>
      </c>
      <c r="E6" s="13">
        <f t="shared" si="0"/>
        <v>622</v>
      </c>
      <c r="F6" s="14" t="str">
        <f t="shared" ref="F6:F17" si="3">IFERROR(E6/D6, "")</f>
        <v/>
      </c>
      <c r="G6" s="15">
        <v>0</v>
      </c>
      <c r="H6" s="15">
        <f t="shared" si="1"/>
        <v>622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1385.211</v>
      </c>
      <c r="D7" s="18">
        <v>0</v>
      </c>
      <c r="E7" s="18">
        <f t="shared" si="0"/>
        <v>1385.211</v>
      </c>
      <c r="F7" s="19" t="str">
        <f t="shared" si="3"/>
        <v/>
      </c>
      <c r="G7" s="20">
        <v>0</v>
      </c>
      <c r="H7" s="20">
        <f t="shared" si="1"/>
        <v>1385.211</v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>
        <v>1991</v>
      </c>
      <c r="D8" s="13">
        <v>0</v>
      </c>
      <c r="E8" s="13">
        <f t="shared" si="0"/>
        <v>1991</v>
      </c>
      <c r="F8" s="14" t="str">
        <f t="shared" si="3"/>
        <v/>
      </c>
      <c r="G8" s="15">
        <v>0</v>
      </c>
      <c r="H8" s="15">
        <f t="shared" si="1"/>
        <v>1991</v>
      </c>
      <c r="I8" s="16" t="str">
        <f t="shared" si="2"/>
        <v/>
      </c>
      <c r="J8" s="41"/>
      <c r="K8" s="41"/>
    </row>
    <row r="9" spans="1:11" ht="28.5">
      <c r="A9" s="30" t="str">
        <v>Columbus - BA Harrisburg Pike</v>
      </c>
      <c r="B9" s="31" t="str">
        <v>OH</v>
      </c>
      <c r="C9" s="11">
        <v>1627.5889999999999</v>
      </c>
      <c r="D9" s="18">
        <v>0</v>
      </c>
      <c r="E9" s="18">
        <f t="shared" si="0"/>
        <v>1627.5889999999999</v>
      </c>
      <c r="F9" s="19" t="str">
        <f t="shared" si="3"/>
        <v/>
      </c>
      <c r="G9" s="20">
        <v>0</v>
      </c>
      <c r="H9" s="20">
        <f t="shared" si="1"/>
        <v>1627.5889999999999</v>
      </c>
      <c r="I9" s="19" t="str">
        <f t="shared" si="2"/>
        <v/>
      </c>
      <c r="J9" s="42" t="s">
        <v>61</v>
      </c>
      <c r="K9" s="43" t="s">
        <v>29</v>
      </c>
    </row>
    <row r="10" spans="1:11" ht="15.75">
      <c r="A10" s="28" t="str">
        <v>Cincinnati - BA Hyde Pk Plaza</v>
      </c>
      <c r="B10" s="29" t="str">
        <v>OH</v>
      </c>
      <c r="C10" s="24">
        <v>1937.9</v>
      </c>
      <c r="D10" s="13">
        <v>0</v>
      </c>
      <c r="E10" s="13">
        <f t="shared" si="0"/>
        <v>1937.9</v>
      </c>
      <c r="F10" s="14" t="str">
        <f t="shared" si="3"/>
        <v/>
      </c>
      <c r="G10" s="15">
        <v>0</v>
      </c>
      <c r="H10" s="15">
        <f t="shared" si="1"/>
        <v>1937.9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1480.9860000000001</v>
      </c>
      <c r="D11" s="18">
        <v>0</v>
      </c>
      <c r="E11" s="18">
        <f t="shared" si="0"/>
        <v>1480.9860000000001</v>
      </c>
      <c r="F11" s="19" t="str">
        <f t="shared" si="3"/>
        <v/>
      </c>
      <c r="G11" s="20">
        <v>0</v>
      </c>
      <c r="H11" s="20">
        <f t="shared" si="1"/>
        <v>1480.9860000000001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0</v>
      </c>
      <c r="D12" s="13">
        <v>0</v>
      </c>
      <c r="E12" s="13">
        <f t="shared" si="0"/>
        <v>0</v>
      </c>
      <c r="F12" s="14" t="str">
        <f t="shared" si="3"/>
        <v/>
      </c>
      <c r="G12" s="15">
        <v>0</v>
      </c>
      <c r="H12" s="15">
        <f t="shared" si="1"/>
        <v>0</v>
      </c>
      <c r="I12" s="16" t="str">
        <f t="shared" si="2"/>
        <v/>
      </c>
      <c r="J12" s="41" t="s">
        <v>46</v>
      </c>
      <c r="K12" s="41" t="s">
        <v>47</v>
      </c>
    </row>
    <row r="13" spans="1:11" ht="15.75">
      <c r="A13" s="30" t="str">
        <v>Zionsville - BA</v>
      </c>
      <c r="B13" s="31" t="str">
        <v>IN</v>
      </c>
      <c r="C13" s="11">
        <v>2573</v>
      </c>
      <c r="D13" s="18">
        <v>0</v>
      </c>
      <c r="E13" s="18">
        <f t="shared" si="0"/>
        <v>2573</v>
      </c>
      <c r="F13" s="19" t="str">
        <f t="shared" si="3"/>
        <v/>
      </c>
      <c r="G13" s="20">
        <v>0</v>
      </c>
      <c r="H13" s="20">
        <f t="shared" si="1"/>
        <v>2573</v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>
        <v>1371.8</v>
      </c>
      <c r="D14" s="13">
        <v>0</v>
      </c>
      <c r="E14" s="13">
        <f t="shared" si="0"/>
        <v>1371.8</v>
      </c>
      <c r="F14" s="14" t="str">
        <f t="shared" si="3"/>
        <v/>
      </c>
      <c r="G14" s="15">
        <v>0</v>
      </c>
      <c r="H14" s="15">
        <f t="shared" si="1"/>
        <v>1371.8</v>
      </c>
      <c r="I14" s="16" t="str">
        <f t="shared" si="2"/>
        <v/>
      </c>
      <c r="J14" s="41"/>
      <c r="K14" s="41"/>
    </row>
    <row r="15" spans="1:11" ht="71.25">
      <c r="A15" s="30" t="str">
        <v>Columbus - BA Eastmoor</v>
      </c>
      <c r="B15" s="31" t="str">
        <v>OH</v>
      </c>
      <c r="C15" s="11">
        <v>2366.6</v>
      </c>
      <c r="D15" s="18">
        <v>0</v>
      </c>
      <c r="E15" s="18">
        <f t="shared" si="0"/>
        <v>2366.6</v>
      </c>
      <c r="F15" s="19" t="str">
        <f t="shared" si="3"/>
        <v/>
      </c>
      <c r="G15" s="20">
        <v>0</v>
      </c>
      <c r="H15" s="20">
        <f t="shared" si="1"/>
        <v>2366.6</v>
      </c>
      <c r="I15" s="19" t="str">
        <f t="shared" si="2"/>
        <v/>
      </c>
      <c r="J15" s="42" t="s">
        <v>62</v>
      </c>
      <c r="K15" s="54" t="s">
        <v>33</v>
      </c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2032.86</v>
      </c>
      <c r="D17" s="18">
        <v>0</v>
      </c>
      <c r="E17" s="18">
        <f t="shared" si="0"/>
        <v>2032.86</v>
      </c>
      <c r="F17" s="19" t="str">
        <f t="shared" si="3"/>
        <v/>
      </c>
      <c r="G17" s="20">
        <v>0</v>
      </c>
      <c r="H17" s="20">
        <f t="shared" si="1"/>
        <v>2032.86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5" si="4">IF(AND(ISNUMBER(C18),ISNUMBER(D18)), C18-D18, "")</f>
        <v>0</v>
      </c>
      <c r="F18" s="14" t="str">
        <f t="shared" ref="F18:F25" si="5">IFERROR(E18/D18, "")</f>
        <v/>
      </c>
      <c r="G18" s="15">
        <v>0</v>
      </c>
      <c r="H18" s="15">
        <f t="shared" ref="H18:H25" si="6">IF(AND(ISNUMBER(C18),ISNUMBER(G18)), C18-G18, "")</f>
        <v>0</v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0</v>
      </c>
      <c r="D19" s="18">
        <v>0</v>
      </c>
      <c r="E19" s="18">
        <f t="shared" si="4"/>
        <v>0</v>
      </c>
      <c r="F19" s="19" t="str">
        <f t="shared" si="5"/>
        <v/>
      </c>
      <c r="G19" s="20">
        <v>0</v>
      </c>
      <c r="H19" s="20">
        <f t="shared" si="6"/>
        <v>0</v>
      </c>
      <c r="I19" s="19" t="str">
        <f t="shared" si="7"/>
        <v/>
      </c>
      <c r="J19" s="42" t="s">
        <v>49</v>
      </c>
      <c r="K19" s="43" t="s">
        <v>35</v>
      </c>
    </row>
    <row r="20" spans="1:11" ht="15.75">
      <c r="A20" s="28" t="str">
        <v>Stamford - BA West Stamford</v>
      </c>
      <c r="B20" s="29" t="str">
        <v>CT</v>
      </c>
      <c r="C20" s="24">
        <v>1579.4069999999999</v>
      </c>
      <c r="D20" s="13">
        <v>0</v>
      </c>
      <c r="E20" s="13">
        <f t="shared" si="4"/>
        <v>1579.4069999999999</v>
      </c>
      <c r="F20" s="14" t="str">
        <f t="shared" si="5"/>
        <v/>
      </c>
      <c r="G20" s="15">
        <v>0</v>
      </c>
      <c r="H20" s="15">
        <f t="shared" si="6"/>
        <v>1579.4069999999999</v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1733.9</v>
      </c>
      <c r="D21" s="18">
        <v>0</v>
      </c>
      <c r="E21" s="18">
        <f t="shared" si="4"/>
        <v>1733.9</v>
      </c>
      <c r="F21" s="19" t="str">
        <f t="shared" si="5"/>
        <v/>
      </c>
      <c r="G21" s="20">
        <v>0</v>
      </c>
      <c r="H21" s="20">
        <f t="shared" si="6"/>
        <v>1733.9</v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4"/>
        <v>0</v>
      </c>
      <c r="F22" s="14" t="str">
        <f t="shared" si="5"/>
        <v/>
      </c>
      <c r="G22" s="15">
        <v>0</v>
      </c>
      <c r="H22" s="15">
        <f t="shared" si="6"/>
        <v>0</v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2090.4</v>
      </c>
      <c r="D23" s="18">
        <v>0</v>
      </c>
      <c r="E23" s="18">
        <f t="shared" si="4"/>
        <v>2090.4</v>
      </c>
      <c r="F23" s="19" t="str">
        <f t="shared" si="5"/>
        <v/>
      </c>
      <c r="G23" s="20">
        <v>0</v>
      </c>
      <c r="H23" s="20">
        <f t="shared" si="6"/>
        <v>2090.4</v>
      </c>
      <c r="I23" s="19" t="str">
        <f t="shared" si="7"/>
        <v/>
      </c>
      <c r="J23" s="42" t="s">
        <v>63</v>
      </c>
      <c r="K23" s="43" t="s">
        <v>64</v>
      </c>
    </row>
    <row r="24" spans="1:11" ht="15.75">
      <c r="A24" s="28" t="str">
        <v>Midlothian - BA Brandermill</v>
      </c>
      <c r="B24" s="29" t="str">
        <v>VA</v>
      </c>
      <c r="C24" s="24">
        <v>1097.8</v>
      </c>
      <c r="D24" s="13">
        <v>0</v>
      </c>
      <c r="E24" s="13">
        <f t="shared" si="4"/>
        <v>1097.8</v>
      </c>
      <c r="F24" s="14" t="str">
        <f t="shared" si="5"/>
        <v/>
      </c>
      <c r="G24" s="15">
        <v>0</v>
      </c>
      <c r="H24" s="15">
        <f t="shared" si="6"/>
        <v>1097.8</v>
      </c>
      <c r="I24" s="16" t="str">
        <f t="shared" si="7"/>
        <v/>
      </c>
      <c r="J24" s="41" t="s">
        <v>56</v>
      </c>
      <c r="K24" s="41" t="s">
        <v>57</v>
      </c>
    </row>
    <row r="25" spans="1:11" ht="15.75">
      <c r="A25" s="30" t="str">
        <v>Lexington - BA North Park</v>
      </c>
      <c r="B25" s="31" t="str">
        <v>KY</v>
      </c>
      <c r="C25" s="11">
        <v>508</v>
      </c>
      <c r="D25" s="18">
        <v>0</v>
      </c>
      <c r="E25" s="18">
        <f t="shared" si="4"/>
        <v>508</v>
      </c>
      <c r="F25" s="19" t="str">
        <f t="shared" si="5"/>
        <v/>
      </c>
      <c r="G25" s="20">
        <v>0</v>
      </c>
      <c r="H25" s="20">
        <f t="shared" si="6"/>
        <v>508</v>
      </c>
      <c r="I25" s="19" t="str">
        <f t="shared" si="7"/>
        <v/>
      </c>
      <c r="J25" s="42" t="s">
        <v>65</v>
      </c>
      <c r="K25" s="43" t="s">
        <v>38</v>
      </c>
    </row>
    <row r="26" spans="1:11" ht="15.75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80" zoomScaleNormal="80" workbookViewId="0">
      <pane xSplit="2" ySplit="3" topLeftCell="C4" activePane="bottomRight" state="frozen"/>
      <selection pane="bottomRight" activeCell="J31" sqref="J3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66</v>
      </c>
      <c r="E1" s="62"/>
      <c r="F1" s="62"/>
      <c r="G1" s="60" t="s">
        <v>67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SUM(C4:C85)</f>
        <v>30455.24</v>
      </c>
      <c r="D2" s="5">
        <f>SUM(D4:D85)</f>
        <v>0</v>
      </c>
      <c r="E2" s="5">
        <f>C2-D2</f>
        <v>30455.24</v>
      </c>
      <c r="F2" s="6">
        <f>IFERROR(E2/D2, 0)</f>
        <v>0</v>
      </c>
      <c r="G2" s="5">
        <f>SUM(G4:G85)</f>
        <v>0</v>
      </c>
      <c r="H2" s="7">
        <f>C2-G2</f>
        <v>30455.24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9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2167.9789999999998</v>
      </c>
      <c r="D4" s="13">
        <v>0</v>
      </c>
      <c r="E4" s="13">
        <f>IF(AND(ISNUMBER(C4),ISNUMBER(D4)), C4-D4, "")</f>
        <v>2167.9789999999998</v>
      </c>
      <c r="F4" s="14" t="str">
        <f>IFERROR(E4/D4, "")</f>
        <v/>
      </c>
      <c r="G4" s="15">
        <v>0</v>
      </c>
      <c r="H4" s="15">
        <f>IF(AND(ISNUMBER(C4),ISNUMBER(G4)), C4-G4, "")</f>
        <v>2167.9789999999998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1347.91</v>
      </c>
      <c r="D5" s="18">
        <v>0</v>
      </c>
      <c r="E5" s="18">
        <f t="shared" ref="E5:E27" si="0">IF(AND(ISNUMBER(C5),ISNUMBER(D5)), C5-D5, "")</f>
        <v>1347.91</v>
      </c>
      <c r="F5" s="19" t="str">
        <f>IFERROR(E5/D5, "")</f>
        <v/>
      </c>
      <c r="G5" s="20">
        <v>0</v>
      </c>
      <c r="H5" s="20">
        <f t="shared" ref="H5:H27" si="1">IF(AND(ISNUMBER(C5),ISNUMBER(G5)), C5-G5, "")</f>
        <v>1347.91</v>
      </c>
      <c r="I5" s="19" t="str">
        <f t="shared" ref="I5:I17" si="2">IFERROR(H5/G5, "")</f>
        <v/>
      </c>
      <c r="J5" s="42" t="s">
        <v>68</v>
      </c>
      <c r="K5" s="42" t="s">
        <v>53</v>
      </c>
    </row>
    <row r="6" spans="1:11" ht="15.75">
      <c r="A6" s="28" t="str">
        <v>Greenwood - BA</v>
      </c>
      <c r="B6" s="29" t="str">
        <v>IN</v>
      </c>
      <c r="C6" s="24">
        <v>574.87</v>
      </c>
      <c r="D6" s="13">
        <v>0</v>
      </c>
      <c r="E6" s="13">
        <f t="shared" si="0"/>
        <v>574.87</v>
      </c>
      <c r="F6" s="14" t="str">
        <f t="shared" ref="F6:F17" si="3">IFERROR(E6/D6, "")</f>
        <v/>
      </c>
      <c r="G6" s="15">
        <v>0</v>
      </c>
      <c r="H6" s="15">
        <f t="shared" si="1"/>
        <v>574.87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1369</v>
      </c>
      <c r="D7" s="18">
        <v>0</v>
      </c>
      <c r="E7" s="18">
        <f t="shared" si="0"/>
        <v>1369</v>
      </c>
      <c r="F7" s="19" t="str">
        <f t="shared" si="3"/>
        <v/>
      </c>
      <c r="G7" s="20">
        <v>0</v>
      </c>
      <c r="H7" s="20">
        <f t="shared" si="1"/>
        <v>1369</v>
      </c>
      <c r="I7" s="19" t="str">
        <f t="shared" si="2"/>
        <v/>
      </c>
      <c r="J7" s="42"/>
      <c r="K7" s="42"/>
    </row>
    <row r="8" spans="1:11" ht="15.75">
      <c r="A8" s="28" t="str">
        <v>Cincinnati - BA MLK and Burnet</v>
      </c>
      <c r="B8" s="29" t="str">
        <v>OH</v>
      </c>
      <c r="C8" s="24">
        <v>1995.31</v>
      </c>
      <c r="D8" s="13">
        <v>0</v>
      </c>
      <c r="E8" s="13">
        <f t="shared" si="0"/>
        <v>1995.31</v>
      </c>
      <c r="F8" s="14" t="str">
        <f t="shared" si="3"/>
        <v/>
      </c>
      <c r="G8" s="15">
        <v>0</v>
      </c>
      <c r="H8" s="15">
        <f t="shared" si="1"/>
        <v>1995.31</v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>
        <v>1521.79</v>
      </c>
      <c r="D9" s="18">
        <v>0</v>
      </c>
      <c r="E9" s="18">
        <f t="shared" si="0"/>
        <v>1521.79</v>
      </c>
      <c r="F9" s="19" t="str">
        <f t="shared" si="3"/>
        <v/>
      </c>
      <c r="G9" s="20">
        <v>0</v>
      </c>
      <c r="H9" s="20">
        <f t="shared" si="1"/>
        <v>1521.79</v>
      </c>
      <c r="I9" s="19" t="str">
        <f t="shared" si="2"/>
        <v/>
      </c>
      <c r="J9" s="42"/>
      <c r="K9" s="42"/>
    </row>
    <row r="10" spans="1:11" ht="15.75">
      <c r="A10" s="28" t="str">
        <v>Cincinnati - BA Hyde Pk Plaza</v>
      </c>
      <c r="B10" s="29" t="str">
        <v>OH</v>
      </c>
      <c r="C10" s="24">
        <v>1949.95</v>
      </c>
      <c r="D10" s="13">
        <v>0</v>
      </c>
      <c r="E10" s="13">
        <f t="shared" si="0"/>
        <v>1949.95</v>
      </c>
      <c r="F10" s="14" t="str">
        <f t="shared" si="3"/>
        <v/>
      </c>
      <c r="G10" s="15">
        <v>0</v>
      </c>
      <c r="H10" s="15">
        <f t="shared" si="1"/>
        <v>1949.95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1474.34</v>
      </c>
      <c r="D11" s="18">
        <v>0</v>
      </c>
      <c r="E11" s="18">
        <f t="shared" si="0"/>
        <v>1474.34</v>
      </c>
      <c r="F11" s="19" t="str">
        <f t="shared" si="3"/>
        <v/>
      </c>
      <c r="G11" s="20">
        <v>0</v>
      </c>
      <c r="H11" s="20">
        <f t="shared" si="1"/>
        <v>1474.34</v>
      </c>
      <c r="I11" s="19" t="str">
        <f t="shared" si="2"/>
        <v/>
      </c>
      <c r="J11" s="42"/>
      <c r="K11" s="42"/>
    </row>
    <row r="12" spans="1:11" ht="28.5">
      <c r="A12" s="28" t="str">
        <v>Cincinnati - BA Sharonville</v>
      </c>
      <c r="B12" s="29" t="str">
        <v>OH</v>
      </c>
      <c r="C12" s="24">
        <v>701.4</v>
      </c>
      <c r="D12" s="13">
        <v>0</v>
      </c>
      <c r="E12" s="13">
        <f t="shared" si="0"/>
        <v>701.4</v>
      </c>
      <c r="F12" s="14" t="str">
        <f t="shared" si="3"/>
        <v/>
      </c>
      <c r="G12" s="15">
        <v>0</v>
      </c>
      <c r="H12" s="15">
        <f t="shared" si="1"/>
        <v>701.4</v>
      </c>
      <c r="I12" s="16" t="str">
        <f t="shared" si="2"/>
        <v/>
      </c>
      <c r="J12" s="41" t="s">
        <v>69</v>
      </c>
      <c r="K12" s="41" t="s">
        <v>70</v>
      </c>
    </row>
    <row r="13" spans="1:11" ht="15.75">
      <c r="A13" s="30" t="str">
        <v>Zionsville - BA</v>
      </c>
      <c r="B13" s="31" t="str">
        <v>IN</v>
      </c>
      <c r="C13" s="11">
        <v>2469.6219999999998</v>
      </c>
      <c r="D13" s="18">
        <v>0</v>
      </c>
      <c r="E13" s="18">
        <f t="shared" si="0"/>
        <v>2469.6219999999998</v>
      </c>
      <c r="F13" s="19" t="str">
        <f t="shared" si="3"/>
        <v/>
      </c>
      <c r="G13" s="20">
        <v>0</v>
      </c>
      <c r="H13" s="20">
        <f t="shared" si="1"/>
        <v>2469.6219999999998</v>
      </c>
      <c r="I13" s="19" t="str">
        <f t="shared" si="2"/>
        <v/>
      </c>
      <c r="J13" s="42"/>
      <c r="K13" s="42"/>
    </row>
    <row r="14" spans="1:11" ht="15.75">
      <c r="A14" s="28" t="str">
        <v>Columbus - BA  Eastgate</v>
      </c>
      <c r="B14" s="29" t="str">
        <v>OH</v>
      </c>
      <c r="C14" s="24">
        <v>1224.05</v>
      </c>
      <c r="D14" s="13">
        <v>0</v>
      </c>
      <c r="E14" s="13">
        <f t="shared" si="0"/>
        <v>1224.05</v>
      </c>
      <c r="F14" s="14" t="str">
        <f t="shared" si="3"/>
        <v/>
      </c>
      <c r="G14" s="15">
        <v>0</v>
      </c>
      <c r="H14" s="15">
        <f t="shared" si="1"/>
        <v>1224.05</v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>
        <v>2282.6</v>
      </c>
      <c r="D15" s="18">
        <v>0</v>
      </c>
      <c r="E15" s="18">
        <f t="shared" si="0"/>
        <v>2282.6</v>
      </c>
      <c r="F15" s="19" t="str">
        <f>IFERROR(E15/D15, "")</f>
        <v/>
      </c>
      <c r="G15" s="20">
        <v>0</v>
      </c>
      <c r="H15" s="20">
        <f t="shared" si="1"/>
        <v>2282.6</v>
      </c>
      <c r="I15" s="19" t="str">
        <f t="shared" si="2"/>
        <v/>
      </c>
      <c r="J15" s="42" t="s">
        <v>71</v>
      </c>
      <c r="K15" s="42" t="s">
        <v>33</v>
      </c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1852.69</v>
      </c>
      <c r="D17" s="18">
        <v>0</v>
      </c>
      <c r="E17" s="18">
        <f t="shared" si="0"/>
        <v>1852.69</v>
      </c>
      <c r="F17" s="19" t="str">
        <f t="shared" si="3"/>
        <v/>
      </c>
      <c r="G17" s="20">
        <v>0</v>
      </c>
      <c r="H17" s="20">
        <f t="shared" si="1"/>
        <v>1852.69</v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si="0"/>
        <v>0</v>
      </c>
      <c r="F18" s="14" t="str">
        <f t="shared" ref="F18:F25" si="4">IFERROR(E18/D18, "")</f>
        <v/>
      </c>
      <c r="G18" s="15">
        <v>0</v>
      </c>
      <c r="H18" s="15">
        <f t="shared" si="1"/>
        <v>0</v>
      </c>
      <c r="I18" s="16" t="str">
        <f t="shared" ref="I18:I25" si="5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1428.7</v>
      </c>
      <c r="D19" s="18">
        <v>0</v>
      </c>
      <c r="E19" s="18">
        <f t="shared" si="0"/>
        <v>1428.7</v>
      </c>
      <c r="F19" s="19" t="str">
        <f t="shared" si="4"/>
        <v/>
      </c>
      <c r="G19" s="20">
        <v>0</v>
      </c>
      <c r="H19" s="20">
        <f t="shared" si="1"/>
        <v>1428.7</v>
      </c>
      <c r="I19" s="19" t="str">
        <f t="shared" si="5"/>
        <v/>
      </c>
      <c r="J19" s="42" t="s">
        <v>72</v>
      </c>
      <c r="K19" s="42" t="s">
        <v>35</v>
      </c>
    </row>
    <row r="20" spans="1:11" ht="15.75">
      <c r="A20" s="28" t="str">
        <v>Stamford - BA West Stamford</v>
      </c>
      <c r="B20" s="29" t="str">
        <v>CT</v>
      </c>
      <c r="C20" s="24">
        <v>1606.413</v>
      </c>
      <c r="D20" s="13">
        <v>0</v>
      </c>
      <c r="E20" s="13">
        <f t="shared" si="0"/>
        <v>1606.413</v>
      </c>
      <c r="F20" s="14" t="str">
        <f t="shared" si="4"/>
        <v/>
      </c>
      <c r="G20" s="15">
        <v>0</v>
      </c>
      <c r="H20" s="15">
        <f t="shared" si="1"/>
        <v>1606.413</v>
      </c>
      <c r="I20" s="16" t="str">
        <f t="shared" si="5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1792.88</v>
      </c>
      <c r="D21" s="18">
        <v>0</v>
      </c>
      <c r="E21" s="18">
        <f t="shared" si="0"/>
        <v>1792.88</v>
      </c>
      <c r="F21" s="19" t="str">
        <f t="shared" si="4"/>
        <v/>
      </c>
      <c r="G21" s="20">
        <v>0</v>
      </c>
      <c r="H21" s="20">
        <f t="shared" si="1"/>
        <v>1792.88</v>
      </c>
      <c r="I21" s="19" t="str">
        <f t="shared" si="5"/>
        <v/>
      </c>
      <c r="J21" s="42"/>
      <c r="K21" s="42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 t="str">
        <f t="shared" si="4"/>
        <v/>
      </c>
      <c r="G22" s="15">
        <v>0</v>
      </c>
      <c r="H22" s="15">
        <f t="shared" si="1"/>
        <v>0</v>
      </c>
      <c r="I22" s="16" t="str">
        <f t="shared" si="5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1924.37</v>
      </c>
      <c r="D23" s="18">
        <v>0</v>
      </c>
      <c r="E23" s="18">
        <f t="shared" si="0"/>
        <v>1924.37</v>
      </c>
      <c r="F23" s="19" t="str">
        <f t="shared" si="4"/>
        <v/>
      </c>
      <c r="G23" s="20">
        <v>0</v>
      </c>
      <c r="H23" s="20">
        <f t="shared" si="1"/>
        <v>1924.37</v>
      </c>
      <c r="I23" s="19" t="str">
        <f t="shared" si="5"/>
        <v/>
      </c>
      <c r="J23" s="42"/>
      <c r="K23" s="42"/>
    </row>
    <row r="24" spans="1:11" ht="15.75">
      <c r="A24" s="28" t="str">
        <v>Midlothian - BA Brandermill</v>
      </c>
      <c r="B24" s="29" t="str">
        <v>VA</v>
      </c>
      <c r="C24" s="24">
        <v>1349.2</v>
      </c>
      <c r="D24" s="13">
        <v>0</v>
      </c>
      <c r="E24" s="13">
        <f t="shared" si="0"/>
        <v>1349.2</v>
      </c>
      <c r="F24" s="14" t="str">
        <f t="shared" si="4"/>
        <v/>
      </c>
      <c r="G24" s="15">
        <v>0</v>
      </c>
      <c r="H24" s="15">
        <f t="shared" si="1"/>
        <v>1349.2</v>
      </c>
      <c r="I24" s="16" t="str">
        <f t="shared" si="5"/>
        <v/>
      </c>
      <c r="J24" s="41" t="s">
        <v>56</v>
      </c>
      <c r="K24" s="41" t="s">
        <v>57</v>
      </c>
    </row>
    <row r="25" spans="1:11" ht="15.75">
      <c r="A25" s="30" t="str">
        <v>Lexington - BA North Park</v>
      </c>
      <c r="B25" s="31" t="str">
        <v>KY</v>
      </c>
      <c r="C25" s="11">
        <v>1239.5</v>
      </c>
      <c r="D25" s="18">
        <v>0</v>
      </c>
      <c r="E25" s="18">
        <f t="shared" si="0"/>
        <v>1239.5</v>
      </c>
      <c r="F25" s="19" t="str">
        <f t="shared" si="4"/>
        <v/>
      </c>
      <c r="G25" s="20">
        <v>0</v>
      </c>
      <c r="H25" s="20">
        <f t="shared" si="1"/>
        <v>1239.5</v>
      </c>
      <c r="I25" s="19" t="str">
        <f t="shared" si="5"/>
        <v/>
      </c>
      <c r="J25" s="42" t="s">
        <v>73</v>
      </c>
      <c r="K25" s="42" t="s">
        <v>38</v>
      </c>
    </row>
    <row r="26" spans="1:11" ht="15.75">
      <c r="A26" s="28" t="str">
        <v>Coventry - BA ATM</v>
      </c>
      <c r="B26" s="29" t="str">
        <v>RI</v>
      </c>
      <c r="C26" s="24">
        <v>93.74</v>
      </c>
      <c r="D26" s="13">
        <v>0</v>
      </c>
      <c r="E26" s="13">
        <f t="shared" si="0"/>
        <v>93.74</v>
      </c>
      <c r="F26" s="14"/>
      <c r="G26" s="15">
        <v>0</v>
      </c>
      <c r="H26" s="15">
        <f t="shared" si="1"/>
        <v>93.74</v>
      </c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>
        <v>88.926000000000002</v>
      </c>
      <c r="D27" s="18">
        <v>0</v>
      </c>
      <c r="E27" s="18">
        <f t="shared" si="0"/>
        <v>88.926000000000002</v>
      </c>
      <c r="F27" s="19"/>
      <c r="G27" s="20">
        <v>0</v>
      </c>
      <c r="H27" s="20">
        <f t="shared" si="1"/>
        <v>88.926000000000002</v>
      </c>
      <c r="I27" s="19"/>
      <c r="J27" s="42"/>
      <c r="K27" s="42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3.9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tabSelected="1" zoomScale="70" zoomScaleNormal="70" workbookViewId="0">
      <pane xSplit="2" ySplit="3" topLeftCell="C5" activePane="bottomRight" state="frozen"/>
      <selection pane="bottomRight" activeCell="J31" sqref="J31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74</v>
      </c>
      <c r="E1" s="62"/>
      <c r="F1" s="62"/>
      <c r="G1" s="60" t="s">
        <v>75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SUM(C4:C78)</f>
        <v>15916.428</v>
      </c>
      <c r="D2" s="5">
        <f>SUM(D4:D78)</f>
        <v>0</v>
      </c>
      <c r="E2" s="5">
        <f>C2-D2</f>
        <v>15916.428</v>
      </c>
      <c r="F2" s="6">
        <f>IFERROR(E2/D2, 0)</f>
        <v>0</v>
      </c>
      <c r="G2" s="5">
        <f>SUM(G4:G78)</f>
        <v>0</v>
      </c>
      <c r="H2" s="7">
        <f>C2-G2</f>
        <v>15916.428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1346.61</v>
      </c>
      <c r="D4" s="13">
        <v>0</v>
      </c>
      <c r="E4" s="13">
        <f>IF(AND(ISNUMBER(C4),ISNUMBER(D4)), C4-D4, "")</f>
        <v>1346.61</v>
      </c>
      <c r="F4" s="14" t="str">
        <f>IFERROR(E4/D4, "")</f>
        <v/>
      </c>
      <c r="G4" s="15">
        <v>0</v>
      </c>
      <c r="H4" s="15">
        <f>IF(AND(ISNUMBER(C4),ISNUMBER(G4)), C4-G4, "")</f>
        <v>1346.61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623.13</v>
      </c>
      <c r="D5" s="18">
        <v>0</v>
      </c>
      <c r="E5" s="18">
        <f t="shared" ref="E5:E27" si="0">IF(AND(ISNUMBER(C5),ISNUMBER(D5)), C5-D5, "")</f>
        <v>623.13</v>
      </c>
      <c r="F5" s="19" t="str">
        <f>IFERROR(E5/D5, "")</f>
        <v/>
      </c>
      <c r="G5" s="20">
        <v>0</v>
      </c>
      <c r="H5" s="20">
        <f t="shared" ref="H5:H27" si="1">IF(AND(ISNUMBER(C5),ISNUMBER(G5)), C5-G5, "")</f>
        <v>623.13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>
        <v>270.79000000000002</v>
      </c>
      <c r="D6" s="13">
        <v>0</v>
      </c>
      <c r="E6" s="13">
        <f t="shared" si="0"/>
        <v>270.79000000000002</v>
      </c>
      <c r="F6" s="14" t="str">
        <f t="shared" ref="F6:F17" si="3">IFERROR(E6/D6, "")</f>
        <v/>
      </c>
      <c r="G6" s="15">
        <v>0</v>
      </c>
      <c r="H6" s="15">
        <f t="shared" si="1"/>
        <v>270.79000000000002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629.48</v>
      </c>
      <c r="D7" s="18">
        <v>0</v>
      </c>
      <c r="E7" s="18">
        <f t="shared" si="0"/>
        <v>629.48</v>
      </c>
      <c r="F7" s="19" t="str">
        <f t="shared" si="3"/>
        <v/>
      </c>
      <c r="G7" s="20">
        <v>0</v>
      </c>
      <c r="H7" s="20">
        <f t="shared" si="1"/>
        <v>629.48</v>
      </c>
      <c r="I7" s="19" t="str">
        <f t="shared" si="2"/>
        <v/>
      </c>
      <c r="J7" s="42"/>
      <c r="K7" s="42"/>
    </row>
    <row r="8" spans="1:11" ht="15.75">
      <c r="A8" s="28" t="str">
        <v>Cincinnati - BA MLK and Burnet</v>
      </c>
      <c r="B8" s="29" t="str">
        <v>OH</v>
      </c>
      <c r="C8" s="24">
        <v>931.82</v>
      </c>
      <c r="D8" s="13">
        <v>0</v>
      </c>
      <c r="E8" s="13">
        <f t="shared" si="0"/>
        <v>931.82</v>
      </c>
      <c r="F8" s="14" t="str">
        <f t="shared" si="3"/>
        <v/>
      </c>
      <c r="G8" s="15">
        <v>0</v>
      </c>
      <c r="H8" s="15">
        <f t="shared" si="1"/>
        <v>931.82</v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>
        <v>728.65</v>
      </c>
      <c r="D9" s="18">
        <v>0</v>
      </c>
      <c r="E9" s="18">
        <f t="shared" si="0"/>
        <v>728.65</v>
      </c>
      <c r="F9" s="19" t="str">
        <f t="shared" si="3"/>
        <v/>
      </c>
      <c r="G9" s="20">
        <v>0</v>
      </c>
      <c r="H9" s="20">
        <f t="shared" si="1"/>
        <v>728.65</v>
      </c>
      <c r="I9" s="19" t="str">
        <f t="shared" si="2"/>
        <v/>
      </c>
      <c r="J9" s="42"/>
      <c r="K9" s="42"/>
    </row>
    <row r="10" spans="1:11" ht="15.75">
      <c r="A10" s="28" t="str">
        <v>Cincinnati - BA Hyde Pk Plaza</v>
      </c>
      <c r="B10" s="29" t="str">
        <v>OH</v>
      </c>
      <c r="C10" s="24">
        <v>903.5</v>
      </c>
      <c r="D10" s="13">
        <v>0</v>
      </c>
      <c r="E10" s="13">
        <f t="shared" si="0"/>
        <v>903.5</v>
      </c>
      <c r="F10" s="14" t="str">
        <f t="shared" si="3"/>
        <v/>
      </c>
      <c r="G10" s="15">
        <v>0</v>
      </c>
      <c r="H10" s="15">
        <f t="shared" si="1"/>
        <v>903.5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687.9</v>
      </c>
      <c r="D11" s="18">
        <v>0</v>
      </c>
      <c r="E11" s="18">
        <f t="shared" si="0"/>
        <v>687.9</v>
      </c>
      <c r="F11" s="19" t="str">
        <f t="shared" si="3"/>
        <v/>
      </c>
      <c r="G11" s="20">
        <v>0</v>
      </c>
      <c r="H11" s="20">
        <f t="shared" si="1"/>
        <v>687.9</v>
      </c>
      <c r="I11" s="19" t="str">
        <f t="shared" si="2"/>
        <v/>
      </c>
      <c r="J11" s="42"/>
      <c r="K11" s="42"/>
    </row>
    <row r="12" spans="1:11" ht="15.75">
      <c r="A12" s="28" t="str">
        <v>Cincinnati - BA Sharonville</v>
      </c>
      <c r="B12" s="29" t="str">
        <v>OH</v>
      </c>
      <c r="C12" s="24">
        <v>658.93</v>
      </c>
      <c r="D12" s="13">
        <v>0</v>
      </c>
      <c r="E12" s="13">
        <f t="shared" si="0"/>
        <v>658.93</v>
      </c>
      <c r="F12" s="14" t="str">
        <f t="shared" si="3"/>
        <v/>
      </c>
      <c r="G12" s="15">
        <v>0</v>
      </c>
      <c r="H12" s="15">
        <f t="shared" si="1"/>
        <v>658.93</v>
      </c>
      <c r="I12" s="16" t="str">
        <f t="shared" si="2"/>
        <v/>
      </c>
      <c r="J12" s="41" t="s">
        <v>76</v>
      </c>
      <c r="K12" s="41" t="s">
        <v>77</v>
      </c>
    </row>
    <row r="13" spans="1:11" ht="15.75">
      <c r="A13" s="30" t="str">
        <v>Zionsville - BA</v>
      </c>
      <c r="B13" s="31" t="str">
        <v>IN</v>
      </c>
      <c r="C13" s="11">
        <v>1079.8900000000001</v>
      </c>
      <c r="D13" s="18">
        <v>0</v>
      </c>
      <c r="E13" s="18">
        <f t="shared" si="0"/>
        <v>1079.8900000000001</v>
      </c>
      <c r="F13" s="19" t="str">
        <f t="shared" si="3"/>
        <v/>
      </c>
      <c r="G13" s="20">
        <v>0</v>
      </c>
      <c r="H13" s="20">
        <f t="shared" si="1"/>
        <v>1079.8900000000001</v>
      </c>
      <c r="I13" s="19" t="str">
        <f t="shared" si="2"/>
        <v/>
      </c>
      <c r="J13" s="42"/>
      <c r="K13" s="42"/>
    </row>
    <row r="14" spans="1:11" ht="15.75">
      <c r="A14" s="28" t="str">
        <v>Columbus - BA  Eastgate</v>
      </c>
      <c r="B14" s="29" t="str">
        <v>OH</v>
      </c>
      <c r="C14" s="24">
        <v>522.9</v>
      </c>
      <c r="D14" s="13">
        <v>0</v>
      </c>
      <c r="E14" s="13">
        <f t="shared" si="0"/>
        <v>522.9</v>
      </c>
      <c r="F14" s="14" t="str">
        <f t="shared" si="3"/>
        <v/>
      </c>
      <c r="G14" s="15">
        <v>0</v>
      </c>
      <c r="H14" s="15">
        <f t="shared" si="1"/>
        <v>522.9</v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58">
        <v>1036.3800000000001</v>
      </c>
      <c r="D15" s="18">
        <v>0</v>
      </c>
      <c r="E15" s="18">
        <f t="shared" si="0"/>
        <v>1036.3800000000001</v>
      </c>
      <c r="F15" s="19" t="str">
        <f t="shared" si="3"/>
        <v/>
      </c>
      <c r="G15" s="20">
        <v>0</v>
      </c>
      <c r="H15" s="20">
        <f t="shared" si="1"/>
        <v>1036.3800000000001</v>
      </c>
      <c r="I15" s="19" t="str">
        <f t="shared" si="2"/>
        <v/>
      </c>
      <c r="J15" s="42"/>
      <c r="K15" s="42"/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1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875.37</v>
      </c>
      <c r="D17" s="18">
        <v>0</v>
      </c>
      <c r="E17" s="18">
        <f t="shared" si="0"/>
        <v>875.37</v>
      </c>
      <c r="F17" s="19" t="str">
        <f t="shared" si="3"/>
        <v/>
      </c>
      <c r="G17" s="20">
        <v>0</v>
      </c>
      <c r="H17" s="20">
        <f t="shared" si="1"/>
        <v>875.37</v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si="0"/>
        <v>0</v>
      </c>
      <c r="F18" s="14" t="str">
        <f t="shared" ref="F18:F25" si="4">IFERROR(E18/D18, "")</f>
        <v/>
      </c>
      <c r="G18" s="15">
        <v>0</v>
      </c>
      <c r="H18" s="15">
        <f t="shared" si="1"/>
        <v>0</v>
      </c>
      <c r="I18" s="16" t="str">
        <f t="shared" ref="I18:I25" si="5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862.16</v>
      </c>
      <c r="D19" s="18">
        <v>0</v>
      </c>
      <c r="E19" s="18">
        <f t="shared" si="0"/>
        <v>862.16</v>
      </c>
      <c r="F19" s="19" t="str">
        <f t="shared" si="4"/>
        <v/>
      </c>
      <c r="G19" s="20">
        <v>0</v>
      </c>
      <c r="H19" s="20">
        <f t="shared" si="1"/>
        <v>862.16</v>
      </c>
      <c r="I19" s="19" t="str">
        <f t="shared" si="5"/>
        <v/>
      </c>
      <c r="J19" s="42" t="s">
        <v>78</v>
      </c>
      <c r="K19" s="42" t="s">
        <v>35</v>
      </c>
    </row>
    <row r="20" spans="1:11" ht="15.75">
      <c r="A20" s="28" t="str">
        <v>Stamford - BA West Stamford</v>
      </c>
      <c r="B20" s="29" t="str">
        <v>CT</v>
      </c>
      <c r="C20" s="24">
        <v>1025.8</v>
      </c>
      <c r="D20" s="13">
        <v>0</v>
      </c>
      <c r="E20" s="13">
        <f t="shared" si="0"/>
        <v>1025.8</v>
      </c>
      <c r="F20" s="14" t="str">
        <f t="shared" si="4"/>
        <v/>
      </c>
      <c r="G20" s="15">
        <v>0</v>
      </c>
      <c r="H20" s="15">
        <f t="shared" si="1"/>
        <v>1025.8</v>
      </c>
      <c r="I20" s="16" t="str">
        <f t="shared" si="5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1066</v>
      </c>
      <c r="D21" s="18">
        <v>0</v>
      </c>
      <c r="E21" s="18">
        <f t="shared" si="0"/>
        <v>1066</v>
      </c>
      <c r="F21" s="19" t="str">
        <f t="shared" si="4"/>
        <v/>
      </c>
      <c r="G21" s="20">
        <v>0</v>
      </c>
      <c r="H21" s="20">
        <f t="shared" si="1"/>
        <v>1066</v>
      </c>
      <c r="I21" s="19" t="str">
        <f t="shared" si="5"/>
        <v/>
      </c>
      <c r="J21" s="42"/>
      <c r="K21" s="42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0"/>
        <v>0</v>
      </c>
      <c r="F22" s="14" t="str">
        <f t="shared" si="4"/>
        <v/>
      </c>
      <c r="G22" s="15">
        <v>0</v>
      </c>
      <c r="H22" s="15">
        <f t="shared" si="1"/>
        <v>0</v>
      </c>
      <c r="I22" s="16" t="str">
        <f t="shared" si="5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1115.3</v>
      </c>
      <c r="D23" s="18">
        <v>0</v>
      </c>
      <c r="E23" s="18">
        <f t="shared" si="0"/>
        <v>1115.3</v>
      </c>
      <c r="F23" s="19" t="str">
        <f t="shared" si="4"/>
        <v/>
      </c>
      <c r="G23" s="20">
        <v>0</v>
      </c>
      <c r="H23" s="20">
        <f t="shared" si="1"/>
        <v>1115.3</v>
      </c>
      <c r="I23" s="19" t="str">
        <f t="shared" si="5"/>
        <v/>
      </c>
      <c r="J23" s="42"/>
      <c r="K23" s="42"/>
    </row>
    <row r="24" spans="1:11" ht="15.75">
      <c r="A24" s="28" t="str">
        <v>Midlothian - BA Brandermill</v>
      </c>
      <c r="B24" s="29" t="str">
        <v>VA</v>
      </c>
      <c r="C24" s="24">
        <v>854.13800000000003</v>
      </c>
      <c r="D24" s="13">
        <v>0</v>
      </c>
      <c r="E24" s="13">
        <f t="shared" si="0"/>
        <v>854.13800000000003</v>
      </c>
      <c r="F24" s="14" t="str">
        <f t="shared" si="4"/>
        <v/>
      </c>
      <c r="G24" s="15">
        <v>0</v>
      </c>
      <c r="H24" s="15">
        <f t="shared" si="1"/>
        <v>854.13800000000003</v>
      </c>
      <c r="I24" s="16" t="str">
        <f t="shared" si="5"/>
        <v/>
      </c>
      <c r="J24" s="41" t="s">
        <v>56</v>
      </c>
      <c r="K24" s="41" t="s">
        <v>57</v>
      </c>
    </row>
    <row r="25" spans="1:11" ht="15.75">
      <c r="A25" s="30" t="str">
        <v>Lexington - BA North Park</v>
      </c>
      <c r="B25" s="31" t="str">
        <v>KY</v>
      </c>
      <c r="C25" s="11">
        <v>574.4</v>
      </c>
      <c r="D25" s="18">
        <v>0</v>
      </c>
      <c r="E25" s="18">
        <f t="shared" si="0"/>
        <v>574.4</v>
      </c>
      <c r="F25" s="19" t="str">
        <f t="shared" si="4"/>
        <v/>
      </c>
      <c r="G25" s="20">
        <v>0</v>
      </c>
      <c r="H25" s="20">
        <f t="shared" si="1"/>
        <v>574.4</v>
      </c>
      <c r="I25" s="19" t="str">
        <f t="shared" si="5"/>
        <v/>
      </c>
      <c r="J25" s="42"/>
      <c r="K25" s="42"/>
    </row>
    <row r="26" spans="1:11" ht="15.75">
      <c r="A26" s="28" t="str">
        <v>Coventry - BA ATM</v>
      </c>
      <c r="B26" s="29" t="str">
        <v>RI</v>
      </c>
      <c r="C26" s="24">
        <v>66.19</v>
      </c>
      <c r="D26" s="13">
        <v>0</v>
      </c>
      <c r="E26" s="13">
        <f t="shared" si="0"/>
        <v>66.19</v>
      </c>
      <c r="F26" s="14"/>
      <c r="G26" s="15">
        <v>0</v>
      </c>
      <c r="H26" s="15">
        <f t="shared" si="1"/>
        <v>66.19</v>
      </c>
      <c r="I26" s="16"/>
      <c r="J26" s="41"/>
      <c r="K26" s="41"/>
    </row>
    <row r="27" spans="1:11" ht="15.75">
      <c r="A27" s="30" t="str">
        <v>Woodbridge - BA ATM</v>
      </c>
      <c r="B27" s="31" t="str">
        <v>VA</v>
      </c>
      <c r="C27" s="11">
        <v>57.09</v>
      </c>
      <c r="D27" s="18">
        <v>0</v>
      </c>
      <c r="E27" s="18">
        <f t="shared" si="0"/>
        <v>57.09</v>
      </c>
      <c r="F27" s="19"/>
      <c r="G27" s="20">
        <v>0</v>
      </c>
      <c r="H27" s="20">
        <f t="shared" si="1"/>
        <v>57.09</v>
      </c>
      <c r="I27" s="19"/>
      <c r="J27" s="42"/>
      <c r="K27" s="43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3.9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E29" sqref="E29"/>
      <selection pane="bottomLeft"/>
      <selection pane="topRight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CBRE</v>
      </c>
      <c r="B1" s="61"/>
      <c r="C1" s="61"/>
      <c r="D1" s="62" t="s">
        <v>79</v>
      </c>
      <c r="E1" s="62"/>
      <c r="F1" s="62"/>
      <c r="G1" s="60" t="s">
        <v>80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SUM(C4:C86)</f>
        <v>21333</v>
      </c>
      <c r="D2" s="5">
        <f>SUM(D4:D86)</f>
        <v>0</v>
      </c>
      <c r="E2" s="5">
        <f>C2-D2</f>
        <v>21333</v>
      </c>
      <c r="F2" s="6">
        <f>IFERROR(E2/D2, 0)</f>
        <v>0</v>
      </c>
      <c r="G2" s="5">
        <f>SUM(G4:G86)</f>
        <v>0</v>
      </c>
      <c r="H2" s="7">
        <f>C2-G2</f>
        <v>21333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9433</v>
      </c>
      <c r="D4" s="13">
        <v>0</v>
      </c>
      <c r="E4" s="13">
        <f>IF(AND(ISNUMBER(C4),ISNUMBER(D4)), C4-D4, "")</f>
        <v>9433</v>
      </c>
      <c r="F4" s="14" t="str">
        <f>IFERROR(E4/D4, "")</f>
        <v/>
      </c>
      <c r="G4" s="15">
        <v>0</v>
      </c>
      <c r="H4" s="15">
        <f>IF(AND(ISNUMBER(C4),ISNUMBER(G4)), C4-G4, "")</f>
        <v>9433</v>
      </c>
      <c r="I4" s="16" t="str">
        <f>IFERROR(H4/G4, "")</f>
        <v/>
      </c>
      <c r="J4" s="41"/>
      <c r="K4" s="41"/>
    </row>
    <row r="5" spans="1:11" ht="15.75">
      <c r="A5" s="30" t="str">
        <v>Indianapolis - BA Speedway</v>
      </c>
      <c r="B5" s="31" t="str">
        <v>IN</v>
      </c>
      <c r="C5" s="11">
        <v>527</v>
      </c>
      <c r="D5" s="18">
        <v>0</v>
      </c>
      <c r="E5" s="18">
        <f t="shared" ref="E5:E17" si="0">IF(AND(ISNUMBER(C5),ISNUMBER(D5)), C5-D5, "")</f>
        <v>527</v>
      </c>
      <c r="F5" s="19" t="str">
        <f>IFERROR(E5/D5, "")</f>
        <v/>
      </c>
      <c r="G5" s="20">
        <v>0</v>
      </c>
      <c r="H5" s="11">
        <f t="shared" ref="H5:H6" si="1">IF(AND(ISNUMBER(C5),ISNUMBER(G5)), C5-G5, "")</f>
        <v>527</v>
      </c>
      <c r="I5" s="19" t="str">
        <f t="shared" ref="I5:I17" si="2">IFERROR(H5/G5, "")</f>
        <v/>
      </c>
      <c r="J5" s="42"/>
      <c r="K5" s="42"/>
    </row>
    <row r="6" spans="1:11" ht="15.75">
      <c r="A6" s="28" t="str">
        <v>Greenwood - BA</v>
      </c>
      <c r="B6" s="29" t="str">
        <v>IN</v>
      </c>
      <c r="C6" s="24">
        <v>207</v>
      </c>
      <c r="D6" s="13">
        <v>0</v>
      </c>
      <c r="E6" s="13">
        <f t="shared" si="0"/>
        <v>207</v>
      </c>
      <c r="F6" s="14" t="str">
        <f t="shared" ref="F6:F17" si="3">IFERROR(E6/D6, "")</f>
        <v/>
      </c>
      <c r="G6" s="15">
        <v>0</v>
      </c>
      <c r="H6" s="15">
        <f t="shared" si="1"/>
        <v>207</v>
      </c>
      <c r="I6" s="16" t="str">
        <f t="shared" si="2"/>
        <v/>
      </c>
      <c r="J6" s="41"/>
      <c r="K6" s="41"/>
    </row>
    <row r="7" spans="1:11" ht="15.75">
      <c r="A7" s="30" t="str">
        <v>West Chester - BA</v>
      </c>
      <c r="B7" s="31" t="str">
        <v>OH</v>
      </c>
      <c r="C7" s="11">
        <v>530</v>
      </c>
      <c r="D7" s="18">
        <v>0</v>
      </c>
      <c r="E7" s="18">
        <f t="shared" si="0"/>
        <v>530</v>
      </c>
      <c r="F7" s="19" t="str">
        <f t="shared" si="3"/>
        <v/>
      </c>
      <c r="G7" s="20">
        <v>0</v>
      </c>
      <c r="H7" s="20">
        <f>IF(AND(ISNUMBER(C7),ISNUMBER(G7)), C7-G7, "")</f>
        <v>530</v>
      </c>
      <c r="I7" s="19" t="str">
        <f t="shared" si="2"/>
        <v/>
      </c>
      <c r="J7" s="42"/>
      <c r="K7" s="43"/>
    </row>
    <row r="8" spans="1:11" ht="15.75">
      <c r="A8" s="28" t="str">
        <v>Cincinnati - BA MLK and Burnet</v>
      </c>
      <c r="B8" s="29" t="str">
        <v>OH</v>
      </c>
      <c r="C8" s="24">
        <v>776</v>
      </c>
      <c r="D8" s="13">
        <v>0</v>
      </c>
      <c r="E8" s="13">
        <f t="shared" si="0"/>
        <v>776</v>
      </c>
      <c r="F8" s="14" t="str">
        <f t="shared" si="3"/>
        <v/>
      </c>
      <c r="G8" s="15">
        <v>0</v>
      </c>
      <c r="H8" s="15">
        <f t="shared" ref="H5:H17" si="4">IF(AND(ISNUMBER(C8),ISNUMBER(G8)), C8-G8, "")</f>
        <v>776</v>
      </c>
      <c r="I8" s="16" t="str">
        <f t="shared" si="2"/>
        <v/>
      </c>
      <c r="J8" s="41"/>
      <c r="K8" s="41"/>
    </row>
    <row r="9" spans="1:11" ht="15.75">
      <c r="A9" s="30" t="str">
        <v>Columbus - BA Harrisburg Pike</v>
      </c>
      <c r="B9" s="31" t="str">
        <v>OH</v>
      </c>
      <c r="C9" s="11">
        <v>615</v>
      </c>
      <c r="D9" s="18">
        <v>0</v>
      </c>
      <c r="E9" s="18">
        <f t="shared" si="0"/>
        <v>615</v>
      </c>
      <c r="F9" s="19" t="str">
        <f t="shared" si="3"/>
        <v/>
      </c>
      <c r="G9" s="20">
        <v>0</v>
      </c>
      <c r="H9" s="20">
        <f t="shared" si="4"/>
        <v>615</v>
      </c>
      <c r="I9" s="19" t="str">
        <f t="shared" si="2"/>
        <v/>
      </c>
      <c r="J9" s="42"/>
      <c r="K9" s="43"/>
    </row>
    <row r="10" spans="1:11" ht="15.75">
      <c r="A10" s="28" t="str">
        <v>Cincinnati - BA Hyde Pk Plaza</v>
      </c>
      <c r="B10" s="29" t="str">
        <v>OH</v>
      </c>
      <c r="C10" s="24">
        <v>779</v>
      </c>
      <c r="D10" s="13">
        <v>0</v>
      </c>
      <c r="E10" s="13">
        <f t="shared" si="0"/>
        <v>779</v>
      </c>
      <c r="F10" s="14" t="str">
        <f t="shared" si="3"/>
        <v/>
      </c>
      <c r="G10" s="15">
        <v>0</v>
      </c>
      <c r="H10" s="15">
        <f t="shared" si="4"/>
        <v>779</v>
      </c>
      <c r="I10" s="16" t="str">
        <f t="shared" si="2"/>
        <v/>
      </c>
      <c r="J10" s="41"/>
      <c r="K10" s="41"/>
    </row>
    <row r="11" spans="1:11" ht="15.75">
      <c r="A11" s="30" t="str">
        <v>Cleveland - BA Carnegie &amp; 79th</v>
      </c>
      <c r="B11" s="31" t="str">
        <v>OH</v>
      </c>
      <c r="C11" s="11">
        <v>596</v>
      </c>
      <c r="D11" s="18">
        <v>0</v>
      </c>
      <c r="E11" s="18">
        <f t="shared" si="0"/>
        <v>596</v>
      </c>
      <c r="F11" s="19" t="str">
        <f t="shared" si="3"/>
        <v/>
      </c>
      <c r="G11" s="20">
        <v>0</v>
      </c>
      <c r="H11" s="20">
        <f t="shared" si="4"/>
        <v>596</v>
      </c>
      <c r="I11" s="19" t="str">
        <f t="shared" si="2"/>
        <v/>
      </c>
      <c r="J11" s="42"/>
      <c r="K11" s="43"/>
    </row>
    <row r="12" spans="1:11" ht="15.75">
      <c r="A12" s="28" t="str">
        <v>Cincinnati - BA Sharonville</v>
      </c>
      <c r="B12" s="29" t="str">
        <v>OH</v>
      </c>
      <c r="C12" s="24">
        <v>598</v>
      </c>
      <c r="D12" s="13">
        <v>0</v>
      </c>
      <c r="E12" s="13">
        <f t="shared" si="0"/>
        <v>598</v>
      </c>
      <c r="F12" s="14" t="str">
        <f t="shared" si="3"/>
        <v/>
      </c>
      <c r="G12" s="15">
        <v>0</v>
      </c>
      <c r="H12" s="15">
        <f t="shared" si="4"/>
        <v>598</v>
      </c>
      <c r="I12" s="16" t="str">
        <f t="shared" si="2"/>
        <v/>
      </c>
      <c r="J12" s="41"/>
      <c r="K12" s="41"/>
    </row>
    <row r="13" spans="1:11" ht="15.75">
      <c r="A13" s="30" t="str">
        <v>Zionsville - BA</v>
      </c>
      <c r="B13" s="31" t="str">
        <v>IN</v>
      </c>
      <c r="C13" s="11">
        <v>889</v>
      </c>
      <c r="D13" s="18">
        <v>0</v>
      </c>
      <c r="E13" s="18">
        <f t="shared" si="0"/>
        <v>889</v>
      </c>
      <c r="F13" s="19" t="str">
        <f t="shared" si="3"/>
        <v/>
      </c>
      <c r="G13" s="20">
        <v>0</v>
      </c>
      <c r="H13" s="20">
        <f t="shared" si="4"/>
        <v>889</v>
      </c>
      <c r="I13" s="19" t="str">
        <f t="shared" si="2"/>
        <v/>
      </c>
      <c r="J13" s="42"/>
      <c r="K13" s="43"/>
    </row>
    <row r="14" spans="1:11" ht="15.75">
      <c r="A14" s="28" t="str">
        <v>Columbus - BA  Eastgate</v>
      </c>
      <c r="B14" s="29" t="str">
        <v>OH</v>
      </c>
      <c r="C14" s="24">
        <v>321</v>
      </c>
      <c r="D14" s="13">
        <v>0</v>
      </c>
      <c r="E14" s="13">
        <f t="shared" si="0"/>
        <v>321</v>
      </c>
      <c r="F14" s="14" t="str">
        <f t="shared" si="3"/>
        <v/>
      </c>
      <c r="G14" s="15">
        <v>0</v>
      </c>
      <c r="H14" s="15">
        <f t="shared" si="4"/>
        <v>321</v>
      </c>
      <c r="I14" s="16" t="str">
        <f t="shared" si="2"/>
        <v/>
      </c>
      <c r="J14" s="41"/>
      <c r="K14" s="41"/>
    </row>
    <row r="15" spans="1:11" ht="15.75">
      <c r="A15" s="30" t="str">
        <v>Columbus - BA Eastmoor</v>
      </c>
      <c r="B15" s="31" t="str">
        <v>OH</v>
      </c>
      <c r="C15" s="11">
        <v>800</v>
      </c>
      <c r="D15" s="18">
        <v>0</v>
      </c>
      <c r="E15" s="18">
        <f t="shared" si="0"/>
        <v>800</v>
      </c>
      <c r="F15" s="19" t="str">
        <f t="shared" si="3"/>
        <v/>
      </c>
      <c r="G15" s="20">
        <v>0</v>
      </c>
      <c r="H15" s="20">
        <f t="shared" si="4"/>
        <v>800</v>
      </c>
      <c r="I15" s="19" t="str">
        <f t="shared" si="2"/>
        <v/>
      </c>
      <c r="J15" s="42" t="s">
        <v>81</v>
      </c>
      <c r="K15" s="43" t="s">
        <v>82</v>
      </c>
    </row>
    <row r="16" spans="1:11" ht="15.75">
      <c r="A16" s="28" t="str">
        <v>Brooklyn - BA Canarsie</v>
      </c>
      <c r="B16" s="29" t="str">
        <v>NY</v>
      </c>
      <c r="C16" s="24">
        <v>0</v>
      </c>
      <c r="D16" s="13">
        <v>0</v>
      </c>
      <c r="E16" s="13">
        <f t="shared" si="0"/>
        <v>0</v>
      </c>
      <c r="F16" s="14" t="str">
        <f t="shared" si="3"/>
        <v/>
      </c>
      <c r="G16" s="15">
        <v>0</v>
      </c>
      <c r="H16" s="15">
        <f t="shared" si="4"/>
        <v>0</v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615</v>
      </c>
      <c r="D17" s="18">
        <v>0</v>
      </c>
      <c r="E17" s="18">
        <v>0</v>
      </c>
      <c r="F17" s="19" t="str">
        <f t="shared" si="3"/>
        <v/>
      </c>
      <c r="G17" s="20">
        <v>0</v>
      </c>
      <c r="H17" s="20">
        <f t="shared" si="4"/>
        <v>615</v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0</v>
      </c>
      <c r="D18" s="13">
        <v>0</v>
      </c>
      <c r="E18" s="13">
        <f t="shared" ref="E18:E27" si="5">IF(AND(ISNUMBER(C18),ISNUMBER(D18)), C18-D18, "")</f>
        <v>0</v>
      </c>
      <c r="F18" s="14" t="str">
        <f t="shared" ref="F18:F27" si="6">IFERROR(E18/D18, "")</f>
        <v/>
      </c>
      <c r="G18" s="15">
        <v>0</v>
      </c>
      <c r="H18" s="15">
        <f t="shared" ref="H18:H27" si="7">IF(AND(ISNUMBER(C18),ISNUMBER(G18)), C18-G18, "")</f>
        <v>0</v>
      </c>
      <c r="I18" s="16" t="str">
        <f t="shared" ref="I18:I27" si="8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624</v>
      </c>
      <c r="D19" s="18">
        <v>0</v>
      </c>
      <c r="E19" s="18">
        <f t="shared" si="5"/>
        <v>624</v>
      </c>
      <c r="F19" s="19" t="str">
        <f t="shared" si="6"/>
        <v/>
      </c>
      <c r="G19" s="20">
        <v>0</v>
      </c>
      <c r="H19" s="20">
        <f t="shared" si="7"/>
        <v>624</v>
      </c>
      <c r="I19" s="19" t="str">
        <f t="shared" si="8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>
        <v>661</v>
      </c>
      <c r="D20" s="13">
        <v>0</v>
      </c>
      <c r="E20" s="13">
        <f t="shared" si="5"/>
        <v>661</v>
      </c>
      <c r="F20" s="14" t="str">
        <f t="shared" si="6"/>
        <v/>
      </c>
      <c r="G20" s="15">
        <v>0</v>
      </c>
      <c r="H20" s="15">
        <f t="shared" si="7"/>
        <v>661</v>
      </c>
      <c r="I20" s="16" t="str">
        <f t="shared" si="8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777</v>
      </c>
      <c r="D21" s="18">
        <v>0</v>
      </c>
      <c r="E21" s="18">
        <f t="shared" si="5"/>
        <v>777</v>
      </c>
      <c r="F21" s="19" t="str">
        <f t="shared" si="6"/>
        <v/>
      </c>
      <c r="G21" s="20">
        <v>0</v>
      </c>
      <c r="H21" s="20">
        <f t="shared" si="7"/>
        <v>777</v>
      </c>
      <c r="I21" s="19" t="str">
        <f t="shared" si="8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>
        <v>0</v>
      </c>
      <c r="D22" s="13">
        <v>0</v>
      </c>
      <c r="E22" s="13">
        <f t="shared" si="5"/>
        <v>0</v>
      </c>
      <c r="F22" s="14" t="str">
        <f t="shared" si="6"/>
        <v/>
      </c>
      <c r="G22" s="15">
        <v>0</v>
      </c>
      <c r="H22" s="15">
        <f t="shared" si="7"/>
        <v>0</v>
      </c>
      <c r="I22" s="16" t="str">
        <f t="shared" si="8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750</v>
      </c>
      <c r="D23" s="18">
        <v>0</v>
      </c>
      <c r="E23" s="18">
        <f t="shared" si="5"/>
        <v>750</v>
      </c>
      <c r="F23" s="19" t="str">
        <f t="shared" si="6"/>
        <v/>
      </c>
      <c r="G23" s="20">
        <v>0</v>
      </c>
      <c r="H23" s="20">
        <f t="shared" si="7"/>
        <v>750</v>
      </c>
      <c r="I23" s="19" t="str">
        <f t="shared" si="8"/>
        <v/>
      </c>
      <c r="J23" s="42"/>
      <c r="K23" s="43"/>
    </row>
    <row r="24" spans="1:11" ht="15.75">
      <c r="A24" s="28" t="str">
        <v>Midlothian - BA Brandermill</v>
      </c>
      <c r="B24" s="29" t="str">
        <v>VA</v>
      </c>
      <c r="C24" s="24">
        <v>758</v>
      </c>
      <c r="D24" s="13">
        <v>0</v>
      </c>
      <c r="E24" s="13">
        <f t="shared" si="5"/>
        <v>758</v>
      </c>
      <c r="F24" s="14" t="str">
        <f t="shared" si="6"/>
        <v/>
      </c>
      <c r="G24" s="15">
        <v>0</v>
      </c>
      <c r="H24" s="15">
        <f t="shared" si="7"/>
        <v>758</v>
      </c>
      <c r="I24" s="16" t="str">
        <f t="shared" si="8"/>
        <v/>
      </c>
      <c r="J24" s="41" t="s">
        <v>56</v>
      </c>
      <c r="K24" s="41" t="s">
        <v>57</v>
      </c>
    </row>
    <row r="25" spans="1:11" ht="15.75">
      <c r="A25" s="30" t="str">
        <v>Lexington - BA North Park</v>
      </c>
      <c r="B25" s="31" t="str">
        <v>KY</v>
      </c>
      <c r="C25" s="11">
        <v>414</v>
      </c>
      <c r="D25" s="18">
        <v>0</v>
      </c>
      <c r="E25" s="18">
        <f t="shared" si="5"/>
        <v>414</v>
      </c>
      <c r="F25" s="19" t="str">
        <f t="shared" si="6"/>
        <v/>
      </c>
      <c r="G25" s="20">
        <v>0</v>
      </c>
      <c r="H25" s="20">
        <f t="shared" si="7"/>
        <v>414</v>
      </c>
      <c r="I25" s="19" t="str">
        <f t="shared" si="8"/>
        <v/>
      </c>
      <c r="J25" s="42"/>
      <c r="K25" s="43"/>
    </row>
    <row r="26" spans="1:11" ht="15.75">
      <c r="A26" s="28" t="str">
        <v>Coventry - BA ATM</v>
      </c>
      <c r="B26" s="29" t="str">
        <v>RI</v>
      </c>
      <c r="C26" s="24">
        <v>207</v>
      </c>
      <c r="D26" s="13">
        <v>0</v>
      </c>
      <c r="E26" s="13">
        <f t="shared" si="5"/>
        <v>207</v>
      </c>
      <c r="F26" s="14" t="str">
        <f t="shared" si="6"/>
        <v/>
      </c>
      <c r="G26" s="15">
        <v>0</v>
      </c>
      <c r="H26" s="15">
        <f t="shared" si="7"/>
        <v>207</v>
      </c>
      <c r="I26" s="16" t="str">
        <f t="shared" si="8"/>
        <v/>
      </c>
      <c r="J26" s="41" t="s">
        <v>83</v>
      </c>
      <c r="K26" s="41" t="s">
        <v>84</v>
      </c>
    </row>
    <row r="27" spans="1:11" ht="15.75">
      <c r="A27" s="30" t="str">
        <v>Woodbridge - BA ATM</v>
      </c>
      <c r="B27" s="31" t="str">
        <v>VA</v>
      </c>
      <c r="C27" s="11">
        <v>456</v>
      </c>
      <c r="D27" s="18">
        <v>0</v>
      </c>
      <c r="E27" s="18">
        <f t="shared" si="5"/>
        <v>456</v>
      </c>
      <c r="F27" s="19" t="str">
        <f t="shared" si="6"/>
        <v/>
      </c>
      <c r="G27" s="20">
        <v>0</v>
      </c>
      <c r="H27" s="20">
        <f t="shared" si="7"/>
        <v>456</v>
      </c>
      <c r="I27" s="19" t="str">
        <f t="shared" si="8"/>
        <v/>
      </c>
      <c r="J27" s="42"/>
      <c r="K27" s="43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2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2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2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2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2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2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2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2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2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2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2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2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2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3.9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A27" sqref="A27:XFD27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85</v>
      </c>
      <c r="B1" t="s">
        <v>86</v>
      </c>
    </row>
    <row r="3" spans="1:7">
      <c r="A3" t="s">
        <v>87</v>
      </c>
      <c r="B3" t="s">
        <v>3</v>
      </c>
      <c r="C3" t="s">
        <v>4</v>
      </c>
      <c r="D3" t="s">
        <v>88</v>
      </c>
      <c r="E3" s="2" t="s">
        <v>89</v>
      </c>
    </row>
    <row r="4" spans="1:7" ht="14.25">
      <c r="A4" t="s">
        <v>90</v>
      </c>
      <c r="B4" t="s">
        <v>91</v>
      </c>
      <c r="C4" s="44" t="s">
        <v>92</v>
      </c>
      <c r="D4" s="48"/>
      <c r="E4" s="49" t="s">
        <v>93</v>
      </c>
      <c r="G4" s="3"/>
    </row>
    <row r="5" spans="1:7" ht="14.25">
      <c r="A5" t="s">
        <v>94</v>
      </c>
      <c r="B5" t="s">
        <v>95</v>
      </c>
      <c r="C5" s="45" t="s">
        <v>96</v>
      </c>
      <c r="D5" s="50"/>
      <c r="E5" s="51" t="s">
        <v>93</v>
      </c>
      <c r="G5" s="3"/>
    </row>
    <row r="6" spans="1:7" ht="14.25">
      <c r="A6" t="s">
        <v>97</v>
      </c>
      <c r="B6" t="s">
        <v>98</v>
      </c>
      <c r="C6" s="44" t="s">
        <v>96</v>
      </c>
      <c r="D6" s="48"/>
      <c r="E6" s="49" t="s">
        <v>93</v>
      </c>
      <c r="G6" s="3"/>
    </row>
    <row r="7" spans="1:7" ht="12.75" customHeight="1">
      <c r="A7" t="s">
        <v>99</v>
      </c>
      <c r="B7" t="s">
        <v>100</v>
      </c>
      <c r="C7" s="45" t="s">
        <v>101</v>
      </c>
      <c r="D7" s="50"/>
      <c r="E7" s="51" t="s">
        <v>93</v>
      </c>
    </row>
    <row r="8" spans="1:7" ht="12.75" customHeight="1">
      <c r="A8" t="s">
        <v>102</v>
      </c>
      <c r="B8" t="s">
        <v>103</v>
      </c>
      <c r="C8" s="44" t="s">
        <v>101</v>
      </c>
      <c r="D8" s="48"/>
      <c r="E8" s="49" t="s">
        <v>93</v>
      </c>
    </row>
    <row r="9" spans="1:7" ht="12.75" customHeight="1">
      <c r="A9" t="s">
        <v>104</v>
      </c>
      <c r="B9" t="s">
        <v>105</v>
      </c>
      <c r="C9" s="45" t="s">
        <v>101</v>
      </c>
      <c r="D9" s="50"/>
      <c r="E9" s="51" t="s">
        <v>93</v>
      </c>
    </row>
    <row r="10" spans="1:7" ht="12.75" customHeight="1">
      <c r="A10" t="s">
        <v>106</v>
      </c>
      <c r="B10" t="s">
        <v>107</v>
      </c>
      <c r="C10" s="44" t="s">
        <v>101</v>
      </c>
      <c r="D10" s="48"/>
      <c r="E10" s="49" t="s">
        <v>93</v>
      </c>
    </row>
    <row r="11" spans="1:7" ht="12.75" customHeight="1">
      <c r="A11" t="s">
        <v>108</v>
      </c>
      <c r="B11" t="s">
        <v>109</v>
      </c>
      <c r="C11" s="45" t="s">
        <v>101</v>
      </c>
      <c r="D11" s="50"/>
      <c r="E11" s="51" t="s">
        <v>93</v>
      </c>
    </row>
    <row r="12" spans="1:7" ht="12.75" customHeight="1">
      <c r="A12" t="s">
        <v>110</v>
      </c>
      <c r="B12" t="s">
        <v>111</v>
      </c>
      <c r="C12" s="44" t="s">
        <v>101</v>
      </c>
      <c r="D12" s="48"/>
      <c r="E12" s="49" t="s">
        <v>93</v>
      </c>
    </row>
    <row r="13" spans="1:7" ht="12.75" customHeight="1">
      <c r="A13" t="s">
        <v>112</v>
      </c>
      <c r="B13" t="s">
        <v>113</v>
      </c>
      <c r="C13" s="45" t="s">
        <v>96</v>
      </c>
      <c r="D13" s="50"/>
      <c r="E13" s="51" t="s">
        <v>93</v>
      </c>
    </row>
    <row r="14" spans="1:7" ht="12.75" customHeight="1">
      <c r="A14" t="s">
        <v>114</v>
      </c>
      <c r="B14" t="s">
        <v>115</v>
      </c>
      <c r="C14" s="44" t="s">
        <v>101</v>
      </c>
      <c r="D14" s="48"/>
      <c r="E14" s="49" t="s">
        <v>93</v>
      </c>
    </row>
    <row r="15" spans="1:7" ht="12.75" customHeight="1">
      <c r="A15" t="s">
        <v>116</v>
      </c>
      <c r="B15" t="s">
        <v>117</v>
      </c>
      <c r="C15" s="45" t="s">
        <v>101</v>
      </c>
      <c r="D15" s="50"/>
      <c r="E15" s="51" t="s">
        <v>93</v>
      </c>
    </row>
    <row r="16" spans="1:7" ht="12.75" customHeight="1">
      <c r="A16" t="s">
        <v>36</v>
      </c>
      <c r="B16" t="s">
        <v>118</v>
      </c>
      <c r="C16" s="44" t="s">
        <v>119</v>
      </c>
      <c r="D16" s="48"/>
      <c r="E16" s="49" t="s">
        <v>93</v>
      </c>
    </row>
    <row r="17" spans="1:5" ht="12.75" customHeight="1">
      <c r="A17" t="s">
        <v>120</v>
      </c>
      <c r="B17" t="s">
        <v>121</v>
      </c>
      <c r="C17" s="45" t="s">
        <v>122</v>
      </c>
      <c r="D17" s="50"/>
      <c r="E17" s="51" t="s">
        <v>93</v>
      </c>
    </row>
    <row r="18" spans="1:5" ht="12.75" customHeight="1">
      <c r="A18" t="s">
        <v>36</v>
      </c>
      <c r="B18" t="s">
        <v>123</v>
      </c>
      <c r="C18" s="45" t="s">
        <v>119</v>
      </c>
      <c r="D18" s="48"/>
      <c r="E18" s="49" t="s">
        <v>93</v>
      </c>
    </row>
    <row r="19" spans="1:5" ht="12.75" customHeight="1">
      <c r="A19" t="s">
        <v>124</v>
      </c>
      <c r="B19" t="s">
        <v>125</v>
      </c>
      <c r="C19" s="45" t="s">
        <v>126</v>
      </c>
      <c r="D19" s="50"/>
      <c r="E19" s="51" t="s">
        <v>93</v>
      </c>
    </row>
    <row r="20" spans="1:5" ht="12.75" customHeight="1">
      <c r="A20" t="s">
        <v>127</v>
      </c>
      <c r="B20" t="s">
        <v>128</v>
      </c>
      <c r="C20" s="45" t="s">
        <v>92</v>
      </c>
      <c r="D20" s="48"/>
      <c r="E20" s="49" t="s">
        <v>93</v>
      </c>
    </row>
    <row r="21" spans="1:5" ht="12.75" customHeight="1">
      <c r="A21" t="s">
        <v>129</v>
      </c>
      <c r="B21" t="s">
        <v>130</v>
      </c>
      <c r="C21" s="45" t="s">
        <v>126</v>
      </c>
      <c r="D21" s="50"/>
      <c r="E21" s="51" t="s">
        <v>93</v>
      </c>
    </row>
    <row r="22" spans="1:5" ht="12.75" customHeight="1">
      <c r="A22" t="s">
        <v>36</v>
      </c>
      <c r="B22" t="s">
        <v>131</v>
      </c>
      <c r="C22" s="45" t="s">
        <v>119</v>
      </c>
      <c r="D22" s="48"/>
      <c r="E22" s="49" t="s">
        <v>93</v>
      </c>
    </row>
    <row r="23" spans="1:5" ht="12.75" customHeight="1">
      <c r="A23" t="s">
        <v>132</v>
      </c>
      <c r="B23" t="s">
        <v>133</v>
      </c>
      <c r="C23" s="45" t="s">
        <v>119</v>
      </c>
      <c r="D23" s="50"/>
      <c r="E23" s="51" t="s">
        <v>93</v>
      </c>
    </row>
    <row r="24" spans="1:5" ht="12.75" customHeight="1">
      <c r="A24" t="s">
        <v>134</v>
      </c>
      <c r="B24" t="s">
        <v>135</v>
      </c>
      <c r="C24" s="45" t="s">
        <v>136</v>
      </c>
      <c r="D24" s="48"/>
      <c r="E24" s="49" t="s">
        <v>93</v>
      </c>
    </row>
    <row r="25" spans="1:5" ht="12.75" customHeight="1">
      <c r="A25" t="s">
        <v>137</v>
      </c>
      <c r="B25" t="s">
        <v>138</v>
      </c>
      <c r="C25" s="45" t="s">
        <v>139</v>
      </c>
      <c r="D25" s="50"/>
      <c r="E25" s="51" t="s">
        <v>93</v>
      </c>
    </row>
    <row r="26" spans="1:5" ht="12.75" customHeight="1">
      <c r="A26" s="55" t="s">
        <v>140</v>
      </c>
      <c r="B26" s="56" t="s">
        <v>141</v>
      </c>
      <c r="C26" s="56" t="s">
        <v>142</v>
      </c>
      <c r="D26" s="57"/>
      <c r="E26" s="51" t="s">
        <v>93</v>
      </c>
    </row>
    <row r="27" spans="1:5" ht="12.75" customHeight="1">
      <c r="A27" s="55" t="s">
        <v>143</v>
      </c>
      <c r="B27" s="56" t="s">
        <v>144</v>
      </c>
      <c r="C27" s="56" t="s">
        <v>136</v>
      </c>
      <c r="D27" s="57"/>
      <c r="E27" s="51" t="s">
        <v>93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7ABEE402-70D8-491B-AF58-7A7571C03174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