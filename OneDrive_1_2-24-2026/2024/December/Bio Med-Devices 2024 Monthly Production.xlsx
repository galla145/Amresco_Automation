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" documentId="13_ncr:1_{CAE2B9C8-312A-48F1-8F51-68AD39A7F4F0}" xr6:coauthVersionLast="47" xr6:coauthVersionMax="47" xr10:uidLastSave="{9FF41276-A580-4914-8390-F942855BFF39}"/>
  <bookViews>
    <workbookView xWindow="28680" yWindow="-120" windowWidth="29040" windowHeight="15720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H4" i="33"/>
  <c r="H4" i="32"/>
  <c r="G4" i="29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<sst xmlns="http://schemas.openxmlformats.org/spreadsheetml/2006/main" count="246" uniqueCount="59">
  <si>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</si>
  <si>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</si>
  <si>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</si>
  <si>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</si>
  <si>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</si>
  <si>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</si>
  <si>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</si>
  <si>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</si>
  <si>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</si>
  <si>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</si>
  <si>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</si>
  <si>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</si>
  <si>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</si>
  <si>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</si>
  <si>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</si>
  <si>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</si>
  <si>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</si>
  <si>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</si>
  <si>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</si>
  <si>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</si>
  <si>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</si>
  <si>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</si>
  <si>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</si>
  <si>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</si>
  <si>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</si>
  <si>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</si>
  <si>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3 is offline from 03/22 to 03/25.</t>
  </si>
  <si>
    <t>1. SR082391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</si>
  <si>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</si>
  <si>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</si>
  <si>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</si>
  <si>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</si>
  <si>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</si>
  <si>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</si>
  <si>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</si>
  <si>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</si>
  <si>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</si>
  <si>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</si>
  <si>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 xml:space="preserve">1.Inverter 4 tripped offline due to an arc fault at 9:15 EDT on 08/10/2024  and is back online on 08/13/2024 </t>
  </si>
  <si>
    <t>1.SR08867</t>
  </si>
  <si>
    <t>September Actual v. Expected</t>
  </si>
  <si>
    <t>September Actual v. Forecasted</t>
  </si>
  <si>
    <t>October Actual v. Expected</t>
  </si>
  <si>
    <t>October Actual v. Forecasted</t>
  </si>
  <si>
    <t xml:space="preserve">1.Inverter 4 was  offline from 8:15AM to 12:45PM on 10/15.
</t>
  </si>
  <si>
    <t>1.SR092159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</si>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</sst>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bottomRight" activeCell="F4" sqref="F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SUM(C4:C74)</f>
        <v>152860.78999999998</v>
      </c>
      <c r="D2" s="5">
        <f>SUM(D4:D74)</f>
        <v>0</v>
      </c>
      <c r="E2" s="5">
        <f>C2-D2</f>
        <v>152860.78999999998</v>
      </c>
      <c r="F2" s="6">
        <f>IFERROR(E2/D2, 0)</f>
        <v>0</v>
      </c>
      <c r="G2" s="5">
        <f>SUM(G4:G74)</f>
        <v>157771.18600000002</v>
      </c>
      <c r="H2" s="7">
        <f>C2-G2</f>
        <v>-4910.396000000037</v>
      </c>
      <c r="I2" s="6">
        <f>IFERROR(H2/G2, 0)</f>
        <v>-3.1123528474965235E-2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152860.78999999998</v>
      </c>
      <c r="D4" s="11">
        <f>SUM('1st Qtr'!D4, '2nd Qtr'!D4, '3rd Qtr'!D4, '4th Qtr'!D4)</f>
        <v>0</v>
      </c>
      <c r="E4" s="11">
        <f>IF(AND(ISNUMBER(C4),ISNUMBER(D4)), C4-D4, "")</f>
        <v>152860.78999999998</v>
      </c>
      <c r="F4" s="12" t="str">
        <f>IFERROR(E4/D4, "")</f>
        <v/>
      </c>
      <c r="G4" s="13">
        <f>SUM('1st Qtr'!G4, '2nd Qtr'!G4, '3rd Qtr'!G4, '4th Qtr'!G4)</f>
        <v>157771.18600000002</v>
      </c>
      <c r="H4" s="13">
        <f>SUM('1st Qtr'!H4, '2nd Qtr'!H4, '3rd Qtr'!H4, '4th Qtr'!H4)</f>
        <v>-4910.3959999999979</v>
      </c>
      <c r="I4" s="14">
        <f>IFERROR(H4/G4, "")</f>
        <v>-3.1123528474964988E-2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SUM(C4:C74)</f>
        <v>24798.019999999997</v>
      </c>
      <c r="D2" s="5">
        <f>SUM(D4:D74)</f>
        <v>0</v>
      </c>
      <c r="E2" s="5">
        <f>C2-D2</f>
        <v>24798.019999999997</v>
      </c>
      <c r="F2" s="6">
        <f>IFERROR(E2/D2, 0)</f>
        <v>0</v>
      </c>
      <c r="G2" s="5">
        <f>SUM(G4:G74)</f>
        <v>33814.351999999999</v>
      </c>
      <c r="H2" s="7">
        <f>C2-G2</f>
        <v>-9016.3320000000022</v>
      </c>
      <c r="I2" s="6">
        <f>IFERROR(H2/G2, 0)</f>
        <v>-0.26664216425025689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24798.019999999997</v>
      </c>
      <c r="D4" s="11">
        <f>SUM(Jan!D4, Feb!D4, Mar!D4)</f>
        <v>0</v>
      </c>
      <c r="E4" s="11">
        <f>IF(AND(ISNUMBER(C4),ISNUMBER(D4)), C4-D4, "")</f>
        <v>24798.019999999997</v>
      </c>
      <c r="F4" s="12" t="str">
        <f>IFERROR(E4/D4, "")</f>
        <v/>
      </c>
      <c r="G4" s="13">
        <f>SUM(Jan!G4, Feb!G4, Mar!G4)</f>
        <v>33814.351999999999</v>
      </c>
      <c r="H4" s="13">
        <f>SUM(Jan!H4, Feb!H4, Mar!H4)</f>
        <v>-9016.3319999999985</v>
      </c>
      <c r="I4" s="14">
        <f>IFERROR(H4/G4, "")</f>
        <v>-0.26664216425025677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H15" sqref="H1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SUM(C4:C74)</f>
        <v>53803.14</v>
      </c>
      <c r="D2" s="5">
        <f>SUM(D4:D74)</f>
        <v>0</v>
      </c>
      <c r="E2" s="5">
        <f>C2-D2</f>
        <v>53803.14</v>
      </c>
      <c r="F2" s="6">
        <f>IFERROR(E2/D2, 0)</f>
        <v>0</v>
      </c>
      <c r="G2" s="5">
        <f>SUM(G4:G74)</f>
        <v>49373.971000000005</v>
      </c>
      <c r="H2" s="7">
        <f>C2-G2</f>
        <v>4429.1689999999944</v>
      </c>
      <c r="I2" s="6">
        <f>IFERROR(H2/G2, 0)</f>
        <v>8.970655813768745E-2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53803.14</v>
      </c>
      <c r="D4" s="11">
        <f>SUM(Apr!D4, May!D4, Jun!D4)</f>
        <v>0</v>
      </c>
      <c r="E4" s="11">
        <f>IF(AND(ISNUMBER(C4),ISNUMBER(D4)), C4-D4, "")</f>
        <v>53803.14</v>
      </c>
      <c r="F4" s="12" t="str">
        <f>IFERROR(E4/D4, "")</f>
        <v/>
      </c>
      <c r="G4" s="13">
        <f>SUM(Apr!G4,May!G4,Jun!G4)</f>
        <v>49373.971000000005</v>
      </c>
      <c r="H4" s="13">
        <f>SUM(Apr!H4, May!H4, Jun!H4)</f>
        <v>4429.1689999999981</v>
      </c>
      <c r="I4" s="14">
        <f>IFERROR(H4/G4, "")</f>
        <v>8.970655813768752E-2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SUM(C4:C74)</f>
        <v>48184.77</v>
      </c>
      <c r="D2" s="5">
        <f>SUM(D4:D74)</f>
        <v>0</v>
      </c>
      <c r="E2" s="5">
        <f>C2-D2</f>
        <v>48184.77</v>
      </c>
      <c r="F2" s="6">
        <f>IFERROR(E2/D2, 0)</f>
        <v>0</v>
      </c>
      <c r="G2" s="5">
        <f>SUM(G4:G74)</f>
        <v>46315.082999999999</v>
      </c>
      <c r="H2" s="7">
        <f>C2-G2</f>
        <v>1869.6869999999981</v>
      </c>
      <c r="I2" s="6">
        <f>IFERROR(H2/G2, 0)</f>
        <v>4.0368857808157188E-2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48184.77</v>
      </c>
      <c r="D4" s="11">
        <f>SUM(Jul!D4, Aug!D4, Sep!D4)</f>
        <v>0</v>
      </c>
      <c r="E4" s="11">
        <f>IF(AND(ISNUMBER(C4),ISNUMBER(D4)), C4-D4, "")</f>
        <v>48184.77</v>
      </c>
      <c r="F4" s="12" t="str">
        <f>IFERROR(E4/D4, "")</f>
        <v/>
      </c>
      <c r="G4" s="13">
        <f>SUM(Jul!G4,Aug!G4,Sep!G4)</f>
        <v>46315.082999999999</v>
      </c>
      <c r="H4" s="13">
        <f>SUM(Jul!H4, Aug!H4, Sep!H4)</f>
        <v>1869.6870000000017</v>
      </c>
      <c r="I4" s="14">
        <f>IFERROR(H4/G4, "")</f>
        <v>4.0368857808157264E-2</v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tabSelected="1" workbookViewId="0">
      <pane xSplit="2" ySplit="3" topLeftCell="C4" activePane="bottomRight" state="frozen"/>
      <selection pane="bottomRight" activeCell="F21" sqref="F21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SUM(C4:C74)</f>
        <v>26074.86</v>
      </c>
      <c r="D2" s="5">
        <f>SUM(D4:D74)</f>
        <v>0</v>
      </c>
      <c r="E2" s="5">
        <f>C2-D2</f>
        <v>26074.86</v>
      </c>
      <c r="F2" s="6">
        <f>IFERROR(E2/D2, 0)</f>
        <v>0</v>
      </c>
      <c r="G2" s="5">
        <f>SUM(G4:G74)</f>
        <v>28267.780000000002</v>
      </c>
      <c r="H2" s="7">
        <f>C2-G2</f>
        <v>-2192.9200000000019</v>
      </c>
      <c r="I2" s="6">
        <f>IFERROR(H2/G2, 0)</f>
        <v>-7.7576661485267026E-2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26074.86</v>
      </c>
      <c r="D4" s="11">
        <f>SUM(Oct!D4, Nov!D4, Dec!D4)</f>
        <v>0</v>
      </c>
      <c r="E4" s="11">
        <f>IF(AND(ISNUMBER(C4),ISNUMBER(D4)), C4-D4, "")</f>
        <v>26074.86</v>
      </c>
      <c r="F4" s="12" t="str">
        <f>IFERROR(E4/D4, "")</f>
        <v/>
      </c>
      <c r="G4" s="13">
        <f>SUM(Oct!G4,Nov!G4,Dec!G4)</f>
        <v>28267.780000000002</v>
      </c>
      <c r="H4" s="13">
        <f>SUM(Oct!H4, Nov!H4, Dec!H4)</f>
        <v>-2192.9199999999992</v>
      </c>
      <c r="I4" s="14">
        <f>IFERROR(H4/G4, "")</f>
        <v>-7.7576661485266929E-2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workbookViewId="0">
      <pane xSplit="2" ySplit="3" topLeftCell="C4" activePane="bottomRight" state="frozen"/>
      <selection pane="bottomRight" activeCell="J4" sqref="J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SUM(C4:C73)</f>
        <v>4142</v>
      </c>
      <c r="D2" s="5">
        <f>SUM(D4:D73)</f>
        <v>0</v>
      </c>
      <c r="E2" s="5">
        <f>C2-D2</f>
        <v>4142</v>
      </c>
      <c r="F2" s="6">
        <f>IFERROR(E2/D2, 0)</f>
        <v>0</v>
      </c>
      <c r="G2" s="5">
        <f>SUM(G4:G73)</f>
        <v>8751</v>
      </c>
      <c r="H2" s="7">
        <f>C2-G2</f>
        <v>-4609</v>
      </c>
      <c r="I2" s="6">
        <f>IFERROR(H2/G2, 0)</f>
        <v>-0.52668266483830417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1">
        <v>4142</v>
      </c>
      <c r="D4" s="11">
        <v>0</v>
      </c>
      <c r="E4" s="11">
        <f>IF(AND(ISNUMBER(C4),ISNUMBER(D4)), C4-D4, "")</f>
        <v>4142</v>
      </c>
      <c r="F4" s="35" t="str">
        <f>IFERROR(E4/D4, "")</f>
        <v/>
      </c>
      <c r="G4" s="13">
        <v>8751</v>
      </c>
      <c r="H4" s="13">
        <f>IF(AND(ISNUMBER(C4),ISNUMBER(G4)), C4-G4, "")</f>
        <v>-4609</v>
      </c>
      <c r="I4" s="14">
        <f>IFERROR(H4/G4, "")</f>
        <v>-0.52668266483830417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 I4:I73 F5:F7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7078.12</v>
      </c>
      <c r="D2" s="5">
        <f>SUM(D4:D74)</f>
        <v>0</v>
      </c>
      <c r="E2" s="5">
        <f>C2-D2</f>
        <v>7078.12</v>
      </c>
      <c r="F2" s="6">
        <f>IFERROR(E2/D2, 0)</f>
        <v>0</v>
      </c>
      <c r="G2" s="5">
        <f>SUM(G4:G74)</f>
        <v>10476.151</v>
      </c>
      <c r="H2" s="7">
        <f>C2-G2</f>
        <v>-3398.0309999999999</v>
      </c>
      <c r="I2" s="6">
        <f>IFERROR(H2/G2, 0)</f>
        <v>-0.3243587267881114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9">
        <v>7078.12</v>
      </c>
      <c r="D4" s="11">
        <v>0</v>
      </c>
      <c r="E4" s="11">
        <f>IF(AND(ISNUMBER(C4),ISNUMBER(D4)), C4-D4, "")</f>
        <v>7078.12</v>
      </c>
      <c r="F4" s="12" t="str">
        <f>IFERROR(E4/D4, "")</f>
        <v/>
      </c>
      <c r="G4" s="13">
        <v>10476.151</v>
      </c>
      <c r="H4" s="13">
        <f>IF(AND(ISNUMBER(C4),ISNUMBER(G4)), C4-G4, "")</f>
        <v>-3398.0309999999999</v>
      </c>
      <c r="I4" s="14">
        <f>IFERROR(H4/G4, "")</f>
        <v>-0.3243587267881114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workbookViewId="0">
      <pane xSplit="2" ySplit="3" topLeftCell="E4" activePane="bottomRight" state="frozen"/>
      <selection pane="bottomRight" activeCell="J13" sqref="J13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13577.9</v>
      </c>
      <c r="D2" s="5">
        <f>SUM(D4:D74)</f>
        <v>0</v>
      </c>
      <c r="E2" s="5">
        <f>C2-D2</f>
        <v>13577.9</v>
      </c>
      <c r="F2" s="6">
        <f>IFERROR(E2/D2, 0)</f>
        <v>0</v>
      </c>
      <c r="G2" s="5">
        <f>SUM(G4:G74)</f>
        <v>14587.200999999999</v>
      </c>
      <c r="H2" s="7">
        <f>C2-G2</f>
        <v>-1009.3009999999995</v>
      </c>
      <c r="I2" s="6">
        <f>IFERROR(H2/G2, 0)</f>
        <v>-6.9190861221422775E-2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13577.9</v>
      </c>
      <c r="D4" s="11">
        <v>0</v>
      </c>
      <c r="E4" s="11">
        <f>IF(AND(ISNUMBER(C4),ISNUMBER(D4)), C4-D4, "")</f>
        <v>13577.9</v>
      </c>
      <c r="F4" s="12" t="str">
        <f>IFERROR(E4/D4, "")</f>
        <v/>
      </c>
      <c r="G4" s="13">
        <v>14587.200999999999</v>
      </c>
      <c r="H4" s="13">
        <f>IF(AND(ISNUMBER(C4),ISNUMBER(G4)), C4-G4, "")</f>
        <v>-1009.3009999999995</v>
      </c>
      <c r="I4" s="14">
        <f>IFERROR(H4/G4, "")</f>
        <v>-6.9190861221422775E-2</v>
      </c>
      <c r="J4" s="33" t="s">
        <v>26</v>
      </c>
      <c r="K4" s="33" t="s">
        <v>27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workbookViewId="0">
      <pane xSplit="2" ySplit="3" topLeftCell="I4" activePane="bottomRight" state="frozen"/>
      <selection pane="bottomRight" activeCell="I13" sqref="I13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15038.14</v>
      </c>
      <c r="D2" s="5">
        <f>SUM(D4:D74)</f>
        <v>0</v>
      </c>
      <c r="E2" s="5">
        <f>C2-D2</f>
        <v>15038.14</v>
      </c>
      <c r="F2" s="6">
        <f>IFERROR(E2/D2, 0)</f>
        <v>0</v>
      </c>
      <c r="G2" s="5">
        <f>SUM(G4:G74)</f>
        <v>15293.07</v>
      </c>
      <c r="H2" s="7">
        <f>C2-G2</f>
        <v>-254.93000000000029</v>
      </c>
      <c r="I2" s="6">
        <f>IFERROR(H2/G2, 0)</f>
        <v>-1.6669641870468148E-2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15038.14</v>
      </c>
      <c r="D4" s="11">
        <v>0</v>
      </c>
      <c r="E4" s="11">
        <f>IF(AND(ISNUMBER(C4),ISNUMBER(D4)), C4-D4, "")</f>
        <v>15038.14</v>
      </c>
      <c r="F4" s="12" t="str">
        <f>IFERROR(E4/D4, "")</f>
        <v/>
      </c>
      <c r="G4" s="13">
        <v>15293.07</v>
      </c>
      <c r="H4" s="13">
        <f>IF(AND(ISNUMBER(C4),ISNUMBER(G4)), C4-G4, "")</f>
        <v>-254.93000000000029</v>
      </c>
      <c r="I4" s="14">
        <f>IFERROR(H4/G4, "")</f>
        <v>-1.6669641870468148E-2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workbookViewId="0">
      <pane xSplit="2" ySplit="3" topLeftCell="H4" activePane="bottomRight" state="frozen"/>
      <selection pane="bottomRight" activeCell="H4" sqref="H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18524.78</v>
      </c>
      <c r="D2" s="5">
        <f>SUM(D4:D74)</f>
        <v>0</v>
      </c>
      <c r="E2" s="5">
        <f>C2-D2</f>
        <v>18524.78</v>
      </c>
      <c r="F2" s="6">
        <f>IFERROR(E2/D2, 0)</f>
        <v>0</v>
      </c>
      <c r="G2" s="5">
        <f>SUM(G4:G74)</f>
        <v>17076.09</v>
      </c>
      <c r="H2" s="7">
        <f>C2-G2</f>
        <v>1448.6899999999987</v>
      </c>
      <c r="I2" s="6">
        <f>IFERROR(H2/G2, 0)</f>
        <v>8.4837336884497488E-2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18524.78</v>
      </c>
      <c r="D4" s="11">
        <v>0</v>
      </c>
      <c r="E4" s="11">
        <f>IF(AND(ISNUMBER(C4),ISNUMBER(D4)), C4-D4, "")</f>
        <v>18524.78</v>
      </c>
      <c r="F4" s="12" t="str">
        <f>IFERROR(E4/D4, "")</f>
        <v/>
      </c>
      <c r="G4" s="13">
        <v>17076.09</v>
      </c>
      <c r="H4" s="13">
        <f>IF(AND(ISNUMBER(C4),ISNUMBER(G4)), C4-G4, "")</f>
        <v>1448.6899999999987</v>
      </c>
      <c r="I4" s="14">
        <f>IFERROR(H4/G4, "")</f>
        <v>8.4837336884497488E-2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workbookViewId="0">
      <pane xSplit="2" ySplit="3" topLeftCell="G5" activePane="bottomRight" state="frozen"/>
      <selection pane="bottomRight" activeCell="G5" sqref="G5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20240.22</v>
      </c>
      <c r="D2" s="5">
        <f>SUM(D4:D74)</f>
        <v>0</v>
      </c>
      <c r="E2" s="5">
        <f>C2-D2</f>
        <v>20240.22</v>
      </c>
      <c r="F2" s="6">
        <f>IFERROR(E2/D2, 0)</f>
        <v>0</v>
      </c>
      <c r="G2" s="5">
        <f>SUM(G4:G74)</f>
        <v>17004.811000000002</v>
      </c>
      <c r="H2" s="7">
        <f>C2-G2</f>
        <v>3235.4089999999997</v>
      </c>
      <c r="I2" s="6">
        <f>IFERROR(H2/G2, 0)</f>
        <v>0.19026433166472709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20240.22</v>
      </c>
      <c r="D4" s="11">
        <v>0</v>
      </c>
      <c r="E4" s="11">
        <f>IF(AND(ISNUMBER(C4),ISNUMBER(D4)), C4-D4, "")</f>
        <v>20240.22</v>
      </c>
      <c r="F4" s="12" t="str">
        <f>IFERROR(E4/D4, "")</f>
        <v/>
      </c>
      <c r="G4" s="13">
        <v>17004.811000000002</v>
      </c>
      <c r="H4" s="13">
        <f>IF(AND(ISNUMBER(C4),ISNUMBER(G4)), C4-G4, "")</f>
        <v>3235.4089999999997</v>
      </c>
      <c r="I4" s="14">
        <f>IFERROR(H4/G4, "")</f>
        <v>0.19026433166472709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workbookViewId="0">
      <pane xSplit="2" ySplit="3" topLeftCell="J4" activePane="bottomRight" state="frozen"/>
      <selection pane="bottomRight" activeCell="K4" sqref="K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18135.36</v>
      </c>
      <c r="D2" s="5">
        <f>SUM(D4:D74)</f>
        <v>0</v>
      </c>
      <c r="E2" s="5">
        <f>C2-D2</f>
        <v>18135.36</v>
      </c>
      <c r="F2" s="6">
        <f>IFERROR(E2/D2, 0)</f>
        <v>0</v>
      </c>
      <c r="G2" s="5">
        <f>SUM(G4:G74)</f>
        <v>16668.599999999999</v>
      </c>
      <c r="H2" s="7">
        <f>C2-G2</f>
        <v>1466.760000000002</v>
      </c>
      <c r="I2" s="6">
        <f>IFERROR(H2/G2, 0)</f>
        <v>8.799539253446613E-2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18135.36</v>
      </c>
      <c r="D4" s="11">
        <v>0</v>
      </c>
      <c r="E4" s="11">
        <f>IF(AND(ISNUMBER(C4),ISNUMBER(D4)), C4-D4, "")</f>
        <v>18135.36</v>
      </c>
      <c r="F4" s="12" t="str">
        <f>IFERROR(E4/D4, "")</f>
        <v/>
      </c>
      <c r="G4" s="13">
        <v>16668.599999999999</v>
      </c>
      <c r="H4" s="13">
        <f>IF(AND(ISNUMBER(C4),ISNUMBER(G4)), C4-G4, "")</f>
        <v>1466.760000000002</v>
      </c>
      <c r="I4" s="14">
        <f>IFERROR(H4/G4, "")</f>
        <v>8.799539253446613E-2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workbookViewId="0">
      <pane xSplit="2" ySplit="3" topLeftCell="C4" activePane="bottomRight" state="frozen"/>
      <selection pane="bottomRight" activeCell="K4" sqref="K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16347.49</v>
      </c>
      <c r="D2" s="5">
        <f>SUM(D4:D74)</f>
        <v>0</v>
      </c>
      <c r="E2" s="5">
        <f>C2-D2</f>
        <v>16347.49</v>
      </c>
      <c r="F2" s="6">
        <f>IFERROR(E2/D2, 0)</f>
        <v>0</v>
      </c>
      <c r="G2" s="5">
        <f>SUM(G4:G74)</f>
        <v>15828.486000000001</v>
      </c>
      <c r="H2" s="7">
        <f>C2-G2</f>
        <v>519.003999999999</v>
      </c>
      <c r="I2" s="6">
        <f>IFERROR(H2/G2, 0)</f>
        <v>3.2789238339029962E-2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28.9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16347.49</v>
      </c>
      <c r="D4" s="11">
        <v>0</v>
      </c>
      <c r="E4" s="11">
        <f>IF(AND(ISNUMBER(C4),ISNUMBER(D4)), C4-D4, "")</f>
        <v>16347.49</v>
      </c>
      <c r="F4" s="12" t="str">
        <f>IFERROR(E4/D4, "")</f>
        <v/>
      </c>
      <c r="G4" s="13">
        <v>15828.486000000001</v>
      </c>
      <c r="H4" s="13">
        <f>IF(AND(ISNUMBER(C4),ISNUMBER(G4)), C4-G4, "")</f>
        <v>519.003999999999</v>
      </c>
      <c r="I4" s="14">
        <f>IFERROR(H4/G4, "")</f>
        <v>3.2789238339029962E-2</v>
      </c>
      <c r="J4" s="33" t="s">
        <v>38</v>
      </c>
      <c r="K4" s="33" t="s">
        <v>39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13701.92</v>
      </c>
      <c r="D2" s="5">
        <f>SUM(D4:D74)</f>
        <v>0</v>
      </c>
      <c r="E2" s="5">
        <f>C2-D2</f>
        <v>13701.92</v>
      </c>
      <c r="F2" s="6">
        <f>IFERROR(E2/D2, 0)</f>
        <v>0</v>
      </c>
      <c r="G2" s="5">
        <f>SUM(G4:G74)</f>
        <v>13817.996999999999</v>
      </c>
      <c r="H2" s="7">
        <f>C2-G2</f>
        <v>-116.07699999999932</v>
      </c>
      <c r="I2" s="6">
        <f>IFERROR(H2/G2, 0)</f>
        <v>-8.400421566164714E-3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13701.92</v>
      </c>
      <c r="D4" s="11">
        <v>0</v>
      </c>
      <c r="E4" s="11">
        <f>IF(AND(ISNUMBER(C4),ISNUMBER(D4)), C4-D4, "")</f>
        <v>13701.92</v>
      </c>
      <c r="F4" s="12" t="str">
        <f>IFERROR(E4/D4, "")</f>
        <v/>
      </c>
      <c r="G4" s="13">
        <v>13817.996999999999</v>
      </c>
      <c r="H4" s="13">
        <f>IF(AND(ISNUMBER(C4),ISNUMBER(G4)), C4-G4, "")</f>
        <v>-116.07699999999932</v>
      </c>
      <c r="I4" s="14">
        <f>IFERROR(H4/G4, "")</f>
        <v>-8.400421566164714E-3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workbookViewId="0">
      <pane xSplit="2" ySplit="3" topLeftCell="C4" activePane="bottomRight" state="frozen"/>
      <selection pane="bottomRight" activeCell="J8" sqref="J8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12104.7</v>
      </c>
      <c r="D2" s="5">
        <f>SUM(D4:D74)</f>
        <v>0</v>
      </c>
      <c r="E2" s="5">
        <f>C2-D2</f>
        <v>12104.7</v>
      </c>
      <c r="F2" s="6">
        <f>IFERROR(E2/D2, 0)</f>
        <v>0</v>
      </c>
      <c r="G2" s="5">
        <f>SUM(G4:G74)</f>
        <v>11930.6</v>
      </c>
      <c r="H2" s="7">
        <f>C2-G2</f>
        <v>174.10000000000036</v>
      </c>
      <c r="I2" s="6">
        <f>IFERROR(H2/G2, 0)</f>
        <v>1.4592727943271953E-2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30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12104.7</v>
      </c>
      <c r="D4" s="11">
        <v>0</v>
      </c>
      <c r="E4" s="11">
        <f>IF(AND(ISNUMBER(C4),ISNUMBER(D4)), C4-D4, "")</f>
        <v>12104.7</v>
      </c>
      <c r="F4" s="12" t="str">
        <f>IFERROR(E4/D4, "")</f>
        <v/>
      </c>
      <c r="G4" s="13">
        <v>11930.6</v>
      </c>
      <c r="H4" s="13">
        <f>IF(AND(ISNUMBER(C4),ISNUMBER(G4)), C4-G4, "")</f>
        <v>174.10000000000036</v>
      </c>
      <c r="I4" s="14">
        <f>IFERROR(H4/G4, "")</f>
        <v>1.4592727943271953E-2</v>
      </c>
      <c r="J4" s="33" t="s">
        <v>44</v>
      </c>
      <c r="K4" s="33" t="s">
        <v>45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workbookViewId="0">
      <pane xSplit="2" ySplit="3" topLeftCell="C4" activePane="bottomRight" state="frozen"/>
      <selection pane="bottomRight" activeCell="H4" sqref="H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7872.5</v>
      </c>
      <c r="D2" s="5">
        <f>SUM(D4:D74)</f>
        <v>0</v>
      </c>
      <c r="E2" s="5">
        <f>C2-D2</f>
        <v>7872.5</v>
      </c>
      <c r="F2" s="6">
        <f>IFERROR(E2/D2, 0)</f>
        <v>0</v>
      </c>
      <c r="G2" s="5">
        <f>SUM(G4:G74)</f>
        <v>8461.2999999999993</v>
      </c>
      <c r="H2" s="7">
        <f>C2-G2</f>
        <v>-588.79999999999927</v>
      </c>
      <c r="I2" s="6">
        <f>IFERROR(H2/G2, 0)</f>
        <v>-6.9587415645349926E-2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7872.5</v>
      </c>
      <c r="D4" s="11">
        <v>0</v>
      </c>
      <c r="E4" s="11">
        <f>IF(AND(ISNUMBER(C4),ISNUMBER(D4)), C4-D4, "")</f>
        <v>7872.5</v>
      </c>
      <c r="F4" s="12" t="str">
        <f>IFERROR(E4/D4, "")</f>
        <v/>
      </c>
      <c r="G4" s="13">
        <v>8461.2999999999993</v>
      </c>
      <c r="H4" s="13">
        <f>IF(AND(ISNUMBER(C4),ISNUMBER(G4)), C4-G4, "")</f>
        <v>-588.79999999999927</v>
      </c>
      <c r="I4" s="14">
        <f>IFERROR(H4/G4, "")</f>
        <v>-6.9587415645349926E-2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workbookViewId="0">
      <pane xSplit="2" ySplit="3" topLeftCell="C4" activePane="bottomRight" state="frozen"/>
      <selection pane="bottomRight" activeCell="G7" sqref="G7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48</v>
      </c>
      <c r="E1" s="43"/>
      <c r="F1" s="43"/>
      <c r="G1" s="41" t="s">
        <v>49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6097.66</v>
      </c>
      <c r="D2" s="5">
        <f>SUM(D4:D74)</f>
        <v>0</v>
      </c>
      <c r="E2" s="5">
        <f>C2-D2</f>
        <v>6097.66</v>
      </c>
      <c r="F2" s="6">
        <f>IFERROR(E2/D2, 0)</f>
        <v>0</v>
      </c>
      <c r="G2" s="5">
        <f>SUM(G4:G74)</f>
        <v>7875.88</v>
      </c>
      <c r="H2" s="7">
        <f>C2-G2</f>
        <v>-1778.2200000000003</v>
      </c>
      <c r="I2" s="6">
        <f>IFERROR(H2/G2, 0)</f>
        <v>-0.22578048421255786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6097.66</v>
      </c>
      <c r="D4" s="11">
        <v>0</v>
      </c>
      <c r="E4" s="11">
        <f>IF(AND(ISNUMBER(C4),ISNUMBER(D4)), C4-D4, "")</f>
        <v>6097.66</v>
      </c>
      <c r="F4" s="12" t="str">
        <f>IFERROR(E4/D4, "")</f>
        <v/>
      </c>
      <c r="G4" s="13">
        <v>7875.88</v>
      </c>
      <c r="H4" s="13">
        <f>IF(AND(ISNUMBER(C4),ISNUMBER(G4)), C4-G4, "")</f>
        <v>-1778.2200000000003</v>
      </c>
      <c r="I4" s="14">
        <f>IFERROR(H4/G4, "")</f>
        <v>-0.22578048421255786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39" t="s">
        <v>51</v>
      </c>
      <c r="B4" t="s">
        <v>55</v>
      </c>
      <c r="C4" s="37" t="s">
        <v>56</v>
      </c>
      <c r="D4" s="36" t="s">
        <v>57</v>
      </c>
      <c r="E4" t="s">
        <v>58</v>
      </c>
      <c r="G4" s="3"/>
    </row>
    <row r="5" spans="1:12" ht="14.45">
      <c r="A5" s="39"/>
      <c r="C5" s="37"/>
      <c r="D5" s="36"/>
      <c r="G5" s="3"/>
    </row>
    <row r="6" spans="1:12" ht="14.45">
      <c r="A6" s="39"/>
      <c r="C6" s="37"/>
      <c r="D6" s="36"/>
      <c r="G6" s="3"/>
    </row>
    <row r="7" spans="1:12" ht="12.75" customHeight="1">
      <c r="A7" s="39"/>
      <c r="C7" s="37"/>
      <c r="D7" s="36"/>
    </row>
    <row r="8" spans="1:12" ht="12.75" customHeight="1">
      <c r="A8" s="39"/>
      <c r="C8" s="37"/>
      <c r="D8" s="36"/>
    </row>
    <row r="9" spans="1:12" ht="12.75" customHeight="1">
      <c r="A9" s="39"/>
      <c r="C9" s="37"/>
      <c r="D9" s="36"/>
    </row>
    <row r="10" spans="1:12" ht="12.75" customHeight="1">
      <c r="A10" s="39"/>
      <c r="C10" s="37"/>
      <c r="D10" s="36"/>
      <c r="K10" s="34"/>
      <c r="L10" s="34"/>
    </row>
    <row r="11" spans="1:12" ht="12.75" customHeight="1">
      <c r="A11" s="39"/>
      <c r="C11" s="37"/>
      <c r="D11" s="36"/>
      <c r="K11" s="34"/>
      <c r="L11" s="34"/>
    </row>
    <row r="12" spans="1:12" ht="12.75" customHeight="1">
      <c r="A12" s="39"/>
      <c r="C12" s="37"/>
      <c r="D12" s="36"/>
      <c r="K12" s="34"/>
      <c r="L12" s="34"/>
    </row>
    <row r="13" spans="1:12" ht="12.75" customHeight="1">
      <c r="A13" s="39"/>
      <c r="C13" s="37"/>
      <c r="D13" s="36"/>
      <c r="K13" s="34"/>
      <c r="L13" s="34"/>
    </row>
    <row r="14" spans="1:12" ht="12.75" customHeight="1">
      <c r="A14" s="39"/>
      <c r="C14" s="37"/>
      <c r="D14" s="36"/>
      <c r="K14" s="34"/>
      <c r="L14" s="34"/>
    </row>
    <row r="15" spans="1:12" ht="12.75" customHeight="1">
      <c r="A15" s="39"/>
      <c r="C15" s="37"/>
      <c r="D15" s="36"/>
      <c r="K15" s="34"/>
      <c r="L15" s="34"/>
    </row>
    <row r="16" spans="1:12" ht="12.75" customHeight="1">
      <c r="A16" s="39"/>
      <c r="C16" s="37"/>
      <c r="D16" s="36"/>
      <c r="K16" s="34"/>
      <c r="L16" s="34"/>
    </row>
    <row r="17" spans="1:12" ht="12.75" customHeight="1">
      <c r="A17" s="39"/>
      <c r="C17" s="37"/>
      <c r="D17" s="36"/>
      <c r="K17" s="34"/>
      <c r="L17" s="34"/>
    </row>
    <row r="18" spans="1:12" ht="12.75" customHeight="1">
      <c r="A18" s="39"/>
      <c r="C18" s="37"/>
      <c r="D18" s="36"/>
      <c r="K18" s="34"/>
      <c r="L18" s="34"/>
    </row>
    <row r="19" spans="1:12" ht="12.75" customHeight="1">
      <c r="A19" s="39"/>
      <c r="C19" s="37"/>
      <c r="D19" s="36"/>
      <c r="K19" s="34"/>
      <c r="L19" s="34"/>
    </row>
    <row r="20" spans="1:12" ht="12.75" customHeight="1">
      <c r="A20" s="39"/>
      <c r="C20" s="37"/>
      <c r="D20" s="36"/>
      <c r="K20" s="34"/>
      <c r="L20" s="34"/>
    </row>
    <row r="21" spans="1:12" ht="12.75" customHeight="1">
      <c r="A21" s="39"/>
      <c r="C21" s="37"/>
      <c r="D21" s="36"/>
      <c r="K21" s="34"/>
      <c r="L21" s="34"/>
    </row>
    <row r="22" spans="1:12" ht="12.75" customHeight="1">
      <c r="A22" s="39"/>
      <c r="C22" s="37"/>
      <c r="D22" s="36"/>
      <c r="K22" s="34"/>
      <c r="L22" s="34"/>
    </row>
    <row r="23" spans="1:12" ht="12.75" customHeight="1">
      <c r="A23" s="39"/>
      <c r="C23" s="37"/>
      <c r="D23" s="36"/>
      <c r="K23" s="34"/>
      <c r="L23" s="34"/>
    </row>
    <row r="24" spans="1:12" ht="12.75" customHeight="1">
      <c r="A24" s="39"/>
      <c r="C24" s="37"/>
      <c r="D24" s="36"/>
      <c r="K24" s="34"/>
      <c r="L24" s="34"/>
    </row>
    <row r="25" spans="1:12" ht="12.75" customHeight="1">
      <c r="A25" s="39"/>
      <c r="C25" s="37"/>
      <c r="D25" s="36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66A4696-6659-421C-A51C-AEE9E6F1C87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