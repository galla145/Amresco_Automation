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2" documentId="13_ncr:1_{59AEB214-D4E6-4529-BF19-461217271472}" xr6:coauthVersionLast="47" xr6:coauthVersionMax="47" xr10:uidLastSave="{CAAFC9E1-52C6-4937-9672-6D9ECABB3D06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4" l="1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5" i="34"/>
  <c r="G4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4" i="34"/>
  <c r="C5" i="34"/>
  <c r="E29" i="20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22" i="33"/>
  <c r="F22" i="33"/>
  <c r="H22" i="33"/>
  <c r="I22" i="33"/>
  <c r="E23" i="33"/>
  <c r="F23" i="33"/>
  <c r="H23" i="33"/>
  <c r="I23" i="33"/>
  <c r="E24" i="33"/>
  <c r="F24" i="33"/>
  <c r="H24" i="33"/>
  <c r="I24" i="33"/>
  <c r="E25" i="33"/>
  <c r="F25" i="33"/>
  <c r="H25" i="33"/>
  <c r="I25" i="33"/>
  <c r="E26" i="33"/>
  <c r="F26" i="33"/>
  <c r="H26" i="33"/>
  <c r="I26" i="33"/>
  <c r="E27" i="33"/>
  <c r="F27" i="33"/>
  <c r="H27" i="33"/>
  <c r="I27" i="33"/>
  <c r="E28" i="33"/>
  <c r="F28" i="33"/>
  <c r="H28" i="33"/>
  <c r="I28" i="33"/>
  <c r="E29" i="33"/>
  <c r="F29" i="33"/>
  <c r="H29" i="33"/>
  <c r="I29" i="33"/>
  <c r="E30" i="33"/>
  <c r="F30" i="33"/>
  <c r="H30" i="33"/>
  <c r="I30" i="33"/>
  <c r="E31" i="33"/>
  <c r="F31" i="33"/>
  <c r="H31" i="33"/>
  <c r="I31" i="33"/>
  <c r="E32" i="33"/>
  <c r="F32" i="33"/>
  <c r="H32" i="33"/>
  <c r="I32" i="33"/>
  <c r="E33" i="33"/>
  <c r="F33" i="33"/>
  <c r="H33" i="33"/>
  <c r="I33" i="33"/>
  <c r="E34" i="33"/>
  <c r="F34" i="33"/>
  <c r="H34" i="33"/>
  <c r="I34" i="33"/>
  <c r="E35" i="33"/>
  <c r="F35" i="33"/>
  <c r="H35" i="33"/>
  <c r="I35" i="33"/>
  <c r="E36" i="33"/>
  <c r="F36" i="33"/>
  <c r="H36" i="33"/>
  <c r="I36" i="33"/>
  <c r="E37" i="33"/>
  <c r="F37" i="33"/>
  <c r="H37" i="33"/>
  <c r="I37" i="33"/>
  <c r="E38" i="33"/>
  <c r="F38" i="33"/>
  <c r="H38" i="33"/>
  <c r="I38" i="33"/>
  <c r="E18" i="32"/>
  <c r="F18" i="32"/>
  <c r="H18" i="32"/>
  <c r="I18" i="32" s="1"/>
  <c r="E19" i="32"/>
  <c r="F19" i="32" s="1"/>
  <c r="H19" i="32"/>
  <c r="H19" i="30" s="1"/>
  <c r="I19" i="30" s="1"/>
  <c r="I19" i="32"/>
  <c r="E20" i="32"/>
  <c r="F20" i="32"/>
  <c r="H20" i="32"/>
  <c r="I20" i="32" s="1"/>
  <c r="E21" i="32"/>
  <c r="F21" i="32"/>
  <c r="H21" i="32"/>
  <c r="I21" i="32" s="1"/>
  <c r="E22" i="32"/>
  <c r="F22" i="32"/>
  <c r="H22" i="32"/>
  <c r="I22" i="32"/>
  <c r="E23" i="32"/>
  <c r="F23" i="32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/>
  <c r="H26" i="32"/>
  <c r="I26" i="32"/>
  <c r="E27" i="32"/>
  <c r="F27" i="32"/>
  <c r="H27" i="32"/>
  <c r="I27" i="32"/>
  <c r="E28" i="32"/>
  <c r="F28" i="32"/>
  <c r="H28" i="32"/>
  <c r="I28" i="32" s="1"/>
  <c r="E29" i="32"/>
  <c r="F29" i="32"/>
  <c r="H29" i="32"/>
  <c r="I29" i="32"/>
  <c r="E30" i="32"/>
  <c r="F30" i="32"/>
  <c r="H30" i="32"/>
  <c r="I30" i="32"/>
  <c r="E31" i="32"/>
  <c r="F31" i="32" s="1"/>
  <c r="H31" i="32"/>
  <c r="I31" i="32" s="1"/>
  <c r="E32" i="32"/>
  <c r="F32" i="32" s="1"/>
  <c r="H32" i="32"/>
  <c r="I32" i="32"/>
  <c r="E33" i="32"/>
  <c r="F33" i="32" s="1"/>
  <c r="H33" i="32"/>
  <c r="I33" i="32"/>
  <c r="E34" i="32"/>
  <c r="F34" i="32"/>
  <c r="H34" i="32"/>
  <c r="I34" i="32" s="1"/>
  <c r="E35" i="32"/>
  <c r="F35" i="32"/>
  <c r="H35" i="32"/>
  <c r="I35" i="32" s="1"/>
  <c r="E36" i="32"/>
  <c r="F36" i="32" s="1"/>
  <c r="H36" i="32"/>
  <c r="I36" i="32"/>
  <c r="E37" i="32"/>
  <c r="F37" i="32"/>
  <c r="H37" i="32"/>
  <c r="H37" i="30" s="1"/>
  <c r="I37" i="30" s="1"/>
  <c r="E38" i="32"/>
  <c r="F38" i="32" s="1"/>
  <c r="H38" i="32"/>
  <c r="I38" i="32"/>
  <c r="E18" i="31"/>
  <c r="F18" i="31" s="1"/>
  <c r="H18" i="31"/>
  <c r="I18" i="31" s="1"/>
  <c r="E19" i="31"/>
  <c r="F19" i="31"/>
  <c r="H19" i="31"/>
  <c r="I19" i="31" s="1"/>
  <c r="E20" i="31"/>
  <c r="F20" i="31"/>
  <c r="H20" i="31"/>
  <c r="I20" i="31"/>
  <c r="E21" i="31"/>
  <c r="F21" i="31" s="1"/>
  <c r="H21" i="31"/>
  <c r="I21" i="31" s="1"/>
  <c r="E22" i="31"/>
  <c r="F22" i="31" s="1"/>
  <c r="H22" i="31"/>
  <c r="I22" i="31"/>
  <c r="E23" i="31"/>
  <c r="F23" i="31" s="1"/>
  <c r="H23" i="31"/>
  <c r="I23" i="31" s="1"/>
  <c r="E24" i="31"/>
  <c r="F24" i="31"/>
  <c r="H24" i="31"/>
  <c r="I24" i="31" s="1"/>
  <c r="E25" i="31"/>
  <c r="F25" i="31"/>
  <c r="H25" i="31"/>
  <c r="I25" i="31" s="1"/>
  <c r="E26" i="31"/>
  <c r="F26" i="31" s="1"/>
  <c r="H26" i="31"/>
  <c r="E27" i="31"/>
  <c r="F27" i="31" s="1"/>
  <c r="H27" i="31"/>
  <c r="H27" i="30" s="1"/>
  <c r="I27" i="30" s="1"/>
  <c r="I27" i="31"/>
  <c r="E28" i="31"/>
  <c r="F28" i="31"/>
  <c r="H28" i="31"/>
  <c r="H28" i="30" s="1"/>
  <c r="I28" i="30" s="1"/>
  <c r="I28" i="31"/>
  <c r="E29" i="31"/>
  <c r="F29" i="31" s="1"/>
  <c r="H29" i="31"/>
  <c r="I29" i="31"/>
  <c r="E30" i="31"/>
  <c r="F30" i="31" s="1"/>
  <c r="H30" i="31"/>
  <c r="I30" i="31" s="1"/>
  <c r="E31" i="31"/>
  <c r="F31" i="31"/>
  <c r="H31" i="31"/>
  <c r="H31" i="30" s="1"/>
  <c r="I31" i="30" s="1"/>
  <c r="E32" i="31"/>
  <c r="F32" i="31"/>
  <c r="H32" i="31"/>
  <c r="H32" i="30" s="1"/>
  <c r="I32" i="30" s="1"/>
  <c r="E33" i="31"/>
  <c r="F33" i="31"/>
  <c r="H33" i="31"/>
  <c r="H33" i="30" s="1"/>
  <c r="I33" i="30" s="1"/>
  <c r="E34" i="31"/>
  <c r="F34" i="3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/>
  <c r="E19" i="28"/>
  <c r="F19" i="28" s="1"/>
  <c r="H19" i="28"/>
  <c r="I19" i="28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/>
  <c r="E23" i="28"/>
  <c r="F23" i="28"/>
  <c r="H23" i="28"/>
  <c r="I23" i="28"/>
  <c r="E24" i="28"/>
  <c r="F24" i="28"/>
  <c r="H24" i="28"/>
  <c r="I24" i="28"/>
  <c r="E25" i="28"/>
  <c r="F25" i="28" s="1"/>
  <c r="H25" i="28"/>
  <c r="I25" i="28" s="1"/>
  <c r="E26" i="28"/>
  <c r="F26" i="28"/>
  <c r="H26" i="28"/>
  <c r="I26" i="28"/>
  <c r="E27" i="28"/>
  <c r="F27" i="28"/>
  <c r="H27" i="28"/>
  <c r="I27" i="28"/>
  <c r="E28" i="28"/>
  <c r="F28" i="28" s="1"/>
  <c r="H28" i="28"/>
  <c r="I28" i="28" s="1"/>
  <c r="E29" i="28"/>
  <c r="F29" i="28"/>
  <c r="H29" i="28"/>
  <c r="I29" i="28" s="1"/>
  <c r="E30" i="28"/>
  <c r="F30" i="28"/>
  <c r="H30" i="28"/>
  <c r="I30" i="28"/>
  <c r="E31" i="28"/>
  <c r="F31" i="28"/>
  <c r="H31" i="28"/>
  <c r="I31" i="28" s="1"/>
  <c r="E32" i="28"/>
  <c r="F32" i="28"/>
  <c r="H32" i="28"/>
  <c r="I32" i="28" s="1"/>
  <c r="E33" i="28"/>
  <c r="F33" i="28"/>
  <c r="H33" i="28"/>
  <c r="I33" i="28"/>
  <c r="E34" i="28"/>
  <c r="F34" i="28"/>
  <c r="H34" i="28"/>
  <c r="I34" i="28" s="1"/>
  <c r="E35" i="28"/>
  <c r="F35" i="28"/>
  <c r="H35" i="28"/>
  <c r="I35" i="28"/>
  <c r="E36" i="28"/>
  <c r="F36" i="28"/>
  <c r="H36" i="28"/>
  <c r="I36" i="28"/>
  <c r="E37" i="28"/>
  <c r="F37" i="28" s="1"/>
  <c r="H37" i="28"/>
  <c r="I37" i="28"/>
  <c r="E38" i="28"/>
  <c r="F38" i="28" s="1"/>
  <c r="H38" i="28"/>
  <c r="I38" i="28"/>
  <c r="E18" i="27"/>
  <c r="F18" i="27"/>
  <c r="H18" i="27"/>
  <c r="I18" i="27" s="1"/>
  <c r="E19" i="27"/>
  <c r="F19" i="27"/>
  <c r="H19" i="27"/>
  <c r="I19" i="27"/>
  <c r="E20" i="27"/>
  <c r="F20" i="27"/>
  <c r="H20" i="27"/>
  <c r="I20" i="27"/>
  <c r="E21" i="27"/>
  <c r="F21" i="27"/>
  <c r="H21" i="27"/>
  <c r="H21" i="29" s="1"/>
  <c r="I21" i="29" s="1"/>
  <c r="E22" i="27"/>
  <c r="F22" i="27"/>
  <c r="H22" i="27"/>
  <c r="H22" i="29" s="1"/>
  <c r="I22" i="29" s="1"/>
  <c r="I22" i="27"/>
  <c r="E23" i="27"/>
  <c r="F23" i="27"/>
  <c r="H23" i="27"/>
  <c r="I23" i="27"/>
  <c r="E24" i="27"/>
  <c r="F24" i="27"/>
  <c r="H24" i="27"/>
  <c r="I24" i="27" s="1"/>
  <c r="E25" i="27"/>
  <c r="F25" i="27"/>
  <c r="H25" i="27"/>
  <c r="I25" i="27"/>
  <c r="E26" i="27"/>
  <c r="F26" i="27"/>
  <c r="H26" i="27"/>
  <c r="I26" i="27"/>
  <c r="E27" i="27"/>
  <c r="F27" i="27"/>
  <c r="H27" i="27"/>
  <c r="I27" i="27" s="1"/>
  <c r="E28" i="27"/>
  <c r="F28" i="27"/>
  <c r="H28" i="27"/>
  <c r="I28" i="27"/>
  <c r="E29" i="27"/>
  <c r="F29" i="27"/>
  <c r="H29" i="27"/>
  <c r="I29" i="27"/>
  <c r="E30" i="27"/>
  <c r="F30" i="27"/>
  <c r="H30" i="27"/>
  <c r="I30" i="27" s="1"/>
  <c r="E31" i="27"/>
  <c r="F31" i="27"/>
  <c r="H31" i="27"/>
  <c r="I31" i="27"/>
  <c r="E32" i="27"/>
  <c r="F32" i="27"/>
  <c r="H32" i="27"/>
  <c r="I32" i="27"/>
  <c r="E33" i="27"/>
  <c r="F33" i="27"/>
  <c r="H33" i="27"/>
  <c r="I33" i="27" s="1"/>
  <c r="E34" i="27"/>
  <c r="F34" i="27"/>
  <c r="H34" i="27"/>
  <c r="I34" i="27"/>
  <c r="E35" i="27"/>
  <c r="F35" i="27"/>
  <c r="H35" i="27"/>
  <c r="I35" i="27"/>
  <c r="E36" i="27"/>
  <c r="F36" i="27"/>
  <c r="H36" i="27"/>
  <c r="I36" i="27" s="1"/>
  <c r="E37" i="27"/>
  <c r="F37" i="27" s="1"/>
  <c r="H37" i="27"/>
  <c r="I37" i="27" s="1"/>
  <c r="E38" i="27"/>
  <c r="F38" i="27"/>
  <c r="H38" i="27"/>
  <c r="I38" i="27"/>
  <c r="E18" i="26"/>
  <c r="F18" i="26" s="1"/>
  <c r="H18" i="26"/>
  <c r="I18" i="26" s="1"/>
  <c r="E19" i="26"/>
  <c r="F19" i="26"/>
  <c r="H19" i="26"/>
  <c r="H19" i="29" s="1"/>
  <c r="I19" i="29" s="1"/>
  <c r="I19" i="26"/>
  <c r="E20" i="26"/>
  <c r="F20" i="26"/>
  <c r="H20" i="26"/>
  <c r="I20" i="26"/>
  <c r="E21" i="26"/>
  <c r="F21" i="26" s="1"/>
  <c r="H21" i="26"/>
  <c r="I21" i="26" s="1"/>
  <c r="E22" i="26"/>
  <c r="F22" i="26"/>
  <c r="H22" i="26"/>
  <c r="I22" i="26"/>
  <c r="E23" i="26"/>
  <c r="F23" i="26"/>
  <c r="H23" i="26"/>
  <c r="I23" i="26"/>
  <c r="E24" i="26"/>
  <c r="F24" i="26" s="1"/>
  <c r="H24" i="26"/>
  <c r="I24" i="26" s="1"/>
  <c r="E25" i="26"/>
  <c r="F25" i="26"/>
  <c r="H25" i="26"/>
  <c r="I25" i="26" s="1"/>
  <c r="E26" i="26"/>
  <c r="F26" i="26"/>
  <c r="H26" i="26"/>
  <c r="I26" i="26"/>
  <c r="E27" i="26"/>
  <c r="F27" i="26" s="1"/>
  <c r="H27" i="26"/>
  <c r="I27" i="26"/>
  <c r="E28" i="26"/>
  <c r="F28" i="26"/>
  <c r="H28" i="26"/>
  <c r="I28" i="26"/>
  <c r="E29" i="26"/>
  <c r="F29" i="26"/>
  <c r="H29" i="26"/>
  <c r="I29" i="26"/>
  <c r="E30" i="26"/>
  <c r="F30" i="26" s="1"/>
  <c r="H30" i="26"/>
  <c r="I30" i="26"/>
  <c r="E31" i="26"/>
  <c r="F31" i="26"/>
  <c r="H31" i="26"/>
  <c r="I31" i="26"/>
  <c r="E32" i="26"/>
  <c r="F32" i="26" s="1"/>
  <c r="H32" i="26"/>
  <c r="E33" i="26"/>
  <c r="F33" i="26"/>
  <c r="H33" i="26"/>
  <c r="I33" i="26"/>
  <c r="E34" i="26"/>
  <c r="F34" i="26"/>
  <c r="H34" i="26"/>
  <c r="I34" i="26" s="1"/>
  <c r="E35" i="26"/>
  <c r="F35" i="26" s="1"/>
  <c r="H35" i="26"/>
  <c r="I35" i="26"/>
  <c r="E36" i="26"/>
  <c r="F36" i="26" s="1"/>
  <c r="H36" i="26"/>
  <c r="I36" i="26"/>
  <c r="E37" i="26"/>
  <c r="F37" i="26" s="1"/>
  <c r="H37" i="26"/>
  <c r="I37" i="26"/>
  <c r="E38" i="26"/>
  <c r="F38" i="26"/>
  <c r="H38" i="26"/>
  <c r="I38" i="26" s="1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22" i="19"/>
  <c r="F22" i="19"/>
  <c r="H22" i="19"/>
  <c r="I22" i="19"/>
  <c r="E23" i="19"/>
  <c r="F23" i="19"/>
  <c r="H23" i="19"/>
  <c r="I23" i="19"/>
  <c r="E24" i="19"/>
  <c r="F24" i="19"/>
  <c r="H24" i="19"/>
  <c r="I24" i="19"/>
  <c r="E25" i="19"/>
  <c r="F25" i="19"/>
  <c r="H25" i="19"/>
  <c r="I25" i="19"/>
  <c r="E26" i="19"/>
  <c r="F26" i="19"/>
  <c r="H26" i="19"/>
  <c r="I26" i="19"/>
  <c r="E27" i="19"/>
  <c r="F27" i="19"/>
  <c r="H27" i="19"/>
  <c r="I27" i="19"/>
  <c r="E28" i="19"/>
  <c r="F28" i="19"/>
  <c r="H28" i="19"/>
  <c r="I28" i="19"/>
  <c r="E29" i="19"/>
  <c r="F29" i="19"/>
  <c r="H29" i="19"/>
  <c r="I29" i="19"/>
  <c r="E30" i="19"/>
  <c r="F30" i="19"/>
  <c r="H30" i="19"/>
  <c r="I30" i="19"/>
  <c r="E31" i="19"/>
  <c r="F31" i="19"/>
  <c r="H31" i="19"/>
  <c r="I31" i="19"/>
  <c r="E32" i="19"/>
  <c r="F32" i="19"/>
  <c r="H32" i="19"/>
  <c r="I32" i="19"/>
  <c r="E33" i="19"/>
  <c r="F33" i="19"/>
  <c r="H33" i="19"/>
  <c r="I33" i="19"/>
  <c r="E34" i="19"/>
  <c r="F34" i="19"/>
  <c r="H34" i="19"/>
  <c r="I34" i="19"/>
  <c r="E35" i="19"/>
  <c r="F35" i="19"/>
  <c r="H35" i="19"/>
  <c r="I35" i="19"/>
  <c r="E36" i="19"/>
  <c r="F36" i="19"/>
  <c r="H36" i="19"/>
  <c r="I36" i="19"/>
  <c r="E37" i="19"/>
  <c r="F37" i="19"/>
  <c r="H37" i="19"/>
  <c r="I37" i="19"/>
  <c r="E38" i="19"/>
  <c r="F38" i="19"/>
  <c r="H38" i="19"/>
  <c r="I38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22" i="20"/>
  <c r="F22" i="20"/>
  <c r="H22" i="20"/>
  <c r="I22" i="20"/>
  <c r="E23" i="20"/>
  <c r="F23" i="20"/>
  <c r="H23" i="20"/>
  <c r="I23" i="20"/>
  <c r="E24" i="20"/>
  <c r="F24" i="20"/>
  <c r="H24" i="20"/>
  <c r="I24" i="20"/>
  <c r="E25" i="20"/>
  <c r="F25" i="20"/>
  <c r="H25" i="20"/>
  <c r="I25" i="20"/>
  <c r="E26" i="20"/>
  <c r="F26" i="20"/>
  <c r="H26" i="20"/>
  <c r="I26" i="20"/>
  <c r="E27" i="20"/>
  <c r="F27" i="20"/>
  <c r="H27" i="20"/>
  <c r="I27" i="20"/>
  <c r="E28" i="20"/>
  <c r="F28" i="20"/>
  <c r="H28" i="20"/>
  <c r="I28" i="20"/>
  <c r="F29" i="20"/>
  <c r="H29" i="20"/>
  <c r="I29" i="20"/>
  <c r="E30" i="20"/>
  <c r="F30" i="20"/>
  <c r="H30" i="20"/>
  <c r="I30" i="20"/>
  <c r="E31" i="20"/>
  <c r="F31" i="20"/>
  <c r="H31" i="20"/>
  <c r="I31" i="20"/>
  <c r="E32" i="20"/>
  <c r="F32" i="20"/>
  <c r="H32" i="20"/>
  <c r="I32" i="20"/>
  <c r="E33" i="20"/>
  <c r="F33" i="20"/>
  <c r="H33" i="20"/>
  <c r="I33" i="20"/>
  <c r="E34" i="20"/>
  <c r="F34" i="20"/>
  <c r="H34" i="20"/>
  <c r="I34" i="20"/>
  <c r="E35" i="20"/>
  <c r="F35" i="20"/>
  <c r="H35" i="20"/>
  <c r="I35" i="20"/>
  <c r="E36" i="20"/>
  <c r="F36" i="20"/>
  <c r="H36" i="20"/>
  <c r="I36" i="20"/>
  <c r="E37" i="20"/>
  <c r="F37" i="20"/>
  <c r="H37" i="20"/>
  <c r="I37" i="20"/>
  <c r="E38" i="20"/>
  <c r="F38" i="20"/>
  <c r="H38" i="20"/>
  <c r="I38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22" i="21"/>
  <c r="F22" i="21"/>
  <c r="H22" i="21"/>
  <c r="I22" i="21"/>
  <c r="E23" i="21"/>
  <c r="F23" i="21"/>
  <c r="H23" i="21"/>
  <c r="I23" i="21"/>
  <c r="E24" i="21"/>
  <c r="F24" i="21"/>
  <c r="H24" i="21"/>
  <c r="I24" i="21"/>
  <c r="E25" i="21"/>
  <c r="F25" i="21"/>
  <c r="H25" i="21"/>
  <c r="I25" i="21"/>
  <c r="E26" i="21"/>
  <c r="F26" i="21"/>
  <c r="H26" i="21"/>
  <c r="I26" i="21"/>
  <c r="E27" i="21"/>
  <c r="F27" i="21"/>
  <c r="H27" i="21"/>
  <c r="H27" i="18" s="1"/>
  <c r="I27" i="18" s="1"/>
  <c r="I27" i="21"/>
  <c r="E28" i="21"/>
  <c r="F28" i="21" s="1"/>
  <c r="H28" i="21"/>
  <c r="I28" i="21" s="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H35" i="18" s="1"/>
  <c r="I35" i="18" s="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22" i="4"/>
  <c r="F22" i="4"/>
  <c r="H22" i="4"/>
  <c r="I22" i="4"/>
  <c r="E23" i="4"/>
  <c r="F23" i="4"/>
  <c r="H23" i="4"/>
  <c r="I23" i="4"/>
  <c r="E24" i="4"/>
  <c r="F24" i="4"/>
  <c r="H24" i="4"/>
  <c r="I24" i="4"/>
  <c r="E25" i="4"/>
  <c r="F25" i="4"/>
  <c r="H25" i="4"/>
  <c r="I25" i="4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22" i="3"/>
  <c r="F22" i="3"/>
  <c r="H22" i="3"/>
  <c r="I22" i="3"/>
  <c r="E23" i="3"/>
  <c r="F23" i="3"/>
  <c r="H23" i="3"/>
  <c r="I23" i="3"/>
  <c r="E24" i="3"/>
  <c r="F24" i="3"/>
  <c r="H24" i="3"/>
  <c r="I24" i="3"/>
  <c r="E25" i="3"/>
  <c r="F25" i="3"/>
  <c r="H25" i="3"/>
  <c r="I25" i="3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E22" i="72"/>
  <c r="F22" i="72"/>
  <c r="H22" i="72"/>
  <c r="I22" i="72"/>
  <c r="E23" i="72"/>
  <c r="F23" i="72"/>
  <c r="H23" i="72"/>
  <c r="I23" i="72"/>
  <c r="E24" i="72"/>
  <c r="F24" i="72"/>
  <c r="H24" i="72"/>
  <c r="I24" i="72"/>
  <c r="E25" i="72"/>
  <c r="F25" i="72"/>
  <c r="H25" i="72"/>
  <c r="I25" i="72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C18" i="30"/>
  <c r="D18" i="30"/>
  <c r="C19" i="30"/>
  <c r="D19" i="30"/>
  <c r="C20" i="30"/>
  <c r="D20" i="30"/>
  <c r="C21" i="30"/>
  <c r="D21" i="30"/>
  <c r="E21" i="30"/>
  <c r="F21" i="30"/>
  <c r="C22" i="30"/>
  <c r="D22" i="30"/>
  <c r="C23" i="30"/>
  <c r="D23" i="30"/>
  <c r="E23" i="30" s="1"/>
  <c r="F23" i="30" s="1"/>
  <c r="C24" i="30"/>
  <c r="D24" i="30"/>
  <c r="C25" i="30"/>
  <c r="D25" i="30"/>
  <c r="C26" i="30"/>
  <c r="D26" i="30"/>
  <c r="E26" i="30"/>
  <c r="F26" i="30" s="1"/>
  <c r="C27" i="30"/>
  <c r="D27" i="30"/>
  <c r="C28" i="30"/>
  <c r="D28" i="30"/>
  <c r="E28" i="30"/>
  <c r="F28" i="30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H36" i="30"/>
  <c r="I36" i="30" s="1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E21" i="29" s="1"/>
  <c r="F21" i="29" s="1"/>
  <c r="D21" i="29"/>
  <c r="C22" i="29"/>
  <c r="D22" i="29"/>
  <c r="C23" i="29"/>
  <c r="E23" i="29" s="1"/>
  <c r="F23" i="29" s="1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E27" i="29" s="1"/>
  <c r="F27" i="29" s="1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E38" i="29" s="1"/>
  <c r="F38" i="29" s="1"/>
  <c r="H38" i="29"/>
  <c r="I38" i="29" s="1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H20" i="18"/>
  <c r="I20" i="18"/>
  <c r="C21" i="18"/>
  <c r="D21" i="18"/>
  <c r="E21" i="18"/>
  <c r="F21" i="18"/>
  <c r="H21" i="18"/>
  <c r="I21" i="18"/>
  <c r="C22" i="18"/>
  <c r="D22" i="18"/>
  <c r="E22" i="18"/>
  <c r="F22" i="18"/>
  <c r="H22" i="18"/>
  <c r="I22" i="18"/>
  <c r="C23" i="18"/>
  <c r="D23" i="18"/>
  <c r="E23" i="18"/>
  <c r="F23" i="18"/>
  <c r="H23" i="18"/>
  <c r="I23" i="18"/>
  <c r="C24" i="18"/>
  <c r="D24" i="18"/>
  <c r="E24" i="18"/>
  <c r="F24" i="18"/>
  <c r="H24" i="18"/>
  <c r="I24" i="18"/>
  <c r="C25" i="18"/>
  <c r="D25" i="18"/>
  <c r="E25" i="18"/>
  <c r="F25" i="18"/>
  <c r="H25" i="18"/>
  <c r="I25" i="18"/>
  <c r="C26" i="18"/>
  <c r="D26" i="18"/>
  <c r="E26" i="18"/>
  <c r="F26" i="18"/>
  <c r="H26" i="18"/>
  <c r="I26" i="18"/>
  <c r="C27" i="18"/>
  <c r="D27" i="18"/>
  <c r="C28" i="18"/>
  <c r="D28" i="18"/>
  <c r="C29" i="18"/>
  <c r="D29" i="18"/>
  <c r="E29" i="18"/>
  <c r="F29" i="18"/>
  <c r="H29" i="18"/>
  <c r="I29" i="18"/>
  <c r="C30" i="18"/>
  <c r="D30" i="18"/>
  <c r="E30" i="18"/>
  <c r="F30" i="18"/>
  <c r="H30" i="18"/>
  <c r="I30" i="18"/>
  <c r="C31" i="18"/>
  <c r="D31" i="18"/>
  <c r="E31" i="18"/>
  <c r="F31" i="18"/>
  <c r="H31" i="18"/>
  <c r="I31" i="18"/>
  <c r="C32" i="18"/>
  <c r="D32" i="18"/>
  <c r="E32" i="18"/>
  <c r="F32" i="18"/>
  <c r="H32" i="18"/>
  <c r="I32" i="18"/>
  <c r="C33" i="18"/>
  <c r="D33" i="18"/>
  <c r="E33" i="18"/>
  <c r="F33" i="18"/>
  <c r="H33" i="18"/>
  <c r="I33" i="18"/>
  <c r="C34" i="18"/>
  <c r="D34" i="18"/>
  <c r="E34" i="18"/>
  <c r="F34" i="18"/>
  <c r="H34" i="18"/>
  <c r="I34" i="18"/>
  <c r="C35" i="18"/>
  <c r="D35" i="18"/>
  <c r="E35" i="18"/>
  <c r="F35" i="18"/>
  <c r="C36" i="18"/>
  <c r="D36" i="18"/>
  <c r="E36" i="18"/>
  <c r="F36" i="18"/>
  <c r="H36" i="18"/>
  <c r="I36" i="18"/>
  <c r="C37" i="18"/>
  <c r="D37" i="18"/>
  <c r="E37" i="18"/>
  <c r="F37" i="18"/>
  <c r="H37" i="18"/>
  <c r="I37" i="18"/>
  <c r="C38" i="18"/>
  <c r="D38" i="18"/>
  <c r="E38" i="18"/>
  <c r="F38" i="18"/>
  <c r="H38" i="18"/>
  <c r="I38" i="18"/>
  <c r="D17" i="34"/>
  <c r="E17" i="34"/>
  <c r="F17" i="34"/>
  <c r="H17" i="34"/>
  <c r="I17" i="34"/>
  <c r="D18" i="34"/>
  <c r="E18" i="34"/>
  <c r="F18" i="34"/>
  <c r="H18" i="34"/>
  <c r="I18" i="34"/>
  <c r="D19" i="34"/>
  <c r="E19" i="34"/>
  <c r="F19" i="34"/>
  <c r="H19" i="34"/>
  <c r="I19" i="34"/>
  <c r="D20" i="34"/>
  <c r="E20" i="34"/>
  <c r="F20" i="34"/>
  <c r="H20" i="34"/>
  <c r="I20" i="34"/>
  <c r="D21" i="34"/>
  <c r="E21" i="34"/>
  <c r="F21" i="34"/>
  <c r="H21" i="34"/>
  <c r="I21" i="34"/>
  <c r="D22" i="34"/>
  <c r="E22" i="34"/>
  <c r="F22" i="34"/>
  <c r="H22" i="34"/>
  <c r="I22" i="34"/>
  <c r="D23" i="34"/>
  <c r="E23" i="34"/>
  <c r="F23" i="34"/>
  <c r="H23" i="34"/>
  <c r="I23" i="34"/>
  <c r="D24" i="34"/>
  <c r="E24" i="34"/>
  <c r="F24" i="34"/>
  <c r="H24" i="34"/>
  <c r="I24" i="34"/>
  <c r="D25" i="34"/>
  <c r="E25" i="34"/>
  <c r="F25" i="34"/>
  <c r="H25" i="34"/>
  <c r="I25" i="34"/>
  <c r="D26" i="34"/>
  <c r="E26" i="34"/>
  <c r="F26" i="34"/>
  <c r="H26" i="34"/>
  <c r="I26" i="34"/>
  <c r="D27" i="34"/>
  <c r="E27" i="34"/>
  <c r="F27" i="34"/>
  <c r="H27" i="34"/>
  <c r="I27" i="34"/>
  <c r="D28" i="34"/>
  <c r="E28" i="34"/>
  <c r="F28" i="34"/>
  <c r="H28" i="34"/>
  <c r="I28" i="34"/>
  <c r="D29" i="34"/>
  <c r="E29" i="34"/>
  <c r="F29" i="34"/>
  <c r="H29" i="34"/>
  <c r="I29" i="34"/>
  <c r="D30" i="34"/>
  <c r="E30" i="34"/>
  <c r="F30" i="34"/>
  <c r="H30" i="34"/>
  <c r="I30" i="34"/>
  <c r="D31" i="34"/>
  <c r="E31" i="34"/>
  <c r="F31" i="34"/>
  <c r="H31" i="34"/>
  <c r="I31" i="34"/>
  <c r="D32" i="34"/>
  <c r="E32" i="34"/>
  <c r="F32" i="34"/>
  <c r="H32" i="34"/>
  <c r="I32" i="34"/>
  <c r="D33" i="34"/>
  <c r="E33" i="34"/>
  <c r="F33" i="34"/>
  <c r="H33" i="34"/>
  <c r="I33" i="34"/>
  <c r="D34" i="34"/>
  <c r="E34" i="34"/>
  <c r="F34" i="34"/>
  <c r="H34" i="34"/>
  <c r="I34" i="34"/>
  <c r="D35" i="34"/>
  <c r="E35" i="34"/>
  <c r="F35" i="34"/>
  <c r="H35" i="34"/>
  <c r="I35" i="34"/>
  <c r="D36" i="34"/>
  <c r="E36" i="34"/>
  <c r="F36" i="34"/>
  <c r="H36" i="34"/>
  <c r="I36" i="34"/>
  <c r="D37" i="34"/>
  <c r="E37" i="34"/>
  <c r="F37" i="34"/>
  <c r="H37" i="34"/>
  <c r="I37" i="34"/>
  <c r="D38" i="34"/>
  <c r="E38" i="34"/>
  <c r="F38" i="34"/>
  <c r="H38" i="34"/>
  <c r="I38" i="34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16" i="30"/>
  <c r="D16" i="30"/>
  <c r="C17" i="30"/>
  <c r="D17" i="30"/>
  <c r="C16" i="29"/>
  <c r="D16" i="29"/>
  <c r="E16" i="29" s="1"/>
  <c r="F16" i="29" s="1"/>
  <c r="C17" i="29"/>
  <c r="D17" i="29"/>
  <c r="C16" i="18"/>
  <c r="D16" i="18"/>
  <c r="E16" i="18"/>
  <c r="F16" i="18"/>
  <c r="C17" i="18"/>
  <c r="D17" i="18"/>
  <c r="E17" i="18"/>
  <c r="F17" i="18" s="1"/>
  <c r="C16" i="1"/>
  <c r="D16" i="1"/>
  <c r="E16" i="1"/>
  <c r="F16" i="1"/>
  <c r="G16" i="1"/>
  <c r="C17" i="1"/>
  <c r="D17" i="1"/>
  <c r="E17" i="1"/>
  <c r="F17" i="1"/>
  <c r="G17" i="1"/>
  <c r="D16" i="34"/>
  <c r="E16" i="34"/>
  <c r="F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2" i="30" l="1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I32" i="26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<sst xmlns="http://schemas.openxmlformats.org/spreadsheetml/2006/main" count="502" uniqueCount="199">
  <si>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</si>
  <si>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</si>
  <si>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</si>
  <si>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</si>
  <si>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</si>
  <si>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</si>
  <si>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</si>
  <si>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</si>
  <si>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</si>
  <si>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</si>
  <si>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</si>
  <si>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</si>
  <si>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</si>
  <si>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</si>
  <si>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</si>
  <si>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</si>
  <si>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</si>
  <si>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</si>
  <si>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</si>
  <si>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</si>
  <si>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</si>
  <si>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</si>
  <si>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</si>
  <si>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</si>
  <si>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</si>
  <si>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</si>
  <si>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</si>
  <si>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</si>
  <si>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 Site is underperforming. Peak performance is 7kW, but site capacity is 20kW.</t>
  </si>
  <si>
    <t>1.	SR084100</t>
  </si>
  <si>
    <t xml:space="preserve">1. microinverters are offline. BA.2, BA.3, BA.7, BA.8, BB.6, BB.7, BB.8, BC.5, BC.6, BC.7. </t>
  </si>
  <si>
    <t>1.SR084104</t>
  </si>
  <si>
    <t>1.Microinverter 202305090409 (B1.07) offline</t>
  </si>
  <si>
    <t>1.SR084072</t>
  </si>
  <si>
    <t xml:space="preserve">1.Microinverters 202305087223  (B1.2) offline from 04/19 and back online on 04/22  and  again offline on 04/27 and back on 04/28.
   Microinverter 202305087452 ( B1.7) offline 04/20 and back onlin on 04/21 and again offline from 04/27 and back online on 04/28
   Microinverter 202305092763 (B4.1) offline from 04/19 and back  online on 04/22 and again offline on 04/27 and back online on 04/28
    Microinverter  202305094910 (B5.1) offline from 04/19 and back  online on 04/22 and again offline on 04/27 and back online on 04/28
   Micoinverter 202305097717 ( B6.9) offline from 04/19 and back  online on 04/22     and again offline on 04/27 and back online on 04/28
</t>
  </si>
  <si>
    <t>1. SR085357</t>
  </si>
  <si>
    <t xml:space="preserve">1. 8 Microinverters are offline. </t>
  </si>
  <si>
    <r>
      <t>1.</t>
    </r>
    <r>
      <rPr>
        <b/>
        <sz val="12"/>
        <color theme="1"/>
        <rFont val="Calibri"/>
        <family val="2"/>
      </rPr>
      <t>SR084073</t>
    </r>
  </si>
  <si>
    <t>1. Microinverters B2.21, B3.24, and B3.26 are offline.</t>
  </si>
  <si>
    <t>1.SR084089</t>
  </si>
  <si>
    <t>1.Microinverters B3.20, B3.21, B3.22, and B3.25 are offline.</t>
  </si>
  <si>
    <t>1.SR084091</t>
  </si>
  <si>
    <t>1. Microinverter  202305087320 offline from 04/19 
    Micro inverter 202305090399 offline
    Microinverter 202305094444 offline from 04/18
2.  Gateway stopped communicating, cannot verify site production.</t>
  </si>
  <si>
    <t>1.	SR084093
2.SR085585</t>
  </si>
  <si>
    <t>1. Microinverter 202315097491 (B5:37) back online on 04/30.</t>
  </si>
  <si>
    <t>1.	SR084095</t>
  </si>
  <si>
    <t>1. Site was not communicating since 03/04.</t>
  </si>
  <si>
    <t>1. SR084096</t>
  </si>
  <si>
    <t>1. Site was not communicated for whole month.</t>
  </si>
  <si>
    <t>1. SR087220</t>
  </si>
  <si>
    <t>May Actual v. Expected</t>
  </si>
  <si>
    <t>May Actual v. Forecasted</t>
  </si>
  <si>
    <t>1. Site stopped communicating possibly offline from 05/08/2024</t>
  </si>
  <si>
    <t>1. SR084097</t>
  </si>
  <si>
    <t>1. Site is underperforming. Peak performance is 7kW, but site capacity is 20kW.</t>
  </si>
  <si>
    <t>1.SR084100</t>
  </si>
  <si>
    <t>1. 8 micro inverters are offline.</t>
  </si>
  <si>
    <t>1.SR084073</t>
  </si>
  <si>
    <t>1.Microinverters B2.21, B3.24, and B3.26 are offline.</t>
  </si>
  <si>
    <t>1.SR084093
2.SR085585</t>
  </si>
  <si>
    <t>1.Microinverters 202315097491 (B5:37) and 202315094282(B4.30) were offline since 05/01 and back online on 05/28</t>
  </si>
  <si>
    <t>1.SR084095</t>
  </si>
  <si>
    <t>1. Site was not communicated since 04/01 and regained comms on 05/29</t>
  </si>
  <si>
    <t>June Actual v. Expected</t>
  </si>
  <si>
    <t>June Actual v. Forecasted</t>
  </si>
  <si>
    <t>1. SR084100</t>
  </si>
  <si>
    <t xml:space="preserve">1. Microinverters are offline. BA.2, BA.3, BA.7, BA.8, BB.6, BB.7, BB.8, BC.5, BC.6, BC.7. </t>
  </si>
  <si>
    <t>1. Both microinverters stopped communicating, possibly offline from 06/06/2024 and back online on 06/12 &amp; also again offline from 06/15 and back online on 06/17.</t>
  </si>
  <si>
    <t>1.SR085742</t>
  </si>
  <si>
    <t>July Actual v. Expected</t>
  </si>
  <si>
    <t>July Actual v. Forecasted</t>
  </si>
  <si>
    <t>1. 4 Inverters down at the site 07/02.</t>
  </si>
  <si>
    <t>1.	SR087227</t>
  </si>
  <si>
    <t>1. AC voltage dropped to 0 on all packs on this site on 7/26 19:40 PDT</t>
  </si>
  <si>
    <t>1. SR088304</t>
  </si>
  <si>
    <t>1.SR084096</t>
  </si>
  <si>
    <t>August Actual v. Expected</t>
  </si>
  <si>
    <t>August Actual v. Forecasted</t>
  </si>
  <si>
    <t>1.Both microinverters offline from 8/15</t>
  </si>
  <si>
    <t>1.SR089116</t>
  </si>
  <si>
    <t>1.4 inverters down at the site</t>
  </si>
  <si>
    <t>1.Site offline from 8/28</t>
  </si>
  <si>
    <t>1.	SR089656</t>
  </si>
  <si>
    <t>September Actual v. Expected</t>
  </si>
  <si>
    <t>September Actual v. Forecasted</t>
  </si>
  <si>
    <t>1.Site stopped communicating from 9/4 to 9/11</t>
  </si>
  <si>
    <t>1. 12 microinverters are not reporting from 9/28</t>
  </si>
  <si>
    <t>1. SR091352</t>
  </si>
  <si>
    <t>1. Both microinverters offline from 8/15 to 9/17</t>
  </si>
  <si>
    <t>1. SR089116</t>
  </si>
  <si>
    <t>1. Gateway stopped communicating on 9/14 to 9/17</t>
  </si>
  <si>
    <t>1. SR090557</t>
  </si>
  <si>
    <t>1. Site back online on 9/20</t>
  </si>
  <si>
    <t>1. Microinverter 202305093039 offline</t>
  </si>
  <si>
    <t>1. SR090282</t>
  </si>
  <si>
    <t>October Actual v. Expected</t>
  </si>
  <si>
    <t>October Actual v. Forecasted</t>
  </si>
  <si>
    <t>1. Meter is capturing half of the production of inverters due to CT issue from 10/22</t>
  </si>
  <si>
    <t>1. SR092447</t>
  </si>
  <si>
    <t>1. Site was offline from 10/19</t>
  </si>
  <si>
    <t>1. SR092404</t>
  </si>
  <si>
    <t>1. Site is offline since 08/21/2024 due to Faulty breaker.</t>
  </si>
  <si>
    <t>1. SR089922</t>
  </si>
  <si>
    <t>1. Meter is capturing half of the production of inverters due to CT issue from 10/31</t>
  </si>
  <si>
    <t>1. 	SR092849</t>
  </si>
  <si>
    <t>November Actual v. Expected</t>
  </si>
  <si>
    <t>November Actual v. Forecasted</t>
  </si>
  <si>
    <t>1. Microinverter 202305093039 was replaced on 11/19</t>
  </si>
  <si>
    <t>December Actual v. Expected</t>
  </si>
  <si>
    <t>December Actual v. Forecasted</t>
  </si>
  <si>
    <t>1. Meter has been capturing only half of the production from the inverters due to a CT issue since 10/22. It stopped communicating at 15:00 on 12/23/2024 and regained communication on 12/27, but the CT readings are still incorrect.</t>
  </si>
  <si>
    <t>1. SR095096, SR092447</t>
  </si>
  <si>
    <t>1. Gateway stopped reporting since 12/19/24.</t>
  </si>
  <si>
    <t>1. SR095095</t>
  </si>
  <si>
    <t>1. Site tripped offline at 7:45AM on 12/30 and back online on 12/31.</t>
  </si>
  <si>
    <t>1. SR095166</t>
  </si>
  <si>
    <t>1. Site has been offline since 08/21/2024 due to heat anomalies on the breaker, which are affecting the conduit.</t>
  </si>
  <si>
    <t>1. SR089922, SR095037</t>
  </si>
  <si>
    <t>1. SR092849</t>
  </si>
  <si>
    <t>1. Microinverter 1 is not reporting Since 12/02/24 and being RMA'd on 12/22/2024.</t>
  </si>
  <si>
    <t>1. SR094909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</si>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</sst>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b/>
      <sz val="12"/>
      <color theme="1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Cushman &amp; Wakefield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5">
        <f>SUM(C4:C100)</f>
        <v>407594.902</v>
      </c>
      <c r="D2" s="5">
        <f>SUM(D4:D100)</f>
        <v>0</v>
      </c>
      <c r="E2" s="5">
        <f>C2-D2</f>
        <v>407594.902</v>
      </c>
      <c r="F2" s="6">
        <f>IFERROR(E2/D2, 0)</f>
        <v>0</v>
      </c>
      <c r="G2" s="5">
        <f>SUM(G4:G100)</f>
        <v>0</v>
      </c>
      <c r="H2" s="7">
        <f>C2-G2</f>
        <v>407594.902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541.96600000000001</v>
      </c>
      <c r="D6" s="13">
        <f>SUM(Jan!D6, Feb!D6, Mar!D6)</f>
        <v>0</v>
      </c>
      <c r="E6" s="13">
        <f t="shared" si="0"/>
        <v>541.96600000000001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8">
        <f>SUM('1st Qtr'!C7, '2nd Qtr'!C7, '3rd Qtr'!C7, '4th Qtr'!C7)</f>
        <v>11219.542000000001</v>
      </c>
      <c r="D7" s="18">
        <f>SUM(Jan!D7, Feb!D7, Mar!D7)</f>
        <v>0</v>
      </c>
      <c r="E7" s="18">
        <f t="shared" si="0"/>
        <v>11219.542000000001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9153.7199999999993</v>
      </c>
      <c r="D8" s="13">
        <f>SUM(Jan!D8, Feb!D8, Mar!D8)</f>
        <v>0</v>
      </c>
      <c r="E8" s="13">
        <f t="shared" si="0"/>
        <v>9153.7199999999993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2115.0100000000002</v>
      </c>
      <c r="D9" s="18">
        <f>SUM(Jan!D9, Feb!D9, Mar!D9)</f>
        <v>0</v>
      </c>
      <c r="E9" s="18">
        <f t="shared" si="0"/>
        <v>2115.0100000000002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24310.387999999999</v>
      </c>
      <c r="D10" s="13">
        <f>SUM(Jan!D10, Feb!D10, Mar!D10)</f>
        <v>0</v>
      </c>
      <c r="E10" s="13">
        <f t="shared" si="0"/>
        <v>24310.387999999999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8798.2099999999991</v>
      </c>
      <c r="D11" s="18">
        <f>SUM(Jan!D11, Feb!D11, Mar!D11)</f>
        <v>0</v>
      </c>
      <c r="E11" s="18">
        <f t="shared" si="0"/>
        <v>8798.2099999999991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36356.978000000003</v>
      </c>
      <c r="D12" s="13">
        <f>SUM(Jan!D12, Feb!D12, Mar!D12)</f>
        <v>0</v>
      </c>
      <c r="E12" s="13">
        <f t="shared" si="0"/>
        <v>36356.978000000003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64128.481999999996</v>
      </c>
      <c r="D14" s="13">
        <f>SUM(Jan!D14, Feb!D14, Mar!D14)</f>
        <v>0</v>
      </c>
      <c r="E14" s="13">
        <f>IF(AND(ISNUMBER(C14),ISNUMBER(D14)), C14-D14, "")</f>
        <v>64128.481999999996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75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702.30600000000004</v>
      </c>
      <c r="D15" s="18">
        <f>SUM(Jan!D15, Feb!D15, Mar!D15)</f>
        <v>0</v>
      </c>
      <c r="E15" s="18">
        <f>IF(AND(ISNUMBER(C15),ISNUMBER(D15)), C15-D15, "")</f>
        <v>702.30600000000004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907.76300000000003</v>
      </c>
      <c r="D16" s="13">
        <f>SUM(Jan!D16, Feb!D16, Mar!D16)</f>
        <v>0</v>
      </c>
      <c r="E16" s="13">
        <f t="shared" ref="E16:E17" si="3">IF(AND(ISNUMBER(C16),ISNUMBER(D16)), C16-D16, "")</f>
        <v>907.76300000000003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18085.798000000003</v>
      </c>
      <c r="D17" s="18">
        <f>SUM(Jan!D17, Feb!D17, Mar!D17)</f>
        <v>0</v>
      </c>
      <c r="E17" s="18">
        <f t="shared" si="3"/>
        <v>18085.798000000003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10131.934000000001</v>
      </c>
      <c r="D19" s="18">
        <f>SUM(Jan!D19, Feb!D19, Mar!D19)</f>
        <v>0</v>
      </c>
      <c r="E19" s="18">
        <f t="shared" si="6"/>
        <v>10131.934000000001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29823.186999999998</v>
      </c>
      <c r="D20" s="13">
        <f>SUM(Jan!D20, Feb!D20, Mar!D20)</f>
        <v>0</v>
      </c>
      <c r="E20" s="13">
        <f t="shared" si="6"/>
        <v>29823.186999999998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11307.19</v>
      </c>
      <c r="D21" s="18">
        <f>SUM(Jan!D21, Feb!D21, Mar!D21)</f>
        <v>0</v>
      </c>
      <c r="E21" s="18">
        <f t="shared" si="6"/>
        <v>11307.19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23207.777999999998</v>
      </c>
      <c r="D22" s="13">
        <f>SUM(Jan!D22, Feb!D22, Mar!D22)</f>
        <v>0</v>
      </c>
      <c r="E22" s="13">
        <f t="shared" si="6"/>
        <v>23207.777999999998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1808.49</v>
      </c>
      <c r="D23" s="18">
        <f>SUM(Jan!D23, Feb!D23, Mar!D23)</f>
        <v>0</v>
      </c>
      <c r="E23" s="18">
        <f t="shared" si="6"/>
        <v>1808.49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20577.904000000002</v>
      </c>
      <c r="D24" s="13">
        <f>SUM(Jan!D24, Feb!D24, Mar!D24)</f>
        <v>0</v>
      </c>
      <c r="E24" s="13">
        <f t="shared" si="6"/>
        <v>20577.904000000002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7198.820999999999</v>
      </c>
      <c r="D25" s="18">
        <f>SUM(Jan!D25, Feb!D25, Mar!D25)</f>
        <v>0</v>
      </c>
      <c r="E25" s="18">
        <f t="shared" si="6"/>
        <v>7198.820999999999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17083.336000000003</v>
      </c>
      <c r="D26" s="13">
        <f>SUM(Jan!D26, Feb!D26, Mar!D26)</f>
        <v>0</v>
      </c>
      <c r="E26" s="13">
        <f t="shared" si="6"/>
        <v>17083.336000000003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9452.6160000000018</v>
      </c>
      <c r="D27" s="18">
        <f>SUM(Jan!D27, Feb!D27, Mar!D27)</f>
        <v>0</v>
      </c>
      <c r="E27" s="18">
        <f t="shared" si="6"/>
        <v>9452.6160000000018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9811.6249999999982</v>
      </c>
      <c r="D28" s="13">
        <f>SUM(Jan!D28, Feb!D28, Mar!D28)</f>
        <v>0</v>
      </c>
      <c r="E28" s="13">
        <f t="shared" si="6"/>
        <v>9811.6249999999982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9510.1450000000004</v>
      </c>
      <c r="D29" s="18">
        <f>SUM(Jan!D29, Feb!D29, Mar!D29)</f>
        <v>0</v>
      </c>
      <c r="E29" s="18">
        <f t="shared" si="6"/>
        <v>9510.1450000000004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10356.822</v>
      </c>
      <c r="D30" s="13">
        <f>SUM(Jan!D30, Feb!D30, Mar!D30)</f>
        <v>0</v>
      </c>
      <c r="E30" s="13">
        <f t="shared" si="6"/>
        <v>10356.822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20550.055</v>
      </c>
      <c r="D31" s="18">
        <f>SUM(Jan!D31, Feb!D31, Mar!D31)</f>
        <v>0</v>
      </c>
      <c r="E31" s="18">
        <f t="shared" si="6"/>
        <v>20550.055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72.699999999999989</v>
      </c>
      <c r="D32" s="13">
        <f>SUM(Jan!D32, Feb!D32, Mar!D32)</f>
        <v>0</v>
      </c>
      <c r="E32" s="13">
        <f t="shared" si="6"/>
        <v>72.699999999999989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18314.723999999998</v>
      </c>
      <c r="D33" s="18">
        <f>SUM(Jan!D33, Feb!D33, Mar!D33)</f>
        <v>0</v>
      </c>
      <c r="E33" s="18">
        <f t="shared" si="6"/>
        <v>18314.723999999998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6445.1100000000006</v>
      </c>
      <c r="D34" s="13">
        <f>SUM(Jan!D34, Feb!D34, Mar!D34)</f>
        <v>0</v>
      </c>
      <c r="E34" s="13">
        <f t="shared" si="6"/>
        <v>6445.1100000000006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600.41100000000006</v>
      </c>
      <c r="D35" s="18">
        <f>SUM(Jan!D35, Feb!D35, Mar!D35)</f>
        <v>0</v>
      </c>
      <c r="E35" s="18">
        <f t="shared" si="6"/>
        <v>600.41100000000006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21451.157999999996</v>
      </c>
      <c r="D37" s="18">
        <f>SUM(Jan!D37, Feb!D37, Mar!D37)</f>
        <v>0</v>
      </c>
      <c r="E37" s="18">
        <f t="shared" si="6"/>
        <v>21451.157999999996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3570.7330000000002</v>
      </c>
      <c r="D38" s="13">
        <f>SUM(Jan!D38, Feb!D38, Mar!D38)</f>
        <v>0</v>
      </c>
      <c r="E38" s="13">
        <f t="shared" si="6"/>
        <v>3570.7330000000002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Cushman &amp; Wakefield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:I3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Cushman &amp; Wakefield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5">
        <f>SUM(C4:C100)</f>
        <v>156152.399</v>
      </c>
      <c r="D2" s="5">
        <f>SUM(D4:D100)</f>
        <v>0</v>
      </c>
      <c r="E2" s="5">
        <f>C2-D2</f>
        <v>156152.399</v>
      </c>
      <c r="F2" s="6">
        <f>IFERROR(E2/D2, 0)</f>
        <v>0</v>
      </c>
      <c r="G2" s="5">
        <f>SUM(G4:G100)</f>
        <v>0</v>
      </c>
      <c r="H2" s="7">
        <f>C2-G2</f>
        <v>156152.399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111.589</v>
      </c>
      <c r="D6" s="13">
        <f>SUM(Apr!D6, May!D6, Jun!D6)</f>
        <v>0</v>
      </c>
      <c r="E6" s="13">
        <f t="shared" si="0"/>
        <v>111.589</v>
      </c>
      <c r="F6" s="14" t="str">
        <f t="shared" ref="F6:F15" si="1">IFERROR(E6/D6, "")</f>
        <v/>
      </c>
      <c r="G6" s="15"/>
      <c r="H6" s="15">
        <f>SUM(Apr!H6, May!H6, Jun!H6)</f>
        <v>111.589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3792.8730000000005</v>
      </c>
      <c r="D7" s="18">
        <f>SUM(Apr!D7, May!D7, Jun!D7)</f>
        <v>0</v>
      </c>
      <c r="E7" s="18">
        <f t="shared" si="0"/>
        <v>3792.8730000000005</v>
      </c>
      <c r="F7" s="19" t="str">
        <f t="shared" si="1"/>
        <v/>
      </c>
      <c r="G7" s="20"/>
      <c r="H7" s="20">
        <f>SUM(Apr!H7, May!H7, Jun!H7)</f>
        <v>3792.8730000000005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4240.63</v>
      </c>
      <c r="D8" s="13">
        <f>SUM(Apr!D8, May!D8, Jun!D8)</f>
        <v>0</v>
      </c>
      <c r="E8" s="13">
        <f t="shared" si="0"/>
        <v>4240.63</v>
      </c>
      <c r="F8" s="14" t="str">
        <f t="shared" si="1"/>
        <v/>
      </c>
      <c r="G8" s="15"/>
      <c r="H8" s="15">
        <f>SUM(Apr!H8, May!H8, Jun!H8)</f>
        <v>4240.63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9432.9639999999999</v>
      </c>
      <c r="D10" s="13">
        <f>SUM(Apr!D10, May!D10, Jun!D10)</f>
        <v>0</v>
      </c>
      <c r="E10" s="13">
        <f t="shared" si="0"/>
        <v>9432.9639999999999</v>
      </c>
      <c r="F10" s="14" t="str">
        <f t="shared" si="1"/>
        <v/>
      </c>
      <c r="G10" s="15"/>
      <c r="H10" s="15">
        <f>SUM(Apr!H10, May!H10, Jun!H10)</f>
        <v>9432.9639999999999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14415.777</v>
      </c>
      <c r="D12" s="13">
        <f>SUM(Apr!D12, May!D12, Jun!D12)</f>
        <v>0</v>
      </c>
      <c r="E12" s="13">
        <f t="shared" si="0"/>
        <v>14415.777</v>
      </c>
      <c r="F12" s="14" t="str">
        <f t="shared" si="1"/>
        <v/>
      </c>
      <c r="G12" s="15"/>
      <c r="H12" s="15">
        <f>SUM(Apr!H12, May!H12, Jun!H12)</f>
        <v>14415.777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26572.962</v>
      </c>
      <c r="D14" s="13">
        <f>SUM(Apr!D14, May!D14, Jun!D14)</f>
        <v>0</v>
      </c>
      <c r="E14" s="13">
        <f t="shared" si="0"/>
        <v>26572.962</v>
      </c>
      <c r="F14" s="14" t="str">
        <f t="shared" si="1"/>
        <v/>
      </c>
      <c r="G14" s="15"/>
      <c r="H14" s="15">
        <f>SUM(Apr!H14, May!H14, Jun!H14)</f>
        <v>26572.962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345.64700000000005</v>
      </c>
      <c r="D15" s="18">
        <f>SUM(Apr!D15, May!D15, Jun!D15)</f>
        <v>0</v>
      </c>
      <c r="E15" s="18">
        <f t="shared" si="0"/>
        <v>345.64700000000005</v>
      </c>
      <c r="F15" s="19" t="str">
        <f t="shared" si="1"/>
        <v/>
      </c>
      <c r="G15" s="20"/>
      <c r="H15" s="20">
        <f>SUM(Apr!H15, May!H15, Jun!H15)</f>
        <v>345.64700000000005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387.90500000000003</v>
      </c>
      <c r="D16" s="13">
        <f>SUM(Apr!D16, May!D16, Jun!D16)</f>
        <v>0</v>
      </c>
      <c r="E16" s="13">
        <f t="shared" ref="E16:E19" si="3">IF(AND(ISNUMBER(C16),ISNUMBER(D16)), C16-D16, "")</f>
        <v>387.90500000000003</v>
      </c>
      <c r="F16" s="14" t="str">
        <f t="shared" ref="F16:F19" si="4">IFERROR(E16/D16, "")</f>
        <v/>
      </c>
      <c r="G16" s="15"/>
      <c r="H16" s="15">
        <f>SUM(Apr!H16, May!H16, Jun!H16)</f>
        <v>387.90500000000003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8459.8080000000009</v>
      </c>
      <c r="D17" s="18">
        <f>SUM(Apr!D17, May!D17, Jun!D17)</f>
        <v>0</v>
      </c>
      <c r="E17" s="18">
        <f t="shared" si="3"/>
        <v>8459.8080000000009</v>
      </c>
      <c r="F17" s="19" t="str">
        <f t="shared" si="4"/>
        <v/>
      </c>
      <c r="G17" s="20"/>
      <c r="H17" s="20">
        <f>SUM(Apr!H17, May!H17, Jun!H17)</f>
        <v>8459.8080000000009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3984.4940000000001</v>
      </c>
      <c r="D19" s="18">
        <f>SUM(Apr!D19, May!D19, Jun!D19)</f>
        <v>0</v>
      </c>
      <c r="E19" s="18">
        <f t="shared" si="3"/>
        <v>3984.4940000000001</v>
      </c>
      <c r="F19" s="19" t="str">
        <f t="shared" si="4"/>
        <v/>
      </c>
      <c r="G19" s="20"/>
      <c r="H19" s="20">
        <f>SUM(Apr!H19, May!H19, Jun!H19)</f>
        <v>3984.4940000000001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12024.476999999999</v>
      </c>
      <c r="D20" s="13">
        <f>SUM(Apr!D20, May!D20, Jun!D20)</f>
        <v>0</v>
      </c>
      <c r="E20" s="13">
        <f t="shared" ref="E20:E38" si="6">IF(AND(ISNUMBER(C20),ISNUMBER(D20)), C20-D20, "")</f>
        <v>12024.476999999999</v>
      </c>
      <c r="F20" s="14" t="str">
        <f t="shared" ref="F20:F38" si="7">IFERROR(E20/D20, "")</f>
        <v/>
      </c>
      <c r="G20" s="15"/>
      <c r="H20" s="15">
        <f>SUM(Apr!H20, May!H20, Jun!H20)</f>
        <v>12024.476999999999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4541.1400000000003</v>
      </c>
      <c r="D21" s="18">
        <f>SUM(Apr!D21, May!D21, Jun!D21)</f>
        <v>0</v>
      </c>
      <c r="E21" s="18">
        <f t="shared" si="6"/>
        <v>4541.1400000000003</v>
      </c>
      <c r="F21" s="19" t="str">
        <f t="shared" si="7"/>
        <v/>
      </c>
      <c r="G21" s="20"/>
      <c r="H21" s="20">
        <f>SUM(Apr!H21, May!H21, Jun!H21)</f>
        <v>4541.1400000000003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9230.4480000000003</v>
      </c>
      <c r="D22" s="13">
        <f>SUM(Apr!D22, May!D22, Jun!D22)</f>
        <v>0</v>
      </c>
      <c r="E22" s="13">
        <f t="shared" si="6"/>
        <v>9230.4480000000003</v>
      </c>
      <c r="F22" s="14" t="str">
        <f t="shared" si="7"/>
        <v/>
      </c>
      <c r="G22" s="15"/>
      <c r="H22" s="15">
        <f>SUM(Apr!H22, May!H22, Jun!H22)</f>
        <v>9230.4480000000003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8322.9240000000009</v>
      </c>
      <c r="D24" s="13">
        <f>SUM(Apr!D24, May!D24, Jun!D24)</f>
        <v>0</v>
      </c>
      <c r="E24" s="13">
        <f t="shared" si="6"/>
        <v>8322.9240000000009</v>
      </c>
      <c r="F24" s="14" t="str">
        <f t="shared" si="7"/>
        <v/>
      </c>
      <c r="G24" s="15"/>
      <c r="H24" s="15">
        <f>SUM(Apr!H24, May!H24, Jun!H24)</f>
        <v>8322.9240000000009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4992.0209999999997</v>
      </c>
      <c r="D25" s="18">
        <f>SUM(Apr!D25, May!D25, Jun!D25)</f>
        <v>0</v>
      </c>
      <c r="E25" s="18">
        <f t="shared" si="6"/>
        <v>4992.0209999999997</v>
      </c>
      <c r="F25" s="19" t="str">
        <f t="shared" si="7"/>
        <v/>
      </c>
      <c r="G25" s="20"/>
      <c r="H25" s="20">
        <f>SUM(Apr!H25, May!H25, Jun!H25)</f>
        <v>4992.0209999999997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5980.5859999999993</v>
      </c>
      <c r="D26" s="13">
        <f>SUM(Apr!D26, May!D26, Jun!D26)</f>
        <v>0</v>
      </c>
      <c r="E26" s="13">
        <f t="shared" si="6"/>
        <v>5980.5859999999993</v>
      </c>
      <c r="F26" s="14" t="str">
        <f t="shared" si="7"/>
        <v/>
      </c>
      <c r="G26" s="15"/>
      <c r="H26" s="15">
        <f>SUM(Apr!H26, May!H26, Jun!H26)</f>
        <v>5980.5859999999993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3795.5860000000002</v>
      </c>
      <c r="D27" s="18">
        <f>SUM(Apr!D27, May!D27, Jun!D27)</f>
        <v>0</v>
      </c>
      <c r="E27" s="18">
        <f t="shared" si="6"/>
        <v>3795.5860000000002</v>
      </c>
      <c r="F27" s="19" t="str">
        <f t="shared" si="7"/>
        <v/>
      </c>
      <c r="G27" s="20"/>
      <c r="H27" s="20">
        <f>SUM(Apr!H27, May!H27, Jun!H27)</f>
        <v>3795.5860000000002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4087.7749999999996</v>
      </c>
      <c r="D28" s="13">
        <f>SUM(Apr!D28, May!D28, Jun!D28)</f>
        <v>0</v>
      </c>
      <c r="E28" s="13">
        <f t="shared" si="6"/>
        <v>4087.7749999999996</v>
      </c>
      <c r="F28" s="14" t="str">
        <f t="shared" si="7"/>
        <v/>
      </c>
      <c r="G28" s="15"/>
      <c r="H28" s="15">
        <f>SUM(Apr!H28, May!H28, Jun!H28)</f>
        <v>4087.7749999999996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2872.9949999999999</v>
      </c>
      <c r="D29" s="18">
        <f>SUM(Apr!D29, May!D29, Jun!D29)</f>
        <v>0</v>
      </c>
      <c r="E29" s="18">
        <f t="shared" si="6"/>
        <v>2872.9949999999999</v>
      </c>
      <c r="F29" s="19" t="str">
        <f t="shared" si="7"/>
        <v/>
      </c>
      <c r="G29" s="20"/>
      <c r="H29" s="20">
        <f>SUM(Apr!H29, May!H29, Jun!H29)</f>
        <v>2872.9949999999999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3012.9719999999998</v>
      </c>
      <c r="D30" s="13">
        <f>SUM(Apr!D30, May!D30, Jun!D30)</f>
        <v>0</v>
      </c>
      <c r="E30" s="13">
        <f t="shared" si="6"/>
        <v>3012.9719999999998</v>
      </c>
      <c r="F30" s="14" t="str">
        <f t="shared" si="7"/>
        <v/>
      </c>
      <c r="G30" s="15"/>
      <c r="H30" s="15">
        <f>SUM(Apr!H30, May!H30, Jun!H30)</f>
        <v>3012.9719999999998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7502.6049999999996</v>
      </c>
      <c r="D31" s="18">
        <f>SUM(Apr!D31, May!D31, Jun!D31)</f>
        <v>0</v>
      </c>
      <c r="E31" s="18">
        <f t="shared" si="6"/>
        <v>7502.6049999999996</v>
      </c>
      <c r="F31" s="19" t="str">
        <f t="shared" si="7"/>
        <v/>
      </c>
      <c r="G31" s="20"/>
      <c r="H31" s="20">
        <f>SUM(Apr!H31, May!H31, Jun!H31)</f>
        <v>7502.6049999999996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7567.2640000000001</v>
      </c>
      <c r="D33" s="18">
        <f>SUM(Apr!D33, May!D33, Jun!D33)</f>
        <v>0</v>
      </c>
      <c r="E33" s="18">
        <f t="shared" si="6"/>
        <v>7567.2640000000001</v>
      </c>
      <c r="F33" s="19" t="str">
        <f t="shared" si="7"/>
        <v/>
      </c>
      <c r="G33" s="20"/>
      <c r="H33" s="20">
        <f>SUM(Apr!H33, May!H33, Jun!H33)</f>
        <v>7567.2640000000001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183.61599999999999</v>
      </c>
      <c r="D35" s="18">
        <f>SUM(Apr!D35, May!D35, Jun!D35)</f>
        <v>0</v>
      </c>
      <c r="E35" s="18">
        <f t="shared" si="6"/>
        <v>183.61599999999999</v>
      </c>
      <c r="F35" s="19" t="str">
        <f t="shared" si="7"/>
        <v/>
      </c>
      <c r="G35" s="20"/>
      <c r="H35" s="20">
        <f>SUM(Apr!H35, May!H35, Jun!H35)</f>
        <v>21.916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8576.0779999999995</v>
      </c>
      <c r="D37" s="18">
        <f>SUM(Apr!D37, May!D37, Jun!D37)</f>
        <v>0</v>
      </c>
      <c r="E37" s="18">
        <f t="shared" si="6"/>
        <v>8576.0779999999995</v>
      </c>
      <c r="F37" s="19" t="str">
        <f t="shared" si="7"/>
        <v/>
      </c>
      <c r="G37" s="20"/>
      <c r="H37" s="20">
        <f>SUM(Apr!H37, May!H37, Jun!H37)</f>
        <v>8576.0779999999995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1717.2629999999999</v>
      </c>
      <c r="D38" s="13">
        <f>SUM(Apr!D38, May!D38, Jun!D38)</f>
        <v>0</v>
      </c>
      <c r="E38" s="13">
        <f t="shared" si="6"/>
        <v>1717.2629999999999</v>
      </c>
      <c r="F38" s="14" t="str">
        <f t="shared" si="7"/>
        <v/>
      </c>
      <c r="G38" s="15"/>
      <c r="H38" s="15">
        <f>SUM(Apr!H38, May!H38, Jun!H38)</f>
        <v>1717.2629999999999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Cushman &amp; Wakefield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5">
        <f>SUM(C4:C100)</f>
        <v>157905.37199999994</v>
      </c>
      <c r="D2" s="5">
        <f>SUM(D4:D100)</f>
        <v>0</v>
      </c>
      <c r="E2" s="5">
        <f>C2-D2</f>
        <v>157905.37199999994</v>
      </c>
      <c r="F2" s="6">
        <f>IFERROR(E2/D2, 0)</f>
        <v>0</v>
      </c>
      <c r="G2" s="5">
        <f>SUM(G4:G100)</f>
        <v>0</v>
      </c>
      <c r="H2" s="7">
        <f>C2-G2</f>
        <v>157905.37199999994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221.3</v>
      </c>
      <c r="D6" s="13">
        <f>SUM(Jul!D6, Aug!D6, Sep!D6)</f>
        <v>0</v>
      </c>
      <c r="E6" s="13">
        <f t="shared" si="0"/>
        <v>221.3</v>
      </c>
      <c r="F6" s="14" t="str">
        <f t="shared" ref="F6:F15" si="1">IFERROR(E6/D6, "")</f>
        <v/>
      </c>
      <c r="G6" s="15"/>
      <c r="H6" s="15">
        <f>SUM(Jul!H6, Aug!H6, Sep!H6)</f>
        <v>221.3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3417.5169999999998</v>
      </c>
      <c r="D7" s="18">
        <f>SUM(Jul!D7, Aug!D7, Sep!D7)</f>
        <v>0</v>
      </c>
      <c r="E7" s="18">
        <f t="shared" si="0"/>
        <v>3417.5169999999998</v>
      </c>
      <c r="F7" s="19" t="str">
        <f t="shared" si="1"/>
        <v/>
      </c>
      <c r="G7" s="20"/>
      <c r="H7" s="20">
        <f>SUM(Jul!H7, Aug!H7, Sep!H7)</f>
        <v>3417.5169999999998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3990.7</v>
      </c>
      <c r="D8" s="13">
        <f>SUM(Jul!D8, Aug!D8, Sep!D8)</f>
        <v>0</v>
      </c>
      <c r="E8" s="13">
        <f t="shared" si="0"/>
        <v>3990.7</v>
      </c>
      <c r="F8" s="14" t="str">
        <f t="shared" si="1"/>
        <v/>
      </c>
      <c r="G8" s="15"/>
      <c r="H8" s="15">
        <f>SUM(Jul!H8, Aug!H8, Sep!H8)</f>
        <v>3990.7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9385.5429999999997</v>
      </c>
      <c r="D10" s="13">
        <f>SUM(Jul!D10, Aug!D10, Sep!D10)</f>
        <v>0</v>
      </c>
      <c r="E10" s="13">
        <f t="shared" si="0"/>
        <v>9385.5429999999997</v>
      </c>
      <c r="F10" s="14" t="str">
        <f t="shared" si="1"/>
        <v/>
      </c>
      <c r="G10" s="15"/>
      <c r="H10" s="15">
        <f>SUM(Jul!H10, Aug!H10, Sep!H10)</f>
        <v>9385.5429999999997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2400.1999999999998</v>
      </c>
      <c r="D11" s="18">
        <f>SUM(Jul!D11, Aug!D11, Sep!D11)</f>
        <v>0</v>
      </c>
      <c r="E11" s="18">
        <f t="shared" si="0"/>
        <v>2400.1999999999998</v>
      </c>
      <c r="F11" s="19" t="str">
        <f t="shared" si="1"/>
        <v/>
      </c>
      <c r="G11" s="20"/>
      <c r="H11" s="20">
        <f>SUM(Jul!H11, Aug!H11, Sep!H11)</f>
        <v>2400.1999999999998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12571</v>
      </c>
      <c r="D12" s="13">
        <f>SUM(Jul!D12, Aug!D12, Sep!D12)</f>
        <v>0</v>
      </c>
      <c r="E12" s="13">
        <f t="shared" si="0"/>
        <v>12571</v>
      </c>
      <c r="F12" s="14" t="str">
        <f t="shared" si="1"/>
        <v/>
      </c>
      <c r="G12" s="15"/>
      <c r="H12" s="15">
        <f>SUM(Jul!H12, Aug!H12, Sep!H12)</f>
        <v>12571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25193.82</v>
      </c>
      <c r="D14" s="13">
        <f>SUM(Jul!D14, Aug!D14, Sep!D14)</f>
        <v>0</v>
      </c>
      <c r="E14" s="13">
        <f t="shared" si="0"/>
        <v>25193.82</v>
      </c>
      <c r="F14" s="14" t="str">
        <f t="shared" si="1"/>
        <v/>
      </c>
      <c r="G14" s="15"/>
      <c r="H14" s="15">
        <f>SUM(Jul!H14, Aug!H14, Sep!H14)</f>
        <v>25193.82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246.78899999999999</v>
      </c>
      <c r="D15" s="18">
        <f>SUM(Jul!D15, Aug!D15, Sep!D15)</f>
        <v>0</v>
      </c>
      <c r="E15" s="18">
        <f t="shared" si="0"/>
        <v>246.78899999999999</v>
      </c>
      <c r="F15" s="19" t="str">
        <f t="shared" si="1"/>
        <v/>
      </c>
      <c r="G15" s="20"/>
      <c r="H15" s="20">
        <f>SUM(Jul!H15, Aug!H15, Sep!H15)</f>
        <v>246.78899999999999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370.64299999999997</v>
      </c>
      <c r="D16" s="13">
        <f>SUM(Jul!D16, Aug!D16, Sep!D16)</f>
        <v>0</v>
      </c>
      <c r="E16" s="13">
        <f t="shared" ref="E16:E19" si="3">IF(AND(ISNUMBER(C16),ISNUMBER(D16)), C16-D16, "")</f>
        <v>370.64299999999997</v>
      </c>
      <c r="F16" s="14" t="str">
        <f t="shared" ref="F16:F19" si="4">IFERROR(E16/D16, "")</f>
        <v/>
      </c>
      <c r="G16" s="15"/>
      <c r="H16" s="15">
        <f>SUM(Jul!H16, Aug!H16, Sep!H16)</f>
        <v>370.64299999999997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6959.7</v>
      </c>
      <c r="D17" s="18">
        <f>SUM(Jul!D17, Aug!D17, Sep!D17)</f>
        <v>0</v>
      </c>
      <c r="E17" s="18">
        <f t="shared" si="3"/>
        <v>6959.7</v>
      </c>
      <c r="F17" s="19" t="str">
        <f t="shared" si="4"/>
        <v/>
      </c>
      <c r="G17" s="20"/>
      <c r="H17" s="20">
        <f>SUM(Jul!H17, Aug!H17, Sep!H17)</f>
        <v>6959.7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4097</v>
      </c>
      <c r="D19" s="18">
        <f>SUM(Jul!D19, Aug!D19, Sep!D19)</f>
        <v>0</v>
      </c>
      <c r="E19" s="18">
        <f t="shared" si="3"/>
        <v>4097</v>
      </c>
      <c r="F19" s="19" t="str">
        <f t="shared" si="4"/>
        <v/>
      </c>
      <c r="G19" s="20"/>
      <c r="H19" s="20">
        <f>SUM(Jul!H19, Aug!H19, Sep!H19)</f>
        <v>4097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11971.1</v>
      </c>
      <c r="D20" s="13">
        <f>SUM(Jul!D20, Aug!D20, Sep!D20)</f>
        <v>0</v>
      </c>
      <c r="E20" s="13">
        <f t="shared" ref="E20:E38" si="6">IF(AND(ISNUMBER(C20),ISNUMBER(D20)), C20-D20, "")</f>
        <v>11971.1</v>
      </c>
      <c r="F20" s="14" t="str">
        <f t="shared" ref="F20:F38" si="7">IFERROR(E20/D20, "")</f>
        <v/>
      </c>
      <c r="G20" s="15"/>
      <c r="H20" s="15">
        <f>SUM(Jul!H20, Aug!H20, Sep!H20)</f>
        <v>11971.1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4450.7300000000005</v>
      </c>
      <c r="D21" s="18">
        <f>SUM(Jul!D21, Aug!D21, Sep!D21)</f>
        <v>0</v>
      </c>
      <c r="E21" s="18">
        <f t="shared" si="6"/>
        <v>4450.7300000000005</v>
      </c>
      <c r="F21" s="19" t="str">
        <f t="shared" si="7"/>
        <v/>
      </c>
      <c r="G21" s="20"/>
      <c r="H21" s="20">
        <f>SUM(Jul!H21, Aug!H21, Sep!H21)</f>
        <v>4450.7300000000005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8990.9</v>
      </c>
      <c r="D22" s="13">
        <f>SUM(Jul!D22, Aug!D22, Sep!D22)</f>
        <v>0</v>
      </c>
      <c r="E22" s="13">
        <f t="shared" si="6"/>
        <v>8990.9</v>
      </c>
      <c r="F22" s="14" t="str">
        <f t="shared" si="7"/>
        <v/>
      </c>
      <c r="G22" s="15"/>
      <c r="H22" s="15">
        <f>SUM(Jul!H22, Aug!H22, Sep!H22)</f>
        <v>8990.9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8200.2800000000007</v>
      </c>
      <c r="D24" s="13">
        <f>SUM(Jul!D24, Aug!D24, Sep!D24)</f>
        <v>0</v>
      </c>
      <c r="E24" s="13">
        <f t="shared" si="6"/>
        <v>8200.2800000000007</v>
      </c>
      <c r="F24" s="14" t="str">
        <f t="shared" si="7"/>
        <v/>
      </c>
      <c r="G24" s="15"/>
      <c r="H24" s="15">
        <f>SUM(Jul!H24, Aug!H24, Sep!H24)</f>
        <v>8200.2800000000007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2198.6</v>
      </c>
      <c r="D25" s="18">
        <f>SUM(Jul!D25, Aug!D25, Sep!D25)</f>
        <v>0</v>
      </c>
      <c r="E25" s="18">
        <f t="shared" si="6"/>
        <v>2198.6</v>
      </c>
      <c r="F25" s="19" t="str">
        <f t="shared" si="7"/>
        <v/>
      </c>
      <c r="G25" s="20"/>
      <c r="H25" s="20">
        <f>SUM(Jul!H25, Aug!H25, Sep!H25)</f>
        <v>2198.6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7771.4000000000005</v>
      </c>
      <c r="D26" s="13">
        <f>SUM(Jul!D26, Aug!D26, Sep!D26)</f>
        <v>0</v>
      </c>
      <c r="E26" s="13">
        <f t="shared" si="6"/>
        <v>7771.4000000000005</v>
      </c>
      <c r="F26" s="14" t="str">
        <f t="shared" si="7"/>
        <v/>
      </c>
      <c r="G26" s="15"/>
      <c r="H26" s="15">
        <f>SUM(Jul!H26, Aug!H26, Sep!H26)</f>
        <v>7771.4000000000005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3811.9</v>
      </c>
      <c r="D27" s="18">
        <f>SUM(Jul!D27, Aug!D27, Sep!D27)</f>
        <v>0</v>
      </c>
      <c r="E27" s="18">
        <f t="shared" si="6"/>
        <v>3811.9</v>
      </c>
      <c r="F27" s="19" t="str">
        <f t="shared" si="7"/>
        <v/>
      </c>
      <c r="G27" s="20"/>
      <c r="H27" s="20">
        <f>SUM(Jul!H27, Aug!H27, Sep!H27)</f>
        <v>3811.9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3942.0499999999997</v>
      </c>
      <c r="D28" s="13">
        <f>SUM(Jul!D28, Aug!D28, Sep!D28)</f>
        <v>0</v>
      </c>
      <c r="E28" s="13">
        <f t="shared" si="6"/>
        <v>3942.0499999999997</v>
      </c>
      <c r="F28" s="14" t="str">
        <f t="shared" si="7"/>
        <v/>
      </c>
      <c r="G28" s="15"/>
      <c r="H28" s="15">
        <f>SUM(Jul!H28, Aug!H28, Sep!H28)</f>
        <v>3942.0499999999997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4402.7</v>
      </c>
      <c r="D29" s="18">
        <f>SUM(Jul!D29, Aug!D29, Sep!D29)</f>
        <v>0</v>
      </c>
      <c r="E29" s="18">
        <f t="shared" si="6"/>
        <v>4402.7</v>
      </c>
      <c r="F29" s="19" t="str">
        <f t="shared" si="7"/>
        <v/>
      </c>
      <c r="G29" s="20"/>
      <c r="H29" s="20">
        <f>SUM(Jul!H29, Aug!H29, Sep!H29)</f>
        <v>4402.7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3661.1</v>
      </c>
      <c r="D30" s="13">
        <f>SUM(Jul!D30, Aug!D30, Sep!D30)</f>
        <v>0</v>
      </c>
      <c r="E30" s="13">
        <f t="shared" si="6"/>
        <v>3661.1</v>
      </c>
      <c r="F30" s="14" t="str">
        <f t="shared" si="7"/>
        <v/>
      </c>
      <c r="G30" s="15"/>
      <c r="H30" s="15">
        <f>SUM(Jul!H30, Aug!H30, Sep!H30)</f>
        <v>3661.1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8958.6</v>
      </c>
      <c r="D31" s="18">
        <f>SUM(Jul!D31, Aug!D31, Sep!D31)</f>
        <v>0</v>
      </c>
      <c r="E31" s="18">
        <f t="shared" si="6"/>
        <v>8958.6</v>
      </c>
      <c r="F31" s="19" t="str">
        <f t="shared" si="7"/>
        <v/>
      </c>
      <c r="G31" s="20"/>
      <c r="H31" s="20">
        <f>SUM(Jul!H31, Aug!H31, Sep!H31)</f>
        <v>8958.6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6878.2999999999993</v>
      </c>
      <c r="D33" s="18">
        <f>SUM(Jul!D33, Aug!D33, Sep!D33)</f>
        <v>0</v>
      </c>
      <c r="E33" s="18">
        <f t="shared" si="6"/>
        <v>6878.2999999999993</v>
      </c>
      <c r="F33" s="19" t="str">
        <f t="shared" si="7"/>
        <v/>
      </c>
      <c r="G33" s="20"/>
      <c r="H33" s="20">
        <f>SUM(Jul!H33, Aug!H33, Sep!H33)</f>
        <v>6878.2999999999993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3590.3</v>
      </c>
      <c r="D34" s="13">
        <f>SUM(Jul!D34, Aug!D34, Sep!D34)</f>
        <v>0</v>
      </c>
      <c r="E34" s="13">
        <f t="shared" si="6"/>
        <v>3590.3</v>
      </c>
      <c r="F34" s="14" t="str">
        <f t="shared" si="7"/>
        <v/>
      </c>
      <c r="G34" s="15"/>
      <c r="H34" s="15">
        <f>SUM(Jul!H34, Aug!H34, Sep!H34)</f>
        <v>3590.3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218.6</v>
      </c>
      <c r="D35" s="18">
        <f>SUM(Jul!D35, Aug!D35, Sep!D35)</f>
        <v>0</v>
      </c>
      <c r="E35" s="18">
        <f t="shared" si="6"/>
        <v>218.6</v>
      </c>
      <c r="F35" s="19" t="str">
        <f t="shared" si="7"/>
        <v/>
      </c>
      <c r="G35" s="20"/>
      <c r="H35" s="20">
        <f>SUM(Jul!H35, Aug!H35, Sep!H35)</f>
        <v>218.6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8540.2999999999993</v>
      </c>
      <c r="D37" s="18">
        <f>SUM(Jul!D37, Aug!D37, Sep!D37)</f>
        <v>0</v>
      </c>
      <c r="E37" s="18">
        <f t="shared" si="6"/>
        <v>8540.2999999999993</v>
      </c>
      <c r="F37" s="19" t="str">
        <f t="shared" si="7"/>
        <v/>
      </c>
      <c r="G37" s="20"/>
      <c r="H37" s="20">
        <f>SUM(Jul!H37, Aug!H37, Sep!H37)</f>
        <v>8540.2999999999993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1464.3</v>
      </c>
      <c r="D38" s="13">
        <f>SUM(Jul!D38, Aug!D38, Sep!D38)</f>
        <v>0</v>
      </c>
      <c r="E38" s="13">
        <f t="shared" si="6"/>
        <v>1464.3</v>
      </c>
      <c r="F38" s="14" t="str">
        <f t="shared" si="7"/>
        <v/>
      </c>
      <c r="G38" s="15"/>
      <c r="H38" s="15">
        <f>SUM(Jul!H38, Aug!H38, Sep!H38)</f>
        <v>1464.3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C26" sqref="C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Cushman &amp; Wakefield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5">
        <f>SUM(C4:C100)</f>
        <v>93537.131000000008</v>
      </c>
      <c r="D2" s="5">
        <f>SUM(D4:D100)</f>
        <v>0</v>
      </c>
      <c r="E2" s="5">
        <f>C2-D2</f>
        <v>93537.131000000008</v>
      </c>
      <c r="F2" s="6">
        <f>IFERROR(E2/D2, 0)</f>
        <v>0</v>
      </c>
      <c r="G2" s="5">
        <f>SUM(G4:G100)</f>
        <v>0</v>
      </c>
      <c r="H2" s="7">
        <f>C2-G2</f>
        <v>93537.131000000008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209.077</v>
      </c>
      <c r="D6" s="13">
        <f>SUM(Oct!D6, Nov!D6, Dec!D6)</f>
        <v>0</v>
      </c>
      <c r="E6" s="13">
        <f t="shared" si="0"/>
        <v>209.077</v>
      </c>
      <c r="F6" s="14" t="str">
        <f t="shared" ref="F6:F15" si="1">IFERROR(E6/D6, "")</f>
        <v/>
      </c>
      <c r="G6" s="15"/>
      <c r="H6" s="15">
        <f>SUM(Oct!H6, Nov!H6, Dec!H6)</f>
        <v>209.077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4009.152</v>
      </c>
      <c r="D7" s="18">
        <f>SUM(Oct!D7, Nov!D7, Dec!D7)</f>
        <v>0</v>
      </c>
      <c r="E7" s="18">
        <f t="shared" si="0"/>
        <v>4009.152</v>
      </c>
      <c r="F7" s="19" t="str">
        <f t="shared" si="1"/>
        <v/>
      </c>
      <c r="G7" s="20"/>
      <c r="H7" s="20">
        <f>SUM(Oct!H7, Nov!H7, Dec!H7)</f>
        <v>4009.152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922.3900000000001</v>
      </c>
      <c r="D8" s="13">
        <f>SUM(Oct!D8, Nov!D8, Dec!D8)</f>
        <v>0</v>
      </c>
      <c r="E8" s="13">
        <f t="shared" si="0"/>
        <v>922.3900000000001</v>
      </c>
      <c r="F8" s="14" t="str">
        <f t="shared" si="1"/>
        <v/>
      </c>
      <c r="G8" s="15"/>
      <c r="H8" s="15">
        <f>SUM(Oct!H8, Nov!H8, Dec!H8)</f>
        <v>922.3900000000001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2115.0100000000002</v>
      </c>
      <c r="D9" s="18">
        <f>SUM(Oct!D9, Nov!D9, Dec!D9)</f>
        <v>0</v>
      </c>
      <c r="E9" s="18">
        <f t="shared" si="0"/>
        <v>2115.0100000000002</v>
      </c>
      <c r="F9" s="19" t="str">
        <f t="shared" si="1"/>
        <v/>
      </c>
      <c r="G9" s="20"/>
      <c r="H9" s="20">
        <f>SUM(Oct!H9, Nov!H9, Dec!H9)</f>
        <v>2115.0100000000002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5491.8810000000003</v>
      </c>
      <c r="D10" s="13">
        <f>SUM(Oct!D10, Nov!D10, Dec!D10)</f>
        <v>0</v>
      </c>
      <c r="E10" s="13">
        <f t="shared" si="0"/>
        <v>5491.8810000000003</v>
      </c>
      <c r="F10" s="14" t="str">
        <f t="shared" si="1"/>
        <v/>
      </c>
      <c r="G10" s="15"/>
      <c r="H10" s="15">
        <f>SUM(Oct!H10, Nov!H10, Dec!H10)</f>
        <v>5491.8810000000003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6398.01</v>
      </c>
      <c r="D11" s="18">
        <f>SUM(Oct!D11, Nov!D11, Dec!D11)</f>
        <v>0</v>
      </c>
      <c r="E11" s="18">
        <f t="shared" si="0"/>
        <v>6398.01</v>
      </c>
      <c r="F11" s="19" t="str">
        <f t="shared" si="1"/>
        <v/>
      </c>
      <c r="G11" s="20"/>
      <c r="H11" s="20">
        <f>SUM(Oct!H11, Nov!H11, Dec!H11)</f>
        <v>6398.01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9370.2010000000009</v>
      </c>
      <c r="D12" s="13">
        <f>SUM(Oct!D12, Nov!D12, Dec!D12)</f>
        <v>0</v>
      </c>
      <c r="E12" s="13">
        <f t="shared" si="0"/>
        <v>9370.2010000000009</v>
      </c>
      <c r="F12" s="14" t="str">
        <f t="shared" si="1"/>
        <v/>
      </c>
      <c r="G12" s="15"/>
      <c r="H12" s="15">
        <f>SUM(Oct!H12, Nov!H12, Dec!H12)</f>
        <v>9370.2010000000009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12361.699999999999</v>
      </c>
      <c r="D14" s="13">
        <f>SUM(Oct!D14, Nov!D14, Dec!D14)</f>
        <v>0</v>
      </c>
      <c r="E14" s="13">
        <f t="shared" si="0"/>
        <v>12361.699999999999</v>
      </c>
      <c r="F14" s="14" t="str">
        <f t="shared" si="1"/>
        <v/>
      </c>
      <c r="G14" s="15"/>
      <c r="H14" s="15">
        <f>SUM(Oct!H14, Nov!H14, Dec!H14)</f>
        <v>12361.699999999999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109.86999999999999</v>
      </c>
      <c r="D15" s="18">
        <f>SUM(Oct!D15, Nov!D15, Dec!D15)</f>
        <v>0</v>
      </c>
      <c r="E15" s="18">
        <f t="shared" si="0"/>
        <v>109.86999999999999</v>
      </c>
      <c r="F15" s="19" t="str">
        <f t="shared" si="1"/>
        <v/>
      </c>
      <c r="G15" s="20"/>
      <c r="H15" s="20">
        <f>SUM(Oct!H15, Nov!H15, Dec!H15)</f>
        <v>109.86999999999999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149.215</v>
      </c>
      <c r="D16" s="13">
        <f>SUM(Oct!D16, Nov!D16, Dec!D16)</f>
        <v>0</v>
      </c>
      <c r="E16" s="13">
        <f t="shared" ref="E16:E17" si="3">IF(AND(ISNUMBER(C16),ISNUMBER(D16)), C16-D16, "")</f>
        <v>149.215</v>
      </c>
      <c r="F16" s="14" t="str">
        <f t="shared" ref="F16:F17" si="4">IFERROR(E16/D16, "")</f>
        <v/>
      </c>
      <c r="G16" s="15"/>
      <c r="H16" s="15">
        <f>SUM(Oct!H16, Nov!H16, Dec!H16)</f>
        <v>149.215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2666.29</v>
      </c>
      <c r="D17" s="18">
        <f>SUM(Oct!D17, Nov!D17, Dec!D17)</f>
        <v>0</v>
      </c>
      <c r="E17" s="18">
        <f t="shared" si="3"/>
        <v>2666.29</v>
      </c>
      <c r="F17" s="19" t="str">
        <f t="shared" si="4"/>
        <v/>
      </c>
      <c r="G17" s="20"/>
      <c r="H17" s="20">
        <f>SUM(Oct!H17, Nov!H17, Dec!H17)</f>
        <v>2666.29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2050.44</v>
      </c>
      <c r="D19" s="18">
        <f>SUM(Oct!D19, Nov!D19, Dec!D19)</f>
        <v>0</v>
      </c>
      <c r="E19" s="18">
        <f t="shared" si="6"/>
        <v>2050.44</v>
      </c>
      <c r="F19" s="19" t="str">
        <f t="shared" si="7"/>
        <v/>
      </c>
      <c r="G19" s="20"/>
      <c r="H19" s="20">
        <f>SUM(Oct!H19, Nov!H19, Dec!H19)</f>
        <v>2050.44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5827.6100000000006</v>
      </c>
      <c r="D20" s="13">
        <f>SUM(Oct!D20, Nov!D20, Dec!D20)</f>
        <v>0</v>
      </c>
      <c r="E20" s="13">
        <f t="shared" si="6"/>
        <v>5827.6100000000006</v>
      </c>
      <c r="F20" s="14" t="str">
        <f t="shared" si="7"/>
        <v/>
      </c>
      <c r="G20" s="15"/>
      <c r="H20" s="15">
        <f>SUM(Oct!H20, Nov!H20, Dec!H20)</f>
        <v>5827.6100000000006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2315.3199999999997</v>
      </c>
      <c r="D21" s="18">
        <f>SUM(Oct!D21, Nov!D21, Dec!D21)</f>
        <v>0</v>
      </c>
      <c r="E21" s="18">
        <f t="shared" si="6"/>
        <v>2315.3199999999997</v>
      </c>
      <c r="F21" s="19" t="str">
        <f t="shared" si="7"/>
        <v/>
      </c>
      <c r="G21" s="20"/>
      <c r="H21" s="20">
        <f>SUM(Oct!H21, Nov!H21, Dec!H21)</f>
        <v>2315.3199999999997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4986.43</v>
      </c>
      <c r="D22" s="13">
        <f>SUM(Oct!D22, Nov!D22, Dec!D22)</f>
        <v>0</v>
      </c>
      <c r="E22" s="13">
        <f t="shared" si="6"/>
        <v>4986.43</v>
      </c>
      <c r="F22" s="14" t="str">
        <f t="shared" si="7"/>
        <v/>
      </c>
      <c r="G22" s="15"/>
      <c r="H22" s="15">
        <f>SUM(Oct!H22, Nov!H22, Dec!H22)</f>
        <v>4986.43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1808.49</v>
      </c>
      <c r="D23" s="18">
        <f>SUM(Oct!D23, Nov!D23, Dec!D23)</f>
        <v>0</v>
      </c>
      <c r="E23" s="18">
        <f t="shared" si="6"/>
        <v>1808.49</v>
      </c>
      <c r="F23" s="19" t="str">
        <f t="shared" si="7"/>
        <v/>
      </c>
      <c r="G23" s="20"/>
      <c r="H23" s="20">
        <f>SUM(Oct!H23, Nov!H23, Dec!H23)</f>
        <v>1808.49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4054.7</v>
      </c>
      <c r="D24" s="13">
        <f>SUM(Oct!D24, Nov!D24, Dec!D24)</f>
        <v>0</v>
      </c>
      <c r="E24" s="13">
        <f t="shared" si="6"/>
        <v>4054.7</v>
      </c>
      <c r="F24" s="14" t="str">
        <f t="shared" si="7"/>
        <v/>
      </c>
      <c r="G24" s="15"/>
      <c r="H24" s="15">
        <f>SUM(Oct!H24, Nov!H24, Dec!H24)</f>
        <v>4054.7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8.1999999999999993</v>
      </c>
      <c r="D25" s="18">
        <f>SUM(Oct!D25, Nov!D25, Dec!D25)</f>
        <v>0</v>
      </c>
      <c r="E25" s="18">
        <f t="shared" si="6"/>
        <v>8.1999999999999993</v>
      </c>
      <c r="F25" s="19" t="str">
        <f t="shared" si="7"/>
        <v/>
      </c>
      <c r="G25" s="20"/>
      <c r="H25" s="20">
        <f>SUM(Oct!H25, Nov!H25, Dec!H25)</f>
        <v>8.1999999999999993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3331.3500000000004</v>
      </c>
      <c r="D26" s="13">
        <f>SUM(Oct!D26, Nov!D26, Dec!D26)</f>
        <v>0</v>
      </c>
      <c r="E26" s="13">
        <f t="shared" si="6"/>
        <v>3331.3500000000004</v>
      </c>
      <c r="F26" s="14" t="str">
        <f t="shared" si="7"/>
        <v/>
      </c>
      <c r="G26" s="15"/>
      <c r="H26" s="15">
        <f>SUM(Oct!H26, Nov!H26, Dec!H26)</f>
        <v>3331.3500000000004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1845.13</v>
      </c>
      <c r="D27" s="18">
        <f>SUM(Oct!D27, Nov!D27, Dec!D27)</f>
        <v>0</v>
      </c>
      <c r="E27" s="18">
        <f t="shared" si="6"/>
        <v>1845.13</v>
      </c>
      <c r="F27" s="19" t="str">
        <f t="shared" si="7"/>
        <v/>
      </c>
      <c r="G27" s="20"/>
      <c r="H27" s="20">
        <f>SUM(Oct!H27, Nov!H27, Dec!H27)</f>
        <v>1845.13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1781.8</v>
      </c>
      <c r="D28" s="13">
        <f>SUM(Oct!D28, Nov!D28, Dec!D28)</f>
        <v>0</v>
      </c>
      <c r="E28" s="13">
        <f t="shared" si="6"/>
        <v>1781.8</v>
      </c>
      <c r="F28" s="14" t="str">
        <f t="shared" si="7"/>
        <v/>
      </c>
      <c r="G28" s="15"/>
      <c r="H28" s="15">
        <f>SUM(Oct!H28, Nov!H28, Dec!H28)</f>
        <v>1781.8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2234.4500000000003</v>
      </c>
      <c r="D29" s="18">
        <f>SUM(Oct!D29, Nov!D29, Dec!D29)</f>
        <v>0</v>
      </c>
      <c r="E29" s="18">
        <f t="shared" si="6"/>
        <v>2234.4500000000003</v>
      </c>
      <c r="F29" s="19" t="str">
        <f t="shared" si="7"/>
        <v/>
      </c>
      <c r="G29" s="20"/>
      <c r="H29" s="20">
        <f>SUM(Oct!H29, Nov!H29, Dec!H29)</f>
        <v>2234.4500000000003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3682.75</v>
      </c>
      <c r="D30" s="13">
        <f>SUM(Oct!D30, Nov!D30, Dec!D30)</f>
        <v>0</v>
      </c>
      <c r="E30" s="13">
        <f t="shared" si="6"/>
        <v>3682.75</v>
      </c>
      <c r="F30" s="14" t="str">
        <f t="shared" si="7"/>
        <v/>
      </c>
      <c r="G30" s="15"/>
      <c r="H30" s="15">
        <f>SUM(Oct!H30, Nov!H30, Dec!H30)</f>
        <v>3682.75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4088.85</v>
      </c>
      <c r="D31" s="18">
        <f>SUM(Oct!D31, Nov!D31, Dec!D31)</f>
        <v>0</v>
      </c>
      <c r="E31" s="18">
        <f t="shared" si="6"/>
        <v>4088.85</v>
      </c>
      <c r="F31" s="19" t="str">
        <f t="shared" si="7"/>
        <v/>
      </c>
      <c r="G31" s="20"/>
      <c r="H31" s="20">
        <f>SUM(Oct!H31, Nov!H31, Dec!H31)</f>
        <v>4088.85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72.699999999999989</v>
      </c>
      <c r="D32" s="13">
        <f>SUM(Oct!D32, Nov!D32, Dec!D32)</f>
        <v>0</v>
      </c>
      <c r="E32" s="13">
        <f t="shared" si="6"/>
        <v>72.699999999999989</v>
      </c>
      <c r="F32" s="14" t="str">
        <f t="shared" si="7"/>
        <v/>
      </c>
      <c r="G32" s="15"/>
      <c r="H32" s="15">
        <f>SUM(Oct!H32, Nov!H32, Dec!H32)</f>
        <v>72.699999999999989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3869.16</v>
      </c>
      <c r="D33" s="18">
        <f>SUM(Oct!D33, Nov!D33, Dec!D33)</f>
        <v>0</v>
      </c>
      <c r="E33" s="18">
        <f t="shared" si="6"/>
        <v>3869.16</v>
      </c>
      <c r="F33" s="19" t="str">
        <f t="shared" si="7"/>
        <v/>
      </c>
      <c r="G33" s="20"/>
      <c r="H33" s="20">
        <f>SUM(Oct!H33, Nov!H33, Dec!H33)</f>
        <v>3869.16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2854.81</v>
      </c>
      <c r="D34" s="13">
        <f>SUM(Oct!D34, Nov!D34, Dec!D34)</f>
        <v>0</v>
      </c>
      <c r="E34" s="13">
        <f t="shared" si="6"/>
        <v>2854.81</v>
      </c>
      <c r="F34" s="14" t="str">
        <f t="shared" si="7"/>
        <v/>
      </c>
      <c r="G34" s="15"/>
      <c r="H34" s="15">
        <f>SUM(Oct!H34, Nov!H34, Dec!H34)</f>
        <v>2854.81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198.19499999999999</v>
      </c>
      <c r="D35" s="18">
        <f>SUM(Oct!D35, Nov!D35, Dec!D35)</f>
        <v>0</v>
      </c>
      <c r="E35" s="18">
        <f t="shared" si="6"/>
        <v>198.19499999999999</v>
      </c>
      <c r="F35" s="19" t="str">
        <f t="shared" si="7"/>
        <v/>
      </c>
      <c r="G35" s="20"/>
      <c r="H35" s="20">
        <f>SUM(Oct!H35, Nov!H35, Dec!H35)</f>
        <v>198.19499999999999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4334.7800000000007</v>
      </c>
      <c r="D37" s="18">
        <f>SUM(Oct!D37, Nov!D37, Dec!D37)</f>
        <v>0</v>
      </c>
      <c r="E37" s="18">
        <f t="shared" si="6"/>
        <v>4334.7800000000007</v>
      </c>
      <c r="F37" s="19" t="str">
        <f t="shared" si="7"/>
        <v/>
      </c>
      <c r="G37" s="20"/>
      <c r="H37" s="20">
        <f>SUM(Oct!H37, Nov!H37, Dec!H37)</f>
        <v>4334.7800000000007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389.17</v>
      </c>
      <c r="D38" s="13">
        <f>SUM(Oct!D38, Nov!D38, Dec!D38)</f>
        <v>0</v>
      </c>
      <c r="E38" s="13">
        <f t="shared" si="6"/>
        <v>389.17</v>
      </c>
      <c r="F38" s="14" t="str">
        <f t="shared" si="7"/>
        <v/>
      </c>
      <c r="G38" s="15"/>
      <c r="H38" s="15">
        <f>SUM(Oct!H38, Nov!H38, Dec!H38)</f>
        <v>389.17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6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15"/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10"/>
        <v/>
      </c>
      <c r="F26" s="14" t="str">
        <f t="shared" si="11"/>
        <v/>
      </c>
      <c r="G26" s="15"/>
      <c r="H26" s="15" t="str">
        <f t="shared" si="12"/>
        <v/>
      </c>
      <c r="I26" s="16" t="str">
        <f t="shared" si="13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10"/>
        <v/>
      </c>
      <c r="F27" s="19" t="str">
        <f t="shared" si="11"/>
        <v/>
      </c>
      <c r="G27" s="20"/>
      <c r="H27" s="20" t="str">
        <f t="shared" si="12"/>
        <v/>
      </c>
      <c r="I27" s="19" t="str">
        <f t="shared" si="13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10"/>
        <v/>
      </c>
      <c r="F28" s="14" t="str">
        <f t="shared" si="11"/>
        <v/>
      </c>
      <c r="G28" s="15"/>
      <c r="H28" s="15" t="str">
        <f t="shared" si="12"/>
        <v/>
      </c>
      <c r="I28" s="16" t="str">
        <f t="shared" si="13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10"/>
        <v/>
      </c>
      <c r="F29" s="19" t="str">
        <f t="shared" si="11"/>
        <v/>
      </c>
      <c r="G29" s="20"/>
      <c r="H29" s="20" t="str">
        <f t="shared" si="12"/>
        <v/>
      </c>
      <c r="I29" s="19" t="str">
        <f t="shared" si="13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10"/>
        <v/>
      </c>
      <c r="F30" s="14" t="str">
        <f t="shared" si="11"/>
        <v/>
      </c>
      <c r="G30" s="15"/>
      <c r="H30" s="15" t="str">
        <f t="shared" si="12"/>
        <v/>
      </c>
      <c r="I30" s="16" t="str">
        <f t="shared" si="13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10"/>
        <v/>
      </c>
      <c r="F31" s="19" t="str">
        <f t="shared" si="11"/>
        <v/>
      </c>
      <c r="G31" s="20"/>
      <c r="H31" s="20" t="str">
        <f t="shared" si="12"/>
        <v/>
      </c>
      <c r="I31" s="19" t="str">
        <f t="shared" si="13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10"/>
        <v/>
      </c>
      <c r="F32" s="14" t="str">
        <f t="shared" si="11"/>
        <v/>
      </c>
      <c r="G32" s="15"/>
      <c r="H32" s="15" t="str">
        <f t="shared" si="12"/>
        <v/>
      </c>
      <c r="I32" s="16" t="str">
        <f t="shared" si="13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10"/>
        <v/>
      </c>
      <c r="F33" s="19" t="str">
        <f t="shared" si="11"/>
        <v/>
      </c>
      <c r="G33" s="20"/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10"/>
        <v/>
      </c>
      <c r="F34" s="14" t="str">
        <f t="shared" si="11"/>
        <v/>
      </c>
      <c r="G34" s="15"/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10"/>
        <v/>
      </c>
      <c r="F35" s="19" t="str">
        <f t="shared" si="11"/>
        <v/>
      </c>
      <c r="G35" s="20"/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10"/>
        <v/>
      </c>
      <c r="F36" s="14" t="str">
        <f t="shared" si="11"/>
        <v/>
      </c>
      <c r="G36" s="15"/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10"/>
        <v/>
      </c>
      <c r="F37" s="19" t="str">
        <f t="shared" si="11"/>
        <v/>
      </c>
      <c r="G37" s="20"/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10"/>
        <v/>
      </c>
      <c r="F38" s="14" t="str">
        <f t="shared" si="11"/>
        <v/>
      </c>
      <c r="G38" s="15"/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22</v>
      </c>
      <c r="E1" s="65"/>
      <c r="F1" s="65"/>
      <c r="G1" s="63" t="s">
        <v>23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15"/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8"/>
        <v/>
      </c>
      <c r="F26" s="14" t="str">
        <f t="shared" si="9"/>
        <v/>
      </c>
      <c r="G26" s="15"/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8"/>
        <v/>
      </c>
      <c r="F27" s="19" t="str">
        <f t="shared" si="9"/>
        <v/>
      </c>
      <c r="G27" s="20"/>
      <c r="H27" s="20" t="str">
        <f t="shared" si="10"/>
        <v/>
      </c>
      <c r="I27" s="19" t="str">
        <f t="shared" si="11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8"/>
        <v/>
      </c>
      <c r="F28" s="14" t="str">
        <f t="shared" si="9"/>
        <v/>
      </c>
      <c r="G28" s="15"/>
      <c r="H28" s="15" t="str">
        <f t="shared" si="10"/>
        <v/>
      </c>
      <c r="I28" s="16" t="str">
        <f t="shared" si="11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8"/>
        <v/>
      </c>
      <c r="F29" s="19" t="str">
        <f t="shared" si="9"/>
        <v/>
      </c>
      <c r="G29" s="20"/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8"/>
        <v/>
      </c>
      <c r="F30" s="14" t="str">
        <f t="shared" si="9"/>
        <v/>
      </c>
      <c r="G30" s="15"/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8"/>
        <v/>
      </c>
      <c r="F31" s="19" t="str">
        <f t="shared" si="9"/>
        <v/>
      </c>
      <c r="G31" s="20"/>
      <c r="H31" s="20" t="str">
        <f t="shared" si="10"/>
        <v/>
      </c>
      <c r="I31" s="19" t="str">
        <f t="shared" si="11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8"/>
        <v/>
      </c>
      <c r="F32" s="14" t="str">
        <f t="shared" si="9"/>
        <v/>
      </c>
      <c r="G32" s="15"/>
      <c r="H32" s="15" t="str">
        <f t="shared" si="10"/>
        <v/>
      </c>
      <c r="I32" s="16" t="str">
        <f t="shared" si="11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8"/>
        <v/>
      </c>
      <c r="F33" s="19" t="str">
        <f t="shared" si="9"/>
        <v/>
      </c>
      <c r="G33" s="20"/>
      <c r="H33" s="20" t="str">
        <f t="shared" si="10"/>
        <v/>
      </c>
      <c r="I33" s="19" t="str">
        <f t="shared" si="11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8"/>
        <v/>
      </c>
      <c r="F34" s="14" t="str">
        <f t="shared" si="9"/>
        <v/>
      </c>
      <c r="G34" s="15"/>
      <c r="H34" s="15" t="str">
        <f t="shared" si="10"/>
        <v/>
      </c>
      <c r="I34" s="16" t="str">
        <f t="shared" si="11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8"/>
        <v/>
      </c>
      <c r="F35" s="19" t="str">
        <f t="shared" si="9"/>
        <v/>
      </c>
      <c r="G35" s="20"/>
      <c r="H35" s="20" t="str">
        <f t="shared" si="10"/>
        <v/>
      </c>
      <c r="I35" s="19" t="str">
        <f t="shared" si="11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8"/>
        <v/>
      </c>
      <c r="F36" s="14" t="str">
        <f t="shared" si="9"/>
        <v/>
      </c>
      <c r="G36" s="15"/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8"/>
        <v/>
      </c>
      <c r="F37" s="19" t="str">
        <f t="shared" si="9"/>
        <v/>
      </c>
      <c r="G37" s="20"/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8"/>
        <v/>
      </c>
      <c r="F38" s="14" t="str">
        <f t="shared" si="9"/>
        <v/>
      </c>
      <c r="G38" s="15"/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16" activePane="bottomRight" state="frozen"/>
      <selection pane="bottomRight" activeCell="A16" sqref="A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24</v>
      </c>
      <c r="E1" s="65"/>
      <c r="F1" s="65"/>
      <c r="G1" s="63" t="s">
        <v>25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70" zoomScaleNormal="70" workbookViewId="0">
      <pane xSplit="2" ySplit="3" topLeftCell="C45" activePane="bottomRight" state="frozen"/>
      <selection pane="bottomRight" activeCell="L4" sqref="L4:L3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4" t="str" cm="1">
        <f t="array" ref="A1">portfolio</f>
        <v>Cushman &amp; Wakefield</v>
      </c>
      <c r="B1" s="64"/>
      <c r="C1" s="64"/>
      <c r="D1" s="65" t="s">
        <v>26</v>
      </c>
      <c r="E1" s="65"/>
      <c r="F1" s="65"/>
      <c r="G1" s="63" t="s">
        <v>27</v>
      </c>
      <c r="H1" s="63"/>
      <c r="I1" s="63"/>
      <c r="J1" s="4"/>
      <c r="K1" s="4"/>
    </row>
    <row r="2" spans="1:12" ht="19.5" customHeight="1">
      <c r="A2" s="66" t="s">
        <v>2</v>
      </c>
      <c r="B2" s="66"/>
      <c r="C2" s="5">
        <f>SUM(C4:C98)</f>
        <v>46739.67</v>
      </c>
      <c r="D2" s="5">
        <f>SUM(D4:D98)</f>
        <v>0</v>
      </c>
      <c r="E2" s="5">
        <f>C2-D2</f>
        <v>46739.67</v>
      </c>
      <c r="F2" s="6">
        <f>IFERROR(E2/D2, 0)</f>
        <v>0</v>
      </c>
      <c r="G2" s="5">
        <f>SUM(G4:G98)</f>
        <v>0</v>
      </c>
      <c r="H2" s="7">
        <f>C2-G2</f>
        <v>46739.67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89.616</v>
      </c>
      <c r="D6" s="13">
        <v>0</v>
      </c>
      <c r="E6" s="13">
        <f t="shared" si="0"/>
        <v>89.616</v>
      </c>
      <c r="F6" s="14" t="str">
        <f t="shared" ref="F6:F17" si="3">IFERROR(E6/D6, "")</f>
        <v/>
      </c>
      <c r="G6" s="15">
        <v>0</v>
      </c>
      <c r="H6" s="15">
        <f t="shared" si="1"/>
        <v>89.616</v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>
        <v>1328.91</v>
      </c>
      <c r="D7" s="18">
        <v>0</v>
      </c>
      <c r="E7" s="18">
        <f t="shared" si="0"/>
        <v>1328.91</v>
      </c>
      <c r="F7" s="19" t="str">
        <f t="shared" si="3"/>
        <v/>
      </c>
      <c r="G7" s="20">
        <v>0</v>
      </c>
      <c r="H7" s="20">
        <f t="shared" si="1"/>
        <v>1328.91</v>
      </c>
      <c r="I7" s="19" t="str">
        <f t="shared" si="2"/>
        <v/>
      </c>
      <c r="J7" s="42" t="s">
        <v>28</v>
      </c>
      <c r="K7" s="43" t="s">
        <v>29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1406.354</v>
      </c>
      <c r="D8" s="13">
        <v>0</v>
      </c>
      <c r="E8" s="13">
        <f t="shared" si="0"/>
        <v>1406.354</v>
      </c>
      <c r="F8" s="14" t="str">
        <f t="shared" si="3"/>
        <v/>
      </c>
      <c r="G8" s="15">
        <v>0</v>
      </c>
      <c r="H8" s="15">
        <f t="shared" si="1"/>
        <v>1406.354</v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>
        <v>3093.107</v>
      </c>
      <c r="D10" s="13">
        <v>0</v>
      </c>
      <c r="E10" s="13">
        <f t="shared" si="0"/>
        <v>3093.107</v>
      </c>
      <c r="F10" s="14" t="str">
        <f t="shared" si="3"/>
        <v/>
      </c>
      <c r="G10" s="15">
        <v>0</v>
      </c>
      <c r="H10" s="15">
        <f t="shared" si="1"/>
        <v>3093.107</v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4725.482</v>
      </c>
      <c r="D12" s="13">
        <v>0</v>
      </c>
      <c r="E12" s="13">
        <f t="shared" si="0"/>
        <v>4725.482</v>
      </c>
      <c r="F12" s="14" t="str">
        <f t="shared" si="3"/>
        <v/>
      </c>
      <c r="G12" s="15">
        <v>0</v>
      </c>
      <c r="H12" s="15">
        <f t="shared" si="1"/>
        <v>4725.482</v>
      </c>
      <c r="I12" s="16" t="str">
        <f t="shared" si="2"/>
        <v/>
      </c>
      <c r="J12" s="41" t="s">
        <v>30</v>
      </c>
      <c r="K12" s="41" t="s">
        <v>31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7831.8040000000001</v>
      </c>
      <c r="D14" s="13">
        <v>0</v>
      </c>
      <c r="E14" s="13">
        <f t="shared" si="0"/>
        <v>7831.8040000000001</v>
      </c>
      <c r="F14" s="14" t="str">
        <f t="shared" si="3"/>
        <v/>
      </c>
      <c r="G14" s="15">
        <v>0</v>
      </c>
      <c r="H14" s="15">
        <f t="shared" si="1"/>
        <v>7831.8040000000001</v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123.486</v>
      </c>
      <c r="D15" s="18">
        <v>0</v>
      </c>
      <c r="E15" s="18">
        <f t="shared" si="0"/>
        <v>123.486</v>
      </c>
      <c r="F15" s="19" t="str">
        <f t="shared" si="3"/>
        <v/>
      </c>
      <c r="G15" s="20">
        <v>0</v>
      </c>
      <c r="H15" s="20">
        <f t="shared" si="1"/>
        <v>123.486</v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120.601</v>
      </c>
      <c r="D16" s="13">
        <v>0</v>
      </c>
      <c r="E16" s="13">
        <f t="shared" si="0"/>
        <v>120.601</v>
      </c>
      <c r="F16" s="14" t="str">
        <f t="shared" si="3"/>
        <v/>
      </c>
      <c r="G16" s="15">
        <v>0</v>
      </c>
      <c r="H16" s="15">
        <f t="shared" si="1"/>
        <v>120.601</v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2434.6759999999999</v>
      </c>
      <c r="D17" s="18">
        <v>0</v>
      </c>
      <c r="E17" s="18">
        <f t="shared" si="0"/>
        <v>2434.6759999999999</v>
      </c>
      <c r="F17" s="19" t="str">
        <f t="shared" si="3"/>
        <v/>
      </c>
      <c r="G17" s="20">
        <v>0</v>
      </c>
      <c r="H17" s="20">
        <f t="shared" si="1"/>
        <v>2434.6759999999999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1180.68</v>
      </c>
      <c r="D19" s="18">
        <v>0</v>
      </c>
      <c r="E19" s="18">
        <f t="shared" si="4"/>
        <v>1180.68</v>
      </c>
      <c r="F19" s="19" t="str">
        <f t="shared" si="5"/>
        <v/>
      </c>
      <c r="G19" s="20">
        <v>0</v>
      </c>
      <c r="H19" s="20">
        <f t="shared" si="6"/>
        <v>1180.68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72.9">
      <c r="A20" s="28" t="str">
        <v xml:space="preserve"> Aurora - BA - Parker Rd</v>
      </c>
      <c r="B20" s="29" t="str">
        <v>CO</v>
      </c>
      <c r="C20" s="24">
        <v>3520.819</v>
      </c>
      <c r="D20" s="13">
        <v>0</v>
      </c>
      <c r="E20" s="13">
        <f t="shared" si="4"/>
        <v>3520.819</v>
      </c>
      <c r="F20" s="14" t="str">
        <f t="shared" si="5"/>
        <v/>
      </c>
      <c r="G20" s="15">
        <v>0</v>
      </c>
      <c r="H20" s="15">
        <f t="shared" si="6"/>
        <v>3520.819</v>
      </c>
      <c r="I20" s="16" t="str">
        <f t="shared" si="7"/>
        <v/>
      </c>
      <c r="J20" s="57" t="s">
        <v>34</v>
      </c>
      <c r="K20" s="41" t="s">
        <v>35</v>
      </c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1441.335</v>
      </c>
      <c r="D21" s="18">
        <v>0</v>
      </c>
      <c r="E21" s="18">
        <f t="shared" si="4"/>
        <v>1441.335</v>
      </c>
      <c r="F21" s="19" t="str">
        <f t="shared" si="5"/>
        <v/>
      </c>
      <c r="G21" s="20">
        <v>0</v>
      </c>
      <c r="H21" s="20">
        <f t="shared" si="6"/>
        <v>1441.335</v>
      </c>
      <c r="I21" s="19" t="str">
        <f t="shared" si="7"/>
        <v/>
      </c>
      <c r="J21" s="42" t="s">
        <v>36</v>
      </c>
      <c r="K21" s="43" t="s">
        <v>37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2872.694</v>
      </c>
      <c r="D22" s="13">
        <v>0</v>
      </c>
      <c r="E22" s="13">
        <f t="shared" si="4"/>
        <v>2872.694</v>
      </c>
      <c r="F22" s="14" t="str">
        <f t="shared" si="5"/>
        <v/>
      </c>
      <c r="G22" s="15">
        <v>0</v>
      </c>
      <c r="H22" s="15">
        <f t="shared" si="6"/>
        <v>2872.694</v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2521.6770000000001</v>
      </c>
      <c r="D24" s="13">
        <v>0</v>
      </c>
      <c r="E24" s="13">
        <f t="shared" si="4"/>
        <v>2521.6770000000001</v>
      </c>
      <c r="F24" s="14" t="str">
        <f t="shared" si="5"/>
        <v/>
      </c>
      <c r="G24" s="15">
        <v>0</v>
      </c>
      <c r="H24" s="15">
        <f t="shared" si="6"/>
        <v>2521.6770000000001</v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1441.048</v>
      </c>
      <c r="D25" s="18">
        <v>0</v>
      </c>
      <c r="E25" s="18">
        <f t="shared" si="4"/>
        <v>1441.048</v>
      </c>
      <c r="F25" s="19" t="str">
        <f t="shared" si="5"/>
        <v/>
      </c>
      <c r="G25" s="20">
        <v>0</v>
      </c>
      <c r="H25" s="20">
        <f t="shared" si="6"/>
        <v>1441.048</v>
      </c>
      <c r="I25" s="19" t="str">
        <f t="shared" si="7"/>
        <v/>
      </c>
      <c r="J25" s="42" t="s">
        <v>38</v>
      </c>
      <c r="K25" s="43" t="s">
        <v>39</v>
      </c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1738.681</v>
      </c>
      <c r="D26" s="13">
        <v>0</v>
      </c>
      <c r="E26" s="13">
        <f t="shared" si="4"/>
        <v>1738.681</v>
      </c>
      <c r="F26" s="14" t="str">
        <f t="shared" si="5"/>
        <v/>
      </c>
      <c r="G26" s="15">
        <v>0</v>
      </c>
      <c r="H26" s="15">
        <f t="shared" si="6"/>
        <v>1738.681</v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1143.2739999999999</v>
      </c>
      <c r="D27" s="18">
        <v>0</v>
      </c>
      <c r="E27" s="18">
        <f t="shared" si="4"/>
        <v>1143.2739999999999</v>
      </c>
      <c r="F27" s="19" t="str">
        <f t="shared" si="5"/>
        <v/>
      </c>
      <c r="G27" s="20">
        <v>0</v>
      </c>
      <c r="H27" s="20">
        <f t="shared" si="6"/>
        <v>1143.2739999999999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1206.1759999999999</v>
      </c>
      <c r="D28" s="13">
        <v>0</v>
      </c>
      <c r="E28" s="13">
        <f t="shared" si="4"/>
        <v>1206.1759999999999</v>
      </c>
      <c r="F28" s="14" t="str">
        <f t="shared" si="5"/>
        <v/>
      </c>
      <c r="G28" s="15">
        <v>0</v>
      </c>
      <c r="H28" s="15">
        <f t="shared" si="6"/>
        <v>1206.1759999999999</v>
      </c>
      <c r="I28" s="16" t="str">
        <f t="shared" si="7"/>
        <v/>
      </c>
      <c r="J28" s="41"/>
      <c r="K28" s="41"/>
      <c r="L28" s="59"/>
    </row>
    <row r="29" spans="1:12" ht="57.6">
      <c r="A29" s="30" t="str">
        <v xml:space="preserve"> Thornton - Bank of America</v>
      </c>
      <c r="B29" s="31" t="str">
        <v>CO</v>
      </c>
      <c r="C29" s="11">
        <v>1282.6410000000001</v>
      </c>
      <c r="D29" s="18">
        <v>0</v>
      </c>
      <c r="E29" s="18">
        <f t="shared" si="4"/>
        <v>1282.6410000000001</v>
      </c>
      <c r="F29" s="19" t="str">
        <f t="shared" si="5"/>
        <v/>
      </c>
      <c r="G29" s="20">
        <v>0</v>
      </c>
      <c r="H29" s="20">
        <f t="shared" si="6"/>
        <v>1282.6410000000001</v>
      </c>
      <c r="I29" s="19" t="str">
        <f t="shared" si="7"/>
        <v/>
      </c>
      <c r="J29" s="42" t="s">
        <v>42</v>
      </c>
      <c r="K29" s="56" t="s">
        <v>43</v>
      </c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839.46299999999997</v>
      </c>
      <c r="D30" s="13">
        <v>0</v>
      </c>
      <c r="E30" s="13">
        <f t="shared" si="4"/>
        <v>839.46299999999997</v>
      </c>
      <c r="F30" s="14" t="str">
        <f t="shared" si="5"/>
        <v/>
      </c>
      <c r="G30" s="15">
        <v>0</v>
      </c>
      <c r="H30" s="15">
        <f t="shared" si="6"/>
        <v>839.46299999999997</v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1009.329</v>
      </c>
      <c r="D31" s="18">
        <v>0</v>
      </c>
      <c r="E31" s="18">
        <f t="shared" si="4"/>
        <v>1009.329</v>
      </c>
      <c r="F31" s="19" t="str">
        <f t="shared" si="5"/>
        <v/>
      </c>
      <c r="G31" s="20">
        <v>0</v>
      </c>
      <c r="H31" s="20">
        <f t="shared" si="6"/>
        <v>1009.329</v>
      </c>
      <c r="I31" s="19" t="str">
        <f t="shared" si="7"/>
        <v/>
      </c>
      <c r="J31" s="42" t="s">
        <v>44</v>
      </c>
      <c r="K31" s="43" t="s">
        <v>45</v>
      </c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2289.44</v>
      </c>
      <c r="D33" s="18">
        <v>0</v>
      </c>
      <c r="E33" s="18">
        <f t="shared" si="4"/>
        <v>2289.44</v>
      </c>
      <c r="F33" s="19" t="str">
        <f t="shared" si="5"/>
        <v/>
      </c>
      <c r="G33" s="20">
        <v>0</v>
      </c>
      <c r="H33" s="20">
        <f t="shared" si="6"/>
        <v>2289.44</v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0</v>
      </c>
      <c r="D35" s="18">
        <v>0</v>
      </c>
      <c r="E35" s="18">
        <f t="shared" si="4"/>
        <v>0</v>
      </c>
      <c r="F35" s="19" t="str">
        <f t="shared" si="5"/>
        <v/>
      </c>
      <c r="G35" s="20">
        <v>0</v>
      </c>
      <c r="H35" s="20">
        <f t="shared" si="6"/>
        <v>0</v>
      </c>
      <c r="I35" s="19" t="str">
        <f t="shared" si="7"/>
        <v/>
      </c>
      <c r="J35" s="42" t="s">
        <v>48</v>
      </c>
      <c r="K35" s="43" t="s">
        <v>49</v>
      </c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2585.596</v>
      </c>
      <c r="D37" s="18">
        <v>0</v>
      </c>
      <c r="E37" s="18">
        <f t="shared" si="4"/>
        <v>2585.596</v>
      </c>
      <c r="F37" s="19" t="str">
        <f t="shared" si="5"/>
        <v/>
      </c>
      <c r="G37" s="20">
        <v>0</v>
      </c>
      <c r="H37" s="20">
        <f t="shared" si="6"/>
        <v>2585.596</v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512.78099999999995</v>
      </c>
      <c r="D38" s="13">
        <v>0</v>
      </c>
      <c r="E38" s="13">
        <f t="shared" si="4"/>
        <v>512.78099999999995</v>
      </c>
      <c r="F38" s="14" t="str">
        <f t="shared" si="5"/>
        <v/>
      </c>
      <c r="G38" s="15">
        <v>0</v>
      </c>
      <c r="H38" s="15">
        <f t="shared" si="6"/>
        <v>512.78099999999995</v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28" activePane="bottomRight" state="frozen"/>
      <selection pane="bottomRight" activeCell="L4" sqref="L4:L4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4" t="str" cm="1">
        <f t="array" ref="A1">portfolio</f>
        <v>Cushman &amp; Wakefield</v>
      </c>
      <c r="B1" s="64"/>
      <c r="C1" s="64"/>
      <c r="D1" s="65" t="s">
        <v>50</v>
      </c>
      <c r="E1" s="65"/>
      <c r="F1" s="65"/>
      <c r="G1" s="63" t="s">
        <v>51</v>
      </c>
      <c r="H1" s="63"/>
      <c r="I1" s="63"/>
      <c r="J1" s="4"/>
      <c r="K1" s="4"/>
    </row>
    <row r="2" spans="1:12" ht="19.5" customHeight="1">
      <c r="A2" s="66" t="s">
        <v>2</v>
      </c>
      <c r="B2" s="66"/>
      <c r="C2" s="5">
        <f>SUM(C4:C98)</f>
        <v>54097.039000000004</v>
      </c>
      <c r="D2" s="5">
        <f>SUM(D4:D98)</f>
        <v>0</v>
      </c>
      <c r="E2" s="5">
        <f>C2-D2</f>
        <v>54097.039000000004</v>
      </c>
      <c r="F2" s="6">
        <f>IFERROR(E2/D2, 0)</f>
        <v>0</v>
      </c>
      <c r="G2" s="5">
        <f>SUM(G4:G98)</f>
        <v>0</v>
      </c>
      <c r="H2" s="7">
        <f>C2-G2</f>
        <v>54097.039000000004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21.972999999999999</v>
      </c>
      <c r="D6" s="13">
        <v>0</v>
      </c>
      <c r="E6" s="13">
        <f t="shared" si="0"/>
        <v>21.972999999999999</v>
      </c>
      <c r="F6" s="14" t="str">
        <f t="shared" ref="F6:F17" si="3">IFERROR(E6/D6, "")</f>
        <v/>
      </c>
      <c r="G6" s="15">
        <v>0</v>
      </c>
      <c r="H6" s="15">
        <f t="shared" si="1"/>
        <v>21.972999999999999</v>
      </c>
      <c r="I6" s="16" t="str">
        <f t="shared" si="2"/>
        <v/>
      </c>
      <c r="J6" s="41" t="s">
        <v>52</v>
      </c>
      <c r="K6" s="41" t="s">
        <v>53</v>
      </c>
      <c r="L6" s="59"/>
    </row>
    <row r="7" spans="1:12" ht="15.6">
      <c r="A7" s="30" t="str">
        <v xml:space="preserve"> Bell - Bank of America</v>
      </c>
      <c r="B7" s="31" t="str">
        <v>CA</v>
      </c>
      <c r="C7" s="11">
        <v>1198.623</v>
      </c>
      <c r="D7" s="18">
        <v>0</v>
      </c>
      <c r="E7" s="18">
        <f t="shared" si="0"/>
        <v>1198.623</v>
      </c>
      <c r="F7" s="19" t="str">
        <f t="shared" si="3"/>
        <v/>
      </c>
      <c r="G7" s="20">
        <v>0</v>
      </c>
      <c r="H7" s="20">
        <f t="shared" si="1"/>
        <v>1198.623</v>
      </c>
      <c r="I7" s="19" t="str">
        <f t="shared" si="2"/>
        <v/>
      </c>
      <c r="J7" s="42" t="s">
        <v>54</v>
      </c>
      <c r="K7" s="43" t="s">
        <v>55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1452.3209999999999</v>
      </c>
      <c r="D8" s="13">
        <v>0</v>
      </c>
      <c r="E8" s="13">
        <f t="shared" si="0"/>
        <v>1452.3209999999999</v>
      </c>
      <c r="F8" s="14" t="str">
        <f t="shared" si="3"/>
        <v/>
      </c>
      <c r="G8" s="15">
        <v>0</v>
      </c>
      <c r="H8" s="15">
        <f t="shared" si="1"/>
        <v>1452.3209999999999</v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>
        <v>2941.9870000000001</v>
      </c>
      <c r="D10" s="13">
        <v>0</v>
      </c>
      <c r="E10" s="13">
        <f t="shared" si="0"/>
        <v>2941.9870000000001</v>
      </c>
      <c r="F10" s="14" t="str">
        <f t="shared" si="3"/>
        <v/>
      </c>
      <c r="G10" s="15">
        <v>0</v>
      </c>
      <c r="H10" s="15">
        <f t="shared" si="1"/>
        <v>2941.9870000000001</v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4958.2939999999999</v>
      </c>
      <c r="D12" s="13">
        <v>0</v>
      </c>
      <c r="E12" s="13">
        <f t="shared" si="0"/>
        <v>4958.2939999999999</v>
      </c>
      <c r="F12" s="14" t="str">
        <f t="shared" si="3"/>
        <v/>
      </c>
      <c r="G12" s="15">
        <v>0</v>
      </c>
      <c r="H12" s="15">
        <f t="shared" si="1"/>
        <v>4958.2939999999999</v>
      </c>
      <c r="I12" s="16" t="str">
        <f t="shared" si="2"/>
        <v/>
      </c>
      <c r="J12" s="41" t="s">
        <v>30</v>
      </c>
      <c r="K12" s="41" t="s">
        <v>31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9427.4009999999998</v>
      </c>
      <c r="D14" s="13">
        <v>0</v>
      </c>
      <c r="E14" s="13">
        <f t="shared" si="0"/>
        <v>9427.4009999999998</v>
      </c>
      <c r="F14" s="14" t="str">
        <f t="shared" si="3"/>
        <v/>
      </c>
      <c r="G14" s="15">
        <v>0</v>
      </c>
      <c r="H14" s="15">
        <f t="shared" si="1"/>
        <v>9427.4009999999998</v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133.09200000000001</v>
      </c>
      <c r="D15" s="18">
        <v>0</v>
      </c>
      <c r="E15" s="18">
        <f t="shared" si="0"/>
        <v>133.09200000000001</v>
      </c>
      <c r="F15" s="19" t="str">
        <f t="shared" si="3"/>
        <v/>
      </c>
      <c r="G15" s="20">
        <v>0</v>
      </c>
      <c r="H15" s="20">
        <f t="shared" si="1"/>
        <v>133.09200000000001</v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125.218</v>
      </c>
      <c r="D16" s="13">
        <v>0</v>
      </c>
      <c r="E16" s="13">
        <f t="shared" si="0"/>
        <v>125.218</v>
      </c>
      <c r="F16" s="14" t="str">
        <f t="shared" si="3"/>
        <v/>
      </c>
      <c r="G16" s="15">
        <v>0</v>
      </c>
      <c r="H16" s="15">
        <f t="shared" si="1"/>
        <v>125.218</v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3031.547</v>
      </c>
      <c r="D17" s="18">
        <v>0</v>
      </c>
      <c r="E17" s="18">
        <f t="shared" si="0"/>
        <v>3031.547</v>
      </c>
      <c r="F17" s="19" t="str">
        <f t="shared" si="3"/>
        <v/>
      </c>
      <c r="G17" s="20">
        <v>0</v>
      </c>
      <c r="H17" s="20">
        <f t="shared" si="1"/>
        <v>3031.547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1388.135</v>
      </c>
      <c r="D19" s="18">
        <v>0</v>
      </c>
      <c r="E19" s="18">
        <f t="shared" si="4"/>
        <v>1388.135</v>
      </c>
      <c r="F19" s="19" t="str">
        <f t="shared" si="5"/>
        <v/>
      </c>
      <c r="G19" s="20">
        <v>0</v>
      </c>
      <c r="H19" s="20">
        <f t="shared" si="6"/>
        <v>1388.135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4257.4769999999999</v>
      </c>
      <c r="D20" s="13">
        <v>0</v>
      </c>
      <c r="E20" s="13">
        <f t="shared" si="4"/>
        <v>4257.4769999999999</v>
      </c>
      <c r="F20" s="14" t="str">
        <f t="shared" si="5"/>
        <v/>
      </c>
      <c r="G20" s="15">
        <v>0</v>
      </c>
      <c r="H20" s="15">
        <f t="shared" si="6"/>
        <v>4257.4769999999999</v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1731.8489999999999</v>
      </c>
      <c r="D21" s="18">
        <v>0</v>
      </c>
      <c r="E21" s="18">
        <f t="shared" si="4"/>
        <v>1731.8489999999999</v>
      </c>
      <c r="F21" s="19" t="str">
        <f t="shared" si="5"/>
        <v/>
      </c>
      <c r="G21" s="20">
        <v>0</v>
      </c>
      <c r="H21" s="20">
        <f t="shared" si="6"/>
        <v>1731.8489999999999</v>
      </c>
      <c r="I21" s="19" t="str">
        <f t="shared" si="7"/>
        <v/>
      </c>
      <c r="J21" s="42" t="s">
        <v>56</v>
      </c>
      <c r="K21" s="43" t="s">
        <v>57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3258.2260000000001</v>
      </c>
      <c r="D22" s="13">
        <v>0</v>
      </c>
      <c r="E22" s="13">
        <f t="shared" si="4"/>
        <v>3258.2260000000001</v>
      </c>
      <c r="F22" s="14" t="str">
        <f t="shared" si="5"/>
        <v/>
      </c>
      <c r="G22" s="15">
        <v>0</v>
      </c>
      <c r="H22" s="15">
        <f t="shared" si="6"/>
        <v>3258.2260000000001</v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2897.3</v>
      </c>
      <c r="D24" s="13">
        <v>0</v>
      </c>
      <c r="E24" s="13">
        <f t="shared" si="4"/>
        <v>2897.3</v>
      </c>
      <c r="F24" s="14" t="str">
        <f t="shared" si="5"/>
        <v/>
      </c>
      <c r="G24" s="15">
        <v>0</v>
      </c>
      <c r="H24" s="15">
        <f t="shared" si="6"/>
        <v>2897.3</v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1800.01</v>
      </c>
      <c r="D25" s="18">
        <v>0</v>
      </c>
      <c r="E25" s="18">
        <f t="shared" si="4"/>
        <v>1800.01</v>
      </c>
      <c r="F25" s="19" t="str">
        <f t="shared" si="5"/>
        <v/>
      </c>
      <c r="G25" s="20">
        <v>0</v>
      </c>
      <c r="H25" s="20">
        <f t="shared" si="6"/>
        <v>1800.01</v>
      </c>
      <c r="I25" s="19" t="str">
        <f t="shared" si="7"/>
        <v/>
      </c>
      <c r="J25" s="42" t="s">
        <v>58</v>
      </c>
      <c r="K25" s="43" t="s">
        <v>39</v>
      </c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2171.0839999999998</v>
      </c>
      <c r="D26" s="13">
        <v>0</v>
      </c>
      <c r="E26" s="13">
        <f t="shared" si="4"/>
        <v>2171.0839999999998</v>
      </c>
      <c r="F26" s="14" t="str">
        <f t="shared" si="5"/>
        <v/>
      </c>
      <c r="G26" s="15">
        <v>0</v>
      </c>
      <c r="H26" s="15">
        <f t="shared" si="6"/>
        <v>2171.0839999999998</v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1328.74</v>
      </c>
      <c r="D27" s="18">
        <v>0</v>
      </c>
      <c r="E27" s="18">
        <f t="shared" si="4"/>
        <v>1328.74</v>
      </c>
      <c r="F27" s="19" t="str">
        <f t="shared" si="5"/>
        <v/>
      </c>
      <c r="G27" s="20">
        <v>0</v>
      </c>
      <c r="H27" s="20">
        <f t="shared" si="6"/>
        <v>1328.74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1464.895</v>
      </c>
      <c r="D28" s="13">
        <v>0</v>
      </c>
      <c r="E28" s="13">
        <f t="shared" si="4"/>
        <v>1464.895</v>
      </c>
      <c r="F28" s="14" t="str">
        <f t="shared" si="5"/>
        <v/>
      </c>
      <c r="G28" s="15">
        <v>0</v>
      </c>
      <c r="H28" s="15">
        <f t="shared" si="6"/>
        <v>1464.895</v>
      </c>
      <c r="I28" s="16" t="str">
        <f t="shared" si="7"/>
        <v/>
      </c>
      <c r="J28" s="41"/>
      <c r="K28" s="41"/>
      <c r="L28" s="59"/>
    </row>
    <row r="29" spans="1:12" ht="57.6">
      <c r="A29" s="30" t="str">
        <v xml:space="preserve"> Thornton - Bank of America</v>
      </c>
      <c r="B29" s="31" t="str">
        <v>CO</v>
      </c>
      <c r="C29" s="11">
        <v>146.17500000000001</v>
      </c>
      <c r="D29" s="18">
        <v>0</v>
      </c>
      <c r="E29" s="18">
        <f t="shared" si="4"/>
        <v>146.17500000000001</v>
      </c>
      <c r="F29" s="19" t="str">
        <f t="shared" si="5"/>
        <v/>
      </c>
      <c r="G29" s="20">
        <v>0</v>
      </c>
      <c r="H29" s="20">
        <f t="shared" si="6"/>
        <v>146.17500000000001</v>
      </c>
      <c r="I29" s="19" t="str">
        <f t="shared" si="7"/>
        <v/>
      </c>
      <c r="J29" s="42" t="s">
        <v>42</v>
      </c>
      <c r="K29" s="56" t="s">
        <v>59</v>
      </c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1093.383</v>
      </c>
      <c r="D30" s="13">
        <v>0</v>
      </c>
      <c r="E30" s="13">
        <f t="shared" si="4"/>
        <v>1093.383</v>
      </c>
      <c r="F30" s="14" t="str">
        <f t="shared" si="5"/>
        <v/>
      </c>
      <c r="G30" s="15">
        <v>0</v>
      </c>
      <c r="H30" s="15">
        <f t="shared" si="6"/>
        <v>1093.383</v>
      </c>
      <c r="I30" s="16" t="str">
        <f t="shared" si="7"/>
        <v/>
      </c>
      <c r="J30" s="41"/>
      <c r="K30" s="41"/>
      <c r="L30" s="59"/>
    </row>
    <row r="31" spans="1:12" ht="28.9">
      <c r="A31" s="30" t="str">
        <v xml:space="preserve"> Downers Grove - Bank of America</v>
      </c>
      <c r="B31" s="31" t="str">
        <v>IL</v>
      </c>
      <c r="C31" s="11">
        <v>3287.0729999999999</v>
      </c>
      <c r="D31" s="18">
        <v>0</v>
      </c>
      <c r="E31" s="18">
        <f t="shared" si="4"/>
        <v>3287.0729999999999</v>
      </c>
      <c r="F31" s="19" t="str">
        <f t="shared" si="5"/>
        <v/>
      </c>
      <c r="G31" s="20">
        <v>0</v>
      </c>
      <c r="H31" s="20">
        <f t="shared" si="6"/>
        <v>3287.0729999999999</v>
      </c>
      <c r="I31" s="19" t="str">
        <f t="shared" si="7"/>
        <v/>
      </c>
      <c r="J31" s="42" t="s">
        <v>60</v>
      </c>
      <c r="K31" s="43" t="s">
        <v>61</v>
      </c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2481.1179999999999</v>
      </c>
      <c r="D33" s="18">
        <v>0</v>
      </c>
      <c r="E33" s="18">
        <f t="shared" si="4"/>
        <v>2481.1179999999999</v>
      </c>
      <c r="F33" s="19" t="str">
        <f t="shared" si="5"/>
        <v/>
      </c>
      <c r="G33" s="20">
        <v>0</v>
      </c>
      <c r="H33" s="20">
        <f t="shared" si="6"/>
        <v>2481.1179999999999</v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21.916</v>
      </c>
      <c r="D35" s="18">
        <v>0</v>
      </c>
      <c r="E35" s="18">
        <f t="shared" si="4"/>
        <v>21.916</v>
      </c>
      <c r="F35" s="19" t="str">
        <f t="shared" si="5"/>
        <v/>
      </c>
      <c r="G35" s="20">
        <v>0</v>
      </c>
      <c r="H35" s="20">
        <f t="shared" si="6"/>
        <v>21.916</v>
      </c>
      <c r="I35" s="19" t="str">
        <f t="shared" si="7"/>
        <v/>
      </c>
      <c r="J35" s="42" t="s">
        <v>62</v>
      </c>
      <c r="K35" s="43" t="s">
        <v>49</v>
      </c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2912.8490000000002</v>
      </c>
      <c r="D37" s="18">
        <v>0</v>
      </c>
      <c r="E37" s="18">
        <f t="shared" si="4"/>
        <v>2912.8490000000002</v>
      </c>
      <c r="F37" s="19" t="str">
        <f t="shared" si="5"/>
        <v/>
      </c>
      <c r="G37" s="20">
        <v>0</v>
      </c>
      <c r="H37" s="20">
        <f t="shared" si="6"/>
        <v>2912.8490000000002</v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566.35299999999995</v>
      </c>
      <c r="D38" s="13">
        <v>0</v>
      </c>
      <c r="E38" s="13">
        <f t="shared" si="4"/>
        <v>566.35299999999995</v>
      </c>
      <c r="F38" s="14" t="str">
        <f t="shared" si="5"/>
        <v/>
      </c>
      <c r="G38" s="15">
        <v>0</v>
      </c>
      <c r="H38" s="15">
        <f t="shared" si="6"/>
        <v>566.35299999999995</v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70" zoomScaleNormal="70" workbookViewId="0">
      <pane xSplit="2" ySplit="3" topLeftCell="C8" activePane="bottomRight" state="frozen"/>
      <selection pane="bottomRight" activeCell="J34" sqref="J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4" t="str" cm="1">
        <f t="array" ref="A1">portfolio</f>
        <v>Cushman &amp; Wakefield</v>
      </c>
      <c r="B1" s="64"/>
      <c r="C1" s="64"/>
      <c r="D1" s="65" t="s">
        <v>63</v>
      </c>
      <c r="E1" s="65"/>
      <c r="F1" s="65"/>
      <c r="G1" s="63" t="s">
        <v>64</v>
      </c>
      <c r="H1" s="63"/>
      <c r="I1" s="63"/>
      <c r="J1" s="4"/>
      <c r="K1" s="4"/>
    </row>
    <row r="2" spans="1:12" ht="19.5" customHeight="1">
      <c r="A2" s="66" t="s">
        <v>2</v>
      </c>
      <c r="B2" s="66"/>
      <c r="C2" s="5">
        <f>SUM(C4:C98)</f>
        <v>55315.689999999995</v>
      </c>
      <c r="D2" s="5">
        <f>SUM(D4:D98)</f>
        <v>0</v>
      </c>
      <c r="E2" s="5">
        <f>C2-D2</f>
        <v>55315.689999999995</v>
      </c>
      <c r="F2" s="6">
        <f>IFERROR(E2/D2, 0)</f>
        <v>0</v>
      </c>
      <c r="G2" s="5">
        <f>SUM(G4:G98)</f>
        <v>0</v>
      </c>
      <c r="H2" s="7">
        <f>C2-G2</f>
        <v>55315.689999999995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52</v>
      </c>
      <c r="K6" s="41" t="s">
        <v>53</v>
      </c>
      <c r="L6" s="59"/>
    </row>
    <row r="7" spans="1:12" ht="54" customHeight="1">
      <c r="A7" s="30" t="str">
        <v xml:space="preserve"> Bell - Bank of America</v>
      </c>
      <c r="B7" s="31" t="str">
        <v>CA</v>
      </c>
      <c r="C7" s="11">
        <v>1265.3399999999999</v>
      </c>
      <c r="D7" s="18">
        <v>0</v>
      </c>
      <c r="E7" s="18">
        <f t="shared" si="0"/>
        <v>1265.3399999999999</v>
      </c>
      <c r="F7" s="19" t="str">
        <f t="shared" si="3"/>
        <v/>
      </c>
      <c r="G7" s="20">
        <v>0</v>
      </c>
      <c r="H7" s="20">
        <f t="shared" si="1"/>
        <v>1265.3399999999999</v>
      </c>
      <c r="I7" s="19" t="str">
        <f t="shared" si="2"/>
        <v/>
      </c>
      <c r="J7" s="42" t="s">
        <v>54</v>
      </c>
      <c r="K7" s="43" t="s">
        <v>65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1381.9549999999999</v>
      </c>
      <c r="D8" s="13">
        <v>0</v>
      </c>
      <c r="E8" s="13">
        <f t="shared" si="0"/>
        <v>1381.9549999999999</v>
      </c>
      <c r="F8" s="14" t="str">
        <f t="shared" si="3"/>
        <v/>
      </c>
      <c r="G8" s="15">
        <v>0</v>
      </c>
      <c r="H8" s="15">
        <f t="shared" si="1"/>
        <v>1381.9549999999999</v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>
        <v>3397.87</v>
      </c>
      <c r="D10" s="13">
        <v>0</v>
      </c>
      <c r="E10" s="13">
        <f t="shared" si="0"/>
        <v>3397.87</v>
      </c>
      <c r="F10" s="14" t="str">
        <f t="shared" si="3"/>
        <v/>
      </c>
      <c r="G10" s="15">
        <v>0</v>
      </c>
      <c r="H10" s="15">
        <f t="shared" si="1"/>
        <v>3397.87</v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4732.0010000000002</v>
      </c>
      <c r="D12" s="13">
        <v>0</v>
      </c>
      <c r="E12" s="13">
        <f t="shared" si="0"/>
        <v>4732.0010000000002</v>
      </c>
      <c r="F12" s="14" t="str">
        <f t="shared" si="3"/>
        <v/>
      </c>
      <c r="G12" s="15">
        <v>0</v>
      </c>
      <c r="H12" s="15">
        <f t="shared" si="1"/>
        <v>4732.0010000000002</v>
      </c>
      <c r="I12" s="16" t="str">
        <f t="shared" si="2"/>
        <v/>
      </c>
      <c r="J12" s="41" t="s">
        <v>66</v>
      </c>
      <c r="K12" s="41" t="s">
        <v>31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9313.7569999999996</v>
      </c>
      <c r="D14" s="13">
        <v>0</v>
      </c>
      <c r="E14" s="13">
        <f t="shared" si="0"/>
        <v>9313.7569999999996</v>
      </c>
      <c r="F14" s="14" t="str">
        <f t="shared" si="3"/>
        <v/>
      </c>
      <c r="G14" s="15">
        <v>0</v>
      </c>
      <c r="H14" s="15">
        <f t="shared" si="1"/>
        <v>9313.7569999999996</v>
      </c>
      <c r="I14" s="16" t="str">
        <f t="shared" si="2"/>
        <v/>
      </c>
      <c r="J14" s="41"/>
      <c r="K14" s="41"/>
      <c r="L14" s="59"/>
    </row>
    <row r="15" spans="1:12" ht="49.5" customHeight="1">
      <c r="A15" s="30" t="str">
        <v xml:space="preserve"> San Bernardino - Bank of America</v>
      </c>
      <c r="B15" s="31" t="str">
        <v>CA</v>
      </c>
      <c r="C15" s="11">
        <v>89.069000000000003</v>
      </c>
      <c r="D15" s="18">
        <v>0</v>
      </c>
      <c r="E15" s="18">
        <f t="shared" si="0"/>
        <v>89.069000000000003</v>
      </c>
      <c r="F15" s="19" t="str">
        <f t="shared" si="3"/>
        <v/>
      </c>
      <c r="G15" s="20">
        <v>0</v>
      </c>
      <c r="H15" s="20">
        <f t="shared" si="1"/>
        <v>89.069000000000003</v>
      </c>
      <c r="I15" s="19" t="str">
        <f t="shared" si="2"/>
        <v/>
      </c>
      <c r="J15" s="42" t="s">
        <v>67</v>
      </c>
      <c r="K15" s="43" t="s">
        <v>68</v>
      </c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142.08600000000001</v>
      </c>
      <c r="D16" s="13">
        <v>0</v>
      </c>
      <c r="E16" s="13">
        <f t="shared" si="0"/>
        <v>142.08600000000001</v>
      </c>
      <c r="F16" s="14" t="str">
        <f t="shared" si="3"/>
        <v/>
      </c>
      <c r="G16" s="15">
        <v>0</v>
      </c>
      <c r="H16" s="15">
        <f t="shared" si="1"/>
        <v>142.08600000000001</v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2993.585</v>
      </c>
      <c r="D17" s="18">
        <v>0</v>
      </c>
      <c r="E17" s="18">
        <f t="shared" si="0"/>
        <v>2993.585</v>
      </c>
      <c r="F17" s="19" t="str">
        <f t="shared" si="3"/>
        <v/>
      </c>
      <c r="G17" s="20">
        <v>0</v>
      </c>
      <c r="H17" s="20">
        <f t="shared" si="1"/>
        <v>2993.585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1415.6790000000001</v>
      </c>
      <c r="D19" s="18">
        <v>0</v>
      </c>
      <c r="E19" s="18">
        <f t="shared" si="4"/>
        <v>1415.6790000000001</v>
      </c>
      <c r="F19" s="19" t="str">
        <f t="shared" si="5"/>
        <v/>
      </c>
      <c r="G19" s="20">
        <v>0</v>
      </c>
      <c r="H19" s="20">
        <f t="shared" si="6"/>
        <v>1415.6790000000001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4246.1809999999996</v>
      </c>
      <c r="D20" s="13">
        <v>0</v>
      </c>
      <c r="E20" s="13">
        <f t="shared" si="4"/>
        <v>4246.1809999999996</v>
      </c>
      <c r="F20" s="14" t="str">
        <f t="shared" si="5"/>
        <v/>
      </c>
      <c r="G20" s="15">
        <v>0</v>
      </c>
      <c r="H20" s="15">
        <f t="shared" si="6"/>
        <v>4246.1809999999996</v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1367.9559999999999</v>
      </c>
      <c r="D21" s="18">
        <v>0</v>
      </c>
      <c r="E21" s="18">
        <f t="shared" si="4"/>
        <v>1367.9559999999999</v>
      </c>
      <c r="F21" s="19" t="str">
        <f t="shared" si="5"/>
        <v/>
      </c>
      <c r="G21" s="20">
        <v>0</v>
      </c>
      <c r="H21" s="20">
        <f t="shared" si="6"/>
        <v>1367.9559999999999</v>
      </c>
      <c r="I21" s="19" t="str">
        <f t="shared" si="7"/>
        <v/>
      </c>
      <c r="J21" s="42" t="s">
        <v>56</v>
      </c>
      <c r="K21" s="43" t="s">
        <v>57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3099.5279999999998</v>
      </c>
      <c r="D22" s="13">
        <v>0</v>
      </c>
      <c r="E22" s="13">
        <f t="shared" si="4"/>
        <v>3099.5279999999998</v>
      </c>
      <c r="F22" s="14" t="str">
        <f t="shared" si="5"/>
        <v/>
      </c>
      <c r="G22" s="15">
        <v>0</v>
      </c>
      <c r="H22" s="15">
        <f t="shared" si="6"/>
        <v>3099.5279999999998</v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2903.9470000000001</v>
      </c>
      <c r="D24" s="13">
        <v>0</v>
      </c>
      <c r="E24" s="13">
        <f t="shared" si="4"/>
        <v>2903.9470000000001</v>
      </c>
      <c r="F24" s="14" t="str">
        <f t="shared" si="5"/>
        <v/>
      </c>
      <c r="G24" s="15">
        <v>0</v>
      </c>
      <c r="H24" s="15">
        <f t="shared" si="6"/>
        <v>2903.9470000000001</v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1750.963</v>
      </c>
      <c r="D25" s="18">
        <v>0</v>
      </c>
      <c r="E25" s="18">
        <f t="shared" si="4"/>
        <v>1750.963</v>
      </c>
      <c r="F25" s="19" t="str">
        <f t="shared" si="5"/>
        <v/>
      </c>
      <c r="G25" s="20">
        <v>0</v>
      </c>
      <c r="H25" s="20">
        <f t="shared" si="6"/>
        <v>1750.963</v>
      </c>
      <c r="I25" s="19" t="str">
        <f t="shared" si="7"/>
        <v/>
      </c>
      <c r="J25" s="42" t="s">
        <v>58</v>
      </c>
      <c r="K25" s="43" t="s">
        <v>39</v>
      </c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2070.8209999999999</v>
      </c>
      <c r="D26" s="13">
        <v>0</v>
      </c>
      <c r="E26" s="13">
        <f t="shared" si="4"/>
        <v>2070.8209999999999</v>
      </c>
      <c r="F26" s="14" t="str">
        <f t="shared" si="5"/>
        <v/>
      </c>
      <c r="G26" s="15">
        <v>0</v>
      </c>
      <c r="H26" s="15">
        <f t="shared" si="6"/>
        <v>2070.8209999999999</v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1323.5719999999999</v>
      </c>
      <c r="D27" s="18">
        <v>0</v>
      </c>
      <c r="E27" s="18">
        <f t="shared" si="4"/>
        <v>1323.5719999999999</v>
      </c>
      <c r="F27" s="19" t="str">
        <f t="shared" si="5"/>
        <v/>
      </c>
      <c r="G27" s="20">
        <v>0</v>
      </c>
      <c r="H27" s="20">
        <f t="shared" si="6"/>
        <v>1323.5719999999999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1416.704</v>
      </c>
      <c r="D28" s="13">
        <v>0</v>
      </c>
      <c r="E28" s="13">
        <f t="shared" si="4"/>
        <v>1416.704</v>
      </c>
      <c r="F28" s="14" t="str">
        <f t="shared" si="5"/>
        <v/>
      </c>
      <c r="G28" s="15">
        <v>0</v>
      </c>
      <c r="H28" s="15">
        <f t="shared" si="6"/>
        <v>1416.704</v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>
        <v>1444.1790000000001</v>
      </c>
      <c r="D29" s="18">
        <v>0</v>
      </c>
      <c r="E29" s="18">
        <f t="shared" si="4"/>
        <v>1444.1790000000001</v>
      </c>
      <c r="F29" s="19" t="str">
        <f t="shared" si="5"/>
        <v/>
      </c>
      <c r="G29" s="20">
        <v>0</v>
      </c>
      <c r="H29" s="20">
        <f t="shared" si="6"/>
        <v>1444.1790000000001</v>
      </c>
      <c r="I29" s="19" t="str">
        <f t="shared" si="7"/>
        <v/>
      </c>
      <c r="J29" s="42" t="s">
        <v>42</v>
      </c>
      <c r="K29" s="56" t="s">
        <v>59</v>
      </c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1080.126</v>
      </c>
      <c r="D30" s="13">
        <v>0</v>
      </c>
      <c r="E30" s="13">
        <f t="shared" si="4"/>
        <v>1080.126</v>
      </c>
      <c r="F30" s="14" t="str">
        <f t="shared" si="5"/>
        <v/>
      </c>
      <c r="G30" s="15">
        <v>0</v>
      </c>
      <c r="H30" s="15">
        <f t="shared" si="6"/>
        <v>1080.126</v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3206.203</v>
      </c>
      <c r="D31" s="18">
        <v>0</v>
      </c>
      <c r="E31" s="18">
        <f t="shared" si="4"/>
        <v>3206.203</v>
      </c>
      <c r="F31" s="19" t="str">
        <f t="shared" si="5"/>
        <v/>
      </c>
      <c r="G31" s="20">
        <v>0</v>
      </c>
      <c r="H31" s="20">
        <f t="shared" si="6"/>
        <v>3206.203</v>
      </c>
      <c r="I31" s="19" t="str">
        <f t="shared" si="7"/>
        <v/>
      </c>
      <c r="J31" s="42"/>
      <c r="K31" s="43"/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2796.7060000000001</v>
      </c>
      <c r="D33" s="18">
        <v>0</v>
      </c>
      <c r="E33" s="18">
        <f t="shared" si="4"/>
        <v>2796.7060000000001</v>
      </c>
      <c r="F33" s="19" t="str">
        <f t="shared" si="5"/>
        <v/>
      </c>
      <c r="G33" s="20">
        <v>0</v>
      </c>
      <c r="H33" s="20">
        <f t="shared" si="6"/>
        <v>2796.7060000000001</v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161.69999999999999</v>
      </c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3077.6329999999998</v>
      </c>
      <c r="D37" s="18">
        <v>0</v>
      </c>
      <c r="E37" s="18">
        <f t="shared" si="4"/>
        <v>3077.6329999999998</v>
      </c>
      <c r="F37" s="19" t="str">
        <f t="shared" si="5"/>
        <v/>
      </c>
      <c r="G37" s="20">
        <v>0</v>
      </c>
      <c r="H37" s="20">
        <f t="shared" si="6"/>
        <v>3077.6329999999998</v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638.12900000000002</v>
      </c>
      <c r="D38" s="13">
        <v>0</v>
      </c>
      <c r="E38" s="13">
        <f t="shared" si="4"/>
        <v>638.12900000000002</v>
      </c>
      <c r="F38" s="14" t="str">
        <f t="shared" si="5"/>
        <v/>
      </c>
      <c r="G38" s="15">
        <v>0</v>
      </c>
      <c r="H38" s="15">
        <f t="shared" si="6"/>
        <v>638.12900000000002</v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10" activePane="bottomRight" state="frozen"/>
      <selection pane="bottomRight" activeCell="H19" sqref="H1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69</v>
      </c>
      <c r="E1" s="65"/>
      <c r="F1" s="65"/>
      <c r="G1" s="63" t="s">
        <v>70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58245.252</v>
      </c>
      <c r="D2" s="5">
        <f>SUM(D4:D100)</f>
        <v>0</v>
      </c>
      <c r="E2" s="5">
        <f>C2-D2</f>
        <v>58245.252</v>
      </c>
      <c r="F2" s="6">
        <f>IFERROR(E2/D2, 0)</f>
        <v>0</v>
      </c>
      <c r="G2" s="5">
        <f>SUM(G4:G100)</f>
        <v>0</v>
      </c>
      <c r="H2" s="7">
        <f>C2-G2</f>
        <v>58245.252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111.5</v>
      </c>
      <c r="D6" s="13">
        <v>0</v>
      </c>
      <c r="E6" s="13">
        <f t="shared" si="0"/>
        <v>111.5</v>
      </c>
      <c r="F6" s="14" t="str">
        <f t="shared" ref="F6:F17" si="3">IFERROR(E6/D6, "")</f>
        <v/>
      </c>
      <c r="G6" s="15">
        <v>0</v>
      </c>
      <c r="H6" s="15">
        <f t="shared" si="1"/>
        <v>111.5</v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1347.9</v>
      </c>
      <c r="D7" s="18">
        <v>0</v>
      </c>
      <c r="E7" s="18">
        <f t="shared" si="0"/>
        <v>1347.9</v>
      </c>
      <c r="F7" s="19" t="str">
        <f t="shared" si="3"/>
        <v/>
      </c>
      <c r="G7" s="20">
        <v>0</v>
      </c>
      <c r="H7" s="20">
        <f t="shared" si="1"/>
        <v>1347.9</v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1268</v>
      </c>
      <c r="D8" s="13">
        <v>0</v>
      </c>
      <c r="E8" s="13">
        <f t="shared" si="0"/>
        <v>1268</v>
      </c>
      <c r="F8" s="14" t="str">
        <f t="shared" si="3"/>
        <v/>
      </c>
      <c r="G8" s="15">
        <v>0</v>
      </c>
      <c r="H8" s="15">
        <f t="shared" si="1"/>
        <v>1268</v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>
        <v>0</v>
      </c>
      <c r="E9" s="18">
        <f t="shared" si="0"/>
        <v>0</v>
      </c>
      <c r="F9" s="19" t="str">
        <f t="shared" si="3"/>
        <v/>
      </c>
      <c r="G9" s="20">
        <v>0</v>
      </c>
      <c r="H9" s="20">
        <f t="shared" si="1"/>
        <v>0</v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>
        <v>3535.8</v>
      </c>
      <c r="D10" s="13">
        <v>0</v>
      </c>
      <c r="E10" s="13">
        <f t="shared" si="0"/>
        <v>3535.8</v>
      </c>
      <c r="F10" s="14" t="str">
        <f t="shared" si="3"/>
        <v/>
      </c>
      <c r="G10" s="15">
        <v>0</v>
      </c>
      <c r="H10" s="15">
        <f t="shared" si="1"/>
        <v>3535.8</v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4471.5</v>
      </c>
      <c r="D12" s="13">
        <v>0</v>
      </c>
      <c r="E12" s="13">
        <f t="shared" si="0"/>
        <v>4471.5</v>
      </c>
      <c r="F12" s="14" t="str">
        <f t="shared" si="3"/>
        <v/>
      </c>
      <c r="G12" s="15">
        <v>0</v>
      </c>
      <c r="H12" s="15">
        <f t="shared" si="1"/>
        <v>4471.5</v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9069.1200000000008</v>
      </c>
      <c r="D14" s="13">
        <v>0</v>
      </c>
      <c r="E14" s="13">
        <f t="shared" si="0"/>
        <v>9069.1200000000008</v>
      </c>
      <c r="F14" s="14" t="str">
        <f t="shared" si="3"/>
        <v/>
      </c>
      <c r="G14" s="15">
        <v>0</v>
      </c>
      <c r="H14" s="15">
        <f t="shared" si="1"/>
        <v>9069.1200000000008</v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116.389</v>
      </c>
      <c r="D15" s="18">
        <v>0</v>
      </c>
      <c r="E15" s="18">
        <f t="shared" si="0"/>
        <v>116.389</v>
      </c>
      <c r="F15" s="19" t="str">
        <f t="shared" si="3"/>
        <v/>
      </c>
      <c r="G15" s="20">
        <v>0</v>
      </c>
      <c r="H15" s="20">
        <f t="shared" si="1"/>
        <v>116.389</v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149.74299999999999</v>
      </c>
      <c r="D16" s="13">
        <v>0</v>
      </c>
      <c r="E16" s="13">
        <f t="shared" si="0"/>
        <v>149.74299999999999</v>
      </c>
      <c r="F16" s="14" t="str">
        <f t="shared" si="3"/>
        <v/>
      </c>
      <c r="G16" s="15">
        <v>0</v>
      </c>
      <c r="H16" s="15">
        <f t="shared" si="1"/>
        <v>149.74299999999999</v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2815.4</v>
      </c>
      <c r="D17" s="18">
        <v>0</v>
      </c>
      <c r="E17" s="18">
        <f t="shared" si="0"/>
        <v>2815.4</v>
      </c>
      <c r="F17" s="19" t="str">
        <f t="shared" si="3"/>
        <v/>
      </c>
      <c r="G17" s="20">
        <v>0</v>
      </c>
      <c r="H17" s="20">
        <f t="shared" si="1"/>
        <v>2815.4</v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>
        <v>0</v>
      </c>
      <c r="D18" s="13">
        <v>0</v>
      </c>
      <c r="E18" s="13">
        <f t="shared" ref="E18:E38" si="4">IF(AND(ISNUMBER(C18),ISNUMBER(D18)), C18-D18, "")</f>
        <v>0</v>
      </c>
      <c r="F18" s="14" t="str">
        <f t="shared" ref="F18:F38" si="5">IFERROR(E18/D18, "")</f>
        <v/>
      </c>
      <c r="G18" s="15">
        <v>0</v>
      </c>
      <c r="H18" s="15">
        <f t="shared" ref="H18:H38" si="6">IF(AND(ISNUMBER(C18),ISNUMBER(G18)), C18-G18, "")</f>
        <v>0</v>
      </c>
      <c r="I18" s="16" t="str">
        <f t="shared" ref="I18:I38" si="7">IFERROR(H18/G18, "")</f>
        <v/>
      </c>
      <c r="J18" s="41" t="s">
        <v>71</v>
      </c>
      <c r="K18" s="41" t="s">
        <v>72</v>
      </c>
    </row>
    <row r="19" spans="1:11" ht="15.6">
      <c r="A19" s="30" t="str">
        <v xml:space="preserve"> Aurora - BA - Colfax Ave</v>
      </c>
      <c r="B19" s="31" t="str">
        <v>CO</v>
      </c>
      <c r="C19" s="11">
        <v>1486.3</v>
      </c>
      <c r="D19" s="18">
        <v>0</v>
      </c>
      <c r="E19" s="18">
        <f t="shared" si="4"/>
        <v>1486.3</v>
      </c>
      <c r="F19" s="19" t="str">
        <f t="shared" si="5"/>
        <v/>
      </c>
      <c r="G19" s="20">
        <v>0</v>
      </c>
      <c r="H19" s="20">
        <f t="shared" si="6"/>
        <v>1486.3</v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4393.3999999999996</v>
      </c>
      <c r="D20" s="13">
        <v>0</v>
      </c>
      <c r="E20" s="13">
        <f t="shared" si="4"/>
        <v>4393.3999999999996</v>
      </c>
      <c r="F20" s="14" t="str">
        <f t="shared" si="5"/>
        <v/>
      </c>
      <c r="G20" s="15">
        <v>0</v>
      </c>
      <c r="H20" s="15">
        <f t="shared" si="6"/>
        <v>4393.3999999999996</v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1576.4</v>
      </c>
      <c r="D21" s="18">
        <v>0</v>
      </c>
      <c r="E21" s="18">
        <f t="shared" si="4"/>
        <v>1576.4</v>
      </c>
      <c r="F21" s="19" t="str">
        <f t="shared" si="5"/>
        <v/>
      </c>
      <c r="G21" s="20">
        <v>0</v>
      </c>
      <c r="H21" s="20">
        <f t="shared" si="6"/>
        <v>1576.4</v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3317.6</v>
      </c>
      <c r="D22" s="13">
        <v>0</v>
      </c>
      <c r="E22" s="13">
        <f t="shared" si="4"/>
        <v>3317.6</v>
      </c>
      <c r="F22" s="14" t="str">
        <f t="shared" si="5"/>
        <v/>
      </c>
      <c r="G22" s="15">
        <v>0</v>
      </c>
      <c r="H22" s="15">
        <f t="shared" si="6"/>
        <v>3317.6</v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0</v>
      </c>
      <c r="D23" s="18">
        <v>0</v>
      </c>
      <c r="E23" s="18">
        <f t="shared" si="4"/>
        <v>0</v>
      </c>
      <c r="F23" s="19" t="str">
        <f t="shared" si="5"/>
        <v/>
      </c>
      <c r="G23" s="20">
        <v>0</v>
      </c>
      <c r="H23" s="20">
        <f t="shared" si="6"/>
        <v>0</v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3085.3</v>
      </c>
      <c r="D24" s="13">
        <v>0</v>
      </c>
      <c r="E24" s="13">
        <f t="shared" si="4"/>
        <v>3085.3</v>
      </c>
      <c r="F24" s="14" t="str">
        <f t="shared" si="5"/>
        <v/>
      </c>
      <c r="G24" s="15">
        <v>0</v>
      </c>
      <c r="H24" s="15">
        <f t="shared" si="6"/>
        <v>3085.3</v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1832.2</v>
      </c>
      <c r="D25" s="18">
        <v>0</v>
      </c>
      <c r="E25" s="18">
        <f t="shared" si="4"/>
        <v>1832.2</v>
      </c>
      <c r="F25" s="19" t="str">
        <f t="shared" si="5"/>
        <v/>
      </c>
      <c r="G25" s="20">
        <v>0</v>
      </c>
      <c r="H25" s="20">
        <f t="shared" si="6"/>
        <v>1832.2</v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2812.6</v>
      </c>
      <c r="D26" s="13">
        <v>0</v>
      </c>
      <c r="E26" s="13">
        <f t="shared" si="4"/>
        <v>2812.6</v>
      </c>
      <c r="F26" s="14" t="str">
        <f t="shared" si="5"/>
        <v/>
      </c>
      <c r="G26" s="15">
        <v>0</v>
      </c>
      <c r="H26" s="15">
        <f t="shared" si="6"/>
        <v>2812.6</v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1389.6</v>
      </c>
      <c r="D27" s="18">
        <v>0</v>
      </c>
      <c r="E27" s="18">
        <f t="shared" si="4"/>
        <v>1389.6</v>
      </c>
      <c r="F27" s="19" t="str">
        <f t="shared" si="5"/>
        <v/>
      </c>
      <c r="G27" s="20">
        <v>0</v>
      </c>
      <c r="H27" s="20">
        <f t="shared" si="6"/>
        <v>1389.6</v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1490.1</v>
      </c>
      <c r="D28" s="13">
        <v>0</v>
      </c>
      <c r="E28" s="13">
        <f t="shared" si="4"/>
        <v>1490.1</v>
      </c>
      <c r="F28" s="14" t="str">
        <f t="shared" si="5"/>
        <v/>
      </c>
      <c r="G28" s="15">
        <v>0</v>
      </c>
      <c r="H28" s="15">
        <f t="shared" si="6"/>
        <v>1490.1</v>
      </c>
      <c r="I28" s="16" t="str">
        <f t="shared" si="7"/>
        <v/>
      </c>
      <c r="J28" s="41" t="s">
        <v>73</v>
      </c>
      <c r="K28" s="41" t="s">
        <v>74</v>
      </c>
    </row>
    <row r="29" spans="1:11" ht="15.6">
      <c r="A29" s="30" t="str">
        <v xml:space="preserve"> Thornton - Bank of America</v>
      </c>
      <c r="B29" s="31" t="str">
        <v>CO</v>
      </c>
      <c r="C29" s="11">
        <v>1522</v>
      </c>
      <c r="D29" s="18">
        <v>0</v>
      </c>
      <c r="E29" s="18">
        <f t="shared" si="4"/>
        <v>1522</v>
      </c>
      <c r="F29" s="19" t="str">
        <f t="shared" si="5"/>
        <v/>
      </c>
      <c r="G29" s="20">
        <v>0</v>
      </c>
      <c r="H29" s="20">
        <f t="shared" si="6"/>
        <v>1522</v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1073.4000000000001</v>
      </c>
      <c r="D30" s="13">
        <v>0</v>
      </c>
      <c r="E30" s="13">
        <f t="shared" si="4"/>
        <v>1073.4000000000001</v>
      </c>
      <c r="F30" s="14" t="str">
        <f t="shared" si="5"/>
        <v/>
      </c>
      <c r="G30" s="15">
        <v>0</v>
      </c>
      <c r="H30" s="15">
        <f t="shared" si="6"/>
        <v>1073.4000000000001</v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3201.1</v>
      </c>
      <c r="D31" s="18">
        <v>0</v>
      </c>
      <c r="E31" s="18">
        <f t="shared" si="4"/>
        <v>3201.1</v>
      </c>
      <c r="F31" s="19" t="str">
        <f t="shared" si="5"/>
        <v/>
      </c>
      <c r="G31" s="20">
        <v>0</v>
      </c>
      <c r="H31" s="20">
        <f t="shared" si="6"/>
        <v>3201.1</v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2438.5</v>
      </c>
      <c r="D33" s="18">
        <v>0</v>
      </c>
      <c r="E33" s="18">
        <f t="shared" si="4"/>
        <v>2438.5</v>
      </c>
      <c r="F33" s="19" t="str">
        <f t="shared" si="5"/>
        <v/>
      </c>
      <c r="G33" s="20">
        <v>0</v>
      </c>
      <c r="H33" s="20">
        <f t="shared" si="6"/>
        <v>2438.5</v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1863.3</v>
      </c>
      <c r="D34" s="13">
        <v>0</v>
      </c>
      <c r="E34" s="13">
        <f t="shared" si="4"/>
        <v>1863.3</v>
      </c>
      <c r="F34" s="14" t="str">
        <f t="shared" si="5"/>
        <v/>
      </c>
      <c r="G34" s="15">
        <v>0</v>
      </c>
      <c r="H34" s="15">
        <f t="shared" si="6"/>
        <v>1863.3</v>
      </c>
      <c r="I34" s="16" t="str">
        <f t="shared" si="7"/>
        <v/>
      </c>
      <c r="J34" s="41" t="s">
        <v>46</v>
      </c>
      <c r="K34" s="41" t="s">
        <v>75</v>
      </c>
    </row>
    <row r="35" spans="1:11" ht="15.6">
      <c r="A35" s="30" t="str">
        <v xml:space="preserve"> Las Vegas - BA - Eastern Ave</v>
      </c>
      <c r="B35" s="31" t="str">
        <v>NV</v>
      </c>
      <c r="C35" s="11">
        <v>27.3</v>
      </c>
      <c r="D35" s="18">
        <v>0</v>
      </c>
      <c r="E35" s="18">
        <f t="shared" si="4"/>
        <v>27.3</v>
      </c>
      <c r="F35" s="19" t="str">
        <f t="shared" si="5"/>
        <v/>
      </c>
      <c r="G35" s="20">
        <v>0</v>
      </c>
      <c r="H35" s="20">
        <f t="shared" si="6"/>
        <v>27.3</v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3212.5</v>
      </c>
      <c r="D37" s="18">
        <v>0</v>
      </c>
      <c r="E37" s="18">
        <f t="shared" si="4"/>
        <v>3212.5</v>
      </c>
      <c r="F37" s="19" t="str">
        <f t="shared" si="5"/>
        <v/>
      </c>
      <c r="G37" s="20">
        <v>0</v>
      </c>
      <c r="H37" s="20">
        <f t="shared" si="6"/>
        <v>3212.5</v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638.29999999999995</v>
      </c>
      <c r="D38" s="13">
        <v>0</v>
      </c>
      <c r="E38" s="13">
        <f t="shared" si="4"/>
        <v>638.29999999999995</v>
      </c>
      <c r="F38" s="14" t="str">
        <f t="shared" si="5"/>
        <v/>
      </c>
      <c r="G38" s="15">
        <v>0</v>
      </c>
      <c r="H38" s="15">
        <f t="shared" si="6"/>
        <v>638.29999999999995</v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16" activePane="bottomRight" state="frozen"/>
      <selection pane="bottomRight" activeCell="J35" sqref="J3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76</v>
      </c>
      <c r="E1" s="65"/>
      <c r="F1" s="65"/>
      <c r="G1" s="63" t="s">
        <v>77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51264.426999999989</v>
      </c>
      <c r="D2" s="5">
        <f>SUM(D4:D100)</f>
        <v>0</v>
      </c>
      <c r="E2" s="5">
        <f>C2-D2</f>
        <v>51264.426999999989</v>
      </c>
      <c r="F2" s="6">
        <f>IFERROR(E2/D2, 0)</f>
        <v>0</v>
      </c>
      <c r="G2" s="5">
        <f>SUM(G4:G100)</f>
        <v>0</v>
      </c>
      <c r="H2" s="7">
        <f>C2-G2</f>
        <v>51264.426999999989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99</v>
      </c>
      <c r="D6" s="13">
        <v>0</v>
      </c>
      <c r="E6" s="13">
        <f t="shared" si="0"/>
        <v>99</v>
      </c>
      <c r="F6" s="14" t="str">
        <f t="shared" ref="F6:F17" si="3">IFERROR(E6/D6, "")</f>
        <v/>
      </c>
      <c r="G6" s="15">
        <v>0</v>
      </c>
      <c r="H6" s="15">
        <f t="shared" si="1"/>
        <v>99</v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1163.317</v>
      </c>
      <c r="D7" s="18">
        <v>0</v>
      </c>
      <c r="E7" s="18">
        <f t="shared" si="0"/>
        <v>1163.317</v>
      </c>
      <c r="F7" s="19" t="str">
        <f t="shared" si="3"/>
        <v/>
      </c>
      <c r="G7" s="20">
        <v>0</v>
      </c>
      <c r="H7" s="20">
        <f t="shared" si="1"/>
        <v>1163.317</v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1480.9</v>
      </c>
      <c r="D8" s="13">
        <v>0</v>
      </c>
      <c r="E8" s="13">
        <f t="shared" si="0"/>
        <v>1480.9</v>
      </c>
      <c r="F8" s="14" t="str">
        <f t="shared" si="3"/>
        <v/>
      </c>
      <c r="G8" s="15">
        <v>0</v>
      </c>
      <c r="H8" s="15">
        <f t="shared" si="1"/>
        <v>1480.9</v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>
        <v>0</v>
      </c>
      <c r="E9" s="18">
        <f t="shared" si="0"/>
        <v>0</v>
      </c>
      <c r="F9" s="19" t="str">
        <f t="shared" si="3"/>
        <v/>
      </c>
      <c r="G9" s="20">
        <v>0</v>
      </c>
      <c r="H9" s="20">
        <f t="shared" si="1"/>
        <v>0</v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>
        <v>3222.5</v>
      </c>
      <c r="D10" s="13">
        <v>0</v>
      </c>
      <c r="E10" s="13">
        <f t="shared" si="0"/>
        <v>3222.5</v>
      </c>
      <c r="F10" s="14" t="str">
        <f t="shared" si="3"/>
        <v/>
      </c>
      <c r="G10" s="15">
        <v>0</v>
      </c>
      <c r="H10" s="15">
        <f t="shared" si="1"/>
        <v>3222.5</v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4223.3</v>
      </c>
      <c r="D12" s="13">
        <v>0</v>
      </c>
      <c r="E12" s="13">
        <f t="shared" si="0"/>
        <v>4223.3</v>
      </c>
      <c r="F12" s="14" t="str">
        <f t="shared" si="3"/>
        <v/>
      </c>
      <c r="G12" s="15">
        <v>0</v>
      </c>
      <c r="H12" s="15">
        <f t="shared" si="1"/>
        <v>4223.3</v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8390.6</v>
      </c>
      <c r="D14" s="13">
        <v>0</v>
      </c>
      <c r="E14" s="13">
        <f t="shared" si="0"/>
        <v>8390.6</v>
      </c>
      <c r="F14" s="14" t="str">
        <f t="shared" si="3"/>
        <v/>
      </c>
      <c r="G14" s="15">
        <v>0</v>
      </c>
      <c r="H14" s="15">
        <f t="shared" si="1"/>
        <v>8390.6</v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55.2</v>
      </c>
      <c r="D15" s="18">
        <v>0</v>
      </c>
      <c r="E15" s="18">
        <f t="shared" si="0"/>
        <v>55.2</v>
      </c>
      <c r="F15" s="19" t="str">
        <f t="shared" si="3"/>
        <v/>
      </c>
      <c r="G15" s="20">
        <v>0</v>
      </c>
      <c r="H15" s="20">
        <f t="shared" si="1"/>
        <v>55.2</v>
      </c>
      <c r="I15" s="19" t="str">
        <f t="shared" si="2"/>
        <v/>
      </c>
      <c r="J15" s="42" t="s">
        <v>78</v>
      </c>
      <c r="K15" s="43" t="s">
        <v>79</v>
      </c>
    </row>
    <row r="16" spans="1:11" ht="15.6">
      <c r="A16" s="28" t="str">
        <v xml:space="preserve"> San Diego - Bank of America</v>
      </c>
      <c r="B16" s="29" t="str">
        <v>CA</v>
      </c>
      <c r="C16" s="24">
        <v>135.69999999999999</v>
      </c>
      <c r="D16" s="13">
        <v>0</v>
      </c>
      <c r="E16" s="13">
        <f t="shared" si="0"/>
        <v>135.69999999999999</v>
      </c>
      <c r="F16" s="14" t="str">
        <f t="shared" si="3"/>
        <v/>
      </c>
      <c r="G16" s="15">
        <v>0</v>
      </c>
      <c r="H16" s="15">
        <f t="shared" si="1"/>
        <v>135.69999999999999</v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2402</v>
      </c>
      <c r="D17" s="18">
        <v>0</v>
      </c>
      <c r="E17" s="18">
        <f t="shared" si="0"/>
        <v>2402</v>
      </c>
      <c r="F17" s="19" t="str">
        <f t="shared" si="3"/>
        <v/>
      </c>
      <c r="G17" s="20">
        <v>0</v>
      </c>
      <c r="H17" s="20">
        <f t="shared" si="1"/>
        <v>2402</v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>
        <v>0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>
        <v>0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80</v>
      </c>
      <c r="K18" s="41" t="s">
        <v>72</v>
      </c>
    </row>
    <row r="19" spans="1:11" ht="15.6">
      <c r="A19" s="30" t="str">
        <v xml:space="preserve"> Aurora - BA - Colfax Ave</v>
      </c>
      <c r="B19" s="31" t="str">
        <v>CO</v>
      </c>
      <c r="C19" s="11">
        <v>1355</v>
      </c>
      <c r="D19" s="18">
        <v>0</v>
      </c>
      <c r="E19" s="18">
        <f t="shared" si="4"/>
        <v>1355</v>
      </c>
      <c r="F19" s="19" t="str">
        <f t="shared" si="5"/>
        <v/>
      </c>
      <c r="G19" s="20">
        <v>0</v>
      </c>
      <c r="H19" s="20">
        <f t="shared" si="6"/>
        <v>1355</v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3888.1</v>
      </c>
      <c r="D20" s="13">
        <v>0</v>
      </c>
      <c r="E20" s="13">
        <f t="shared" si="4"/>
        <v>3888.1</v>
      </c>
      <c r="F20" s="14" t="str">
        <f t="shared" si="5"/>
        <v/>
      </c>
      <c r="G20" s="15">
        <v>0</v>
      </c>
      <c r="H20" s="15">
        <f t="shared" si="6"/>
        <v>3888.1</v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1328.53</v>
      </c>
      <c r="D21" s="18">
        <v>0</v>
      </c>
      <c r="E21" s="18">
        <f t="shared" si="4"/>
        <v>1328.53</v>
      </c>
      <c r="F21" s="19" t="str">
        <f t="shared" si="5"/>
        <v/>
      </c>
      <c r="G21" s="20">
        <v>0</v>
      </c>
      <c r="H21" s="20">
        <f t="shared" si="6"/>
        <v>1328.53</v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2823.9</v>
      </c>
      <c r="D22" s="13">
        <v>0</v>
      </c>
      <c r="E22" s="13">
        <f t="shared" si="4"/>
        <v>2823.9</v>
      </c>
      <c r="F22" s="14" t="str">
        <f t="shared" si="5"/>
        <v/>
      </c>
      <c r="G22" s="15">
        <v>0</v>
      </c>
      <c r="H22" s="15">
        <f t="shared" si="6"/>
        <v>2823.9</v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0</v>
      </c>
      <c r="D23" s="18">
        <v>0</v>
      </c>
      <c r="E23" s="18">
        <f t="shared" si="4"/>
        <v>0</v>
      </c>
      <c r="F23" s="19" t="str">
        <f t="shared" si="5"/>
        <v/>
      </c>
      <c r="G23" s="20">
        <v>0</v>
      </c>
      <c r="H23" s="20">
        <f t="shared" si="6"/>
        <v>0</v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2597.58</v>
      </c>
      <c r="D24" s="13">
        <v>0</v>
      </c>
      <c r="E24" s="13">
        <f t="shared" si="4"/>
        <v>2597.58</v>
      </c>
      <c r="F24" s="14" t="str">
        <f t="shared" si="5"/>
        <v/>
      </c>
      <c r="G24" s="15">
        <v>0</v>
      </c>
      <c r="H24" s="15">
        <f t="shared" si="6"/>
        <v>2597.58</v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366.4</v>
      </c>
      <c r="D25" s="18">
        <v>0</v>
      </c>
      <c r="E25" s="18">
        <f t="shared" si="4"/>
        <v>366.4</v>
      </c>
      <c r="F25" s="19" t="str">
        <f t="shared" si="5"/>
        <v/>
      </c>
      <c r="G25" s="20">
        <v>0</v>
      </c>
      <c r="H25" s="20">
        <f t="shared" si="6"/>
        <v>366.4</v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2543.5</v>
      </c>
      <c r="D26" s="13">
        <v>0</v>
      </c>
      <c r="E26" s="13">
        <f t="shared" si="4"/>
        <v>2543.5</v>
      </c>
      <c r="F26" s="14" t="str">
        <f t="shared" si="5"/>
        <v/>
      </c>
      <c r="G26" s="15">
        <v>0</v>
      </c>
      <c r="H26" s="15">
        <f t="shared" si="6"/>
        <v>2543.5</v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1184.2</v>
      </c>
      <c r="D27" s="18">
        <v>0</v>
      </c>
      <c r="E27" s="18">
        <f t="shared" si="4"/>
        <v>1184.2</v>
      </c>
      <c r="F27" s="19" t="str">
        <f t="shared" si="5"/>
        <v/>
      </c>
      <c r="G27" s="20">
        <v>0</v>
      </c>
      <c r="H27" s="20">
        <f t="shared" si="6"/>
        <v>1184.2</v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1276.0999999999999</v>
      </c>
      <c r="D28" s="13">
        <v>0</v>
      </c>
      <c r="E28" s="13">
        <f t="shared" si="4"/>
        <v>1276.0999999999999</v>
      </c>
      <c r="F28" s="14" t="str">
        <f t="shared" si="5"/>
        <v/>
      </c>
      <c r="G28" s="15">
        <v>0</v>
      </c>
      <c r="H28" s="15">
        <f t="shared" si="6"/>
        <v>1276.0999999999999</v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1445.7</v>
      </c>
      <c r="D29" s="18">
        <v>0</v>
      </c>
      <c r="E29" s="18">
        <f t="shared" si="4"/>
        <v>1445.7</v>
      </c>
      <c r="F29" s="19" t="str">
        <f t="shared" si="5"/>
        <v/>
      </c>
      <c r="G29" s="20">
        <v>0</v>
      </c>
      <c r="H29" s="20">
        <f t="shared" si="6"/>
        <v>1445.7</v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2014.6</v>
      </c>
      <c r="D30" s="13">
        <v>0</v>
      </c>
      <c r="E30" s="13">
        <f t="shared" si="4"/>
        <v>2014.6</v>
      </c>
      <c r="F30" s="14" t="str">
        <f t="shared" si="5"/>
        <v/>
      </c>
      <c r="G30" s="15">
        <v>0</v>
      </c>
      <c r="H30" s="15">
        <f t="shared" si="6"/>
        <v>2014.6</v>
      </c>
      <c r="I30" s="16" t="str">
        <f t="shared" si="7"/>
        <v/>
      </c>
      <c r="J30" s="41" t="s">
        <v>81</v>
      </c>
      <c r="K30" s="41" t="s">
        <v>82</v>
      </c>
    </row>
    <row r="31" spans="1:11" ht="15.6">
      <c r="A31" s="30" t="str">
        <v xml:space="preserve"> Downers Grove - Bank of America</v>
      </c>
      <c r="B31" s="31" t="str">
        <v>IL</v>
      </c>
      <c r="C31" s="11">
        <v>3074.9</v>
      </c>
      <c r="D31" s="18">
        <v>0</v>
      </c>
      <c r="E31" s="18">
        <f t="shared" si="4"/>
        <v>3074.9</v>
      </c>
      <c r="F31" s="19" t="str">
        <f t="shared" si="5"/>
        <v/>
      </c>
      <c r="G31" s="20">
        <v>0</v>
      </c>
      <c r="H31" s="20">
        <f t="shared" si="6"/>
        <v>3074.9</v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2486.6999999999998</v>
      </c>
      <c r="D33" s="18">
        <v>0</v>
      </c>
      <c r="E33" s="18">
        <f t="shared" si="4"/>
        <v>2486.6999999999998</v>
      </c>
      <c r="F33" s="19" t="str">
        <f t="shared" si="5"/>
        <v/>
      </c>
      <c r="G33" s="20">
        <v>0</v>
      </c>
      <c r="H33" s="20">
        <f t="shared" si="6"/>
        <v>2486.6999999999998</v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307</v>
      </c>
      <c r="D34" s="13">
        <v>0</v>
      </c>
      <c r="E34" s="13">
        <f t="shared" si="4"/>
        <v>307</v>
      </c>
      <c r="F34" s="14" t="str">
        <f t="shared" si="5"/>
        <v/>
      </c>
      <c r="G34" s="15">
        <v>0</v>
      </c>
      <c r="H34" s="15">
        <f t="shared" si="6"/>
        <v>307</v>
      </c>
      <c r="I34" s="16" t="str">
        <f t="shared" si="7"/>
        <v/>
      </c>
      <c r="J34" s="41" t="s">
        <v>46</v>
      </c>
      <c r="K34" s="41" t="s">
        <v>75</v>
      </c>
    </row>
    <row r="35" spans="1:11" ht="15.6">
      <c r="A35" s="30" t="str">
        <v xml:space="preserve"> Las Vegas - BA - Eastern Ave</v>
      </c>
      <c r="B35" s="31" t="str">
        <v>NV</v>
      </c>
      <c r="C35" s="11">
        <v>80.7</v>
      </c>
      <c r="D35" s="18">
        <v>0</v>
      </c>
      <c r="E35" s="18">
        <f t="shared" si="4"/>
        <v>80.7</v>
      </c>
      <c r="F35" s="19" t="str">
        <f t="shared" si="5"/>
        <v/>
      </c>
      <c r="G35" s="20">
        <v>0</v>
      </c>
      <c r="H35" s="20">
        <f t="shared" si="6"/>
        <v>80.7</v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2821.2</v>
      </c>
      <c r="D37" s="18">
        <v>0</v>
      </c>
      <c r="E37" s="18">
        <f t="shared" si="4"/>
        <v>2821.2</v>
      </c>
      <c r="F37" s="19" t="str">
        <f t="shared" si="5"/>
        <v/>
      </c>
      <c r="G37" s="20">
        <v>0</v>
      </c>
      <c r="H37" s="20">
        <f t="shared" si="6"/>
        <v>2821.2</v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497.8</v>
      </c>
      <c r="D38" s="13">
        <v>0</v>
      </c>
      <c r="E38" s="13">
        <f t="shared" si="4"/>
        <v>497.8</v>
      </c>
      <c r="F38" s="14" t="str">
        <f t="shared" si="5"/>
        <v/>
      </c>
      <c r="G38" s="15">
        <v>0</v>
      </c>
      <c r="H38" s="15">
        <f t="shared" si="6"/>
        <v>497.8</v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J4" activePane="bottomRight" state="frozen"/>
      <selection pane="bottomRight" activeCell="J10" sqref="J10:K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83</v>
      </c>
      <c r="E1" s="65"/>
      <c r="F1" s="65"/>
      <c r="G1" s="63" t="s">
        <v>84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48395.692999999992</v>
      </c>
      <c r="D2" s="5">
        <f>SUM(D4:D100)</f>
        <v>0</v>
      </c>
      <c r="E2" s="5">
        <f>C2-D2</f>
        <v>48395.692999999992</v>
      </c>
      <c r="F2" s="6">
        <f>IFERROR(E2/D2, 0)</f>
        <v>0</v>
      </c>
      <c r="G2" s="5">
        <f>SUM(G4:G100)</f>
        <v>0</v>
      </c>
      <c r="H2" s="7">
        <f>C2-G2</f>
        <v>48395.692999999992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>
        <v>10.8</v>
      </c>
      <c r="D6" s="13">
        <v>0</v>
      </c>
      <c r="E6" s="13">
        <f t="shared" si="0"/>
        <v>10.8</v>
      </c>
      <c r="F6" s="14" t="str">
        <f t="shared" ref="F6:F17" si="3">IFERROR(E6/D6, "")</f>
        <v/>
      </c>
      <c r="G6" s="15">
        <v>0</v>
      </c>
      <c r="H6" s="15">
        <f t="shared" si="1"/>
        <v>10.8</v>
      </c>
      <c r="I6" s="16" t="str">
        <f t="shared" si="2"/>
        <v/>
      </c>
      <c r="J6" s="41" t="s">
        <v>85</v>
      </c>
      <c r="K6" s="41" t="s">
        <v>53</v>
      </c>
    </row>
    <row r="7" spans="1:11" ht="15.6">
      <c r="A7" s="30" t="str">
        <v xml:space="preserve"> Bell - Bank of America</v>
      </c>
      <c r="B7" s="31" t="str">
        <v>CA</v>
      </c>
      <c r="C7" s="11">
        <v>906.3</v>
      </c>
      <c r="D7" s="18">
        <v>0</v>
      </c>
      <c r="E7" s="18">
        <f t="shared" si="0"/>
        <v>906.3</v>
      </c>
      <c r="F7" s="19" t="str">
        <f t="shared" si="3"/>
        <v/>
      </c>
      <c r="G7" s="20">
        <v>0</v>
      </c>
      <c r="H7" s="20">
        <f t="shared" si="1"/>
        <v>906.3</v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1241.8</v>
      </c>
      <c r="D8" s="13">
        <v>0</v>
      </c>
      <c r="E8" s="13">
        <f t="shared" si="0"/>
        <v>1241.8</v>
      </c>
      <c r="F8" s="14" t="str">
        <f t="shared" si="3"/>
        <v/>
      </c>
      <c r="G8" s="15">
        <v>0</v>
      </c>
      <c r="H8" s="15">
        <f t="shared" si="1"/>
        <v>1241.8</v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>
        <v>0</v>
      </c>
      <c r="E9" s="18">
        <f t="shared" si="0"/>
        <v>0</v>
      </c>
      <c r="F9" s="19" t="str">
        <f t="shared" si="3"/>
        <v/>
      </c>
      <c r="G9" s="20">
        <v>0</v>
      </c>
      <c r="H9" s="20">
        <f t="shared" si="1"/>
        <v>0</v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>
        <v>2627.2429999999999</v>
      </c>
      <c r="D10" s="13">
        <v>0</v>
      </c>
      <c r="E10" s="13">
        <f t="shared" si="0"/>
        <v>2627.2429999999999</v>
      </c>
      <c r="F10" s="14" t="str">
        <f t="shared" si="3"/>
        <v/>
      </c>
      <c r="G10" s="15">
        <v>0</v>
      </c>
      <c r="H10" s="15">
        <f t="shared" si="1"/>
        <v>2627.2429999999999</v>
      </c>
      <c r="I10" s="16" t="str">
        <f t="shared" si="2"/>
        <v/>
      </c>
      <c r="J10" s="41" t="s">
        <v>86</v>
      </c>
      <c r="K10" s="41" t="s">
        <v>87</v>
      </c>
    </row>
    <row r="11" spans="1:11" ht="15.6">
      <c r="A11" s="30" t="str">
        <v xml:space="preserve"> El Centro - Bank of America</v>
      </c>
      <c r="B11" s="31" t="str">
        <v>CA</v>
      </c>
      <c r="C11" s="11">
        <v>2400.1999999999998</v>
      </c>
      <c r="D11" s="18">
        <v>0</v>
      </c>
      <c r="E11" s="18">
        <f t="shared" si="0"/>
        <v>2400.1999999999998</v>
      </c>
      <c r="F11" s="19" t="str">
        <f t="shared" si="3"/>
        <v/>
      </c>
      <c r="G11" s="20">
        <v>0</v>
      </c>
      <c r="H11" s="20">
        <f t="shared" si="1"/>
        <v>2400.1999999999998</v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3876.2</v>
      </c>
      <c r="D12" s="13">
        <v>0</v>
      </c>
      <c r="E12" s="13">
        <f t="shared" si="0"/>
        <v>3876.2</v>
      </c>
      <c r="F12" s="14" t="str">
        <f t="shared" si="3"/>
        <v/>
      </c>
      <c r="G12" s="15">
        <v>0</v>
      </c>
      <c r="H12" s="15">
        <f t="shared" si="1"/>
        <v>3876.2</v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7734.1</v>
      </c>
      <c r="D14" s="13">
        <v>0</v>
      </c>
      <c r="E14" s="13">
        <f t="shared" si="0"/>
        <v>7734.1</v>
      </c>
      <c r="F14" s="14" t="str">
        <f t="shared" si="3"/>
        <v/>
      </c>
      <c r="G14" s="15">
        <v>0</v>
      </c>
      <c r="H14" s="15">
        <f t="shared" si="1"/>
        <v>7734.1</v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>
        <v>75.2</v>
      </c>
      <c r="D15" s="18">
        <v>0</v>
      </c>
      <c r="E15" s="18">
        <f t="shared" si="0"/>
        <v>75.2</v>
      </c>
      <c r="F15" s="19" t="str">
        <f t="shared" si="3"/>
        <v/>
      </c>
      <c r="G15" s="20">
        <v>0</v>
      </c>
      <c r="H15" s="20">
        <f t="shared" si="1"/>
        <v>75.2</v>
      </c>
      <c r="I15" s="19" t="str">
        <f t="shared" si="2"/>
        <v/>
      </c>
      <c r="J15" s="42" t="s">
        <v>88</v>
      </c>
      <c r="K15" s="42" t="s">
        <v>89</v>
      </c>
    </row>
    <row r="16" spans="1:11" ht="15.75">
      <c r="A16" s="28" t="str">
        <v xml:space="preserve"> San Diego - Bank of America</v>
      </c>
      <c r="B16" s="29" t="str">
        <v>CA</v>
      </c>
      <c r="C16" s="24">
        <v>85.2</v>
      </c>
      <c r="D16" s="13">
        <v>0</v>
      </c>
      <c r="E16" s="13">
        <f t="shared" si="0"/>
        <v>85.2</v>
      </c>
      <c r="F16" s="14" t="str">
        <f t="shared" si="3"/>
        <v/>
      </c>
      <c r="G16" s="15">
        <v>0</v>
      </c>
      <c r="H16" s="15">
        <f t="shared" si="1"/>
        <v>85.2</v>
      </c>
      <c r="I16" s="16" t="str">
        <f t="shared" si="2"/>
        <v/>
      </c>
      <c r="J16" s="41" t="s">
        <v>90</v>
      </c>
      <c r="K16" s="41" t="s">
        <v>91</v>
      </c>
    </row>
    <row r="17" spans="1:11" ht="15.6">
      <c r="A17" s="30" t="str">
        <v xml:space="preserve"> Stockton - Bank of America</v>
      </c>
      <c r="B17" s="31" t="str">
        <v>CA</v>
      </c>
      <c r="C17" s="11">
        <v>1742.3</v>
      </c>
      <c r="D17" s="18">
        <v>0</v>
      </c>
      <c r="E17" s="18">
        <f t="shared" si="0"/>
        <v>1742.3</v>
      </c>
      <c r="F17" s="19" t="str">
        <f t="shared" si="3"/>
        <v/>
      </c>
      <c r="G17" s="20">
        <v>0</v>
      </c>
      <c r="H17" s="20">
        <f t="shared" si="1"/>
        <v>1742.3</v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>
        <v>0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>
        <v>0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1255.7</v>
      </c>
      <c r="D19" s="18">
        <v>0</v>
      </c>
      <c r="E19" s="18">
        <f t="shared" si="4"/>
        <v>1255.7</v>
      </c>
      <c r="F19" s="19" t="str">
        <f t="shared" si="5"/>
        <v/>
      </c>
      <c r="G19" s="20">
        <v>0</v>
      </c>
      <c r="H19" s="20">
        <f t="shared" si="6"/>
        <v>1255.7</v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3689.6</v>
      </c>
      <c r="D20" s="13">
        <v>0</v>
      </c>
      <c r="E20" s="13">
        <f t="shared" si="4"/>
        <v>3689.6</v>
      </c>
      <c r="F20" s="14" t="str">
        <f t="shared" si="5"/>
        <v/>
      </c>
      <c r="G20" s="15">
        <v>0</v>
      </c>
      <c r="H20" s="15">
        <f t="shared" si="6"/>
        <v>3689.6</v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1545.8</v>
      </c>
      <c r="D21" s="18">
        <v>0</v>
      </c>
      <c r="E21" s="18">
        <f t="shared" si="4"/>
        <v>1545.8</v>
      </c>
      <c r="F21" s="19" t="str">
        <f t="shared" si="5"/>
        <v/>
      </c>
      <c r="G21" s="20">
        <v>0</v>
      </c>
      <c r="H21" s="20">
        <f t="shared" si="6"/>
        <v>1545.8</v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2849.4</v>
      </c>
      <c r="D22" s="13">
        <v>0</v>
      </c>
      <c r="E22" s="13">
        <f t="shared" si="4"/>
        <v>2849.4</v>
      </c>
      <c r="F22" s="14" t="str">
        <f t="shared" si="5"/>
        <v/>
      </c>
      <c r="G22" s="15">
        <v>0</v>
      </c>
      <c r="H22" s="15">
        <f t="shared" si="6"/>
        <v>2849.4</v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0</v>
      </c>
      <c r="D23" s="18">
        <v>0</v>
      </c>
      <c r="E23" s="18">
        <f t="shared" si="4"/>
        <v>0</v>
      </c>
      <c r="F23" s="19" t="str">
        <f t="shared" si="5"/>
        <v/>
      </c>
      <c r="G23" s="20">
        <v>0</v>
      </c>
      <c r="H23" s="20">
        <f t="shared" si="6"/>
        <v>0</v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2517.4</v>
      </c>
      <c r="D24" s="13">
        <v>0</v>
      </c>
      <c r="E24" s="13">
        <f t="shared" si="4"/>
        <v>2517.4</v>
      </c>
      <c r="F24" s="14" t="str">
        <f t="shared" si="5"/>
        <v/>
      </c>
      <c r="G24" s="15">
        <v>0</v>
      </c>
      <c r="H24" s="15">
        <f t="shared" si="6"/>
        <v>2517.4</v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0</v>
      </c>
      <c r="D25" s="18">
        <v>0</v>
      </c>
      <c r="E25" s="18">
        <f t="shared" si="4"/>
        <v>0</v>
      </c>
      <c r="F25" s="19" t="str">
        <f t="shared" si="5"/>
        <v/>
      </c>
      <c r="G25" s="20">
        <v>0</v>
      </c>
      <c r="H25" s="20">
        <f t="shared" si="6"/>
        <v>0</v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2415.3000000000002</v>
      </c>
      <c r="D26" s="13">
        <v>0</v>
      </c>
      <c r="E26" s="13">
        <f t="shared" si="4"/>
        <v>2415.3000000000002</v>
      </c>
      <c r="F26" s="14" t="str">
        <f t="shared" si="5"/>
        <v/>
      </c>
      <c r="G26" s="15">
        <v>0</v>
      </c>
      <c r="H26" s="15">
        <f t="shared" si="6"/>
        <v>2415.3000000000002</v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>
        <v>1238.0999999999999</v>
      </c>
      <c r="D27" s="18">
        <v>0</v>
      </c>
      <c r="E27" s="18">
        <f t="shared" si="4"/>
        <v>1238.0999999999999</v>
      </c>
      <c r="F27" s="19" t="str">
        <f t="shared" si="5"/>
        <v/>
      </c>
      <c r="G27" s="20">
        <v>0</v>
      </c>
      <c r="H27" s="20">
        <f t="shared" si="6"/>
        <v>1238.0999999999999</v>
      </c>
      <c r="I27" s="19" t="str">
        <f t="shared" si="7"/>
        <v/>
      </c>
      <c r="J27" s="42"/>
      <c r="K27" s="42"/>
    </row>
    <row r="28" spans="1:11" ht="15.75">
      <c r="A28" s="28" t="str">
        <v xml:space="preserve"> Longmont - Bank of America</v>
      </c>
      <c r="B28" s="29" t="str">
        <v>CO</v>
      </c>
      <c r="C28" s="24">
        <v>1175.8499999999999</v>
      </c>
      <c r="D28" s="13">
        <v>0</v>
      </c>
      <c r="E28" s="13">
        <f t="shared" si="4"/>
        <v>1175.8499999999999</v>
      </c>
      <c r="F28" s="14" t="str">
        <f t="shared" si="5"/>
        <v/>
      </c>
      <c r="G28" s="15">
        <v>0</v>
      </c>
      <c r="H28" s="15">
        <f t="shared" si="6"/>
        <v>1175.8499999999999</v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>
        <v>1435</v>
      </c>
      <c r="D29" s="18">
        <v>0</v>
      </c>
      <c r="E29" s="18">
        <f t="shared" si="4"/>
        <v>1435</v>
      </c>
      <c r="F29" s="19" t="str">
        <f t="shared" si="5"/>
        <v/>
      </c>
      <c r="G29" s="20">
        <v>0</v>
      </c>
      <c r="H29" s="20">
        <f t="shared" si="6"/>
        <v>1435</v>
      </c>
      <c r="I29" s="19" t="str">
        <f t="shared" si="7"/>
        <v/>
      </c>
      <c r="J29" s="42"/>
      <c r="K29" s="42"/>
    </row>
    <row r="30" spans="1:11" ht="15.75">
      <c r="A30" s="28" t="str">
        <v xml:space="preserve"> Calumet City - Bank of America</v>
      </c>
      <c r="B30" s="29" t="str">
        <v>IL</v>
      </c>
      <c r="C30" s="24">
        <v>573.1</v>
      </c>
      <c r="D30" s="13">
        <v>0</v>
      </c>
      <c r="E30" s="13">
        <f t="shared" si="4"/>
        <v>573.1</v>
      </c>
      <c r="F30" s="14" t="str">
        <f t="shared" si="5"/>
        <v/>
      </c>
      <c r="G30" s="15">
        <v>0</v>
      </c>
      <c r="H30" s="15">
        <f t="shared" si="6"/>
        <v>573.1</v>
      </c>
      <c r="I30" s="16" t="str">
        <f t="shared" si="7"/>
        <v/>
      </c>
      <c r="J30" s="41" t="s">
        <v>92</v>
      </c>
      <c r="K30" s="41" t="s">
        <v>82</v>
      </c>
    </row>
    <row r="31" spans="1:11" ht="15.75">
      <c r="A31" s="30" t="str">
        <v xml:space="preserve"> Downers Grove - Bank of America</v>
      </c>
      <c r="B31" s="31" t="str">
        <v>IL</v>
      </c>
      <c r="C31" s="11">
        <v>2682.6</v>
      </c>
      <c r="D31" s="18">
        <v>0</v>
      </c>
      <c r="E31" s="18">
        <f t="shared" si="4"/>
        <v>2682.6</v>
      </c>
      <c r="F31" s="19" t="str">
        <f t="shared" si="5"/>
        <v/>
      </c>
      <c r="G31" s="20">
        <v>0</v>
      </c>
      <c r="H31" s="20">
        <f t="shared" si="6"/>
        <v>2682.6</v>
      </c>
      <c r="I31" s="19" t="str">
        <f t="shared" si="7"/>
        <v/>
      </c>
      <c r="J31" s="42"/>
      <c r="K31" s="42"/>
    </row>
    <row r="32" spans="1:11" ht="15.75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>
        <v>1953.1</v>
      </c>
      <c r="D33" s="18">
        <v>0</v>
      </c>
      <c r="E33" s="18">
        <f t="shared" si="4"/>
        <v>1953.1</v>
      </c>
      <c r="F33" s="19" t="str">
        <f t="shared" si="5"/>
        <v/>
      </c>
      <c r="G33" s="20">
        <v>0</v>
      </c>
      <c r="H33" s="20">
        <f t="shared" si="6"/>
        <v>1953.1</v>
      </c>
      <c r="I33" s="19" t="str">
        <f t="shared" si="7"/>
        <v/>
      </c>
      <c r="J33" s="42" t="s">
        <v>93</v>
      </c>
      <c r="K33" s="42" t="s">
        <v>94</v>
      </c>
    </row>
    <row r="34" spans="1:11" ht="15.75">
      <c r="A34" s="28" t="str">
        <v xml:space="preserve"> Manchester - Bank of America</v>
      </c>
      <c r="B34" s="29" t="str">
        <v>MO</v>
      </c>
      <c r="C34" s="24">
        <v>1420</v>
      </c>
      <c r="D34" s="13">
        <v>0</v>
      </c>
      <c r="E34" s="13">
        <f t="shared" si="4"/>
        <v>1420</v>
      </c>
      <c r="F34" s="14" t="str">
        <f t="shared" si="5"/>
        <v/>
      </c>
      <c r="G34" s="15">
        <v>0</v>
      </c>
      <c r="H34" s="15">
        <f t="shared" si="6"/>
        <v>1420</v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>
        <v>110.6</v>
      </c>
      <c r="D35" s="18">
        <v>0</v>
      </c>
      <c r="E35" s="18">
        <f t="shared" si="4"/>
        <v>110.6</v>
      </c>
      <c r="F35" s="19" t="str">
        <f t="shared" si="5"/>
        <v/>
      </c>
      <c r="G35" s="20">
        <v>0</v>
      </c>
      <c r="H35" s="20">
        <f t="shared" si="6"/>
        <v>110.6</v>
      </c>
      <c r="I35" s="19" t="str">
        <f t="shared" si="7"/>
        <v/>
      </c>
      <c r="J35" s="42"/>
      <c r="K35" s="42"/>
    </row>
    <row r="36" spans="1:11" ht="15.75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2506.6</v>
      </c>
      <c r="D37" s="18">
        <v>0</v>
      </c>
      <c r="E37" s="18">
        <f t="shared" si="4"/>
        <v>2506.6</v>
      </c>
      <c r="F37" s="19" t="str">
        <f t="shared" si="5"/>
        <v/>
      </c>
      <c r="G37" s="20">
        <v>0</v>
      </c>
      <c r="H37" s="20">
        <f t="shared" si="6"/>
        <v>2506.6</v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328.2</v>
      </c>
      <c r="D38" s="13">
        <v>0</v>
      </c>
      <c r="E38" s="13">
        <f t="shared" si="4"/>
        <v>328.2</v>
      </c>
      <c r="F38" s="14" t="str">
        <f t="shared" si="5"/>
        <v/>
      </c>
      <c r="G38" s="15">
        <v>0</v>
      </c>
      <c r="H38" s="15">
        <f t="shared" si="6"/>
        <v>328.2</v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C38" sqref="C3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95</v>
      </c>
      <c r="E1" s="65"/>
      <c r="F1" s="65"/>
      <c r="G1" s="63" t="s">
        <v>96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44904.933000000005</v>
      </c>
      <c r="D2" s="5">
        <f>SUM(D4:D100)</f>
        <v>0</v>
      </c>
      <c r="E2" s="5">
        <f>C2-D2</f>
        <v>44904.933000000005</v>
      </c>
      <c r="F2" s="6">
        <f>IFERROR(E2/D2, 0)</f>
        <v>0</v>
      </c>
      <c r="G2" s="5">
        <f>SUM(G4:G100)</f>
        <v>0</v>
      </c>
      <c r="H2" s="7">
        <f>C2-G2</f>
        <v>44904.933000000005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>IF(AND(ISNUMBER(C5),ISNUMBER(G5)), C5-G5, "")</f>
        <v>0</v>
      </c>
      <c r="I5" s="19" t="str">
        <f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79.430000000000007</v>
      </c>
      <c r="D6" s="13">
        <v>0</v>
      </c>
      <c r="E6" s="13">
        <f t="shared" si="0"/>
        <v>79.430000000000007</v>
      </c>
      <c r="F6" s="14" t="str">
        <f t="shared" ref="F6:F17" si="1">IFERROR(E6/D6, "")</f>
        <v/>
      </c>
      <c r="G6" s="15">
        <v>0</v>
      </c>
      <c r="H6" s="15">
        <f t="shared" ref="H6:H17" si="2">IF(AND(ISNUMBER(C6),ISNUMBER(G6)), C6-G6, "")</f>
        <v>79.430000000000007</v>
      </c>
      <c r="I6" s="16" t="str">
        <f t="shared" ref="I6:I17" si="3">IFERROR(H6/G6, "")</f>
        <v/>
      </c>
      <c r="J6" s="41"/>
      <c r="K6" s="41"/>
    </row>
    <row r="7" spans="1:11" ht="30.75">
      <c r="A7" s="30" t="str">
        <v xml:space="preserve"> Bell - Bank of America</v>
      </c>
      <c r="B7" s="31" t="str">
        <v>CA</v>
      </c>
      <c r="C7" s="11">
        <v>1499.33</v>
      </c>
      <c r="D7" s="18">
        <v>0</v>
      </c>
      <c r="E7" s="18">
        <f t="shared" si="0"/>
        <v>1499.33</v>
      </c>
      <c r="F7" s="19" t="str">
        <f t="shared" si="1"/>
        <v/>
      </c>
      <c r="G7" s="20">
        <v>0</v>
      </c>
      <c r="H7" s="20">
        <f t="shared" si="2"/>
        <v>1499.33</v>
      </c>
      <c r="I7" s="19" t="str">
        <f t="shared" si="3"/>
        <v/>
      </c>
      <c r="J7" s="42" t="s">
        <v>97</v>
      </c>
      <c r="K7" s="42" t="s">
        <v>98</v>
      </c>
    </row>
    <row r="8" spans="1:11" ht="15.75">
      <c r="A8" s="28" t="str">
        <v xml:space="preserve"> Chula Vista - Bank of America</v>
      </c>
      <c r="B8" s="29" t="str">
        <v>CA</v>
      </c>
      <c r="C8" s="24">
        <v>689.19</v>
      </c>
      <c r="D8" s="13">
        <v>0</v>
      </c>
      <c r="E8" s="13">
        <f t="shared" si="0"/>
        <v>689.19</v>
      </c>
      <c r="F8" s="14" t="str">
        <f t="shared" si="1"/>
        <v/>
      </c>
      <c r="G8" s="15">
        <v>0</v>
      </c>
      <c r="H8" s="15">
        <f t="shared" si="2"/>
        <v>689.19</v>
      </c>
      <c r="I8" s="16" t="str">
        <f t="shared" si="3"/>
        <v/>
      </c>
      <c r="J8" s="41" t="s">
        <v>99</v>
      </c>
      <c r="K8" s="41" t="s">
        <v>100</v>
      </c>
    </row>
    <row r="9" spans="1:11" ht="15.6">
      <c r="A9" s="30" t="str">
        <v xml:space="preserve"> Cupertino - Bank of America</v>
      </c>
      <c r="B9" s="31" t="str">
        <v>CA</v>
      </c>
      <c r="C9" s="11">
        <v>802.33</v>
      </c>
      <c r="D9" s="18">
        <v>0</v>
      </c>
      <c r="E9" s="18">
        <f t="shared" si="0"/>
        <v>802.33</v>
      </c>
      <c r="F9" s="19" t="str">
        <f t="shared" si="1"/>
        <v/>
      </c>
      <c r="G9" s="20">
        <v>0</v>
      </c>
      <c r="H9" s="20">
        <f t="shared" si="2"/>
        <v>802.33</v>
      </c>
      <c r="I9" s="19" t="str">
        <f t="shared" si="3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>
        <v>2218.12</v>
      </c>
      <c r="D10" s="13">
        <v>0</v>
      </c>
      <c r="E10" s="13">
        <f t="shared" si="0"/>
        <v>2218.12</v>
      </c>
      <c r="F10" s="14" t="str">
        <f t="shared" si="1"/>
        <v/>
      </c>
      <c r="G10" s="15">
        <v>0</v>
      </c>
      <c r="H10" s="15">
        <f t="shared" si="2"/>
        <v>2218.12</v>
      </c>
      <c r="I10" s="16" t="str">
        <f t="shared" si="3"/>
        <v/>
      </c>
      <c r="J10" s="41" t="s">
        <v>86</v>
      </c>
      <c r="K10" s="41" t="s">
        <v>87</v>
      </c>
    </row>
    <row r="11" spans="1:11" ht="15.6">
      <c r="A11" s="30" t="str">
        <v xml:space="preserve"> El Centro - Bank of America</v>
      </c>
      <c r="B11" s="31" t="str">
        <v>CA</v>
      </c>
      <c r="C11" s="11">
        <v>2604.2199999999998</v>
      </c>
      <c r="D11" s="18">
        <v>0</v>
      </c>
      <c r="E11" s="18">
        <f t="shared" si="0"/>
        <v>2604.2199999999998</v>
      </c>
      <c r="F11" s="19" t="str">
        <f t="shared" si="1"/>
        <v/>
      </c>
      <c r="G11" s="20">
        <v>0</v>
      </c>
      <c r="H11" s="20">
        <f t="shared" si="2"/>
        <v>2604.2199999999998</v>
      </c>
      <c r="I11" s="19" t="str">
        <f t="shared" si="3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3778.0329999999999</v>
      </c>
      <c r="D12" s="13">
        <v>0</v>
      </c>
      <c r="E12" s="13">
        <f t="shared" si="0"/>
        <v>3778.0329999999999</v>
      </c>
      <c r="F12" s="14" t="str">
        <f t="shared" si="1"/>
        <v/>
      </c>
      <c r="G12" s="15">
        <v>0</v>
      </c>
      <c r="H12" s="15">
        <f t="shared" si="2"/>
        <v>3778.0329999999999</v>
      </c>
      <c r="I12" s="16" t="str">
        <f t="shared" si="3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1"/>
        <v/>
      </c>
      <c r="G13" s="20">
        <v>0</v>
      </c>
      <c r="H13" s="20">
        <f t="shared" si="2"/>
        <v>0</v>
      </c>
      <c r="I13" s="19" t="str">
        <f t="shared" si="3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6084.4</v>
      </c>
      <c r="D14" s="13">
        <v>0</v>
      </c>
      <c r="E14" s="13">
        <f t="shared" si="0"/>
        <v>6084.4</v>
      </c>
      <c r="F14" s="14" t="str">
        <f t="shared" si="1"/>
        <v/>
      </c>
      <c r="G14" s="15">
        <v>0</v>
      </c>
      <c r="H14" s="15">
        <f t="shared" si="2"/>
        <v>6084.4</v>
      </c>
      <c r="I14" s="16" t="str">
        <f t="shared" si="3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59.78</v>
      </c>
      <c r="D15" s="18">
        <v>0</v>
      </c>
      <c r="E15" s="18">
        <f t="shared" si="0"/>
        <v>59.78</v>
      </c>
      <c r="F15" s="19" t="str">
        <f t="shared" si="1"/>
        <v/>
      </c>
      <c r="G15" s="20">
        <v>0</v>
      </c>
      <c r="H15" s="20">
        <f t="shared" si="2"/>
        <v>59.78</v>
      </c>
      <c r="I15" s="19" t="str">
        <f t="shared" si="3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64.89</v>
      </c>
      <c r="D16" s="13">
        <v>0</v>
      </c>
      <c r="E16" s="13">
        <f t="shared" si="0"/>
        <v>64.89</v>
      </c>
      <c r="F16" s="14" t="str">
        <f t="shared" si="1"/>
        <v/>
      </c>
      <c r="G16" s="15">
        <v>0</v>
      </c>
      <c r="H16" s="15">
        <f t="shared" si="2"/>
        <v>64.89</v>
      </c>
      <c r="I16" s="16" t="str">
        <f t="shared" si="3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1179.76</v>
      </c>
      <c r="D17" s="18">
        <v>0</v>
      </c>
      <c r="E17" s="18">
        <f t="shared" si="0"/>
        <v>1179.76</v>
      </c>
      <c r="F17" s="19" t="str">
        <f t="shared" si="1"/>
        <v/>
      </c>
      <c r="G17" s="20">
        <v>0</v>
      </c>
      <c r="H17" s="20">
        <f t="shared" si="2"/>
        <v>1179.76</v>
      </c>
      <c r="I17" s="19" t="str">
        <f t="shared" si="3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>
        <v>0</v>
      </c>
      <c r="E18" s="13">
        <f t="shared" ref="E18:E38" si="4">IF(AND(ISNUMBER(C18),ISNUMBER(D18)), C18-D18, "")</f>
        <v>0</v>
      </c>
      <c r="F18" s="14" t="str">
        <f t="shared" ref="F18:F38" si="5">IFERROR(E18/D18, "")</f>
        <v/>
      </c>
      <c r="G18" s="15">
        <v>0</v>
      </c>
      <c r="H18" s="15">
        <f t="shared" ref="H18:H38" si="6">IF(AND(ISNUMBER(C18),ISNUMBER(G18)), C18-G18, "")</f>
        <v>0</v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995.9</v>
      </c>
      <c r="D19" s="18">
        <v>0</v>
      </c>
      <c r="E19" s="18">
        <f t="shared" si="4"/>
        <v>995.9</v>
      </c>
      <c r="F19" s="19" t="str">
        <f t="shared" si="5"/>
        <v/>
      </c>
      <c r="G19" s="20">
        <v>0</v>
      </c>
      <c r="H19" s="20">
        <f t="shared" si="6"/>
        <v>995.9</v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2901.4</v>
      </c>
      <c r="D20" s="13">
        <v>0</v>
      </c>
      <c r="E20" s="13">
        <f t="shared" si="4"/>
        <v>2901.4</v>
      </c>
      <c r="F20" s="14" t="str">
        <f t="shared" si="5"/>
        <v/>
      </c>
      <c r="G20" s="15">
        <v>0</v>
      </c>
      <c r="H20" s="15">
        <f t="shared" si="6"/>
        <v>2901.4</v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1196.1099999999999</v>
      </c>
      <c r="D21" s="18">
        <v>0</v>
      </c>
      <c r="E21" s="18">
        <f t="shared" si="4"/>
        <v>1196.1099999999999</v>
      </c>
      <c r="F21" s="19" t="str">
        <f t="shared" si="5"/>
        <v/>
      </c>
      <c r="G21" s="20">
        <v>0</v>
      </c>
      <c r="H21" s="20">
        <f t="shared" si="6"/>
        <v>1196.1099999999999</v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2486.6799999999998</v>
      </c>
      <c r="D22" s="13">
        <v>0</v>
      </c>
      <c r="E22" s="13">
        <f t="shared" si="4"/>
        <v>2486.6799999999998</v>
      </c>
      <c r="F22" s="14" t="str">
        <f t="shared" si="5"/>
        <v/>
      </c>
      <c r="G22" s="15">
        <v>0</v>
      </c>
      <c r="H22" s="15">
        <f t="shared" si="6"/>
        <v>2486.6799999999998</v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1013.53</v>
      </c>
      <c r="D23" s="18">
        <v>0</v>
      </c>
      <c r="E23" s="18">
        <f t="shared" si="4"/>
        <v>1013.53</v>
      </c>
      <c r="F23" s="19" t="str">
        <f t="shared" si="5"/>
        <v/>
      </c>
      <c r="G23" s="20">
        <v>0</v>
      </c>
      <c r="H23" s="20">
        <f t="shared" si="6"/>
        <v>1013.53</v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1971</v>
      </c>
      <c r="D24" s="13">
        <v>0</v>
      </c>
      <c r="E24" s="13">
        <f t="shared" si="4"/>
        <v>1971</v>
      </c>
      <c r="F24" s="14" t="str">
        <f t="shared" si="5"/>
        <v/>
      </c>
      <c r="G24" s="15">
        <v>0</v>
      </c>
      <c r="H24" s="15">
        <f t="shared" si="6"/>
        <v>1971</v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>
        <v>0</v>
      </c>
      <c r="D25" s="18">
        <v>0</v>
      </c>
      <c r="E25" s="18">
        <f t="shared" si="4"/>
        <v>0</v>
      </c>
      <c r="F25" s="19" t="str">
        <f t="shared" si="5"/>
        <v/>
      </c>
      <c r="G25" s="20">
        <v>0</v>
      </c>
      <c r="H25" s="20">
        <f t="shared" si="6"/>
        <v>0</v>
      </c>
      <c r="I25" s="19" t="str">
        <f t="shared" si="7"/>
        <v/>
      </c>
      <c r="J25" s="42" t="s">
        <v>101</v>
      </c>
      <c r="K25" s="42" t="s">
        <v>102</v>
      </c>
    </row>
    <row r="26" spans="1:11" ht="30.75">
      <c r="A26" s="28" t="str">
        <v xml:space="preserve"> Lafayette - Bank of America</v>
      </c>
      <c r="B26" s="29" t="str">
        <v>CO</v>
      </c>
      <c r="C26" s="24">
        <v>1939.66</v>
      </c>
      <c r="D26" s="13">
        <v>0</v>
      </c>
      <c r="E26" s="13">
        <f t="shared" si="4"/>
        <v>1939.66</v>
      </c>
      <c r="F26" s="14" t="str">
        <f t="shared" si="5"/>
        <v/>
      </c>
      <c r="G26" s="15">
        <v>0</v>
      </c>
      <c r="H26" s="15">
        <f t="shared" si="6"/>
        <v>1939.66</v>
      </c>
      <c r="I26" s="16" t="str">
        <f t="shared" si="7"/>
        <v/>
      </c>
      <c r="J26" s="41" t="s">
        <v>103</v>
      </c>
      <c r="K26" s="41" t="s">
        <v>104</v>
      </c>
    </row>
    <row r="27" spans="1:11" ht="15.6">
      <c r="A27" s="30" t="str">
        <v xml:space="preserve"> Lakewood - Bank of America</v>
      </c>
      <c r="B27" s="31" t="str">
        <v>CO</v>
      </c>
      <c r="C27" s="11">
        <v>996.98</v>
      </c>
      <c r="D27" s="18">
        <v>0</v>
      </c>
      <c r="E27" s="18">
        <f t="shared" si="4"/>
        <v>996.98</v>
      </c>
      <c r="F27" s="19" t="str">
        <f t="shared" si="5"/>
        <v/>
      </c>
      <c r="G27" s="20">
        <v>0</v>
      </c>
      <c r="H27" s="20">
        <f t="shared" si="6"/>
        <v>996.98</v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872.39</v>
      </c>
      <c r="D28" s="13">
        <v>0</v>
      </c>
      <c r="E28" s="13">
        <f t="shared" si="4"/>
        <v>872.39</v>
      </c>
      <c r="F28" s="14" t="str">
        <f t="shared" si="5"/>
        <v/>
      </c>
      <c r="G28" s="15">
        <v>0</v>
      </c>
      <c r="H28" s="15">
        <f t="shared" si="6"/>
        <v>872.39</v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1134.1500000000001</v>
      </c>
      <c r="D29" s="18">
        <v>0</v>
      </c>
      <c r="E29" s="18">
        <f t="shared" si="4"/>
        <v>1134.1500000000001</v>
      </c>
      <c r="F29" s="19" t="str">
        <f t="shared" si="5"/>
        <v/>
      </c>
      <c r="G29" s="20">
        <v>0</v>
      </c>
      <c r="H29" s="20">
        <f t="shared" si="6"/>
        <v>1134.1500000000001</v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2112.7600000000002</v>
      </c>
      <c r="D30" s="13">
        <v>0</v>
      </c>
      <c r="E30" s="13">
        <f t="shared" si="4"/>
        <v>2112.7600000000002</v>
      </c>
      <c r="F30" s="14" t="str">
        <f t="shared" si="5"/>
        <v/>
      </c>
      <c r="G30" s="15">
        <v>0</v>
      </c>
      <c r="H30" s="15">
        <f t="shared" si="6"/>
        <v>2112.7600000000002</v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2444.69</v>
      </c>
      <c r="D31" s="18">
        <v>0</v>
      </c>
      <c r="E31" s="18">
        <f t="shared" si="4"/>
        <v>2444.69</v>
      </c>
      <c r="F31" s="19" t="str">
        <f t="shared" si="5"/>
        <v/>
      </c>
      <c r="G31" s="20">
        <v>0</v>
      </c>
      <c r="H31" s="20">
        <f t="shared" si="6"/>
        <v>2444.69</v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>
        <v>2034.82</v>
      </c>
      <c r="D33" s="18">
        <v>0</v>
      </c>
      <c r="E33" s="18">
        <f t="shared" si="4"/>
        <v>2034.82</v>
      </c>
      <c r="F33" s="19" t="str">
        <f t="shared" si="5"/>
        <v/>
      </c>
      <c r="G33" s="20">
        <v>0</v>
      </c>
      <c r="H33" s="20">
        <f t="shared" si="6"/>
        <v>2034.82</v>
      </c>
      <c r="I33" s="19" t="str">
        <f t="shared" si="7"/>
        <v/>
      </c>
      <c r="J33" s="42" t="s">
        <v>93</v>
      </c>
      <c r="K33" s="42" t="s">
        <v>94</v>
      </c>
    </row>
    <row r="34" spans="1:11" ht="15.6">
      <c r="A34" s="28" t="str">
        <v xml:space="preserve"> Manchester - Bank of America</v>
      </c>
      <c r="B34" s="29" t="str">
        <v>MO</v>
      </c>
      <c r="C34" s="24">
        <v>1424.4</v>
      </c>
      <c r="D34" s="13">
        <v>0</v>
      </c>
      <c r="E34" s="13">
        <f t="shared" si="4"/>
        <v>1424.4</v>
      </c>
      <c r="F34" s="14" t="str">
        <f t="shared" si="5"/>
        <v/>
      </c>
      <c r="G34" s="15">
        <v>0</v>
      </c>
      <c r="H34" s="15">
        <f t="shared" si="6"/>
        <v>1424.4</v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86.2</v>
      </c>
      <c r="D35" s="18">
        <v>0</v>
      </c>
      <c r="E35" s="18">
        <f t="shared" si="4"/>
        <v>86.2</v>
      </c>
      <c r="F35" s="19" t="str">
        <f t="shared" si="5"/>
        <v/>
      </c>
      <c r="G35" s="20">
        <v>0</v>
      </c>
      <c r="H35" s="20">
        <f t="shared" si="6"/>
        <v>86.2</v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2062.2800000000002</v>
      </c>
      <c r="D37" s="18">
        <v>0</v>
      </c>
      <c r="E37" s="18">
        <f t="shared" si="4"/>
        <v>2062.2800000000002</v>
      </c>
      <c r="F37" s="19" t="str">
        <f t="shared" si="5"/>
        <v/>
      </c>
      <c r="G37" s="20">
        <v>0</v>
      </c>
      <c r="H37" s="20">
        <f t="shared" si="6"/>
        <v>2062.2800000000002</v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172.5</v>
      </c>
      <c r="D38" s="13">
        <v>0</v>
      </c>
      <c r="E38" s="13">
        <f t="shared" si="4"/>
        <v>172.5</v>
      </c>
      <c r="F38" s="14" t="str">
        <f t="shared" si="5"/>
        <v/>
      </c>
      <c r="G38" s="15">
        <v>0</v>
      </c>
      <c r="H38" s="15">
        <f t="shared" si="6"/>
        <v>172.5</v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J32" sqref="J3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105</v>
      </c>
      <c r="E1" s="65"/>
      <c r="F1" s="65"/>
      <c r="G1" s="63" t="s">
        <v>106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26369.639999999992</v>
      </c>
      <c r="D2" s="5">
        <f>SUM(D4:D100)</f>
        <v>0</v>
      </c>
      <c r="E2" s="5">
        <f>C2-D2</f>
        <v>26369.639999999992</v>
      </c>
      <c r="F2" s="6">
        <f>IFERROR(E2/D2, 0)</f>
        <v>0</v>
      </c>
      <c r="G2" s="5">
        <f>SUM(G4:G100)</f>
        <v>0</v>
      </c>
      <c r="H2" s="7">
        <f>C2-G2</f>
        <v>26369.639999999992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67.33</v>
      </c>
      <c r="D6" s="13">
        <v>0</v>
      </c>
      <c r="E6" s="13">
        <f t="shared" si="0"/>
        <v>67.33</v>
      </c>
      <c r="F6" s="14" t="str">
        <f t="shared" ref="F6:F17" si="3">IFERROR(E6/D6, "")</f>
        <v/>
      </c>
      <c r="G6" s="15">
        <v>0</v>
      </c>
      <c r="H6" s="15">
        <f t="shared" si="1"/>
        <v>67.33</v>
      </c>
      <c r="I6" s="16" t="str">
        <f t="shared" si="2"/>
        <v/>
      </c>
      <c r="J6" s="41"/>
      <c r="K6" s="41"/>
    </row>
    <row r="7" spans="1:11" ht="30.75">
      <c r="A7" s="30" t="str">
        <v xml:space="preserve"> Bell - Bank of America</v>
      </c>
      <c r="B7" s="31" t="str">
        <v>CA</v>
      </c>
      <c r="C7" s="11">
        <v>1434.69</v>
      </c>
      <c r="D7" s="18">
        <v>0</v>
      </c>
      <c r="E7" s="18">
        <f t="shared" si="0"/>
        <v>1434.69</v>
      </c>
      <c r="F7" s="19" t="str">
        <f t="shared" si="3"/>
        <v/>
      </c>
      <c r="G7" s="20">
        <v>0</v>
      </c>
      <c r="H7" s="20">
        <f t="shared" si="1"/>
        <v>1434.69</v>
      </c>
      <c r="I7" s="19" t="str">
        <f t="shared" si="2"/>
        <v/>
      </c>
      <c r="J7" s="42" t="s">
        <v>97</v>
      </c>
      <c r="K7" s="42" t="s">
        <v>98</v>
      </c>
    </row>
    <row r="8" spans="1:11" ht="15.75">
      <c r="A8" s="28" t="str">
        <v xml:space="preserve"> Chula Vista - Bank of America</v>
      </c>
      <c r="B8" s="29" t="str">
        <v>CA</v>
      </c>
      <c r="C8" s="24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41" t="s">
        <v>99</v>
      </c>
      <c r="K8" s="41" t="s">
        <v>100</v>
      </c>
    </row>
    <row r="9" spans="1:11" ht="15.6">
      <c r="A9" s="30" t="str">
        <v xml:space="preserve"> Cupertino - Bank of America</v>
      </c>
      <c r="B9" s="31" t="str">
        <v>CA</v>
      </c>
      <c r="C9" s="11">
        <v>701.88</v>
      </c>
      <c r="D9" s="18">
        <v>0</v>
      </c>
      <c r="E9" s="18">
        <f t="shared" si="0"/>
        <v>701.88</v>
      </c>
      <c r="F9" s="19" t="str">
        <f t="shared" si="3"/>
        <v/>
      </c>
      <c r="G9" s="20">
        <v>0</v>
      </c>
      <c r="H9" s="20">
        <f t="shared" si="1"/>
        <v>701.88</v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>
        <v>1715.05</v>
      </c>
      <c r="D10" s="13">
        <v>0</v>
      </c>
      <c r="E10" s="13">
        <f t="shared" si="0"/>
        <v>1715.05</v>
      </c>
      <c r="F10" s="14" t="str">
        <f t="shared" si="3"/>
        <v/>
      </c>
      <c r="G10" s="15">
        <v>0</v>
      </c>
      <c r="H10" s="15">
        <f t="shared" si="1"/>
        <v>1715.05</v>
      </c>
      <c r="I10" s="16" t="str">
        <f t="shared" si="2"/>
        <v/>
      </c>
      <c r="J10" s="41" t="s">
        <v>86</v>
      </c>
      <c r="K10" s="41" t="s">
        <v>87</v>
      </c>
    </row>
    <row r="11" spans="1:11" ht="15.6">
      <c r="A11" s="30" t="str">
        <v xml:space="preserve"> El Centro - Bank of America</v>
      </c>
      <c r="B11" s="31" t="str">
        <v>CA</v>
      </c>
      <c r="C11" s="11">
        <v>2104.79</v>
      </c>
      <c r="D11" s="18">
        <v>0</v>
      </c>
      <c r="E11" s="18">
        <f t="shared" si="0"/>
        <v>2104.79</v>
      </c>
      <c r="F11" s="19" t="str">
        <f t="shared" si="3"/>
        <v/>
      </c>
      <c r="G11" s="20">
        <v>0</v>
      </c>
      <c r="H11" s="20">
        <f t="shared" si="1"/>
        <v>2104.79</v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2937.77</v>
      </c>
      <c r="D12" s="13">
        <v>0</v>
      </c>
      <c r="E12" s="13">
        <f t="shared" si="0"/>
        <v>2937.77</v>
      </c>
      <c r="F12" s="14" t="str">
        <f t="shared" si="3"/>
        <v/>
      </c>
      <c r="G12" s="15">
        <v>0</v>
      </c>
      <c r="H12" s="15">
        <f t="shared" si="1"/>
        <v>2937.77</v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3610.7</v>
      </c>
      <c r="D14" s="13">
        <v>0</v>
      </c>
      <c r="E14" s="13">
        <f t="shared" si="0"/>
        <v>3610.7</v>
      </c>
      <c r="F14" s="14" t="str">
        <f t="shared" si="3"/>
        <v/>
      </c>
      <c r="G14" s="15">
        <v>0</v>
      </c>
      <c r="H14" s="15">
        <f t="shared" si="1"/>
        <v>3610.7</v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23.29</v>
      </c>
      <c r="D15" s="18">
        <v>0</v>
      </c>
      <c r="E15" s="18">
        <f t="shared" si="0"/>
        <v>23.29</v>
      </c>
      <c r="F15" s="19" t="str">
        <f t="shared" si="3"/>
        <v/>
      </c>
      <c r="G15" s="20">
        <v>0</v>
      </c>
      <c r="H15" s="20">
        <f t="shared" si="1"/>
        <v>23.29</v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46.83</v>
      </c>
      <c r="D16" s="13">
        <v>0</v>
      </c>
      <c r="E16" s="13">
        <f t="shared" si="0"/>
        <v>46.83</v>
      </c>
      <c r="F16" s="14" t="str">
        <f t="shared" si="3"/>
        <v/>
      </c>
      <c r="G16" s="15">
        <v>0</v>
      </c>
      <c r="H16" s="15">
        <f t="shared" si="1"/>
        <v>46.83</v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884.18</v>
      </c>
      <c r="D17" s="18">
        <v>0</v>
      </c>
      <c r="E17" s="18">
        <f t="shared" si="0"/>
        <v>884.18</v>
      </c>
      <c r="F17" s="19" t="str">
        <f t="shared" si="3"/>
        <v/>
      </c>
      <c r="G17" s="20">
        <v>0</v>
      </c>
      <c r="H17" s="20">
        <f t="shared" si="1"/>
        <v>884.18</v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>
        <v>0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>
        <v>0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471.94</v>
      </c>
      <c r="D19" s="18">
        <v>0</v>
      </c>
      <c r="E19" s="18">
        <f t="shared" si="4"/>
        <v>471.94</v>
      </c>
      <c r="F19" s="19" t="str">
        <f t="shared" si="5"/>
        <v/>
      </c>
      <c r="G19" s="20">
        <v>0</v>
      </c>
      <c r="H19" s="20">
        <f t="shared" si="6"/>
        <v>471.94</v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1417.41</v>
      </c>
      <c r="D20" s="13">
        <v>0</v>
      </c>
      <c r="E20" s="13">
        <f t="shared" si="4"/>
        <v>1417.41</v>
      </c>
      <c r="F20" s="14" t="str">
        <f t="shared" si="5"/>
        <v/>
      </c>
      <c r="G20" s="15">
        <v>0</v>
      </c>
      <c r="H20" s="15">
        <f t="shared" si="6"/>
        <v>1417.41</v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574.30999999999995</v>
      </c>
      <c r="D21" s="18">
        <v>0</v>
      </c>
      <c r="E21" s="18">
        <f t="shared" si="4"/>
        <v>574.30999999999995</v>
      </c>
      <c r="F21" s="19" t="str">
        <f t="shared" si="5"/>
        <v/>
      </c>
      <c r="G21" s="20">
        <v>0</v>
      </c>
      <c r="H21" s="20">
        <f t="shared" si="6"/>
        <v>574.30999999999995</v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1263.75</v>
      </c>
      <c r="D22" s="13">
        <v>0</v>
      </c>
      <c r="E22" s="13">
        <f t="shared" si="4"/>
        <v>1263.75</v>
      </c>
      <c r="F22" s="14" t="str">
        <f t="shared" si="5"/>
        <v/>
      </c>
      <c r="G22" s="15">
        <v>0</v>
      </c>
      <c r="H22" s="15">
        <f t="shared" si="6"/>
        <v>1263.75</v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402.96</v>
      </c>
      <c r="D23" s="18">
        <v>0</v>
      </c>
      <c r="E23" s="18">
        <f t="shared" si="4"/>
        <v>402.96</v>
      </c>
      <c r="F23" s="19" t="str">
        <f t="shared" si="5"/>
        <v/>
      </c>
      <c r="G23" s="20">
        <v>0</v>
      </c>
      <c r="H23" s="20">
        <f t="shared" si="6"/>
        <v>402.96</v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1004</v>
      </c>
      <c r="D24" s="13">
        <v>0</v>
      </c>
      <c r="E24" s="13">
        <f t="shared" si="4"/>
        <v>1004</v>
      </c>
      <c r="F24" s="14" t="str">
        <f t="shared" si="5"/>
        <v/>
      </c>
      <c r="G24" s="15">
        <v>0</v>
      </c>
      <c r="H24" s="15">
        <f t="shared" si="6"/>
        <v>1004</v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>
        <v>0</v>
      </c>
      <c r="D25" s="18">
        <v>0</v>
      </c>
      <c r="E25" s="18">
        <f t="shared" si="4"/>
        <v>0</v>
      </c>
      <c r="F25" s="19" t="str">
        <f t="shared" si="5"/>
        <v/>
      </c>
      <c r="G25" s="20">
        <v>0</v>
      </c>
      <c r="H25" s="20">
        <f t="shared" si="6"/>
        <v>0</v>
      </c>
      <c r="I25" s="19" t="str">
        <f t="shared" si="7"/>
        <v/>
      </c>
      <c r="J25" s="42" t="s">
        <v>101</v>
      </c>
      <c r="K25" s="42" t="s">
        <v>102</v>
      </c>
    </row>
    <row r="26" spans="1:11" ht="30.75">
      <c r="A26" s="28" t="str">
        <v xml:space="preserve"> Lafayette - Bank of America</v>
      </c>
      <c r="B26" s="29" t="str">
        <v>CO</v>
      </c>
      <c r="C26" s="24">
        <v>1011.69</v>
      </c>
      <c r="D26" s="13">
        <v>0</v>
      </c>
      <c r="E26" s="13">
        <f t="shared" si="4"/>
        <v>1011.69</v>
      </c>
      <c r="F26" s="14" t="str">
        <f t="shared" si="5"/>
        <v/>
      </c>
      <c r="G26" s="15">
        <v>0</v>
      </c>
      <c r="H26" s="15">
        <f t="shared" si="6"/>
        <v>1011.69</v>
      </c>
      <c r="I26" s="16" t="str">
        <f t="shared" si="7"/>
        <v/>
      </c>
      <c r="J26" s="41" t="s">
        <v>103</v>
      </c>
      <c r="K26" s="41" t="s">
        <v>104</v>
      </c>
    </row>
    <row r="27" spans="1:11" ht="15.6">
      <c r="A27" s="30" t="str">
        <v xml:space="preserve"> Lakewood - Bank of America</v>
      </c>
      <c r="B27" s="31" t="str">
        <v>CO</v>
      </c>
      <c r="C27" s="11">
        <v>451.25</v>
      </c>
      <c r="D27" s="18">
        <v>0</v>
      </c>
      <c r="E27" s="18">
        <f t="shared" si="4"/>
        <v>451.25</v>
      </c>
      <c r="F27" s="19" t="str">
        <f t="shared" si="5"/>
        <v/>
      </c>
      <c r="G27" s="20">
        <v>0</v>
      </c>
      <c r="H27" s="20">
        <f t="shared" si="6"/>
        <v>451.25</v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>
        <v>497.71</v>
      </c>
      <c r="D28" s="13">
        <v>0</v>
      </c>
      <c r="E28" s="13">
        <f t="shared" si="4"/>
        <v>497.71</v>
      </c>
      <c r="F28" s="14" t="str">
        <f t="shared" si="5"/>
        <v/>
      </c>
      <c r="G28" s="15">
        <v>0</v>
      </c>
      <c r="H28" s="15">
        <f t="shared" si="6"/>
        <v>497.71</v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555.70000000000005</v>
      </c>
      <c r="D29" s="18">
        <v>0</v>
      </c>
      <c r="E29" s="18">
        <f t="shared" si="4"/>
        <v>555.70000000000005</v>
      </c>
      <c r="F29" s="19" t="str">
        <f t="shared" si="5"/>
        <v/>
      </c>
      <c r="G29" s="20">
        <v>0</v>
      </c>
      <c r="H29" s="20">
        <f t="shared" si="6"/>
        <v>555.70000000000005</v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888.89</v>
      </c>
      <c r="D30" s="13">
        <v>0</v>
      </c>
      <c r="E30" s="13">
        <f t="shared" si="4"/>
        <v>888.89</v>
      </c>
      <c r="F30" s="14" t="str">
        <f t="shared" si="5"/>
        <v/>
      </c>
      <c r="G30" s="15">
        <v>0</v>
      </c>
      <c r="H30" s="15">
        <f t="shared" si="6"/>
        <v>888.89</v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979.76</v>
      </c>
      <c r="D31" s="18">
        <v>0</v>
      </c>
      <c r="E31" s="18">
        <f t="shared" si="4"/>
        <v>979.76</v>
      </c>
      <c r="F31" s="19" t="str">
        <f t="shared" si="5"/>
        <v/>
      </c>
      <c r="G31" s="20">
        <v>0</v>
      </c>
      <c r="H31" s="20">
        <f t="shared" si="6"/>
        <v>979.76</v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3.1</v>
      </c>
      <c r="D32" s="13">
        <v>0</v>
      </c>
      <c r="E32" s="13">
        <f t="shared" si="4"/>
        <v>3.1</v>
      </c>
      <c r="F32" s="14" t="str">
        <f t="shared" si="5"/>
        <v/>
      </c>
      <c r="G32" s="15">
        <v>0</v>
      </c>
      <c r="H32" s="15">
        <f t="shared" si="6"/>
        <v>3.1</v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>
        <v>1057.01</v>
      </c>
      <c r="D33" s="18">
        <v>0</v>
      </c>
      <c r="E33" s="18">
        <f t="shared" si="4"/>
        <v>1057.01</v>
      </c>
      <c r="F33" s="19" t="str">
        <f t="shared" si="5"/>
        <v/>
      </c>
      <c r="G33" s="20">
        <v>0</v>
      </c>
      <c r="H33" s="20">
        <f t="shared" si="6"/>
        <v>1057.01</v>
      </c>
      <c r="I33" s="19" t="str">
        <f t="shared" si="7"/>
        <v/>
      </c>
      <c r="J33" s="42" t="s">
        <v>107</v>
      </c>
      <c r="K33" s="42" t="s">
        <v>94</v>
      </c>
    </row>
    <row r="34" spans="1:11" ht="15.6">
      <c r="A34" s="28" t="str">
        <v xml:space="preserve"> Manchester - Bank of America</v>
      </c>
      <c r="B34" s="29" t="str">
        <v>MO</v>
      </c>
      <c r="C34" s="24">
        <v>800.41</v>
      </c>
      <c r="D34" s="13">
        <v>0</v>
      </c>
      <c r="E34" s="13">
        <f t="shared" si="4"/>
        <v>800.41</v>
      </c>
      <c r="F34" s="14" t="str">
        <f t="shared" si="5"/>
        <v/>
      </c>
      <c r="G34" s="15">
        <v>0</v>
      </c>
      <c r="H34" s="15">
        <f t="shared" si="6"/>
        <v>800.41</v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62.87</v>
      </c>
      <c r="D35" s="18">
        <v>0</v>
      </c>
      <c r="E35" s="18">
        <f t="shared" si="4"/>
        <v>62.87</v>
      </c>
      <c r="F35" s="19" t="str">
        <f t="shared" si="5"/>
        <v/>
      </c>
      <c r="G35" s="20">
        <v>0</v>
      </c>
      <c r="H35" s="20">
        <f t="shared" si="6"/>
        <v>62.87</v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1284.4000000000001</v>
      </c>
      <c r="D37" s="18">
        <v>0</v>
      </c>
      <c r="E37" s="18">
        <f t="shared" si="4"/>
        <v>1284.4000000000001</v>
      </c>
      <c r="F37" s="19" t="str">
        <f t="shared" si="5"/>
        <v/>
      </c>
      <c r="G37" s="20">
        <v>0</v>
      </c>
      <c r="H37" s="20">
        <f t="shared" si="6"/>
        <v>1284.4000000000001</v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115.97</v>
      </c>
      <c r="D38" s="13">
        <v>0</v>
      </c>
      <c r="E38" s="13">
        <f t="shared" si="4"/>
        <v>115.97</v>
      </c>
      <c r="F38" s="14" t="str">
        <f t="shared" si="5"/>
        <v/>
      </c>
      <c r="G38" s="15">
        <v>0</v>
      </c>
      <c r="H38" s="15">
        <f t="shared" si="6"/>
        <v>115.97</v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tabSelected="1" workbookViewId="0">
      <pane xSplit="2" ySplit="3" topLeftCell="C4" activePane="bottomRight" state="frozen"/>
      <selection pane="bottomRight" activeCell="H13" sqref="H1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Cushman &amp; Wakefield</v>
      </c>
      <c r="B1" s="64"/>
      <c r="C1" s="64"/>
      <c r="D1" s="65" t="s">
        <v>108</v>
      </c>
      <c r="E1" s="65"/>
      <c r="F1" s="65"/>
      <c r="G1" s="63" t="s">
        <v>109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22262.558000000001</v>
      </c>
      <c r="D2" s="5">
        <f>SUM(D4:D100)</f>
        <v>0</v>
      </c>
      <c r="E2" s="5">
        <f>C2-D2</f>
        <v>22262.558000000001</v>
      </c>
      <c r="F2" s="6">
        <f>IFERROR(E2/D2, 0)</f>
        <v>0</v>
      </c>
      <c r="G2" s="5">
        <f>SUM(G4:G100)</f>
        <v>0</v>
      </c>
      <c r="H2" s="7">
        <f>C2-G2</f>
        <v>22262.558000000001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62.317</v>
      </c>
      <c r="D6" s="13">
        <v>0</v>
      </c>
      <c r="E6" s="13">
        <f t="shared" si="0"/>
        <v>62.317</v>
      </c>
      <c r="F6" s="14" t="str">
        <f t="shared" ref="F6:F17" si="3">IFERROR(E6/D6, "")</f>
        <v/>
      </c>
      <c r="G6" s="15">
        <v>0</v>
      </c>
      <c r="H6" s="15">
        <f t="shared" si="1"/>
        <v>62.317</v>
      </c>
      <c r="I6" s="16" t="str">
        <f t="shared" si="2"/>
        <v/>
      </c>
      <c r="J6" s="41"/>
      <c r="K6" s="41"/>
    </row>
    <row r="7" spans="1:11" ht="45.75">
      <c r="A7" s="30" t="str">
        <v xml:space="preserve"> Bell - Bank of America</v>
      </c>
      <c r="B7" s="31" t="str">
        <v>CA</v>
      </c>
      <c r="C7" s="11">
        <v>1075.1320000000001</v>
      </c>
      <c r="D7" s="18">
        <v>0</v>
      </c>
      <c r="E7" s="18">
        <f t="shared" si="0"/>
        <v>1075.1320000000001</v>
      </c>
      <c r="F7" s="19" t="str">
        <f t="shared" si="3"/>
        <v/>
      </c>
      <c r="G7" s="20">
        <v>0</v>
      </c>
      <c r="H7" s="20">
        <f t="shared" si="1"/>
        <v>1075.1320000000001</v>
      </c>
      <c r="I7" s="19" t="str">
        <f t="shared" si="2"/>
        <v/>
      </c>
      <c r="J7" s="60" t="s">
        <v>110</v>
      </c>
      <c r="K7" s="60" t="s">
        <v>111</v>
      </c>
    </row>
    <row r="8" spans="1:11" ht="15.6">
      <c r="A8" s="28" t="str">
        <v xml:space="preserve"> Chula Vista - Bank of America</v>
      </c>
      <c r="B8" s="29" t="str">
        <v>CA</v>
      </c>
      <c r="C8" s="24">
        <v>233.2</v>
      </c>
      <c r="D8" s="13">
        <v>0</v>
      </c>
      <c r="E8" s="13">
        <f t="shared" si="0"/>
        <v>233.2</v>
      </c>
      <c r="F8" s="14" t="str">
        <f t="shared" si="3"/>
        <v/>
      </c>
      <c r="G8" s="15">
        <v>0</v>
      </c>
      <c r="H8" s="15">
        <f t="shared" si="1"/>
        <v>233.2</v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>
        <v>610.79999999999995</v>
      </c>
      <c r="D9" s="18">
        <v>0</v>
      </c>
      <c r="E9" s="18">
        <f t="shared" si="0"/>
        <v>610.79999999999995</v>
      </c>
      <c r="F9" s="19" t="str">
        <f t="shared" si="3"/>
        <v/>
      </c>
      <c r="G9" s="20">
        <v>0</v>
      </c>
      <c r="H9" s="20">
        <f t="shared" si="1"/>
        <v>610.79999999999995</v>
      </c>
      <c r="I9" s="19" t="str">
        <f t="shared" si="2"/>
        <v/>
      </c>
      <c r="J9" s="60" t="s">
        <v>112</v>
      </c>
      <c r="K9" s="61" t="s">
        <v>113</v>
      </c>
    </row>
    <row r="10" spans="1:11" ht="15.75">
      <c r="A10" s="28" t="str">
        <v xml:space="preserve"> Diamond Bar - Bank of America</v>
      </c>
      <c r="B10" s="29" t="str">
        <v>CA</v>
      </c>
      <c r="C10" s="24">
        <v>1558.711</v>
      </c>
      <c r="D10" s="13">
        <v>0</v>
      </c>
      <c r="E10" s="13">
        <f t="shared" si="0"/>
        <v>1558.711</v>
      </c>
      <c r="F10" s="14" t="str">
        <f t="shared" si="3"/>
        <v/>
      </c>
      <c r="G10" s="15">
        <v>0</v>
      </c>
      <c r="H10" s="15">
        <f t="shared" si="1"/>
        <v>1558.711</v>
      </c>
      <c r="I10" s="16" t="str">
        <f t="shared" si="2"/>
        <v/>
      </c>
      <c r="J10" s="62" t="s">
        <v>86</v>
      </c>
      <c r="K10" s="62" t="s">
        <v>87</v>
      </c>
    </row>
    <row r="11" spans="1:11" ht="15.75">
      <c r="A11" s="30" t="str">
        <v xml:space="preserve"> El Centro - Bank of America</v>
      </c>
      <c r="B11" s="31" t="str">
        <v>CA</v>
      </c>
      <c r="C11" s="11">
        <v>1689</v>
      </c>
      <c r="D11" s="18">
        <v>0</v>
      </c>
      <c r="E11" s="18">
        <f t="shared" si="0"/>
        <v>1689</v>
      </c>
      <c r="F11" s="19" t="str">
        <f t="shared" si="3"/>
        <v/>
      </c>
      <c r="G11" s="20">
        <v>0</v>
      </c>
      <c r="H11" s="20">
        <f t="shared" si="1"/>
        <v>1689</v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>
        <v>2654.3980000000001</v>
      </c>
      <c r="D12" s="13">
        <v>0</v>
      </c>
      <c r="E12" s="13">
        <f t="shared" si="0"/>
        <v>2654.3980000000001</v>
      </c>
      <c r="F12" s="14" t="str">
        <f t="shared" si="3"/>
        <v/>
      </c>
      <c r="G12" s="15">
        <v>0</v>
      </c>
      <c r="H12" s="15">
        <f t="shared" si="1"/>
        <v>2654.3980000000001</v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2666.6</v>
      </c>
      <c r="D14" s="13">
        <v>0</v>
      </c>
      <c r="E14" s="13">
        <f t="shared" si="0"/>
        <v>2666.6</v>
      </c>
      <c r="F14" s="14" t="str">
        <f t="shared" si="3"/>
        <v/>
      </c>
      <c r="G14" s="15">
        <v>0</v>
      </c>
      <c r="H14" s="15">
        <f t="shared" si="1"/>
        <v>2666.6</v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26.8</v>
      </c>
      <c r="D15" s="18">
        <v>0</v>
      </c>
      <c r="E15" s="18">
        <f t="shared" si="0"/>
        <v>26.8</v>
      </c>
      <c r="F15" s="19" t="str">
        <f t="shared" si="3"/>
        <v/>
      </c>
      <c r="G15" s="20">
        <v>0</v>
      </c>
      <c r="H15" s="20">
        <f t="shared" si="1"/>
        <v>26.8</v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37.494999999999997</v>
      </c>
      <c r="D16" s="13">
        <v>0</v>
      </c>
      <c r="E16" s="13">
        <f t="shared" si="0"/>
        <v>37.494999999999997</v>
      </c>
      <c r="F16" s="14" t="str">
        <f t="shared" si="3"/>
        <v/>
      </c>
      <c r="G16" s="15">
        <v>0</v>
      </c>
      <c r="H16" s="15">
        <f t="shared" si="1"/>
        <v>37.494999999999997</v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>
        <v>602.35</v>
      </c>
      <c r="D17" s="18">
        <v>0</v>
      </c>
      <c r="E17" s="18">
        <f t="shared" si="0"/>
        <v>602.35</v>
      </c>
      <c r="F17" s="19" t="str">
        <f t="shared" si="3"/>
        <v/>
      </c>
      <c r="G17" s="20">
        <v>0</v>
      </c>
      <c r="H17" s="20">
        <f t="shared" si="1"/>
        <v>602.35</v>
      </c>
      <c r="I17" s="19" t="str">
        <f t="shared" si="2"/>
        <v/>
      </c>
      <c r="J17" s="60" t="s">
        <v>114</v>
      </c>
      <c r="K17" s="60" t="s">
        <v>115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>
        <v>0</v>
      </c>
      <c r="E18" s="13">
        <f t="shared" ref="E18:E38" si="4">IF(AND(ISNUMBER(C18),ISNUMBER(D18)), C18-D18, "")</f>
        <v>0</v>
      </c>
      <c r="F18" s="14" t="str">
        <f t="shared" ref="F18:F38" si="5">IFERROR(E18/D18, "")</f>
        <v/>
      </c>
      <c r="G18" s="15">
        <v>0</v>
      </c>
      <c r="H18" s="15">
        <f t="shared" ref="H18:H38" si="6">IF(AND(ISNUMBER(C18),ISNUMBER(G18)), C18-G18, "")</f>
        <v>0</v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582.6</v>
      </c>
      <c r="D19" s="18">
        <v>0</v>
      </c>
      <c r="E19" s="18">
        <f t="shared" si="4"/>
        <v>582.6</v>
      </c>
      <c r="F19" s="19" t="str">
        <f t="shared" si="5"/>
        <v/>
      </c>
      <c r="G19" s="20">
        <v>0</v>
      </c>
      <c r="H19" s="20">
        <f t="shared" si="6"/>
        <v>582.6</v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1508.8</v>
      </c>
      <c r="D20" s="13">
        <v>0</v>
      </c>
      <c r="E20" s="13">
        <f t="shared" si="4"/>
        <v>1508.8</v>
      </c>
      <c r="F20" s="14" t="str">
        <f t="shared" si="5"/>
        <v/>
      </c>
      <c r="G20" s="15">
        <v>0</v>
      </c>
      <c r="H20" s="15">
        <f t="shared" si="6"/>
        <v>1508.8</v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>
        <v>544.9</v>
      </c>
      <c r="D21" s="18">
        <v>0</v>
      </c>
      <c r="E21" s="18">
        <f t="shared" si="4"/>
        <v>544.9</v>
      </c>
      <c r="F21" s="19" t="str">
        <f t="shared" si="5"/>
        <v/>
      </c>
      <c r="G21" s="20">
        <v>0</v>
      </c>
      <c r="H21" s="20">
        <f t="shared" si="6"/>
        <v>544.9</v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>
        <v>1236</v>
      </c>
      <c r="D22" s="13">
        <v>0</v>
      </c>
      <c r="E22" s="13">
        <f t="shared" si="4"/>
        <v>1236</v>
      </c>
      <c r="F22" s="14" t="str">
        <f t="shared" si="5"/>
        <v/>
      </c>
      <c r="G22" s="15">
        <v>0</v>
      </c>
      <c r="H22" s="15">
        <f t="shared" si="6"/>
        <v>1236</v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392</v>
      </c>
      <c r="D23" s="18">
        <v>0</v>
      </c>
      <c r="E23" s="18">
        <f t="shared" si="4"/>
        <v>392</v>
      </c>
      <c r="F23" s="19" t="str">
        <f t="shared" si="5"/>
        <v/>
      </c>
      <c r="G23" s="20">
        <v>0</v>
      </c>
      <c r="H23" s="20">
        <f t="shared" si="6"/>
        <v>392</v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1079.7</v>
      </c>
      <c r="D24" s="13">
        <v>0</v>
      </c>
      <c r="E24" s="13">
        <f t="shared" si="4"/>
        <v>1079.7</v>
      </c>
      <c r="F24" s="14" t="str">
        <f t="shared" si="5"/>
        <v/>
      </c>
      <c r="G24" s="15">
        <v>0</v>
      </c>
      <c r="H24" s="15">
        <f t="shared" si="6"/>
        <v>1079.7</v>
      </c>
      <c r="I24" s="16" t="str">
        <f t="shared" si="7"/>
        <v/>
      </c>
      <c r="J24" s="41"/>
      <c r="K24" s="41"/>
    </row>
    <row r="25" spans="1:11" ht="30.75">
      <c r="A25" s="30" t="str">
        <v xml:space="preserve"> Fort Collins - Bank of America</v>
      </c>
      <c r="B25" s="31" t="str">
        <v>CO</v>
      </c>
      <c r="C25" s="11">
        <v>8.1999999999999993</v>
      </c>
      <c r="D25" s="18">
        <v>0</v>
      </c>
      <c r="E25" s="18">
        <f t="shared" si="4"/>
        <v>8.1999999999999993</v>
      </c>
      <c r="F25" s="19" t="str">
        <f t="shared" si="5"/>
        <v/>
      </c>
      <c r="G25" s="20">
        <v>0</v>
      </c>
      <c r="H25" s="20">
        <f t="shared" si="6"/>
        <v>8.1999999999999993</v>
      </c>
      <c r="I25" s="19" t="str">
        <f t="shared" si="7"/>
        <v/>
      </c>
      <c r="J25" s="60" t="s">
        <v>116</v>
      </c>
      <c r="K25" s="60" t="s">
        <v>117</v>
      </c>
    </row>
    <row r="26" spans="1:11" ht="30.75">
      <c r="A26" s="28" t="str">
        <v xml:space="preserve"> Lafayette - Bank of America</v>
      </c>
      <c r="B26" s="29" t="str">
        <v>CO</v>
      </c>
      <c r="C26" s="24">
        <v>380</v>
      </c>
      <c r="D26" s="13">
        <v>0</v>
      </c>
      <c r="E26" s="13">
        <f t="shared" si="4"/>
        <v>380</v>
      </c>
      <c r="F26" s="14" t="str">
        <f t="shared" si="5"/>
        <v/>
      </c>
      <c r="G26" s="15">
        <v>0</v>
      </c>
      <c r="H26" s="15">
        <f t="shared" si="6"/>
        <v>380</v>
      </c>
      <c r="I26" s="16" t="str">
        <f t="shared" si="7"/>
        <v/>
      </c>
      <c r="J26" s="62" t="s">
        <v>103</v>
      </c>
      <c r="K26" s="62" t="s">
        <v>118</v>
      </c>
    </row>
    <row r="27" spans="1:11" ht="15.6">
      <c r="A27" s="30" t="str">
        <v xml:space="preserve"> Lakewood - Bank of America</v>
      </c>
      <c r="B27" s="31" t="str">
        <v>CO</v>
      </c>
      <c r="C27" s="11">
        <v>396.9</v>
      </c>
      <c r="D27" s="18">
        <v>0</v>
      </c>
      <c r="E27" s="18">
        <f t="shared" si="4"/>
        <v>396.9</v>
      </c>
      <c r="F27" s="19" t="str">
        <f t="shared" si="5"/>
        <v/>
      </c>
      <c r="G27" s="20">
        <v>0</v>
      </c>
      <c r="H27" s="20">
        <f t="shared" si="6"/>
        <v>396.9</v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>
        <v>411.7</v>
      </c>
      <c r="D28" s="13">
        <v>0</v>
      </c>
      <c r="E28" s="13">
        <f t="shared" si="4"/>
        <v>411.7</v>
      </c>
      <c r="F28" s="14" t="str">
        <f t="shared" si="5"/>
        <v/>
      </c>
      <c r="G28" s="15">
        <v>0</v>
      </c>
      <c r="H28" s="15">
        <f t="shared" si="6"/>
        <v>411.7</v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>
        <v>544.6</v>
      </c>
      <c r="D29" s="18">
        <v>0</v>
      </c>
      <c r="E29" s="18">
        <f t="shared" si="4"/>
        <v>544.6</v>
      </c>
      <c r="F29" s="19" t="str">
        <f t="shared" si="5"/>
        <v/>
      </c>
      <c r="G29" s="20">
        <v>0</v>
      </c>
      <c r="H29" s="20">
        <f t="shared" si="6"/>
        <v>544.6</v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681.1</v>
      </c>
      <c r="D30" s="13">
        <v>0</v>
      </c>
      <c r="E30" s="13">
        <f t="shared" si="4"/>
        <v>681.1</v>
      </c>
      <c r="F30" s="14" t="str">
        <f t="shared" si="5"/>
        <v/>
      </c>
      <c r="G30" s="15">
        <v>0</v>
      </c>
      <c r="H30" s="15">
        <f t="shared" si="6"/>
        <v>681.1</v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664.4</v>
      </c>
      <c r="D31" s="18">
        <v>0</v>
      </c>
      <c r="E31" s="18">
        <f t="shared" si="4"/>
        <v>664.4</v>
      </c>
      <c r="F31" s="19" t="str">
        <f t="shared" si="5"/>
        <v/>
      </c>
      <c r="G31" s="20">
        <v>0</v>
      </c>
      <c r="H31" s="20">
        <f t="shared" si="6"/>
        <v>664.4</v>
      </c>
      <c r="I31" s="19" t="str">
        <f t="shared" si="7"/>
        <v/>
      </c>
      <c r="J31" s="42"/>
      <c r="K31" s="43"/>
    </row>
    <row r="32" spans="1:11" ht="30.75">
      <c r="A32" s="28" t="str">
        <v xml:space="preserve"> Bloomington - Bank of America</v>
      </c>
      <c r="B32" s="29" t="str">
        <v>MN</v>
      </c>
      <c r="C32" s="24">
        <v>69.599999999999994</v>
      </c>
      <c r="D32" s="13">
        <v>0</v>
      </c>
      <c r="E32" s="13">
        <f t="shared" si="4"/>
        <v>69.599999999999994</v>
      </c>
      <c r="F32" s="14" t="str">
        <f t="shared" si="5"/>
        <v/>
      </c>
      <c r="G32" s="15">
        <v>0</v>
      </c>
      <c r="H32" s="15">
        <f t="shared" si="6"/>
        <v>69.599999999999994</v>
      </c>
      <c r="I32" s="16" t="str">
        <f t="shared" si="7"/>
        <v/>
      </c>
      <c r="J32" s="62" t="s">
        <v>119</v>
      </c>
      <c r="K32" s="62" t="s">
        <v>120</v>
      </c>
    </row>
    <row r="33" spans="1:11" ht="15.6">
      <c r="A33" s="30" t="str">
        <v xml:space="preserve"> Clayton - Bank of America</v>
      </c>
      <c r="B33" s="31" t="str">
        <v>MO</v>
      </c>
      <c r="C33" s="11">
        <v>777.33</v>
      </c>
      <c r="D33" s="18">
        <v>0</v>
      </c>
      <c r="E33" s="18">
        <f t="shared" si="4"/>
        <v>777.33</v>
      </c>
      <c r="F33" s="19" t="str">
        <f t="shared" si="5"/>
        <v/>
      </c>
      <c r="G33" s="20">
        <v>0</v>
      </c>
      <c r="H33" s="20">
        <f t="shared" si="6"/>
        <v>777.33</v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630</v>
      </c>
      <c r="D34" s="13">
        <v>0</v>
      </c>
      <c r="E34" s="13">
        <f t="shared" si="4"/>
        <v>630</v>
      </c>
      <c r="F34" s="14" t="str">
        <f t="shared" si="5"/>
        <v/>
      </c>
      <c r="G34" s="15">
        <v>0</v>
      </c>
      <c r="H34" s="15">
        <f t="shared" si="6"/>
        <v>630</v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49.125</v>
      </c>
      <c r="D35" s="18">
        <v>0</v>
      </c>
      <c r="E35" s="18">
        <f t="shared" si="4"/>
        <v>49.125</v>
      </c>
      <c r="F35" s="19" t="str">
        <f t="shared" si="5"/>
        <v/>
      </c>
      <c r="G35" s="20">
        <v>0</v>
      </c>
      <c r="H35" s="20">
        <f t="shared" si="6"/>
        <v>49.125</v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988.1</v>
      </c>
      <c r="D37" s="18">
        <v>0</v>
      </c>
      <c r="E37" s="18">
        <f t="shared" si="4"/>
        <v>988.1</v>
      </c>
      <c r="F37" s="19" t="str">
        <f t="shared" si="5"/>
        <v/>
      </c>
      <c r="G37" s="20">
        <v>0</v>
      </c>
      <c r="H37" s="20">
        <f t="shared" si="6"/>
        <v>988.1</v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100.7</v>
      </c>
      <c r="D38" s="13">
        <v>0</v>
      </c>
      <c r="E38" s="13">
        <f t="shared" si="4"/>
        <v>100.7</v>
      </c>
      <c r="F38" s="14" t="str">
        <f t="shared" si="5"/>
        <v/>
      </c>
      <c r="G38" s="15">
        <v>0</v>
      </c>
      <c r="H38" s="15">
        <f t="shared" si="6"/>
        <v>100.7</v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="90" zoomScaleNormal="90"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121</v>
      </c>
      <c r="B1" t="s">
        <v>122</v>
      </c>
    </row>
    <row r="3" spans="1:7" ht="13.15">
      <c r="A3" t="s">
        <v>123</v>
      </c>
      <c r="B3" t="s">
        <v>3</v>
      </c>
      <c r="C3" t="s">
        <v>4</v>
      </c>
      <c r="D3" t="s">
        <v>124</v>
      </c>
      <c r="E3" s="2" t="s">
        <v>125</v>
      </c>
    </row>
    <row r="4" spans="1:7" ht="14.45">
      <c r="A4" s="44" t="s">
        <v>126</v>
      </c>
      <c r="B4" s="45" t="s">
        <v>127</v>
      </c>
      <c r="C4" s="45" t="s">
        <v>128</v>
      </c>
      <c r="D4" s="46"/>
      <c r="E4" s="47" t="s">
        <v>129</v>
      </c>
      <c r="G4" s="3"/>
    </row>
    <row r="5" spans="1:7" ht="14.45">
      <c r="A5" s="48" t="s">
        <v>126</v>
      </c>
      <c r="B5" s="49" t="s">
        <v>130</v>
      </c>
      <c r="C5" s="49" t="s">
        <v>128</v>
      </c>
      <c r="D5" s="50"/>
      <c r="E5" s="51" t="s">
        <v>129</v>
      </c>
      <c r="G5" s="3"/>
    </row>
    <row r="6" spans="1:7" ht="14.45">
      <c r="A6" s="44" t="s">
        <v>131</v>
      </c>
      <c r="B6" s="45" t="s">
        <v>132</v>
      </c>
      <c r="C6" s="45" t="s">
        <v>128</v>
      </c>
      <c r="D6" s="46"/>
      <c r="E6" s="47" t="s">
        <v>129</v>
      </c>
      <c r="G6" s="3"/>
    </row>
    <row r="7" spans="1:7" ht="12.75" customHeight="1">
      <c r="A7" s="48" t="s">
        <v>133</v>
      </c>
      <c r="B7" s="49" t="s">
        <v>134</v>
      </c>
      <c r="C7" s="49" t="s">
        <v>128</v>
      </c>
      <c r="D7" s="50"/>
      <c r="E7" s="51" t="s">
        <v>129</v>
      </c>
    </row>
    <row r="8" spans="1:7" ht="12.75" customHeight="1">
      <c r="A8" s="44" t="s">
        <v>135</v>
      </c>
      <c r="B8" s="45" t="s">
        <v>136</v>
      </c>
      <c r="C8" s="45" t="s">
        <v>128</v>
      </c>
      <c r="D8" s="46"/>
      <c r="E8" s="47" t="s">
        <v>129</v>
      </c>
    </row>
    <row r="9" spans="1:7" ht="12.75" customHeight="1">
      <c r="A9" s="48" t="s">
        <v>137</v>
      </c>
      <c r="B9" s="49" t="s">
        <v>138</v>
      </c>
      <c r="C9" s="49" t="s">
        <v>128</v>
      </c>
      <c r="D9" s="50"/>
      <c r="E9" s="51" t="s">
        <v>129</v>
      </c>
    </row>
    <row r="10" spans="1:7" ht="12.75" customHeight="1">
      <c r="A10" s="44" t="s">
        <v>139</v>
      </c>
      <c r="B10" s="45" t="s">
        <v>140</v>
      </c>
      <c r="C10" s="45" t="s">
        <v>128</v>
      </c>
      <c r="D10" s="46"/>
      <c r="E10" s="47" t="s">
        <v>129</v>
      </c>
    </row>
    <row r="11" spans="1:7" ht="12.75" customHeight="1">
      <c r="A11" s="48" t="s">
        <v>141</v>
      </c>
      <c r="B11" s="49" t="s">
        <v>142</v>
      </c>
      <c r="C11" s="49" t="s">
        <v>128</v>
      </c>
      <c r="D11" s="50"/>
      <c r="E11" s="51" t="s">
        <v>129</v>
      </c>
    </row>
    <row r="12" spans="1:7" ht="12.75" customHeight="1">
      <c r="A12" s="44" t="s">
        <v>143</v>
      </c>
      <c r="B12" s="45" t="s">
        <v>144</v>
      </c>
      <c r="C12" s="45" t="s">
        <v>128</v>
      </c>
      <c r="D12" s="46"/>
      <c r="E12" s="47" t="s">
        <v>129</v>
      </c>
    </row>
    <row r="13" spans="1:7" ht="12.75" customHeight="1">
      <c r="A13" s="48" t="s">
        <v>126</v>
      </c>
      <c r="B13" s="49" t="s">
        <v>145</v>
      </c>
      <c r="C13" s="49" t="s">
        <v>128</v>
      </c>
      <c r="D13" s="50"/>
      <c r="E13" s="51" t="s">
        <v>129</v>
      </c>
    </row>
    <row r="14" spans="1:7" ht="12.75" customHeight="1">
      <c r="A14" s="44" t="s">
        <v>146</v>
      </c>
      <c r="B14" s="45" t="s">
        <v>147</v>
      </c>
      <c r="C14" s="45" t="s">
        <v>128</v>
      </c>
      <c r="D14" s="46"/>
      <c r="E14" s="47" t="s">
        <v>129</v>
      </c>
    </row>
    <row r="15" spans="1:7" ht="12.75" customHeight="1">
      <c r="A15" s="48" t="s">
        <v>148</v>
      </c>
      <c r="B15" s="49" t="s">
        <v>149</v>
      </c>
      <c r="C15" s="49" t="s">
        <v>128</v>
      </c>
      <c r="D15" s="50"/>
      <c r="E15" s="51" t="s">
        <v>129</v>
      </c>
    </row>
    <row r="16" spans="1:7" ht="12.75" customHeight="1">
      <c r="A16" s="44" t="s">
        <v>150</v>
      </c>
      <c r="B16" s="45" t="s">
        <v>151</v>
      </c>
      <c r="C16" s="45" t="s">
        <v>128</v>
      </c>
      <c r="D16" s="46"/>
      <c r="E16" s="47" t="s">
        <v>129</v>
      </c>
    </row>
    <row r="17" spans="1:5" ht="12.75" customHeight="1">
      <c r="A17" s="48" t="s">
        <v>152</v>
      </c>
      <c r="B17" s="49" t="s">
        <v>153</v>
      </c>
      <c r="C17" s="49" t="s">
        <v>128</v>
      </c>
      <c r="D17" s="50"/>
      <c r="E17" s="51" t="s">
        <v>129</v>
      </c>
    </row>
    <row r="18" spans="1:5" ht="12.75" customHeight="1">
      <c r="A18" s="48"/>
      <c r="B18" s="49" t="s">
        <v>154</v>
      </c>
      <c r="C18" s="49" t="s">
        <v>128</v>
      </c>
      <c r="D18" s="46"/>
      <c r="E18" s="47" t="s">
        <v>129</v>
      </c>
    </row>
    <row r="19" spans="1:5" ht="12.75" customHeight="1">
      <c r="A19" s="48" t="s">
        <v>155</v>
      </c>
      <c r="B19" s="49" t="s">
        <v>156</v>
      </c>
      <c r="C19" s="49" t="s">
        <v>157</v>
      </c>
      <c r="D19" s="50"/>
      <c r="E19" s="51" t="s">
        <v>129</v>
      </c>
    </row>
    <row r="20" spans="1:5" ht="12.75" customHeight="1">
      <c r="A20" s="48" t="s">
        <v>158</v>
      </c>
      <c r="B20" s="49" t="s">
        <v>159</v>
      </c>
      <c r="C20" s="49" t="s">
        <v>157</v>
      </c>
      <c r="D20" s="46"/>
      <c r="E20" s="47" t="s">
        <v>129</v>
      </c>
    </row>
    <row r="21" spans="1:5" ht="12.75" customHeight="1">
      <c r="A21" s="48" t="s">
        <v>160</v>
      </c>
      <c r="B21" s="49" t="s">
        <v>161</v>
      </c>
      <c r="C21" s="49" t="s">
        <v>157</v>
      </c>
      <c r="D21" s="50"/>
      <c r="E21" s="51" t="s">
        <v>129</v>
      </c>
    </row>
    <row r="22" spans="1:5" ht="12.75" customHeight="1">
      <c r="A22" s="48" t="s">
        <v>162</v>
      </c>
      <c r="B22" s="49" t="s">
        <v>163</v>
      </c>
      <c r="C22" s="49" t="s">
        <v>157</v>
      </c>
      <c r="D22" s="46"/>
      <c r="E22" s="47" t="s">
        <v>129</v>
      </c>
    </row>
    <row r="23" spans="1:5" ht="12.75" customHeight="1">
      <c r="A23" s="48" t="s">
        <v>164</v>
      </c>
      <c r="B23" s="49" t="s">
        <v>165</v>
      </c>
      <c r="C23" s="49" t="s">
        <v>157</v>
      </c>
      <c r="D23" s="50"/>
      <c r="E23" s="51" t="s">
        <v>129</v>
      </c>
    </row>
    <row r="24" spans="1:5" ht="12.75" customHeight="1">
      <c r="A24" s="48" t="s">
        <v>166</v>
      </c>
      <c r="B24" s="49" t="s">
        <v>167</v>
      </c>
      <c r="C24" s="49" t="s">
        <v>157</v>
      </c>
      <c r="D24" s="46"/>
      <c r="E24" s="47" t="s">
        <v>129</v>
      </c>
    </row>
    <row r="25" spans="1:5" ht="12.75" customHeight="1">
      <c r="A25" s="48" t="s">
        <v>168</v>
      </c>
      <c r="B25" s="49" t="s">
        <v>169</v>
      </c>
      <c r="C25" s="49" t="s">
        <v>157</v>
      </c>
      <c r="D25" s="50"/>
      <c r="E25" s="51" t="s">
        <v>129</v>
      </c>
    </row>
    <row r="26" spans="1:5" ht="12.75" customHeight="1">
      <c r="A26" s="48" t="s">
        <v>170</v>
      </c>
      <c r="B26" s="49" t="s">
        <v>171</v>
      </c>
      <c r="C26" s="49" t="s">
        <v>157</v>
      </c>
      <c r="D26" s="46"/>
      <c r="E26" s="47" t="s">
        <v>129</v>
      </c>
    </row>
    <row r="27" spans="1:5" ht="12.75" customHeight="1">
      <c r="A27" s="48" t="s">
        <v>172</v>
      </c>
      <c r="B27" s="49" t="s">
        <v>173</v>
      </c>
      <c r="C27" s="49" t="s">
        <v>157</v>
      </c>
      <c r="D27" s="50"/>
      <c r="E27" s="51" t="s">
        <v>129</v>
      </c>
    </row>
    <row r="28" spans="1:5" ht="12.75" customHeight="1">
      <c r="A28" s="48" t="s">
        <v>174</v>
      </c>
      <c r="B28" s="49" t="s">
        <v>175</v>
      </c>
      <c r="C28" s="49" t="s">
        <v>157</v>
      </c>
      <c r="D28" s="46"/>
      <c r="E28" s="47" t="s">
        <v>129</v>
      </c>
    </row>
    <row r="29" spans="1:5" ht="12.75" customHeight="1">
      <c r="A29" s="48" t="s">
        <v>176</v>
      </c>
      <c r="B29" s="49" t="s">
        <v>177</v>
      </c>
      <c r="C29" s="49" t="s">
        <v>157</v>
      </c>
      <c r="D29" s="50"/>
      <c r="E29" s="51" t="s">
        <v>129</v>
      </c>
    </row>
    <row r="30" spans="1:5" ht="12.75" customHeight="1">
      <c r="A30" s="48" t="s">
        <v>178</v>
      </c>
      <c r="B30" s="49" t="s">
        <v>179</v>
      </c>
      <c r="C30" s="49" t="s">
        <v>180</v>
      </c>
      <c r="D30" s="46"/>
      <c r="E30" s="47" t="s">
        <v>129</v>
      </c>
    </row>
    <row r="31" spans="1:5" ht="12.75" customHeight="1">
      <c r="A31" s="48" t="s">
        <v>181</v>
      </c>
      <c r="B31" s="49" t="s">
        <v>182</v>
      </c>
      <c r="C31" s="49" t="s">
        <v>180</v>
      </c>
      <c r="D31" s="50"/>
      <c r="E31" s="51" t="s">
        <v>129</v>
      </c>
    </row>
    <row r="32" spans="1:5" ht="12.75" customHeight="1">
      <c r="A32" s="48" t="s">
        <v>126</v>
      </c>
      <c r="B32" s="49" t="s">
        <v>183</v>
      </c>
      <c r="C32" s="49" t="s">
        <v>184</v>
      </c>
      <c r="D32" s="46"/>
      <c r="E32" s="47" t="s">
        <v>129</v>
      </c>
    </row>
    <row r="33" spans="1:5" ht="12.75" customHeight="1">
      <c r="A33" s="48" t="s">
        <v>185</v>
      </c>
      <c r="B33" s="49" t="s">
        <v>186</v>
      </c>
      <c r="C33" s="49" t="s">
        <v>187</v>
      </c>
      <c r="D33" s="50"/>
      <c r="E33" s="51" t="s">
        <v>129</v>
      </c>
    </row>
    <row r="34" spans="1:5" ht="12.75" customHeight="1">
      <c r="A34" s="48" t="s">
        <v>188</v>
      </c>
      <c r="B34" s="49" t="s">
        <v>189</v>
      </c>
      <c r="C34" s="49" t="s">
        <v>187</v>
      </c>
      <c r="D34" s="46"/>
      <c r="E34" s="47" t="s">
        <v>129</v>
      </c>
    </row>
    <row r="35" spans="1:5" ht="12.75" customHeight="1">
      <c r="A35" s="48" t="s">
        <v>190</v>
      </c>
      <c r="B35" s="49" t="s">
        <v>191</v>
      </c>
      <c r="C35" s="49" t="s">
        <v>192</v>
      </c>
      <c r="D35" s="50"/>
      <c r="E35" s="51" t="s">
        <v>129</v>
      </c>
    </row>
    <row r="36" spans="1:5" ht="12.75" customHeight="1">
      <c r="A36" s="48" t="s">
        <v>126</v>
      </c>
      <c r="B36" s="49" t="s">
        <v>193</v>
      </c>
      <c r="C36" s="49" t="s">
        <v>192</v>
      </c>
      <c r="D36" s="46"/>
      <c r="E36" s="47" t="s">
        <v>129</v>
      </c>
    </row>
    <row r="37" spans="1:5" ht="12.75" customHeight="1">
      <c r="A37" s="48" t="s">
        <v>194</v>
      </c>
      <c r="B37" s="49" t="s">
        <v>195</v>
      </c>
      <c r="C37" s="49" t="s">
        <v>196</v>
      </c>
      <c r="D37" s="50"/>
      <c r="E37" s="51" t="s">
        <v>129</v>
      </c>
    </row>
    <row r="38" spans="1:5" ht="12.75" customHeight="1">
      <c r="A38" s="52" t="s">
        <v>197</v>
      </c>
      <c r="B38" s="53" t="s">
        <v>198</v>
      </c>
      <c r="C38" s="53" t="s">
        <v>196</v>
      </c>
      <c r="D38" s="54"/>
      <c r="E38" s="55" t="s">
        <v>129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CF4823F2-F9E6-4C5E-9A40-4D00AEA772D4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