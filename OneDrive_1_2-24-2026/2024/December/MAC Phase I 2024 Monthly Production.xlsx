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poojithak_amgsol_com/Documents/Microsoft Teams Chat Files/"/>
    </mc:Choice>
  </mc:AlternateContent>
  <xr:revisionPtr revIDLastSave="85" documentId="8_{64AB4929-06C0-4E15-A228-75FD28A75436}" xr6:coauthVersionLast="47" xr6:coauthVersionMax="47" xr10:uidLastSave="{CB7B8FA3-DB5A-4C2D-ADF5-6A30F10CA58E}"/>
  <bookViews>
    <workbookView xWindow="-98" yWindow="-98" windowWidth="21795" windowHeight="12975" tabRatio="866" firstSheet="15" activeTab="1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2" i="29" s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33" l="1"/>
  <c r="I2" i="33" s="1"/>
  <c r="H2" i="32"/>
  <c r="I2" i="32" s="1"/>
  <c r="E4" i="30"/>
  <c r="F4" i="30" s="1"/>
  <c r="H2" i="27"/>
  <c r="I2" i="27" s="1"/>
  <c r="E2" i="20"/>
  <c r="F2" i="20" s="1"/>
  <c r="J2" i="4"/>
  <c r="H2" i="21"/>
  <c r="I2" i="21" s="1"/>
  <c r="J2" i="21"/>
  <c r="H2" i="20"/>
  <c r="I2" i="20" s="1"/>
  <c r="D2" i="18"/>
  <c r="E4" i="18"/>
  <c r="F4" i="18" s="1"/>
  <c r="J2" i="20"/>
  <c r="H2" i="19"/>
  <c r="I2" i="19" s="1"/>
  <c r="J2" i="19"/>
  <c r="D2" i="29"/>
  <c r="J2" i="26"/>
  <c r="J2" i="27"/>
  <c r="E2" i="28"/>
  <c r="F2" i="28" s="1"/>
  <c r="J2" i="28"/>
  <c r="J2" i="31"/>
  <c r="J2" i="33"/>
  <c r="D4" i="34"/>
  <c r="D2" i="34" s="1"/>
  <c r="J2" i="32"/>
  <c r="H2" i="3"/>
  <c r="I2" i="3" s="1"/>
  <c r="G2" i="1"/>
  <c r="H4" i="30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I4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4" i="34"/>
  <c r="H2" i="29"/>
  <c r="I2" i="29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  <c r="G4" i="34"/>
  <c r="G2" i="34" s="1"/>
  <c r="H2" i="34" s="1"/>
  <c r="I2" i="34" s="1"/>
  <c r="G2" i="30"/>
  <c r="H2" i="30" s="1"/>
  <c r="I2" i="30" s="1"/>
  <c r="I4" i="30"/>
  <c r="I4" i="3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<sst xmlns="http://schemas.openxmlformats.org/spreadsheetml/2006/main" count="260" uniqueCount="72">
  <si>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</si>
  <si>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</si>
  <si>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</si>
  <si>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</si>
  <si>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</si>
  <si>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</si>
  <si>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</si>
  <si>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</si>
  <si>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</si>
  <si>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</si>
  <si>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</si>
  <si>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</si>
  <si>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</si>
  <si>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</si>
  <si>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</si>
  <si>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</si>
  <si>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</si>
  <si>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</si>
  <si>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</si>
  <si>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</si>
  <si>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</si>
  <si>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</si>
  <si>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2.3(old 22) was offline from 01/16
2. Inverter 1.17 was offline from 01/23 and back online on 01/26 at 10:00am</t>
  </si>
  <si>
    <t>1. SR080257
2. SR080410</t>
  </si>
  <si>
    <t>February Actual v. Expected</t>
  </si>
  <si>
    <t>February Actual v. Forecasted</t>
  </si>
  <si>
    <t>1. Inverter 2.3(old 22) was offline for entire month</t>
  </si>
  <si>
    <t>1. SR080257</t>
  </si>
  <si>
    <t>March Actual v. Expected</t>
  </si>
  <si>
    <t>March Actual v. Forecasted</t>
  </si>
  <si>
    <t xml:space="preserve">1. Inverter 2.3(old 22) was offline for entire month. Inverter being RMA'd
2. Inverter 1.15 was offline from offline on 03/21 </t>
  </si>
  <si>
    <t>1. SR080257
2. SR082315</t>
  </si>
  <si>
    <t>April Actual v. Expected</t>
  </si>
  <si>
    <t>April Actual v. Forecasted</t>
  </si>
  <si>
    <t>1. Inverter 1.15 is offline from 03/21 and back online at 10:45AM on 04/18.
2. Inverter 2.3(old 22) is offline from 01/15 and back online at 10:00AM on 04/18.
3. Actual Energy is the combination of Both MAC -Phase 1 and MAC Phase 2</t>
  </si>
  <si>
    <t>1. SR082315
2. SR080257</t>
  </si>
  <si>
    <t>May Actual v. Expected</t>
  </si>
  <si>
    <t>May Actual v. Forecasted</t>
  </si>
  <si>
    <t>1. Actual Energy is the combination of Both MAC -Phase 1 and MAC Phase 2</t>
  </si>
  <si>
    <t>June Actual v. Expected</t>
  </si>
  <si>
    <t>June Actual v. Forecasted</t>
  </si>
  <si>
    <t>1. Inverter 3.4 is offline from 07:00AM to 11:45AM on 06/11 and also again
Inverter 3.4 is offline from 07:00AM on 06/12 and back online at 15:10 on 06/16
2. Actual Energy is the combination of Both MAC -Phase 1 and MAC Phase 2</t>
  </si>
  <si>
    <t>1. SR085851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</si>
  <si>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</si>
  <si>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</si>
  <si>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</si>
  <si>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</si>
  <si>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</si>
  <si>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</si>
  <si>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1. Inverter 2.14 tripped offline at 08:00AM on 09/15 and back online 13:00 on 09/17.
2. Inverter 1.9 tripped offline from 09/17. 
3. Actual Energy is the combination of Both MAC -Phase 1 and MAC Phase 2</t>
  </si>
  <si>
    <t>1. SR090577
2. SR090630</t>
  </si>
  <si>
    <t>October Actual v. Expected</t>
  </si>
  <si>
    <t>October Actual v. Forecasted</t>
  </si>
  <si>
    <t>1. Inverter 1.15 tripped offline at 08:30 on 10/03/24 and back online at 11:30 on 10/18/24.
2.Inverter 1.9 tripped offline at 17:15 on 09/17/24 and back online at 11:30 on 10/18/24 and the Inverter 1.9 is being RMA'd from 10/29/24
3.Inverter 1.3 tripped offline at 11:30 on 10/16/2024 and remained offline throughout the month.
4. Actual Energy is the combination of Both MAC -Phase 1 and MAC Phase 2</t>
  </si>
  <si>
    <t>1.SR091718
2.SR091731,SR092746
3.SR092746</t>
  </si>
  <si>
    <t>November Actual v. Expected</t>
  </si>
  <si>
    <t>November Actual v. Forecasted</t>
  </si>
  <si>
    <t>1. Inverter 1.9 is being RMA'd from 10/29/24.
2.Inverter 1.3 tripped offline at 11:30 on 10/16/2024 and stopped communicating form 7:00 on 11/19/24
3. Actual Energy is the combination of Both MAC -Phase 1 and MAC Phase 2</t>
  </si>
  <si>
    <t>1.SR092746
2.SR092746</t>
  </si>
  <si>
    <t>December Actual v. Expected</t>
  </si>
  <si>
    <t>December Actual v. Forecasted</t>
  </si>
  <si>
    <t>1.Inverter 1.9 back online on 12/10
2.Inverter 1.3 back online on 12/10
3.Inverter 1.7 was offline on multiple days
4. Actual Energy is the combination of Both MAC -Phase 1 and MAC Phase 2</t>
  </si>
  <si>
    <t>1.SR092746
2.SR092746
3.	SR094282</t>
  </si>
  <si>
    <t>Portfolio:</t>
  </si>
  <si>
    <t>MAC Phase I</t>
  </si>
  <si>
    <t>Site DAS Name</t>
  </si>
  <si>
    <t>Update</t>
  </si>
  <si>
    <t>DAS</t>
  </si>
  <si>
    <t>MAC</t>
  </si>
  <si>
    <t>MAC - Phase 1</t>
  </si>
  <si>
    <t>MN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</si>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</sst>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1"/>
  <sheetViews>
    <sheetView workbookViewId="0">
      <pane ySplit="2" topLeftCell="A3" activePane="bottomLeft" state="frozen"/>
      <selection pane="bottomLeft" activeCell="B19" sqref="B19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</v>
      </c>
      <c r="B1" s="45"/>
      <c r="C1" s="45"/>
      <c r="D1" s="46" t="s">
        <v>0</v>
      </c>
      <c r="E1" s="46"/>
      <c r="F1" s="46"/>
      <c r="G1" s="44" t="s">
        <v>1</v>
      </c>
      <c r="H1" s="44"/>
      <c r="I1" s="44"/>
    </row>
    <row r="2" spans="1:9" ht="19.5" customHeight="1">
      <c r="A2" s="47" t="s">
        <v>2</v>
      </c>
      <c r="B2" s="47"/>
      <c r="C2" s="6">
        <f>SUM(C4:C89)</f>
        <v>2950732</v>
      </c>
      <c r="D2" s="6">
        <f>SUM(D4:D89)</f>
        <v>1090912.6529999999</v>
      </c>
      <c r="E2" s="6">
        <f>C2-D2</f>
        <v>1859819.3470000001</v>
      </c>
      <c r="F2" s="7">
        <f>IFERROR(E2/D2, 0)</f>
        <v>1.7048288347243143</v>
      </c>
      <c r="G2" s="6">
        <f>SUM(G4:G89)</f>
        <v>1428314.23</v>
      </c>
      <c r="H2" s="8">
        <f>C2-G2</f>
        <v>1522417.77</v>
      </c>
      <c r="I2" s="7">
        <f>IFERROR(H2/G2, 0)</f>
        <v>1.0658843397506443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1</v>
      </c>
      <c r="B4" s="10" t="str" cm="1">
        <f t="array" ref="B4">Sites[State]</f>
        <v>MN</v>
      </c>
      <c r="C4" s="26">
        <f>SUM('1st Qtr'!C4, '2nd Qtr'!C4, '3rd Qtr'!C4, '4th Qtr'!C4)</f>
        <v>2950732</v>
      </c>
      <c r="D4" s="14">
        <f>SUM('1st Qtr'!D4, '2nd Qtr'!D4, '3rd Qtr'!D4, '4th Qtr'!D4)</f>
        <v>1090912.6529999999</v>
      </c>
      <c r="E4" s="14">
        <f>IF(AND(ISNUMBER(C4),ISNUMBER(D4)), C4-D4, "")</f>
        <v>1859819.3470000001</v>
      </c>
      <c r="F4" s="15">
        <f>IFERROR(E4/D4, 0)</f>
        <v>1.7048288347243143</v>
      </c>
      <c r="G4" s="16">
        <f>SUM('1st Qtr'!G4,'2nd Qtr'!G4,'3rd Qtr'!G4,'4th Qtr'!G4)</f>
        <v>1428314.23</v>
      </c>
      <c r="H4" s="16">
        <f>SUM('1st Qtr'!H4, '2nd Qtr'!H4, '3rd Qtr'!H4, '4th Qtr'!H4)</f>
        <v>1522417.77</v>
      </c>
      <c r="I4" s="17">
        <f>IFERROR(H4/G4, 0)</f>
        <v>1.0658843397506443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9 I4:I8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1"/>
  <sheetViews>
    <sheetView workbookViewId="0">
      <pane ySplit="2" topLeftCell="A3" activePane="bottomLeft" state="frozen"/>
      <selection pane="bottomLeft" activeCell="G4" sqref="G4"/>
      <selection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</v>
      </c>
      <c r="B1" s="45"/>
      <c r="C1" s="45"/>
      <c r="D1" s="46" t="s">
        <v>10</v>
      </c>
      <c r="E1" s="46"/>
      <c r="F1" s="46"/>
      <c r="G1" s="44" t="s">
        <v>11</v>
      </c>
      <c r="H1" s="44"/>
      <c r="I1" s="44"/>
    </row>
    <row r="2" spans="1:9" ht="19.5" customHeight="1">
      <c r="A2" s="47" t="s">
        <v>2</v>
      </c>
      <c r="B2" s="47"/>
      <c r="C2" s="6">
        <f>SUM(C4:C89)</f>
        <v>529169</v>
      </c>
      <c r="D2" s="6">
        <f>SUM(D4:D89)</f>
        <v>195387</v>
      </c>
      <c r="E2" s="6">
        <f>C2-D2</f>
        <v>333782</v>
      </c>
      <c r="F2" s="7">
        <f>IFERROR(E2/D2, 0)</f>
        <v>1.7083122213862745</v>
      </c>
      <c r="G2" s="6">
        <f>SUM(G4:G89)</f>
        <v>266160</v>
      </c>
      <c r="H2" s="8">
        <f>C2-G2</f>
        <v>263009</v>
      </c>
      <c r="I2" s="7">
        <f>IFERROR(H2/G2, 0)</f>
        <v>0.98816125638713559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1</v>
      </c>
      <c r="B4" s="10" t="str" cm="1">
        <f t="array" ref="B4">Sites[State]</f>
        <v>MN</v>
      </c>
      <c r="C4" s="26">
        <f>SUM(Jan!C4, Feb!C4, Mar!C4)</f>
        <v>529169</v>
      </c>
      <c r="D4" s="14">
        <f>SUM(Jan!D4, Feb!D4, Mar!D4)</f>
        <v>195387</v>
      </c>
      <c r="E4" s="14">
        <f>IF(AND(ISNUMBER(C4),ISNUMBER(D4)), C4-D4, "")</f>
        <v>333782</v>
      </c>
      <c r="F4" s="15">
        <f>IFERROR(E4/D4, 0)</f>
        <v>1.7083122213862745</v>
      </c>
      <c r="G4" s="16">
        <f>SUM(Jan!G4, Feb!G4, Mar!G4)</f>
        <v>266160</v>
      </c>
      <c r="H4" s="16">
        <f>SUM(Jan!H4, Feb!H4, Mar!H4)</f>
        <v>263009</v>
      </c>
      <c r="I4" s="17">
        <f>IFERROR(H4/G4, 0)</f>
        <v>0.98816125638713559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9 I4:I8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1"/>
  <sheetViews>
    <sheetView workbookViewId="0">
      <pane ySplit="2" topLeftCell="A3" activePane="bottomLeft" state="frozen"/>
      <selection pane="bottomLeft" activeCell="G4" sqref="G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</v>
      </c>
      <c r="B1" s="45"/>
      <c r="C1" s="45"/>
      <c r="D1" s="46" t="s">
        <v>12</v>
      </c>
      <c r="E1" s="46"/>
      <c r="F1" s="46"/>
      <c r="G1" s="44" t="s">
        <v>13</v>
      </c>
      <c r="H1" s="44"/>
      <c r="I1" s="44"/>
    </row>
    <row r="2" spans="1:9" ht="19.5" customHeight="1">
      <c r="A2" s="47" t="s">
        <v>2</v>
      </c>
      <c r="B2" s="47"/>
      <c r="C2" s="6">
        <f>SUM(C4:C89)</f>
        <v>992413</v>
      </c>
      <c r="D2" s="6">
        <f>SUM(D4:D89)</f>
        <v>387837</v>
      </c>
      <c r="E2" s="6">
        <f>C2-D2</f>
        <v>604576</v>
      </c>
      <c r="F2" s="7">
        <f>IFERROR(E2/D2, 0)</f>
        <v>1.5588404407006036</v>
      </c>
      <c r="G2" s="6">
        <f>SUM(G4:G89)</f>
        <v>505696</v>
      </c>
      <c r="H2" s="8">
        <f>C2-G2</f>
        <v>486717</v>
      </c>
      <c r="I2" s="7">
        <f>IFERROR(H2/G2, 0)</f>
        <v>0.96246954692147058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1</v>
      </c>
      <c r="B4" s="10" t="str" cm="1">
        <f t="array" ref="B4">Sites[State]</f>
        <v>MN</v>
      </c>
      <c r="C4" s="26">
        <f>SUM(Apr!C4, May!C4, Jun!C4)</f>
        <v>992413</v>
      </c>
      <c r="D4" s="14">
        <f>SUM(Apr!D4, May!D4, Jun!D4)</f>
        <v>387837</v>
      </c>
      <c r="E4" s="14">
        <f>IF(AND(ISNUMBER(C4),ISNUMBER(D4)), C4-D4, "")</f>
        <v>604576</v>
      </c>
      <c r="F4" s="15">
        <f>IFERROR(E4/D4, "")</f>
        <v>1.5588404407006036</v>
      </c>
      <c r="G4" s="16">
        <f>SUM(Apr!G4,May!G4,Jun!G4)</f>
        <v>505696</v>
      </c>
      <c r="H4" s="16">
        <f>SUM(Apr!H4, May!H4, Jun!H4)</f>
        <v>486717</v>
      </c>
      <c r="I4" s="17">
        <f>IFERROR(H4/G4, "")</f>
        <v>0.96246954692147058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F16" sqref="F1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</v>
      </c>
      <c r="B1" s="45"/>
      <c r="C1" s="45"/>
      <c r="D1" s="46" t="s">
        <v>14</v>
      </c>
      <c r="E1" s="46"/>
      <c r="F1" s="46"/>
      <c r="G1" s="44" t="s">
        <v>15</v>
      </c>
      <c r="H1" s="44"/>
      <c r="I1" s="44"/>
    </row>
    <row r="2" spans="1:9" ht="19.5" customHeight="1">
      <c r="A2" s="47" t="s">
        <v>2</v>
      </c>
      <c r="B2" s="47"/>
      <c r="C2" s="6">
        <f>SUM(C4:C89)</f>
        <v>1029800</v>
      </c>
      <c r="D2" s="6">
        <f>SUM(D4:D89)</f>
        <v>373956.75299999997</v>
      </c>
      <c r="E2" s="6">
        <f>C2-D2</f>
        <v>655843.24699999997</v>
      </c>
      <c r="F2" s="7">
        <f>IFERROR(E2/D2, 0)</f>
        <v>1.7537943672326197</v>
      </c>
      <c r="G2" s="6">
        <f>SUM(G4:G89)</f>
        <v>472555.69999999995</v>
      </c>
      <c r="H2" s="8">
        <f>C2-G2</f>
        <v>557244.30000000005</v>
      </c>
      <c r="I2" s="7">
        <f>IFERROR(H2/G2, 0)</f>
        <v>1.1792140058833278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1</v>
      </c>
      <c r="B4" s="10" t="str" cm="1">
        <f t="array" ref="B4">Sites[State]</f>
        <v>MN</v>
      </c>
      <c r="C4" s="26">
        <f>SUM(Jul!C4, Aug!C4, Sep!C4)</f>
        <v>1029800</v>
      </c>
      <c r="D4" s="14">
        <f>SUM(Jul!D4, Aug!D4, Sep!D4)</f>
        <v>373956.75299999997</v>
      </c>
      <c r="E4" s="14">
        <f>IF(AND(ISNUMBER(C4),ISNUMBER(D4)), C4-D4, "")</f>
        <v>655843.24699999997</v>
      </c>
      <c r="F4" s="15">
        <f>IFERROR(E4/D4, "")</f>
        <v>1.7537943672326197</v>
      </c>
      <c r="G4" s="16">
        <f>SUM(Jul!G4,Aug!G4,Sep!G4)</f>
        <v>472555.69999999995</v>
      </c>
      <c r="H4" s="16">
        <f>SUM(Jul!H4, Aug!H4, Sep!H4)</f>
        <v>557244.30000000005</v>
      </c>
      <c r="I4" s="17">
        <f>IFERROR(H4/G4, "")</f>
        <v>1.1792140058833278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I4" sqref="I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5" t="str" cm="1">
        <f t="array" ref="A1">portfolio</f>
        <v>MAC Phase I</v>
      </c>
      <c r="B1" s="45"/>
      <c r="C1" s="45"/>
      <c r="D1" s="46" t="s">
        <v>16</v>
      </c>
      <c r="E1" s="46"/>
      <c r="F1" s="46"/>
      <c r="G1" s="44" t="s">
        <v>17</v>
      </c>
      <c r="H1" s="44"/>
      <c r="I1" s="44"/>
    </row>
    <row r="2" spans="1:9" ht="19.5" customHeight="1">
      <c r="A2" s="47" t="s">
        <v>2</v>
      </c>
      <c r="B2" s="47"/>
      <c r="C2" s="6">
        <f>SUM(C4:C89)</f>
        <v>399350</v>
      </c>
      <c r="D2" s="6">
        <f>SUM(D4:D89)</f>
        <v>133731.9</v>
      </c>
      <c r="E2" s="6">
        <f>C2-D2</f>
        <v>265618.09999999998</v>
      </c>
      <c r="F2" s="7">
        <f>IFERROR(E2/D2, 0)</f>
        <v>1.9861985061155938</v>
      </c>
      <c r="G2" s="6">
        <f>SUM(G4:G89)</f>
        <v>183902.53000000003</v>
      </c>
      <c r="H2" s="8">
        <f>C2-G2</f>
        <v>215447.46999999997</v>
      </c>
      <c r="I2" s="7">
        <f>IFERROR(H2/G2, 0)</f>
        <v>1.1715307559934056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">Sites[Site]</f>
        <v>MAC - Phase 1</v>
      </c>
      <c r="B4" s="10" t="str" cm="1">
        <f t="array" ref="B4">Sites[State]</f>
        <v>MN</v>
      </c>
      <c r="C4" s="26">
        <f>SUM(Oct!C4, Nov!C4, Dec!C4)</f>
        <v>399350</v>
      </c>
      <c r="D4" s="14">
        <f>SUM(Oct!D4, Nov!D4, Dec!D4)</f>
        <v>133731.9</v>
      </c>
      <c r="E4" s="14">
        <f>IF(AND(ISNUMBER(C4),ISNUMBER(D4)), C4-D4, "")</f>
        <v>265618.09999999998</v>
      </c>
      <c r="F4" s="15">
        <f>IFERROR(E4/D4, "")</f>
        <v>1.9861985061155938</v>
      </c>
      <c r="G4" s="16">
        <f>SUM(Oct!G4,Nov!G4,Dec!G4)</f>
        <v>183902.53000000003</v>
      </c>
      <c r="H4" s="16">
        <f>SUM(Oct!H4, Nov!H4, Dec!H4)</f>
        <v>215447.46999999997</v>
      </c>
      <c r="I4" s="17">
        <f>IFERROR(H4/G4, "")</f>
        <v>1.1715307559934056</v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K4" sqref="K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</v>
      </c>
      <c r="B1" s="45"/>
      <c r="C1" s="45"/>
      <c r="D1" s="46" t="s">
        <v>18</v>
      </c>
      <c r="E1" s="46"/>
      <c r="F1" s="46"/>
      <c r="G1" s="44" t="s">
        <v>19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SUM(C4:C89)</f>
        <v>91599</v>
      </c>
      <c r="D2" s="6">
        <f>SUM(D4:D89)</f>
        <v>30865</v>
      </c>
      <c r="E2" s="6">
        <f>C2-D2</f>
        <v>60734</v>
      </c>
      <c r="F2" s="7">
        <f>IFERROR(E2/D2, 0)</f>
        <v>1.9677304390085857</v>
      </c>
      <c r="G2" s="6">
        <f>SUM(G4:G89)</f>
        <v>62234</v>
      </c>
      <c r="H2" s="8">
        <f>C2-G2</f>
        <v>29365</v>
      </c>
      <c r="I2" s="7">
        <f>IFERROR(H2/G2, 0)</f>
        <v>0.47184818587910143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5">
      <c r="A4" s="33" t="str" cm="1">
        <f t="array" ref="A4">Sites[Site]</f>
        <v>MAC - Phase 1</v>
      </c>
      <c r="B4" s="30" t="str" cm="1">
        <f t="array" ref="B4">Sites[State]</f>
        <v>MN</v>
      </c>
      <c r="C4" s="26">
        <v>91599</v>
      </c>
      <c r="D4" s="14">
        <v>30865</v>
      </c>
      <c r="E4" s="14">
        <f>IF(AND(ISNUMBER(C4),ISNUMBER(D4)), C4-D4, "")</f>
        <v>60734</v>
      </c>
      <c r="F4" s="15">
        <f>IFERROR(E4/D4, 0)</f>
        <v>1.9677304390085857</v>
      </c>
      <c r="G4" s="16">
        <v>62234</v>
      </c>
      <c r="H4" s="16">
        <f>IF(AND(ISNUMBER(C4),ISNUMBER(G4)), C4-G4, "")</f>
        <v>29365</v>
      </c>
      <c r="I4" s="17">
        <f>IFERROR(H4/G4, 0)</f>
        <v>0.47184818587910143</v>
      </c>
      <c r="J4" s="18" t="s">
        <v>22</v>
      </c>
      <c r="K4" s="18" t="s">
        <v>23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E19" sqref="E19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</v>
      </c>
      <c r="B1" s="45"/>
      <c r="C1" s="45"/>
      <c r="D1" s="46" t="s">
        <v>24</v>
      </c>
      <c r="E1" s="46"/>
      <c r="F1" s="46"/>
      <c r="G1" s="44" t="s">
        <v>25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171585</v>
      </c>
      <c r="D2" s="6">
        <f>SUM(D4:D90)</f>
        <v>63395</v>
      </c>
      <c r="E2" s="6">
        <f>C2-D2</f>
        <v>108190</v>
      </c>
      <c r="F2" s="7">
        <f>IFERROR(E2/D2, 0)</f>
        <v>1.706601466992665</v>
      </c>
      <c r="G2" s="6">
        <f>SUM(G4:G90)</f>
        <v>84292</v>
      </c>
      <c r="H2" s="8">
        <f>C2-G2</f>
        <v>87293</v>
      </c>
      <c r="I2" s="7">
        <f>IFERROR(H2/G2, 0)</f>
        <v>1.0356024296493143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1</v>
      </c>
      <c r="B4" s="30" t="str" cm="1">
        <f t="array" ref="B4">Sites[State]</f>
        <v>MN</v>
      </c>
      <c r="C4" s="26">
        <v>171585</v>
      </c>
      <c r="D4" s="14">
        <v>63395</v>
      </c>
      <c r="E4" s="14">
        <f>IF(AND(ISNUMBER(C4),ISNUMBER(D4)), C4-D4, "")</f>
        <v>108190</v>
      </c>
      <c r="F4" s="15">
        <f>IFERROR(E4/D4, "")</f>
        <v>1.706601466992665</v>
      </c>
      <c r="G4" s="16">
        <v>84292</v>
      </c>
      <c r="H4" s="16">
        <f>IF(AND(ISNUMBER(C4),ISNUMBER(G4)), C4-G4, "")</f>
        <v>87293</v>
      </c>
      <c r="I4" s="17">
        <f>IFERROR(H4/G4, "")</f>
        <v>1.0356024296493143</v>
      </c>
      <c r="J4" s="18" t="s">
        <v>26</v>
      </c>
      <c r="K4" s="18" t="s">
        <v>27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G4" sqref="G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</v>
      </c>
      <c r="B1" s="45"/>
      <c r="C1" s="45"/>
      <c r="D1" s="46" t="s">
        <v>28</v>
      </c>
      <c r="E1" s="46"/>
      <c r="F1" s="46"/>
      <c r="G1" s="44" t="s">
        <v>29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265985</v>
      </c>
      <c r="D2" s="6">
        <f>SUM(D4:D90)</f>
        <v>101127</v>
      </c>
      <c r="E2" s="6">
        <f>C2-D2</f>
        <v>164858</v>
      </c>
      <c r="F2" s="7">
        <f>IFERROR(E2/D2, 0)</f>
        <v>1.6302075607898978</v>
      </c>
      <c r="G2" s="6">
        <f>SUM(G4:G90)</f>
        <v>119634</v>
      </c>
      <c r="H2" s="8">
        <f>C2-G2</f>
        <v>146351</v>
      </c>
      <c r="I2" s="7">
        <f>IFERROR(H2/G2, 0)</f>
        <v>1.2233228012103583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5">
      <c r="A4" s="33" t="str" cm="1">
        <f t="array" ref="A4">Sites[Site]</f>
        <v>MAC - Phase 1</v>
      </c>
      <c r="B4" s="30" t="str" cm="1">
        <f t="array" ref="B4">Sites[State]</f>
        <v>MN</v>
      </c>
      <c r="C4" s="26">
        <v>265985</v>
      </c>
      <c r="D4" s="14">
        <v>101127</v>
      </c>
      <c r="E4" s="14">
        <f>IF(AND(ISNUMBER(C4),ISNUMBER(D4)), C4-D4, "")</f>
        <v>164858</v>
      </c>
      <c r="F4" s="15">
        <f>IFERROR(E4/D4, "")</f>
        <v>1.6302075607898978</v>
      </c>
      <c r="G4" s="16">
        <v>119634</v>
      </c>
      <c r="H4" s="16">
        <f>IF(AND(ISNUMBER(C4),ISNUMBER(G4)), C4-G4, "")</f>
        <v>146351</v>
      </c>
      <c r="I4" s="17">
        <f>IFERROR(H4/G4, "")</f>
        <v>1.2233228012103583</v>
      </c>
      <c r="J4" s="18" t="s">
        <v>30</v>
      </c>
      <c r="K4" s="18" t="s">
        <v>31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J4" sqref="J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</v>
      </c>
      <c r="B1" s="45"/>
      <c r="C1" s="45"/>
      <c r="D1" s="46" t="s">
        <v>32</v>
      </c>
      <c r="E1" s="46"/>
      <c r="F1" s="46"/>
      <c r="G1" s="44" t="s">
        <v>33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284251</v>
      </c>
      <c r="D2" s="6">
        <f>SUM(D4:D90)</f>
        <v>108295</v>
      </c>
      <c r="E2" s="6">
        <f>C2-D2</f>
        <v>175956</v>
      </c>
      <c r="F2" s="7">
        <f>IFERROR(E2/D2, 0)</f>
        <v>1.624784154393093</v>
      </c>
      <c r="G2" s="6">
        <f>SUM(G4:G90)</f>
        <v>137029</v>
      </c>
      <c r="H2" s="8">
        <f>C2-G2</f>
        <v>147222</v>
      </c>
      <c r="I2" s="7">
        <f>IFERROR(H2/G2, 0)</f>
        <v>1.0743857139729547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75">
      <c r="A4" s="33" t="str" cm="1">
        <f t="array" ref="A4">Sites[Site]</f>
        <v>MAC - Phase 1</v>
      </c>
      <c r="B4" s="30" t="str" cm="1">
        <f t="array" ref="B4">Sites[State]</f>
        <v>MN</v>
      </c>
      <c r="C4" s="26">
        <v>284251</v>
      </c>
      <c r="D4" s="14">
        <v>108295</v>
      </c>
      <c r="E4" s="14">
        <f>IF(AND(ISNUMBER(C4),ISNUMBER(D4)), C4-D4, "")</f>
        <v>175956</v>
      </c>
      <c r="F4" s="15">
        <f>IFERROR(E4/D4, "")</f>
        <v>1.624784154393093</v>
      </c>
      <c r="G4" s="16">
        <v>137029</v>
      </c>
      <c r="H4" s="16">
        <f>IF(AND(ISNUMBER(C4),ISNUMBER(G4)), C4-G4, "")</f>
        <v>147222</v>
      </c>
      <c r="I4" s="17">
        <f>IFERROR(H4/G4, "")</f>
        <v>1.0743857139729547</v>
      </c>
      <c r="J4" s="18" t="s">
        <v>34</v>
      </c>
      <c r="K4" s="18" t="s">
        <v>35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J4" sqref="J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</v>
      </c>
      <c r="B1" s="45"/>
      <c r="C1" s="45"/>
      <c r="D1" s="46" t="s">
        <v>36</v>
      </c>
      <c r="E1" s="46"/>
      <c r="F1" s="46"/>
      <c r="G1" s="44" t="s">
        <v>37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371604</v>
      </c>
      <c r="D2" s="6">
        <f>SUM(D4:D90)</f>
        <v>146173</v>
      </c>
      <c r="E2" s="6">
        <f>C2-D2</f>
        <v>225431</v>
      </c>
      <c r="F2" s="7">
        <f>IFERROR(E2/D2, 0)</f>
        <v>1.5422205195213889</v>
      </c>
      <c r="G2" s="6">
        <f>SUM(G4:G90)</f>
        <v>181197</v>
      </c>
      <c r="H2" s="8">
        <f>C2-G2</f>
        <v>190407</v>
      </c>
      <c r="I2" s="7">
        <f>IFERROR(H2/G2, 0)</f>
        <v>1.0508286561035778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1</v>
      </c>
      <c r="B4" s="30" t="str" cm="1">
        <f t="array" ref="B4">Sites[State]</f>
        <v>MN</v>
      </c>
      <c r="C4" s="26">
        <v>371604</v>
      </c>
      <c r="D4" s="14">
        <v>146173</v>
      </c>
      <c r="E4" s="14">
        <f>IF(AND(ISNUMBER(C4),ISNUMBER(D4)), C4-D4, "")</f>
        <v>225431</v>
      </c>
      <c r="F4" s="15">
        <f>IFERROR(E4/D4, "")</f>
        <v>1.5422205195213889</v>
      </c>
      <c r="G4" s="16">
        <v>181197</v>
      </c>
      <c r="H4" s="16">
        <f>IF(AND(ISNUMBER(C4),ISNUMBER(G4)), C4-G4, "")</f>
        <v>190407</v>
      </c>
      <c r="I4" s="17">
        <f>IFERROR(H4/G4, "")</f>
        <v>1.0508286561035778</v>
      </c>
      <c r="J4" s="18" t="s">
        <v>38</v>
      </c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C3" activePane="bottomLeft" state="frozen"/>
      <selection pane="bottomLeft" activeCell="J4" sqref="J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</v>
      </c>
      <c r="B1" s="45"/>
      <c r="C1" s="45"/>
      <c r="D1" s="46" t="s">
        <v>39</v>
      </c>
      <c r="E1" s="46"/>
      <c r="F1" s="46"/>
      <c r="G1" s="44" t="s">
        <v>40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336558</v>
      </c>
      <c r="D2" s="6">
        <f>SUM(D4:D90)</f>
        <v>133369</v>
      </c>
      <c r="E2" s="6">
        <f>C2-D2</f>
        <v>203189</v>
      </c>
      <c r="F2" s="7">
        <f>IFERROR(E2/D2, 0)</f>
        <v>1.5235099610854097</v>
      </c>
      <c r="G2" s="6">
        <f>SUM(G4:G90)</f>
        <v>187470</v>
      </c>
      <c r="H2" s="8">
        <f>C2-G2</f>
        <v>149088</v>
      </c>
      <c r="I2" s="7">
        <f>IFERROR(H2/G2, 0)</f>
        <v>0.795263242118739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63" customHeight="1">
      <c r="A4" s="33" t="str" cm="1">
        <f t="array" ref="A4">Sites[Site]</f>
        <v>MAC - Phase 1</v>
      </c>
      <c r="B4" s="30" t="str" cm="1">
        <f t="array" ref="B4">Sites[State]</f>
        <v>MN</v>
      </c>
      <c r="C4" s="26">
        <v>336558</v>
      </c>
      <c r="D4" s="14">
        <v>133369</v>
      </c>
      <c r="E4" s="14">
        <f>IF(AND(ISNUMBER(C4),ISNUMBER(D4)), C4-D4, "")</f>
        <v>203189</v>
      </c>
      <c r="F4" s="15">
        <f>IFERROR(E4/D4, "")</f>
        <v>1.5235099610854097</v>
      </c>
      <c r="G4" s="16">
        <v>187470</v>
      </c>
      <c r="H4" s="16">
        <f>IF(AND(ISNUMBER(C4),ISNUMBER(G4)), C4-G4, "")</f>
        <v>149088</v>
      </c>
      <c r="I4" s="17">
        <f>IFERROR(H4/G4, "")</f>
        <v>0.795263242118739</v>
      </c>
      <c r="J4" s="18" t="s">
        <v>41</v>
      </c>
      <c r="K4" s="18" t="s">
        <v>42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4" sqref="J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</v>
      </c>
      <c r="B1" s="45"/>
      <c r="C1" s="45"/>
      <c r="D1" s="46" t="s">
        <v>43</v>
      </c>
      <c r="E1" s="46"/>
      <c r="F1" s="46"/>
      <c r="G1" s="44" t="s">
        <v>44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370540</v>
      </c>
      <c r="D2" s="6">
        <f>SUM(D4:D90)</f>
        <v>141065.353</v>
      </c>
      <c r="E2" s="6">
        <f>C2-D2</f>
        <v>229474.647</v>
      </c>
      <c r="F2" s="7">
        <f>IFERROR(E2/D2, 0)</f>
        <v>1.6267257843249432</v>
      </c>
      <c r="G2" s="6">
        <f>SUM(G4:G90)</f>
        <v>188759.5</v>
      </c>
      <c r="H2" s="8">
        <f>C2-G2</f>
        <v>181780.5</v>
      </c>
      <c r="I2" s="7">
        <f>IFERROR(H2/G2, 0)</f>
        <v>0.96302702645429772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1</v>
      </c>
      <c r="B4" s="30" t="str" cm="1">
        <f t="array" ref="B4">Sites[State]</f>
        <v>MN</v>
      </c>
      <c r="C4" s="26">
        <v>370540</v>
      </c>
      <c r="D4" s="14">
        <v>141065.353</v>
      </c>
      <c r="E4" s="14">
        <f>IF(AND(ISNUMBER(C4),ISNUMBER(D4)), C4-D4, "")</f>
        <v>229474.647</v>
      </c>
      <c r="F4" s="15">
        <f>IFERROR(E4/D4, "")</f>
        <v>1.6267257843249432</v>
      </c>
      <c r="G4" s="16">
        <v>188759.5</v>
      </c>
      <c r="H4" s="16">
        <f>IF(AND(ISNUMBER(C4),ISNUMBER(G4)), C4-G4, "")</f>
        <v>181780.5</v>
      </c>
      <c r="I4" s="17">
        <f>IFERROR(H4/G4, "")</f>
        <v>0.96302702645429772</v>
      </c>
      <c r="J4" s="18" t="s">
        <v>38</v>
      </c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workbookViewId="0">
      <pane ySplit="2" topLeftCell="A3" activePane="bottomLeft" state="frozen"/>
      <selection pane="bottomLeft" activeCell="J4" sqref="J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</v>
      </c>
      <c r="B1" s="45"/>
      <c r="C1" s="45"/>
      <c r="D1" s="46" t="s">
        <v>45</v>
      </c>
      <c r="E1" s="46"/>
      <c r="F1" s="46"/>
      <c r="G1" s="44" t="s">
        <v>46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337530</v>
      </c>
      <c r="D2" s="6">
        <f>SUM(D4:D90)</f>
        <v>121714.1</v>
      </c>
      <c r="E2" s="6">
        <f>C2-D2</f>
        <v>215815.9</v>
      </c>
      <c r="F2" s="7">
        <f>IFERROR(E2/D2, 0)</f>
        <v>1.7731380341308032</v>
      </c>
      <c r="G2" s="6">
        <f>SUM(G4:G90)</f>
        <v>160958.1</v>
      </c>
      <c r="H2" s="8">
        <f>C2-G2</f>
        <v>176571.9</v>
      </c>
      <c r="I2" s="7">
        <f>IFERROR(H2/G2, 0)</f>
        <v>1.0970053697204427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MAC - Phase 1</v>
      </c>
      <c r="B4" s="30" t="str" cm="1">
        <f t="array" ref="B4">Sites[State]</f>
        <v>MN</v>
      </c>
      <c r="C4" s="26">
        <v>337530</v>
      </c>
      <c r="D4" s="14">
        <v>121714.1</v>
      </c>
      <c r="E4" s="14">
        <f>IF(AND(ISNUMBER(C4),ISNUMBER(D4)), C4-D4, "")</f>
        <v>215815.9</v>
      </c>
      <c r="F4" s="15">
        <f>IFERROR(E4/D4, "")</f>
        <v>1.7731380341308032</v>
      </c>
      <c r="G4" s="16">
        <v>160958.1</v>
      </c>
      <c r="H4" s="16">
        <f>IF(AND(ISNUMBER(C4),ISNUMBER(G4)), C4-G4, "")</f>
        <v>176571.9</v>
      </c>
      <c r="I4" s="17">
        <f>IFERROR(H4/G4, "")</f>
        <v>1.0970053697204427</v>
      </c>
      <c r="J4" s="18" t="s">
        <v>38</v>
      </c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topLeftCell="B1" zoomScale="90" zoomScaleNormal="90" workbookViewId="0">
      <pane ySplit="2" topLeftCell="A3" activePane="bottomLeft" state="frozen"/>
      <selection pane="bottomLeft" activeCell="J4" sqref="J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</v>
      </c>
      <c r="B1" s="45"/>
      <c r="C1" s="45"/>
      <c r="D1" s="46" t="s">
        <v>47</v>
      </c>
      <c r="E1" s="46"/>
      <c r="F1" s="46"/>
      <c r="G1" s="44" t="s">
        <v>48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321730</v>
      </c>
      <c r="D2" s="6">
        <f>SUM(D4:D90)</f>
        <v>111177.3</v>
      </c>
      <c r="E2" s="6">
        <f>C2-D2</f>
        <v>210552.7</v>
      </c>
      <c r="F2" s="7">
        <f>IFERROR(E2/D2, 0)</f>
        <v>1.8938461358568701</v>
      </c>
      <c r="G2" s="6">
        <f>SUM(G4:G90)</f>
        <v>122838.1</v>
      </c>
      <c r="H2" s="8">
        <f>C2-G2</f>
        <v>198891.9</v>
      </c>
      <c r="I2" s="7">
        <f>IFERROR(H2/G2, 0)</f>
        <v>1.6191385246108494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64.5" customHeight="1">
      <c r="A4" s="33" t="str" cm="1">
        <f t="array" ref="A4">Sites[Site]</f>
        <v>MAC - Phase 1</v>
      </c>
      <c r="B4" s="30" t="str" cm="1">
        <f t="array" ref="B4">Sites[State]</f>
        <v>MN</v>
      </c>
      <c r="C4" s="26">
        <v>321730</v>
      </c>
      <c r="D4" s="14">
        <v>111177.3</v>
      </c>
      <c r="E4" s="14">
        <f>IF(AND(ISNUMBER(C4),ISNUMBER(D4)), C4-D4, "")</f>
        <v>210552.7</v>
      </c>
      <c r="F4" s="15">
        <f>IFERROR(E4/D4, "")</f>
        <v>1.8938461358568701</v>
      </c>
      <c r="G4" s="16">
        <v>122838.1</v>
      </c>
      <c r="H4" s="16">
        <f>IF(AND(ISNUMBER(C4),ISNUMBER(G4)), C4-G4, "")</f>
        <v>198891.9</v>
      </c>
      <c r="I4" s="17">
        <f>IFERROR(H4/G4, "")</f>
        <v>1.6191385246108494</v>
      </c>
      <c r="J4" s="18" t="s">
        <v>49</v>
      </c>
      <c r="K4" s="18" t="s">
        <v>50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70" zoomScaleNormal="70" workbookViewId="0">
      <pane ySplit="2" topLeftCell="A3" activePane="bottomLeft" state="frozen"/>
      <selection pane="bottomLeft" activeCell="J6" sqref="J6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</v>
      </c>
      <c r="B1" s="45"/>
      <c r="C1" s="45"/>
      <c r="D1" s="46" t="s">
        <v>51</v>
      </c>
      <c r="E1" s="46"/>
      <c r="F1" s="46"/>
      <c r="G1" s="44" t="s">
        <v>52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227790</v>
      </c>
      <c r="D2" s="6">
        <f>SUM(D4:D90)</f>
        <v>75346</v>
      </c>
      <c r="E2" s="6">
        <f>C2-D2</f>
        <v>152444</v>
      </c>
      <c r="F2" s="7">
        <f>IFERROR(E2/D2, 0)</f>
        <v>2.0232527274175141</v>
      </c>
      <c r="G2" s="6">
        <f>SUM(G4:G90)</f>
        <v>87092</v>
      </c>
      <c r="H2" s="8">
        <f>C2-G2</f>
        <v>140698</v>
      </c>
      <c r="I2" s="7">
        <f>IFERROR(H2/G2, 0)</f>
        <v>1.6155100353649015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08" customHeight="1">
      <c r="A4" s="43" t="str" cm="1">
        <f t="array" ref="A4">Sites[Site]</f>
        <v>MAC - Phase 1</v>
      </c>
      <c r="B4" s="30" t="str" cm="1">
        <f t="array" ref="B4">Sites[State]</f>
        <v>MN</v>
      </c>
      <c r="C4" s="26">
        <v>227790</v>
      </c>
      <c r="D4" s="14">
        <v>75346</v>
      </c>
      <c r="E4" s="14">
        <f>IF(AND(ISNUMBER(C4),ISNUMBER(D4)), C4-D4, "")</f>
        <v>152444</v>
      </c>
      <c r="F4" s="15">
        <f>IFERROR(E4/D4, "")</f>
        <v>2.0232527274175141</v>
      </c>
      <c r="G4" s="16">
        <v>87092</v>
      </c>
      <c r="H4" s="16">
        <f>IF(AND(ISNUMBER(C4),ISNUMBER(G4)), C4-G4, "")</f>
        <v>140698</v>
      </c>
      <c r="I4" s="17">
        <f>IFERROR(H4/G4, "")</f>
        <v>1.6155100353649015</v>
      </c>
      <c r="J4" s="18" t="s">
        <v>53</v>
      </c>
      <c r="K4" s="18" t="s">
        <v>54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tabSelected="1" zoomScale="80" zoomScaleNormal="80" workbookViewId="0">
      <pane ySplit="2" topLeftCell="J3" activePane="bottomLeft" state="frozen"/>
      <selection pane="bottomLeft" activeCell="J4" sqref="J4"/>
      <selection activeCell="A6" sqref="A6:A15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</v>
      </c>
      <c r="B1" s="45"/>
      <c r="C1" s="45"/>
      <c r="D1" s="46" t="s">
        <v>55</v>
      </c>
      <c r="E1" s="46"/>
      <c r="F1" s="46"/>
      <c r="G1" s="44" t="s">
        <v>56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105910</v>
      </c>
      <c r="D2" s="6">
        <f>SUM(D4:D90)</f>
        <v>33357</v>
      </c>
      <c r="E2" s="6">
        <f>C2-D2</f>
        <v>72553</v>
      </c>
      <c r="F2" s="7">
        <f>IFERROR(E2/D2, 0)</f>
        <v>2.1750457175405464</v>
      </c>
      <c r="G2" s="6">
        <f>SUM(G4:G90)</f>
        <v>51862.7</v>
      </c>
      <c r="H2" s="8">
        <f>C2-G2</f>
        <v>54047.3</v>
      </c>
      <c r="I2" s="7">
        <f>IFERROR(H2/G2, 0)</f>
        <v>1.0421227587456883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60.75">
      <c r="A4" s="33" t="str" cm="1">
        <f t="array" ref="A4">Sites[Site]</f>
        <v>MAC - Phase 1</v>
      </c>
      <c r="B4" s="30" t="str" cm="1">
        <f t="array" ref="B4">Sites[State]</f>
        <v>MN</v>
      </c>
      <c r="C4" s="26">
        <v>105910</v>
      </c>
      <c r="D4" s="14">
        <v>33357</v>
      </c>
      <c r="E4" s="14">
        <f>IF(AND(ISNUMBER(C4),ISNUMBER(D4)), C4-D4, "")</f>
        <v>72553</v>
      </c>
      <c r="F4" s="15">
        <f>IFERROR(E4/D4, "")</f>
        <v>2.1750457175405464</v>
      </c>
      <c r="G4" s="16">
        <v>51862.7</v>
      </c>
      <c r="H4" s="16">
        <f>IF(AND(ISNUMBER(C4),ISNUMBER(G4)), C4-G4, "")</f>
        <v>54047.3</v>
      </c>
      <c r="I4" s="17">
        <f>IFERROR(H4/G4, "")</f>
        <v>1.0421227587456883</v>
      </c>
      <c r="J4" s="18" t="s">
        <v>57</v>
      </c>
      <c r="K4" s="18" t="s">
        <v>58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J4" sqref="J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5" t="str" cm="1">
        <f t="array" ref="A1">portfolio</f>
        <v>MAC Phase I</v>
      </c>
      <c r="B1" s="45"/>
      <c r="C1" s="45"/>
      <c r="D1" s="46" t="s">
        <v>59</v>
      </c>
      <c r="E1" s="46"/>
      <c r="F1" s="46"/>
      <c r="G1" s="44" t="s">
        <v>60</v>
      </c>
      <c r="H1" s="44"/>
      <c r="I1" s="44"/>
      <c r="J1" s="5"/>
      <c r="K1" s="5"/>
    </row>
    <row r="2" spans="1:11" ht="19.5" customHeight="1">
      <c r="A2" s="47" t="s">
        <v>2</v>
      </c>
      <c r="B2" s="47"/>
      <c r="C2" s="6">
        <f>SUM(C4:C90)</f>
        <v>65650</v>
      </c>
      <c r="D2" s="6">
        <f>SUM(D4:D90)</f>
        <v>25028.9</v>
      </c>
      <c r="E2" s="6">
        <f>C2-D2</f>
        <v>40621.1</v>
      </c>
      <c r="F2" s="7">
        <f>IFERROR(E2/D2, 0)</f>
        <v>1.6229678491663635</v>
      </c>
      <c r="G2" s="6">
        <f>SUM(G4:G90)</f>
        <v>44947.83</v>
      </c>
      <c r="H2" s="8">
        <f>C2-G2</f>
        <v>20702.169999999998</v>
      </c>
      <c r="I2" s="7">
        <f>IFERROR(H2/G2, 0)</f>
        <v>0.46058219050841825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75" customHeight="1">
      <c r="A4" s="33" t="str" cm="1">
        <f t="array" ref="A4">Sites[Site]</f>
        <v>MAC - Phase 1</v>
      </c>
      <c r="B4" s="30" t="str" cm="1">
        <f t="array" ref="B4">Sites[State]</f>
        <v>MN</v>
      </c>
      <c r="C4" s="26">
        <v>65650</v>
      </c>
      <c r="D4" s="14">
        <v>25028.9</v>
      </c>
      <c r="E4" s="14">
        <f>IF(AND(ISNUMBER(C4),ISNUMBER(D4)), C4-D4, "")</f>
        <v>40621.1</v>
      </c>
      <c r="F4" s="15">
        <f>IFERROR(E4/D4, "")</f>
        <v>1.6229678491663635</v>
      </c>
      <c r="G4" s="16">
        <v>44947.83</v>
      </c>
      <c r="H4" s="16">
        <f>IF(AND(ISNUMBER(C4),ISNUMBER(G4)), C4-G4, "")</f>
        <v>20702.169999999998</v>
      </c>
      <c r="I4" s="17">
        <f>IFERROR(H4/G4, "")</f>
        <v>0.46058219050841825</v>
      </c>
      <c r="J4" s="18" t="s">
        <v>61</v>
      </c>
      <c r="K4" s="18" t="s">
        <v>62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16" sqref="B16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63</v>
      </c>
      <c r="B1" s="36" t="s">
        <v>64</v>
      </c>
    </row>
    <row r="3" spans="1:7">
      <c r="A3" t="s">
        <v>65</v>
      </c>
      <c r="B3" t="s">
        <v>3</v>
      </c>
      <c r="C3" t="s">
        <v>4</v>
      </c>
      <c r="D3" t="s">
        <v>66</v>
      </c>
      <c r="E3" s="2" t="s">
        <v>67</v>
      </c>
    </row>
    <row r="4" spans="1:7" ht="14.25">
      <c r="A4" t="s">
        <v>68</v>
      </c>
      <c r="B4" t="s">
        <v>69</v>
      </c>
      <c r="C4" s="4" t="s">
        <v>70</v>
      </c>
      <c r="E4" t="s">
        <v>71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C0BCDC1E-6052-4E48-9BAF-94A40814E7C2}"/>
</file>

<file path=customXml/itemProps15.xml><?xml version="1.0" encoding="utf-8"?>
<ds:datastoreItem xmlns:ds="http://schemas.openxmlformats.org/officeDocument/2006/customXml" ds:itemID="{F6B2B1A1-1C4B-4AC9-9A7D-7A102DD1C942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Mogilipalem[Libsys]</cp:lastModifiedBy>
  <cp:revision/>
  <dcterms:created xsi:type="dcterms:W3CDTF">2021-01-01T16:39:53Z</dcterms:created>
  <dcterms:modified xsi:type="dcterms:W3CDTF">2025-04-16T14:40:53Z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