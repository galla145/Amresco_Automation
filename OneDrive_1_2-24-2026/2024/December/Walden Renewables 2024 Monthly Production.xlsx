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44" documentId="13_ncr:1_{508DE3DF-33D3-4FFF-AF06-29E120ED1D3E}" xr6:coauthVersionLast="47" xr6:coauthVersionMax="47" xr10:uidLastSave="{302FC72C-EE10-4467-9F7D-2F488EECED9C}"/>
  <bookViews>
    <workbookView xWindow="-108" yWindow="-108" windowWidth="23256" windowHeight="12456" tabRatio="866" firstSheet="17" activeTab="1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heet1" sheetId="73" r:id="rId18"/>
    <sheet name="Sites" sheetId="68" r:id="rId19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4" l="1"/>
  <c r="C5" i="34"/>
  <c r="G5" i="30"/>
  <c r="G4" i="30"/>
  <c r="G4" i="29"/>
  <c r="G5" i="29"/>
  <c r="G5" i="18"/>
  <c r="G4" i="18"/>
  <c r="G4" i="1"/>
  <c r="E4" i="4"/>
  <c r="E4" i="72"/>
  <c r="F4" i="72" s="1"/>
  <c r="E5" i="72"/>
  <c r="F5" i="72" s="1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5" i="34" s="1"/>
  <c r="G4" i="34"/>
  <c r="D5" i="34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E5" i="18" l="1"/>
  <c r="F5" i="18" s="1"/>
  <c r="D2" i="18"/>
  <c r="E5" i="30"/>
  <c r="F5" i="30" s="1"/>
  <c r="E4" i="18"/>
  <c r="F4" i="18" s="1"/>
  <c r="D4" i="34"/>
  <c r="D2" i="34" s="1"/>
  <c r="D2" i="29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5" i="34"/>
  <c r="F5" i="34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I5" i="34"/>
  <c r="C2" i="29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E2" i="29"/>
  <c r="F2" i="29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<sst xmlns="http://schemas.openxmlformats.org/spreadsheetml/2006/main" count="261" uniqueCount="67">
  <si>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</si>
  <si>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</si>
  <si>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</si>
  <si>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</si>
  <si>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</si>
  <si>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</si>
  <si>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</si>
  <si>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</si>
  <si>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</si>
  <si>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</si>
  <si>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</si>
  <si>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</si>
  <si>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</si>
  <si>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</si>
  <si>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</si>
  <si>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</si>
  <si>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</si>
  <si>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</si>
  <si>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</si>
  <si>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</si>
  <si>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</si>
  <si>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</si>
  <si>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</si>
  <si>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</si>
  <si>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</si>
  <si>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</si>
  <si>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</si>
  <si>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</si>
  <si>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</si>
  <si>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</si>
  <si>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</si>
  <si>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</si>
  <si>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</si>
  <si>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</si>
  <si>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</si>
  <si>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1. Inverter 1 derating approximately 225kW from 07/17</t>
  </si>
  <si>
    <t>1. SR087933</t>
  </si>
  <si>
    <t>August Actual v. Expected</t>
  </si>
  <si>
    <t>August Actual v. Forecasted</t>
  </si>
  <si>
    <t>1. Inverter 1 derating approximately 225kW from 07/17.
2. Inverter tripped offline at 12PM on 08/24 and back online on 08/25.</t>
  </si>
  <si>
    <t>1. SR087933
2. 	SR089494</t>
  </si>
  <si>
    <t>September Actual v. Expected</t>
  </si>
  <si>
    <t>September Actual v. Forecasted</t>
  </si>
  <si>
    <t>1. Inverter 1 derating approximately 225kW from 07/17.
2. Site tripped offline at 06:00PM on 09/15 and back online at 12PM on 09/16</t>
  </si>
  <si>
    <t>1. SR087933
2. SR090605</t>
  </si>
  <si>
    <t>October Actual v. Expected</t>
  </si>
  <si>
    <t>October Actual v. Forecasted</t>
  </si>
  <si>
    <t>1. Inverter is derating at 50KW approximetly 175KW down due to an fan issue</t>
  </si>
  <si>
    <t>November Actual v. Expected</t>
  </si>
  <si>
    <t>November Actual v. Forecasted</t>
  </si>
  <si>
    <t>December Actual v. Expected</t>
  </si>
  <si>
    <t>December Actual v. Forecasted</t>
  </si>
  <si>
    <t>1. Inverter 2 tripped offline at 10:20AM on 12/10/2024 and back online at 11:05AM on 12/11</t>
  </si>
  <si>
    <t xml:space="preserve">1.SR094315
</t>
  </si>
  <si>
    <t>1. Inverter 1 is derating at 50KW approximetly 175KW down due to an fan issue.
2. Inverter 1 tripped offline at 12:00PM on 12/20/2024 and back online at 11:20AM on 12/26.</t>
  </si>
  <si>
    <t>1. SR087933
2. SR095038</t>
  </si>
  <si>
    <t>Portfolio:</t>
  </si>
  <si>
    <t>Walden Liberty</t>
  </si>
  <si>
    <t>Site DAS Name</t>
  </si>
  <si>
    <t>Update</t>
  </si>
  <si>
    <t>DAS</t>
  </si>
  <si>
    <t>Cape Cod Community College</t>
  </si>
  <si>
    <t>CCC College</t>
  </si>
  <si>
    <t>MA</t>
  </si>
  <si>
    <t>A</t>
  </si>
  <si>
    <t>SolrenView</t>
  </si>
  <si>
    <t>Walden Liberty Solar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</si>
</sst>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7" fillId="0" borderId="0" xfId="1" applyNumberFormat="1" applyFont="1" applyFill="1" applyBorder="1" applyAlignment="1">
      <alignment horizontal="center" vertical="center"/>
    </xf>
    <xf numFmtId="49" fontId="26" fillId="40" borderId="0" xfId="0" applyNumberFormat="1" applyFont="1" applyFill="1" applyAlignment="1">
      <alignment horizontal="left" vertical="center"/>
    </xf>
    <xf numFmtId="49" fontId="26" fillId="0" borderId="0" xfId="0" applyNumberFormat="1" applyFont="1" applyAlignment="1">
      <alignment horizontal="left" vertical="center"/>
    </xf>
    <xf numFmtId="0" fontId="33" fillId="40" borderId="0" xfId="0" applyFont="1" applyFill="1" applyAlignment="1">
      <alignment horizontal="left"/>
    </xf>
    <xf numFmtId="0" fontId="26" fillId="0" borderId="0" xfId="0" applyFont="1" applyAlignment="1">
      <alignment horizontal="left" vertical="center"/>
    </xf>
    <xf numFmtId="0" fontId="34" fillId="46" borderId="0" xfId="0" applyFont="1" applyFill="1"/>
    <xf numFmtId="0" fontId="34" fillId="0" borderId="0" xfId="0" applyFont="1"/>
    <xf numFmtId="0" fontId="34" fillId="46" borderId="0" xfId="0" applyFont="1" applyFill="1" applyAlignment="1">
      <alignment horizontal="center"/>
    </xf>
    <xf numFmtId="0" fontId="34" fillId="0" borderId="0" xfId="0" applyFont="1" applyAlignment="1">
      <alignment horizontal="center"/>
    </xf>
    <xf numFmtId="49" fontId="27" fillId="0" borderId="0" xfId="0" applyNumberFormat="1" applyFont="1" applyAlignment="1">
      <alignment vertical="top" wrapText="1"/>
    </xf>
    <xf numFmtId="49" fontId="29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0"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connections" Target="connection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openxmlformats.org/officeDocument/2006/relationships/theme" Target="theme/theme1.xml"/><Relationship Id="rId41" Type="http://schemas.openxmlformats.org/officeDocument/2006/relationships/customXml" Target="../customXml/item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 dataDxfId="0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H5" sqref="H5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Walden Liberty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>
      <c r="A2" s="57" t="s">
        <v>2</v>
      </c>
      <c r="B2" s="57"/>
      <c r="C2" s="5">
        <f>SUM(C4:C77)</f>
        <v>1013297</v>
      </c>
      <c r="D2" s="5">
        <f>SUM(D4:D77)</f>
        <v>0</v>
      </c>
      <c r="E2" s="5">
        <f>C2-D2</f>
        <v>1013297</v>
      </c>
      <c r="F2" s="6">
        <f>IFERROR(E2/D2, 0)</f>
        <v>0</v>
      </c>
      <c r="G2" s="5">
        <f>SUM(G4:G77)</f>
        <v>0</v>
      </c>
      <c r="H2" s="7">
        <f>C2-G2</f>
        <v>1013297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5" t="str" cm="1">
        <f t="array" ref="A4:A5">Sites[Site]</f>
        <v>CCC College</v>
      </c>
      <c r="B4" s="30" t="str" cm="1">
        <f t="array" ref="B4:B5">Sites[State]</f>
        <v>MA</v>
      </c>
      <c r="C4" s="23">
        <f>SUM('1st Qtr'!C4, '2nd Qtr'!C4, '3rd Qtr'!C4, '4th Qtr'!C4)</f>
        <v>809556</v>
      </c>
      <c r="D4" s="12">
        <f>SUM('1st Qtr'!D4, '2nd Qtr'!D4, '3rd Qtr'!D4, '4th Qtr'!D4)</f>
        <v>0</v>
      </c>
      <c r="E4" s="12">
        <f>IF(AND(ISNUMBER(C4),ISNUMBER(D4)), C4-D4, "")</f>
        <v>809556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809556</v>
      </c>
      <c r="I4" s="15" t="str">
        <f>IFERROR(H4/G4, "")</f>
        <v/>
      </c>
    </row>
    <row r="5" spans="1:9" ht="15.75">
      <c r="A5" s="46" t="str">
        <v>Walden Liberty</v>
      </c>
      <c r="B5" s="28" t="str">
        <v>MA</v>
      </c>
      <c r="C5" s="19">
        <f>SUM('1st Qtr'!C5, '2nd Qtr'!C5, '3rd Qtr'!C5, '4th Qtr'!C5)</f>
        <v>203741</v>
      </c>
      <c r="D5" s="17">
        <f>SUM(Jan!D5, Feb!D5, Mar!D5)</f>
        <v>0</v>
      </c>
      <c r="E5" s="17">
        <f t="shared" ref="E5" si="0">IF(AND(ISNUMBER(C5),ISNUMBER(D5)), C5-D5, "")</f>
        <v>203741</v>
      </c>
      <c r="F5" s="18" t="str">
        <f>IFERROR(E5/D5, "")</f>
        <v/>
      </c>
      <c r="G5" s="19">
        <f>SUM('1st Qtr'!G5, '2nd Qtr'!G5, '3rd Qtr'!G5, '4th Qtr'!G5)</f>
        <v>0</v>
      </c>
      <c r="H5" s="19">
        <f>SUM('1st Qtr'!H5, '2nd Qtr'!H5, '3rd Qtr'!H5, '4th Qtr'!H5)</f>
        <v>203741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39" priority="1" stopIfTrue="1" operator="lessThanOrEqual">
      <formula>-0.1</formula>
    </cfRule>
    <cfRule type="expression" dxfId="38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bottomRight" activeCell="G5" sqref="G5"/>
      <selection pane="bottomLeft" activeCell="B17" sqref="B17"/>
      <selection pane="topRight" activeCell="B17" sqref="B1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Walden Liberty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>
      <c r="A2" s="57" t="s">
        <v>2</v>
      </c>
      <c r="B2" s="57"/>
      <c r="C2" s="5">
        <f>SUM(C4:C77)</f>
        <v>194142</v>
      </c>
      <c r="D2" s="5">
        <f>SUM(D4:D77)</f>
        <v>0</v>
      </c>
      <c r="E2" s="5">
        <f>C2-D2</f>
        <v>194142</v>
      </c>
      <c r="F2" s="6">
        <f>IFERROR(E2/D2, 0)</f>
        <v>0</v>
      </c>
      <c r="G2" s="5">
        <f>SUM(G4:G77)</f>
        <v>0</v>
      </c>
      <c r="H2" s="7">
        <f>C2-G2</f>
        <v>194142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SUM(Jan!C4, Feb!C4, Mar!C4)</f>
        <v>152797</v>
      </c>
      <c r="D4" s="12">
        <f>SUM(Jan!D4, Feb!D4, Mar!D4)</f>
        <v>0</v>
      </c>
      <c r="E4" s="12">
        <f>IF(AND(ISNUMBER(C4),ISNUMBER(D4)), C4-D4, "")</f>
        <v>152797</v>
      </c>
      <c r="F4" s="13" t="str">
        <f>IFERROR(E4/D4, "")</f>
        <v/>
      </c>
      <c r="G4" s="14">
        <f>SUM(Jan!G4, Feb!G4, Mar!G4)</f>
        <v>0</v>
      </c>
      <c r="H4" s="14">
        <f>SUM(Jan!H4, Feb!H4, Mar!H4)</f>
        <v>152797</v>
      </c>
      <c r="I4" s="15" t="str">
        <f>IFERROR(H4/G4, "")</f>
        <v/>
      </c>
    </row>
    <row r="5" spans="1:9" ht="15.6">
      <c r="A5" s="44" t="str">
        <v>Walden Liberty</v>
      </c>
      <c r="B5" s="10" t="str">
        <v>MA</v>
      </c>
      <c r="C5" s="11">
        <f>SUM(Jan!C5, Feb!C5, Mar!C5)</f>
        <v>41345</v>
      </c>
      <c r="D5" s="17">
        <f>SUM(Jan!D5, Feb!D5, Mar!D5)</f>
        <v>0</v>
      </c>
      <c r="E5" s="17">
        <f t="shared" ref="E5" si="0">IF(AND(ISNUMBER(C5),ISNUMBER(D5)), C5-D5, "")</f>
        <v>41345</v>
      </c>
      <c r="F5" s="18" t="str">
        <f>IFERROR(E5/D5, "")</f>
        <v/>
      </c>
      <c r="G5" s="19">
        <f>SUM(Jan!G5, Feb!G5, Mar!G5)</f>
        <v>0</v>
      </c>
      <c r="H5" s="19">
        <f>SUM(Jan!H5, Feb!H5, Mar!H5)</f>
        <v>41345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7" priority="1" stopIfTrue="1" operator="lessThanOrEqual">
      <formula>-0.1</formula>
    </cfRule>
    <cfRule type="expression" dxfId="36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C4" activePane="bottomRight" state="frozen"/>
      <selection pane="bottomRight" activeCell="G5" sqref="G5"/>
      <selection pane="bottomLeft" activeCell="B17" sqref="B17"/>
      <selection pane="topRight" activeCell="B17" sqref="B1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Walden Liberty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>
      <c r="A2" s="57" t="s">
        <v>2</v>
      </c>
      <c r="B2" s="57"/>
      <c r="C2" s="5">
        <f>SUM(C4:C77)</f>
        <v>334241</v>
      </c>
      <c r="D2" s="5">
        <f>SUM(D4:D77)</f>
        <v>0</v>
      </c>
      <c r="E2" s="5">
        <f>C2-D2</f>
        <v>334241</v>
      </c>
      <c r="F2" s="6">
        <f>IFERROR(E2/D2, 0)</f>
        <v>0</v>
      </c>
      <c r="G2" s="5">
        <f>SUM(G4:G77)</f>
        <v>0</v>
      </c>
      <c r="H2" s="7">
        <f>C2-G2</f>
        <v>334241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SUM(Apr!C4, May!C4, Jun!C4)</f>
        <v>248784</v>
      </c>
      <c r="D4" s="12">
        <f>SUM(Apr!D4, May!D4, Jun!D4)</f>
        <v>0</v>
      </c>
      <c r="E4" s="12">
        <f>IF(AND(ISNUMBER(C4),ISNUMBER(D4)), C4-D4, "")</f>
        <v>248784</v>
      </c>
      <c r="F4" s="13" t="str">
        <f>IFERROR(E4/D4, "")</f>
        <v/>
      </c>
      <c r="G4" s="14">
        <f>SUM(Apr!G4, May!G4, Jun!G4)</f>
        <v>0</v>
      </c>
      <c r="H4" s="14">
        <f>SUM(Apr!H4, May!H4, Jun!H4)</f>
        <v>248784</v>
      </c>
      <c r="I4" s="15" t="str">
        <f>IFERROR(H4/G4, "")</f>
        <v/>
      </c>
    </row>
    <row r="5" spans="1:9" ht="15.6">
      <c r="A5" s="44" t="str">
        <v>Walden Liberty</v>
      </c>
      <c r="B5" s="10" t="str">
        <v>MA</v>
      </c>
      <c r="C5" s="11">
        <f>SUM(Apr!C5, May!C5, Jun!C5)</f>
        <v>85457</v>
      </c>
      <c r="D5" s="17">
        <f>SUM(Apr!D5, May!D5, Jun!D5)</f>
        <v>0</v>
      </c>
      <c r="E5" s="17">
        <f t="shared" ref="E5" si="0">IF(AND(ISNUMBER(C5),ISNUMBER(D5)), C5-D5, "")</f>
        <v>85457</v>
      </c>
      <c r="F5" s="18" t="str">
        <f>IFERROR(E5/D5, "")</f>
        <v/>
      </c>
      <c r="G5" s="19">
        <f>SUM(Apr!G5, May!G5, Jun!G5)</f>
        <v>0</v>
      </c>
      <c r="H5" s="19">
        <f>SUM(Apr!H5, May!H5, Jun!H5)</f>
        <v>85457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G4" sqref="G4"/>
      <selection pane="bottomLeft" activeCell="B17" sqref="B17"/>
      <selection pane="topRight" activeCell="B17" sqref="B1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Walden Liberty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>
      <c r="A2" s="57" t="s">
        <v>2</v>
      </c>
      <c r="B2" s="57"/>
      <c r="C2" s="5">
        <f>SUM(C4:C77)</f>
        <v>290872</v>
      </c>
      <c r="D2" s="5">
        <f>SUM(D4:D77)</f>
        <v>0</v>
      </c>
      <c r="E2" s="5">
        <f>C2-D2</f>
        <v>290872</v>
      </c>
      <c r="F2" s="6">
        <f>IFERROR(E2/D2, 0)</f>
        <v>0</v>
      </c>
      <c r="G2" s="5">
        <f>SUM(G4:G77)</f>
        <v>0</v>
      </c>
      <c r="H2" s="7">
        <f>C2-G2</f>
        <v>290872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SUM(Jul!C4, Aug!C4, Sep!C4)</f>
        <v>242112</v>
      </c>
      <c r="D4" s="12">
        <f>SUM(Jul!D4, Aug!D4, Sep!D4)</f>
        <v>0</v>
      </c>
      <c r="E4" s="12">
        <f>IF(AND(ISNUMBER(C4),ISNUMBER(D4)), C4-D4, "")</f>
        <v>242112</v>
      </c>
      <c r="F4" s="13" t="str">
        <f>IFERROR(E4/D4, "")</f>
        <v/>
      </c>
      <c r="G4" s="14">
        <f>SUM(Jul!G4,Aug!G4,Sep!G4)</f>
        <v>0</v>
      </c>
      <c r="H4" s="14">
        <f>SUM(Jul!H4, Aug!H4, Sep!H4)</f>
        <v>242112</v>
      </c>
      <c r="I4" s="15" t="str">
        <f>IFERROR(H4/G4, "")</f>
        <v/>
      </c>
    </row>
    <row r="5" spans="1:9" ht="15.6">
      <c r="A5" s="44" t="str">
        <v>Walden Liberty</v>
      </c>
      <c r="B5" s="10" t="str">
        <v>MA</v>
      </c>
      <c r="C5" s="11">
        <f>SUM(Jul!C5, Aug!C5, Sep!C5)</f>
        <v>48760</v>
      </c>
      <c r="D5" s="17">
        <f>SUM(Jul!D5, Aug!D5, Sep!D5)</f>
        <v>0</v>
      </c>
      <c r="E5" s="17">
        <f t="shared" ref="E5" si="0">IF(AND(ISNUMBER(C5),ISNUMBER(D5)), C5-D5, "")</f>
        <v>48760</v>
      </c>
      <c r="F5" s="18" t="str">
        <f>IFERROR(E5/D5, "")</f>
        <v/>
      </c>
      <c r="G5" s="17">
        <f>SUM(Jul!G5,Aug!G5,Sep!G5)</f>
        <v>0</v>
      </c>
      <c r="H5" s="19">
        <f>SUM(Jul!H5, Aug!H5, Sep!H5)</f>
        <v>48760</v>
      </c>
      <c r="I5" s="18" t="str">
        <f>IFERROR(H5/G5, "")</f>
        <v/>
      </c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G10" sqref="G10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Walden Liberty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>
      <c r="A2" s="57" t="s">
        <v>2</v>
      </c>
      <c r="B2" s="57"/>
      <c r="C2" s="5">
        <f>SUM(C4:C77)</f>
        <v>194042</v>
      </c>
      <c r="D2" s="5">
        <f>SUM(D4:D77)</f>
        <v>0</v>
      </c>
      <c r="E2" s="5">
        <f>C2-D2</f>
        <v>194042</v>
      </c>
      <c r="F2" s="6">
        <f>IFERROR(E2/D2, 0)</f>
        <v>0</v>
      </c>
      <c r="G2" s="5">
        <f>SUM(G4:G77)</f>
        <v>0</v>
      </c>
      <c r="H2" s="7">
        <f>C2-G2</f>
        <v>194042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CCC College</v>
      </c>
      <c r="B4" s="9" t="str" cm="1">
        <f t="array" ref="B4:B5">Sites[State]</f>
        <v>MA</v>
      </c>
      <c r="C4" s="23">
        <f>SUM(Oct!C4, Nov!C4, Dec!C4)</f>
        <v>165863</v>
      </c>
      <c r="D4" s="12">
        <f>SUM(Oct!D4, Nov!D4, Dec!D4)</f>
        <v>0</v>
      </c>
      <c r="E4" s="12">
        <f>IF(AND(ISNUMBER(C4),ISNUMBER(D4)), C4-D4, "")</f>
        <v>165863</v>
      </c>
      <c r="F4" s="13" t="str">
        <f>IFERROR(E4/D4, "")</f>
        <v/>
      </c>
      <c r="G4" s="14">
        <f>SUM(Oct!G4,Nov!G4,Dec!G4)</f>
        <v>0</v>
      </c>
      <c r="H4" s="14">
        <f>SUM(Oct!H4, Nov!H4, Dec!H4)</f>
        <v>165863</v>
      </c>
      <c r="I4" s="15" t="str">
        <f>IFERROR(H4/G4, "")</f>
        <v/>
      </c>
    </row>
    <row r="5" spans="1:9" ht="15.6">
      <c r="A5" s="44" t="str">
        <v>Walden Liberty</v>
      </c>
      <c r="B5" s="10" t="str">
        <v>MA</v>
      </c>
      <c r="C5" s="11">
        <f>SUM(Oct!C5, Nov!C5, Dec!C5)</f>
        <v>28179</v>
      </c>
      <c r="D5" s="17">
        <f>SUM(Oct!D5, Nov!D5, Dec!D5)</f>
        <v>0</v>
      </c>
      <c r="E5" s="17">
        <f t="shared" ref="E5" si="0">IF(AND(ISNUMBER(C5),ISNUMBER(D5)), C5-D5, "")</f>
        <v>28179</v>
      </c>
      <c r="F5" s="18" t="str">
        <f>IFERROR(E5/D5, "")</f>
        <v/>
      </c>
      <c r="G5" s="19">
        <f>SUM(Oct!G5,Nov!G5,Dec!G5)</f>
        <v>0</v>
      </c>
      <c r="H5" s="19">
        <f>SUM(Oct!H5, Nov!H5, Dec!H5)</f>
        <v>28179</v>
      </c>
      <c r="I5" s="18" t="str">
        <f>IFERROR(H5/G5, "")</f>
        <v/>
      </c>
    </row>
    <row r="6" spans="1:9" ht="14.45">
      <c r="A6" s="20"/>
      <c r="B6" s="10"/>
      <c r="C6" s="42"/>
      <c r="D6" s="17"/>
      <c r="E6" s="17"/>
      <c r="F6" s="18"/>
      <c r="G6" s="19"/>
      <c r="H6" s="19"/>
      <c r="I6" s="18"/>
    </row>
    <row r="7" spans="1:9" ht="14.45">
      <c r="A7" s="20"/>
      <c r="B7" s="10"/>
      <c r="C7" s="42"/>
      <c r="D7" s="17"/>
      <c r="E7" s="17"/>
      <c r="F7" s="18"/>
      <c r="G7" s="19"/>
      <c r="H7" s="19"/>
      <c r="I7" s="18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workbookViewId="0">
      <pane xSplit="2" ySplit="3" topLeftCell="C4" activePane="bottomRight" state="frozen"/>
      <selection pane="bottomRight" activeCell="J41" sqref="J41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Walden Liberty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SUM(C4:C76)</f>
        <v>39051</v>
      </c>
      <c r="D2" s="5">
        <f>SUM(D4:D76)</f>
        <v>0</v>
      </c>
      <c r="E2" s="5">
        <f>C2-D2</f>
        <v>39051</v>
      </c>
      <c r="F2" s="6">
        <f>IFERROR(E2/D2, 0)</f>
        <v>0</v>
      </c>
      <c r="G2" s="5">
        <f>SUM(G4:G76)</f>
        <v>0</v>
      </c>
      <c r="H2" s="7">
        <f>C2-G2</f>
        <v>39051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45" t="str" cm="1">
        <f t="array" ref="A4:A5">Sites[Site]</f>
        <v>CCC College</v>
      </c>
      <c r="B4" s="27" t="str" cm="1">
        <f t="array" ref="B4:B5">Sites[State]</f>
        <v>MA</v>
      </c>
      <c r="C4" s="23">
        <v>34113</v>
      </c>
      <c r="D4" s="12">
        <v>0</v>
      </c>
      <c r="E4" s="12">
        <f>IF(AND(ISNUMBER(C4),ISNUMBER(D4)), C4-D4, "")</f>
        <v>34113</v>
      </c>
      <c r="F4" s="12" t="str">
        <f>IFERROR(E4/D4, "")</f>
        <v/>
      </c>
      <c r="G4" s="14">
        <v>0</v>
      </c>
      <c r="H4" s="14">
        <f>IF(AND(ISNUMBER(C4),ISNUMBER(G4)), C4-G4, "")</f>
        <v>34113</v>
      </c>
      <c r="I4" s="15" t="str">
        <f>IFERROR(H4/G4, "")</f>
        <v/>
      </c>
      <c r="J4" s="39" t="s">
        <v>22</v>
      </c>
      <c r="K4" s="39" t="s">
        <v>22</v>
      </c>
    </row>
    <row r="5" spans="1:11" ht="15.6">
      <c r="A5" s="46" t="str">
        <v>Walden Liberty</v>
      </c>
      <c r="B5" s="29" t="str">
        <v>MA</v>
      </c>
      <c r="C5" s="11">
        <v>4938</v>
      </c>
      <c r="D5" s="17">
        <v>0</v>
      </c>
      <c r="E5" s="17">
        <f t="shared" ref="E5" si="0">IF(AND(ISNUMBER(C5),ISNUMBER(D5)), C5-D5, "")</f>
        <v>4938</v>
      </c>
      <c r="F5" s="17" t="str">
        <f t="shared" ref="F5" si="1">IFERROR(E5/D5, "")</f>
        <v/>
      </c>
      <c r="G5" s="19">
        <v>0</v>
      </c>
      <c r="H5" s="19">
        <f t="shared" ref="H5" si="2">IF(AND(ISNUMBER(C5),ISNUMBER(G5)), C5-G5, "")</f>
        <v>4938</v>
      </c>
      <c r="I5" s="18" t="str">
        <f t="shared" ref="I5" si="3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 I4:I76 F6:F76">
    <cfRule type="cellIs" dxfId="29" priority="6" stopIfTrue="1" operator="lessThanOrEqual">
      <formula>-0.1</formula>
    </cfRule>
    <cfRule type="expression" dxfId="28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C4" activePane="bottomRight" state="frozen"/>
      <selection pane="bottomRight" activeCell="H8" sqref="H8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Walden Liberty</v>
      </c>
      <c r="B1" s="55"/>
      <c r="C1" s="55"/>
      <c r="D1" s="56" t="s">
        <v>23</v>
      </c>
      <c r="E1" s="56"/>
      <c r="F1" s="56"/>
      <c r="G1" s="54" t="s">
        <v>24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SUM(C4:C77)</f>
        <v>68716</v>
      </c>
      <c r="D2" s="5">
        <f>SUM(D4:D77)</f>
        <v>0</v>
      </c>
      <c r="E2" s="5">
        <f>C2-D2</f>
        <v>68716</v>
      </c>
      <c r="F2" s="6">
        <f>IFERROR(E2/D2, 0)</f>
        <v>0</v>
      </c>
      <c r="G2" s="5">
        <f>SUM(G4:G77)</f>
        <v>0</v>
      </c>
      <c r="H2" s="7">
        <f>C2-G2</f>
        <v>68716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45" t="str" cm="1">
        <f t="array" ref="A4:A5">Sites[Site]</f>
        <v>CCC College</v>
      </c>
      <c r="B4" s="27" t="str" cm="1">
        <f t="array" ref="B4:B5">Sites[State]</f>
        <v>MA</v>
      </c>
      <c r="C4" s="23">
        <v>53834</v>
      </c>
      <c r="D4" s="12">
        <v>0</v>
      </c>
      <c r="E4" s="12">
        <f>IF(AND(ISNUMBER(C4),ISNUMBER(D4)), C4-D4, "")</f>
        <v>53834</v>
      </c>
      <c r="F4" s="12" t="str">
        <f>IFERROR(E4/D4, "")</f>
        <v/>
      </c>
      <c r="G4" s="14">
        <v>0</v>
      </c>
      <c r="H4" s="14">
        <f>IF(AND(ISNUMBER(C4),ISNUMBER(G4)), C4-G4, "")</f>
        <v>53834</v>
      </c>
      <c r="I4" s="15" t="str">
        <f>IFERROR(H4/G4, "")</f>
        <v/>
      </c>
      <c r="J4" s="39"/>
      <c r="K4" s="39"/>
    </row>
    <row r="5" spans="1:11" ht="15.6">
      <c r="A5" s="46" t="str">
        <v>Walden Liberty</v>
      </c>
      <c r="B5" s="29" t="str">
        <v>MA</v>
      </c>
      <c r="C5" s="11">
        <v>14882</v>
      </c>
      <c r="D5" s="17">
        <v>0</v>
      </c>
      <c r="E5" s="17">
        <f t="shared" ref="E5" si="0">IF(AND(ISNUMBER(C5),ISNUMBER(D5)), C5-D5, "")</f>
        <v>14882</v>
      </c>
      <c r="F5" s="17" t="str">
        <f t="shared" ref="F5" si="1">IFERROR(E5/D5, "")</f>
        <v/>
      </c>
      <c r="G5" s="19">
        <v>0</v>
      </c>
      <c r="H5" s="19">
        <f t="shared" ref="H5" si="2">IF(AND(ISNUMBER(C5),ISNUMBER(G5)), C5-G5, "")</f>
        <v>14882</v>
      </c>
      <c r="I5" s="18" t="str">
        <f t="shared" ref="I5" si="3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I4:I77 F6:F77">
    <cfRule type="cellIs" dxfId="27" priority="1" stopIfTrue="1" operator="lessThanOrEqual">
      <formula>-0.1</formula>
    </cfRule>
    <cfRule type="expression" dxfId="2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workbookViewId="0">
      <pane xSplit="2" ySplit="3" topLeftCell="C4" activePane="bottomRight" state="frozen"/>
      <selection pane="bottomRight" activeCell="H23" sqref="H23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Walden Liberty</v>
      </c>
      <c r="B1" s="55"/>
      <c r="C1" s="55"/>
      <c r="D1" s="56" t="s">
        <v>25</v>
      </c>
      <c r="E1" s="56"/>
      <c r="F1" s="56"/>
      <c r="G1" s="54" t="s">
        <v>26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SUM(C4:C77)</f>
        <v>86375</v>
      </c>
      <c r="D2" s="5">
        <f>SUM(D4:D77)</f>
        <v>0</v>
      </c>
      <c r="E2" s="5">
        <f>C2-D2</f>
        <v>86375</v>
      </c>
      <c r="F2" s="6">
        <f>IFERROR(E2/D2, 0)</f>
        <v>0</v>
      </c>
      <c r="G2" s="5">
        <f>SUM(G4:G77)</f>
        <v>0</v>
      </c>
      <c r="H2" s="7">
        <f>C2-G2</f>
        <v>86375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64850</v>
      </c>
      <c r="D4" s="12">
        <v>0</v>
      </c>
      <c r="E4" s="12">
        <f t="shared" ref="E4:E5" si="0">IF(AND(ISNUMBER(C4),ISNUMBER(D4)), C4-D4, "")</f>
        <v>64850</v>
      </c>
      <c r="F4" s="12" t="str">
        <f>IFERROR(E4/D4, "")</f>
        <v/>
      </c>
      <c r="G4" s="14">
        <v>0</v>
      </c>
      <c r="H4" s="14">
        <f>IF(AND(ISNUMBER(C4),ISNUMBER(G4)), C4-G4, "")</f>
        <v>64850</v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>
        <v>21525</v>
      </c>
      <c r="D5" s="17">
        <v>0</v>
      </c>
      <c r="E5" s="17">
        <f t="shared" si="0"/>
        <v>21525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21525</v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5:F77">
    <cfRule type="cellIs" dxfId="25" priority="5" stopIfTrue="1" operator="lessThanOrEqual">
      <formula>-0.1</formula>
    </cfRule>
    <cfRule type="expression" dxfId="24" priority="6">
      <formula>AND(ISNUMBER(F2), F2&gt;=0.1)</formula>
    </cfRule>
  </conditionalFormatting>
  <conditionalFormatting sqref="I4:I77">
    <cfRule type="cellIs" dxfId="23" priority="1" stopIfTrue="1" operator="lessThanOrEqual">
      <formula>-0.1</formula>
    </cfRule>
    <cfRule type="expression" dxfId="22" priority="2">
      <formula>AND(ISNUMBER(I4), I4&gt;=0.1)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G5" activePane="bottomRight" state="frozen"/>
      <selection pane="bottomRight" activeCell="G5" sqref="G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Walden Liberty</v>
      </c>
      <c r="B1" s="55"/>
      <c r="C1" s="55"/>
      <c r="D1" s="56" t="s">
        <v>27</v>
      </c>
      <c r="E1" s="56"/>
      <c r="F1" s="56"/>
      <c r="G1" s="54" t="s">
        <v>28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SUM(C4:C77)</f>
        <v>91941</v>
      </c>
      <c r="D2" s="5">
        <f>SUM(D4:D77)</f>
        <v>0</v>
      </c>
      <c r="E2" s="5">
        <f>C2-D2</f>
        <v>91941</v>
      </c>
      <c r="F2" s="6">
        <f>IFERROR(E2/D2, 0)</f>
        <v>0</v>
      </c>
      <c r="G2" s="5">
        <f>SUM(G4:G77)</f>
        <v>0</v>
      </c>
      <c r="H2" s="7">
        <f>C2-G2</f>
        <v>91941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67078</v>
      </c>
      <c r="D4" s="12">
        <v>0</v>
      </c>
      <c r="E4" s="12">
        <f>IF(AND(ISNUMBER(C4),ISNUMBER(D4)), C4-D4, "")</f>
        <v>67078</v>
      </c>
      <c r="F4" s="13" t="str">
        <f>IFERROR(E4/D4, "")</f>
        <v/>
      </c>
      <c r="G4" s="14">
        <v>0</v>
      </c>
      <c r="H4" s="14">
        <f>IF(AND(ISNUMBER(C4),ISNUMBER(G4)), C4-G4, "")</f>
        <v>67078</v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>
        <v>24863</v>
      </c>
      <c r="D5" s="17">
        <v>0</v>
      </c>
      <c r="E5" s="17">
        <f t="shared" ref="E5" si="0">IF(AND(ISNUMBER(C5),ISNUMBER(D5)), C5-D5, "")</f>
        <v>24863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24863</v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1" priority="3" stopIfTrue="1" operator="lessThanOrEqual">
      <formula>-0.1</formula>
    </cfRule>
    <cfRule type="expression" dxfId="2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C4" activePane="bottomRight" state="frozen"/>
      <selection pane="bottomRight" activeCell="F18" sqref="F18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Walden Liberty</v>
      </c>
      <c r="B1" s="55"/>
      <c r="C1" s="55"/>
      <c r="D1" s="56" t="s">
        <v>29</v>
      </c>
      <c r="E1" s="56"/>
      <c r="F1" s="56"/>
      <c r="G1" s="54" t="s">
        <v>30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SUM(C4:C77)</f>
        <v>114024</v>
      </c>
      <c r="D2" s="5">
        <f>SUM(D4:D77)</f>
        <v>0</v>
      </c>
      <c r="E2" s="5">
        <f>C2-D2</f>
        <v>114024</v>
      </c>
      <c r="F2" s="6">
        <f>IFERROR(E2/D2, 0)</f>
        <v>0</v>
      </c>
      <c r="G2" s="5">
        <f>SUM(G4:G77)</f>
        <v>0</v>
      </c>
      <c r="H2" s="7">
        <f>C2-G2</f>
        <v>114024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85060</v>
      </c>
      <c r="D4" s="12">
        <v>0</v>
      </c>
      <c r="E4" s="12">
        <f>IF(AND(ISNUMBER(C4),ISNUMBER(D4)), C4-D4, "")</f>
        <v>85060</v>
      </c>
      <c r="F4" s="13" t="str">
        <f>IFERROR(E4/D4, "")</f>
        <v/>
      </c>
      <c r="G4" s="14">
        <v>0</v>
      </c>
      <c r="H4" s="14">
        <f>IF(AND(ISNUMBER(C4),ISNUMBER(G4)), C4-G4, "")</f>
        <v>85060</v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>
        <v>28964</v>
      </c>
      <c r="D5" s="17">
        <v>0</v>
      </c>
      <c r="E5" s="17">
        <f t="shared" ref="E5" si="0">IF(AND(ISNUMBER(C5),ISNUMBER(D5)), C5-D5, "")</f>
        <v>28964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28964</v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workbookViewId="0">
      <pane xSplit="2" ySplit="3" topLeftCell="F13" activePane="bottomRight" state="frozen"/>
      <selection pane="bottomRight" activeCell="G14" sqref="G14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Walden Liberty</v>
      </c>
      <c r="B1" s="55"/>
      <c r="C1" s="55"/>
      <c r="D1" s="56" t="s">
        <v>31</v>
      </c>
      <c r="E1" s="56"/>
      <c r="F1" s="56"/>
      <c r="G1" s="54" t="s">
        <v>32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SUM(C4:C77)</f>
        <v>128276</v>
      </c>
      <c r="D2" s="5">
        <f>SUM(D4:D77)</f>
        <v>0</v>
      </c>
      <c r="E2" s="5">
        <f>C2-D2</f>
        <v>128276</v>
      </c>
      <c r="F2" s="6">
        <f>IFERROR(E2/D2, 0)</f>
        <v>0</v>
      </c>
      <c r="G2" s="5">
        <f>SUM(G4:G77)</f>
        <v>0</v>
      </c>
      <c r="H2" s="7">
        <f>C2-G2</f>
        <v>128276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96646</v>
      </c>
      <c r="D4" s="12">
        <v>0</v>
      </c>
      <c r="E4" s="12">
        <f>IF(AND(ISNUMBER(C4),ISNUMBER(D4)), C4-D4, "")</f>
        <v>96646</v>
      </c>
      <c r="F4" s="13" t="str">
        <f>IFERROR(E4/D4, "")</f>
        <v/>
      </c>
      <c r="G4" s="14">
        <v>0</v>
      </c>
      <c r="H4" s="14">
        <f>IF(AND(ISNUMBER(C4),ISNUMBER(G4)), C4-G4, "")</f>
        <v>96646</v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>
        <v>31630</v>
      </c>
      <c r="D5" s="17">
        <v>0</v>
      </c>
      <c r="E5" s="17">
        <f t="shared" ref="E5" si="0">IF(AND(ISNUMBER(C5),ISNUMBER(D5)), C5-D5, "")</f>
        <v>31630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31630</v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F4" activePane="bottomRight" state="frozen"/>
      <selection pane="bottomRight" activeCell="K5" sqref="K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Walden Liberty</v>
      </c>
      <c r="B1" s="55"/>
      <c r="C1" s="55"/>
      <c r="D1" s="56" t="s">
        <v>33</v>
      </c>
      <c r="E1" s="56"/>
      <c r="F1" s="56"/>
      <c r="G1" s="54" t="s">
        <v>34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SUM(C4:C77)</f>
        <v>107263</v>
      </c>
      <c r="D2" s="5">
        <f>SUM(D4:D77)</f>
        <v>0</v>
      </c>
      <c r="E2" s="5">
        <f>C2-D2</f>
        <v>107263</v>
      </c>
      <c r="F2" s="6">
        <f>IFERROR(E2/D2, 0)</f>
        <v>0</v>
      </c>
      <c r="G2" s="5">
        <f>SUM(G4:G77)</f>
        <v>0</v>
      </c>
      <c r="H2" s="7">
        <f>C2-G2</f>
        <v>107263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84955</v>
      </c>
      <c r="D4" s="12">
        <v>0</v>
      </c>
      <c r="E4" s="12">
        <f>IF(AND(ISNUMBER(C4),ISNUMBER(D4)), C4-D4, "")</f>
        <v>84955</v>
      </c>
      <c r="F4" s="13" t="str">
        <f>IFERROR(E4/D4, "")</f>
        <v/>
      </c>
      <c r="G4" s="14">
        <v>0</v>
      </c>
      <c r="H4" s="14">
        <f>IF(AND(ISNUMBER(C4),ISNUMBER(G4)), C4-G4, "")</f>
        <v>84955</v>
      </c>
      <c r="I4" s="15" t="str">
        <f>IFERROR(H4/G4, "")</f>
        <v/>
      </c>
      <c r="J4" s="39"/>
      <c r="K4" s="39"/>
    </row>
    <row r="5" spans="1:11" ht="15.6">
      <c r="A5" s="28" t="str">
        <v>Walden Liberty</v>
      </c>
      <c r="B5" s="29" t="str">
        <v>MA</v>
      </c>
      <c r="C5" s="11">
        <v>22308</v>
      </c>
      <c r="D5" s="17">
        <v>0</v>
      </c>
      <c r="E5" s="17">
        <f t="shared" ref="E5" si="0">IF(AND(ISNUMBER(C5),ISNUMBER(D5)), C5-D5, "")</f>
        <v>22308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22308</v>
      </c>
      <c r="I5" s="18" t="str">
        <f t="shared" ref="I5" si="2">IFERROR(H5/G5, "")</f>
        <v/>
      </c>
      <c r="J5" s="40" t="s">
        <v>35</v>
      </c>
      <c r="K5" s="40" t="s">
        <v>36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77 I4:I77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workbookViewId="0">
      <pane xSplit="2" ySplit="3" topLeftCell="G4" activePane="bottomRight" state="frozen"/>
      <selection pane="bottomRight" activeCell="K5" sqref="K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Walden Liberty</v>
      </c>
      <c r="B1" s="55"/>
      <c r="C1" s="55"/>
      <c r="D1" s="56" t="s">
        <v>37</v>
      </c>
      <c r="E1" s="56"/>
      <c r="F1" s="56"/>
      <c r="G1" s="54" t="s">
        <v>38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SUM(C4:C77)</f>
        <v>100113</v>
      </c>
      <c r="D2" s="5">
        <f>SUM(D4:D77)</f>
        <v>0</v>
      </c>
      <c r="E2" s="5">
        <f>C2-D2</f>
        <v>100113</v>
      </c>
      <c r="F2" s="6">
        <f>IFERROR(E2/D2, 0)</f>
        <v>0</v>
      </c>
      <c r="G2" s="5">
        <f>SUM(G4:G77)</f>
        <v>0</v>
      </c>
      <c r="H2" s="7">
        <f>C2-G2</f>
        <v>100113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85973</v>
      </c>
      <c r="D4" s="12">
        <v>0</v>
      </c>
      <c r="E4" s="12">
        <f>IF(AND(ISNUMBER(C4),ISNUMBER(D4)), C4-D4, "")</f>
        <v>85973</v>
      </c>
      <c r="F4" s="13" t="str">
        <f>IFERROR(E4/D4, "")</f>
        <v/>
      </c>
      <c r="G4" s="14">
        <v>0</v>
      </c>
      <c r="H4" s="14">
        <f>IF(AND(ISNUMBER(C4),ISNUMBER(G4)), C4-G4, "")</f>
        <v>85973</v>
      </c>
      <c r="I4" s="15" t="str">
        <f>IFERROR(H4/G4, "")</f>
        <v/>
      </c>
      <c r="J4" s="39"/>
      <c r="K4" s="39"/>
    </row>
    <row r="5" spans="1:11" ht="42.75" customHeight="1">
      <c r="A5" s="28" t="str">
        <v>Walden Liberty</v>
      </c>
      <c r="B5" s="29" t="str">
        <v>MA</v>
      </c>
      <c r="C5" s="11">
        <v>14140</v>
      </c>
      <c r="D5" s="17">
        <v>0</v>
      </c>
      <c r="E5" s="17">
        <f t="shared" ref="E5" si="0">IF(AND(ISNUMBER(C5),ISNUMBER(D5)), C5-D5, "")</f>
        <v>14140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14140</v>
      </c>
      <c r="I5" s="18" t="str">
        <f t="shared" ref="I5" si="2">IFERROR(H5/G5, "")</f>
        <v/>
      </c>
      <c r="J5" s="51" t="s">
        <v>39</v>
      </c>
      <c r="K5" s="51" t="s">
        <v>40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workbookViewId="0">
      <pane xSplit="2" ySplit="3" topLeftCell="C4" activePane="bottomRight" state="frozen"/>
      <selection pane="bottomRight" activeCell="G4" sqref="G4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Walden Liberty</v>
      </c>
      <c r="B1" s="55"/>
      <c r="C1" s="55"/>
      <c r="D1" s="56" t="s">
        <v>41</v>
      </c>
      <c r="E1" s="56"/>
      <c r="F1" s="56"/>
      <c r="G1" s="54" t="s">
        <v>42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SUM(C4:C77)</f>
        <v>83496</v>
      </c>
      <c r="D2" s="5">
        <f>SUM(D4:D77)</f>
        <v>0</v>
      </c>
      <c r="E2" s="5">
        <f>C2-D2</f>
        <v>83496</v>
      </c>
      <c r="F2" s="6">
        <f>IFERROR(E2/D2, 0)</f>
        <v>0</v>
      </c>
      <c r="G2" s="5">
        <f>SUM(G4:G77)</f>
        <v>0</v>
      </c>
      <c r="H2" s="7">
        <f>C2-G2</f>
        <v>83496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71184</v>
      </c>
      <c r="D4" s="12">
        <v>0</v>
      </c>
      <c r="E4" s="12">
        <f>IF(AND(ISNUMBER(C4),ISNUMBER(D4)), C4-D4, "")</f>
        <v>71184</v>
      </c>
      <c r="F4" s="13" t="str">
        <f>IFERROR(E4/D4, "")</f>
        <v/>
      </c>
      <c r="G4" s="14">
        <v>0</v>
      </c>
      <c r="H4" s="14">
        <f>IF(AND(ISNUMBER(C4),ISNUMBER(G4)), C4-G4, "")</f>
        <v>71184</v>
      </c>
      <c r="I4" s="15" t="str">
        <f>IFERROR(H4/G4, "")</f>
        <v/>
      </c>
      <c r="J4" s="39"/>
      <c r="K4" s="39"/>
    </row>
    <row r="5" spans="1:11" ht="37.5" customHeight="1">
      <c r="A5" s="28" t="str">
        <v>Walden Liberty</v>
      </c>
      <c r="B5" s="29" t="str">
        <v>MA</v>
      </c>
      <c r="C5" s="11">
        <v>12312</v>
      </c>
      <c r="D5" s="17">
        <v>0</v>
      </c>
      <c r="E5" s="17">
        <f t="shared" ref="E5" si="0">IF(AND(ISNUMBER(C5),ISNUMBER(D5)), C5-D5, "")</f>
        <v>12312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12312</v>
      </c>
      <c r="I5" s="18" t="str">
        <f t="shared" ref="I5" si="2">IFERROR(H5/G5, "")</f>
        <v/>
      </c>
      <c r="J5" s="51" t="s">
        <v>43</v>
      </c>
      <c r="K5" s="51" t="s">
        <v>44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G4" activePane="bottomRight" state="frozen"/>
      <selection pane="bottomRight" activeCell="K5" sqref="K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Walden Liberty</v>
      </c>
      <c r="B1" s="55"/>
      <c r="C1" s="55"/>
      <c r="D1" s="56" t="s">
        <v>45</v>
      </c>
      <c r="E1" s="56"/>
      <c r="F1" s="56"/>
      <c r="G1" s="54" t="s">
        <v>46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SUM(C4:C77)</f>
        <v>85937</v>
      </c>
      <c r="D2" s="5">
        <f>SUM(D4:D77)</f>
        <v>0</v>
      </c>
      <c r="E2" s="5">
        <f>C2-D2</f>
        <v>85937</v>
      </c>
      <c r="F2" s="6">
        <f>IFERROR(E2/D2, 0)</f>
        <v>0</v>
      </c>
      <c r="G2" s="5">
        <f>SUM(G4:G77)</f>
        <v>0</v>
      </c>
      <c r="H2" s="7">
        <f>C2-G2</f>
        <v>85937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72951</v>
      </c>
      <c r="D4" s="12">
        <v>0</v>
      </c>
      <c r="E4" s="12">
        <f>IF(AND(ISNUMBER(C4),ISNUMBER(D4)), C4-D4, "")</f>
        <v>72951</v>
      </c>
      <c r="F4" s="13" t="str">
        <f>IFERROR(E4/D4, "")</f>
        <v/>
      </c>
      <c r="G4" s="14">
        <v>0</v>
      </c>
      <c r="H4" s="14">
        <f>IF(AND(ISNUMBER(C4),ISNUMBER(G4)), C4-G4, "")</f>
        <v>72951</v>
      </c>
      <c r="I4" s="15" t="str">
        <f>IFERROR(H4/G4, "")</f>
        <v/>
      </c>
      <c r="J4" s="39"/>
      <c r="K4" s="39"/>
    </row>
    <row r="5" spans="1:11" ht="15.75">
      <c r="A5" s="28" t="str">
        <v>Walden Liberty</v>
      </c>
      <c r="B5" s="29" t="str">
        <v>MA</v>
      </c>
      <c r="C5" s="11">
        <v>12986</v>
      </c>
      <c r="D5" s="17">
        <v>0</v>
      </c>
      <c r="E5" s="17">
        <f t="shared" ref="E5" si="0">IF(AND(ISNUMBER(C5),ISNUMBER(D5)), C5-D5, "")</f>
        <v>12986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12986</v>
      </c>
      <c r="I5" s="18" t="str">
        <f t="shared" ref="I5" si="2">IFERROR(H5/G5, "")</f>
        <v/>
      </c>
      <c r="J5" s="40" t="s">
        <v>47</v>
      </c>
      <c r="K5" s="40" t="s">
        <v>36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E4" activePane="bottomRight" state="frozen"/>
      <selection pane="bottomRight" activeCell="K5" sqref="K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Walden Liberty</v>
      </c>
      <c r="B1" s="55"/>
      <c r="C1" s="55"/>
      <c r="D1" s="56" t="s">
        <v>48</v>
      </c>
      <c r="E1" s="56"/>
      <c r="F1" s="56"/>
      <c r="G1" s="54" t="s">
        <v>49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SUM(C4:C77)</f>
        <v>63488</v>
      </c>
      <c r="D2" s="5">
        <f>SUM(D4:D77)</f>
        <v>0</v>
      </c>
      <c r="E2" s="5">
        <f>C2-D2</f>
        <v>63488</v>
      </c>
      <c r="F2" s="6">
        <f>IFERROR(E2/D2, 0)</f>
        <v>0</v>
      </c>
      <c r="G2" s="5">
        <f>SUM(G4:G77)</f>
        <v>0</v>
      </c>
      <c r="H2" s="7">
        <f>C2-G2</f>
        <v>63488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53675</v>
      </c>
      <c r="D4" s="12">
        <v>0</v>
      </c>
      <c r="E4" s="12">
        <f>IF(AND(ISNUMBER(C4),ISNUMBER(D4)), C4-D4, "")</f>
        <v>53675</v>
      </c>
      <c r="F4" s="13" t="str">
        <f>IFERROR(E4/D4, "")</f>
        <v/>
      </c>
      <c r="G4" s="14">
        <v>0</v>
      </c>
      <c r="H4" s="14">
        <f>IF(AND(ISNUMBER(C4),ISNUMBER(G4)), C4-G4, "")</f>
        <v>53675</v>
      </c>
      <c r="I4" s="15" t="str">
        <f>IFERROR(H4/G4, "")</f>
        <v/>
      </c>
      <c r="J4" s="39"/>
      <c r="K4" s="39"/>
    </row>
    <row r="5" spans="1:11" ht="15.75">
      <c r="A5" s="28" t="str">
        <v>Walden Liberty</v>
      </c>
      <c r="B5" s="29" t="str">
        <v>MA</v>
      </c>
      <c r="C5" s="11">
        <v>9813</v>
      </c>
      <c r="D5" s="17">
        <v>0</v>
      </c>
      <c r="E5" s="17">
        <f t="shared" ref="E5" si="0">IF(AND(ISNUMBER(C5),ISNUMBER(D5)), C5-D5, "")</f>
        <v>9813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9813</v>
      </c>
      <c r="I5" s="18" t="str">
        <f t="shared" ref="I5" si="2">IFERROR(H5/G5, "")</f>
        <v/>
      </c>
      <c r="J5" s="40" t="s">
        <v>47</v>
      </c>
      <c r="K5" s="40" t="s">
        <v>36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workbookViewId="0">
      <pane xSplit="2" ySplit="3" topLeftCell="F5" activePane="bottomRight" state="frozen"/>
      <selection pane="bottomRight" activeCell="J5" sqref="J5"/>
      <selection pane="bottomLeft" activeCell="H30" sqref="H30"/>
      <selection pane="topRight" activeCell="H30" sqref="H3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Walden Liberty</v>
      </c>
      <c r="B1" s="55"/>
      <c r="C1" s="55"/>
      <c r="D1" s="56" t="s">
        <v>50</v>
      </c>
      <c r="E1" s="56"/>
      <c r="F1" s="56"/>
      <c r="G1" s="54" t="s">
        <v>51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SUM(C4:C77)</f>
        <v>44617</v>
      </c>
      <c r="D2" s="5">
        <f>SUM(D4:D77)</f>
        <v>0</v>
      </c>
      <c r="E2" s="5">
        <f>C2-D2</f>
        <v>44617</v>
      </c>
      <c r="F2" s="6">
        <f>IFERROR(E2/D2, 0)</f>
        <v>0</v>
      </c>
      <c r="G2" s="5">
        <f>SUM(G4:G77)</f>
        <v>0</v>
      </c>
      <c r="H2" s="7">
        <f>C2-G2</f>
        <v>44617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30.75">
      <c r="A4" s="30" t="str" cm="1">
        <f t="array" ref="A4:A5">Sites[Site]</f>
        <v>CCC College</v>
      </c>
      <c r="B4" s="27" t="str" cm="1">
        <f t="array" ref="B4:B5">Sites[State]</f>
        <v>MA</v>
      </c>
      <c r="C4" s="23">
        <v>39237</v>
      </c>
      <c r="D4" s="12">
        <v>0</v>
      </c>
      <c r="E4" s="12">
        <f>IF(AND(ISNUMBER(C4),ISNUMBER(D4)), C4-D4, "")</f>
        <v>39237</v>
      </c>
      <c r="F4" s="13" t="str">
        <f>IFERROR(E4/D4, "")</f>
        <v/>
      </c>
      <c r="G4" s="14">
        <v>0</v>
      </c>
      <c r="H4" s="14">
        <f>IF(AND(ISNUMBER(C4),ISNUMBER(G4)), C4-G4, "")</f>
        <v>39237</v>
      </c>
      <c r="I4" s="15" t="str">
        <f>IFERROR(H4/G4, "")</f>
        <v/>
      </c>
      <c r="J4" s="52" t="s">
        <v>52</v>
      </c>
      <c r="K4" s="52" t="s">
        <v>53</v>
      </c>
    </row>
    <row r="5" spans="1:11" ht="45.75">
      <c r="A5" s="28" t="str">
        <v>Walden Liberty</v>
      </c>
      <c r="B5" s="29" t="str">
        <v>MA</v>
      </c>
      <c r="C5" s="11">
        <v>5380</v>
      </c>
      <c r="D5" s="17">
        <v>0</v>
      </c>
      <c r="E5" s="17">
        <f t="shared" ref="E5" si="0">IF(AND(ISNUMBER(C5),ISNUMBER(D5)), C5-D5, "")</f>
        <v>5380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5380</v>
      </c>
      <c r="I5" s="18" t="str">
        <f t="shared" ref="I5" si="2">IFERROR(H5/G5, "")</f>
        <v/>
      </c>
      <c r="J5" s="53" t="s">
        <v>54</v>
      </c>
      <c r="K5" s="53" t="s">
        <v>55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2B463-7A81-48B9-B8A1-8A3D7EF5D0E0}">
  <dimension ref="A1"/>
  <sheetViews>
    <sheetView tabSelected="1" workbookViewId="0"/>
  </sheetViews>
  <sheetFormatPr defaultRowHeight="12.7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0"/>
  <sheetViews>
    <sheetView workbookViewId="0">
      <pane ySplit="3" topLeftCell="A4" activePane="bottomLeft" state="frozen"/>
      <selection pane="bottomLeft" activeCell="A5" sqref="A5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56</v>
      </c>
      <c r="B1" t="s">
        <v>57</v>
      </c>
    </row>
    <row r="3" spans="1:12" ht="13.15">
      <c r="A3" t="s">
        <v>58</v>
      </c>
      <c r="B3" t="s">
        <v>3</v>
      </c>
      <c r="C3" t="s">
        <v>4</v>
      </c>
      <c r="D3" t="s">
        <v>59</v>
      </c>
      <c r="E3" s="2" t="s">
        <v>60</v>
      </c>
    </row>
    <row r="4" spans="1:12" ht="14.45">
      <c r="A4" s="47" t="s">
        <v>61</v>
      </c>
      <c r="B4" s="47" t="s">
        <v>62</v>
      </c>
      <c r="C4" s="47" t="s">
        <v>63</v>
      </c>
      <c r="D4" s="49" t="s">
        <v>64</v>
      </c>
      <c r="E4" s="47" t="s">
        <v>65</v>
      </c>
      <c r="G4" s="3"/>
    </row>
    <row r="5" spans="1:12" ht="14.45">
      <c r="A5" s="48" t="s">
        <v>66</v>
      </c>
      <c r="B5" s="48" t="s">
        <v>57</v>
      </c>
      <c r="C5" s="48" t="s">
        <v>63</v>
      </c>
      <c r="D5" s="50" t="s">
        <v>64</v>
      </c>
      <c r="E5" s="48" t="s">
        <v>65</v>
      </c>
      <c r="G5" s="3"/>
    </row>
    <row r="6" spans="1:12" ht="12.75" customHeight="1">
      <c r="K6" s="41"/>
      <c r="L6" s="41"/>
    </row>
    <row r="7" spans="1:12" ht="12.75" customHeight="1">
      <c r="K7" s="41"/>
      <c r="L7" s="41"/>
    </row>
    <row r="8" spans="1:12" ht="12.75" customHeight="1">
      <c r="K8" s="41"/>
      <c r="L8" s="41"/>
    </row>
    <row r="9" spans="1:12" ht="12.75" customHeight="1">
      <c r="K9" s="41"/>
      <c r="L9" s="41"/>
    </row>
    <row r="10" spans="1:12" ht="12.75" customHeight="1">
      <c r="K10" s="41"/>
      <c r="L10" s="4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e617175f0701a798d4889519864defa7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c69796dc4c5a3e52805b6daf116719ef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��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B52044A-5C0B-44A2-99D0-C1C315EC302D}"/>
</file>

<file path=customXml/itemProps2.xml><?xml version="1.0" encoding="utf-8"?>
<ds:datastoreItem xmlns:ds="http://schemas.openxmlformats.org/officeDocument/2006/customXml" ds:itemID="{078388C9-06F9-42F4-B857-EF76B5CAF1FD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D3A7101F-9A85-4235-8B03-415370C100B2}"/>
</file>

<file path=customXml/itemProps5.xml><?xml version="1.0" encoding="utf-8"?>
<ds:datastoreItem xmlns:ds="http://schemas.openxmlformats.org/officeDocument/2006/customXml" ds:itemID="{7946C510-7D04-49D8-9B25-EEC04582A1CA}"/>
</file>

<file path=customXml/itemProps6.xml><?xml version="1.0" encoding="utf-8"?>
<ds:datastoreItem xmlns:ds="http://schemas.openxmlformats.org/officeDocument/2006/customXml" ds:itemID="{98A113BB-8B7A-453C-8BD4-8EFC67FC2D3F}"/>
</file>

<file path=customXml/itemProps7.xml><?xml version="1.0" encoding="utf-8"?>
<ds:datastoreItem xmlns:ds="http://schemas.openxmlformats.org/officeDocument/2006/customXml" ds:itemID="{89CF5C07-45EB-4100-9AFB-2C6AF77FA787}"/>
</file>

<file path=customXml/itemProps8.xml><?xml version="1.0" encoding="utf-8"?>
<ds:datastoreItem xmlns:ds="http://schemas.openxmlformats.org/officeDocument/2006/customXml" ds:itemID="{14966E4F-347B-477B-B74C-9DAC05405806}"/>
</file>

<file path=customXml/itemProps9.xml><?xml version="1.0" encoding="utf-8"?>
<ds:datastoreItem xmlns:ds="http://schemas.openxmlformats.org/officeDocument/2006/customXml" ds:itemID="{F6B2B1A1-1C4B-4AC9-9A7D-7A102DD1C942}"/>
</file>

<file path=customXml/itemProps10.xml><?xml version="1.0" encoding="utf-8"?>
<ds:datastoreItem xmlns:ds="http://schemas.openxmlformats.org/officeDocument/2006/customXml" ds:itemID="{1954BBA4-0359-438C-B0EC-A756015F7C02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AEAF292B-A670-44CB-BB5E-13DFE2E8B784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8D732231-4216-4543-A665-18A2886B0EB7}"/>
</file>

<file path=customXml/itemProps19.xml><?xml version="1.0" encoding="utf-8"?>
<ds:datastoreItem xmlns:ds="http://schemas.openxmlformats.org/officeDocument/2006/customXml" ds:itemID="{BE26B669-A686-459C-A5E9-FEC3409C4C81}"/>
</file>

<file path=customXml/itemProps20.xml><?xml version="1.0" encoding="utf-8"?>
<ds:datastoreItem xmlns:ds="http://schemas.openxmlformats.org/officeDocument/2006/customXml" ds:itemID="{BF5C6359-7763-4C37-8EAF-2BC4698CB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Grammenos, Alexander</cp:lastModifiedBy>
  <cp:revision/>
  <dcterms:created xsi:type="dcterms:W3CDTF">2021-01-01T16:39:53Z</dcterms:created>
  <dcterms:modified xsi:type="dcterms:W3CDTF">2025-11-19T03:51:56Z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2025-11-19T02:55:29Z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bb407241-e2fc-412e-bf4b-e55c0bd1e5ed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