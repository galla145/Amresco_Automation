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D5F69DA6-A5CE-4816-AEFD-97EF76451140}" xr6:coauthVersionLast="47" xr6:coauthVersionMax="47" xr10:uidLastSave="{573525A7-4A7D-402B-93CC-6334BFD3D7E2}"/>
  <bookViews>
    <workbookView xWindow="286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<sst xmlns="http://schemas.openxmlformats.org/spreadsheetml/2006/main" count="240" uniqueCount="53">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</sst>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3" borderId="0" xfId="0" applyNumberFormat="1" applyFont="1" applyFill="1" applyAlignment="1">
      <alignment horizontal="right"/>
    </xf>
    <xf numFmtId="0" fontId="36" fillId="46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164" fontId="36" fillId="47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H13" sqref="H13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SUM(C4:C65)</f>
        <v>250562.03973968141</v>
      </c>
      <c r="D2" s="5">
        <f>SUM(D4:D65)</f>
        <v>0</v>
      </c>
      <c r="E2" s="5">
        <f>C2-D2</f>
        <v>250562.03973968141</v>
      </c>
      <c r="F2" s="6">
        <f>IFERROR(E2/D2, 0)</f>
        <v>0</v>
      </c>
      <c r="G2" s="5">
        <f>SUM(G4:G65)</f>
        <v>296476.90999999997</v>
      </c>
      <c r="H2" s="7">
        <f>C2-G2</f>
        <v>-45914.870260318567</v>
      </c>
      <c r="I2" s="6">
        <f>IFERROR(H2/G2, 0)</f>
        <v>-0.15486828387518803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250562.03973968141</v>
      </c>
      <c r="D4" s="11">
        <f>SUM('1st Qtr'!D4, '2nd Qtr'!D4, '3rd Qtr'!D4, '4th Qtr'!D4)</f>
        <v>0</v>
      </c>
      <c r="E4" s="11">
        <f>IF(AND(ISNUMBER(C4),ISNUMBER(D4)), C4-D4, "")</f>
        <v>250562.03973968141</v>
      </c>
      <c r="F4" s="12" t="str">
        <f>IFERROR(E4/D4, "")</f>
        <v/>
      </c>
      <c r="G4" s="13">
        <f>SUM('1st Qtr'!G4, '2nd Qtr'!G4, '3rd Qtr'!G4, '4th Qtr'!G4)</f>
        <v>296476.90999999997</v>
      </c>
      <c r="H4" s="13">
        <f>SUM('1st Qtr'!H4, '2nd Qtr'!H4, '3rd Qtr'!H4, '4th Qtr'!H4)</f>
        <v>-45914.870260318603</v>
      </c>
      <c r="I4" s="14">
        <f>IFERROR(H4/G4, "")</f>
        <v>-0.15486828387518814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SUM(C4:C65)</f>
        <v>38675.96970296889</v>
      </c>
      <c r="D2" s="5">
        <f>SUM(D4:D65)</f>
        <v>0</v>
      </c>
      <c r="E2" s="5">
        <f>C2-D2</f>
        <v>38675.96970296889</v>
      </c>
      <c r="F2" s="6">
        <f>IFERROR(E2/D2, 0)</f>
        <v>0</v>
      </c>
      <c r="G2" s="5">
        <f>SUM(G4:G65)</f>
        <v>54189.87</v>
      </c>
      <c r="H2" s="7">
        <f>C2-G2</f>
        <v>-15513.900297031112</v>
      </c>
      <c r="I2" s="6">
        <f>IFERROR(H2/G2, 0)</f>
        <v>-0.28628783012454379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38675.96970296889</v>
      </c>
      <c r="D4" s="11">
        <f>SUM(Jan!D4, Feb!D4, Mar!D4)</f>
        <v>0</v>
      </c>
      <c r="E4" s="11">
        <f>IF(AND(ISNUMBER(C4),ISNUMBER(D4)), C4-D4, "")</f>
        <v>38675.96970296889</v>
      </c>
      <c r="F4" s="12" t="str">
        <f>IFERROR(E4/D4, "")</f>
        <v/>
      </c>
      <c r="G4" s="13">
        <f>SUM(Jan!G4, Feb!G4, Mar!G4)</f>
        <v>54189.87</v>
      </c>
      <c r="H4" s="13">
        <f>SUM(Jan!H4, Feb!H4, Mar!H4)</f>
        <v>-15513.900297031112</v>
      </c>
      <c r="I4" s="14">
        <f>IFERROR(H4/G4, "")</f>
        <v>-0.28628783012454379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SUM(C4:C65)</f>
        <v>89393.709785610394</v>
      </c>
      <c r="D2" s="5">
        <f>SUM(D4:D65)</f>
        <v>0</v>
      </c>
      <c r="E2" s="5">
        <f>C2-D2</f>
        <v>89393.709785610394</v>
      </c>
      <c r="F2" s="6">
        <f>IFERROR(E2/D2, 0)</f>
        <v>0</v>
      </c>
      <c r="G2" s="5">
        <f>SUM(G4:G65)</f>
        <v>104715.32</v>
      </c>
      <c r="H2" s="7">
        <f>C2-G2</f>
        <v>-15321.610214389613</v>
      </c>
      <c r="I2" s="6">
        <f>IFERROR(H2/G2, 0)</f>
        <v>-0.14631679695377536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89393.709785610394</v>
      </c>
      <c r="D4" s="11">
        <f>SUM(Apr!D4, May!D4, Jun!D4)</f>
        <v>0</v>
      </c>
      <c r="E4" s="11">
        <f>IF(AND(ISNUMBER(C4),ISNUMBER(D4)), C4-D4, "")</f>
        <v>89393.709785610394</v>
      </c>
      <c r="F4" s="12" t="str">
        <f>IFERROR(E4/D4, "")</f>
        <v/>
      </c>
      <c r="G4" s="13">
        <f>SUM(Apr!G4,May!G4,Jun!G4)</f>
        <v>104715.32</v>
      </c>
      <c r="H4" s="13">
        <f>SUM(Apr!H4, May!H4, Jun!H4)</f>
        <v>-15321.610214389599</v>
      </c>
      <c r="I4" s="14">
        <f>IFERROR(H4/G4, "")</f>
        <v>-0.14631679695377522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SUM(C4:C65)</f>
        <v>80887.390625676999</v>
      </c>
      <c r="D2" s="5">
        <f>SUM(D4:D65)</f>
        <v>0</v>
      </c>
      <c r="E2" s="5">
        <f>C2-D2</f>
        <v>80887.390625676999</v>
      </c>
      <c r="F2" s="6">
        <f>IFERROR(E2/D2, 0)</f>
        <v>0</v>
      </c>
      <c r="G2" s="5">
        <f>SUM(G4:G65)</f>
        <v>94903.34</v>
      </c>
      <c r="H2" s="7">
        <f>C2-G2</f>
        <v>-14015.949374322998</v>
      </c>
      <c r="I2" s="6">
        <f>IFERROR(H2/G2, 0)</f>
        <v>-0.14768657640840668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80887.390625676999</v>
      </c>
      <c r="D4" s="11">
        <f>SUM(Jul!D4, Aug!D4, Sep!D4)</f>
        <v>0</v>
      </c>
      <c r="E4" s="11">
        <f>IF(AND(ISNUMBER(C4),ISNUMBER(D4)), C4-D4, "")</f>
        <v>80887.390625676999</v>
      </c>
      <c r="F4" s="12" t="str">
        <f>IFERROR(E4/D4, "")</f>
        <v/>
      </c>
      <c r="G4" s="13">
        <f>SUM(Jul!G4,Aug!G4,Sep!G4)</f>
        <v>94903.34</v>
      </c>
      <c r="H4" s="13">
        <f>SUM(Jul!H4, Aug!H4, Sep!H4)</f>
        <v>-14015.949374322998</v>
      </c>
      <c r="I4" s="14">
        <f>IFERROR(H4/G4, "")</f>
        <v>-0.14768657640840668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G4" activePane="bottomRight" state="frozen"/>
      <selection pane="bottomRight" activeCell="K15" sqref="K15:K16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SUM(C4:C65)</f>
        <v>41604.969625425103</v>
      </c>
      <c r="D2" s="5">
        <f>SUM(D4:D65)</f>
        <v>0</v>
      </c>
      <c r="E2" s="5">
        <f>C2-D2</f>
        <v>41604.969625425103</v>
      </c>
      <c r="F2" s="6">
        <f>IFERROR(E2/D2, 0)</f>
        <v>0</v>
      </c>
      <c r="G2" s="5">
        <f>SUM(G4:G65)</f>
        <v>42668.38</v>
      </c>
      <c r="H2" s="7">
        <f>C2-G2</f>
        <v>-1063.4103745748944</v>
      </c>
      <c r="I2" s="6">
        <f>IFERROR(H2/G2, 0)</f>
        <v>-2.4922679852736253E-2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41604.969625425103</v>
      </c>
      <c r="D4" s="11">
        <f>SUM(Oct!D4, Nov!D4, Dec!D4)</f>
        <v>0</v>
      </c>
      <c r="E4" s="11">
        <f>IF(AND(ISNUMBER(C4),ISNUMBER(D4)), C4-D4, "")</f>
        <v>41604.969625425103</v>
      </c>
      <c r="F4" s="12" t="str">
        <f>IFERROR(E4/D4, "")</f>
        <v/>
      </c>
      <c r="G4" s="13">
        <f>SUM(Oct!G4,Nov!G4,Dec!G4)</f>
        <v>42668.38</v>
      </c>
      <c r="H4" s="13">
        <f>SUM(Oct!H4, Nov!H4, Dec!H4)</f>
        <v>-1063.4103745748962</v>
      </c>
      <c r="I4" s="14">
        <f>IFERROR(H4/G4, "")</f>
        <v>-2.4922679852736294E-2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5651.2002929688897</v>
      </c>
      <c r="D2" s="5">
        <f>SUM(D4:D64)</f>
        <v>0</v>
      </c>
      <c r="E2" s="5">
        <f>C2-D2</f>
        <v>5651.2002929688897</v>
      </c>
      <c r="F2" s="6">
        <f>IFERROR(E2/D2, 0)</f>
        <v>0</v>
      </c>
      <c r="G2" s="5">
        <f>SUM(G4:G64)</f>
        <v>12999</v>
      </c>
      <c r="H2" s="7">
        <f>C2-G2</f>
        <v>-7347.7997070311103</v>
      </c>
      <c r="I2" s="6">
        <f>IFERROR(H2/G2, 0)</f>
        <v>-0.56525884352881839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41">
        <v>5651.2002929688897</v>
      </c>
      <c r="D4" s="42">
        <v>0</v>
      </c>
      <c r="E4" s="11">
        <f>IF(AND(ISNUMBER(C4),ISNUMBER(D4)), C4-D4, "")</f>
        <v>5651.2002929688897</v>
      </c>
      <c r="F4" s="33" t="str">
        <f>IFERROR(E4/D4, "")</f>
        <v/>
      </c>
      <c r="G4" s="44">
        <v>12999</v>
      </c>
      <c r="H4" s="13">
        <f>IF(AND(ISNUMBER(C4),ISNUMBER(G4)), C4-G4, "")</f>
        <v>-7347.7997070311103</v>
      </c>
      <c r="I4" s="14">
        <f>IFERROR(H4/G4, "")</f>
        <v>-0.56525884352881839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E8" sqref="E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10070.834999999999</v>
      </c>
      <c r="D2" s="5">
        <f>SUM(D4:D65)</f>
        <v>0</v>
      </c>
      <c r="E2" s="5">
        <f>C2-D2</f>
        <v>10070.834999999999</v>
      </c>
      <c r="F2" s="6">
        <f>IFERROR(E2/D2, 0)</f>
        <v>0</v>
      </c>
      <c r="G2" s="5">
        <f>SUM(G4:G65)</f>
        <v>16998.150000000001</v>
      </c>
      <c r="H2" s="7">
        <f>C2-G2</f>
        <v>-6927.3150000000023</v>
      </c>
      <c r="I2" s="6">
        <f>IFERROR(H2/G2, 0)</f>
        <v>-0.40753346687727793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18">
        <v>10070.834999999999</v>
      </c>
      <c r="D4" s="11">
        <v>0</v>
      </c>
      <c r="E4" s="11">
        <f>IF(AND(ISNUMBER(C4),ISNUMBER(D4)), C4-D4, "")</f>
        <v>10070.834999999999</v>
      </c>
      <c r="F4" s="12" t="str">
        <f>IFERROR(E4/D4, "")</f>
        <v/>
      </c>
      <c r="G4" s="13">
        <v>16998.150000000001</v>
      </c>
      <c r="H4" s="13">
        <f>IF(AND(ISNUMBER(C4),ISNUMBER(G4)), C4-G4, "")</f>
        <v>-6927.3150000000023</v>
      </c>
      <c r="I4" s="14">
        <f>IFERROR(H4/G4, "")</f>
        <v>-0.40753346687727793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E8" sqref="E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22953.934410000002</v>
      </c>
      <c r="D2" s="5">
        <f>SUM(D4:D65)</f>
        <v>0</v>
      </c>
      <c r="E2" s="5">
        <f>C2-D2</f>
        <v>22953.934410000002</v>
      </c>
      <c r="F2" s="6">
        <f>IFERROR(E2/D2, 0)</f>
        <v>0</v>
      </c>
      <c r="G2" s="5">
        <f>SUM(G4:G65)</f>
        <v>24192.720000000001</v>
      </c>
      <c r="H2" s="7">
        <f>C2-G2</f>
        <v>-1238.7855899999995</v>
      </c>
      <c r="I2" s="6">
        <f>IFERROR(H2/G2, 0)</f>
        <v>-5.1204890975466974E-2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22953.934410000002</v>
      </c>
      <c r="D4" s="11">
        <v>0</v>
      </c>
      <c r="E4" s="11">
        <f>IF(AND(ISNUMBER(C4),ISNUMBER(D4)), C4-D4, "")</f>
        <v>22953.934410000002</v>
      </c>
      <c r="F4" s="12" t="str">
        <f>IFERROR(E4/D4, "")</f>
        <v/>
      </c>
      <c r="G4" s="13">
        <v>24192.720000000001</v>
      </c>
      <c r="H4" s="13">
        <f>IF(AND(ISNUMBER(C4),ISNUMBER(G4)), C4-G4, "")</f>
        <v>-1238.7855899999995</v>
      </c>
      <c r="I4" s="14">
        <f>IFERROR(H4/G4, "")</f>
        <v>-5.1204890975466974E-2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D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25240.4197856104</v>
      </c>
      <c r="D2" s="5">
        <f>SUM(D4:D65)</f>
        <v>0</v>
      </c>
      <c r="E2" s="5">
        <f>C2-D2</f>
        <v>25240.4197856104</v>
      </c>
      <c r="F2" s="6">
        <f>IFERROR(E2/D2, 0)</f>
        <v>0</v>
      </c>
      <c r="G2" s="5">
        <f>SUM(G4:G65)</f>
        <v>31609.98</v>
      </c>
      <c r="H2" s="7">
        <f>C2-G2</f>
        <v>-6369.5602143895994</v>
      </c>
      <c r="I2" s="6">
        <f>IFERROR(H2/G2, 0)</f>
        <v>-0.20150472143258552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25240.4197856104</v>
      </c>
      <c r="D4" s="11">
        <v>0</v>
      </c>
      <c r="E4" s="11">
        <f>IF(AND(ISNUMBER(C4),ISNUMBER(D4)), C4-D4, "")</f>
        <v>25240.4197856104</v>
      </c>
      <c r="F4" s="12" t="str">
        <f>IFERROR(E4/D4, "")</f>
        <v/>
      </c>
      <c r="G4" s="13">
        <v>31609.98</v>
      </c>
      <c r="H4" s="13">
        <f>IF(AND(ISNUMBER(C4),ISNUMBER(G4)), C4-G4, "")</f>
        <v>-6369.5602143895994</v>
      </c>
      <c r="I4" s="14">
        <f>IFERROR(H4/G4, "")</f>
        <v>-0.20150472143258552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D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30040.23</v>
      </c>
      <c r="D2" s="5">
        <f>SUM(D4:D65)</f>
        <v>0</v>
      </c>
      <c r="E2" s="5">
        <f>C2-D2</f>
        <v>30040.23</v>
      </c>
      <c r="F2" s="6">
        <f>IFERROR(E2/D2, 0)</f>
        <v>0</v>
      </c>
      <c r="G2" s="5">
        <f>SUM(G4:G65)</f>
        <v>36237.879999999997</v>
      </c>
      <c r="H2" s="7">
        <f>C2-G2</f>
        <v>-6197.6499999999978</v>
      </c>
      <c r="I2" s="6">
        <f>IFERROR(H2/G2, 0)</f>
        <v>-0.17102683711078015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30040.23</v>
      </c>
      <c r="D4" s="11">
        <v>0</v>
      </c>
      <c r="E4" s="11">
        <f>IF(AND(ISNUMBER(C4),ISNUMBER(D4)), C4-D4, "")</f>
        <v>30040.23</v>
      </c>
      <c r="F4" s="12" t="str">
        <f>IFERROR(E4/D4, "")</f>
        <v/>
      </c>
      <c r="G4" s="13">
        <v>36237.879999999997</v>
      </c>
      <c r="H4" s="13">
        <f>IF(AND(ISNUMBER(C4),ISNUMBER(G4)), C4-G4, "")</f>
        <v>-6197.6499999999978</v>
      </c>
      <c r="I4" s="14">
        <f>IFERROR(H4/G4, "")</f>
        <v>-0.17102683711078015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E11" sqref="E11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34113.06</v>
      </c>
      <c r="D2" s="5">
        <f>SUM(D4:D65)</f>
        <v>0</v>
      </c>
      <c r="E2" s="5">
        <f>C2-D2</f>
        <v>34113.06</v>
      </c>
      <c r="F2" s="6">
        <f>IFERROR(E2/D2, 0)</f>
        <v>0</v>
      </c>
      <c r="G2" s="5">
        <f>SUM(G4:G65)</f>
        <v>36867.46</v>
      </c>
      <c r="H2" s="7">
        <f>C2-G2</f>
        <v>-2754.4000000000015</v>
      </c>
      <c r="I2" s="6">
        <f>IFERROR(H2/G2, 0)</f>
        <v>-7.4710869693762505E-2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34113.06</v>
      </c>
      <c r="D4" s="11">
        <v>0</v>
      </c>
      <c r="E4" s="11">
        <f>IF(AND(ISNUMBER(C4),ISNUMBER(D4)), C4-D4, "")</f>
        <v>34113.06</v>
      </c>
      <c r="F4" s="12" t="str">
        <f>IFERROR(E4/D4, "")</f>
        <v/>
      </c>
      <c r="G4" s="13">
        <v>36867.46</v>
      </c>
      <c r="H4" s="13">
        <f>IF(AND(ISNUMBER(C4),ISNUMBER(G4)), C4-G4, "")</f>
        <v>-2754.4000000000015</v>
      </c>
      <c r="I4" s="14">
        <f>IFERROR(H4/G4, "")</f>
        <v>-7.4710869693762505E-2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30766.910256490799</v>
      </c>
      <c r="D2" s="5">
        <f>SUM(D4:D65)</f>
        <v>0</v>
      </c>
      <c r="E2" s="5">
        <f>C2-D2</f>
        <v>30766.910256490799</v>
      </c>
      <c r="F2" s="6">
        <f>IFERROR(E2/D2, 0)</f>
        <v>0</v>
      </c>
      <c r="G2" s="5">
        <f>SUM(G4:G65)</f>
        <v>36568.639999999999</v>
      </c>
      <c r="H2" s="7">
        <f>C2-G2</f>
        <v>-5801.7297435092005</v>
      </c>
      <c r="I2" s="6">
        <f>IFERROR(H2/G2, 0)</f>
        <v>-0.15865314497638416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30766.910256490799</v>
      </c>
      <c r="D4" s="11">
        <v>0</v>
      </c>
      <c r="E4" s="11">
        <f>IF(AND(ISNUMBER(C4),ISNUMBER(D4)), C4-D4, "")</f>
        <v>30766.910256490799</v>
      </c>
      <c r="F4" s="12" t="str">
        <f>IFERROR(E4/D4, "")</f>
        <v/>
      </c>
      <c r="G4" s="13">
        <v>36568.639999999999</v>
      </c>
      <c r="H4" s="13">
        <f>IF(AND(ISNUMBER(C4),ISNUMBER(G4)), C4-G4, "")</f>
        <v>-5801.7297435092005</v>
      </c>
      <c r="I4" s="14">
        <f>IFERROR(H4/G4, "")</f>
        <v>-0.15865314497638416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E20" sqref="E20:E21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27152.430658222602</v>
      </c>
      <c r="D2" s="5">
        <f>SUM(D4:D65)</f>
        <v>0</v>
      </c>
      <c r="E2" s="5">
        <f>C2-D2</f>
        <v>27152.430658222602</v>
      </c>
      <c r="F2" s="6">
        <f>IFERROR(E2/D2, 0)</f>
        <v>0</v>
      </c>
      <c r="G2" s="5">
        <f>SUM(G4:G65)</f>
        <v>32709.57</v>
      </c>
      <c r="H2" s="7">
        <f>C2-G2</f>
        <v>-5557.1393417773979</v>
      </c>
      <c r="I2" s="6">
        <f>IFERROR(H2/G2, 0)</f>
        <v>-0.16989337804738486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27152.430658222602</v>
      </c>
      <c r="D4" s="11">
        <v>0</v>
      </c>
      <c r="E4" s="11">
        <f>IF(AND(ISNUMBER(C4),ISNUMBER(D4)), C4-D4, "")</f>
        <v>27152.430658222602</v>
      </c>
      <c r="F4" s="12" t="str">
        <f>IFERROR(E4/D4, "")</f>
        <v/>
      </c>
      <c r="G4" s="13">
        <v>32709.57</v>
      </c>
      <c r="H4" s="13">
        <f>IF(AND(ISNUMBER(C4),ISNUMBER(G4)), C4-G4, "")</f>
        <v>-5557.1393417773979</v>
      </c>
      <c r="I4" s="14">
        <f>IFERROR(H4/G4, "")</f>
        <v>-0.16989337804738486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D12" sqref="D12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22968.049710963602</v>
      </c>
      <c r="D2" s="5">
        <f>SUM(D4:D65)</f>
        <v>0</v>
      </c>
      <c r="E2" s="5">
        <f>C2-D2</f>
        <v>22968.049710963602</v>
      </c>
      <c r="F2" s="6">
        <f>IFERROR(E2/D2, 0)</f>
        <v>0</v>
      </c>
      <c r="G2" s="5">
        <f>SUM(G4:G65)</f>
        <v>25625.13</v>
      </c>
      <c r="H2" s="7">
        <f>C2-G2</f>
        <v>-2657.0802890363993</v>
      </c>
      <c r="I2" s="6">
        <f>IFERROR(H2/G2, 0)</f>
        <v>-0.10369041206957386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22968.049710963602</v>
      </c>
      <c r="D4" s="11">
        <v>0</v>
      </c>
      <c r="E4" s="11">
        <f>IF(AND(ISNUMBER(C4),ISNUMBER(D4)), C4-D4, "")</f>
        <v>22968.049710963602</v>
      </c>
      <c r="F4" s="12" t="str">
        <f>IFERROR(E4/D4, "")</f>
        <v/>
      </c>
      <c r="G4" s="13">
        <v>25625.13</v>
      </c>
      <c r="H4" s="13">
        <f>IF(AND(ISNUMBER(C4),ISNUMBER(G4)), C4-G4, "")</f>
        <v>-2657.0802890363993</v>
      </c>
      <c r="I4" s="14">
        <f>IFERROR(H4/G4, "")</f>
        <v>-0.10369041206957386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G13" sqref="G13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20256.384664036301</v>
      </c>
      <c r="D2" s="5">
        <f>SUM(D4:D65)</f>
        <v>0</v>
      </c>
      <c r="E2" s="5">
        <f>C2-D2</f>
        <v>20256.384664036301</v>
      </c>
      <c r="F2" s="6">
        <f>IFERROR(E2/D2, 0)</f>
        <v>0</v>
      </c>
      <c r="G2" s="5">
        <f>SUM(G4:G65)</f>
        <v>20107.439999999999</v>
      </c>
      <c r="H2" s="7">
        <f>C2-G2</f>
        <v>148.94466403630213</v>
      </c>
      <c r="I2" s="6">
        <f>IFERROR(H2/G2, 0)</f>
        <v>7.4074404318153946E-3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20256.384664036301</v>
      </c>
      <c r="D4" s="11">
        <v>0</v>
      </c>
      <c r="E4" s="11">
        <f>IF(AND(ISNUMBER(C4),ISNUMBER(D4)), C4-D4, "")</f>
        <v>20256.384664036301</v>
      </c>
      <c r="F4" s="12" t="str">
        <f>IFERROR(E4/D4, "")</f>
        <v/>
      </c>
      <c r="G4" s="13">
        <v>20107.439999999999</v>
      </c>
      <c r="H4" s="13">
        <f>IF(AND(ISNUMBER(C4),ISNUMBER(G4)), C4-G4, "")</f>
        <v>148.94466403630213</v>
      </c>
      <c r="I4" s="14">
        <f>IFERROR(H4/G4, "")</f>
        <v>7.4074404318153946E-3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F11" sqref="F11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12100.129983388801</v>
      </c>
      <c r="D2" s="5">
        <f>SUM(D4:D65)</f>
        <v>0</v>
      </c>
      <c r="E2" s="5">
        <f>C2-D2</f>
        <v>12100.129983388801</v>
      </c>
      <c r="F2" s="6">
        <f>IFERROR(E2/D2, 0)</f>
        <v>0</v>
      </c>
      <c r="G2" s="5">
        <f>SUM(G4:G65)</f>
        <v>12169.31</v>
      </c>
      <c r="H2" s="7">
        <f>C2-G2</f>
        <v>-69.18001661119888</v>
      </c>
      <c r="I2" s="6">
        <f>IFERROR(H2/G2, 0)</f>
        <v>-5.6847936827313034E-3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12100.129983388801</v>
      </c>
      <c r="D4" s="11">
        <v>0</v>
      </c>
      <c r="E4" s="11">
        <f>IF(AND(ISNUMBER(C4),ISNUMBER(D4)), C4-D4, "")</f>
        <v>12100.129983388801</v>
      </c>
      <c r="F4" s="12" t="str">
        <f>IFERROR(E4/D4, "")</f>
        <v/>
      </c>
      <c r="G4" s="13">
        <v>12169.31</v>
      </c>
      <c r="H4" s="13">
        <f>IF(AND(ISNUMBER(C4),ISNUMBER(G4)), C4-G4, "")</f>
        <v>-69.18001661119888</v>
      </c>
      <c r="I4" s="14">
        <f>IFERROR(H4/G4, "")</f>
        <v>-5.6847936827313034E-3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C12" sqref="C12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9248.4549779999998</v>
      </c>
      <c r="D2" s="5">
        <f>SUM(D4:D65)</f>
        <v>0</v>
      </c>
      <c r="E2" s="5">
        <f>C2-D2</f>
        <v>9248.4549779999998</v>
      </c>
      <c r="F2" s="6">
        <f>IFERROR(E2/D2, 0)</f>
        <v>0</v>
      </c>
      <c r="G2" s="5">
        <f>SUM(G4:G65)</f>
        <v>10391.629999999999</v>
      </c>
      <c r="H2" s="7">
        <f>C2-G2</f>
        <v>-1143.1750219999994</v>
      </c>
      <c r="I2" s="6">
        <f>IFERROR(H2/G2, 0)</f>
        <v>-0.11000921145190885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9248.4549779999998</v>
      </c>
      <c r="D4" s="11">
        <v>0</v>
      </c>
      <c r="E4" s="11">
        <f>IF(AND(ISNUMBER(C4),ISNUMBER(D4)), C4-D4, "")</f>
        <v>9248.4549779999998</v>
      </c>
      <c r="F4" s="12" t="str">
        <f>IFERROR(E4/D4, "")</f>
        <v/>
      </c>
      <c r="G4" s="13">
        <v>10391.629999999999</v>
      </c>
      <c r="H4" s="13">
        <f>IF(AND(ISNUMBER(C4),ISNUMBER(G4)), C4-G4, "")</f>
        <v>-1143.1750219999994</v>
      </c>
      <c r="I4" s="14">
        <f>IFERROR(H4/G4, "")</f>
        <v>-0.11000921145190885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2"/>
      <c r="L10" s="32"/>
    </row>
    <row r="11" spans="1:12" ht="12.75" customHeight="1">
      <c r="A11" s="37"/>
      <c r="C11" s="35"/>
      <c r="D11" s="34"/>
      <c r="K11" s="32"/>
      <c r="L11" s="32"/>
    </row>
    <row r="12" spans="1:12" ht="12.75" customHeight="1">
      <c r="A12" s="37"/>
      <c r="C12" s="35"/>
      <c r="D12" s="34"/>
      <c r="K12" s="32"/>
      <c r="L12" s="32"/>
    </row>
    <row r="13" spans="1:12" ht="12.75" customHeight="1">
      <c r="A13" s="37"/>
      <c r="C13" s="35"/>
      <c r="D13" s="34"/>
      <c r="K13" s="32"/>
      <c r="L13" s="32"/>
    </row>
    <row r="14" spans="1:12" ht="12.75" customHeight="1">
      <c r="A14" s="37"/>
      <c r="C14" s="35"/>
      <c r="D14" s="34"/>
      <c r="K14" s="32"/>
      <c r="L14" s="32"/>
    </row>
    <row r="15" spans="1:12" ht="12.75" customHeight="1">
      <c r="A15" s="37"/>
      <c r="C15" s="35"/>
      <c r="D15" s="34"/>
      <c r="K15" s="32"/>
      <c r="L15" s="32"/>
    </row>
    <row r="16" spans="1:12" ht="12.75" customHeight="1">
      <c r="A16" s="37"/>
      <c r="C16" s="35"/>
      <c r="D16" s="34"/>
      <c r="K16" s="32"/>
      <c r="L16" s="32"/>
    </row>
    <row r="17" spans="1:12" ht="12.75" customHeight="1">
      <c r="A17" s="37"/>
      <c r="C17" s="35"/>
      <c r="D17" s="34"/>
      <c r="K17" s="32"/>
      <c r="L17" s="32"/>
    </row>
    <row r="18" spans="1:12" ht="12.75" customHeight="1">
      <c r="A18" s="37"/>
      <c r="C18" s="35"/>
      <c r="D18" s="34"/>
      <c r="K18" s="32"/>
      <c r="L18" s="32"/>
    </row>
    <row r="19" spans="1:12" ht="12.75" customHeight="1">
      <c r="A19" s="37"/>
      <c r="C19" s="35"/>
      <c r="D19" s="34"/>
      <c r="K19" s="32"/>
      <c r="L19" s="32"/>
    </row>
    <row r="20" spans="1:12" ht="12.75" customHeight="1">
      <c r="A20" s="37"/>
      <c r="C20" s="35"/>
      <c r="D20" s="34"/>
      <c r="K20" s="32"/>
      <c r="L20" s="32"/>
    </row>
    <row r="21" spans="1:12" ht="12.75" customHeight="1">
      <c r="A21" s="37"/>
      <c r="C21" s="35"/>
      <c r="D21" s="34"/>
      <c r="K21" s="32"/>
      <c r="L21" s="32"/>
    </row>
    <row r="22" spans="1:12" ht="12.75" customHeight="1">
      <c r="A22" s="37"/>
      <c r="C22" s="35"/>
      <c r="D22" s="34"/>
      <c r="K22" s="32"/>
      <c r="L22" s="32"/>
    </row>
    <row r="23" spans="1:12" ht="12.75" customHeight="1">
      <c r="A23" s="37"/>
      <c r="C23" s="35"/>
      <c r="D23" s="34"/>
      <c r="K23" s="32"/>
      <c r="L23" s="32"/>
    </row>
    <row r="24" spans="1:12" ht="12.75" customHeight="1">
      <c r="A24" s="37"/>
      <c r="C24" s="35"/>
      <c r="D24" s="34"/>
      <c r="K24" s="32"/>
      <c r="L24" s="32"/>
    </row>
    <row r="25" spans="1:12" ht="12.75" customHeight="1">
      <c r="A25" s="37"/>
      <c r="C25" s="35"/>
      <c r="D25" s="34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2025-03-18T04:28:27Z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