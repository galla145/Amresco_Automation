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1" documentId="13_ncr:1_{399DFBC8-CE2F-4445-BE84-9B4EC26047C8}" xr6:coauthVersionLast="47" xr6:coauthVersionMax="47" xr10:uidLastSave="{7CBD5582-EDA4-47B3-A516-8AE115D244BC}"/>
  <bookViews>
    <workbookView xWindow="28680" yWindow="-120" windowWidth="29040" windowHeight="15720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<sst xmlns="http://schemas.openxmlformats.org/spreadsheetml/2006/main" count="250" uniqueCount="63">
  <si>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</si>
  <si>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</si>
  <si>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</si>
  <si>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</si>
  <si>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</si>
  <si>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</si>
  <si>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</si>
  <si>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</si>
  <si>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</si>
  <si>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</si>
  <si>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</si>
  <si>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</si>
  <si>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</si>
  <si>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</si>
  <si>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</si>
  <si>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</si>
  <si>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</si>
  <si>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</si>
  <si>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</si>
  <si>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</si>
  <si>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</si>
  <si>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</si>
  <si>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</si>
  <si>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</si>
  <si>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</si>
  <si>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</si>
  <si>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</si>
  <si>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</si>
  <si>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</si>
  <si>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</si>
  <si>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</si>
  <si>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</si>
  <si>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</si>
  <si>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</si>
  <si>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 xml:space="preserve">1. Site data is not available
</t>
  </si>
  <si>
    <t>August Actual v. Expected</t>
  </si>
  <si>
    <t>August Actual v. Forecasted</t>
  </si>
  <si>
    <t>1. Site data is available from 08/08/2024 at 13:00
2. Weather station is not communicating for whole month</t>
  </si>
  <si>
    <t>2. SR089346</t>
  </si>
  <si>
    <t>September Actual v. Expected</t>
  </si>
  <si>
    <t>September Actual v. Forecasted</t>
  </si>
  <si>
    <t>1. Forecasted data is not available
2. Inverter 2 is underperforming by 6kW compared to peer from 09/10</t>
  </si>
  <si>
    <t>2. SR092069</t>
  </si>
  <si>
    <t>October Actual v. Expected</t>
  </si>
  <si>
    <t>October Actual v. Forecasted</t>
  </si>
  <si>
    <t>1. Inverter 2 is underperforming by 6kW compared to peer from 09/10. Fuses were replaced on 10/24 and inverter back to expected production.
2. Forecasted data is not available</t>
  </si>
  <si>
    <t>1. SR092069</t>
  </si>
  <si>
    <t>November Actual v. Expected</t>
  </si>
  <si>
    <t>November Actual v. Forecasted</t>
  </si>
  <si>
    <t>1. Inverter 4 is underperforming by 6kW from 11/02 due to stuck tracker.
2. Site tripped offline at 05:15 AM and back online at 06:00 AM on 11/25 due to utility outage.
3. Forecasted data is not available.</t>
  </si>
  <si>
    <t>1. 	SR092973
	2. SR093586</t>
  </si>
  <si>
    <t>December Actual v. Expected</t>
  </si>
  <si>
    <t>December Actual v. Forecasted</t>
  </si>
  <si>
    <t>1. Inverter 4 is underperforming by 6kW from 11/02 due to stuck tracker. Tracker was replaced on 12/19.
2. Site was offline from 06:28 AM on 12/12 to 03:15 PM on 12/16 to work on actuators.
3. Forecasted data is not available.</t>
  </si>
  <si>
    <t>Portfolio:</t>
  </si>
  <si>
    <t>Valmont Industries</t>
  </si>
  <si>
    <t>Site DAS Name</t>
  </si>
  <si>
    <t>Update</t>
  </si>
  <si>
    <t>DAS</t>
  </si>
  <si>
    <t>Valmont Bristol</t>
  </si>
  <si>
    <t>Valmont</t>
  </si>
  <si>
    <t>IN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</si>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</sst>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4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SUM(C4:C72)</f>
        <v>348313.24</v>
      </c>
      <c r="D2" s="5">
        <f>SUM(D4:D72)</f>
        <v>155538.788</v>
      </c>
      <c r="E2" s="5">
        <f>C2-D2</f>
        <v>192774.45199999999</v>
      </c>
      <c r="F2" s="6">
        <f>IFERROR(E2/D2, 0)</f>
        <v>1.2393979307592393</v>
      </c>
      <c r="G2" s="5">
        <f>SUM(G4:G72)</f>
        <v>0</v>
      </c>
      <c r="H2" s="7">
        <f>C2-G2</f>
        <v>348313.24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Valmont</v>
      </c>
      <c r="B4" s="9" t="str" cm="1">
        <f t="array" ref="B4">Sites[State]</f>
        <v>IN</v>
      </c>
      <c r="C4" s="18">
        <f>SUM('1st Qtr'!C4, '2nd Qtr'!C4, '3rd Qtr'!C4, '4th Qtr'!C4)</f>
        <v>348313.24</v>
      </c>
      <c r="D4" s="11">
        <f>SUM('1st Qtr'!D4, '2nd Qtr'!D4, '3rd Qtr'!D4, '4th Qtr'!D4)</f>
        <v>155538.788</v>
      </c>
      <c r="E4" s="11">
        <f>IF(AND(ISNUMBER(C4),ISNUMBER(D4)), C4-D4, "")</f>
        <v>192774.45199999999</v>
      </c>
      <c r="F4" s="12">
        <f>IFERROR(E4/D4, "")</f>
        <v>1.2393979307592393</v>
      </c>
      <c r="G4" s="13">
        <f>SUM('1st Qtr'!G4, '2nd Qtr'!G4, '3rd Qtr'!G4, '4th Qtr'!G4)</f>
        <v>0</v>
      </c>
      <c r="H4" s="13">
        <f>SUM('1st Qtr'!H4, '2nd Qtr'!H4, '3rd Qtr'!H4, '4th Qtr'!H4)</f>
        <v>348313.24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2 I4:I7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4"/>
  <sheetViews>
    <sheetView workbookViewId="0">
      <pane xSplit="2" ySplit="3" topLeftCell="C4" activePane="bottomRight" state="frozen"/>
      <selection pane="bottomRight" activeCell="C19" sqref="C19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SUM(Jan!C4, Feb!C4, Mar!C4)</f>
        <v>0</v>
      </c>
      <c r="D4" s="11">
        <f>SUM(Jan!D4, Feb!D4, Mar!D4)</f>
        <v>0</v>
      </c>
      <c r="E4" s="11">
        <f>IF(AND(ISNUMBER(C4),ISNUMBER(D4)), C4-D4, "")</f>
        <v>0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2 I4:I7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>
        <f>SUM(Apr!G4,May!G4,Jun!G4)</f>
        <v>0</v>
      </c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4"/>
  <sheetViews>
    <sheetView workbookViewId="0">
      <pane xSplit="2" ySplit="3" topLeftCell="C4" activePane="bottomRight" state="frozen"/>
      <selection pane="bottomRight" activeCell="C4" sqref="C4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SUM(C4:C72)</f>
        <v>202261.36499999999</v>
      </c>
      <c r="D2" s="5">
        <f>SUM(D4:D72)</f>
        <v>55015.48</v>
      </c>
      <c r="E2" s="5">
        <f>C2-D2</f>
        <v>147245.88499999998</v>
      </c>
      <c r="F2" s="6">
        <f>IFERROR(E2/D2, 0)</f>
        <v>2.6764446115893192</v>
      </c>
      <c r="G2" s="5">
        <f>SUM(G4:G72)</f>
        <v>0</v>
      </c>
      <c r="H2" s="7">
        <f>C2-G2</f>
        <v>202261.36499999999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SUM(Jul!C4, Aug!C4, Sep!C4)</f>
        <v>202261.36499999999</v>
      </c>
      <c r="D4" s="11">
        <f>SUM(Jul!D4, Aug!D4, Sep!D4)</f>
        <v>55015.48</v>
      </c>
      <c r="E4" s="11">
        <f>IF(AND(ISNUMBER(C4),ISNUMBER(D4)), C4-D4, "")</f>
        <v>147245.88499999998</v>
      </c>
      <c r="F4" s="12">
        <f>IFERROR(E4/D4, "")</f>
        <v>2.6764446115893192</v>
      </c>
      <c r="G4" s="13"/>
      <c r="H4" s="13">
        <f>SUM(Jul!H4, Aug!H4, Sep!H4)</f>
        <v>202261.36499999999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4"/>
  <sheetViews>
    <sheetView workbookViewId="0">
      <pane xSplit="2" ySplit="3" topLeftCell="C4" activePane="bottomRight" state="frozen"/>
      <selection pane="bottomRight" activeCell="C10" sqref="C10"/>
      <selection pane="bottomLeft" activeCell="C10" sqref="C10"/>
      <selection pane="topRight" activeCell="C10" sqref="C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Valmont Industries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SUM(C4:C72)</f>
        <v>146051.875</v>
      </c>
      <c r="D2" s="5">
        <f>SUM(D4:D72)</f>
        <v>100523.308</v>
      </c>
      <c r="E2" s="5">
        <f>C2-D2</f>
        <v>45528.566999999995</v>
      </c>
      <c r="F2" s="6">
        <f>IFERROR(E2/D2, 0)</f>
        <v>0.45291552681493524</v>
      </c>
      <c r="G2" s="5">
        <f>SUM(G4:G72)</f>
        <v>0</v>
      </c>
      <c r="H2" s="7">
        <f>C2-G2</f>
        <v>146051.875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Valmont</v>
      </c>
      <c r="B4" s="9" t="str" cm="1">
        <f t="array" ref="B4">Sites[State]</f>
        <v>IN</v>
      </c>
      <c r="C4" s="18">
        <f>SUM(Oct!C4, Nov!C4, Dec!C4)</f>
        <v>146051.875</v>
      </c>
      <c r="D4" s="11">
        <f>SUM(Oct!D4, Nov!D4, Dec!D4)</f>
        <v>100523.308</v>
      </c>
      <c r="E4" s="11">
        <f>IF(AND(ISNUMBER(C4),ISNUMBER(D4)), C4-D4, "")</f>
        <v>45528.566999999995</v>
      </c>
      <c r="F4" s="12">
        <f>IFERROR(E4/D4, "")</f>
        <v>0.45291552681493524</v>
      </c>
      <c r="G4" s="13"/>
      <c r="H4" s="13">
        <f>SUM(Oct!H4, Nov!H4, Dec!H4)</f>
        <v>146051.875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  <row r="314" spans="1:9" ht="13.9">
      <c r="A314" s="15"/>
      <c r="B314" s="15"/>
      <c r="C314" s="15"/>
      <c r="D314" s="15"/>
      <c r="E314" s="15"/>
      <c r="F314" s="16"/>
      <c r="G314" s="15"/>
      <c r="H314" s="15"/>
      <c r="I314" s="16"/>
    </row>
  </sheetData>
  <mergeCells count="4">
    <mergeCell ref="G1:I1"/>
    <mergeCell ref="A1:C1"/>
    <mergeCell ref="D1:F1"/>
    <mergeCell ref="A2:B2"/>
  </mergeCells>
  <conditionalFormatting sqref="F2 I2 F4:F72 I4:I7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3"/>
  <sheetViews>
    <sheetView workbookViewId="0">
      <pane xSplit="2" ySplit="3" topLeftCell="C4" activePane="bottomRight" state="frozen"/>
      <selection pane="bottomRight" activeCell="H8" sqref="H8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1"/>
      <c r="D4" s="11"/>
      <c r="E4" s="11" t="str">
        <f>IF(AND(ISNUMBER(C4),ISNUMBER(D4)), C4-D4, "")</f>
        <v/>
      </c>
      <c r="F4" s="34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D1:F1"/>
    <mergeCell ref="A1:C1"/>
    <mergeCell ref="G1:I1"/>
    <mergeCell ref="A2:B2"/>
  </mergeCells>
  <conditionalFormatting sqref="F2 I2 I4:I71 F5:F7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4"/>
  <sheetViews>
    <sheetView workbookViewId="0">
      <pane xSplit="2" ySplit="3" topLeftCell="C4" activePane="bottomRight" state="frozen"/>
      <selection pane="bottomRight" activeCell="D4" sqref="D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4"/>
  <sheetViews>
    <sheetView workbookViewId="0">
      <pane xSplit="2" ySplit="3" topLeftCell="C4" activePane="bottomRight" state="frozen"/>
      <selection pane="bottomRight" activeCell="G14" sqref="G1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4"/>
  <sheetViews>
    <sheetView workbookViewId="0">
      <pane xSplit="2" ySplit="3" topLeftCell="C4" activePane="bottomRight" state="frozen"/>
      <selection pane="bottomRight" activeCell="G4" sqref="G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Valmont</v>
      </c>
      <c r="B4" s="22" t="str" cm="1">
        <f t="array" ref="B4">Sites[State]</f>
        <v>IN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4"/>
  <sheetViews>
    <sheetView workbookViewId="0">
      <pane xSplit="2" ySplit="3" topLeftCell="C4" activePane="bottomRight" state="frozen"/>
      <selection pane="bottomRight" activeCell="I9" sqref="I9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0</v>
      </c>
      <c r="D2" s="5">
        <f>SUM(D4:D72)</f>
        <v>0</v>
      </c>
      <c r="E2" s="5">
        <f>C2-D2</f>
        <v>0</v>
      </c>
      <c r="F2" s="6">
        <f>IFERROR(E2/D2, 0)</f>
        <v>0</v>
      </c>
      <c r="G2" s="5">
        <f>SUM(G4:G72)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Valmont</v>
      </c>
      <c r="B4" s="22" t="str" cm="1">
        <f t="array" ref="B4">Sites[State]</f>
        <v>IN</v>
      </c>
      <c r="C4" s="18">
        <v>0</v>
      </c>
      <c r="D4" s="11">
        <v>0</v>
      </c>
      <c r="E4" s="11">
        <f>IF(AND(ISNUMBER(C4),ISNUMBER(D4)), C4-D4, "")</f>
        <v>0</v>
      </c>
      <c r="F4" s="12" t="str">
        <f>IFERROR(E4/D4, "")</f>
        <v/>
      </c>
      <c r="G4" s="13">
        <v>0</v>
      </c>
      <c r="H4" s="13">
        <f>IF(AND(ISNUMBER(C4),ISNUMBER(G4)), C4-G4, "")</f>
        <v>0</v>
      </c>
      <c r="I4" s="14" t="str">
        <f>IFERROR(H4/G4, "")</f>
        <v/>
      </c>
      <c r="J4" s="32" t="s">
        <v>34</v>
      </c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2 I4:I7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4"/>
  <sheetViews>
    <sheetView workbookViewId="0">
      <pane xSplit="2" ySplit="3" topLeftCell="C4" activePane="bottomRight" state="frozen"/>
      <selection pane="bottomRight" activeCell="E4" sqref="E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96734.24</v>
      </c>
      <c r="D2" s="5">
        <f>SUM(D4:D72)</f>
        <v>0</v>
      </c>
      <c r="E2" s="5">
        <f>C2-D2</f>
        <v>96734.24</v>
      </c>
      <c r="F2" s="6">
        <f>IFERROR(E2/D2, 0)</f>
        <v>0</v>
      </c>
      <c r="G2" s="5">
        <f>SUM(G4:G72)</f>
        <v>0</v>
      </c>
      <c r="H2" s="7">
        <f>C2-G2</f>
        <v>96734.24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42" t="str" cm="1">
        <f t="array" ref="A4">Sites[Site]</f>
        <v>Valmont</v>
      </c>
      <c r="B4" s="22" t="str" cm="1">
        <f t="array" ref="B4">Sites[State]</f>
        <v>IN</v>
      </c>
      <c r="C4" s="18">
        <v>96734.24</v>
      </c>
      <c r="D4" s="11">
        <v>0</v>
      </c>
      <c r="E4" s="11">
        <f>IF(AND(ISNUMBER(C4),ISNUMBER(D4)), C4-D4, "")</f>
        <v>96734.24</v>
      </c>
      <c r="F4" s="12" t="str">
        <f>IFERROR(E4/D4, "")</f>
        <v/>
      </c>
      <c r="G4" s="43">
        <v>0</v>
      </c>
      <c r="H4" s="13">
        <f>IF(AND(ISNUMBER(C4),ISNUMBER(G4)), C4-G4, "")</f>
        <v>96734.24</v>
      </c>
      <c r="I4" s="14" t="str">
        <f>IFERROR(H4/G4, "")</f>
        <v/>
      </c>
      <c r="J4" s="32" t="s">
        <v>37</v>
      </c>
      <c r="K4" s="32" t="s">
        <v>38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4"/>
  <sheetViews>
    <sheetView workbookViewId="0">
      <pane xSplit="2" ySplit="3" topLeftCell="C4" activePane="bottomRight" state="frozen"/>
      <selection pane="bottomRight" activeCell="F4" sqref="F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39</v>
      </c>
      <c r="E1" s="47"/>
      <c r="F1" s="47"/>
      <c r="G1" s="45" t="s">
        <v>40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105527.125</v>
      </c>
      <c r="D2" s="5">
        <f>SUM(D4:D72)</f>
        <v>55015.48</v>
      </c>
      <c r="E2" s="5">
        <f>C2-D2</f>
        <v>50511.644999999997</v>
      </c>
      <c r="F2" s="6">
        <f>IFERROR(E2/D2, 0)</f>
        <v>0.9181351321482607</v>
      </c>
      <c r="G2" s="5">
        <f>SUM(G4:G72)</f>
        <v>0</v>
      </c>
      <c r="H2" s="7">
        <f>C2-G2</f>
        <v>105527.125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Valmont</v>
      </c>
      <c r="B4" s="22" t="str" cm="1">
        <f t="array" ref="B4">Sites[State]</f>
        <v>IN</v>
      </c>
      <c r="C4" s="18">
        <v>105527.125</v>
      </c>
      <c r="D4" s="11">
        <v>55015.48</v>
      </c>
      <c r="E4" s="11">
        <f>IF(AND(ISNUMBER(C4),ISNUMBER(D4)), C4-D4, "")</f>
        <v>50511.644999999997</v>
      </c>
      <c r="F4" s="12">
        <f>IFERROR(E4/D4, "")</f>
        <v>0.9181351321482607</v>
      </c>
      <c r="G4" s="43">
        <v>0</v>
      </c>
      <c r="H4" s="13">
        <f>IF(AND(ISNUMBER(C4),ISNUMBER(G4)), C4-G4, "")</f>
        <v>105527.125</v>
      </c>
      <c r="I4" s="14" t="str">
        <f>IFERROR(H4/G4, "")</f>
        <v/>
      </c>
      <c r="J4" s="32" t="s">
        <v>41</v>
      </c>
      <c r="K4" s="32" t="s">
        <v>42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44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4"/>
  <sheetViews>
    <sheetView workbookViewId="0">
      <pane xSplit="2" ySplit="3" topLeftCell="D4" activePane="bottomRight" state="frozen"/>
      <selection pane="bottomRight" activeCell="J10" sqref="J10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43</v>
      </c>
      <c r="E1" s="47"/>
      <c r="F1" s="47"/>
      <c r="G1" s="45" t="s">
        <v>44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95419.562999999995</v>
      </c>
      <c r="D2" s="5">
        <f>SUM(D4:D72)</f>
        <v>63443.714</v>
      </c>
      <c r="E2" s="5">
        <f>C2-D2</f>
        <v>31975.848999999995</v>
      </c>
      <c r="F2" s="6">
        <f>IFERROR(E2/D2, 0)</f>
        <v>0.50400342262434372</v>
      </c>
      <c r="G2" s="5">
        <f>SUM(G4:G72)</f>
        <v>0</v>
      </c>
      <c r="H2" s="7">
        <f>C2-G2</f>
        <v>95419.562999999995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15">
      <c r="A4" s="23" t="str" cm="1">
        <f t="array" ref="A4">Sites[Site]</f>
        <v>Valmont</v>
      </c>
      <c r="B4" s="22" t="str" cm="1">
        <f t="array" ref="B4">Sites[State]</f>
        <v>IN</v>
      </c>
      <c r="C4" s="18">
        <v>95419.562999999995</v>
      </c>
      <c r="D4" s="11">
        <v>63443.714</v>
      </c>
      <c r="E4" s="11">
        <f>IF(AND(ISNUMBER(C4),ISNUMBER(D4)), C4-D4, "")</f>
        <v>31975.848999999995</v>
      </c>
      <c r="F4" s="12">
        <f>IFERROR(E4/D4, "")</f>
        <v>0.50400342262434372</v>
      </c>
      <c r="G4" s="13">
        <v>0</v>
      </c>
      <c r="H4" s="13">
        <f>IF(AND(ISNUMBER(C4),ISNUMBER(G4)), C4-G4, "")</f>
        <v>95419.562999999995</v>
      </c>
      <c r="I4" s="14" t="str">
        <f>IFERROR(H4/G4, "")</f>
        <v/>
      </c>
      <c r="J4" s="32" t="s">
        <v>45</v>
      </c>
      <c r="K4" s="32" t="s">
        <v>46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4"/>
  <sheetViews>
    <sheetView workbookViewId="0">
      <pane xSplit="2" ySplit="3" topLeftCell="D4" activePane="bottomRight" state="frozen"/>
      <selection pane="bottomRight" activeCell="K4" sqref="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47</v>
      </c>
      <c r="E1" s="47"/>
      <c r="F1" s="47"/>
      <c r="G1" s="45" t="s">
        <v>48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33767.281000000003</v>
      </c>
      <c r="D2" s="5">
        <f>SUM(D4:D72)</f>
        <v>22866.493999999999</v>
      </c>
      <c r="E2" s="5">
        <f>C2-D2</f>
        <v>10900.787000000004</v>
      </c>
      <c r="F2" s="6">
        <f>IFERROR(E2/D2, 0)</f>
        <v>0.47671440142944538</v>
      </c>
      <c r="G2" s="5">
        <f>SUM(G4:G72)</f>
        <v>0</v>
      </c>
      <c r="H2" s="7">
        <f>C2-G2</f>
        <v>33767.281000000003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57.6">
      <c r="A4" s="23" t="str" cm="1">
        <f t="array" ref="A4">Sites[Site]</f>
        <v>Valmont</v>
      </c>
      <c r="B4" s="22" t="str" cm="1">
        <f t="array" ref="B4">Sites[State]</f>
        <v>IN</v>
      </c>
      <c r="C4" s="18">
        <v>33767.281000000003</v>
      </c>
      <c r="D4" s="11">
        <v>22866.493999999999</v>
      </c>
      <c r="E4" s="11">
        <f>IF(AND(ISNUMBER(C4),ISNUMBER(D4)), C4-D4, "")</f>
        <v>10900.787000000004</v>
      </c>
      <c r="F4" s="12">
        <f>IFERROR(E4/D4, "")</f>
        <v>0.47671440142944538</v>
      </c>
      <c r="G4" s="13">
        <v>0</v>
      </c>
      <c r="H4" s="13">
        <f>IF(AND(ISNUMBER(C4),ISNUMBER(G4)), C4-G4, "")</f>
        <v>33767.281000000003</v>
      </c>
      <c r="I4" s="14" t="str">
        <f>IFERROR(H4/G4, "")</f>
        <v/>
      </c>
      <c r="J4" s="32" t="s">
        <v>49</v>
      </c>
      <c r="K4" s="32" t="s">
        <v>50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4"/>
  <sheetViews>
    <sheetView tabSelected="1" workbookViewId="0">
      <pane xSplit="2" ySplit="3" topLeftCell="D4" activePane="bottomRight" state="frozen"/>
      <selection pane="bottomRight" activeCell="K4" sqref="K4"/>
      <selection pane="bottomLeft" activeCell="C10" sqref="C10"/>
      <selection pane="topRight" activeCell="C10" sqref="C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Valmont Industries</v>
      </c>
      <c r="B1" s="46"/>
      <c r="C1" s="46"/>
      <c r="D1" s="47" t="s">
        <v>51</v>
      </c>
      <c r="E1" s="47"/>
      <c r="F1" s="47"/>
      <c r="G1" s="45" t="s">
        <v>52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SUM(C4:C72)</f>
        <v>16865.030999999999</v>
      </c>
      <c r="D2" s="5">
        <f>SUM(D4:D72)</f>
        <v>14213.1</v>
      </c>
      <c r="E2" s="5">
        <f>C2-D2</f>
        <v>2651.9309999999987</v>
      </c>
      <c r="F2" s="6">
        <f>IFERROR(E2/D2, 0)</f>
        <v>0.18658357430820852</v>
      </c>
      <c r="G2" s="5">
        <f>SUM(G4:G72)</f>
        <v>0</v>
      </c>
      <c r="H2" s="7">
        <f>C2-G2</f>
        <v>16865.030999999999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72">
      <c r="A4" s="23" t="str" cm="1">
        <f t="array" ref="A4">Sites[Site]</f>
        <v>Valmont</v>
      </c>
      <c r="B4" s="22" t="str" cm="1">
        <f t="array" ref="B4">Sites[State]</f>
        <v>IN</v>
      </c>
      <c r="C4" s="18">
        <v>16865.030999999999</v>
      </c>
      <c r="D4" s="11">
        <v>14213.1</v>
      </c>
      <c r="E4" s="11">
        <f>IF(AND(ISNUMBER(C4),ISNUMBER(D4)), C4-D4, "")</f>
        <v>2651.9309999999987</v>
      </c>
      <c r="F4" s="12">
        <f>IFERROR(E4/D4, "")</f>
        <v>0.18658357430820852</v>
      </c>
      <c r="G4" s="13">
        <v>0</v>
      </c>
      <c r="H4" s="13">
        <f>IF(AND(ISNUMBER(C4),ISNUMBER(G4)), C4-G4, "")</f>
        <v>16865.030999999999</v>
      </c>
      <c r="I4" s="14" t="str">
        <f>IFERROR(H4/G4, "")</f>
        <v/>
      </c>
      <c r="J4" s="32" t="s">
        <v>53</v>
      </c>
      <c r="K4" s="32" t="s">
        <v>50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A313" s="15"/>
      <c r="B313" s="24"/>
      <c r="C313" s="15"/>
      <c r="D313" s="15"/>
      <c r="E313" s="15"/>
      <c r="F313" s="16"/>
      <c r="G313" s="15"/>
      <c r="H313" s="15"/>
      <c r="I313" s="16"/>
      <c r="J313" s="15"/>
      <c r="K313" s="15"/>
    </row>
    <row r="314" spans="1:11" ht="14.45">
      <c r="C314" s="15"/>
      <c r="D314" s="15"/>
      <c r="E314" s="15"/>
      <c r="F314" s="16"/>
      <c r="G314" s="15"/>
      <c r="H314" s="15"/>
      <c r="I314" s="16"/>
      <c r="J314" s="15"/>
      <c r="K314" s="15"/>
    </row>
  </sheetData>
  <mergeCells count="4">
    <mergeCell ref="G1:I1"/>
    <mergeCell ref="A1:C1"/>
    <mergeCell ref="D1:F1"/>
    <mergeCell ref="A2:B2"/>
  </mergeCells>
  <conditionalFormatting sqref="F2 I2 F4:F72 I4:I7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11.425781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s="40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38" t="s">
        <v>59</v>
      </c>
      <c r="B4" t="s">
        <v>60</v>
      </c>
      <c r="C4" s="36" t="s">
        <v>61</v>
      </c>
      <c r="D4" s="41"/>
      <c r="E4" s="40" t="s">
        <v>62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3AEAA9D8-2182-46BA-A58E-96C72DDA1C54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2025-02-13T07:29:02Z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2025-02-10T20:30:54Z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75efe078-835a-4483-9c70-3d5453774c6f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