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1" documentId="13_ncr:1_{DBF3B3F4-DEB3-4997-A234-9836C367DB48}" xr6:coauthVersionLast="47" xr6:coauthVersionMax="47" xr10:uidLastSave="{998243DF-E077-4B32-B3CC-F6D9CCECAE6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0" l="1"/>
  <c r="G5" i="30"/>
  <c r="G4" i="30"/>
  <c r="G6" i="29"/>
  <c r="G5" i="29"/>
  <c r="G4" i="29"/>
  <c r="E5" i="33"/>
  <c r="E5" i="32"/>
  <c r="G5" i="18"/>
  <c r="G2" i="18" s="1"/>
  <c r="G6" i="18"/>
  <c r="G4" i="18"/>
  <c r="I6" i="72"/>
  <c r="I5" i="72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72"/>
  <c r="F7" i="72" s="1"/>
  <c r="H7" i="72"/>
  <c r="I7" i="72" s="1"/>
  <c r="G6" i="1"/>
  <c r="G6" i="34" s="1"/>
  <c r="G5" i="1"/>
  <c r="G4" i="1"/>
  <c r="B4" i="34" a="1"/>
  <c r="B4" i="34" s="1"/>
  <c r="A4" i="34" a="1"/>
  <c r="A4" i="34" s="1"/>
  <c r="A1" i="34" a="1"/>
  <c r="A1" i="34" s="1"/>
  <c r="D6" i="30"/>
  <c r="D6" i="34" s="1"/>
  <c r="C6" i="30"/>
  <c r="C6" i="34" s="1"/>
  <c r="D5" i="30"/>
  <c r="D5" i="34" s="1"/>
  <c r="C5" i="30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F5" i="33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F5" i="32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F4" i="72" s="1"/>
  <c r="A1" i="72" a="1"/>
  <c r="A1" i="72" s="1"/>
  <c r="E5" i="30" l="1"/>
  <c r="F5" i="30" s="1"/>
  <c r="C5" i="34"/>
  <c r="H2" i="31"/>
  <c r="I2" i="31" s="1"/>
  <c r="H2" i="26"/>
  <c r="I2" i="26" s="1"/>
  <c r="G5" i="34"/>
  <c r="G4" i="34"/>
  <c r="D2" i="18"/>
  <c r="H2" i="20"/>
  <c r="I2" i="20" s="1"/>
  <c r="G2" i="34"/>
  <c r="D4" i="34"/>
  <c r="D2" i="34" s="1"/>
  <c r="D2" i="30"/>
  <c r="H6" i="29"/>
  <c r="I6" i="29" s="1"/>
  <c r="E5" i="29"/>
  <c r="F5" i="29" s="1"/>
  <c r="H2" i="21"/>
  <c r="I2" i="21" s="1"/>
  <c r="E5" i="18"/>
  <c r="F5" i="18" s="1"/>
  <c r="E2" i="20"/>
  <c r="F2" i="20" s="1"/>
  <c r="J2" i="21"/>
  <c r="H6" i="30"/>
  <c r="J2" i="20"/>
  <c r="H2" i="19"/>
  <c r="I2" i="19" s="1"/>
  <c r="E4" i="18"/>
  <c r="F4" i="18" s="1"/>
  <c r="E4" i="30"/>
  <c r="F4" i="30" s="1"/>
  <c r="J2" i="26"/>
  <c r="H2" i="28"/>
  <c r="I2" i="28" s="1"/>
  <c r="H2" i="4"/>
  <c r="I2" i="4" s="1"/>
  <c r="H2" i="27"/>
  <c r="I2" i="27" s="1"/>
  <c r="E2" i="28"/>
  <c r="F2" i="28" s="1"/>
  <c r="H2" i="33"/>
  <c r="I2" i="33" s="1"/>
  <c r="D2" i="29"/>
  <c r="J2" i="27"/>
  <c r="J2" i="28"/>
  <c r="H2" i="32"/>
  <c r="I2" i="32" s="1"/>
  <c r="J2" i="31"/>
  <c r="E6" i="18"/>
  <c r="F6" i="18" s="1"/>
  <c r="E6" i="29"/>
  <c r="F6" i="29" s="1"/>
  <c r="E6" i="30"/>
  <c r="F6" i="30" s="1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0" l="1"/>
  <c r="H5" i="34"/>
  <c r="I5" i="34" s="1"/>
  <c r="I6" i="30"/>
  <c r="H6" i="34"/>
  <c r="I6" i="34" s="1"/>
  <c r="E2" i="29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<sst xmlns="http://schemas.openxmlformats.org/spreadsheetml/2006/main" count="268" uniqueCount="64">
  <si>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</si>
  <si>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</si>
  <si>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</si>
  <si>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</si>
  <si>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</si>
  <si>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</si>
  <si>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</si>
  <si>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</si>
  <si>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</si>
  <si>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</si>
  <si>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</si>
  <si>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</si>
  <si>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</si>
  <si>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</si>
  <si>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</si>
  <si>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</si>
  <si>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</si>
  <si>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</si>
  <si>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</si>
  <si>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</si>
  <si>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</si>
  <si>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</si>
  <si>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</si>
  <si>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</si>
  <si>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</si>
  <si>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</si>
  <si>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</si>
  <si>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</si>
  <si>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is reporting negative values 04/10</t>
  </si>
  <si>
    <t>1. SR087003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</si>
  <si>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</si>
  <si>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</si>
  <si>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</si>
  <si>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</si>
  <si>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</si>
  <si>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</si>
  <si>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Weather station is shaded every morning from 07/15.</t>
  </si>
  <si>
    <t>1. SR087715, SR088955</t>
  </si>
  <si>
    <t>1. Meter is reporting negative value from 07/25</t>
  </si>
  <si>
    <t>August Actual v. Expected</t>
  </si>
  <si>
    <t>August Actual v. Forecasted</t>
  </si>
  <si>
    <t>1. Meter A has an intermittent communications issue from 08/12.</t>
  </si>
  <si>
    <t>1. SR088955</t>
  </si>
  <si>
    <t>September Actual v. Expected</t>
  </si>
  <si>
    <t>September Actual v. Forecasted</t>
  </si>
  <si>
    <t>1. Meter A has an intermittent communications issue from 08/12 and resolved on 09/04.</t>
  </si>
  <si>
    <t>1. Meter is reporting accturate value from 07/25</t>
  </si>
  <si>
    <t>October Actual v. Expected</t>
  </si>
  <si>
    <t>October Actual v. Forecasted</t>
  </si>
  <si>
    <t>1.Weather station is shaded every morning</t>
  </si>
  <si>
    <t>1.SR087715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</si>
  <si>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</si>
  <si>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</si>
  <si>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</si>
  <si>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</si>
  <si>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</si>
  <si>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Lake Havasu USD</t>
  </si>
  <si>
    <t>Site DAS Name</t>
  </si>
  <si>
    <t>Update</t>
  </si>
  <si>
    <t>DAS</t>
  </si>
  <si>
    <t>AZ: Lake Havasu - District Office</t>
  </si>
  <si>
    <t>AZ</t>
  </si>
  <si>
    <t>AZ: Lake Havasu - HS Library</t>
  </si>
  <si>
    <t>AZ: Lake Havasu-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</si>
</sst>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D16" sqref="D16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SUM(C4:C91)</f>
        <v>672096</v>
      </c>
      <c r="D2" s="6">
        <f>SUM(D4:D91)</f>
        <v>692408.92999999993</v>
      </c>
      <c r="E2" s="6">
        <f>C2-D2</f>
        <v>-20312.929999999935</v>
      </c>
      <c r="F2" s="7">
        <f>IFERROR(E2/D2, 0)</f>
        <v>-2.9336608931372299E-2</v>
      </c>
      <c r="G2" s="6">
        <f>SUM(G4:G91)</f>
        <v>0</v>
      </c>
      <c r="H2" s="8">
        <f>C2-G2</f>
        <v>672096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SUM('1st Qtr'!C4, '2nd Qtr'!C4, '3rd Qtr'!C4, '4th Qtr'!C4)</f>
        <v>336978</v>
      </c>
      <c r="D4" s="14">
        <f>SUM('1st Qtr'!D4, '2nd Qtr'!D4, '3rd Qtr'!D4, '4th Qtr'!D4)</f>
        <v>317701.19</v>
      </c>
      <c r="E4" s="14">
        <f>IF(AND(ISNUMBER(C4),ISNUMBER(D4)), C4-D4, "")</f>
        <v>19276.809999999998</v>
      </c>
      <c r="F4" s="15">
        <f>IFERROR(E4/D4, "")</f>
        <v>6.0675913741462528E-2</v>
      </c>
      <c r="G4" s="16">
        <f>SUM('1st Qtr'!G4,'2nd Qtr'!G4,'3rd Qtr'!G4,'4th Qtr'!G4)</f>
        <v>0</v>
      </c>
      <c r="H4" s="16">
        <f>SUM('1st Qtr'!H4, '2nd Qtr'!H4, '3rd Qtr'!H4, '4th Qtr'!H4)</f>
        <v>336978</v>
      </c>
      <c r="I4" s="17">
        <f>IFERROR(H4/G4, 0)</f>
        <v>0</v>
      </c>
    </row>
    <row r="5" spans="1:9" ht="15.75">
      <c r="A5" s="19" t="str">
        <v>AZ: Lake Havasu - HS Library</v>
      </c>
      <c r="B5" s="11" t="str">
        <v>AZ</v>
      </c>
      <c r="C5" s="20">
        <f>SUM('1st Qtr'!C5, '2nd Qtr'!C5, '3rd Qtr'!C5, '4th Qtr'!C5)</f>
        <v>153213</v>
      </c>
      <c r="D5" s="20">
        <f>SUM('1st Qtr'!D5, '2nd Qtr'!D5, '3rd Qtr'!D5, '4th Qtr'!D5)</f>
        <v>152239.41</v>
      </c>
      <c r="E5" s="20">
        <f t="shared" ref="E5:E6" si="0">IF(AND(ISNUMBER(C5),ISNUMBER(D5)), C5-D5, "")</f>
        <v>973.58999999999651</v>
      </c>
      <c r="F5" s="21">
        <f>IFERROR(E5/D5, "")</f>
        <v>6.3951246264025621E-3</v>
      </c>
      <c r="G5" s="22">
        <f>SUM('1st Qtr'!G5,'2nd Qtr'!G5,'3rd Qtr'!G5,'4th Qtr'!G5)</f>
        <v>0</v>
      </c>
      <c r="H5" s="20">
        <f>SUM('1st Qtr'!H5, '2nd Qtr'!H5, '3rd Qtr'!H5, '4th Qtr'!H5)</f>
        <v>153213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SUM('1st Qtr'!C6, '2nd Qtr'!C6, '3rd Qtr'!C6, '4th Qtr'!C6)</f>
        <v>181905</v>
      </c>
      <c r="D6" s="14">
        <f>SUM('1st Qtr'!D6, '2nd Qtr'!D6, '3rd Qtr'!D6, '4th Qtr'!D6)</f>
        <v>222468.33</v>
      </c>
      <c r="E6" s="14">
        <f t="shared" si="0"/>
        <v>-40563.329999999987</v>
      </c>
      <c r="F6" s="15">
        <f t="shared" ref="F6" si="1">IFERROR(E6/D6, "")</f>
        <v>-0.18233305387782606</v>
      </c>
      <c r="G6" s="16">
        <f>SUM('1st Qtr'!G6,'2nd Qtr'!G6,'3rd Qtr'!G6,'4th Qtr'!G6)</f>
        <v>0</v>
      </c>
      <c r="H6" s="16">
        <f>SUM('1st Qtr'!H6, '2nd Qtr'!H6, '3rd Qtr'!H6, '4th Qtr'!H6)</f>
        <v>181905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ySplit="2" topLeftCell="F3" activePane="bottomLeft" state="frozen"/>
      <selection pane="bottomLeft" activeCell="G5" sqref="G5"/>
      <selection activeCell="C11" sqref="C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SUM(C4:C91)</f>
        <v>140423</v>
      </c>
      <c r="D2" s="6">
        <f>SUM(D4:D91)</f>
        <v>132268.19</v>
      </c>
      <c r="E2" s="6">
        <f>C2-D2</f>
        <v>8154.8099999999977</v>
      </c>
      <c r="F2" s="7">
        <f>IFERROR(E2/D2, 0)</f>
        <v>6.1653599402849597E-2</v>
      </c>
      <c r="G2" s="6">
        <f>SUM(G4:G91)</f>
        <v>0</v>
      </c>
      <c r="H2" s="8">
        <f>C2-G2</f>
        <v>140423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SUM(Jan!C4, Feb!C4, Mar!C4)</f>
        <v>66512</v>
      </c>
      <c r="D4" s="14">
        <f>SUM(Jan!D4, Feb!D4, Mar!D4)</f>
        <v>52524.83</v>
      </c>
      <c r="E4" s="14">
        <f>IF(AND(ISNUMBER(C4),ISNUMBER(D4)), C4-D4, "")</f>
        <v>13987.169999999998</v>
      </c>
      <c r="F4" s="15">
        <f>IFERROR(E4/D4, "")</f>
        <v>0.2662963402261368</v>
      </c>
      <c r="G4" s="16">
        <f>SUM(Jan!G4, Feb!G4, Mar!G4)</f>
        <v>0</v>
      </c>
      <c r="H4" s="16">
        <f>SUM(Jan!H4, Feb!H4, Mar!H4)</f>
        <v>66512</v>
      </c>
      <c r="I4" s="17">
        <f>IFERROR(H4/G4, 0)</f>
        <v>0</v>
      </c>
    </row>
    <row r="5" spans="1:9" ht="15.6">
      <c r="A5" s="19" t="str">
        <v>AZ: Lake Havasu - HS Library</v>
      </c>
      <c r="B5" s="11" t="str">
        <v>AZ</v>
      </c>
      <c r="C5" s="12">
        <f>SUM(Jan!C5, Feb!C5, Mar!C5)</f>
        <v>31104</v>
      </c>
      <c r="D5" s="20">
        <f>SUM(Jan!D5, Feb!D5, Mar!D5)</f>
        <v>35099.29</v>
      </c>
      <c r="E5" s="20">
        <f t="shared" ref="E5:E6" si="0">IF(AND(ISNUMBER(C5),ISNUMBER(D5)), C5-D5, "")</f>
        <v>-3995.2900000000009</v>
      </c>
      <c r="F5" s="21">
        <f>IFERROR(E5/D5, "")</f>
        <v>-0.1138282284342504</v>
      </c>
      <c r="G5" s="22">
        <f>SUM(Jan!G5, Feb!G5, Mar!G5)</f>
        <v>0</v>
      </c>
      <c r="H5" s="22">
        <f>SUM(Jan!H5, Feb!H5, Mar!H5)</f>
        <v>31104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SUM(Jan!C6, Feb!C6, Mar!C6)</f>
        <v>42807</v>
      </c>
      <c r="D6" s="14">
        <f>SUM(Jan!D6, Feb!D6, Mar!D6)</f>
        <v>44644.07</v>
      </c>
      <c r="E6" s="14">
        <f t="shared" si="0"/>
        <v>-1837.0699999999997</v>
      </c>
      <c r="F6" s="15">
        <f t="shared" ref="F6" si="1">IFERROR(E6/D6, "")</f>
        <v>-4.1149250057174437E-2</v>
      </c>
      <c r="G6" s="16">
        <f>SUM(Jan!G6, Feb!G6, Mar!G6)</f>
        <v>0</v>
      </c>
      <c r="H6" s="16">
        <f>SUM(Jan!H6, Feb!H6, Mar!H6)</f>
        <v>42807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ySplit="2" topLeftCell="A3" activePane="bottomLeft" state="frozen"/>
      <selection pane="bottomLeft" activeCell="G5" sqref="G5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SUM(C4:C91)</f>
        <v>216026</v>
      </c>
      <c r="D2" s="6">
        <f>SUM(D4:D91)</f>
        <v>226225.03999999998</v>
      </c>
      <c r="E2" s="6">
        <f>C2-D2</f>
        <v>-10199.039999999979</v>
      </c>
      <c r="F2" s="7">
        <f>IFERROR(E2/D2, 0)</f>
        <v>-4.5083603477316124E-2</v>
      </c>
      <c r="G2" s="6">
        <f>SUM(G4:G91)</f>
        <v>0</v>
      </c>
      <c r="H2" s="8">
        <f>C2-G2</f>
        <v>216026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SUM(Apr!C4, May!C4, Jun!C4)</f>
        <v>106156</v>
      </c>
      <c r="D4" s="14">
        <f>SUM(Apr!D4, May!D4, Jun!D4)</f>
        <v>106173.38</v>
      </c>
      <c r="E4" s="14">
        <f>IF(AND(ISNUMBER(C4),ISNUMBER(D4)), C4-D4, "")</f>
        <v>-17.380000000004657</v>
      </c>
      <c r="F4" s="15">
        <f>IFERROR(E4/D4, "")</f>
        <v>-1.6369451551796369E-4</v>
      </c>
      <c r="G4" s="16">
        <f>SUM(Apr!G4,May!G4,Jun!G4)</f>
        <v>0</v>
      </c>
      <c r="H4" s="16">
        <f>SUM(Apr!H4, May!H4, Jun!H4)</f>
        <v>106156</v>
      </c>
      <c r="I4" s="17" t="str">
        <f>IFERROR(H4/G4, "")</f>
        <v/>
      </c>
    </row>
    <row r="5" spans="1:9" ht="15.75">
      <c r="A5" s="19" t="str">
        <v>AZ: Lake Havasu - HS Library</v>
      </c>
      <c r="B5" s="11" t="str">
        <v>AZ</v>
      </c>
      <c r="C5" s="12">
        <f>SUM(Apr!C5, May!C5, Jun!C5)</f>
        <v>48611</v>
      </c>
      <c r="D5" s="20">
        <f>SUM(Apr!D5, May!D5, Jun!D5)</f>
        <v>47676.27</v>
      </c>
      <c r="E5" s="20">
        <f t="shared" ref="E5:E6" si="0">IF(AND(ISNUMBER(C5),ISNUMBER(D5)), C5-D5, "")</f>
        <v>934.7300000000032</v>
      </c>
      <c r="F5" s="21">
        <f>IFERROR(E5/D5, "")</f>
        <v>1.9605770333962855E-2</v>
      </c>
      <c r="G5" s="22">
        <f>SUM(Apr!G5,May!G5,Jun!G5)</f>
        <v>0</v>
      </c>
      <c r="H5" s="22">
        <f>SUM(Apr!H5, May!H5, Jun!H5)</f>
        <v>48611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SUM(Apr!C6, May!C6, Jun!C6)</f>
        <v>61259</v>
      </c>
      <c r="D6" s="14">
        <f>SUM(Apr!D6, May!D6, Jun!D6)</f>
        <v>72375.39</v>
      </c>
      <c r="E6" s="14">
        <f t="shared" si="0"/>
        <v>-11116.39</v>
      </c>
      <c r="F6" s="15">
        <f t="shared" ref="F6" si="1">IFERROR(E6/D6, "")</f>
        <v>-0.15359350740631586</v>
      </c>
      <c r="G6" s="16">
        <f>SUM(Apr!G6,May!G6,Jun!G6)</f>
        <v>0</v>
      </c>
      <c r="H6" s="16">
        <f>SUM(Apr!H6, May!H6, Jun!H6)</f>
        <v>61259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ySplit="2" topLeftCell="C3" activePane="bottomLeft" state="frozen"/>
      <selection pane="bottomLeft" activeCell="G5" sqref="G5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SUM(C4:C91)</f>
        <v>179853</v>
      </c>
      <c r="D2" s="6">
        <f>SUM(D4:D91)</f>
        <v>200677.49</v>
      </c>
      <c r="E2" s="6">
        <f>C2-D2</f>
        <v>-20824.489999999991</v>
      </c>
      <c r="F2" s="7">
        <f>IFERROR(E2/D2, 0)</f>
        <v>-0.10377093115924457</v>
      </c>
      <c r="G2" s="6">
        <f>SUM(G4:G91)</f>
        <v>0</v>
      </c>
      <c r="H2" s="8">
        <f>C2-G2</f>
        <v>179853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SUM(Jul!C4, Aug!C4, Sep!C4)</f>
        <v>98186</v>
      </c>
      <c r="D4" s="14">
        <f>SUM(Jul!D4, Aug!D4, Sep!D4)</f>
        <v>94630.36</v>
      </c>
      <c r="E4" s="14">
        <f>IF(AND(ISNUMBER(C4),ISNUMBER(D4)), C4-D4, "")</f>
        <v>3555.6399999999994</v>
      </c>
      <c r="F4" s="15">
        <f>IFERROR(E4/D4, "")</f>
        <v>3.7573987882958487E-2</v>
      </c>
      <c r="G4" s="16">
        <f>SUM(Jul!G4,Aug!G4,Sep!G4)</f>
        <v>0</v>
      </c>
      <c r="H4" s="16">
        <f>SUM(Jul!H4, Aug!H4, Sep!H4)</f>
        <v>98186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SUM(Jul!C5, Aug!C5, Sep!C5)</f>
        <v>43586</v>
      </c>
      <c r="D5" s="20">
        <f>SUM(Jul!D5, Aug!D5, Sep!D5)</f>
        <v>42115.03</v>
      </c>
      <c r="E5" s="20">
        <f t="shared" ref="E5:E6" si="0">IF(AND(ISNUMBER(C5),ISNUMBER(D5)), C5-D5, "")</f>
        <v>1470.9700000000012</v>
      </c>
      <c r="F5" s="21">
        <f>IFERROR(E5/D5, "")</f>
        <v>3.4927435644709293E-2</v>
      </c>
      <c r="G5" s="22">
        <f>SUM(Jul!G5,Aug!G5,Sep!G5)</f>
        <v>0</v>
      </c>
      <c r="H5" s="22">
        <f>SUM(Jul!H5, Aug!H5, Sep!H5)</f>
        <v>43586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SUM(Jul!C6, Aug!C6, Sep!C6)</f>
        <v>38081</v>
      </c>
      <c r="D6" s="14">
        <f>SUM(Jul!D6, Aug!D6, Sep!D6)</f>
        <v>63932.099999999991</v>
      </c>
      <c r="E6" s="14">
        <f t="shared" si="0"/>
        <v>-25851.099999999991</v>
      </c>
      <c r="F6" s="15">
        <f t="shared" ref="F6" si="1">IFERROR(E6/D6, "")</f>
        <v>-0.40435243015636896</v>
      </c>
      <c r="G6" s="16">
        <f>SUM(Jul!G6,Aug!G6,Sep!G6)</f>
        <v>0</v>
      </c>
      <c r="H6" s="16">
        <f>SUM(Jul!H6, Aug!H6, Sep!H6)</f>
        <v>38081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ySplit="2" topLeftCell="A3" activePane="bottomLeft" state="frozen"/>
      <selection pane="bottomLeft" activeCell="F10" sqref="F10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Lake Havasu USD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SUM(C4:C91)</f>
        <v>135794</v>
      </c>
      <c r="D2" s="6">
        <f>SUM(D4:D91)</f>
        <v>133238.21</v>
      </c>
      <c r="E2" s="6">
        <f>C2-D2</f>
        <v>2555.7900000000081</v>
      </c>
      <c r="F2" s="7">
        <f>IFERROR(E2/D2, 0)</f>
        <v>1.9182109996824546E-2</v>
      </c>
      <c r="G2" s="6">
        <f>SUM(G4:G91)</f>
        <v>0</v>
      </c>
      <c r="H2" s="8">
        <f>C2-G2</f>
        <v>135794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SUM(Oct!C4, Nov!C4, Dec!C4)</f>
        <v>66124</v>
      </c>
      <c r="D4" s="14">
        <f>SUM(Oct!D4, Nov!D4, Dec!D4)</f>
        <v>64372.62</v>
      </c>
      <c r="E4" s="14">
        <f>IF(AND(ISNUMBER(C4),ISNUMBER(D4)), C4-D4, "")</f>
        <v>1751.3799999999974</v>
      </c>
      <c r="F4" s="15">
        <f>IFERROR(E4/D4, "")</f>
        <v>2.7206908775811785E-2</v>
      </c>
      <c r="G4" s="16">
        <f>SUM(Oct!G4,Nov!G5,Dec!G4)</f>
        <v>0</v>
      </c>
      <c r="H4" s="16">
        <f>SUM(Oct!H4, Nov!H4, Dec!H4)</f>
        <v>66124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SUM(Oct!C5, Nov!C5, Dec!C5)</f>
        <v>29912</v>
      </c>
      <c r="D5" s="20">
        <f>SUM(Oct!D5, Nov!D5, Dec!D5)</f>
        <v>27348.82</v>
      </c>
      <c r="E5" s="20">
        <f t="shared" ref="E5:E6" si="0">IF(AND(ISNUMBER(C5),ISNUMBER(D5)), C5-D5, "")</f>
        <v>2563.1800000000003</v>
      </c>
      <c r="F5" s="21">
        <f>IFERROR(E5/D5, "")</f>
        <v>9.372177666166219E-2</v>
      </c>
      <c r="G5" s="22">
        <f>SUM(Oct!G5,Nov!G6,Dec!G5)</f>
        <v>0</v>
      </c>
      <c r="H5" s="22">
        <f>SUM(Oct!H5, Nov!H5, Dec!H5)</f>
        <v>29912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SUM(Oct!C6, Nov!C6, Dec!C6)</f>
        <v>39758</v>
      </c>
      <c r="D6" s="14">
        <f>SUM(Oct!D6, Nov!D6, Dec!D6)</f>
        <v>41516.769999999997</v>
      </c>
      <c r="E6" s="14">
        <f t="shared" si="0"/>
        <v>-1758.7699999999968</v>
      </c>
      <c r="F6" s="15">
        <f t="shared" ref="F6" si="1">IFERROR(E6/D6, "")</f>
        <v>-4.2362881312780279E-2</v>
      </c>
      <c r="G6" s="16">
        <f>SUM(Oct!G6,Nov!G7,Dec!G6)</f>
        <v>0</v>
      </c>
      <c r="H6" s="16">
        <f>SUM(Oct!H6, Nov!H6, Dec!H6)</f>
        <v>39758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workbookViewId="0">
      <pane ySplit="3" topLeftCell="A4" activePane="bottomLeft" state="frozen"/>
      <selection pane="bottomLeft" activeCell="G7" sqref="G7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38644</v>
      </c>
      <c r="D2" s="6">
        <f>SUM(D4:D90)</f>
        <v>38384.19</v>
      </c>
      <c r="E2" s="6">
        <f>C2-D2</f>
        <v>259.80999999999767</v>
      </c>
      <c r="F2" s="7">
        <f>IFERROR(E2/D2, 0)</f>
        <v>6.7686722059263895E-3</v>
      </c>
      <c r="G2" s="6">
        <f>SUM(G4:G90)</f>
        <v>0</v>
      </c>
      <c r="H2" s="8">
        <f>C2-G2</f>
        <v>38644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18583</v>
      </c>
      <c r="D4" s="14">
        <v>18392.830000000002</v>
      </c>
      <c r="E4" s="14">
        <f>IF(AND(ISNUMBER(C4),ISNUMBER(D4)), C4-D4, "")</f>
        <v>190.16999999999825</v>
      </c>
      <c r="F4" s="15">
        <f>IFERROR(E4/D4, "")</f>
        <v>1.0339355063902522E-2</v>
      </c>
      <c r="G4" s="16">
        <v>0</v>
      </c>
      <c r="H4" s="16">
        <f>IF(AND(ISNUMBER(C4),ISNUMBER(G4)), C4-G4, "")</f>
        <v>18583</v>
      </c>
      <c r="I4" s="17">
        <f>IFERROR(H4/G4, 0)</f>
        <v>0</v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8688</v>
      </c>
      <c r="D5" s="20">
        <v>7939.29</v>
      </c>
      <c r="E5" s="20">
        <f t="shared" ref="E5:E6" si="0">IF(AND(ISNUMBER(C5),ISNUMBER(D5)), C5-D5, "")</f>
        <v>748.71</v>
      </c>
      <c r="F5" s="21">
        <f>IFERROR(E5/D5, "")</f>
        <v>9.4304402534735474E-2</v>
      </c>
      <c r="G5" s="22">
        <v>0</v>
      </c>
      <c r="H5" s="22">
        <f t="shared" ref="H5:H6" si="1">IF(AND(ISNUMBER(C5),ISNUMBER(G5)), C5-G5, "")</f>
        <v>8688</v>
      </c>
      <c r="I5" s="21">
        <f>IFERROR(H5/G5, 0)</f>
        <v>0</v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11373</v>
      </c>
      <c r="D6" s="14">
        <v>12052.07</v>
      </c>
      <c r="E6" s="14">
        <f t="shared" si="0"/>
        <v>-679.06999999999971</v>
      </c>
      <c r="F6" s="15">
        <f t="shared" ref="F6" si="2">IFERROR(E6/D6, "")</f>
        <v>-5.6344677719263138E-2</v>
      </c>
      <c r="G6" s="16">
        <v>0</v>
      </c>
      <c r="H6" s="16">
        <f t="shared" si="1"/>
        <v>11373</v>
      </c>
      <c r="I6" s="17">
        <f>IFERROR(H6/G6, 0)</f>
        <v>0</v>
      </c>
      <c r="J6" s="18"/>
      <c r="K6" s="18"/>
    </row>
    <row r="7" spans="1:11" ht="14.45">
      <c r="A7" s="23"/>
      <c r="B7" s="35"/>
      <c r="C7" s="23"/>
      <c r="D7" s="23"/>
      <c r="E7" s="23" t="str">
        <f t="shared" ref="E7" si="3">IF(AND(ISNUMBER(C7),ISNUMBER(D7)), C7-D7, "")</f>
        <v/>
      </c>
      <c r="F7" s="23" t="str">
        <f t="shared" ref="F7" si="4">IFERROR(E7/D7, "")</f>
        <v/>
      </c>
      <c r="G7" s="23"/>
      <c r="H7" s="23" t="str">
        <f t="shared" ref="H7" si="5">IF(AND(ISNUMBER(C7),ISNUMBER(G7)), C7-G7, "")</f>
        <v/>
      </c>
      <c r="I7" s="23" t="str">
        <f t="shared" ref="I7" si="6">IFERROR(H7/G7, "")</f>
        <v/>
      </c>
      <c r="J7" s="23"/>
      <c r="K7" s="23"/>
    </row>
    <row r="8" spans="1:11" ht="12.75" customHeight="1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D1:F1"/>
    <mergeCell ref="A1:C1"/>
    <mergeCell ref="G1:I1"/>
    <mergeCell ref="A2:B2"/>
  </mergeCells>
  <conditionalFormatting sqref="F2 I2 F4:F90 I4:I90">
    <cfRule type="cellIs" dxfId="28" priority="2" stopIfTrue="1" operator="lessThanOrEqual">
      <formula>-0.1</formula>
    </cfRule>
    <cfRule type="expression" dxfId="27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ySplit="2" topLeftCell="A3" activePane="bottomLeft" state="frozen"/>
      <selection pane="bottomLeft" activeCell="G7" sqref="G7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22</v>
      </c>
      <c r="E1" s="46"/>
      <c r="F1" s="46"/>
      <c r="G1" s="44" t="s">
        <v>23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40625</v>
      </c>
      <c r="D2" s="6">
        <f>SUM(D4:D91)</f>
        <v>42480</v>
      </c>
      <c r="E2" s="6">
        <f>C2-D2</f>
        <v>-1855</v>
      </c>
      <c r="F2" s="7">
        <f>IFERROR(E2/D2, 0)</f>
        <v>-4.3667608286252352E-2</v>
      </c>
      <c r="G2" s="6">
        <f>SUM(G4:G91)</f>
        <v>0</v>
      </c>
      <c r="H2" s="8">
        <f>C2-G2</f>
        <v>40625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17960</v>
      </c>
      <c r="D4" s="14">
        <v>20518</v>
      </c>
      <c r="E4" s="14">
        <f>IF(AND(ISNUMBER(C4),ISNUMBER(D4)), C4-D4, "")</f>
        <v>-2558</v>
      </c>
      <c r="F4" s="15">
        <f>IFERROR(E4/D4, "")</f>
        <v>-0.12467102056730675</v>
      </c>
      <c r="G4" s="16">
        <v>0</v>
      </c>
      <c r="H4" s="16">
        <f>IF(AND(ISNUMBER(C4),ISNUMBER(G4)), C4-G4, "")</f>
        <v>17960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9669</v>
      </c>
      <c r="D5" s="20">
        <v>8722</v>
      </c>
      <c r="E5" s="20">
        <f t="shared" ref="E5:E6" si="0">IF(AND(ISNUMBER(C5),ISNUMBER(D5)), C5-D5, "")</f>
        <v>947</v>
      </c>
      <c r="F5" s="21">
        <f>IFERROR(E5/D5, "")</f>
        <v>0.10857601467553313</v>
      </c>
      <c r="G5" s="22">
        <v>0</v>
      </c>
      <c r="H5" s="22">
        <f t="shared" ref="H5:H6" si="1">IF(AND(ISNUMBER(C5),ISNUMBER(G5)), C5-G5, "")</f>
        <v>9669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12996</v>
      </c>
      <c r="D6" s="14">
        <v>13240</v>
      </c>
      <c r="E6" s="14">
        <f t="shared" si="0"/>
        <v>-244</v>
      </c>
      <c r="F6" s="15">
        <f t="shared" ref="F6" si="3">IFERROR(E6/D6, "")</f>
        <v>-1.8429003021148038E-2</v>
      </c>
      <c r="G6" s="16">
        <v>0</v>
      </c>
      <c r="H6" s="16">
        <f t="shared" si="1"/>
        <v>12996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ySplit="2" topLeftCell="A3" activePane="bottomLeft" state="frozen"/>
      <selection pane="bottomLeft" activeCell="J4" sqref="J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61154</v>
      </c>
      <c r="D2" s="6">
        <f>SUM(D4:D91)</f>
        <v>51404</v>
      </c>
      <c r="E2" s="6">
        <f>C2-D2</f>
        <v>9750</v>
      </c>
      <c r="F2" s="7">
        <f>IFERROR(E2/D2, 0)</f>
        <v>0.18967395533421524</v>
      </c>
      <c r="G2" s="6">
        <f>SUM(G4:G91)</f>
        <v>0</v>
      </c>
      <c r="H2" s="8">
        <f>C2-G2</f>
        <v>61154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29969</v>
      </c>
      <c r="D4" s="14">
        <v>13614</v>
      </c>
      <c r="E4" s="14">
        <f>IF(AND(ISNUMBER(C4),ISNUMBER(D4)), C4-D4, "")</f>
        <v>16355</v>
      </c>
      <c r="F4" s="15">
        <f>IFERROR(E4/D4, "")</f>
        <v>1.2013368591156164</v>
      </c>
      <c r="G4" s="16">
        <v>0</v>
      </c>
      <c r="H4" s="16">
        <f>IF(AND(ISNUMBER(C4),ISNUMBER(G4)), C4-G4, "")</f>
        <v>29969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>
        <v>12747</v>
      </c>
      <c r="D5" s="20">
        <v>18438</v>
      </c>
      <c r="E5" s="20">
        <f t="shared" ref="E5:E6" si="0">IF(AND(ISNUMBER(C5),ISNUMBER(D5)), C5-D5, "")</f>
        <v>-5691</v>
      </c>
      <c r="F5" s="21">
        <f>IFERROR(E5/D5, "")</f>
        <v>-0.30865603644646927</v>
      </c>
      <c r="G5" s="22">
        <v>0</v>
      </c>
      <c r="H5" s="22">
        <f t="shared" ref="H5:H6" si="1">IF(AND(ISNUMBER(C5),ISNUMBER(G5)), C5-G5, "")</f>
        <v>12747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18438</v>
      </c>
      <c r="D6" s="14">
        <v>19352</v>
      </c>
      <c r="E6" s="14">
        <f t="shared" si="0"/>
        <v>-914</v>
      </c>
      <c r="F6" s="15">
        <f t="shared" ref="F6" si="3">IFERROR(E6/D6, "")</f>
        <v>-4.7230260438197599E-2</v>
      </c>
      <c r="G6" s="16">
        <v>0</v>
      </c>
      <c r="H6" s="16">
        <f t="shared" si="1"/>
        <v>18438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ySplit="2" topLeftCell="A3" activePane="bottomLeft" state="frozen"/>
      <selection pane="bottomLeft" activeCell="K6" sqref="K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68122</v>
      </c>
      <c r="D2" s="6">
        <f>SUM(D4:D91)</f>
        <v>72788.5</v>
      </c>
      <c r="E2" s="6">
        <f>C2-D2</f>
        <v>-4666.5</v>
      </c>
      <c r="F2" s="7">
        <f>IFERROR(E2/D2, 0)</f>
        <v>-6.4110402055269716E-2</v>
      </c>
      <c r="G2" s="6">
        <f>SUM(G4:G91)</f>
        <v>0</v>
      </c>
      <c r="H2" s="8">
        <f>C2-G2</f>
        <v>68122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32166</v>
      </c>
      <c r="D4" s="14">
        <v>34364.78</v>
      </c>
      <c r="E4" s="14">
        <f>IF(AND(ISNUMBER(C4),ISNUMBER(D4)), C4-D4, "")</f>
        <v>-2198.7799999999988</v>
      </c>
      <c r="F4" s="15">
        <f>IFERROR(E4/D4, "")</f>
        <v>-6.3983531976634186E-2</v>
      </c>
      <c r="G4" s="16">
        <v>0</v>
      </c>
      <c r="H4" s="16">
        <f>IF(AND(ISNUMBER(C4),ISNUMBER(G4)), C4-G4, "")</f>
        <v>32166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15724</v>
      </c>
      <c r="D5" s="43">
        <v>15259.27</v>
      </c>
      <c r="E5" s="20">
        <f t="shared" ref="E5:E6" si="0">IF(AND(ISNUMBER(C5),ISNUMBER(D5)), C5-D5, "")</f>
        <v>464.72999999999956</v>
      </c>
      <c r="F5" s="21">
        <f>IFERROR(E5/D5, "")</f>
        <v>3.0455585358932606E-2</v>
      </c>
      <c r="G5" s="22">
        <v>0</v>
      </c>
      <c r="H5" s="22">
        <f t="shared" ref="H5:H6" si="1">IF(AND(ISNUMBER(C5),ISNUMBER(G5)), C5-G5, "")</f>
        <v>15724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20232</v>
      </c>
      <c r="D6" s="14">
        <v>23164.45</v>
      </c>
      <c r="E6" s="14">
        <f t="shared" si="0"/>
        <v>-2932.4500000000007</v>
      </c>
      <c r="F6" s="15">
        <f t="shared" ref="F6" si="3">IFERROR(E6/D6, "")</f>
        <v>-0.12659268836514576</v>
      </c>
      <c r="G6" s="16">
        <v>0</v>
      </c>
      <c r="H6" s="16">
        <f t="shared" si="1"/>
        <v>20232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ySplit="2" topLeftCell="A3" activePane="bottomLeft" state="frozen"/>
      <selection pane="bottomLeft" activeCell="J6" sqref="J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78445</v>
      </c>
      <c r="D2" s="6">
        <f>SUM(D4:D91)</f>
        <v>78950.12</v>
      </c>
      <c r="E2" s="6">
        <f>C2-D2</f>
        <v>-505.11999999999534</v>
      </c>
      <c r="F2" s="7">
        <f>IFERROR(E2/D2, 0)</f>
        <v>-6.3979636763059431E-3</v>
      </c>
      <c r="G2" s="6">
        <f>SUM(G4:G91)</f>
        <v>0</v>
      </c>
      <c r="H2" s="8">
        <f>C2-G2</f>
        <v>78445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37903</v>
      </c>
      <c r="D4" s="14">
        <v>37016.06</v>
      </c>
      <c r="E4" s="14">
        <f>IF(AND(ISNUMBER(C4),ISNUMBER(D4)), C4-D4, "")</f>
        <v>886.94000000000233</v>
      </c>
      <c r="F4" s="15">
        <f>IFERROR(E4/D4, "")</f>
        <v>2.3960951003429386E-2</v>
      </c>
      <c r="G4" s="16">
        <v>0</v>
      </c>
      <c r="H4" s="16">
        <f>IF(AND(ISNUMBER(C4),ISNUMBER(G4)), C4-G4, "")</f>
        <v>37903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16928</v>
      </c>
      <c r="D5" s="43">
        <v>16653.189999999999</v>
      </c>
      <c r="E5" s="20">
        <f t="shared" ref="E5:E6" si="0">IF(AND(ISNUMBER(C5),ISNUMBER(D5)), C5-D5, "")</f>
        <v>274.81000000000131</v>
      </c>
      <c r="F5" s="21">
        <f>IFERROR(E5/D5, "")</f>
        <v>1.6501943471491129E-2</v>
      </c>
      <c r="G5" s="22">
        <v>0</v>
      </c>
      <c r="H5" s="22">
        <f t="shared" ref="H5:H6" si="1">IF(AND(ISNUMBER(C5),ISNUMBER(G5)), C5-G5, "")</f>
        <v>16928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23614</v>
      </c>
      <c r="D6" s="14">
        <v>25280.87</v>
      </c>
      <c r="E6" s="14">
        <f t="shared" si="0"/>
        <v>-1666.869999999999</v>
      </c>
      <c r="F6" s="15">
        <f t="shared" ref="F6" si="3">IFERROR(E6/D6, "")</f>
        <v>-6.5934044200219338E-2</v>
      </c>
      <c r="G6" s="16">
        <v>0</v>
      </c>
      <c r="H6" s="16">
        <f t="shared" si="1"/>
        <v>23614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ySplit="2" topLeftCell="A3" activePane="bottomLeft" state="frozen"/>
      <selection pane="bottomLeft" activeCell="J6" sqref="J6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8.5703125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69459</v>
      </c>
      <c r="D2" s="6">
        <f>SUM(D4:D91)</f>
        <v>74486.42</v>
      </c>
      <c r="E2" s="6">
        <f>C2-D2</f>
        <v>-5027.4199999999983</v>
      </c>
      <c r="F2" s="7">
        <f>IFERROR(E2/D2, 0)</f>
        <v>-6.7494450666309352E-2</v>
      </c>
      <c r="G2" s="6">
        <f>SUM(G4:G91)</f>
        <v>0</v>
      </c>
      <c r="H2" s="8">
        <f>C2-G2</f>
        <v>69459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36087</v>
      </c>
      <c r="D4" s="14">
        <v>34792.54</v>
      </c>
      <c r="E4" s="14">
        <f>IF(AND(ISNUMBER(C4),ISNUMBER(D4)), C4-D4, "")</f>
        <v>1294.4599999999991</v>
      </c>
      <c r="F4" s="15">
        <f>IFERROR(E4/D4, "")</f>
        <v>3.7205102013247643E-2</v>
      </c>
      <c r="G4" s="16">
        <v>0</v>
      </c>
      <c r="H4" s="16">
        <f>IF(AND(ISNUMBER(C4),ISNUMBER(G4)), C4-G4, "")</f>
        <v>36087</v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>
        <v>15959</v>
      </c>
      <c r="D5" s="43">
        <v>15763.81</v>
      </c>
      <c r="E5" s="20">
        <f t="shared" ref="E5:E6" si="0">IF(AND(ISNUMBER(C5),ISNUMBER(D5)), C5-D5, "")</f>
        <v>195.19000000000051</v>
      </c>
      <c r="F5" s="21">
        <f>IFERROR(E5/D5, "")</f>
        <v>1.2382158881640955E-2</v>
      </c>
      <c r="G5" s="22">
        <v>0</v>
      </c>
      <c r="H5" s="22">
        <f t="shared" ref="H5:H6" si="1">IF(AND(ISNUMBER(C5),ISNUMBER(G5)), C5-G5, "")</f>
        <v>15959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17413</v>
      </c>
      <c r="D6" s="14">
        <v>23930.07</v>
      </c>
      <c r="E6" s="14">
        <f t="shared" si="0"/>
        <v>-6517.07</v>
      </c>
      <c r="F6" s="15">
        <f t="shared" ref="F6" si="3">IFERROR(E6/D6, "")</f>
        <v>-0.27233810849696638</v>
      </c>
      <c r="G6" s="16">
        <v>0</v>
      </c>
      <c r="H6" s="16">
        <f t="shared" si="1"/>
        <v>17413</v>
      </c>
      <c r="I6" s="17" t="str">
        <f t="shared" si="2"/>
        <v/>
      </c>
      <c r="J6" s="18" t="s">
        <v>28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ySplit="2" topLeftCell="A3" activePane="bottomLeft" state="frozen"/>
      <selection pane="bottomLeft" activeCell="K4" sqref="K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49228</v>
      </c>
      <c r="D2" s="6">
        <f>SUM(D4:D91)</f>
        <v>72341.81</v>
      </c>
      <c r="E2" s="6">
        <f>C2-D2</f>
        <v>-23113.809999999998</v>
      </c>
      <c r="F2" s="7">
        <f>IFERROR(E2/D2, 0)</f>
        <v>-0.31950831752758191</v>
      </c>
      <c r="G2" s="6">
        <f>SUM(G4:G91)</f>
        <v>0</v>
      </c>
      <c r="H2" s="8">
        <f>C2-G2</f>
        <v>49228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34796</v>
      </c>
      <c r="D4" s="14">
        <v>33888.19</v>
      </c>
      <c r="E4" s="14">
        <f>IF(AND(ISNUMBER(C4),ISNUMBER(D4)), C4-D4, "")</f>
        <v>907.80999999999767</v>
      </c>
      <c r="F4" s="15">
        <f>IFERROR(E4/D4, "")</f>
        <v>2.678838852119271E-2</v>
      </c>
      <c r="G4" s="16">
        <v>0</v>
      </c>
      <c r="H4" s="16">
        <f>IF(AND(ISNUMBER(C4),ISNUMBER(G4)), C4-G4, "")</f>
        <v>34796</v>
      </c>
      <c r="I4" s="17" t="str">
        <f>IFERROR(H4/G4, "")</f>
        <v/>
      </c>
      <c r="J4" s="18" t="s">
        <v>36</v>
      </c>
      <c r="K4" s="18" t="s">
        <v>37</v>
      </c>
    </row>
    <row r="5" spans="1:11" ht="15.6">
      <c r="A5" s="32" t="str">
        <v>AZ: Lake Havasu - HS Library</v>
      </c>
      <c r="B5" s="33" t="str">
        <v>AZ</v>
      </c>
      <c r="C5" s="43">
        <v>15423</v>
      </c>
      <c r="D5" s="43">
        <v>15271.26</v>
      </c>
      <c r="E5" s="20">
        <f t="shared" ref="E5:E6" si="0">IF(AND(ISNUMBER(C5),ISNUMBER(D5)), C5-D5, "")</f>
        <v>151.73999999999978</v>
      </c>
      <c r="F5" s="21">
        <f>IFERROR(E5/D5, "")</f>
        <v>9.9363117385205795E-3</v>
      </c>
      <c r="G5" s="22">
        <v>0</v>
      </c>
      <c r="H5" s="22">
        <f t="shared" ref="H5:H6" si="1">IF(AND(ISNUMBER(C5),ISNUMBER(G5)), C5-G5, "")</f>
        <v>15423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-991</v>
      </c>
      <c r="D6" s="14">
        <v>23182.36</v>
      </c>
      <c r="E6" s="14">
        <f t="shared" si="0"/>
        <v>-24173.360000000001</v>
      </c>
      <c r="F6" s="15">
        <f t="shared" ref="F6" si="3">IFERROR(E6/D6, "")</f>
        <v>-1.0427480204776389</v>
      </c>
      <c r="G6" s="16">
        <v>0</v>
      </c>
      <c r="H6" s="16">
        <f t="shared" si="1"/>
        <v>-991</v>
      </c>
      <c r="I6" s="17" t="str">
        <f t="shared" si="2"/>
        <v/>
      </c>
      <c r="J6" s="18" t="s">
        <v>38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91 I4:I91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ySplit="2" topLeftCell="A3" activePane="bottomLeft" state="frozen"/>
      <selection pane="bottomLeft" activeCell="J4" sqref="J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67775</v>
      </c>
      <c r="D2" s="6">
        <f>SUM(D4:D91)</f>
        <v>66969.89</v>
      </c>
      <c r="E2" s="6">
        <f>C2-D2</f>
        <v>805.11000000000058</v>
      </c>
      <c r="F2" s="7">
        <f>IFERROR(E2/D2, 0)</f>
        <v>1.2021969873326663E-2</v>
      </c>
      <c r="G2" s="6">
        <f>SUM(G4:G91)</f>
        <v>0</v>
      </c>
      <c r="H2" s="8">
        <f>C2-G2</f>
        <v>67775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32797</v>
      </c>
      <c r="D4" s="14">
        <v>31599.17</v>
      </c>
      <c r="E4" s="14">
        <f>IF(AND(ISNUMBER(C4),ISNUMBER(D4)), C4-D4, "")</f>
        <v>1197.8300000000017</v>
      </c>
      <c r="F4" s="15">
        <f>IFERROR(E4/D4, "")</f>
        <v>3.7907008316990662E-2</v>
      </c>
      <c r="G4" s="16">
        <v>0</v>
      </c>
      <c r="H4" s="16">
        <f>IF(AND(ISNUMBER(C4),ISNUMBER(G4)), C4-G4, "")</f>
        <v>32797</v>
      </c>
      <c r="I4" s="17" t="str">
        <f>IFERROR(H4/G4, "")</f>
        <v/>
      </c>
      <c r="J4" s="18" t="s">
        <v>41</v>
      </c>
      <c r="K4" s="18" t="s">
        <v>42</v>
      </c>
    </row>
    <row r="5" spans="1:11" ht="15.6">
      <c r="A5" s="32" t="str">
        <v>AZ: Lake Havasu - HS Library</v>
      </c>
      <c r="B5" s="33" t="str">
        <v>AZ</v>
      </c>
      <c r="C5" s="43">
        <v>14631</v>
      </c>
      <c r="D5" s="43">
        <v>14046.96</v>
      </c>
      <c r="E5" s="20">
        <f t="shared" ref="E5:E6" si="0">IF(AND(ISNUMBER(C5),ISNUMBER(D5)), C5-D5, "")</f>
        <v>584.04000000000087</v>
      </c>
      <c r="F5" s="21">
        <f>IFERROR(E5/D5, "")</f>
        <v>4.1577679440960955E-2</v>
      </c>
      <c r="G5" s="22">
        <v>0</v>
      </c>
      <c r="H5" s="22">
        <f t="shared" ref="H5:H6" si="1">IF(AND(ISNUMBER(C5),ISNUMBER(G5)), C5-G5, "")</f>
        <v>14631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20347</v>
      </c>
      <c r="D6" s="14">
        <v>21323.759999999998</v>
      </c>
      <c r="E6" s="14">
        <f t="shared" si="0"/>
        <v>-976.7599999999984</v>
      </c>
      <c r="F6" s="15">
        <f t="shared" ref="F6" si="3">IFERROR(E6/D6, "")</f>
        <v>-4.5806180523509855E-2</v>
      </c>
      <c r="G6" s="16">
        <v>0</v>
      </c>
      <c r="H6" s="16">
        <f t="shared" si="1"/>
        <v>20347</v>
      </c>
      <c r="I6" s="17" t="str">
        <f t="shared" si="2"/>
        <v/>
      </c>
      <c r="J6" s="18" t="s">
        <v>38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topLeftCell="D1" workbookViewId="0">
      <pane ySplit="2" topLeftCell="A3" activePane="bottomLeft" state="frozen"/>
      <selection pane="bottomLeft" activeCell="H15" sqref="H15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62850</v>
      </c>
      <c r="D2" s="6">
        <f>SUM(D4:D91)</f>
        <v>61365.789999999994</v>
      </c>
      <c r="E2" s="6">
        <f>C2-D2</f>
        <v>1484.2100000000064</v>
      </c>
      <c r="F2" s="7">
        <f>IFERROR(E2/D2, 0)</f>
        <v>2.4186277077179429E-2</v>
      </c>
      <c r="G2" s="6">
        <f>SUM(G4:G91)</f>
        <v>0</v>
      </c>
      <c r="H2" s="8">
        <f>C2-G2</f>
        <v>62850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30593</v>
      </c>
      <c r="D4" s="14">
        <v>29143</v>
      </c>
      <c r="E4" s="14">
        <f>IF(AND(ISNUMBER(C4),ISNUMBER(D4)), C4-D4, "")</f>
        <v>1450</v>
      </c>
      <c r="F4" s="15">
        <f>IFERROR(E4/D4, "")</f>
        <v>4.9754658065401643E-2</v>
      </c>
      <c r="G4" s="16">
        <v>0</v>
      </c>
      <c r="H4" s="16">
        <f>IF(AND(ISNUMBER(C4),ISNUMBER(G4)), C4-G4, "")</f>
        <v>30593</v>
      </c>
      <c r="I4" s="17" t="str">
        <f>IFERROR(H4/G4, "")</f>
        <v/>
      </c>
      <c r="J4" s="18" t="s">
        <v>45</v>
      </c>
      <c r="K4" s="18" t="s">
        <v>42</v>
      </c>
    </row>
    <row r="5" spans="1:11" ht="15.6">
      <c r="A5" s="32" t="str">
        <v>AZ: Lake Havasu - HS Library</v>
      </c>
      <c r="B5" s="33" t="str">
        <v>AZ</v>
      </c>
      <c r="C5" s="43">
        <v>13532</v>
      </c>
      <c r="D5" s="43">
        <v>12796.81</v>
      </c>
      <c r="E5" s="20">
        <f t="shared" ref="E5:E6" si="0">IF(AND(ISNUMBER(C5),ISNUMBER(D5)), C5-D5, "")</f>
        <v>735.19000000000051</v>
      </c>
      <c r="F5" s="21">
        <f>IFERROR(E5/D5, "")</f>
        <v>5.7451036625534059E-2</v>
      </c>
      <c r="G5" s="22">
        <v>0</v>
      </c>
      <c r="H5" s="22">
        <f t="shared" ref="H5:H6" si="1">IF(AND(ISNUMBER(C5),ISNUMBER(G5)), C5-G5, "")</f>
        <v>13532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18725</v>
      </c>
      <c r="D6" s="14">
        <v>19425.98</v>
      </c>
      <c r="E6" s="14">
        <f t="shared" si="0"/>
        <v>-700.97999999999956</v>
      </c>
      <c r="F6" s="15">
        <f t="shared" ref="F6" si="3">IFERROR(E6/D6, "")</f>
        <v>-3.608466599883247E-2</v>
      </c>
      <c r="G6" s="16">
        <v>0</v>
      </c>
      <c r="H6" s="16">
        <f t="shared" si="1"/>
        <v>18725</v>
      </c>
      <c r="I6" s="17" t="str">
        <f t="shared" si="2"/>
        <v/>
      </c>
      <c r="J6" s="18" t="s">
        <v>46</v>
      </c>
      <c r="K6" s="18" t="s">
        <v>29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tabSelected="1" topLeftCell="C1" workbookViewId="0">
      <pane ySplit="2" topLeftCell="A3" activePane="bottomLeft" state="frozen"/>
      <selection pane="bottomLeft" activeCell="J13" sqref="J13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47</v>
      </c>
      <c r="E1" s="46"/>
      <c r="F1" s="46"/>
      <c r="G1" s="44" t="s">
        <v>48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54632</v>
      </c>
      <c r="D2" s="6">
        <f>SUM(D4:D91)</f>
        <v>52486.19</v>
      </c>
      <c r="E2" s="6">
        <f>C2-D2</f>
        <v>2145.8099999999977</v>
      </c>
      <c r="F2" s="7">
        <f>IFERROR(E2/D2, 0)</f>
        <v>4.0883325690052902E-2</v>
      </c>
      <c r="G2" s="6">
        <f>SUM(G4:G91)</f>
        <v>0</v>
      </c>
      <c r="H2" s="8">
        <f>C2-G2</f>
        <v>54632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26551</v>
      </c>
      <c r="D4" s="14">
        <v>25434.15</v>
      </c>
      <c r="E4" s="14">
        <f>IF(AND(ISNUMBER(C4),ISNUMBER(D4)), C4-D4, "")</f>
        <v>1116.8499999999985</v>
      </c>
      <c r="F4" s="15">
        <f>IFERROR(E4/D4, "")</f>
        <v>4.3911434036521702E-2</v>
      </c>
      <c r="G4" s="16">
        <v>0</v>
      </c>
      <c r="H4" s="16">
        <f>IF(AND(ISNUMBER(C4),ISNUMBER(G4)), C4-G4, "")</f>
        <v>26551</v>
      </c>
      <c r="I4" s="17" t="str">
        <f>IFERROR(H4/G4, "")</f>
        <v/>
      </c>
      <c r="J4" s="18" t="s">
        <v>49</v>
      </c>
      <c r="K4" s="18" t="s">
        <v>50</v>
      </c>
    </row>
    <row r="5" spans="1:11" ht="15.6">
      <c r="A5" s="32" t="str">
        <v>AZ: Lake Havasu - HS Library</v>
      </c>
      <c r="B5" s="33" t="str">
        <v>AZ</v>
      </c>
      <c r="C5" s="12">
        <v>11879</v>
      </c>
      <c r="D5" s="20">
        <v>10743.15</v>
      </c>
      <c r="E5" s="20">
        <f t="shared" ref="E5:E6" si="0">IF(AND(ISNUMBER(C5),ISNUMBER(D5)), C5-D5, "")</f>
        <v>1135.8500000000004</v>
      </c>
      <c r="F5" s="21">
        <f>IFERROR(E5/D5, "")</f>
        <v>0.10572783587681457</v>
      </c>
      <c r="G5" s="22">
        <v>0</v>
      </c>
      <c r="H5" s="22">
        <f t="shared" ref="H5:H6" si="1">IF(AND(ISNUMBER(C5),ISNUMBER(G5)), C5-G5, "")</f>
        <v>11879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16202</v>
      </c>
      <c r="D6" s="14">
        <v>16308.89</v>
      </c>
      <c r="E6" s="14">
        <f t="shared" si="0"/>
        <v>-106.88999999999942</v>
      </c>
      <c r="F6" s="15">
        <f t="shared" ref="F6" si="3">IFERROR(E6/D6, "")</f>
        <v>-6.5540941167669545E-3</v>
      </c>
      <c r="G6" s="16">
        <v>0</v>
      </c>
      <c r="H6" s="16">
        <f t="shared" si="1"/>
        <v>16202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ySplit="2" topLeftCell="A3" activePane="bottomLeft" state="frozen"/>
      <selection pane="bottomLeft" activeCell="D5" sqref="D5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51</v>
      </c>
      <c r="E1" s="46"/>
      <c r="F1" s="46"/>
      <c r="G1" s="44" t="s">
        <v>52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43335</v>
      </c>
      <c r="D2" s="6">
        <f>SUM(D4:D91)</f>
        <v>42353.97</v>
      </c>
      <c r="E2" s="6">
        <f>C2-D2</f>
        <v>981.02999999999884</v>
      </c>
      <c r="F2" s="7">
        <f>IFERROR(E2/D2, 0)</f>
        <v>2.3162645674065473E-2</v>
      </c>
      <c r="G2" s="6">
        <f>SUM(G4:G91)</f>
        <v>0</v>
      </c>
      <c r="H2" s="8">
        <f>C2-G2</f>
        <v>43335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21161</v>
      </c>
      <c r="D4" s="14">
        <v>20545.830000000002</v>
      </c>
      <c r="E4" s="14">
        <f>IF(AND(ISNUMBER(C4),ISNUMBER(D4)), C4-D4, "")</f>
        <v>615.16999999999825</v>
      </c>
      <c r="F4" s="15">
        <f>IFERROR(E4/D4, "")</f>
        <v>2.9941355496468054E-2</v>
      </c>
      <c r="G4" s="16">
        <v>0</v>
      </c>
      <c r="H4" s="16">
        <f>IF(AND(ISNUMBER(C4),ISNUMBER(G4)), C4-G4, "")</f>
        <v>21161</v>
      </c>
      <c r="I4" s="17" t="str">
        <f>IFERROR(H4/G4, "")</f>
        <v/>
      </c>
      <c r="J4" s="18" t="s">
        <v>49</v>
      </c>
      <c r="K4" s="18" t="s">
        <v>50</v>
      </c>
    </row>
    <row r="5" spans="1:11" ht="15.6">
      <c r="A5" s="32" t="str">
        <v>AZ: Lake Havasu - HS Library</v>
      </c>
      <c r="B5" s="33" t="str">
        <v>AZ</v>
      </c>
      <c r="C5" s="12">
        <v>9581</v>
      </c>
      <c r="D5" s="20">
        <v>8660.76</v>
      </c>
      <c r="E5" s="20">
        <f>IF(AND(ISNUMBER(C5),ISNUMBER(D5)), C5-D5, "")</f>
        <v>920.23999999999978</v>
      </c>
      <c r="F5" s="21">
        <f>IFERROR(E5/D5, "")</f>
        <v>0.10625395461830137</v>
      </c>
      <c r="G5" s="22">
        <v>0</v>
      </c>
      <c r="H5" s="22">
        <f t="shared" ref="H5:H6" si="0">IF(AND(ISNUMBER(C5),ISNUMBER(G5)), C5-G5, "")</f>
        <v>9581</v>
      </c>
      <c r="I5" s="21" t="str">
        <f t="shared" ref="I5:I6" si="1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>
        <v>12593</v>
      </c>
      <c r="D6" s="14">
        <v>13147.38</v>
      </c>
      <c r="E6" s="14">
        <f t="shared" ref="E5:E6" si="2">IF(AND(ISNUMBER(C6),ISNUMBER(D6)), C6-D6, "")</f>
        <v>-554.3799999999992</v>
      </c>
      <c r="F6" s="15">
        <f t="shared" ref="F6" si="3">IFERROR(E6/D6, "")</f>
        <v>-4.2166576154336395E-2</v>
      </c>
      <c r="G6" s="16">
        <v>0</v>
      </c>
      <c r="H6" s="16">
        <f t="shared" si="0"/>
        <v>12593</v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J14" sqref="J14"/>
      <selection activeCell="C28" sqref="C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Lake Havasu USD</v>
      </c>
      <c r="B1" s="45"/>
      <c r="C1" s="45"/>
      <c r="D1" s="46" t="s">
        <v>53</v>
      </c>
      <c r="E1" s="46"/>
      <c r="F1" s="46"/>
      <c r="G1" s="44" t="s">
        <v>54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SUM(C4:C91)</f>
        <v>37827</v>
      </c>
      <c r="D2" s="6">
        <f>SUM(D4:D91)</f>
        <v>38398.050000000003</v>
      </c>
      <c r="E2" s="6">
        <f>C2-D2</f>
        <v>-571.05000000000291</v>
      </c>
      <c r="F2" s="7">
        <f>IFERROR(E2/D2, 0)</f>
        <v>-1.4871848961080129E-2</v>
      </c>
      <c r="G2" s="6">
        <f>SUM(G4:G91)</f>
        <v>0</v>
      </c>
      <c r="H2" s="8">
        <f>C2-G2</f>
        <v>37827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18412</v>
      </c>
      <c r="D4" s="14">
        <v>18392.64</v>
      </c>
      <c r="E4" s="14">
        <f>IF(AND(ISNUMBER(C4),ISNUMBER(D4)), C4-D4, "")</f>
        <v>19.360000000000582</v>
      </c>
      <c r="F4" s="15">
        <f>IFERROR(E4/D4, "")</f>
        <v>1.0525949510239196E-3</v>
      </c>
      <c r="G4" s="16">
        <v>0</v>
      </c>
      <c r="H4" s="16">
        <f>IF(AND(ISNUMBER(C4),ISNUMBER(G4)), C4-G4, "")</f>
        <v>18412</v>
      </c>
      <c r="I4" s="17" t="str">
        <f>IFERROR(H4/G4, "")</f>
        <v/>
      </c>
      <c r="J4" s="18" t="s">
        <v>49</v>
      </c>
      <c r="K4" s="18" t="s">
        <v>50</v>
      </c>
    </row>
    <row r="5" spans="1:11" ht="15.75">
      <c r="A5" s="32" t="str">
        <v>AZ: Lake Havasu - HS Library</v>
      </c>
      <c r="B5" s="33" t="str">
        <v>AZ</v>
      </c>
      <c r="C5" s="12">
        <v>8452</v>
      </c>
      <c r="D5" s="20">
        <v>7944.91</v>
      </c>
      <c r="E5" s="20">
        <f>IF(AND(ISNUMBER(C5),ISNUMBER(D5)), C5-D5, "")</f>
        <v>507.09000000000015</v>
      </c>
      <c r="F5" s="21">
        <f>IFERROR(E5/D5, "")</f>
        <v>6.3825770210109378E-2</v>
      </c>
      <c r="G5" s="22">
        <v>0</v>
      </c>
      <c r="H5" s="22">
        <f t="shared" ref="H5:H6" si="0">IF(AND(ISNUMBER(C5),ISNUMBER(G5)), C5-G5, "")</f>
        <v>8452</v>
      </c>
      <c r="I5" s="21" t="str">
        <f t="shared" ref="I5:I6" si="1">IFERROR(H5/G5, "")</f>
        <v/>
      </c>
      <c r="J5" s="11"/>
      <c r="K5" s="19"/>
    </row>
    <row r="6" spans="1:11" ht="15.75">
      <c r="A6" s="30" t="str">
        <v>AZ: Lake Havasu- Performing Arts</v>
      </c>
      <c r="B6" s="31" t="str">
        <v>AZ</v>
      </c>
      <c r="C6" s="26">
        <v>10963</v>
      </c>
      <c r="D6" s="14">
        <v>12060.5</v>
      </c>
      <c r="E6" s="14">
        <f t="shared" ref="E5:E6" si="2">IF(AND(ISNUMBER(C6),ISNUMBER(D6)), C6-D6, "")</f>
        <v>-1097.5</v>
      </c>
      <c r="F6" s="15">
        <f t="shared" ref="F6" si="3">IFERROR(E6/D6, "")</f>
        <v>-9.0999543965838897E-2</v>
      </c>
      <c r="G6" s="16">
        <v>0</v>
      </c>
      <c r="H6" s="16">
        <f t="shared" si="0"/>
        <v>10963</v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 I4 I6:I91 F6:F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5 I5">
    <cfRule type="cellIs" dxfId="4" priority="1" stopIfTrue="1" operator="lessThanOrEqual">
      <formula>-0.1</formula>
    </cfRule>
    <cfRule type="expression" dxfId="3" priority="2">
      <formula>AND(ISNUMBER(F5), F5&gt;=0.1)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55</v>
      </c>
      <c r="B1" t="s">
        <v>56</v>
      </c>
    </row>
    <row r="3" spans="1:7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7" ht="14.45">
      <c r="A4" t="s">
        <v>60</v>
      </c>
      <c r="B4" t="s">
        <v>60</v>
      </c>
      <c r="C4" s="4" t="s">
        <v>61</v>
      </c>
      <c r="G4" s="3"/>
    </row>
    <row r="5" spans="1:7" ht="14.45">
      <c r="A5" t="s">
        <v>62</v>
      </c>
      <c r="B5" t="s">
        <v>62</v>
      </c>
      <c r="C5" s="4" t="s">
        <v>61</v>
      </c>
      <c r="G5" s="3"/>
    </row>
    <row r="6" spans="1:7" ht="14.45">
      <c r="A6" t="s">
        <v>63</v>
      </c>
      <c r="B6" t="s">
        <v>63</v>
      </c>
      <c r="C6" s="4" t="s">
        <v>61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20FB5F90-9D41-41A2-B8EE-1C7AD7C8CA85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