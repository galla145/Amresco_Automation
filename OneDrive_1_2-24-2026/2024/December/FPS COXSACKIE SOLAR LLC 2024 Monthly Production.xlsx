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cox\"/>
    </mc:Choice>
  </mc:AlternateContent>
  <xr:revisionPtr revIDLastSave="0" documentId="13_ncr:1_{3EBA0914-3314-4097-ABA7-2E9ABF1A1CBA}" xr6:coauthVersionLast="47" xr6:coauthVersionMax="47" xr10:uidLastSave="{00000000-0000-0000-0000-000000000000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H4" i="4"/>
  <c r="I4" i="4"/>
  <c r="E4" i="72"/>
  <c r="F4" i="72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E4" i="3"/>
  <c r="F4" i="3"/>
  <c r="H4" i="3"/>
  <c r="I4" i="3"/>
  <c r="G4" i="1"/>
  <c r="G4" i="34"/>
  <c r="B4" i="34" a="1"/>
  <c r="B4" i="34"/>
  <c r="A4" i="34" a="1"/>
  <c r="A4" i="34"/>
  <c r="A1" i="34" a="1"/>
  <c r="A1" i="34"/>
  <c r="D4" i="30"/>
  <c r="D4" i="34" s="1"/>
  <c r="D2" i="34" s="1"/>
  <c r="C4" i="30"/>
  <c r="C4" i="34" s="1"/>
  <c r="D4" i="29"/>
  <c r="D2" i="29"/>
  <c r="C4" i="29"/>
  <c r="D4" i="18"/>
  <c r="C4" i="18"/>
  <c r="D2" i="18"/>
  <c r="B4" i="30" a="1"/>
  <c r="B4" i="30"/>
  <c r="G2" i="30"/>
  <c r="A1" i="30" a="1"/>
  <c r="A1" i="30"/>
  <c r="B4" i="29" a="1"/>
  <c r="B4" i="29"/>
  <c r="A4" i="29" a="1"/>
  <c r="A4" i="29"/>
  <c r="G2" i="29"/>
  <c r="A1" i="29" a="1"/>
  <c r="A1" i="29"/>
  <c r="B4" i="18" a="1"/>
  <c r="B4" i="18"/>
  <c r="A4" i="18" a="1"/>
  <c r="A4" i="18"/>
  <c r="G2" i="18"/>
  <c r="A1" i="18" a="1"/>
  <c r="A1" i="18"/>
  <c r="C4" i="1"/>
  <c r="D4" i="1"/>
  <c r="B4" i="1" a="1"/>
  <c r="B4" i="1"/>
  <c r="A4" i="1" a="1"/>
  <c r="A4" i="1"/>
  <c r="A1" i="1" a="1"/>
  <c r="A1" i="1"/>
  <c r="H4" i="33"/>
  <c r="I4" i="33"/>
  <c r="E4" i="33"/>
  <c r="F4" i="33"/>
  <c r="G2" i="33"/>
  <c r="D2" i="33"/>
  <c r="C2" i="33"/>
  <c r="H2" i="33" s="1"/>
  <c r="I2" i="33" s="1"/>
  <c r="A1" i="33" a="1"/>
  <c r="A1" i="33"/>
  <c r="H4" i="32"/>
  <c r="I4" i="32"/>
  <c r="E4" i="32"/>
  <c r="F4" i="32"/>
  <c r="G2" i="32"/>
  <c r="D2" i="32"/>
  <c r="C2" i="32"/>
  <c r="A1" i="32" a="1"/>
  <c r="A1" i="32"/>
  <c r="H4" i="31"/>
  <c r="I4" i="31"/>
  <c r="E4" i="31"/>
  <c r="F4" i="31"/>
  <c r="G2" i="31"/>
  <c r="D2" i="31"/>
  <c r="C2" i="31"/>
  <c r="A1" i="31" a="1"/>
  <c r="A1" i="31"/>
  <c r="H4" i="28"/>
  <c r="I4" i="28"/>
  <c r="E4" i="28"/>
  <c r="F4" i="28"/>
  <c r="B4" i="28" a="1"/>
  <c r="B4" i="28"/>
  <c r="A4" i="28" a="1"/>
  <c r="A4" i="28"/>
  <c r="G2" i="28"/>
  <c r="D2" i="28"/>
  <c r="C2" i="28"/>
  <c r="A1" i="28" a="1"/>
  <c r="A1" i="28"/>
  <c r="H4" i="27"/>
  <c r="I4" i="27"/>
  <c r="E4" i="27"/>
  <c r="F4" i="27"/>
  <c r="G2" i="27"/>
  <c r="D2" i="27"/>
  <c r="C2" i="27"/>
  <c r="A1" i="27" a="1"/>
  <c r="A1" i="27"/>
  <c r="H4" i="26"/>
  <c r="I4" i="26"/>
  <c r="E4" i="26"/>
  <c r="F4" i="26"/>
  <c r="G2" i="26"/>
  <c r="D2" i="26"/>
  <c r="C2" i="26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/>
  <c r="E4" i="20"/>
  <c r="F4" i="20"/>
  <c r="G2" i="20"/>
  <c r="D2" i="20"/>
  <c r="C2" i="20"/>
  <c r="A1" i="20" a="1"/>
  <c r="A1" i="20"/>
  <c r="H4" i="21"/>
  <c r="I4" i="21"/>
  <c r="E4" i="21"/>
  <c r="F4" i="21"/>
  <c r="G2" i="21"/>
  <c r="D2" i="21"/>
  <c r="C2" i="21"/>
  <c r="A1" i="21" a="1"/>
  <c r="A1" i="21"/>
  <c r="E4" i="4"/>
  <c r="F4" i="4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E4" i="18"/>
  <c r="F4" i="18"/>
  <c r="E4" i="30"/>
  <c r="F4" i="30"/>
  <c r="D2" i="30"/>
  <c r="J2" i="33"/>
  <c r="H2" i="32"/>
  <c r="I2" i="32"/>
  <c r="J2" i="32"/>
  <c r="H2" i="31"/>
  <c r="I2" i="31"/>
  <c r="J2" i="31"/>
  <c r="H2" i="28"/>
  <c r="I2" i="28"/>
  <c r="J2" i="28"/>
  <c r="E2" i="28"/>
  <c r="F2" i="28"/>
  <c r="H2" i="27"/>
  <c r="I2" i="27"/>
  <c r="J2" i="27"/>
  <c r="H2" i="26"/>
  <c r="I2" i="26"/>
  <c r="J2" i="26"/>
  <c r="H2" i="19"/>
  <c r="I2" i="19"/>
  <c r="J2" i="19"/>
  <c r="E2" i="20"/>
  <c r="F2" i="20"/>
  <c r="J2" i="20"/>
  <c r="H2" i="20"/>
  <c r="I2" i="20"/>
  <c r="H2" i="21"/>
  <c r="I2" i="21"/>
  <c r="J2" i="21"/>
  <c r="H2" i="4"/>
  <c r="I2" i="4"/>
  <c r="J2" i="4"/>
  <c r="H2" i="3"/>
  <c r="I2" i="3"/>
  <c r="G2" i="1"/>
  <c r="H4" i="30"/>
  <c r="H4" i="34" s="1"/>
  <c r="I4" i="34" s="1"/>
  <c r="I4" i="30"/>
  <c r="H4" i="29"/>
  <c r="I4" i="29"/>
  <c r="H4" i="18"/>
  <c r="I4" i="18"/>
  <c r="C2" i="29"/>
  <c r="E2" i="29"/>
  <c r="F2" i="29"/>
  <c r="C2" i="30"/>
  <c r="E2" i="30" s="1"/>
  <c r="F2" i="30" s="1"/>
  <c r="E4" i="29"/>
  <c r="F4" i="29"/>
  <c r="C2" i="18"/>
  <c r="H4" i="1"/>
  <c r="C2" i="1"/>
  <c r="E2" i="3"/>
  <c r="F2" i="3"/>
  <c r="E4" i="1"/>
  <c r="F4" i="1"/>
  <c r="D2" i="1"/>
  <c r="E2" i="32"/>
  <c r="F2" i="32"/>
  <c r="E2" i="31"/>
  <c r="F2" i="31"/>
  <c r="E2" i="27"/>
  <c r="F2" i="27"/>
  <c r="E2" i="26"/>
  <c r="F2" i="26"/>
  <c r="E2" i="19"/>
  <c r="F2" i="19"/>
  <c r="E2" i="21"/>
  <c r="F2" i="21"/>
  <c r="E2" i="4"/>
  <c r="F2" i="4"/>
  <c r="H2" i="72"/>
  <c r="G2" i="34"/>
  <c r="H2" i="1"/>
  <c r="I2" i="1"/>
  <c r="I4" i="1"/>
  <c r="H2" i="29"/>
  <c r="I2" i="29"/>
  <c r="H2" i="30"/>
  <c r="I2" i="30"/>
  <c r="H2" i="18"/>
  <c r="I2" i="18"/>
  <c r="E2" i="18"/>
  <c r="F2" i="18"/>
  <c r="E2" i="1"/>
  <c r="F2" i="1"/>
  <c r="I2" i="72"/>
  <c r="E2" i="72"/>
  <c r="F2" i="72"/>
  <c r="E4" i="34" l="1"/>
  <c r="F4" i="34" s="1"/>
  <c r="C2" i="34"/>
  <c r="E2" i="33"/>
  <c r="F2" i="33" s="1"/>
  <c r="E2" i="34" l="1"/>
  <c r="F2" i="34" s="1"/>
  <c r="H2" i="34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<sst xmlns="http://schemas.openxmlformats.org/spreadsheetml/2006/main" count="258" uniqueCount="72">
  <si>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</si>
  <si>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</si>
  <si>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</si>
  <si>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</si>
  <si>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</si>
  <si>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</si>
  <si>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</si>
  <si>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</si>
  <si>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</si>
  <si>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</si>
  <si>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</si>
  <si>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</si>
  <si>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</si>
  <si>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</si>
  <si>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</si>
  <si>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</si>
  <si>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</si>
  <si>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</si>
  <si>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</si>
  <si>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</si>
  <si>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</si>
  <si>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</si>
  <si>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</si>
  <si>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</si>
  <si>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</si>
  <si>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</si>
  <si>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</si>
  <si>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</si>
  <si>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</si>
  <si>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</si>
  <si>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</si>
  <si>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</si>
  <si>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</si>
  <si>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</si>
  <si>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</si>
  <si>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</si>
  <si>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</si>
  <si>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</si>
  <si>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</si>
  <si>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</si>
  <si>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1. Inverter 2.12 is offline on 06/09 and it has been RMA'd and back online on 06/24 at 11:30AM.</t>
  </si>
  <si>
    <t>1. SR085776</t>
  </si>
  <si>
    <t>July Actual v. Expected</t>
  </si>
  <si>
    <t>July Actual v. Forecasted</t>
  </si>
  <si>
    <t>1.Site was offline on 07/01 at 7:15PM and back online on 07/02 at 11:00AM
2.Site was offline on 07/07 at 10:00AM and back online on 07/09 at 6:15PM
3.Inverter 2.11 tripped offline on 07/10 at 11:15 through out the day and again tripped offline on 07/11,07/12,07/13 at 16:15 and resolving overnight.
4.Site was offline on 07/14 at 1:30PM and back online on 07/15 at 8:00AM
5.Site was offline on 07/26 at 11:30AM and back online on 07/27 at 09:15AM and again offline on 07/28 at 09:30AM and back online on 07/29 at 08:15AM</t>
  </si>
  <si>
    <t>1.SR087223
2.SR087442
3.SR087565
4.SR087662
5.SR088277</t>
  </si>
  <si>
    <t>August Actual v. Expected</t>
  </si>
  <si>
    <t>August Actual v. Forecasted</t>
  </si>
  <si>
    <t>1. Site offline at 11:00 from 8/10 and back online on 8/12 at 08:45.</t>
  </si>
  <si>
    <t>1.	SR088874</t>
  </si>
  <si>
    <t>September Actual v. Expected</t>
  </si>
  <si>
    <t>September Actual v. Forecasted</t>
  </si>
  <si>
    <t>October Actual v. Expected</t>
  </si>
  <si>
    <t>October Actual v. Forecasted</t>
  </si>
  <si>
    <t xml:space="preserve">1. Site was taken offline by EPC from 15:00 to 17:45 on 10/02
2. Site is offline on 01:00 and back online at  03:30 on 10/11
3. Inverters 1.17 &amp; 2.11 are underperforming approximately 7 kW from 10/06 and issue resolved on 10/21.
</t>
  </si>
  <si>
    <t>1.PM6558
2.SR092029
3. SR092251</t>
  </si>
  <si>
    <t>November Actual v. Expected</t>
  </si>
  <si>
    <t>November Actual v. Forecasted</t>
  </si>
  <si>
    <t>1. Site tripped offline at 13:00 on 11/09 and and back online at 07:45 on 11/11 
2. Inverter 2.11 is offline from 09:30AM to 11:15AM on 11/08.</t>
  </si>
  <si>
    <t>1. SR093113
2. SR092815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</si>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</sst>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8" sqref="F18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SUM(C4:C79)</f>
        <v>8470391.8997392468</v>
      </c>
      <c r="D2" s="5">
        <f>SUM(D4:D79)</f>
        <v>9398899.5039999988</v>
      </c>
      <c r="E2" s="5">
        <f>C2-D2</f>
        <v>-928507.60426075198</v>
      </c>
      <c r="F2" s="6">
        <f>IFERROR(E2/D2, 0)</f>
        <v>-9.8788970332707171E-2</v>
      </c>
      <c r="G2" s="5">
        <f>SUM(G4:G79)</f>
        <v>7070840.1997392466</v>
      </c>
      <c r="H2" s="7">
        <f>C2-G2</f>
        <v>1399551.7000000002</v>
      </c>
      <c r="I2" s="6">
        <f>IFERROR(H2/G2, 0)</f>
        <v>0.1979328708420835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8470391.8997392468</v>
      </c>
      <c r="D4" s="12">
        <f>SUM('1st Qtr'!D4, '2nd Qtr'!D4, '3rd Qtr'!D4, '4th Qtr'!D4)</f>
        <v>9398899.5039999988</v>
      </c>
      <c r="E4" s="12">
        <f>IF(AND(ISNUMBER(C4),ISNUMBER(D4)), C4-D4, "")</f>
        <v>-928507.60426075198</v>
      </c>
      <c r="F4" s="13">
        <f>IFERROR(E4/D4, "")</f>
        <v>-9.8788970332707171E-2</v>
      </c>
      <c r="G4" s="14">
        <f>SUM('1st Qtr'!G4, '2nd Qtr'!G4, '3rd Qtr'!G4, '4th Qtr'!G4)</f>
        <v>7070840.1997392466</v>
      </c>
      <c r="H4" s="14">
        <f>SUM('1st Qtr'!H4, '2nd Qtr'!H4, '3rd Qtr'!H4, '4th Qtr'!H4)</f>
        <v>54807.849739246943</v>
      </c>
      <c r="I4" s="15">
        <f>IFERROR(H4/G4, "")</f>
        <v>7.7512499492306593E-3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SUM(C4:C79)</f>
        <v>2957044.9</v>
      </c>
      <c r="D2" s="5">
        <f>SUM(D4:D79)</f>
        <v>3276346.8389999997</v>
      </c>
      <c r="E2" s="5">
        <f>C2-D2</f>
        <v>-319301.93899999978</v>
      </c>
      <c r="F2" s="6">
        <f>IFERROR(E2/D2, 0)</f>
        <v>-9.7456696342154217E-2</v>
      </c>
      <c r="G2" s="5">
        <f>SUM(G4:G79)</f>
        <v>2637177.77</v>
      </c>
      <c r="H2" s="7">
        <f>C2-G2</f>
        <v>319867.12999999989</v>
      </c>
      <c r="I2" s="6">
        <f>IFERROR(H2/G2, 0)</f>
        <v>0.12129145544860249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2957044.9</v>
      </c>
      <c r="D4" s="12">
        <f>SUM(Apr!D4, May!D4, Jun!D4)</f>
        <v>3276346.8389999997</v>
      </c>
      <c r="E4" s="12">
        <f>IF(AND(ISNUMBER(C4),ISNUMBER(D4)), C4-D4, "")</f>
        <v>-319301.93899999978</v>
      </c>
      <c r="F4" s="13">
        <f>IFERROR(E4/D4, "")</f>
        <v>-9.7456696342154217E-2</v>
      </c>
      <c r="G4" s="14">
        <f>SUM(Apr!G4,May!G4,Jun!G4)</f>
        <v>2637177.77</v>
      </c>
      <c r="H4" s="14">
        <f>SUM(Apr!H4, May!H4, Jun!H4)</f>
        <v>319867.12999999989</v>
      </c>
      <c r="I4" s="15">
        <f>IFERROR(H4/G4, "")</f>
        <v>0.12129145544860249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SUM(C4:C79)</f>
        <v>2618606.6085483008</v>
      </c>
      <c r="D2" s="5">
        <f>SUM(D4:D79)</f>
        <v>2684537.9649999999</v>
      </c>
      <c r="E2" s="5">
        <f>C2-D2</f>
        <v>-65931.356451699045</v>
      </c>
      <c r="F2" s="6">
        <f>IFERROR(E2/D2, 0)</f>
        <v>-2.4559666248452197E-2</v>
      </c>
      <c r="G2" s="5">
        <f>SUM(G4:G79)</f>
        <v>1630968.629739247</v>
      </c>
      <c r="H2" s="7">
        <f>C2-G2</f>
        <v>987637.97880905378</v>
      </c>
      <c r="I2" s="6">
        <f>IFERROR(H2/G2, 0)</f>
        <v>0.60555301972114173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2618606.6085483008</v>
      </c>
      <c r="D4" s="12">
        <f>SUM(Jul!D4, Aug!D4, Sep!D4)</f>
        <v>2684537.9649999999</v>
      </c>
      <c r="E4" s="12">
        <f>IF(AND(ISNUMBER(C4),ISNUMBER(D4)), C4-D4, "")</f>
        <v>-65931.356451699045</v>
      </c>
      <c r="F4" s="13">
        <f>IFERROR(E4/D4, "")</f>
        <v>-2.4559666248452197E-2</v>
      </c>
      <c r="G4" s="14">
        <f>SUM(Jul!G4,Aug!H4,Sep!G4)</f>
        <v>1630968.629739247</v>
      </c>
      <c r="H4" s="14">
        <f>SUM(Jul!H4, Aug!H4, Sep!H4)</f>
        <v>-37102.171451698989</v>
      </c>
      <c r="I4" s="15">
        <f>IFERROR(H4/G4, "")</f>
        <v>-2.2748550018175849E-2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Freepoint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SUM(C4:C79)</f>
        <v>1506999.3911909461</v>
      </c>
      <c r="D2" s="5">
        <f>SUM(D4:D79)</f>
        <v>1828185.7</v>
      </c>
      <c r="E2" s="5">
        <f>C2-D2</f>
        <v>-321186.30880905385</v>
      </c>
      <c r="F2" s="6">
        <f>IFERROR(E2/D2, 0)</f>
        <v>-0.17568582273072908</v>
      </c>
      <c r="G2" s="5">
        <f>SUM(G4:G79)</f>
        <v>982286.79999999993</v>
      </c>
      <c r="H2" s="7">
        <f>C2-G2</f>
        <v>524712.59119094617</v>
      </c>
      <c r="I2" s="6">
        <f>IFERROR(H2/G2, 0)</f>
        <v>0.53417453150235372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1506999.3911909461</v>
      </c>
      <c r="D4" s="12">
        <f>SUM(Oct!D4, Nov!D4, Dec!D4)</f>
        <v>1828185.7</v>
      </c>
      <c r="E4" s="12">
        <f>IF(AND(ISNUMBER(C4),ISNUMBER(D4)), C4-D4, "")</f>
        <v>-321186.30880905385</v>
      </c>
      <c r="F4" s="13">
        <f>IFERROR(E4/D4, "")</f>
        <v>-0.17568582273072908</v>
      </c>
      <c r="G4" s="14">
        <f>SUM(Oct!G4,Nov!G4,Dec!G5)</f>
        <v>982286.79999999993</v>
      </c>
      <c r="H4" s="14">
        <f>SUM(Oct!H4, Nov!H4, Dec!H4)</f>
        <v>204708.89119094604</v>
      </c>
      <c r="I4" s="15">
        <f>IFERROR(H4/G4, "")</f>
        <v>0.20840032787872753</v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30" priority="4" stopIfTrue="1" operator="lessThanOrEqual">
      <formula>-0.1</formula>
    </cfRule>
    <cfRule type="expression" dxfId="29" priority="5">
      <formula>AND(ISNUMBER(F2), F2&gt;=0.1)</formula>
    </cfRule>
  </conditionalFormatting>
  <conditionalFormatting sqref="F5:F78">
    <cfRule type="cellIs" dxfId="28" priority="1" stopIfTrue="1" operator="lessThanOrEqual">
      <formula>-0.1</formula>
    </cfRule>
    <cfRule type="expression" dxfId="27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30</v>
      </c>
      <c r="E1" s="62"/>
      <c r="F1" s="62"/>
      <c r="G1" s="60" t="s">
        <v>31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7.6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34</v>
      </c>
      <c r="E1" s="62"/>
      <c r="F1" s="62"/>
      <c r="G1" s="60" t="s">
        <v>35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J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38</v>
      </c>
      <c r="E1" s="62"/>
      <c r="F1" s="62"/>
      <c r="G1" s="60" t="s">
        <v>39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1103869.8999999999</v>
      </c>
      <c r="D2" s="5">
        <f>SUM(D4:D79)</f>
        <v>1229593.899</v>
      </c>
      <c r="E2" s="5">
        <f>C2-D2</f>
        <v>-125723.99900000007</v>
      </c>
      <c r="F2" s="6">
        <f>IFERROR(E2/D2, 0)</f>
        <v>-0.10224839201158079</v>
      </c>
      <c r="G2" s="5">
        <f>SUM(G4:G79)</f>
        <v>896308.11</v>
      </c>
      <c r="H2" s="7">
        <f>C2-G2</f>
        <v>207561.78999999992</v>
      </c>
      <c r="I2" s="6">
        <f>IFERROR(H2/G2, 0)</f>
        <v>0.23157415143772372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1103869.8999999999</v>
      </c>
      <c r="D4" s="12">
        <v>1229593.899</v>
      </c>
      <c r="E4" s="12">
        <f>IF(AND(ISNUMBER(C4),ISNUMBER(D4)), C4-D4, "")</f>
        <v>-125723.99900000007</v>
      </c>
      <c r="F4" s="13">
        <f>IFERROR(E4/D4, "")</f>
        <v>-0.10224839201158079</v>
      </c>
      <c r="G4" s="14">
        <v>896308.11</v>
      </c>
      <c r="H4" s="14">
        <f>IF(AND(ISNUMBER(C4),ISNUMBER(G4)), C4-G4, "")</f>
        <v>207561.78999999992</v>
      </c>
      <c r="I4" s="15">
        <f>IFERROR(H4/G4, "")</f>
        <v>0.23157415143772372</v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915922.35</v>
      </c>
      <c r="D2" s="5">
        <f>SUM(D4:D79)</f>
        <v>997665.26500000001</v>
      </c>
      <c r="E2" s="5">
        <f>C2-D2</f>
        <v>-81742.915000000037</v>
      </c>
      <c r="F2" s="6">
        <f>IFERROR(E2/D2, 0)</f>
        <v>-8.193420966700693E-2</v>
      </c>
      <c r="G2" s="5">
        <f>SUM(G4:G79)</f>
        <v>968048.88</v>
      </c>
      <c r="H2" s="7">
        <f>C2-G2</f>
        <v>-52126.530000000028</v>
      </c>
      <c r="I2" s="6">
        <f>IFERROR(H2/G2, 0)</f>
        <v>-5.3847002023286288E-2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0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915922.35</v>
      </c>
      <c r="D4" s="12">
        <v>997665.26500000001</v>
      </c>
      <c r="E4" s="12">
        <f>IF(AND(ISNUMBER(C4),ISNUMBER(D4)), C4-D4, "")</f>
        <v>-81742.915000000037</v>
      </c>
      <c r="F4" s="13">
        <f>IFERROR(E4/D4, "")</f>
        <v>-8.193420966700693E-2</v>
      </c>
      <c r="G4" s="14">
        <v>968048.88</v>
      </c>
      <c r="H4" s="14">
        <f>IF(AND(ISNUMBER(C4),ISNUMBER(G4)), C4-G4, "")</f>
        <v>-52126.530000000028</v>
      </c>
      <c r="I4" s="15">
        <f>IFERROR(H4/G4, "")</f>
        <v>-5.3847002023286288E-2</v>
      </c>
      <c r="J4" s="36" t="s">
        <v>44</v>
      </c>
      <c r="K4" s="36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E4" activePane="bottomRight" state="frozen"/>
      <selection pane="bottomRight" activeCell="J12" sqref="J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823514.64973924705</v>
      </c>
      <c r="D2" s="5">
        <f>SUM(D4:D79)</f>
        <v>819928.2</v>
      </c>
      <c r="E2" s="5">
        <f>C2-D2</f>
        <v>3586.4497392470948</v>
      </c>
      <c r="F2" s="6">
        <f>IFERROR(E2/D2, 0)</f>
        <v>4.3741021948593729E-3</v>
      </c>
      <c r="G2" s="5">
        <f>SUM(G4:G79)</f>
        <v>924127.4</v>
      </c>
      <c r="H2" s="7">
        <f>C2-G2</f>
        <v>-100612.75026075298</v>
      </c>
      <c r="I2" s="6">
        <f>IFERROR(H2/G2, 0)</f>
        <v>-0.10887324654669148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823514.64973924705</v>
      </c>
      <c r="D4" s="12">
        <v>819928.2</v>
      </c>
      <c r="E4" s="12">
        <f>IF(AND(ISNUMBER(C4),ISNUMBER(D4)), C4-D4, "")</f>
        <v>3586.4497392470948</v>
      </c>
      <c r="F4" s="13">
        <f>IFERROR(E4/D4, "")</f>
        <v>4.3741021948593729E-3</v>
      </c>
      <c r="G4" s="14">
        <v>924127.4</v>
      </c>
      <c r="H4" s="14">
        <f>IF(AND(ISNUMBER(C4),ISNUMBER(G4)), C4-G4, "")</f>
        <v>-100612.75026075298</v>
      </c>
      <c r="I4" s="15">
        <f>IFERROR(H4/G4, "")</f>
        <v>-0.10887324654669148</v>
      </c>
      <c r="J4" s="36" t="s">
        <v>48</v>
      </c>
      <c r="K4" s="36" t="s">
        <v>49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:XFD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879169.60880905401</v>
      </c>
      <c r="D2" s="5">
        <f>SUM(D4:D79)</f>
        <v>866944.5</v>
      </c>
      <c r="E2" s="5">
        <f>C2-D2</f>
        <v>12225.108809054014</v>
      </c>
      <c r="F2" s="6">
        <f>IFERROR(E2/D2, 0)</f>
        <v>1.4101374204524066E-2</v>
      </c>
      <c r="G2" s="5">
        <f>SUM(G4:G79)</f>
        <v>763532.5</v>
      </c>
      <c r="H2" s="7">
        <f>C2-G2</f>
        <v>115637.10880905401</v>
      </c>
      <c r="I2" s="6">
        <f>IFERROR(H2/G2, 0)</f>
        <v>0.15145014627282272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879169.60880905401</v>
      </c>
      <c r="D4" s="12">
        <v>866944.5</v>
      </c>
      <c r="E4" s="12">
        <f>IF(AND(ISNUMBER(C4),ISNUMBER(D4)), C4-D4, "")</f>
        <v>12225.108809054014</v>
      </c>
      <c r="F4" s="13">
        <f>IFERROR(E4/D4, "")</f>
        <v>1.4101374204524066E-2</v>
      </c>
      <c r="G4" s="14">
        <v>763532.5</v>
      </c>
      <c r="H4" s="14">
        <f>IF(AND(ISNUMBER(C4),ISNUMBER(G4)), C4-G4, "")</f>
        <v>115637.10880905401</v>
      </c>
      <c r="I4" s="15">
        <f>IFERROR(H4/G4, "")</f>
        <v>0.15145014627282272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8" sqref="H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52</v>
      </c>
      <c r="E1" s="62"/>
      <c r="F1" s="62"/>
      <c r="G1" s="60" t="s">
        <v>53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786213.39119094401</v>
      </c>
      <c r="D2" s="5">
        <f>SUM(D4:D79)</f>
        <v>931800.9</v>
      </c>
      <c r="E2" s="5">
        <f>C2-D2</f>
        <v>-145587.50880905602</v>
      </c>
      <c r="F2" s="6">
        <f>IFERROR(E2/D2, 0)</f>
        <v>-0.15624315109489165</v>
      </c>
      <c r="G2" s="5">
        <f>SUM(G4:G79)</f>
        <v>567159.19999999995</v>
      </c>
      <c r="H2" s="7">
        <f>C2-G2</f>
        <v>219054.19119094405</v>
      </c>
      <c r="I2" s="6">
        <f>IFERROR(H2/G2, 0)</f>
        <v>0.38623051727088986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786213.39119094401</v>
      </c>
      <c r="D4" s="12">
        <v>931800.9</v>
      </c>
      <c r="E4" s="12">
        <f>IF(AND(ISNUMBER(C4),ISNUMBER(D4)), C4-D4, "")</f>
        <v>-145587.50880905602</v>
      </c>
      <c r="F4" s="13">
        <f>IFERROR(E4/D4, "")</f>
        <v>-0.15624315109489165</v>
      </c>
      <c r="G4" s="14">
        <v>567159.19999999995</v>
      </c>
      <c r="H4" s="14">
        <f>IF(AND(ISNUMBER(C4),ISNUMBER(G4)), C4-G4, "")</f>
        <v>219054.19119094405</v>
      </c>
      <c r="I4" s="15">
        <f>IFERROR(H4/G4, "")</f>
        <v>0.38623051727088986</v>
      </c>
      <c r="J4" s="36" t="s">
        <v>54</v>
      </c>
      <c r="K4" s="59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G4" activePane="bottomRight" state="frozen"/>
      <selection pane="bottomRight" activeCell="J6" sqref="J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56</v>
      </c>
      <c r="E1" s="62"/>
      <c r="F1" s="62"/>
      <c r="G1" s="60" t="s">
        <v>57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434986.00000000198</v>
      </c>
      <c r="D2" s="5">
        <f>SUM(D4:D79)</f>
        <v>527369.5</v>
      </c>
      <c r="E2" s="5">
        <f>C2-D2</f>
        <v>-92383.499999998021</v>
      </c>
      <c r="F2" s="6">
        <f>IFERROR(E2/D2, 0)</f>
        <v>-0.17517793501519907</v>
      </c>
      <c r="G2" s="5">
        <f>SUM(G4:G79)</f>
        <v>415127.6</v>
      </c>
      <c r="H2" s="7">
        <f>C2-G2</f>
        <v>19858.400000002002</v>
      </c>
      <c r="I2" s="6">
        <f>IFERROR(H2/G2, 0)</f>
        <v>4.7836857872138601E-2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434986.00000000198</v>
      </c>
      <c r="D4" s="12">
        <v>527369.5</v>
      </c>
      <c r="E4" s="12">
        <f>IF(AND(ISNUMBER(C4),ISNUMBER(D4)), C4-D4, "")</f>
        <v>-92383.499999998021</v>
      </c>
      <c r="F4" s="13">
        <f>IFERROR(E4/D4, "")</f>
        <v>-0.17517793501519907</v>
      </c>
      <c r="G4" s="14">
        <v>415127.6</v>
      </c>
      <c r="H4" s="14">
        <f>IF(AND(ISNUMBER(C4),ISNUMBER(G4)), C4-G4, "")</f>
        <v>19858.400000002002</v>
      </c>
      <c r="I4" s="15">
        <f>IFERROR(H4/G4, "")</f>
        <v>4.7836857872138601E-2</v>
      </c>
      <c r="J4" s="36" t="s">
        <v>58</v>
      </c>
      <c r="K4" s="36" t="s">
        <v>59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Freepoint</v>
      </c>
      <c r="B1" s="61"/>
      <c r="C1" s="61"/>
      <c r="D1" s="62" t="s">
        <v>60</v>
      </c>
      <c r="E1" s="62"/>
      <c r="F1" s="62"/>
      <c r="G1" s="60" t="s">
        <v>61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SUM(C4:C79)</f>
        <v>285800</v>
      </c>
      <c r="D2" s="5">
        <f>SUM(D4:D79)</f>
        <v>369015.3</v>
      </c>
      <c r="E2" s="5">
        <f>C2-D2</f>
        <v>-83215.299999999988</v>
      </c>
      <c r="F2" s="6">
        <f>IFERROR(E2/D2, 0)</f>
        <v>-0.22550636789314696</v>
      </c>
      <c r="G2" s="5">
        <f>SUM(G4:G79)</f>
        <v>320003.7</v>
      </c>
      <c r="H2" s="7">
        <f>C2-G2</f>
        <v>-34203.700000000012</v>
      </c>
      <c r="I2" s="6">
        <f>IFERROR(H2/G2, 0)</f>
        <v>-0.10688532663841077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>
        <v>285800</v>
      </c>
      <c r="D4" s="12">
        <v>369015.3</v>
      </c>
      <c r="E4" s="12">
        <f>IF(AND(ISNUMBER(C4),ISNUMBER(D4)), C4-D4, "")</f>
        <v>-83215.299999999988</v>
      </c>
      <c r="F4" s="13">
        <f>IFERROR(E4/D4, "")</f>
        <v>-0.22550636789314696</v>
      </c>
      <c r="G4" s="14">
        <v>320003.7</v>
      </c>
      <c r="H4" s="14">
        <f>IF(AND(ISNUMBER(C4),ISNUMBER(G4)), C4-G4, "")</f>
        <v>-34203.700000000012</v>
      </c>
      <c r="I4" s="15">
        <f>IFERROR(H4/G4, "")</f>
        <v>-0.10688532663841077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45">
      <c r="A4" s="45" t="s">
        <v>67</v>
      </c>
      <c r="B4" t="s">
        <v>68</v>
      </c>
      <c r="C4" s="43" t="s">
        <v>69</v>
      </c>
      <c r="D4" s="42" t="s">
        <v>70</v>
      </c>
      <c r="E4" t="s">
        <v>71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2025-01-10T19:58:39Z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