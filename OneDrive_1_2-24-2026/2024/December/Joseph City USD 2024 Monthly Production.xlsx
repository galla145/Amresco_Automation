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codeName="ThisWorkbook" defaultThemeVersion="166925"/>
  <mc:AlternateContent xmlns:mc="http://schemas.openxmlformats.org/markup-compatibility/2006">
    <mc:Choice Requires="x15">
      <x15ac:absPath xmlns:x15ac="http://schemas.microsoft.com/office/spreadsheetml/2010/11/ac" url="https://libsysit-my.sharepoint.com/personal/shyamalan_amgsol_com/Documents/Microsoft Teams Chat Files/"/>
    </mc:Choice>
  </mc:AlternateContent>
  <xr:revisionPtr revIDLastSave="172" documentId="13_ncr:1_{0011973A-F547-403B-AD67-7389D5B23D07}" xr6:coauthVersionLast="47" xr6:coauthVersionMax="47" xr10:uidLastSave="{DAF280C9-7FC2-443C-8241-9ED13C042536}"/>
  <bookViews>
    <workbookView xWindow="-98" yWindow="-98" windowWidth="21795" windowHeight="12975" tabRatio="866" firstSheet="4"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E4" i="33"/>
  <c r="E4" i="32"/>
  <c r="F4" i="32" s="1"/>
  <c r="G4" i="29"/>
  <c r="G4" i="18"/>
  <c r="G2" i="18" s="1"/>
  <c r="I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J2" i="33"/>
  <c r="E4" i="3"/>
  <c r="F4" i="3" s="1"/>
  <c r="H4" i="3"/>
  <c r="I4" i="3" s="1"/>
  <c r="E5" i="72"/>
  <c r="F5" i="72" s="1"/>
  <c r="H5" i="72"/>
  <c r="I5" i="72" s="1"/>
  <c r="G4" i="1"/>
  <c r="B4" i="34" a="1"/>
  <c r="B4" i="34" s="1"/>
  <c r="A4" i="34" a="1"/>
  <c r="A4" i="34" s="1"/>
  <c r="A1" i="34" a="1"/>
  <c r="A1" i="34" s="1"/>
  <c r="D4" i="30"/>
  <c r="D2" i="30" s="1"/>
  <c r="C4" i="30"/>
  <c r="E4" i="30" s="1"/>
  <c r="F4" i="30" s="1"/>
  <c r="D4" i="29"/>
  <c r="D2" i="29" s="1"/>
  <c r="C4" i="29"/>
  <c r="D4" i="18"/>
  <c r="C4" i="18"/>
  <c r="D2" i="18"/>
  <c r="B4" i="30" a="1"/>
  <c r="B4" i="30" s="1"/>
  <c r="G2" i="30"/>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4" i="33"/>
  <c r="I4" i="33" s="1"/>
  <c r="F4" i="33"/>
  <c r="G2" i="33"/>
  <c r="D2" i="33"/>
  <c r="C2" i="33"/>
  <c r="A1" i="33" a="1"/>
  <c r="A1" i="33" s="1"/>
  <c r="H4" i="32"/>
  <c r="I4" i="32" s="1"/>
  <c r="G2" i="32"/>
  <c r="D2" i="32"/>
  <c r="C2" i="32"/>
  <c r="J2" i="32" s="1"/>
  <c r="A1" i="32" a="1"/>
  <c r="A1" i="32" s="1"/>
  <c r="H4" i="31"/>
  <c r="I4" i="31" s="1"/>
  <c r="E4" i="31"/>
  <c r="F4" i="31" s="1"/>
  <c r="G2" i="31"/>
  <c r="D2" i="31"/>
  <c r="C2" i="31"/>
  <c r="H2" i="31" s="1"/>
  <c r="I2" i="31" s="1"/>
  <c r="A1" i="31" a="1"/>
  <c r="A1" i="31" s="1"/>
  <c r="H4" i="28"/>
  <c r="I4" i="28" s="1"/>
  <c r="E4" i="28"/>
  <c r="F4" i="28" s="1"/>
  <c r="B4" i="28" a="1"/>
  <c r="B4" i="28" s="1"/>
  <c r="A4" i="28" a="1"/>
  <c r="A4" i="28" s="1"/>
  <c r="G2" i="28"/>
  <c r="D2" i="28"/>
  <c r="C2" i="28"/>
  <c r="A1" i="28" a="1"/>
  <c r="A1" i="28" s="1"/>
  <c r="H4" i="27"/>
  <c r="I4" i="27" s="1"/>
  <c r="E4" i="27"/>
  <c r="F4" i="27" s="1"/>
  <c r="G2" i="27"/>
  <c r="D2" i="27"/>
  <c r="C2" i="27"/>
  <c r="J2" i="27" s="1"/>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E2" i="20" s="1"/>
  <c r="F2" i="20" s="1"/>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H2" i="4" s="1"/>
  <c r="I2" i="4" s="1"/>
  <c r="A1" i="4" a="1"/>
  <c r="A1" i="4" s="1"/>
  <c r="G2" i="3"/>
  <c r="D2" i="3"/>
  <c r="C2" i="3"/>
  <c r="J2" i="3" s="1"/>
  <c r="A1" i="3" a="1"/>
  <c r="A1" i="3" s="1"/>
  <c r="H4" i="72"/>
  <c r="G2" i="72"/>
  <c r="D2" i="72"/>
  <c r="C2" i="72"/>
  <c r="J2" i="72" s="1"/>
  <c r="E4" i="72"/>
  <c r="A1" i="72" a="1"/>
  <c r="A1" i="72" s="1"/>
  <c r="H2" i="28" l="1"/>
  <c r="I2" i="28" s="1"/>
  <c r="J2" i="28"/>
  <c r="D4" i="34"/>
  <c r="D2" i="34" s="1"/>
  <c r="G4" i="34"/>
  <c r="G2" i="34" s="1"/>
  <c r="H2" i="21"/>
  <c r="I2" i="21" s="1"/>
  <c r="H2" i="19"/>
  <c r="I2" i="19" s="1"/>
  <c r="C4" i="34"/>
  <c r="E4" i="18"/>
  <c r="F4" i="18" s="1"/>
  <c r="J2" i="4"/>
  <c r="J2" i="21"/>
  <c r="J2" i="20"/>
  <c r="H2" i="20"/>
  <c r="I2" i="20" s="1"/>
  <c r="J2" i="19"/>
  <c r="H2" i="26"/>
  <c r="I2" i="26" s="1"/>
  <c r="J2" i="26"/>
  <c r="H2" i="27"/>
  <c r="I2" i="27" s="1"/>
  <c r="E2" i="28"/>
  <c r="F2" i="28" s="1"/>
  <c r="J2" i="31"/>
  <c r="H2" i="32"/>
  <c r="I2" i="32" s="1"/>
  <c r="H2" i="33"/>
  <c r="I2" i="33" s="1"/>
  <c r="H2" i="3"/>
  <c r="I2" i="3" s="1"/>
  <c r="G2" i="1"/>
  <c r="H4" i="30"/>
  <c r="I4" i="30" s="1"/>
  <c r="H4" i="29"/>
  <c r="I4" i="29" s="1"/>
  <c r="H4" i="18"/>
  <c r="I4" i="18" s="1"/>
  <c r="C2" i="29"/>
  <c r="E2" i="29" s="1"/>
  <c r="F2" i="29" s="1"/>
  <c r="C2" i="30"/>
  <c r="E4" i="29"/>
  <c r="F4" i="29" s="1"/>
  <c r="C2" i="18"/>
  <c r="H4" i="1"/>
  <c r="I4" i="1" s="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H2" i="1"/>
  <c r="I2" i="1" s="1"/>
  <c r="C2" i="34"/>
  <c r="H2" i="34" s="1"/>
  <c r="I2" i="34" s="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<sst xmlns="http://schemas.openxmlformats.org/spreadsheetml/2006/main" count="262" uniqueCount="69">
  <si>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</si>
  <si>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</si>
  <si>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</si>
  <si>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</si>
  <si>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</si>
  <si>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</si>
  <si>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</si>
  <si>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</si>
  <si>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</si>
  <si>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</si>
  <si>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</si>
  <si>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</si>
  <si>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</si>
  <si>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</si>
  <si>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</si>
  <si>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</si>
  <si>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</si>
  <si>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</si>
  <si>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</si>
  <si>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</si>
  <si>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</si>
  <si>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</si>
  <si>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The sites were not communicated from 11/05/2022</t>
  </si>
  <si>
    <t>1. SR067220</t>
  </si>
  <si>
    <t>February Actual v. Expected</t>
  </si>
  <si>
    <t>February Actual v. Forecasted</t>
  </si>
  <si>
    <t>March Actual v. Expected</t>
  </si>
  <si>
    <t>March Actual v. Forecasted</t>
  </si>
  <si>
    <t>April Actual v. Expected</t>
  </si>
  <si>
    <t>April Actual v. Forecasted</t>
  </si>
  <si>
    <t>1. Site is not communicating from 11/05/2022.</t>
  </si>
  <si>
    <t>May Actual v. Expected</t>
  </si>
  <si>
    <t>May Actual v. Forecasted</t>
  </si>
  <si>
    <t>1. Site is not communicating from 11/05/2022. Modem being replaced</t>
  </si>
  <si>
    <t>June Actual v. Expected</t>
  </si>
  <si>
    <t>June Actual v. Forecasted</t>
  </si>
  <si>
    <t xml:space="preserve">1. Modem was replaced and site regained communication at 06:00am on 06/23 but seems like the actual energy is the combination all previous months.
2. Inverter C1 offline after site regained communication and is still offline
3. Inverter A9 tripped offline at 11:00 on 06/24 and back online the next day.  Inverter 9 again tripped offline at 07:00 on 06/26 and back online the next day.
</t>
  </si>
  <si>
    <t xml:space="preserve">1. 	SR067220
2. SR087334
3. SR087354
</t>
  </si>
  <si>
    <t>July Actual v. Expected</t>
  </si>
  <si>
    <t>July Actual v. Forecasted</t>
  </si>
  <si>
    <t>1. Inverter C 01 is offline from 06/22/2024 and back online at 12:15 on 07/31/2024.
2. Inverter C 09 is offline on 07/02 and back online on 07/03.
3. Inverter A 09 is having tripping issue from 08:00AM from 07/01 and inverter tripping issue resolved from 07/10.
4. Inverter A 08  is offline from 5AM to 8AM on 07/09.
5. Pyranometers  B1 and C1 are not communicting from 07/01.</t>
  </si>
  <si>
    <t>1. SR087334.
2. SR087333.
3. SR087354.
4. SR087508.
5. SR087336.</t>
  </si>
  <si>
    <t>August Actual v. Expected</t>
  </si>
  <si>
    <t>August Actual v. Forecasted</t>
  </si>
  <si>
    <t>1. Inverter C 09 is offline on 08/02 and back online at 9AM on 08/03 and again started late at 8AM and back online at 10:00AM on 08/04.
2. Weather Station C1 regained communication on 08/22
3. Pad C inverters have stopped communicating from 08/23 possibly offline</t>
  </si>
  <si>
    <t>1. SR088558.
2.  SR087336.
3.  SR088994</t>
  </si>
  <si>
    <t>September Actual v. Expected</t>
  </si>
  <si>
    <t>September Actual v. Forecasted</t>
  </si>
  <si>
    <t>1. Weather station on Pad C is experiencing frequent communication outages
2. Pad C inverters have stopped communicating from 08/23 possibly offline</t>
  </si>
  <si>
    <t>1. SR087336.
2. SR088994</t>
  </si>
  <si>
    <t>October Actual v. Expected</t>
  </si>
  <si>
    <t>October Actual v. Forecasted</t>
  </si>
  <si>
    <t>1.Inverter A11 is derating from 10/19 multiple times by approximately 11 kW at midday throughout the month.
2. Pad C inverters have stopped communicating from 08/23 possibly offline
3. Weather station on Pad C is experiencing frequent communication outages</t>
  </si>
  <si>
    <t>1. SR092451
2. SR088994 
3. SR087336</t>
  </si>
  <si>
    <t>November Actual v. Expected</t>
  </si>
  <si>
    <t>November Actual v. Forecasted</t>
  </si>
  <si>
    <t>1.Inverter A11 is derating multiple times by approximately 11 kW at midday throughout the month.
2. Pad C inverters have stopped communicating from 08/23 possibly offline
3. Weather station on Pad C is experiencing frequent communication outages</t>
  </si>
  <si>
    <t>December Actual v. Expected</t>
  </si>
  <si>
    <t>December Actual v. Forecasted</t>
  </si>
  <si>
    <t>1.Inverter A11 is derating multiple times by approximately 11 kW during midday throughout the month and is being RMA'D.
2. Pad C inverters have stopped communicating from 08/23 possibly offline.
3.Weather station on Pad C is experiencing frequent communication outages.
4.Pad B inverters back online and regained communications at 14:15 on 12/10.</t>
  </si>
  <si>
    <t>1.SR093126
2.SR089462,SR088994
3.SR087336,SR089462
4.SR089462</t>
  </si>
  <si>
    <t>Portfolio:</t>
  </si>
  <si>
    <t>Joseph City USD</t>
  </si>
  <si>
    <t>Site DAS Name</t>
  </si>
  <si>
    <t>Update</t>
  </si>
  <si>
    <t>DAS</t>
  </si>
  <si>
    <t>JCUSD</t>
  </si>
  <si>
    <t>AZ: Joseph City USD</t>
  </si>
  <si>
    <t>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</si>
</sst>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5">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49">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0" fontId="34" fillId="40" borderId="0" xfId="0" applyFont="1" applyFill="1" applyAlignment="1">
      <alignment horizontal="center" vertical="center" indent="1"/>
    </xf>
    <xf numFmtId="0" fontId="34" fillId="40" borderId="0" xfId="0" applyFont="1" applyFill="1" applyAlignment="1">
      <alignment horizontal="center" vertical="center"/>
    </xf>
    <xf numFmtId="49" fontId="30" fillId="38" borderId="0" xfId="2"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1"/>
  <sheetViews>
    <sheetView workbookViewId="0">
      <pane ySplit="2" topLeftCell="A3" activePane="bottomLeft" state="frozen"/>
      <selection pane="bottomLeft" activeCell="I4" sqref="I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6" t="str" cm="1">
        <f t="array" ref="A1">portfolio</f>
        <v>Joseph City USD</v>
      </c>
      <c r="B1" s="46"/>
      <c r="C1" s="46"/>
      <c r="D1" s="47" t="s">
        <v>0</v>
      </c>
      <c r="E1" s="47"/>
      <c r="F1" s="47"/>
      <c r="G1" s="45" t="s">
        <v>1</v>
      </c>
      <c r="H1" s="45"/>
      <c r="I1" s="45"/>
    </row>
    <row r="2" spans="1:9" ht="19.5" customHeight="1">
      <c r="A2" s="48" t="s">
        <v>2</v>
      </c>
      <c r="B2" s="48"/>
      <c r="C2" s="6">
        <f>SUM(C4:C89)</f>
        <v>1211708.6768409899</v>
      </c>
      <c r="D2" s="6">
        <f>SUM(D4:D89)</f>
        <v>335334.38500000001</v>
      </c>
      <c r="E2" s="6">
        <f>C2-D2</f>
        <v>876374.29184098984</v>
      </c>
      <c r="F2" s="7">
        <f>IFERROR(E2/D2, 0)</f>
        <v>2.6134340259827211</v>
      </c>
      <c r="G2" s="6">
        <f>SUM(G4:G89)</f>
        <v>316832.22200000001</v>
      </c>
      <c r="H2" s="8">
        <f>C2-G2</f>
        <v>894876.45484098978</v>
      </c>
      <c r="I2" s="7">
        <f>IFERROR(H2/G2, 0)</f>
        <v>2.8244490070867534</v>
      </c>
    </row>
    <row r="3" spans="1:9" ht="14.25" customHeight="1">
      <c r="A3" s="9" t="s">
        <v>3</v>
      </c>
      <c r="B3" s="9" t="s">
        <v>4</v>
      </c>
      <c r="C3" s="25" t="s">
        <v>5</v>
      </c>
      <c r="D3" s="36" t="s">
        <v>6</v>
      </c>
      <c r="E3" s="36" t="s">
        <v>7</v>
      </c>
      <c r="F3" s="37" t="s">
        <v>8</v>
      </c>
      <c r="G3" s="38" t="s">
        <v>9</v>
      </c>
      <c r="H3" s="39" t="s">
        <v>7</v>
      </c>
      <c r="I3" s="40" t="s">
        <v>8</v>
      </c>
    </row>
    <row r="4" spans="1:9" ht="15.75">
      <c r="A4" s="13" t="str" cm="1">
        <f t="array" ref="A4">Sites[Site]</f>
        <v>AZ: Joseph City USD</v>
      </c>
      <c r="B4" s="10" t="str" cm="1">
        <f t="array" ref="B4">Sites[State]</f>
        <v>AZ</v>
      </c>
      <c r="C4" s="26">
        <f>SUM('1st Qtr'!C4, '2nd Qtr'!C4, '3rd Qtr'!C4, '4th Qtr'!C4)</f>
        <v>1211708.6768409899</v>
      </c>
      <c r="D4" s="14">
        <f>SUM('1st Qtr'!D4, '2nd Qtr'!D4, '3rd Qtr'!D4, '4th Qtr'!D4)</f>
        <v>335334.38500000001</v>
      </c>
      <c r="E4" s="14">
        <f>IF(AND(ISNUMBER(C4),ISNUMBER(D4)), C4-D4, "")</f>
        <v>876374.29184098984</v>
      </c>
      <c r="F4" s="15">
        <f>IFERROR(E4/D4, 0)</f>
        <v>2.6134340259827211</v>
      </c>
      <c r="G4" s="16">
        <f>SUM('1st Qtr'!G4,'2nd Qtr'!G4,'3rd Qtr'!G4,'4th Qtr'!G4)</f>
        <v>316832.22200000001</v>
      </c>
      <c r="H4" s="16">
        <f>SUM('1st Qtr'!H4, '2nd Qtr'!H4, '3rd Qtr'!H4, '4th Qtr'!H4)</f>
        <v>894876.45484099002</v>
      </c>
      <c r="I4" s="17">
        <f>IFERROR(H4/G4, 0)</f>
        <v>2.8244490070867538</v>
      </c>
    </row>
    <row r="5" spans="1:9" ht="13.15">
      <c r="A5" s="23"/>
      <c r="B5" s="23"/>
      <c r="C5" s="23"/>
      <c r="D5" s="23"/>
      <c r="E5" s="23"/>
      <c r="F5" s="23"/>
      <c r="G5" s="23"/>
      <c r="H5" s="23"/>
      <c r="I5" s="23"/>
    </row>
    <row r="6" spans="1:9" ht="13.15">
      <c r="A6" s="23"/>
      <c r="B6" s="23"/>
      <c r="C6" s="23"/>
      <c r="D6" s="23"/>
      <c r="E6" s="23"/>
      <c r="F6" s="23"/>
      <c r="G6" s="23"/>
      <c r="H6" s="23"/>
      <c r="I6" s="23"/>
    </row>
    <row r="7" spans="1:9" ht="12.75" customHeight="1">
      <c r="A7" s="23"/>
      <c r="B7" s="23"/>
      <c r="C7" s="23"/>
      <c r="D7" s="23"/>
      <c r="E7" s="23"/>
      <c r="F7" s="23"/>
      <c r="G7" s="23"/>
      <c r="H7" s="23"/>
      <c r="I7" s="23"/>
    </row>
    <row r="8" spans="1:9" ht="13.15">
      <c r="A8" s="23"/>
      <c r="B8" s="23"/>
      <c r="C8" s="23"/>
      <c r="D8" s="23"/>
      <c r="E8" s="23"/>
      <c r="F8" s="23"/>
      <c r="G8" s="23"/>
      <c r="H8" s="23"/>
      <c r="I8" s="23"/>
    </row>
    <row r="9" spans="1:9" ht="13.15">
      <c r="A9" s="23"/>
      <c r="B9" s="23"/>
      <c r="C9" s="23"/>
      <c r="D9" s="23"/>
      <c r="E9" s="23"/>
      <c r="F9" s="23"/>
      <c r="G9" s="23"/>
      <c r="H9" s="23"/>
      <c r="I9" s="23"/>
    </row>
    <row r="10" spans="1:9" ht="13.15">
      <c r="A10" s="23"/>
      <c r="B10" s="23"/>
      <c r="C10" s="23"/>
      <c r="D10" s="23"/>
      <c r="E10" s="23"/>
      <c r="F10" s="23"/>
      <c r="G10" s="23"/>
      <c r="H10" s="23"/>
      <c r="I10" s="23"/>
    </row>
    <row r="11" spans="1:9" ht="13.15">
      <c r="A11" s="23"/>
      <c r="B11" s="23"/>
      <c r="C11" s="23"/>
      <c r="D11" s="23"/>
      <c r="E11" s="23"/>
      <c r="F11" s="23"/>
      <c r="G11" s="23"/>
      <c r="H11" s="23"/>
      <c r="I11" s="23"/>
    </row>
    <row r="12" spans="1:9" ht="13.15">
      <c r="A12" s="23"/>
      <c r="B12" s="23"/>
      <c r="C12" s="23"/>
      <c r="D12" s="23"/>
      <c r="E12" s="23"/>
      <c r="F12" s="23"/>
      <c r="G12" s="23"/>
      <c r="H12" s="23"/>
      <c r="I12" s="23"/>
    </row>
    <row r="13" spans="1:9" ht="13.15">
      <c r="A13" s="23"/>
      <c r="B13" s="23"/>
      <c r="C13" s="23"/>
      <c r="D13" s="23"/>
      <c r="E13" s="23"/>
      <c r="F13" s="23"/>
      <c r="G13" s="23"/>
      <c r="H13" s="23"/>
      <c r="I13" s="23"/>
    </row>
    <row r="14" spans="1:9" ht="13.15">
      <c r="A14" s="23"/>
      <c r="B14" s="23"/>
      <c r="C14" s="23"/>
      <c r="D14" s="23"/>
      <c r="E14" s="23"/>
      <c r="F14" s="23"/>
      <c r="G14" s="23"/>
      <c r="H14" s="23"/>
      <c r="I14" s="23"/>
    </row>
    <row r="15" spans="1:9" ht="13.15">
      <c r="A15" s="23"/>
      <c r="B15" s="23"/>
      <c r="C15" s="23"/>
      <c r="D15" s="23"/>
      <c r="E15" s="23"/>
      <c r="F15" s="23"/>
      <c r="G15" s="23"/>
      <c r="H15" s="23"/>
      <c r="I15" s="23"/>
    </row>
    <row r="16" spans="1:9"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3"/>
      <c r="G21" s="23"/>
      <c r="H21" s="23"/>
      <c r="I21" s="23"/>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row r="331" spans="1:9" ht="13.15">
      <c r="A331" s="23"/>
      <c r="B331" s="23"/>
      <c r="C331" s="23"/>
      <c r="D331" s="23"/>
      <c r="E331" s="23"/>
      <c r="F331" s="24"/>
      <c r="G331" s="23"/>
      <c r="H331" s="23"/>
      <c r="I331" s="24"/>
    </row>
  </sheetData>
  <autoFilter ref="A2:I2" xr:uid="{D5C25034-9971-4A61-864F-C938F31EB1B8}"/>
  <mergeCells count="4">
    <mergeCell ref="G1:I1"/>
    <mergeCell ref="A1:C1"/>
    <mergeCell ref="D1:F1"/>
    <mergeCell ref="A2:B2"/>
  </mergeCells>
  <conditionalFormatting sqref="F2 I2 F4:F89 I4:I8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1"/>
  <sheetViews>
    <sheetView workbookViewId="0">
      <pane ySplit="2" topLeftCell="A3" activePane="bottomLeft" state="frozen"/>
      <selection pane="bottomLeft" activeCell="H4" sqref="H4"/>
      <selection activeCell="E22" sqref="E2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6" t="str" cm="1">
        <f t="array" ref="A1">portfolio</f>
        <v>Joseph City USD</v>
      </c>
      <c r="B1" s="46"/>
      <c r="C1" s="46"/>
      <c r="D1" s="47" t="s">
        <v>10</v>
      </c>
      <c r="E1" s="47"/>
      <c r="F1" s="47"/>
      <c r="G1" s="45" t="s">
        <v>11</v>
      </c>
      <c r="H1" s="45"/>
      <c r="I1" s="45"/>
    </row>
    <row r="2" spans="1:9" ht="19.5" customHeight="1">
      <c r="A2" s="48" t="s">
        <v>2</v>
      </c>
      <c r="B2" s="48"/>
      <c r="C2" s="6">
        <f>SUM(C4:C89)</f>
        <v>0</v>
      </c>
      <c r="D2" s="6">
        <f>SUM(D4:D89)</f>
        <v>0</v>
      </c>
      <c r="E2" s="6">
        <f>C2-D2</f>
        <v>0</v>
      </c>
      <c r="F2" s="7">
        <f>IFERROR(E2/D2, 0)</f>
        <v>0</v>
      </c>
      <c r="G2" s="6">
        <f>SUM(G4:G89)</f>
        <v>0</v>
      </c>
      <c r="H2" s="8">
        <f>C2-G2</f>
        <v>0</v>
      </c>
      <c r="I2" s="7">
        <f>IFERROR(H2/G2, 0)</f>
        <v>0</v>
      </c>
    </row>
    <row r="3" spans="1:9" ht="14.25" customHeight="1">
      <c r="A3" s="9" t="s">
        <v>3</v>
      </c>
      <c r="B3" s="9" t="s">
        <v>4</v>
      </c>
      <c r="C3" s="25" t="s">
        <v>5</v>
      </c>
      <c r="D3" s="36" t="s">
        <v>6</v>
      </c>
      <c r="E3" s="36" t="s">
        <v>7</v>
      </c>
      <c r="F3" s="37" t="s">
        <v>8</v>
      </c>
      <c r="G3" s="38" t="s">
        <v>9</v>
      </c>
      <c r="H3" s="39" t="s">
        <v>7</v>
      </c>
      <c r="I3" s="40" t="s">
        <v>8</v>
      </c>
    </row>
    <row r="4" spans="1:9" ht="15.75">
      <c r="A4" s="13" t="str" cm="1">
        <f t="array" ref="A4">Sites[Site]</f>
        <v>AZ: Joseph City USD</v>
      </c>
      <c r="B4" s="10" t="str" cm="1">
        <f t="array" ref="B4">Sites[State]</f>
        <v>AZ</v>
      </c>
      <c r="C4" s="26">
        <f>SUM(Jan!C4, Feb!C4, Mar!C4)</f>
        <v>0</v>
      </c>
      <c r="D4" s="14">
        <f>SUM(Jan!D4, Feb!D4, Mar!D4)</f>
        <v>0</v>
      </c>
      <c r="E4" s="14">
        <f>IF(AND(ISNUMBER(C4),ISNUMBER(D4)), C4-D4, "")</f>
        <v>0</v>
      </c>
      <c r="F4" s="15">
        <f>IFERROR(E4/D4, 0)</f>
        <v>0</v>
      </c>
      <c r="G4" s="16">
        <f>SUM(Jan!G4, Feb!G4, Mar!G4)</f>
        <v>0</v>
      </c>
      <c r="H4" s="16">
        <f>SUM(Jan!H4, Feb!H4, Mar!H4)</f>
        <v>0</v>
      </c>
      <c r="I4" s="17">
        <f>IFERROR(H4/G4, 0)</f>
        <v>0</v>
      </c>
    </row>
    <row r="5" spans="1:9" ht="13.15">
      <c r="A5" s="23"/>
      <c r="B5" s="23"/>
      <c r="C5" s="23"/>
      <c r="D5" s="23"/>
      <c r="E5" s="23"/>
      <c r="F5" s="23"/>
      <c r="G5" s="23"/>
      <c r="H5" s="23"/>
      <c r="I5" s="23"/>
    </row>
    <row r="6" spans="1:9" ht="13.15">
      <c r="A6" s="23"/>
      <c r="B6" s="23"/>
      <c r="C6" s="23"/>
      <c r="D6" s="23"/>
      <c r="E6" s="23"/>
      <c r="F6" s="23"/>
      <c r="G6" s="23"/>
      <c r="H6" s="23"/>
      <c r="I6" s="23"/>
    </row>
    <row r="7" spans="1:9" ht="12.75" customHeight="1">
      <c r="A7" s="23"/>
      <c r="B7" s="23"/>
      <c r="C7" s="23"/>
      <c r="D7" s="23"/>
      <c r="E7" s="23"/>
      <c r="F7" s="23"/>
      <c r="G7" s="23"/>
      <c r="H7" s="23"/>
      <c r="I7" s="23"/>
    </row>
    <row r="8" spans="1:9" ht="13.15">
      <c r="A8" s="23"/>
      <c r="B8" s="23"/>
      <c r="C8" s="23"/>
      <c r="D8" s="23"/>
      <c r="E8" s="23"/>
      <c r="F8" s="23"/>
      <c r="G8" s="23"/>
      <c r="H8" s="23"/>
      <c r="I8" s="23"/>
    </row>
    <row r="9" spans="1:9" ht="13.15">
      <c r="A9" s="23"/>
      <c r="B9" s="23"/>
      <c r="C9" s="23"/>
      <c r="D9" s="23"/>
      <c r="E9" s="23"/>
      <c r="F9" s="23"/>
      <c r="G9" s="23"/>
      <c r="H9" s="23"/>
      <c r="I9" s="23"/>
    </row>
    <row r="10" spans="1:9" ht="13.15">
      <c r="A10" s="23"/>
      <c r="B10" s="23"/>
      <c r="C10" s="23"/>
      <c r="D10" s="23"/>
      <c r="E10" s="23"/>
      <c r="F10" s="23"/>
      <c r="G10" s="23"/>
      <c r="H10" s="23"/>
      <c r="I10" s="23"/>
    </row>
    <row r="11" spans="1:9" ht="13.15">
      <c r="A11" s="23"/>
      <c r="B11" s="23"/>
      <c r="C11" s="23"/>
      <c r="D11" s="23"/>
      <c r="E11" s="23"/>
      <c r="F11" s="23"/>
      <c r="G11" s="23"/>
      <c r="H11" s="23"/>
      <c r="I11" s="23"/>
    </row>
    <row r="12" spans="1:9" ht="13.15">
      <c r="A12" s="23"/>
      <c r="B12" s="23"/>
      <c r="C12" s="23"/>
      <c r="D12" s="23"/>
      <c r="E12" s="23"/>
      <c r="F12" s="23"/>
      <c r="G12" s="23"/>
      <c r="H12" s="23"/>
      <c r="I12" s="23"/>
    </row>
    <row r="13" spans="1:9" ht="13.15">
      <c r="A13" s="23"/>
      <c r="B13" s="23"/>
      <c r="C13" s="23"/>
      <c r="D13" s="23"/>
      <c r="E13" s="23"/>
      <c r="F13" s="23"/>
      <c r="G13" s="23"/>
      <c r="H13" s="23"/>
      <c r="I13" s="23"/>
    </row>
    <row r="14" spans="1:9" ht="13.15">
      <c r="A14" s="23"/>
      <c r="B14" s="23"/>
      <c r="C14" s="23"/>
      <c r="D14" s="23"/>
      <c r="E14" s="23"/>
      <c r="F14" s="23"/>
      <c r="G14" s="23"/>
      <c r="H14" s="23"/>
      <c r="I14" s="23"/>
    </row>
    <row r="15" spans="1:9" ht="13.15">
      <c r="A15" s="23"/>
      <c r="B15" s="23"/>
      <c r="C15" s="23"/>
      <c r="D15" s="23"/>
      <c r="E15" s="23"/>
      <c r="F15" s="23"/>
      <c r="G15" s="23"/>
      <c r="H15" s="23"/>
      <c r="I15" s="23"/>
    </row>
    <row r="16" spans="1:9"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3"/>
      <c r="G21" s="23"/>
      <c r="H21" s="23"/>
      <c r="I21" s="23"/>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row r="331" spans="1:9" ht="13.15">
      <c r="A331" s="23"/>
      <c r="B331" s="23"/>
      <c r="C331" s="23"/>
      <c r="D331" s="23"/>
      <c r="E331" s="23"/>
      <c r="F331" s="24"/>
      <c r="G331" s="23"/>
      <c r="H331" s="23"/>
      <c r="I331" s="24"/>
    </row>
  </sheetData>
  <sortState xmlns:xlrd2="http://schemas.microsoft.com/office/spreadsheetml/2017/richdata2" ref="A3:I3">
    <sortCondition ref="A3"/>
  </sortState>
  <mergeCells count="4">
    <mergeCell ref="G1:I1"/>
    <mergeCell ref="A1:C1"/>
    <mergeCell ref="D1:F1"/>
    <mergeCell ref="A2:B2"/>
  </mergeCells>
  <conditionalFormatting sqref="F2 I2 F4:F89 I4:I8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1"/>
  <sheetViews>
    <sheetView workbookViewId="0">
      <pane ySplit="2" topLeftCell="A3" activePane="bottomLeft" state="frozen"/>
      <selection pane="bottomLeft" activeCell="G19" sqref="G19"/>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6" t="str" cm="1">
        <f t="array" ref="A1">portfolio</f>
        <v>Joseph City USD</v>
      </c>
      <c r="B1" s="46"/>
      <c r="C1" s="46"/>
      <c r="D1" s="47" t="s">
        <v>12</v>
      </c>
      <c r="E1" s="47"/>
      <c r="F1" s="47"/>
      <c r="G1" s="45" t="s">
        <v>13</v>
      </c>
      <c r="H1" s="45"/>
      <c r="I1" s="45"/>
    </row>
    <row r="2" spans="1:9" ht="19.5" customHeight="1">
      <c r="A2" s="48" t="s">
        <v>2</v>
      </c>
      <c r="B2" s="48"/>
      <c r="C2" s="6">
        <f>SUM(C4:C89)</f>
        <v>1002703.36784099</v>
      </c>
      <c r="D2" s="6">
        <f>SUM(D4:D89)</f>
        <v>3795.1</v>
      </c>
      <c r="E2" s="6">
        <f>C2-D2</f>
        <v>998908.26784098998</v>
      </c>
      <c r="F2" s="7">
        <f>IFERROR(E2/D2, 0)</f>
        <v>263.20999916760826</v>
      </c>
      <c r="G2" s="6">
        <f>SUM(G4:G89)</f>
        <v>69735</v>
      </c>
      <c r="H2" s="8">
        <f>C2-G2</f>
        <v>932968.36784098996</v>
      </c>
      <c r="I2" s="7">
        <f>IFERROR(H2/G2, 0)</f>
        <v>13.37876773271657</v>
      </c>
    </row>
    <row r="3" spans="1:9" ht="14.25" customHeight="1">
      <c r="A3" s="9" t="s">
        <v>3</v>
      </c>
      <c r="B3" s="9" t="s">
        <v>4</v>
      </c>
      <c r="C3" s="25" t="s">
        <v>5</v>
      </c>
      <c r="D3" s="36" t="s">
        <v>6</v>
      </c>
      <c r="E3" s="36" t="s">
        <v>7</v>
      </c>
      <c r="F3" s="37" t="s">
        <v>8</v>
      </c>
      <c r="G3" s="38" t="s">
        <v>9</v>
      </c>
      <c r="H3" s="39" t="s">
        <v>7</v>
      </c>
      <c r="I3" s="40" t="s">
        <v>8</v>
      </c>
    </row>
    <row r="4" spans="1:9" ht="15.75">
      <c r="A4" s="13" t="str" cm="1">
        <f t="array" ref="A4">Sites[Site]</f>
        <v>AZ: Joseph City USD</v>
      </c>
      <c r="B4" s="10" t="str" cm="1">
        <f t="array" ref="B4">Sites[State]</f>
        <v>AZ</v>
      </c>
      <c r="C4" s="26">
        <f>SUM(Apr!C4, May!C4, Jun!C4)</f>
        <v>1002703.36784099</v>
      </c>
      <c r="D4" s="14">
        <f>SUM(Apr!D4, May!D4, Jun!D4)</f>
        <v>3795.1</v>
      </c>
      <c r="E4" s="14">
        <f>IF(AND(ISNUMBER(C4),ISNUMBER(D4)), C4-D4, "")</f>
        <v>998908.26784098998</v>
      </c>
      <c r="F4" s="15">
        <f>IFERROR(E4/D4, "")</f>
        <v>263.20999916760826</v>
      </c>
      <c r="G4" s="16">
        <f>SUM(Apr!G4,May!G4,Jun!G4)</f>
        <v>69735</v>
      </c>
      <c r="H4" s="16">
        <f>SUM(Apr!H4, May!H4, Jun!H4)</f>
        <v>932968.36784098996</v>
      </c>
      <c r="I4" s="17">
        <f>IFERROR(H4/G4, "")</f>
        <v>13.37876773271657</v>
      </c>
    </row>
    <row r="5" spans="1:9" ht="13.15">
      <c r="A5" s="23"/>
      <c r="B5" s="23"/>
      <c r="C5" s="23"/>
      <c r="D5" s="23"/>
      <c r="E5" s="23"/>
      <c r="F5" s="23"/>
      <c r="G5" s="23"/>
      <c r="H5" s="23"/>
      <c r="I5" s="23"/>
    </row>
    <row r="6" spans="1:9" ht="13.15">
      <c r="A6" s="23"/>
      <c r="B6" s="23"/>
      <c r="C6" s="23"/>
      <c r="D6" s="23"/>
      <c r="E6" s="23"/>
      <c r="F6" s="23"/>
      <c r="G6" s="23"/>
      <c r="H6" s="23"/>
      <c r="I6" s="23"/>
    </row>
    <row r="7" spans="1:9" ht="12.75" customHeight="1">
      <c r="A7" s="23"/>
      <c r="B7" s="23"/>
      <c r="C7" s="23"/>
      <c r="D7" s="23"/>
      <c r="E7" s="23"/>
      <c r="F7" s="23"/>
      <c r="G7" s="23"/>
      <c r="H7" s="23"/>
      <c r="I7" s="23"/>
    </row>
    <row r="8" spans="1:9" ht="13.15">
      <c r="A8" s="23"/>
      <c r="B8" s="23"/>
      <c r="C8" s="23"/>
      <c r="D8" s="23"/>
      <c r="E8" s="23"/>
      <c r="F8" s="23"/>
      <c r="G8" s="23"/>
      <c r="H8" s="23"/>
      <c r="I8" s="23"/>
    </row>
    <row r="9" spans="1:9" ht="13.15">
      <c r="A9" s="23"/>
      <c r="B9" s="23"/>
      <c r="C9" s="23"/>
      <c r="D9" s="23"/>
      <c r="E9" s="23"/>
      <c r="F9" s="23"/>
      <c r="G9" s="23"/>
      <c r="H9" s="23"/>
      <c r="I9" s="23"/>
    </row>
    <row r="10" spans="1:9" ht="13.15">
      <c r="A10" s="23"/>
      <c r="B10" s="23"/>
      <c r="C10" s="23"/>
      <c r="D10" s="23"/>
      <c r="E10" s="23"/>
      <c r="F10" s="23"/>
      <c r="G10" s="23"/>
      <c r="H10" s="23"/>
      <c r="I10" s="23"/>
    </row>
    <row r="11" spans="1:9" ht="13.15">
      <c r="A11" s="23"/>
      <c r="B11" s="23"/>
      <c r="C11" s="23"/>
      <c r="D11" s="23"/>
      <c r="E11" s="23"/>
      <c r="F11" s="23"/>
      <c r="G11" s="23"/>
      <c r="H11" s="23"/>
      <c r="I11" s="23"/>
    </row>
    <row r="12" spans="1:9" ht="13.15">
      <c r="A12" s="23"/>
      <c r="B12" s="23"/>
      <c r="C12" s="23"/>
      <c r="D12" s="23"/>
      <c r="E12" s="23"/>
      <c r="F12" s="23"/>
      <c r="G12" s="23"/>
      <c r="H12" s="23"/>
      <c r="I12" s="23"/>
    </row>
    <row r="13" spans="1:9" ht="13.15">
      <c r="A13" s="23"/>
      <c r="B13" s="23"/>
      <c r="C13" s="23"/>
      <c r="D13" s="23"/>
      <c r="E13" s="23"/>
      <c r="F13" s="23"/>
      <c r="G13" s="23"/>
      <c r="H13" s="23"/>
      <c r="I13" s="23"/>
    </row>
    <row r="14" spans="1:9" ht="13.15">
      <c r="A14" s="23"/>
      <c r="B14" s="23"/>
      <c r="C14" s="23"/>
      <c r="D14" s="23"/>
      <c r="E14" s="23"/>
      <c r="F14" s="23"/>
      <c r="G14" s="23"/>
      <c r="H14" s="23"/>
      <c r="I14" s="23"/>
    </row>
    <row r="15" spans="1:9" ht="13.15">
      <c r="A15" s="23"/>
      <c r="B15" s="23"/>
      <c r="C15" s="23"/>
      <c r="D15" s="23"/>
      <c r="E15" s="23"/>
      <c r="F15" s="23"/>
      <c r="G15" s="23"/>
      <c r="H15" s="23"/>
      <c r="I15" s="23"/>
    </row>
    <row r="16" spans="1:9"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3"/>
      <c r="G21" s="23"/>
      <c r="H21" s="23"/>
      <c r="I21" s="23"/>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row r="331" spans="1:9" ht="13.15">
      <c r="A331" s="23"/>
      <c r="B331" s="23"/>
      <c r="C331" s="23"/>
      <c r="D331" s="23"/>
      <c r="E331" s="23"/>
      <c r="F331" s="24"/>
      <c r="G331" s="23"/>
      <c r="H331" s="23"/>
      <c r="I331" s="24"/>
    </row>
  </sheetData>
  <sortState xmlns:xlrd2="http://schemas.microsoft.com/office/spreadsheetml/2017/richdata2" ref="A3:I4">
    <sortCondition ref="A3:A4"/>
  </sortState>
  <mergeCells count="4">
    <mergeCell ref="G1:I1"/>
    <mergeCell ref="A1:C1"/>
    <mergeCell ref="D1:F1"/>
    <mergeCell ref="A2:B2"/>
  </mergeCells>
  <conditionalFormatting sqref="F2 I2 F4:F89 I4:I8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0"/>
  <sheetViews>
    <sheetView workbookViewId="0">
      <pane ySplit="2" topLeftCell="F3" activePane="bottomLeft" state="frozen"/>
      <selection pane="bottomLeft" activeCell="F11" sqref="F11"/>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6" t="str" cm="1">
        <f t="array" ref="A1">portfolio</f>
        <v>Joseph City USD</v>
      </c>
      <c r="B1" s="46"/>
      <c r="C1" s="46"/>
      <c r="D1" s="47" t="s">
        <v>14</v>
      </c>
      <c r="E1" s="47"/>
      <c r="F1" s="47"/>
      <c r="G1" s="45" t="s">
        <v>15</v>
      </c>
      <c r="H1" s="45"/>
      <c r="I1" s="45"/>
    </row>
    <row r="2" spans="1:9" ht="19.5" customHeight="1">
      <c r="A2" s="48" t="s">
        <v>2</v>
      </c>
      <c r="B2" s="48"/>
      <c r="C2" s="6">
        <f>SUM(C4:C88)</f>
        <v>140742.30900000001</v>
      </c>
      <c r="D2" s="6">
        <f>SUM(D4:D88)</f>
        <v>180973.05</v>
      </c>
      <c r="E2" s="6">
        <f>C2-D2</f>
        <v>-40230.74099999998</v>
      </c>
      <c r="F2" s="7">
        <f>IFERROR(E2/D2, 0)</f>
        <v>-0.2223023870128728</v>
      </c>
      <c r="G2" s="6">
        <f>SUM(G4:G88)</f>
        <v>161535.86199999999</v>
      </c>
      <c r="H2" s="8">
        <f>C2-G2</f>
        <v>-20793.552999999985</v>
      </c>
      <c r="I2" s="7">
        <f>IFERROR(H2/G2, 0)</f>
        <v>-0.12872406623861632</v>
      </c>
    </row>
    <row r="3" spans="1:9" ht="14.25" customHeight="1">
      <c r="A3" s="9" t="s">
        <v>3</v>
      </c>
      <c r="B3" s="9" t="s">
        <v>4</v>
      </c>
      <c r="C3" s="25" t="s">
        <v>5</v>
      </c>
      <c r="D3" s="36" t="s">
        <v>6</v>
      </c>
      <c r="E3" s="36" t="s">
        <v>7</v>
      </c>
      <c r="F3" s="37" t="s">
        <v>8</v>
      </c>
      <c r="G3" s="38" t="s">
        <v>9</v>
      </c>
      <c r="H3" s="39" t="s">
        <v>7</v>
      </c>
      <c r="I3" s="40" t="s">
        <v>8</v>
      </c>
    </row>
    <row r="4" spans="1:9" ht="15.75">
      <c r="A4" s="13" t="str" cm="1">
        <f t="array" ref="A4">Sites[Site]</f>
        <v>AZ: Joseph City USD</v>
      </c>
      <c r="B4" s="10" t="str" cm="1">
        <f t="array" ref="B4">Sites[State]</f>
        <v>AZ</v>
      </c>
      <c r="C4" s="26">
        <f>SUM(Jul!C4, Aug!C4, Sep!C4)</f>
        <v>140742.30900000001</v>
      </c>
      <c r="D4" s="14">
        <f>SUM(Jul!D4, Aug!D4, Sep!D4)</f>
        <v>180973.05</v>
      </c>
      <c r="E4" s="14">
        <f>IF(AND(ISNUMBER(C4),ISNUMBER(D4)), C4-D4, "")</f>
        <v>-40230.74099999998</v>
      </c>
      <c r="F4" s="15">
        <f>IFERROR(E4/D4, "")</f>
        <v>-0.2223023870128728</v>
      </c>
      <c r="G4" s="16">
        <f>SUM(Jul!G4,Aug!G4,Sep!G4)</f>
        <v>161535.86199999999</v>
      </c>
      <c r="H4" s="16">
        <f>SUM(Jul!H4, Aug!H4, Sep!H4)</f>
        <v>-20793.553</v>
      </c>
      <c r="I4" s="17">
        <f>IFERROR(H4/G4, "")</f>
        <v>-0.12872406623861643</v>
      </c>
    </row>
    <row r="5" spans="1:9" ht="13.15">
      <c r="A5" s="23"/>
      <c r="B5" s="23"/>
      <c r="C5" s="23"/>
      <c r="D5" s="23"/>
      <c r="E5" s="23"/>
      <c r="F5" s="23"/>
      <c r="G5" s="23"/>
      <c r="H5" s="23"/>
      <c r="I5" s="23"/>
    </row>
    <row r="6" spans="1:9" ht="12.75" customHeight="1">
      <c r="A6" s="23"/>
      <c r="B6" s="23"/>
      <c r="C6" s="23"/>
      <c r="D6" s="23"/>
      <c r="E6" s="23"/>
      <c r="F6" s="23"/>
      <c r="G6" s="23"/>
      <c r="H6" s="23"/>
      <c r="I6" s="23"/>
    </row>
    <row r="7" spans="1:9" ht="13.15">
      <c r="A7" s="23"/>
      <c r="B7" s="23"/>
      <c r="C7" s="23"/>
      <c r="D7" s="23"/>
      <c r="E7" s="23"/>
      <c r="F7" s="23"/>
      <c r="G7" s="23"/>
      <c r="H7" s="23"/>
      <c r="I7" s="23"/>
    </row>
    <row r="8" spans="1:9" ht="13.15">
      <c r="A8" s="23"/>
      <c r="B8" s="23"/>
      <c r="C8" s="23"/>
      <c r="D8" s="23"/>
      <c r="E8" s="23"/>
      <c r="F8" s="23"/>
      <c r="G8" s="23"/>
      <c r="H8" s="23"/>
      <c r="I8" s="23"/>
    </row>
    <row r="9" spans="1:9" ht="13.15">
      <c r="A9" s="23"/>
      <c r="B9" s="23"/>
      <c r="C9" s="23"/>
      <c r="D9" s="23"/>
      <c r="E9" s="23"/>
      <c r="F9" s="23"/>
      <c r="G9" s="23"/>
      <c r="H9" s="23"/>
      <c r="I9" s="23"/>
    </row>
    <row r="10" spans="1:9" ht="13.15">
      <c r="A10" s="23"/>
      <c r="B10" s="23"/>
      <c r="C10" s="23"/>
      <c r="D10" s="23"/>
      <c r="E10" s="23"/>
      <c r="F10" s="23"/>
      <c r="G10" s="23"/>
      <c r="H10" s="23"/>
      <c r="I10" s="23"/>
    </row>
    <row r="11" spans="1:9" ht="13.15">
      <c r="A11" s="23"/>
      <c r="B11" s="23"/>
      <c r="C11" s="23"/>
      <c r="D11" s="23"/>
      <c r="E11" s="23"/>
      <c r="F11" s="23"/>
      <c r="G11" s="23"/>
      <c r="H11" s="23"/>
      <c r="I11" s="23"/>
    </row>
    <row r="12" spans="1:9" ht="13.15">
      <c r="A12" s="23"/>
      <c r="B12" s="23"/>
      <c r="C12" s="23"/>
      <c r="D12" s="23"/>
      <c r="E12" s="23"/>
      <c r="F12" s="23"/>
      <c r="G12" s="23"/>
      <c r="H12" s="23"/>
      <c r="I12" s="23"/>
    </row>
    <row r="13" spans="1:9" ht="13.15">
      <c r="A13" s="23"/>
      <c r="B13" s="23"/>
      <c r="C13" s="23"/>
      <c r="D13" s="23"/>
      <c r="E13" s="23"/>
      <c r="F13" s="23"/>
      <c r="G13" s="23"/>
      <c r="H13" s="23"/>
      <c r="I13" s="23"/>
    </row>
    <row r="14" spans="1:9" ht="13.15">
      <c r="A14" s="23"/>
      <c r="B14" s="23"/>
      <c r="C14" s="23"/>
      <c r="D14" s="23"/>
      <c r="E14" s="23"/>
      <c r="F14" s="23"/>
      <c r="G14" s="23"/>
      <c r="H14" s="23"/>
      <c r="I14" s="23"/>
    </row>
    <row r="15" spans="1:9" ht="13.15">
      <c r="A15" s="23"/>
      <c r="B15" s="23"/>
      <c r="C15" s="23"/>
      <c r="D15" s="23"/>
      <c r="E15" s="23"/>
      <c r="F15" s="23"/>
      <c r="G15" s="23"/>
      <c r="H15" s="23"/>
      <c r="I15" s="23"/>
    </row>
    <row r="16" spans="1:9"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4"/>
      <c r="G21" s="23"/>
      <c r="H21" s="23"/>
      <c r="I21" s="24"/>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sheetData>
  <mergeCells count="4">
    <mergeCell ref="G1:I1"/>
    <mergeCell ref="A1:C1"/>
    <mergeCell ref="D1:F1"/>
    <mergeCell ref="A2:B2"/>
  </mergeCells>
  <conditionalFormatting sqref="F2 I2 F4:F88 I4:I88">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0"/>
  <sheetViews>
    <sheetView tabSelected="1" workbookViewId="0">
      <pane ySplit="2" topLeftCell="A3" activePane="bottomLeft" state="frozen"/>
      <selection pane="bottomLeft" activeCell="A9" sqref="A9"/>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6" t="str" cm="1">
        <f t="array" ref="A1">portfolio</f>
        <v>Joseph City USD</v>
      </c>
      <c r="B1" s="46"/>
      <c r="C1" s="46"/>
      <c r="D1" s="47" t="s">
        <v>16</v>
      </c>
      <c r="E1" s="47"/>
      <c r="F1" s="47"/>
      <c r="G1" s="45" t="s">
        <v>17</v>
      </c>
      <c r="H1" s="45"/>
      <c r="I1" s="45"/>
    </row>
    <row r="2" spans="1:9" ht="19.5" customHeight="1">
      <c r="A2" s="48" t="s">
        <v>2</v>
      </c>
      <c r="B2" s="48"/>
      <c r="C2" s="6">
        <f>SUM(C4:C88)</f>
        <v>68263</v>
      </c>
      <c r="D2" s="6">
        <f>SUM(D4:D88)</f>
        <v>150566.23500000002</v>
      </c>
      <c r="E2" s="6">
        <f>C2-D2</f>
        <v>-82303.235000000015</v>
      </c>
      <c r="F2" s="7">
        <f>IFERROR(E2/D2, 0)</f>
        <v>-0.54662477945337484</v>
      </c>
      <c r="G2" s="6">
        <f>SUM(G4:G88)</f>
        <v>85561.36</v>
      </c>
      <c r="H2" s="8">
        <f>C2-G2</f>
        <v>-17298.36</v>
      </c>
      <c r="I2" s="7">
        <f>IFERROR(H2/G2, 0)</f>
        <v>-0.20217490699072574</v>
      </c>
    </row>
    <row r="3" spans="1:9" ht="14.25" customHeight="1">
      <c r="A3" s="9" t="s">
        <v>3</v>
      </c>
      <c r="B3" s="9" t="s">
        <v>4</v>
      </c>
      <c r="C3" s="25" t="s">
        <v>5</v>
      </c>
      <c r="D3" s="36" t="s">
        <v>6</v>
      </c>
      <c r="E3" s="36" t="s">
        <v>7</v>
      </c>
      <c r="F3" s="37" t="s">
        <v>8</v>
      </c>
      <c r="G3" s="38" t="s">
        <v>9</v>
      </c>
      <c r="H3" s="39" t="s">
        <v>7</v>
      </c>
      <c r="I3" s="40" t="s">
        <v>8</v>
      </c>
    </row>
    <row r="4" spans="1:9" ht="15.75">
      <c r="A4" s="13" t="str" cm="1">
        <f t="array" ref="A4">Sites[Site]</f>
        <v>AZ: Joseph City USD</v>
      </c>
      <c r="B4" s="10" t="str" cm="1">
        <f t="array" ref="B4">Sites[State]</f>
        <v>AZ</v>
      </c>
      <c r="C4" s="26">
        <f>SUM(Oct!C4, Nov!C4, Dec!C4)</f>
        <v>68263</v>
      </c>
      <c r="D4" s="14">
        <f>SUM(Oct!D4, Nov!D4, Dec!D4)</f>
        <v>150566.23500000002</v>
      </c>
      <c r="E4" s="14">
        <f>IF(AND(ISNUMBER(C4),ISNUMBER(D4)), C4-D4, "")</f>
        <v>-82303.235000000015</v>
      </c>
      <c r="F4" s="15">
        <f>IFERROR(E4/D4, "")</f>
        <v>-0.54662477945337484</v>
      </c>
      <c r="G4" s="16">
        <f>SUM(Oct!G4,Nov!G4,Dec!G4)</f>
        <v>85561.36</v>
      </c>
      <c r="H4" s="16">
        <f>SUM(Oct!H4, Nov!H4, Dec!H4)</f>
        <v>-17298.36</v>
      </c>
      <c r="I4" s="17">
        <f>IFERROR(H4/G4, "")</f>
        <v>-0.20217490699072574</v>
      </c>
    </row>
    <row r="5" spans="1:9" ht="13.15">
      <c r="A5" s="23"/>
      <c r="B5" s="23"/>
      <c r="C5" s="23"/>
      <c r="D5" s="23"/>
      <c r="E5" s="23"/>
      <c r="F5" s="23"/>
      <c r="G5" s="23"/>
      <c r="H5" s="23"/>
      <c r="I5" s="23"/>
    </row>
    <row r="6" spans="1:9" ht="12.75" customHeight="1">
      <c r="A6" s="23"/>
      <c r="B6" s="23"/>
      <c r="C6" s="23"/>
      <c r="D6" s="23"/>
      <c r="E6" s="23"/>
      <c r="F6" s="23"/>
      <c r="G6" s="23"/>
      <c r="H6" s="23"/>
      <c r="I6" s="23"/>
    </row>
    <row r="7" spans="1:9" ht="13.15">
      <c r="A7" s="23"/>
      <c r="B7" s="23"/>
      <c r="C7" s="23"/>
      <c r="D7" s="23"/>
      <c r="E7" s="23"/>
      <c r="F7" s="23"/>
      <c r="G7" s="23"/>
      <c r="H7" s="23"/>
      <c r="I7" s="23"/>
    </row>
    <row r="8" spans="1:9" ht="13.15">
      <c r="A8" s="23"/>
      <c r="B8" s="23"/>
      <c r="C8" s="23"/>
      <c r="D8" s="23"/>
      <c r="E8" s="23"/>
      <c r="F8" s="23"/>
      <c r="G8" s="23"/>
      <c r="H8" s="23"/>
      <c r="I8" s="23"/>
    </row>
    <row r="9" spans="1:9" ht="13.15">
      <c r="A9" s="23"/>
      <c r="B9" s="23"/>
      <c r="C9" s="23"/>
      <c r="D9" s="23"/>
      <c r="E9" s="23"/>
      <c r="F9" s="23"/>
      <c r="G9" s="23"/>
      <c r="H9" s="23"/>
      <c r="I9" s="23"/>
    </row>
    <row r="10" spans="1:9" ht="13.15">
      <c r="A10" s="23"/>
      <c r="B10" s="23"/>
      <c r="C10" s="23"/>
      <c r="D10" s="23"/>
      <c r="E10" s="23"/>
      <c r="F10" s="23"/>
      <c r="G10" s="23"/>
      <c r="H10" s="23"/>
      <c r="I10" s="23"/>
    </row>
    <row r="11" spans="1:9" ht="13.15">
      <c r="A11" s="23"/>
      <c r="B11" s="23"/>
      <c r="C11" s="23"/>
      <c r="D11" s="23"/>
      <c r="E11" s="23"/>
      <c r="F11" s="23"/>
      <c r="G11" s="23"/>
      <c r="H11" s="23"/>
      <c r="I11" s="23"/>
    </row>
    <row r="12" spans="1:9" ht="13.15">
      <c r="A12" s="23"/>
      <c r="B12" s="23"/>
      <c r="C12" s="23"/>
      <c r="D12" s="23"/>
      <c r="E12" s="23"/>
      <c r="F12" s="23"/>
      <c r="G12" s="23"/>
      <c r="H12" s="23"/>
      <c r="I12" s="23"/>
    </row>
    <row r="13" spans="1:9" ht="13.15">
      <c r="A13" s="23"/>
      <c r="B13" s="23"/>
      <c r="C13" s="23"/>
      <c r="D13" s="23"/>
      <c r="E13" s="23"/>
      <c r="F13" s="23"/>
      <c r="G13" s="23"/>
      <c r="H13" s="23"/>
      <c r="I13" s="23"/>
    </row>
    <row r="14" spans="1:9" ht="13.15">
      <c r="A14" s="23"/>
      <c r="B14" s="23"/>
      <c r="C14" s="23"/>
      <c r="D14" s="23"/>
      <c r="E14" s="23"/>
      <c r="F14" s="23"/>
      <c r="G14" s="23"/>
      <c r="H14" s="23"/>
      <c r="I14" s="23"/>
    </row>
    <row r="15" spans="1:9" ht="13.15">
      <c r="A15" s="23"/>
      <c r="B15" s="23"/>
      <c r="C15" s="23"/>
      <c r="D15" s="23"/>
      <c r="E15" s="23"/>
      <c r="F15" s="23"/>
      <c r="G15" s="23"/>
      <c r="H15" s="23"/>
      <c r="I15" s="23"/>
    </row>
    <row r="16" spans="1:9"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4"/>
      <c r="G21" s="23"/>
      <c r="H21" s="23"/>
      <c r="I21" s="24"/>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sheetData>
  <mergeCells count="4">
    <mergeCell ref="G1:I1"/>
    <mergeCell ref="A1:C1"/>
    <mergeCell ref="D1:F1"/>
    <mergeCell ref="A2:B2"/>
  </mergeCells>
  <conditionalFormatting sqref="F2 I2 F4:F88 I4:I88">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0"/>
  <sheetViews>
    <sheetView topLeftCell="G1" workbookViewId="0">
      <pane ySplit="3" topLeftCell="A4" activePane="bottomLeft" state="frozen"/>
      <selection pane="bottomLeft" activeCell="K28" sqref="K28"/>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18</v>
      </c>
      <c r="E1" s="47"/>
      <c r="F1" s="47"/>
      <c r="G1" s="45" t="s">
        <v>19</v>
      </c>
      <c r="H1" s="45"/>
      <c r="I1" s="45"/>
      <c r="J1" s="5"/>
      <c r="K1" s="5"/>
    </row>
    <row r="2" spans="1:11" ht="19.5" customHeight="1">
      <c r="A2" s="48" t="s">
        <v>2</v>
      </c>
      <c r="B2" s="48"/>
      <c r="C2" s="6">
        <f>SUM(C4:C88)</f>
        <v>0</v>
      </c>
      <c r="D2" s="6">
        <f>SUM(D4:D88)</f>
        <v>0</v>
      </c>
      <c r="E2" s="6">
        <f>C2-D2</f>
        <v>0</v>
      </c>
      <c r="F2" s="7">
        <f>IFERROR(E2/D2, 0)</f>
        <v>0</v>
      </c>
      <c r="G2" s="6">
        <f>SUM(G4:G88)</f>
        <v>0</v>
      </c>
      <c r="H2" s="8">
        <f>C2-G2</f>
        <v>0</v>
      </c>
      <c r="I2" s="7">
        <f>IFERROR(H2/G2, 0)</f>
        <v>0</v>
      </c>
      <c r="J2" s="28" t="str">
        <f ca="1">IF(AND(TODAY()&gt;DATE(2024, 1, 1), COUNTA(Sites[Site])&lt;&gt;(COUNT(C:C)-1)), "Some sites are missing actual data; if new sites were added, make sure they are aligned correctly (including prior months!)", "")</f>
        <v/>
      </c>
      <c r="K2" s="5"/>
    </row>
    <row r="3" spans="1:11" ht="14.25" customHeight="1">
      <c r="A3" s="29" t="s">
        <v>3</v>
      </c>
      <c r="B3" s="9" t="s">
        <v>4</v>
      </c>
      <c r="C3" s="25" t="s">
        <v>5</v>
      </c>
      <c r="D3" s="36" t="s">
        <v>6</v>
      </c>
      <c r="E3" s="36" t="s">
        <v>7</v>
      </c>
      <c r="F3" s="37" t="s">
        <v>8</v>
      </c>
      <c r="G3" s="41"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f>IFERROR(E4/D4, 0)</f>
        <v>0</v>
      </c>
      <c r="G4" s="16">
        <v>0</v>
      </c>
      <c r="H4" s="16">
        <f>IF(AND(ISNUMBER(C4),ISNUMBER(G4)), C4-G4, "")</f>
        <v>0</v>
      </c>
      <c r="I4" s="17">
        <f>IFERROR(H4/G4, 0)</f>
        <v>0</v>
      </c>
      <c r="J4" s="18" t="s">
        <v>22</v>
      </c>
      <c r="K4" s="18" t="s">
        <v>23</v>
      </c>
    </row>
    <row r="5" spans="1:11" ht="14.25">
      <c r="A5" s="23"/>
      <c r="B5" s="34"/>
      <c r="C5" s="23"/>
      <c r="D5" s="23"/>
      <c r="E5" s="23" t="str">
        <f t="shared" ref="E5" si="0">IF(AND(ISNUMBER(C5),ISNUMBER(D5)), C5-D5, "")</f>
        <v/>
      </c>
      <c r="F5" s="23" t="str">
        <f t="shared" ref="F5" si="1">IFERROR(E5/D5, "")</f>
        <v/>
      </c>
      <c r="G5" s="23"/>
      <c r="H5" s="23" t="str">
        <f t="shared" ref="H5" si="2">IF(AND(ISNUMBER(C5),ISNUMBER(G5)), C5-G5, "")</f>
        <v/>
      </c>
      <c r="I5" s="23" t="str">
        <f t="shared" ref="I5" si="3">IFERROR(H5/G5, "")</f>
        <v/>
      </c>
      <c r="J5" s="23"/>
      <c r="K5" s="23"/>
    </row>
    <row r="6" spans="1:11" ht="12.75" customHeight="1">
      <c r="A6" s="23"/>
      <c r="B6" s="34"/>
      <c r="C6" s="23"/>
      <c r="D6" s="23"/>
      <c r="E6" s="23"/>
      <c r="F6" s="23"/>
      <c r="G6" s="23"/>
      <c r="H6" s="23"/>
      <c r="I6" s="23"/>
      <c r="J6" s="23"/>
      <c r="K6" s="23"/>
    </row>
    <row r="7" spans="1:11" ht="14.25">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4"/>
      <c r="G21" s="23"/>
      <c r="H21" s="23"/>
      <c r="I21" s="24"/>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1"/>
  <sheetViews>
    <sheetView topLeftCell="C1" workbookViewId="0">
      <pane ySplit="2" topLeftCell="A3" activePane="bottomLeft" state="frozen"/>
      <selection pane="bottomLeft" activeCell="J4" sqref="J4:K4"/>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24</v>
      </c>
      <c r="E1" s="47"/>
      <c r="F1" s="47"/>
      <c r="G1" s="45" t="s">
        <v>25</v>
      </c>
      <c r="H1" s="45"/>
      <c r="I1" s="45"/>
      <c r="J1" s="5"/>
      <c r="K1" s="5"/>
    </row>
    <row r="2" spans="1:11" ht="19.5" customHeight="1">
      <c r="A2" s="48" t="s">
        <v>2</v>
      </c>
      <c r="B2" s="48"/>
      <c r="C2" s="6">
        <f>SUM(C4:C89)</f>
        <v>0</v>
      </c>
      <c r="D2" s="6">
        <f>SUM(D4:D89)</f>
        <v>0</v>
      </c>
      <c r="E2" s="6">
        <f>C2-D2</f>
        <v>0</v>
      </c>
      <c r="F2" s="7">
        <f>IFERROR(E2/D2, 0)</f>
        <v>0</v>
      </c>
      <c r="G2" s="6">
        <f>SUM(G4:G89)</f>
        <v>0</v>
      </c>
      <c r="H2" s="8">
        <f>C2-G2</f>
        <v>0</v>
      </c>
      <c r="I2" s="7">
        <f>IFERROR(H2/G2, 0)</f>
        <v>0</v>
      </c>
      <c r="J2" s="28" t="str">
        <f ca="1">IF(AND(TODAY()&gt;DATE(2024, 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22</v>
      </c>
      <c r="K4" s="18" t="s">
        <v>23</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ySplit="2" topLeftCell="A3" activePane="bottomLeft" state="frozen"/>
      <selection pane="bottomLeft" activeCell="K4" sqref="K4"/>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26</v>
      </c>
      <c r="E1" s="47"/>
      <c r="F1" s="47"/>
      <c r="G1" s="45" t="s">
        <v>27</v>
      </c>
      <c r="H1" s="45"/>
      <c r="I1" s="45"/>
      <c r="J1" s="5"/>
      <c r="K1" s="5"/>
    </row>
    <row r="2" spans="1:11" ht="19.5" customHeight="1">
      <c r="A2" s="48" t="s">
        <v>2</v>
      </c>
      <c r="B2" s="48"/>
      <c r="C2" s="6">
        <f>SUM(C4:C90)</f>
        <v>0</v>
      </c>
      <c r="D2" s="6">
        <f>SUM(D4:D90)</f>
        <v>0</v>
      </c>
      <c r="E2" s="6">
        <f>C2-D2</f>
        <v>0</v>
      </c>
      <c r="F2" s="7">
        <f>IFERROR(E2/D2, 0)</f>
        <v>0</v>
      </c>
      <c r="G2" s="6">
        <f>SUM(G4:G90)</f>
        <v>0</v>
      </c>
      <c r="H2" s="8">
        <f>C2-G2</f>
        <v>0</v>
      </c>
      <c r="I2" s="7">
        <f>IFERROR(H2/G2, 0)</f>
        <v>0</v>
      </c>
      <c r="J2" s="28" t="str">
        <f ca="1">IF(AND(TODAY()&gt;DATE(2024, 3,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22</v>
      </c>
      <c r="K4" s="18" t="s">
        <v>23</v>
      </c>
    </row>
    <row r="5" spans="1:11" ht="15.7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25">
      <c r="A6" s="23"/>
      <c r="B6" s="34"/>
      <c r="C6" s="23"/>
      <c r="D6" s="23"/>
      <c r="E6" s="23"/>
      <c r="F6" s="23"/>
      <c r="G6" s="23"/>
      <c r="H6" s="23"/>
      <c r="I6" s="23"/>
      <c r="J6" s="23"/>
      <c r="K6" s="23"/>
    </row>
    <row r="7" spans="1:11" ht="14.2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2" priority="1" stopIfTrue="1" operator="lessThanOrEqual">
      <formula>-0.1</formula>
    </cfRule>
    <cfRule type="expression" dxfId="21" priority="2">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workbookViewId="0">
      <pane ySplit="2" topLeftCell="A3" activePane="bottomLeft" state="frozen"/>
      <selection pane="bottomLeft" activeCell="J4" sqref="J4"/>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28</v>
      </c>
      <c r="E1" s="47"/>
      <c r="F1" s="47"/>
      <c r="G1" s="45" t="s">
        <v>29</v>
      </c>
      <c r="H1" s="45"/>
      <c r="I1" s="45"/>
      <c r="J1" s="5"/>
      <c r="K1" s="5"/>
    </row>
    <row r="2" spans="1:11" ht="19.5" customHeight="1">
      <c r="A2" s="48" t="s">
        <v>2</v>
      </c>
      <c r="B2" s="48"/>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t="str">
        <f>IFERROR(E4/D4, "")</f>
        <v/>
      </c>
      <c r="G4">
        <v>0</v>
      </c>
      <c r="H4" s="16">
        <f>IF(AND(ISNUMBER(C4),ISNUMBER(G4)), C4-G4, "")</f>
        <v>0</v>
      </c>
      <c r="I4" s="17" t="str">
        <f>IFERROR(H4/G4, "")</f>
        <v/>
      </c>
      <c r="J4" s="18" t="s">
        <v>30</v>
      </c>
      <c r="K4" s="18" t="s">
        <v>23</v>
      </c>
    </row>
    <row r="5" spans="1:11" ht="15.7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25">
      <c r="A6" s="23"/>
      <c r="B6" s="34"/>
      <c r="C6" s="23"/>
      <c r="D6" s="23"/>
      <c r="E6" s="23"/>
      <c r="F6" s="23"/>
      <c r="G6" s="23"/>
      <c r="H6" s="23"/>
      <c r="I6" s="23"/>
      <c r="J6" s="23"/>
      <c r="K6" s="23"/>
    </row>
    <row r="7" spans="1:11" ht="14.2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0" priority="1" stopIfTrue="1" operator="lessThanOrEqual">
      <formula>-0.1</formula>
    </cfRule>
    <cfRule type="expression" dxfId="19"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J4" sqref="J4"/>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31</v>
      </c>
      <c r="E1" s="47"/>
      <c r="F1" s="47"/>
      <c r="G1" s="45" t="s">
        <v>32</v>
      </c>
      <c r="H1" s="45"/>
      <c r="I1" s="45"/>
      <c r="J1" s="5"/>
      <c r="K1" s="5"/>
    </row>
    <row r="2" spans="1:11" ht="19.5" customHeight="1">
      <c r="A2" s="48" t="s">
        <v>2</v>
      </c>
      <c r="B2" s="48"/>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Sites[Site]</f>
        <v>AZ: Joseph City USD</v>
      </c>
      <c r="B4" s="30" t="str" cm="1">
        <f t="array" ref="B4">Sites[State]</f>
        <v>AZ</v>
      </c>
      <c r="C4" s="26">
        <v>0</v>
      </c>
      <c r="D4" s="14">
        <v>0</v>
      </c>
      <c r="E4" s="14">
        <f>IF(AND(ISNUMBER(C4),ISNUMBER(D4)), C4-D4, "")</f>
        <v>0</v>
      </c>
      <c r="F4" s="15" t="str">
        <f>IFERROR(E4/D4, "")</f>
        <v/>
      </c>
      <c r="G4" s="16">
        <v>0</v>
      </c>
      <c r="H4" s="16">
        <f>IF(AND(ISNUMBER(C4),ISNUMBER(G4)), C4-G4, "")</f>
        <v>0</v>
      </c>
      <c r="I4" s="17" t="str">
        <f>IFERROR(H4/G4, "")</f>
        <v/>
      </c>
      <c r="J4" s="18" t="s">
        <v>33</v>
      </c>
      <c r="K4" s="18" t="s">
        <v>23</v>
      </c>
    </row>
    <row r="5" spans="1:11" ht="15.7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25">
      <c r="A6" s="23"/>
      <c r="B6" s="34"/>
      <c r="C6" s="23"/>
      <c r="D6" s="23"/>
      <c r="E6" s="23"/>
      <c r="F6" s="23"/>
      <c r="G6" s="23"/>
      <c r="H6" s="23"/>
      <c r="I6" s="23"/>
      <c r="J6" s="23"/>
      <c r="K6" s="23"/>
    </row>
    <row r="7" spans="1:11" ht="14.2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1"/>
  <sheetViews>
    <sheetView workbookViewId="0">
      <pane ySplit="2" topLeftCell="A3" activePane="bottomLeft" state="frozen"/>
      <selection pane="bottomLeft" activeCell="J12" sqref="J12"/>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34</v>
      </c>
      <c r="E1" s="47"/>
      <c r="F1" s="47"/>
      <c r="G1" s="45" t="s">
        <v>35</v>
      </c>
      <c r="H1" s="45"/>
      <c r="I1" s="45"/>
      <c r="J1" s="5"/>
      <c r="K1" s="5"/>
    </row>
    <row r="2" spans="1:11" ht="19.5" customHeight="1">
      <c r="A2" s="48" t="s">
        <v>2</v>
      </c>
      <c r="B2" s="48"/>
      <c r="C2" s="6">
        <f>SUM(C4:C89)</f>
        <v>1002703.36784099</v>
      </c>
      <c r="D2" s="6">
        <f>SUM(D4:D89)</f>
        <v>3795.1</v>
      </c>
      <c r="E2" s="6">
        <f>C2-D2</f>
        <v>998908.26784098998</v>
      </c>
      <c r="F2" s="7">
        <f>IFERROR(E2/D2, 0)</f>
        <v>263.20999916760826</v>
      </c>
      <c r="G2" s="6">
        <f>SUM(G4:G89)</f>
        <v>69735</v>
      </c>
      <c r="H2" s="8">
        <f>C2-G2</f>
        <v>932968.36784098996</v>
      </c>
      <c r="I2" s="7">
        <f>IFERROR(H2/G2, 0)</f>
        <v>13.37876773271657</v>
      </c>
      <c r="J2" s="28" t="str">
        <f ca="1">IF(AND(TODAY()&gt;DATE(2024, 6,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75.75" customHeight="1">
      <c r="A4" s="33" t="str" cm="1">
        <f t="array" ref="A4">Sites[Site]</f>
        <v>AZ: Joseph City USD</v>
      </c>
      <c r="B4" s="30" t="str" cm="1">
        <f t="array" ref="B4">Sites[State]</f>
        <v>AZ</v>
      </c>
      <c r="C4" s="26">
        <v>1002703.36784099</v>
      </c>
      <c r="D4" s="14">
        <v>3795.1</v>
      </c>
      <c r="E4" s="14">
        <f>IF(AND(ISNUMBER(C4),ISNUMBER(D4)), C4-D4, "")</f>
        <v>998908.26784098998</v>
      </c>
      <c r="F4" s="15">
        <f>IFERROR(E4/D4, "")</f>
        <v>263.20999916760826</v>
      </c>
      <c r="G4" s="16">
        <v>69735</v>
      </c>
      <c r="H4" s="16">
        <f>IF(AND(ISNUMBER(C4),ISNUMBER(G4)), C4-G4, "")</f>
        <v>932968.36784098996</v>
      </c>
      <c r="I4" s="17">
        <f>IFERROR(H4/G4, "")</f>
        <v>13.37876773271657</v>
      </c>
      <c r="J4" s="18" t="s">
        <v>36</v>
      </c>
      <c r="K4" s="18" t="s">
        <v>37</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1"/>
  <sheetViews>
    <sheetView workbookViewId="0">
      <pane ySplit="2" topLeftCell="A3" activePane="bottomLeft" state="frozen"/>
      <selection pane="bottomLeft" activeCell="A4" sqref="A4"/>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38</v>
      </c>
      <c r="E1" s="47"/>
      <c r="F1" s="47"/>
      <c r="G1" s="45" t="s">
        <v>39</v>
      </c>
      <c r="H1" s="45"/>
      <c r="I1" s="45"/>
      <c r="J1" s="5"/>
      <c r="K1" s="5"/>
    </row>
    <row r="2" spans="1:11" ht="19.5" customHeight="1">
      <c r="A2" s="48" t="s">
        <v>2</v>
      </c>
      <c r="B2" s="48"/>
      <c r="C2" s="6">
        <f>SUM(C4:C89)</f>
        <v>60800.309000000001</v>
      </c>
      <c r="D2" s="6">
        <f>SUM(D4:D89)</f>
        <v>63114.788999999997</v>
      </c>
      <c r="E2" s="6">
        <f>C2-D2</f>
        <v>-2314.4799999999959</v>
      </c>
      <c r="F2" s="7">
        <f>IFERROR(E2/D2, 0)</f>
        <v>-3.667096153961627E-2</v>
      </c>
      <c r="G2" s="6">
        <f>SUM(G4:G89)</f>
        <v>62153.822</v>
      </c>
      <c r="H2" s="8">
        <f>C2-G2</f>
        <v>-1353.512999999999</v>
      </c>
      <c r="I2" s="7">
        <f>IFERROR(H2/G2, 0)</f>
        <v>-2.177682653208356E-2</v>
      </c>
      <c r="J2" s="28" t="str">
        <f ca="1">IF(AND(TODAY()&gt;DATE(2024, 7,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5.5">
      <c r="A4" s="42" t="str" cm="1">
        <f t="array" ref="A4">Sites[Site]</f>
        <v>AZ: Joseph City USD</v>
      </c>
      <c r="B4" s="30" t="str" cm="1">
        <f t="array" ref="B4">Sites[State]</f>
        <v>AZ</v>
      </c>
      <c r="C4" s="26">
        <v>60800.309000000001</v>
      </c>
      <c r="D4" s="14">
        <v>63114.788999999997</v>
      </c>
      <c r="E4" s="14">
        <f>IF(AND(ISNUMBER(C4),ISNUMBER(D4)), C4-D4, "")</f>
        <v>-2314.4799999999959</v>
      </c>
      <c r="F4" s="15">
        <f>IFERROR(E4/D4, "")</f>
        <v>-3.667096153961627E-2</v>
      </c>
      <c r="G4" s="16">
        <v>62153.822</v>
      </c>
      <c r="H4" s="16">
        <f>IF(AND(ISNUMBER(C4),ISNUMBER(G4)), C4-G4, "")</f>
        <v>-1353.512999999999</v>
      </c>
      <c r="I4" s="17">
        <f>IFERROR(H4/G4, "")</f>
        <v>-2.177682653208356E-2</v>
      </c>
      <c r="J4" s="18" t="s">
        <v>40</v>
      </c>
      <c r="K4" s="18" t="s">
        <v>41</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sortState xmlns:xlrd2="http://schemas.microsoft.com/office/spreadsheetml/2017/richdata2" ref="A3:K4">
    <sortCondition ref="A3:A4"/>
  </sortState>
  <mergeCells count="4">
    <mergeCell ref="G1:I1"/>
    <mergeCell ref="A1:C1"/>
    <mergeCell ref="D1:F1"/>
    <mergeCell ref="A2:B2"/>
  </mergeCells>
  <conditionalFormatting sqref="F2 I2 F4:F89 I4:I89">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1"/>
  <sheetViews>
    <sheetView workbookViewId="0">
      <pane ySplit="2" topLeftCell="A3" activePane="bottomLeft" state="frozen"/>
      <selection pane="bottomLeft" activeCell="I21" sqref="I21"/>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42</v>
      </c>
      <c r="E1" s="47"/>
      <c r="F1" s="47"/>
      <c r="G1" s="45" t="s">
        <v>43</v>
      </c>
      <c r="H1" s="45"/>
      <c r="I1" s="45"/>
      <c r="J1" s="5"/>
      <c r="K1" s="5"/>
    </row>
    <row r="2" spans="1:11" ht="19.5" customHeight="1">
      <c r="A2" s="48" t="s">
        <v>2</v>
      </c>
      <c r="B2" s="48"/>
      <c r="C2" s="6">
        <f>SUM(C4:C89)</f>
        <v>49498</v>
      </c>
      <c r="D2" s="6">
        <f>SUM(D4:D89)</f>
        <v>57679.169000000002</v>
      </c>
      <c r="E2" s="6">
        <f>C2-D2</f>
        <v>-8181.1690000000017</v>
      </c>
      <c r="F2" s="7">
        <f>IFERROR(E2/D2, 0)</f>
        <v>-0.14183923142165938</v>
      </c>
      <c r="G2" s="6">
        <f>SUM(G4:G89)</f>
        <v>50936</v>
      </c>
      <c r="H2" s="8">
        <f>C2-G2</f>
        <v>-1438</v>
      </c>
      <c r="I2" s="7">
        <f>IFERROR(H2/G2, 0)</f>
        <v>-2.8231506203863672E-2</v>
      </c>
      <c r="J2" s="28" t="str">
        <f ca="1">IF(AND(TODAY()&gt;DATE(2024, 8,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7">
      <c r="A4" s="43" t="str" cm="1">
        <f t="array" ref="A4">Sites[Site]</f>
        <v>AZ: Joseph City USD</v>
      </c>
      <c r="B4" s="30" t="str" cm="1">
        <f t="array" ref="B4">Sites[State]</f>
        <v>AZ</v>
      </c>
      <c r="C4" s="26">
        <v>49498</v>
      </c>
      <c r="D4" s="14">
        <v>57679.169000000002</v>
      </c>
      <c r="E4" s="14">
        <f>IF(AND(ISNUMBER(C4),ISNUMBER(D4)), C4-D4, "")</f>
        <v>-8181.1690000000017</v>
      </c>
      <c r="F4" s="15">
        <f>IFERROR(E4/D4, "")</f>
        <v>-0.14183923142165938</v>
      </c>
      <c r="G4" s="16">
        <v>50936</v>
      </c>
      <c r="H4" s="16">
        <f>IF(AND(ISNUMBER(C4),ISNUMBER(G4)), C4-G4, "")</f>
        <v>-1438</v>
      </c>
      <c r="I4" s="17">
        <f>IFERROR(H4/G4, "")</f>
        <v>-2.8231506203863672E-2</v>
      </c>
      <c r="J4" s="18" t="s">
        <v>44</v>
      </c>
      <c r="K4" s="18" t="s">
        <v>45</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2" priority="1" stopIfTrue="1" operator="lessThanOrEqual">
      <formula>-0.1</formula>
    </cfRule>
    <cfRule type="expression" dxfId="11" priority="2">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1"/>
  <sheetViews>
    <sheetView workbookViewId="0">
      <pane ySplit="2" topLeftCell="J22" activePane="bottomLeft" state="frozen"/>
      <selection pane="bottomLeft" activeCell="J22" sqref="J22"/>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46</v>
      </c>
      <c r="E1" s="47"/>
      <c r="F1" s="47"/>
      <c r="G1" s="45" t="s">
        <v>47</v>
      </c>
      <c r="H1" s="45"/>
      <c r="I1" s="45"/>
      <c r="J1" s="5"/>
      <c r="K1" s="5"/>
    </row>
    <row r="2" spans="1:11" ht="19.5" customHeight="1">
      <c r="A2" s="48" t="s">
        <v>2</v>
      </c>
      <c r="B2" s="48"/>
      <c r="C2" s="6">
        <f>SUM(C4:C89)</f>
        <v>30444</v>
      </c>
      <c r="D2" s="6">
        <f>SUM(D4:D89)</f>
        <v>60179.091999999997</v>
      </c>
      <c r="E2" s="6">
        <f>C2-D2</f>
        <v>-29735.091999999997</v>
      </c>
      <c r="F2" s="7">
        <f>IFERROR(E2/D2, 0)</f>
        <v>-0.49411001415574696</v>
      </c>
      <c r="G2" s="6">
        <f>SUM(G4:G89)</f>
        <v>48446.04</v>
      </c>
      <c r="H2" s="8">
        <f>C2-G2</f>
        <v>-18002.04</v>
      </c>
      <c r="I2" s="7">
        <f>IFERROR(H2/G2, 0)</f>
        <v>-0.37158950452916278</v>
      </c>
      <c r="J2" s="28" t="str">
        <f ca="1">IF(AND(TODAY()&gt;DATE(2024, 9,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35.25" customHeight="1">
      <c r="A4" s="33" t="str" cm="1">
        <f t="array" ref="A4">Sites[Site]</f>
        <v>AZ: Joseph City USD</v>
      </c>
      <c r="B4" s="30" t="str" cm="1">
        <f t="array" ref="B4">Sites[State]</f>
        <v>AZ</v>
      </c>
      <c r="C4" s="26">
        <v>30444</v>
      </c>
      <c r="D4" s="14">
        <v>60179.091999999997</v>
      </c>
      <c r="E4" s="14">
        <f>IF(AND(ISNUMBER(C4),ISNUMBER(D4)), C4-D4, "")</f>
        <v>-29735.091999999997</v>
      </c>
      <c r="F4" s="15">
        <f>IFERROR(E4/D4, "")</f>
        <v>-0.49411001415574696</v>
      </c>
      <c r="G4" s="16">
        <v>48446.04</v>
      </c>
      <c r="H4" s="16">
        <f>IF(AND(ISNUMBER(C4),ISNUMBER(G4)), C4-G4, "")</f>
        <v>-18002.04</v>
      </c>
      <c r="I4" s="17">
        <f>IFERROR(H4/G4, "")</f>
        <v>-0.37158950452916278</v>
      </c>
      <c r="J4" s="18" t="s">
        <v>48</v>
      </c>
      <c r="K4" s="44" t="s">
        <v>49</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1"/>
  <sheetViews>
    <sheetView topLeftCell="B1" zoomScale="80" zoomScaleNormal="80" workbookViewId="0">
      <pane ySplit="2" topLeftCell="B3" activePane="bottomLeft" state="frozen"/>
      <selection pane="bottomLeft" activeCell="J4" sqref="J4"/>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50</v>
      </c>
      <c r="E1" s="47"/>
      <c r="F1" s="47"/>
      <c r="G1" s="45" t="s">
        <v>51</v>
      </c>
      <c r="H1" s="45"/>
      <c r="I1" s="45"/>
      <c r="J1" s="5"/>
      <c r="K1" s="5"/>
    </row>
    <row r="2" spans="1:11" ht="19.5" customHeight="1">
      <c r="A2" s="48" t="s">
        <v>2</v>
      </c>
      <c r="B2" s="48"/>
      <c r="C2" s="6">
        <f>SUM(C4:C89)</f>
        <v>26414</v>
      </c>
      <c r="D2" s="6">
        <f>SUM(D4:D89)</f>
        <v>56006.400000000001</v>
      </c>
      <c r="E2" s="6">
        <f>C2-D2</f>
        <v>-29592.400000000001</v>
      </c>
      <c r="F2" s="7">
        <f>IFERROR(E2/D2, 0)</f>
        <v>-0.52837532853388181</v>
      </c>
      <c r="G2" s="6">
        <f>SUM(G4:G89)</f>
        <v>37206</v>
      </c>
      <c r="H2" s="8">
        <f>C2-G2</f>
        <v>-10792</v>
      </c>
      <c r="I2" s="7">
        <f>IFERROR(H2/G2, 0)</f>
        <v>-0.29006074289093159</v>
      </c>
      <c r="J2" s="28" t="str">
        <f ca="1">IF(AND(TODAY()&gt;DATE(2024, 10,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73.5" customHeight="1">
      <c r="A4" s="33" t="str" cm="1">
        <f t="array" ref="A4">Sites[Site]</f>
        <v>AZ: Joseph City USD</v>
      </c>
      <c r="B4" s="30" t="str" cm="1">
        <f t="array" ref="B4">Sites[State]</f>
        <v>AZ</v>
      </c>
      <c r="C4" s="26">
        <v>26414</v>
      </c>
      <c r="D4" s="14">
        <v>56006.400000000001</v>
      </c>
      <c r="E4" s="14">
        <f>IF(AND(ISNUMBER(C4),ISNUMBER(D4)), C4-D4, "")</f>
        <v>-29592.400000000001</v>
      </c>
      <c r="F4" s="15">
        <f>IFERROR(E4/D4, "")</f>
        <v>-0.52837532853388181</v>
      </c>
      <c r="G4" s="16">
        <v>37206</v>
      </c>
      <c r="H4" s="16">
        <f>IF(AND(ISNUMBER(C4),ISNUMBER(G4)), C4-G4, "")</f>
        <v>-10792</v>
      </c>
      <c r="I4" s="17">
        <f>IFERROR(H4/G4, "")</f>
        <v>-0.29006074289093159</v>
      </c>
      <c r="J4" s="18" t="s">
        <v>52</v>
      </c>
      <c r="K4" s="18" t="s">
        <v>53</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1"/>
  <sheetViews>
    <sheetView zoomScale="70" zoomScaleNormal="70" workbookViewId="0">
      <pane ySplit="2" topLeftCell="A3" activePane="bottomLeft" state="frozen"/>
      <selection pane="bottomLeft" activeCell="K4" sqref="K4"/>
      <selection activeCell="A6" sqref="A6:A1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54</v>
      </c>
      <c r="E1" s="47"/>
      <c r="F1" s="47"/>
      <c r="G1" s="45" t="s">
        <v>55</v>
      </c>
      <c r="H1" s="45"/>
      <c r="I1" s="45"/>
      <c r="J1" s="5"/>
      <c r="K1" s="5"/>
    </row>
    <row r="2" spans="1:11" ht="19.5" customHeight="1">
      <c r="A2" s="48" t="s">
        <v>2</v>
      </c>
      <c r="B2" s="48"/>
      <c r="C2" s="6">
        <f>SUM(C4:C89)</f>
        <v>20850</v>
      </c>
      <c r="D2" s="6">
        <f>SUM(D4:D89)</f>
        <v>47759.360000000001</v>
      </c>
      <c r="E2" s="6">
        <f>C2-D2</f>
        <v>-26909.360000000001</v>
      </c>
      <c r="F2" s="7">
        <f>IFERROR(E2/D2, 0)</f>
        <v>-0.56343636095626071</v>
      </c>
      <c r="G2" s="6">
        <f>SUM(G4:G89)</f>
        <v>25725.360000000001</v>
      </c>
      <c r="H2" s="8">
        <f>C2-G2</f>
        <v>-4875.3600000000006</v>
      </c>
      <c r="I2" s="7">
        <f>IFERROR(H2/G2, 0)</f>
        <v>-0.18951571523197344</v>
      </c>
      <c r="J2" s="28" t="str">
        <f ca="1">IF(AND(TODAY()&gt;DATE(2024, 11,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60.75">
      <c r="A4" s="33" t="str" cm="1">
        <f t="array" ref="A4">Sites[Site]</f>
        <v>AZ: Joseph City USD</v>
      </c>
      <c r="B4" s="30" t="str" cm="1">
        <f t="array" ref="B4">Sites[State]</f>
        <v>AZ</v>
      </c>
      <c r="C4" s="26">
        <v>20850</v>
      </c>
      <c r="D4" s="14">
        <v>47759.360000000001</v>
      </c>
      <c r="E4" s="14">
        <f>IF(AND(ISNUMBER(C4),ISNUMBER(D4)), C4-D4, "")</f>
        <v>-26909.360000000001</v>
      </c>
      <c r="F4" s="15">
        <f>IFERROR(E4/D4, "")</f>
        <v>-0.56343636095626071</v>
      </c>
      <c r="G4" s="16">
        <v>25725.360000000001</v>
      </c>
      <c r="H4" s="16">
        <f>IF(AND(ISNUMBER(C4),ISNUMBER(G4)), C4-G4, "")</f>
        <v>-4875.3600000000006</v>
      </c>
      <c r="I4" s="17">
        <f>IFERROR(H4/G4, "")</f>
        <v>-0.18951571523197344</v>
      </c>
      <c r="J4" s="18" t="s">
        <v>56</v>
      </c>
      <c r="K4" s="18" t="s">
        <v>53</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1"/>
  <sheetViews>
    <sheetView zoomScale="90" zoomScaleNormal="90" workbookViewId="0">
      <pane ySplit="2" topLeftCell="A3" activePane="bottomLeft" state="frozen"/>
      <selection pane="bottomLeft" activeCell="J10" sqref="J10"/>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6" t="str" cm="1">
        <f t="array" ref="A1">portfolio</f>
        <v>Joseph City USD</v>
      </c>
      <c r="B1" s="46"/>
      <c r="C1" s="46"/>
      <c r="D1" s="47" t="s">
        <v>57</v>
      </c>
      <c r="E1" s="47"/>
      <c r="F1" s="47"/>
      <c r="G1" s="45" t="s">
        <v>58</v>
      </c>
      <c r="H1" s="45"/>
      <c r="I1" s="45"/>
      <c r="J1" s="5"/>
      <c r="K1" s="5"/>
    </row>
    <row r="2" spans="1:11" ht="19.5" customHeight="1">
      <c r="A2" s="48" t="s">
        <v>2</v>
      </c>
      <c r="B2" s="48"/>
      <c r="C2" s="6">
        <f>SUM(C4:C89)</f>
        <v>20999</v>
      </c>
      <c r="D2" s="6">
        <f>SUM(D4:D89)</f>
        <v>46800.474999999999</v>
      </c>
      <c r="E2" s="6">
        <f>C2-D2</f>
        <v>-25801.474999999999</v>
      </c>
      <c r="F2" s="7">
        <f>IFERROR(E2/D2, 0)</f>
        <v>-0.55130797283574573</v>
      </c>
      <c r="G2" s="6">
        <f>SUM(G4:G89)</f>
        <v>22630</v>
      </c>
      <c r="H2" s="8">
        <f>C2-G2</f>
        <v>-1631</v>
      </c>
      <c r="I2" s="7">
        <f>IFERROR(H2/G2, 0)</f>
        <v>-7.2072470172337602E-2</v>
      </c>
      <c r="J2" s="28" t="str">
        <f ca="1">IF(AND(TODAY()&gt;DATE(2024, 12,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91.5">
      <c r="A4" s="43" t="str" cm="1">
        <f t="array" ref="A4">Sites[Site]</f>
        <v>AZ: Joseph City USD</v>
      </c>
      <c r="B4" s="30" t="str" cm="1">
        <f t="array" ref="B4">Sites[State]</f>
        <v>AZ</v>
      </c>
      <c r="C4" s="26">
        <v>20999</v>
      </c>
      <c r="D4" s="14">
        <v>46800.474999999999</v>
      </c>
      <c r="E4" s="14">
        <f>IF(AND(ISNUMBER(C4),ISNUMBER(D4)), C4-D4, "")</f>
        <v>-25801.474999999999</v>
      </c>
      <c r="F4" s="15">
        <f>IFERROR(E4/D4, "")</f>
        <v>-0.55130797283574573</v>
      </c>
      <c r="G4" s="16">
        <v>22630</v>
      </c>
      <c r="H4" s="16">
        <f>IF(AND(ISNUMBER(C4),ISNUMBER(G4)), C4-G4, "")</f>
        <v>-1631</v>
      </c>
      <c r="I4" s="17">
        <f>IFERROR(H4/G4, "")</f>
        <v>-7.2072470172337602E-2</v>
      </c>
      <c r="J4" s="18" t="s">
        <v>59</v>
      </c>
      <c r="K4" s="18" t="s">
        <v>60</v>
      </c>
    </row>
    <row r="5" spans="1:11" ht="14.25">
      <c r="A5" s="23"/>
      <c r="B5" s="34"/>
      <c r="C5" s="23"/>
      <c r="D5" s="23"/>
      <c r="E5" s="23"/>
      <c r="F5" s="23"/>
      <c r="G5" s="23"/>
      <c r="H5" s="23"/>
      <c r="I5" s="23"/>
      <c r="J5" s="23"/>
      <c r="K5" s="23"/>
    </row>
    <row r="6" spans="1:11" ht="14.25">
      <c r="A6" s="23"/>
      <c r="B6" s="34"/>
      <c r="C6" s="23"/>
      <c r="D6" s="23"/>
      <c r="E6" s="23"/>
      <c r="F6" s="23"/>
      <c r="G6" s="23"/>
      <c r="H6" s="23"/>
      <c r="I6" s="23"/>
      <c r="J6" s="23"/>
      <c r="K6" s="23"/>
    </row>
    <row r="7" spans="1:11" ht="12.75" customHeight="1">
      <c r="A7" s="23"/>
      <c r="B7" s="34"/>
      <c r="C7" s="23"/>
      <c r="D7" s="23"/>
      <c r="E7" s="23"/>
      <c r="F7" s="23"/>
      <c r="G7" s="23"/>
      <c r="H7" s="23"/>
      <c r="I7" s="23"/>
      <c r="J7" s="23"/>
      <c r="K7" s="23"/>
    </row>
    <row r="8" spans="1:11" ht="14.25">
      <c r="A8" s="23"/>
      <c r="B8" s="34"/>
      <c r="C8" s="23"/>
      <c r="D8" s="23"/>
      <c r="E8" s="23"/>
      <c r="F8" s="23"/>
      <c r="G8" s="23"/>
      <c r="H8" s="23"/>
      <c r="I8" s="23"/>
      <c r="J8" s="23"/>
      <c r="K8" s="23"/>
    </row>
    <row r="9" spans="1:11" ht="14.25">
      <c r="A9" s="23"/>
      <c r="B9" s="34"/>
      <c r="C9" s="23"/>
      <c r="D9" s="23"/>
      <c r="E9" s="23"/>
      <c r="F9" s="23"/>
      <c r="G9" s="23"/>
      <c r="H9" s="23"/>
      <c r="I9" s="23"/>
      <c r="J9" s="23"/>
      <c r="K9" s="23"/>
    </row>
    <row r="10" spans="1:11" ht="14.25">
      <c r="A10" s="23"/>
      <c r="B10" s="34"/>
      <c r="C10" s="23"/>
      <c r="D10" s="23"/>
      <c r="E10" s="23"/>
      <c r="F10" s="23"/>
      <c r="G10" s="23"/>
      <c r="H10" s="23"/>
      <c r="I10" s="23"/>
      <c r="J10" s="23"/>
      <c r="K10" s="23"/>
    </row>
    <row r="11" spans="1:11" ht="14.25">
      <c r="A11" s="23"/>
      <c r="B11" s="34"/>
      <c r="C11" s="23"/>
      <c r="D11" s="23"/>
      <c r="E11" s="23"/>
      <c r="F11" s="23"/>
      <c r="G11" s="23"/>
      <c r="H11" s="23"/>
      <c r="I11" s="23"/>
      <c r="J11" s="23"/>
      <c r="K11" s="23"/>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3.9">
      <c r="C331" s="23"/>
      <c r="D331" s="23"/>
      <c r="E331" s="23"/>
      <c r="F331" s="24"/>
      <c r="G331" s="23"/>
      <c r="H331" s="23"/>
      <c r="I331" s="24"/>
      <c r="J331" s="23"/>
      <c r="K331" s="23"/>
    </row>
  </sheetData>
  <mergeCells count="4">
    <mergeCell ref="G1:I1"/>
    <mergeCell ref="A1:C1"/>
    <mergeCell ref="D1:F1"/>
    <mergeCell ref="A2:B2"/>
  </mergeCells>
  <conditionalFormatting sqref="F2 I2 F4:F89 I4:I89">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A5" sqref="A5:XFD6"/>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61</v>
      </c>
      <c r="B1" t="s">
        <v>62</v>
      </c>
    </row>
    <row r="3" spans="1:7">
      <c r="A3" t="s">
        <v>63</v>
      </c>
      <c r="B3" t="s">
        <v>3</v>
      </c>
      <c r="C3" t="s">
        <v>4</v>
      </c>
      <c r="D3" t="s">
        <v>64</v>
      </c>
      <c r="E3" s="2" t="s">
        <v>65</v>
      </c>
    </row>
    <row r="4" spans="1:7" ht="14.25">
      <c r="A4" t="s">
        <v>66</v>
      </c>
      <c r="B4" t="s">
        <v>67</v>
      </c>
      <c r="C4" s="4" t="s">
        <v>68</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C0BCDC1E-6052-4E48-9BAF-94A40814E7C2}"/>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89CF5C07-45EB-4100-9AFB-2C6AF77FA787}"/>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E3716282-BFD2-4ED2-BA47-BFA1123827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2025-01-10T20:05:15Z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2025-01-10T20:05:08Z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7e39af45-f7cf-4d46-998a-97826174daff</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