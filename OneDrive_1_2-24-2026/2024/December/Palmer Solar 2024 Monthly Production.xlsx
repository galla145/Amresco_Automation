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0" documentId="13_ncr:1_{9A8CFC34-7065-4A61-926F-D54788313C0C}" xr6:coauthVersionLast="47" xr6:coauthVersionMax="47" xr10:uidLastSave="{84731F9A-609C-4D80-8CFC-467EFC391D02}"/>
  <bookViews>
    <workbookView xWindow="3828" yWindow="2484" windowWidth="17280" windowHeight="888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30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<sst xmlns="http://schemas.openxmlformats.org/spreadsheetml/2006/main" count="256" uniqueCount="67">
  <si>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</si>
  <si>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</si>
  <si>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</si>
  <si>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</si>
  <si>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</si>
  <si>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</si>
  <si>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</si>
  <si>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</si>
  <si>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</si>
  <si>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</si>
  <si>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</si>
  <si>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</si>
  <si>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</si>
  <si>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</si>
  <si>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</si>
  <si>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</si>
  <si>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</si>
  <si>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</si>
  <si>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</si>
  <si>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</si>
  <si>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</si>
  <si>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</si>
  <si>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01/10 and reenerzied on 01/11 at 8:00 AM</t>
  </si>
  <si>
    <t>1. SR080119</t>
  </si>
  <si>
    <t>February Actual v. Expected</t>
  </si>
  <si>
    <t>February Actual v. Forecasted</t>
  </si>
  <si>
    <t>March Actual v. Expected</t>
  </si>
  <si>
    <t>March Actual v. Forecasted</t>
  </si>
  <si>
    <t>1. Inverter 1 derating 175 kW compared to its peers from 3/29 and still it is offline</t>
  </si>
  <si>
    <t>1. SR082921</t>
  </si>
  <si>
    <t>April Actual v. Expected</t>
  </si>
  <si>
    <t>April Actual v. Forecasted</t>
  </si>
  <si>
    <t>1. Inverter 1 derating 175 kW compared to its peers from 3/29. Offline for the month of April</t>
  </si>
  <si>
    <t>May Actual v. Expected</t>
  </si>
  <si>
    <t>May Actual v. Forecasted</t>
  </si>
  <si>
    <t>1. Inverter 1 derating 175 kW compared to its peers from 3/29. Offline for the month of May</t>
  </si>
  <si>
    <t>June Actual v. Expected</t>
  </si>
  <si>
    <t>June Actual v. Forecasted</t>
  </si>
  <si>
    <t>1. Inverter 3 derating approximately 120kW during peak hours on 06/16.
2. Again inverter 3 derated approximately 120kW during peak hours from 06/18.
3. Inverter 1 derating 175 kW compared to its peers from 3/29. Offline for the month of June</t>
  </si>
  <si>
    <t>1. SR086294
2. SR086363
3. SR082921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</si>
  <si>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</si>
  <si>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</si>
  <si>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</si>
  <si>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</si>
  <si>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</si>
  <si>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</si>
  <si>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Inverter 2 derated approximatly 200kW from 07/14 to 08/08, and on 08/08 technician replaced the Faulted cooling fan.
2. Site was offline due to utility outage on 07/19 and later technician reenergized
the recloser and site was back online at 10:45AM on 07/19.
3. Inverter 1 derated approximatly 100kW from 08/10 to 08/14. Technician replaced the DMGI 2 faulted capacitor on 08/14.</t>
  </si>
  <si>
    <t>1.SR087661
2.SR087917
3.SR088992</t>
  </si>
  <si>
    <t>October Actual v. Expected</t>
  </si>
  <si>
    <t>October Actual v. Forecasted</t>
  </si>
  <si>
    <t>1.Inverter 1 tripped offline at 9:10AM and back online at 11:55AM on 10/03.</t>
  </si>
  <si>
    <t>1.SR091723</t>
  </si>
  <si>
    <t>November Actual v. Expected</t>
  </si>
  <si>
    <t>November Actual v. Forecasted</t>
  </si>
  <si>
    <t xml:space="preserve">1. Site tripped offline at 7AM and back online at 11:10AM on 11/17.
</t>
  </si>
  <si>
    <t>1.SR093346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</si>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</sst>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0" fillId="48" borderId="1" xfId="0" applyFont="1" applyFill="1" applyBorder="1" applyAlignment="1">
      <alignment wrapText="1"/>
    </xf>
    <xf numFmtId="0" fontId="30" fillId="48" borderId="13" xfId="0" applyFont="1" applyFill="1" applyBorder="1" applyAlignment="1">
      <alignment wrapText="1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D20" sqref="A19:D2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MA: Palmer - 105 North Street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SUM(C4:C79)</f>
        <v>2735475</v>
      </c>
      <c r="D2" s="5">
        <f>SUM(D4:D79)</f>
        <v>0</v>
      </c>
      <c r="E2" s="5">
        <f>C2-D2</f>
        <v>2735475</v>
      </c>
      <c r="F2" s="6">
        <f>IFERROR(E2/D2, 0)</f>
        <v>0</v>
      </c>
      <c r="G2" s="5">
        <f>SUM(G4:G79)</f>
        <v>0</v>
      </c>
      <c r="H2" s="7">
        <f>C2-G2</f>
        <v>2735475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2735475</v>
      </c>
      <c r="D4" s="12">
        <f>SUM('1st Qtr'!D4, '2nd Qtr'!D4, '3rd Qtr'!D4, '4th Qtr'!D4)</f>
        <v>0</v>
      </c>
      <c r="E4" s="12">
        <f>IF(AND(ISNUMBER(C4),ISNUMBER(D4)), C4-D4, "")</f>
        <v>2735475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2735475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G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MA: Palmer - 105 North Street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SUM(C4:C79)</f>
        <v>561870</v>
      </c>
      <c r="D2" s="5">
        <f>SUM(D4:D79)</f>
        <v>0</v>
      </c>
      <c r="E2" s="5">
        <f>C2-D2</f>
        <v>561870</v>
      </c>
      <c r="F2" s="6">
        <f>IFERROR(E2/D2, 0)</f>
        <v>0</v>
      </c>
      <c r="G2" s="5">
        <f>SUM(G4:G79)</f>
        <v>0</v>
      </c>
      <c r="H2" s="7">
        <f>C2-G2</f>
        <v>561870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561870</v>
      </c>
      <c r="D4" s="12">
        <f>SUM(Jan!D4, Feb!D4, Mar!D4)</f>
        <v>0</v>
      </c>
      <c r="E4" s="12">
        <f>IF(AND(ISNUMBER(C4),ISNUMBER(D4)), C4-D4, "")</f>
        <v>561870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561870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G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MA: Palmer - 105 North Street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SUM(C4:C79)</f>
        <v>697495</v>
      </c>
      <c r="D2" s="5">
        <f>SUM(D4:D79)</f>
        <v>0</v>
      </c>
      <c r="E2" s="5">
        <f>C2-D2</f>
        <v>697495</v>
      </c>
      <c r="F2" s="6">
        <f>IFERROR(E2/D2, 0)</f>
        <v>0</v>
      </c>
      <c r="G2" s="5">
        <f>SUM(G4:G79)</f>
        <v>0</v>
      </c>
      <c r="H2" s="7">
        <f>C2-G2</f>
        <v>697495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697495</v>
      </c>
      <c r="D4" s="12">
        <f>SUM(Apr!D4, May!D4, Jun!D4)</f>
        <v>0</v>
      </c>
      <c r="E4" s="12">
        <f>IF(AND(ISNUMBER(C4),ISNUMBER(D4)), C4-D4, "")</f>
        <v>697495</v>
      </c>
      <c r="F4" s="13" t="str">
        <f>IFERROR(E4/D4, "")</f>
        <v/>
      </c>
      <c r="G4" s="14">
        <f>SUM(Apr!G4,May!G4,Jun!G4)</f>
        <v>0</v>
      </c>
      <c r="H4" s="14">
        <f>SUM(Apr!H4, May!H4, Jun!H4)</f>
        <v>697495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MA: Palmer - 105 North Street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SUM(C4:C79)</f>
        <v>865380</v>
      </c>
      <c r="D2" s="5">
        <f>SUM(D4:D79)</f>
        <v>0</v>
      </c>
      <c r="E2" s="5">
        <f>C2-D2</f>
        <v>865380</v>
      </c>
      <c r="F2" s="6">
        <f>IFERROR(E2/D2, 0)</f>
        <v>0</v>
      </c>
      <c r="G2" s="5">
        <f>SUM(G4:G79)</f>
        <v>0</v>
      </c>
      <c r="H2" s="7">
        <f>C2-G2</f>
        <v>865380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865380</v>
      </c>
      <c r="D4" s="12">
        <f>SUM(Jul!D4, Aug!D4, Sep!D4)</f>
        <v>0</v>
      </c>
      <c r="E4" s="12">
        <f>IF(AND(ISNUMBER(C4),ISNUMBER(D4)), C4-D4, "")</f>
        <v>865380</v>
      </c>
      <c r="F4" s="13" t="str">
        <f>IFERROR(E4/D4, "")</f>
        <v/>
      </c>
      <c r="G4" s="14">
        <f>SUM(Jul!G4,Aug!G4,Sep!G4)</f>
        <v>0</v>
      </c>
      <c r="H4" s="14">
        <f>SUM(Jul!H4, Aug!H4, Sep!H4)</f>
        <v>865380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I12" sqref="I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MA: Palmer - 105 North Street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SUM(C4:C79)</f>
        <v>610730</v>
      </c>
      <c r="D2" s="5">
        <f>SUM(D4:D79)</f>
        <v>0</v>
      </c>
      <c r="E2" s="5">
        <f>C2-D2</f>
        <v>610730</v>
      </c>
      <c r="F2" s="6">
        <f>IFERROR(E2/D2, 0)</f>
        <v>0</v>
      </c>
      <c r="G2" s="5">
        <f>SUM(G4:G79)</f>
        <v>0</v>
      </c>
      <c r="H2" s="7">
        <f>C2-G2</f>
        <v>610730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610730</v>
      </c>
      <c r="D4" s="12">
        <f>SUM(Oct!D4, Nov!D4, Dec!D4)</f>
        <v>0</v>
      </c>
      <c r="E4" s="12">
        <f>IF(AND(ISNUMBER(C4),ISNUMBER(D4)), C4-D4, "")</f>
        <v>610730</v>
      </c>
      <c r="F4" s="13" t="str">
        <f>IFERROR(E4/D4, "")</f>
        <v/>
      </c>
      <c r="G4" s="14">
        <f>SUM(Oct!G4,Nov!G4,Dec!G4)</f>
        <v>0</v>
      </c>
      <c r="H4" s="14">
        <f>SUM(Oct!H4, Nov!H4, Dec!H4)</f>
        <v>610730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SUM(C4:C78)</f>
        <v>65254</v>
      </c>
      <c r="D2" s="5">
        <f>SUM(D4:D78)</f>
        <v>0</v>
      </c>
      <c r="E2" s="5">
        <f>C2-D2</f>
        <v>65254</v>
      </c>
      <c r="F2" s="6">
        <f>IFERROR(E2/D2, 0)</f>
        <v>0</v>
      </c>
      <c r="G2" s="5">
        <f>SUM(G4:G78)</f>
        <v>0</v>
      </c>
      <c r="H2" s="7">
        <f>C2-G2</f>
        <v>65254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Palmer - 105 North Street</v>
      </c>
      <c r="B4" s="27" t="str" cm="1">
        <f t="array" ref="B4">Sites[State]</f>
        <v>MA</v>
      </c>
      <c r="C4" s="50">
        <v>65254</v>
      </c>
      <c r="D4" s="51">
        <v>0</v>
      </c>
      <c r="E4" s="12">
        <f>IF(AND(ISNUMBER(C4),ISNUMBER(D4)), C4-D4, "")</f>
        <v>65254</v>
      </c>
      <c r="F4" s="40" t="str">
        <f>IFERROR(E4/D4, "")</f>
        <v/>
      </c>
      <c r="G4" s="53">
        <v>0</v>
      </c>
      <c r="H4" s="14">
        <f>IF(AND(ISNUMBER(C4),ISNUMBER(G4)), C4-G4, "")</f>
        <v>65254</v>
      </c>
      <c r="I4" s="15" t="str">
        <f>IFERROR(H4/G4, "")</f>
        <v/>
      </c>
      <c r="J4" s="47" t="s">
        <v>22</v>
      </c>
      <c r="K4" s="47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24</v>
      </c>
      <c r="E1" s="59"/>
      <c r="F1" s="59"/>
      <c r="G1" s="57" t="s">
        <v>25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238221</v>
      </c>
      <c r="D2" s="5">
        <f>SUM(D4:D79)</f>
        <v>0</v>
      </c>
      <c r="E2" s="5">
        <f>C2-D2</f>
        <v>238221</v>
      </c>
      <c r="F2" s="6">
        <f>IFERROR(E2/D2, 0)</f>
        <v>0</v>
      </c>
      <c r="G2" s="5">
        <f>SUM(G4:G79)</f>
        <v>0</v>
      </c>
      <c r="H2" s="7">
        <f>C2-G2</f>
        <v>238221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Palmer - 105 North Street</v>
      </c>
      <c r="B4" s="27" t="str" cm="1">
        <f t="array" ref="B4">Sites[State]</f>
        <v>MA</v>
      </c>
      <c r="C4" s="23">
        <v>238221</v>
      </c>
      <c r="D4" s="12">
        <v>0</v>
      </c>
      <c r="E4" s="12">
        <f>IF(AND(ISNUMBER(C4),ISNUMBER(D4)), C4-D4, "")</f>
        <v>238221</v>
      </c>
      <c r="F4" s="13" t="str">
        <f>IFERROR(E4/D4, "")</f>
        <v/>
      </c>
      <c r="G4" s="14">
        <v>0</v>
      </c>
      <c r="H4" s="14">
        <f>IF(AND(ISNUMBER(C4),ISNUMBER(G4)), C4-G4, "")</f>
        <v>238221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26</v>
      </c>
      <c r="E1" s="59"/>
      <c r="F1" s="59"/>
      <c r="G1" s="57" t="s">
        <v>27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258395</v>
      </c>
      <c r="D2" s="5">
        <f>SUM(D4:D79)</f>
        <v>0</v>
      </c>
      <c r="E2" s="5">
        <f>C2-D2</f>
        <v>258395</v>
      </c>
      <c r="F2" s="6">
        <f>IFERROR(E2/D2, 0)</f>
        <v>0</v>
      </c>
      <c r="G2" s="5">
        <f>SUM(G4:G79)</f>
        <v>0</v>
      </c>
      <c r="H2" s="7">
        <f>C2-G2</f>
        <v>258395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258395</v>
      </c>
      <c r="D4" s="12">
        <v>0</v>
      </c>
      <c r="E4" s="12">
        <f>IF(AND(ISNUMBER(C4),ISNUMBER(D4)), C4-D4, "")</f>
        <v>258395</v>
      </c>
      <c r="F4" s="13" t="str">
        <f>IFERROR(E4/D4, "")</f>
        <v/>
      </c>
      <c r="G4" s="14">
        <v>0</v>
      </c>
      <c r="H4" s="14">
        <f>IF(AND(ISNUMBER(C4),ISNUMBER(G4)), C4-G4, "")</f>
        <v>258395</v>
      </c>
      <c r="I4" s="15" t="str">
        <f>IFERROR(H4/G4, "")</f>
        <v/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30</v>
      </c>
      <c r="E1" s="59"/>
      <c r="F1" s="59"/>
      <c r="G1" s="57" t="s">
        <v>31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201186</v>
      </c>
      <c r="D2" s="5">
        <f>SUM(D4:D79)</f>
        <v>0</v>
      </c>
      <c r="E2" s="5">
        <f>C2-D2</f>
        <v>201186</v>
      </c>
      <c r="F2" s="6">
        <f>IFERROR(E2/D2, 0)</f>
        <v>0</v>
      </c>
      <c r="G2" s="5">
        <f>SUM(G4:G79)</f>
        <v>0</v>
      </c>
      <c r="H2" s="7">
        <f>C2-G2</f>
        <v>201186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201186</v>
      </c>
      <c r="D4" s="12">
        <v>0</v>
      </c>
      <c r="E4" s="12">
        <f>IF(AND(ISNUMBER(C4),ISNUMBER(D4)), C4-D4, "")</f>
        <v>201186</v>
      </c>
      <c r="F4" s="13" t="str">
        <f>IFERROR(E4/D4, "")</f>
        <v/>
      </c>
      <c r="G4" s="14">
        <v>0</v>
      </c>
      <c r="H4" s="14">
        <f>IF(AND(ISNUMBER(C4),ISNUMBER(G4)), C4-G4, "")</f>
        <v>201186</v>
      </c>
      <c r="I4" s="15" t="str">
        <f>IFERROR(H4/G4, "")</f>
        <v/>
      </c>
      <c r="J4" s="54" t="s">
        <v>32</v>
      </c>
      <c r="K4" s="55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31" sqref="J3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33</v>
      </c>
      <c r="E1" s="59"/>
      <c r="F1" s="59"/>
      <c r="G1" s="57" t="s">
        <v>34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243155</v>
      </c>
      <c r="D2" s="5">
        <f>SUM(D4:D79)</f>
        <v>0</v>
      </c>
      <c r="E2" s="5">
        <f>C2-D2</f>
        <v>243155</v>
      </c>
      <c r="F2" s="6">
        <f>IFERROR(E2/D2, 0)</f>
        <v>0</v>
      </c>
      <c r="G2" s="5">
        <f>SUM(G4:G79)</f>
        <v>0</v>
      </c>
      <c r="H2" s="7">
        <f>C2-G2</f>
        <v>243155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243155</v>
      </c>
      <c r="D4" s="12">
        <v>0</v>
      </c>
      <c r="E4" s="12">
        <f>IF(AND(ISNUMBER(C4),ISNUMBER(D4)), C4-D4, "")</f>
        <v>243155</v>
      </c>
      <c r="F4" s="13" t="str">
        <f>IFERROR(E4/D4, "")</f>
        <v/>
      </c>
      <c r="G4" s="14">
        <v>0</v>
      </c>
      <c r="H4" s="14">
        <f>IF(AND(ISNUMBER(C4),ISNUMBER(G4)), C4-G4, "")</f>
        <v>243155</v>
      </c>
      <c r="I4" s="15" t="str">
        <f>IFERROR(H4/G4, "")</f>
        <v/>
      </c>
      <c r="J4" s="54" t="s">
        <v>35</v>
      </c>
      <c r="K4" s="55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E4" activePane="bottomRight" state="frozen"/>
      <selection pane="bottomRight" activeCell="J10" sqref="J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36</v>
      </c>
      <c r="E1" s="59"/>
      <c r="F1" s="59"/>
      <c r="G1" s="57" t="s">
        <v>37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253154</v>
      </c>
      <c r="D2" s="5">
        <f>SUM(D4:D79)</f>
        <v>0</v>
      </c>
      <c r="E2" s="5">
        <f>C2-D2</f>
        <v>253154</v>
      </c>
      <c r="F2" s="6">
        <f>IFERROR(E2/D2, 0)</f>
        <v>0</v>
      </c>
      <c r="G2" s="5">
        <f>SUM(G4:G79)</f>
        <v>0</v>
      </c>
      <c r="H2" s="7">
        <f>C2-G2</f>
        <v>253154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253154</v>
      </c>
      <c r="D4" s="12">
        <v>0</v>
      </c>
      <c r="E4" s="12">
        <f>IF(AND(ISNUMBER(C4),ISNUMBER(D4)), C4-D4, "")</f>
        <v>253154</v>
      </c>
      <c r="F4" s="13" t="str">
        <f>IFERROR(E4/D4, "")</f>
        <v/>
      </c>
      <c r="G4" s="14">
        <v>0</v>
      </c>
      <c r="H4" s="14">
        <f>IF(AND(ISNUMBER(C4),ISNUMBER(G4)), C4-G4, "")</f>
        <v>253154</v>
      </c>
      <c r="I4" s="15" t="str">
        <f>IFERROR(H4/G4, "")</f>
        <v/>
      </c>
      <c r="J4" s="36" t="s">
        <v>38</v>
      </c>
      <c r="K4" s="36" t="s">
        <v>39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8" sqref="H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297970</v>
      </c>
      <c r="D2" s="5">
        <f>SUM(D4:D79)</f>
        <v>0</v>
      </c>
      <c r="E2" s="5">
        <f>C2-D2</f>
        <v>297970</v>
      </c>
      <c r="F2" s="6">
        <f>IFERROR(E2/D2, 0)</f>
        <v>0</v>
      </c>
      <c r="G2" s="5">
        <f>SUM(G4:G79)</f>
        <v>0</v>
      </c>
      <c r="H2" s="7">
        <f>C2-G2</f>
        <v>297970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297970</v>
      </c>
      <c r="D4" s="12">
        <v>0</v>
      </c>
      <c r="E4" s="12">
        <f>IF(AND(ISNUMBER(C4),ISNUMBER(D4)), C4-D4, "")</f>
        <v>297970</v>
      </c>
      <c r="F4" s="13" t="str">
        <f>IFERROR(E4/D4, "")</f>
        <v/>
      </c>
      <c r="G4" s="14">
        <v>0</v>
      </c>
      <c r="H4" s="14">
        <f>IF(AND(ISNUMBER(C4),ISNUMBER(G4)), C4-G4, "")</f>
        <v>297970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F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42</v>
      </c>
      <c r="E1" s="59"/>
      <c r="F1" s="59"/>
      <c r="G1" s="57" t="s">
        <v>43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290349</v>
      </c>
      <c r="D2" s="5">
        <f>SUM(D4:D79)</f>
        <v>0</v>
      </c>
      <c r="E2" s="5">
        <f>C2-D2</f>
        <v>290349</v>
      </c>
      <c r="F2" s="6">
        <f>IFERROR(E2/D2, 0)</f>
        <v>0</v>
      </c>
      <c r="G2" s="5">
        <f>SUM(G4:G79)</f>
        <v>0</v>
      </c>
      <c r="H2" s="7">
        <f>C2-G2</f>
        <v>290349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290349</v>
      </c>
      <c r="D4" s="12">
        <v>0</v>
      </c>
      <c r="E4" s="12">
        <f>IF(AND(ISNUMBER(C4),ISNUMBER(D4)), C4-D4, "")</f>
        <v>290349</v>
      </c>
      <c r="F4" s="13" t="str">
        <f>IFERROR(E4/D4, "")</f>
        <v/>
      </c>
      <c r="G4" s="14">
        <v>0</v>
      </c>
      <c r="H4" s="14">
        <f>IF(AND(ISNUMBER(C4),ISNUMBER(G4)), C4-G4, "")</f>
        <v>290349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J16" sqref="J16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277061</v>
      </c>
      <c r="D2" s="5">
        <f>SUM(D4:D79)</f>
        <v>0</v>
      </c>
      <c r="E2" s="5">
        <f>C2-D2</f>
        <v>277061</v>
      </c>
      <c r="F2" s="6">
        <f>IFERROR(E2/D2, 0)</f>
        <v>0</v>
      </c>
      <c r="G2" s="5">
        <f>SUM(G4:G79)</f>
        <v>0</v>
      </c>
      <c r="H2" s="7">
        <f>C2-G2</f>
        <v>277061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9.75" customHeight="1">
      <c r="A4" s="56" t="str" cm="1">
        <f t="array" ref="A4">Sites[Site]</f>
        <v>MA: Palmer - 105 North Street</v>
      </c>
      <c r="B4" s="27" t="str" cm="1">
        <f t="array" ref="B4">Sites[State]</f>
        <v>MA</v>
      </c>
      <c r="C4" s="23">
        <v>277061</v>
      </c>
      <c r="D4" s="12">
        <v>0</v>
      </c>
      <c r="E4" s="12">
        <f>IF(AND(ISNUMBER(C4),ISNUMBER(D4)), C4-D4, "")</f>
        <v>277061</v>
      </c>
      <c r="F4" s="13" t="str">
        <f>IFERROR(E4/D4, "")</f>
        <v/>
      </c>
      <c r="G4" s="14">
        <v>0</v>
      </c>
      <c r="H4" s="14">
        <f>IF(AND(ISNUMBER(C4),ISNUMBER(G4)), C4-G4, "")</f>
        <v>277061</v>
      </c>
      <c r="I4" s="15" t="str">
        <f>IFERROR(H4/G4, "")</f>
        <v/>
      </c>
      <c r="J4" s="36" t="s">
        <v>46</v>
      </c>
      <c r="K4" s="36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F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276842</v>
      </c>
      <c r="D2" s="5">
        <f>SUM(D4:D79)</f>
        <v>0</v>
      </c>
      <c r="E2" s="5">
        <f>C2-D2</f>
        <v>276842</v>
      </c>
      <c r="F2" s="6">
        <f>IFERROR(E2/D2, 0)</f>
        <v>0</v>
      </c>
      <c r="G2" s="5">
        <f>SUM(G4:G79)</f>
        <v>0</v>
      </c>
      <c r="H2" s="7">
        <f>C2-G2</f>
        <v>276842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276842</v>
      </c>
      <c r="D4" s="12">
        <v>0</v>
      </c>
      <c r="E4" s="12">
        <f>IF(AND(ISNUMBER(C4),ISNUMBER(D4)), C4-D4, "")</f>
        <v>276842</v>
      </c>
      <c r="F4" s="13" t="str">
        <f>IFERROR(E4/D4, "")</f>
        <v/>
      </c>
      <c r="G4" s="14">
        <v>0</v>
      </c>
      <c r="H4" s="14">
        <f>IF(AND(ISNUMBER(C4),ISNUMBER(G4)), C4-G4, "")</f>
        <v>276842</v>
      </c>
      <c r="I4" s="15" t="str">
        <f>IFERROR(H4/G4, "")</f>
        <v/>
      </c>
      <c r="J4" s="36" t="s">
        <v>50</v>
      </c>
      <c r="K4" s="36" t="s">
        <v>51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E12" sqref="E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197379</v>
      </c>
      <c r="D2" s="5">
        <f>SUM(D4:D79)</f>
        <v>0</v>
      </c>
      <c r="E2" s="5">
        <f>C2-D2</f>
        <v>197379</v>
      </c>
      <c r="F2" s="6">
        <f>IFERROR(E2/D2, 0)</f>
        <v>0</v>
      </c>
      <c r="G2" s="5">
        <f>SUM(G4:G79)</f>
        <v>0</v>
      </c>
      <c r="H2" s="7">
        <f>C2-G2</f>
        <v>197379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197379</v>
      </c>
      <c r="D4" s="12">
        <v>0</v>
      </c>
      <c r="E4" s="12">
        <f>IF(AND(ISNUMBER(C4),ISNUMBER(D4)), C4-D4, "")</f>
        <v>197379</v>
      </c>
      <c r="F4" s="13" t="str">
        <f>IFERROR(E4/D4, "")</f>
        <v/>
      </c>
      <c r="G4" s="14">
        <v>0</v>
      </c>
      <c r="H4" s="14">
        <f>IF(AND(ISNUMBER(C4),ISNUMBER(G4)), C4-G4, "")</f>
        <v>197379</v>
      </c>
      <c r="I4" s="15" t="str">
        <f>IFERROR(H4/G4, "")</f>
        <v/>
      </c>
      <c r="J4" s="36" t="s">
        <v>54</v>
      </c>
      <c r="K4" s="36" t="s">
        <v>55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E13" sqref="E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MA: Palmer - 105 North Street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136509</v>
      </c>
      <c r="D2" s="5">
        <f>SUM(D4:D79)</f>
        <v>0</v>
      </c>
      <c r="E2" s="5">
        <f>C2-D2</f>
        <v>136509</v>
      </c>
      <c r="F2" s="6">
        <f>IFERROR(E2/D2, 0)</f>
        <v>0</v>
      </c>
      <c r="G2" s="5">
        <f>SUM(G4:G79)</f>
        <v>0</v>
      </c>
      <c r="H2" s="7">
        <f>C2-G2</f>
        <v>136509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136509</v>
      </c>
      <c r="D4" s="12">
        <v>0</v>
      </c>
      <c r="E4" s="12">
        <f>IF(AND(ISNUMBER(C4),ISNUMBER(D4)), C4-D4, "")</f>
        <v>136509</v>
      </c>
      <c r="F4" s="13" t="str">
        <f>IFERROR(E4/D4, "")</f>
        <v/>
      </c>
      <c r="G4" s="14">
        <v>0</v>
      </c>
      <c r="H4" s="14">
        <f>IF(AND(ISNUMBER(C4),ISNUMBER(G4)), C4-G4, "")</f>
        <v>136509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45" t="s">
        <v>63</v>
      </c>
      <c r="B4" t="s">
        <v>59</v>
      </c>
      <c r="C4" s="43" t="s">
        <v>64</v>
      </c>
      <c r="D4" s="42" t="s">
        <v>65</v>
      </c>
      <c r="E4" t="s">
        <v>66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2025-04-15T13:20:36Z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2025-04-15T12:22:50Z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76665d40-03fc-450d-bf0b-701f69695370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