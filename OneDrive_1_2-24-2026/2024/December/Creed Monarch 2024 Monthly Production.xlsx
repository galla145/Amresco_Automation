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4" documentId="13_ncr:1_{2B7F44C4-0C6B-4A34-95C2-BCC6D4CDD63C}" xr6:coauthVersionLast="47" xr6:coauthVersionMax="47" xr10:uidLastSave="{4015DA16-7E02-4715-A3CE-6D6A3B161E4D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<sst xmlns="http://schemas.openxmlformats.org/spreadsheetml/2006/main" count="258" uniqueCount="69">
  <si>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</si>
  <si>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</si>
  <si>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</si>
  <si>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</si>
  <si>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</si>
  <si>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</si>
  <si>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</si>
  <si>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</si>
  <si>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</si>
  <si>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</si>
  <si>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</si>
  <si>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</si>
  <si>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</si>
  <si>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</si>
  <si>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</si>
  <si>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</si>
  <si>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</si>
  <si>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</si>
  <si>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</si>
  <si>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</si>
  <si>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</si>
  <si>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</si>
  <si>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</si>
  <si>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</si>
  <si>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</si>
  <si>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</si>
  <si>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</si>
  <si>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</si>
  <si>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was taken offline due to  removal of feeders  on 04/03 at 13:15 throughout the month.</t>
  </si>
  <si>
    <t>1. 	SR083003</t>
  </si>
  <si>
    <t>May Actual v. Expected</t>
  </si>
  <si>
    <t>May Actual v. Forecasted</t>
  </si>
  <si>
    <t>1. Site back online on 05/01 at 11:30</t>
  </si>
  <si>
    <t>1. SR083003</t>
  </si>
  <si>
    <t>June Actual v. Expected</t>
  </si>
  <si>
    <t>June Actual v. Forecasted</t>
  </si>
  <si>
    <t>1. Inverter 4 left unit tripped offline on 06/25 at 11:30 throughout the month</t>
  </si>
  <si>
    <t>1. SR086956</t>
  </si>
  <si>
    <t>July Actual v. Expected</t>
  </si>
  <si>
    <t>July Actual v. Forecasted</t>
  </si>
  <si>
    <t>1. Inverter 4 left unit tripped offline at 11:52 on 06/25 and back online at 11 on 07/03/2024.
2. Inverter 6 left unit tripped offline at 17:00 on 07/02 and back online at 9:52 on 07/16/2024.
3. Inverter 7 right unit tripped offline at 11:47 on 07/11 and back online at 11:52 on 07/18.
4. Inverter 5 left unit tripped offline at 14:52 on 07/11 and offline throughout the month.</t>
  </si>
  <si>
    <t>1. SR086956.
2. SR087368.
3. SR087605.
4. SR087606.</t>
  </si>
  <si>
    <t>August Actual v. Expected</t>
  </si>
  <si>
    <t>August Actual v. Forecasted</t>
  </si>
  <si>
    <t>1. Inverter 5 left unit tripped offline since 07/11.</t>
  </si>
  <si>
    <t>1. SR089217.</t>
  </si>
  <si>
    <t>September Actual v. Expected</t>
  </si>
  <si>
    <t>September Actual v. Forecasted</t>
  </si>
  <si>
    <t>October Actual v. Expected</t>
  </si>
  <si>
    <t>October Actual v. Forecasted</t>
  </si>
  <si>
    <t>1. Inverter 5 left unit tripped offline since 07/11 and back online on 10/3/2024.
2. Inverter 5 primary unit tripped offline at 14:45 on 10/24/2024 through the month</t>
  </si>
  <si>
    <t>1. SR089217
2. SR093446</t>
  </si>
  <si>
    <t>November Actual v. Expected</t>
  </si>
  <si>
    <t>November Actual v. Forecasted</t>
  </si>
  <si>
    <t xml:space="preserve"> 1. Inverter 5 primary unit tripped offline on 10/24/2024 and being RMA'd</t>
  </si>
  <si>
    <t>1. SR093446</t>
  </si>
  <si>
    <t>December Actual v. Expected</t>
  </si>
  <si>
    <t>December Actual v. Forecasted</t>
  </si>
  <si>
    <t>1. Inverter 5 primary unit being RMA'd
2. Inverter 5 left unit was offline from 12/30</t>
  </si>
  <si>
    <t>1. SR095161,SR093446
2.  SR095186</t>
  </si>
  <si>
    <t>Portfolio:</t>
  </si>
  <si>
    <t>Creed Monarch - Roof</t>
  </si>
  <si>
    <t>Site DAS Name</t>
  </si>
  <si>
    <t>Update</t>
  </si>
  <si>
    <t>DAS</t>
  </si>
  <si>
    <t>CT: New Britain - Creed Monarch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</si>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</sst>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" xfId="0" applyNumberFormat="1" applyFont="1" applyFill="1" applyBorder="1" applyAlignment="1">
      <alignment horizontal="right" vertical="center"/>
    </xf>
    <xf numFmtId="3" fontId="35" fillId="47" borderId="12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SUM(C4:C75)</f>
        <v>904247.94082237594</v>
      </c>
      <c r="D2" s="5">
        <f>SUM(D4:D75)</f>
        <v>0</v>
      </c>
      <c r="E2" s="5">
        <f>C2-D2</f>
        <v>904247.94082237594</v>
      </c>
      <c r="F2" s="6">
        <f>IFERROR(E2/D2, 0)</f>
        <v>0</v>
      </c>
      <c r="G2" s="5">
        <f>SUM(G4:G75)</f>
        <v>1242972.183</v>
      </c>
      <c r="H2" s="7">
        <f>C2-G2</f>
        <v>-338724.24217762402</v>
      </c>
      <c r="I2" s="6">
        <f>IFERROR(H2/G2, 0)</f>
        <v>-0.27251152263125428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New Britain - Creed Monarch</v>
      </c>
      <c r="B4" s="9" t="str" cm="1">
        <f t="array" ref="B4">Sites[State]</f>
        <v>CT</v>
      </c>
      <c r="C4" s="23">
        <f>SUM('1st Qtr'!C4, '2nd Qtr'!C4, '3rd Qtr'!C4, '4th Qtr'!C4)</f>
        <v>904247.94082237594</v>
      </c>
      <c r="D4" s="12">
        <f>SUM('1st Qtr'!D4, '2nd Qtr'!D4, '3rd Qtr'!D4, '4th Qtr'!D4)</f>
        <v>0</v>
      </c>
      <c r="E4" s="12">
        <f>IF(AND(ISNUMBER(C4),ISNUMBER(D4)), C4-D4, "")</f>
        <v>904247.94082237594</v>
      </c>
      <c r="F4" s="13" t="str">
        <f>IFERROR(E4/D4, "")</f>
        <v/>
      </c>
      <c r="G4" s="14">
        <f>SUM('1st Qtr'!G4, '2nd Qtr'!G4, '3rd Qtr'!G4, '4th Qtr'!G4)</f>
        <v>1242972.183</v>
      </c>
      <c r="H4" s="14">
        <f>SUM('1st Qtr'!H4, '2nd Qtr'!H4, '3rd Qtr'!H4, '4th Qtr'!H4)</f>
        <v>-338724.24217762402</v>
      </c>
      <c r="I4" s="15">
        <f>IFERROR(H4/G4, "")</f>
        <v>-0.27251152263125428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SUM(C4:C75)</f>
        <v>159443.52023243549</v>
      </c>
      <c r="D2" s="5">
        <f>SUM(D4:D75)</f>
        <v>0</v>
      </c>
      <c r="E2" s="5">
        <f>C2-D2</f>
        <v>159443.52023243549</v>
      </c>
      <c r="F2" s="6">
        <f>IFERROR(E2/D2, 0)</f>
        <v>0</v>
      </c>
      <c r="G2" s="5">
        <f>SUM(G4:G75)</f>
        <v>236807.81299999999</v>
      </c>
      <c r="H2" s="7">
        <f>C2-G2</f>
        <v>-77364.292767564504</v>
      </c>
      <c r="I2" s="6">
        <f>IFERROR(H2/G2, 0)</f>
        <v>-0.32669653837630985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SUM(Jan!C4, Feb!C4, Mar!C4)</f>
        <v>159443.52023243549</v>
      </c>
      <c r="D4" s="12">
        <f>SUM(Jan!D4, Feb!D4, Mar!D4)</f>
        <v>0</v>
      </c>
      <c r="E4" s="12">
        <f>IF(AND(ISNUMBER(C4),ISNUMBER(D4)), C4-D4, "")</f>
        <v>159443.52023243549</v>
      </c>
      <c r="F4" s="13" t="str">
        <f>IFERROR(E4/D4, "")</f>
        <v/>
      </c>
      <c r="G4" s="14">
        <f>SUM(Jan!G4, Feb!G4, Mar!G4)</f>
        <v>236807.81299999999</v>
      </c>
      <c r="H4" s="14">
        <f>SUM(Jan!H4, Feb!H4, Mar!H4)</f>
        <v>-77364.292767564504</v>
      </c>
      <c r="I4" s="15">
        <f>IFERROR(H4/G4, "")</f>
        <v>-0.32669653837630985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SUM(C4:C75)</f>
        <v>268687.54099999997</v>
      </c>
      <c r="D2" s="5">
        <f>SUM(D4:D75)</f>
        <v>0</v>
      </c>
      <c r="E2" s="5">
        <f>C2-D2</f>
        <v>268687.54099999997</v>
      </c>
      <c r="F2" s="6">
        <f>IFERROR(E2/D2, 0)</f>
        <v>0</v>
      </c>
      <c r="G2" s="5">
        <f>SUM(G4:G75)</f>
        <v>432176.30000000005</v>
      </c>
      <c r="H2" s="7">
        <f>C2-G2</f>
        <v>-163488.75900000008</v>
      </c>
      <c r="I2" s="6">
        <f>IFERROR(H2/G2, 0)</f>
        <v>-0.37829181979668958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SUM(Apr!C4, May!C4, Jun!C4)</f>
        <v>268687.54099999997</v>
      </c>
      <c r="D4" s="12">
        <f>SUM(Apr!D4, May!D4, Jun!D4)</f>
        <v>0</v>
      </c>
      <c r="E4" s="12">
        <f>IF(AND(ISNUMBER(C4),ISNUMBER(D4)), C4-D4, "")</f>
        <v>268687.54099999997</v>
      </c>
      <c r="F4" s="13" t="str">
        <f>IFERROR(E4/D4, "")</f>
        <v/>
      </c>
      <c r="G4" s="14">
        <f>SUM(Apr!G4,May!G4,Jun!G4)</f>
        <v>432176.30000000005</v>
      </c>
      <c r="H4" s="14">
        <f>SUM(Apr!H4, May!H4, Jun!H4)</f>
        <v>-163488.75900000002</v>
      </c>
      <c r="I4" s="15">
        <f>IFERROR(H4/G4, "")</f>
        <v>-0.37829181979668947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SUM(C4:C75)</f>
        <v>321360.24997070181</v>
      </c>
      <c r="D2" s="5">
        <f>SUM(D4:D75)</f>
        <v>0</v>
      </c>
      <c r="E2" s="5">
        <f>C2-D2</f>
        <v>321360.24997070181</v>
      </c>
      <c r="F2" s="6">
        <f>IFERROR(E2/D2, 0)</f>
        <v>0</v>
      </c>
      <c r="G2" s="5">
        <f>SUM(G4:G75)</f>
        <v>397650.60000000003</v>
      </c>
      <c r="H2" s="7">
        <f>C2-G2</f>
        <v>-76290.350029298221</v>
      </c>
      <c r="I2" s="6">
        <f>IFERROR(H2/G2, 0)</f>
        <v>-0.19185272203612472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SUM(Jul!C4, Aug!C4, Sep!C4)</f>
        <v>321360.24997070181</v>
      </c>
      <c r="D4" s="12">
        <f>SUM(Jul!D4, Aug!D4, Sep!D4)</f>
        <v>0</v>
      </c>
      <c r="E4" s="12">
        <f>IF(AND(ISNUMBER(C4),ISNUMBER(D4)), C4-D4, "")</f>
        <v>321360.24997070181</v>
      </c>
      <c r="F4" s="13" t="str">
        <f>IFERROR(E4/D4, "")</f>
        <v/>
      </c>
      <c r="G4" s="14">
        <f>SUM(Jul!G4,Aug!G4,Sep!G4)</f>
        <v>397650.60000000003</v>
      </c>
      <c r="H4" s="14">
        <f>SUM(Jul!H4, Aug!H4, Sep!H4)</f>
        <v>-76290.350029298221</v>
      </c>
      <c r="I4" s="15">
        <f>IFERROR(H4/G4, "")</f>
        <v>-0.19185272203612472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Creed Monarch - Roof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SUM(C4:C75)</f>
        <v>154756.62961923869</v>
      </c>
      <c r="D2" s="5">
        <f>SUM(D4:D75)</f>
        <v>0</v>
      </c>
      <c r="E2" s="5">
        <f>C2-D2</f>
        <v>154756.62961923869</v>
      </c>
      <c r="F2" s="6">
        <f>IFERROR(E2/D2, 0)</f>
        <v>0</v>
      </c>
      <c r="G2" s="5">
        <f>SUM(G4:G75)</f>
        <v>176337.47</v>
      </c>
      <c r="H2" s="7">
        <f>C2-G2</f>
        <v>-21580.840380761307</v>
      </c>
      <c r="I2" s="6">
        <f>IFERROR(H2/G2, 0)</f>
        <v>-0.12238374737236112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SUM(Oct!C4, Nov!C4, Dec!C4)</f>
        <v>154756.62961923869</v>
      </c>
      <c r="D4" s="12">
        <f>SUM(Oct!D4, Nov!D4, Dec!D4)</f>
        <v>0</v>
      </c>
      <c r="E4" s="12">
        <f>IF(AND(ISNUMBER(C4),ISNUMBER(D4)), C4-D4, "")</f>
        <v>154756.62961923869</v>
      </c>
      <c r="F4" s="13" t="str">
        <f>IFERROR(E4/D4, "")</f>
        <v/>
      </c>
      <c r="G4" s="14">
        <f>SUM(Oct!G4,Nov!G4,Dec!G4)</f>
        <v>176337.47</v>
      </c>
      <c r="H4" s="14">
        <f>SUM(Oct!H4, Nov!H4, Dec!H4)</f>
        <v>-21580.840380761299</v>
      </c>
      <c r="I4" s="15">
        <f>IFERROR(H4/G4, "")</f>
        <v>-0.12238374737236107</v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SUM(C4:C74)</f>
        <v>22388.470232435498</v>
      </c>
      <c r="D2" s="5">
        <f>SUM(D4:D74)</f>
        <v>0</v>
      </c>
      <c r="E2" s="5">
        <f>C2-D2</f>
        <v>22388.470232435498</v>
      </c>
      <c r="F2" s="6">
        <f>IFERROR(E2/D2, 0)</f>
        <v>0</v>
      </c>
      <c r="G2" s="5">
        <f>SUM(G4:G74)</f>
        <v>57340</v>
      </c>
      <c r="H2" s="7">
        <f>C2-G2</f>
        <v>-34951.529767564498</v>
      </c>
      <c r="I2" s="6">
        <f>IFERROR(H2/G2, 0)</f>
        <v>-0.6095488274775811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46">
        <v>22388.470232435498</v>
      </c>
      <c r="D4" s="12">
        <v>0</v>
      </c>
      <c r="E4" s="12">
        <f>IF(AND(ISNUMBER(C4),ISNUMBER(D4)), C4-D4, "")</f>
        <v>22388.470232435498</v>
      </c>
      <c r="F4" s="39" t="str">
        <f>IFERROR(E4/D4, "")</f>
        <v/>
      </c>
      <c r="G4" s="47">
        <v>57340</v>
      </c>
      <c r="H4" s="14">
        <f>IF(AND(ISNUMBER(C4),ISNUMBER(G4)), C4-G4, "")</f>
        <v>-34951.529767564498</v>
      </c>
      <c r="I4" s="15">
        <f>IFERROR(H4/G4, "")</f>
        <v>-0.6095488274775811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8" sqref="J8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43907.63</v>
      </c>
      <c r="D2" s="5">
        <f>SUM(D4:D75)</f>
        <v>0</v>
      </c>
      <c r="E2" s="5">
        <f>C2-D2</f>
        <v>43907.63</v>
      </c>
      <c r="F2" s="6">
        <f>IFERROR(E2/D2, 0)</f>
        <v>0</v>
      </c>
      <c r="G2" s="5">
        <f>SUM(G4:G75)</f>
        <v>73689.024999999994</v>
      </c>
      <c r="H2" s="7">
        <f>C2-G2</f>
        <v>-29781.394999999997</v>
      </c>
      <c r="I2" s="6">
        <f>IFERROR(H2/G2, 0)</f>
        <v>-0.40414966814936143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23">
        <v>43907.63</v>
      </c>
      <c r="D4" s="12">
        <v>0</v>
      </c>
      <c r="E4" s="12">
        <f>IF(AND(ISNUMBER(C4),ISNUMBER(D4)), C4-D4, "")</f>
        <v>43907.63</v>
      </c>
      <c r="F4" s="13" t="str">
        <f>IFERROR(E4/D4, "")</f>
        <v/>
      </c>
      <c r="G4" s="14">
        <v>73689.024999999994</v>
      </c>
      <c r="H4" s="14">
        <f>IF(AND(ISNUMBER(C4),ISNUMBER(G4)), C4-G4, "")</f>
        <v>-29781.394999999997</v>
      </c>
      <c r="I4" s="15">
        <f>IFERROR(H4/G4, "")</f>
        <v>-0.40414966814936143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workbookViewId="0">
      <pane xSplit="2" ySplit="3" topLeftCell="C4" activePane="bottomRight" state="frozen"/>
      <selection pane="bottomRight" activeCell="G18" sqref="G18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93147.42</v>
      </c>
      <c r="D2" s="5">
        <f>SUM(D4:D75)</f>
        <v>0</v>
      </c>
      <c r="E2" s="5">
        <f>C2-D2</f>
        <v>93147.42</v>
      </c>
      <c r="F2" s="6">
        <f>IFERROR(E2/D2, 0)</f>
        <v>0</v>
      </c>
      <c r="G2" s="5">
        <f>SUM(G4:G75)</f>
        <v>105778.788</v>
      </c>
      <c r="H2" s="7">
        <f>C2-G2</f>
        <v>-12631.368000000002</v>
      </c>
      <c r="I2" s="6">
        <f>IFERROR(H2/G2, 0)</f>
        <v>-0.11941305283248284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93147.42</v>
      </c>
      <c r="D4" s="12">
        <v>0</v>
      </c>
      <c r="E4" s="12">
        <f>IF(AND(ISNUMBER(C4),ISNUMBER(D4)), C4-D4, "")</f>
        <v>93147.42</v>
      </c>
      <c r="F4" s="13" t="str">
        <f>IFERROR(E4/D4, "")</f>
        <v/>
      </c>
      <c r="G4" s="14">
        <v>105778.788</v>
      </c>
      <c r="H4" s="14">
        <f>IF(AND(ISNUMBER(C4),ISNUMBER(G4)), C4-G4, "")</f>
        <v>-12631.368000000002</v>
      </c>
      <c r="I4" s="15">
        <f>IFERROR(H4/G4, "")</f>
        <v>-0.11941305283248284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zoomScale="90" zoomScaleNormal="90" workbookViewId="0">
      <pane xSplit="2" ySplit="3" topLeftCell="F4" activePane="bottomRight" state="frozen"/>
      <selection pane="bottomRight" activeCell="J9" sqref="J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26</v>
      </c>
      <c r="E1" s="51"/>
      <c r="F1" s="51"/>
      <c r="G1" s="49" t="s">
        <v>27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3262.181</v>
      </c>
      <c r="D2" s="5">
        <f>SUM(D4:D75)</f>
        <v>0</v>
      </c>
      <c r="E2" s="5">
        <f>C2-D2</f>
        <v>3262.181</v>
      </c>
      <c r="F2" s="6">
        <f>IFERROR(E2/D2, 0)</f>
        <v>0</v>
      </c>
      <c r="G2" s="5">
        <f>SUM(G4:G75)</f>
        <v>129887.5</v>
      </c>
      <c r="H2" s="7">
        <f>C2-G2</f>
        <v>-126625.319</v>
      </c>
      <c r="I2" s="6">
        <f>IFERROR(H2/G2, 0)</f>
        <v>-0.97488456548936586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3262.181</v>
      </c>
      <c r="D4" s="12">
        <v>0</v>
      </c>
      <c r="E4" s="12">
        <f>IF(AND(ISNUMBER(C4),ISNUMBER(D4)), C4-D4, "")</f>
        <v>3262.181</v>
      </c>
      <c r="F4" s="13" t="str">
        <f>IFERROR(E4/D4, "")</f>
        <v/>
      </c>
      <c r="G4" s="14">
        <v>129887.5</v>
      </c>
      <c r="H4" s="14">
        <f>IF(AND(ISNUMBER(C4),ISNUMBER(G4)), C4-G4, "")</f>
        <v>-126625.319</v>
      </c>
      <c r="I4" s="15">
        <f>IFERROR(H4/G4, "")</f>
        <v>-0.97488456548936586</v>
      </c>
      <c r="J4" s="37" t="s">
        <v>28</v>
      </c>
      <c r="K4" s="37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workbookViewId="0">
      <pane xSplit="2" ySplit="3" topLeftCell="G4" activePane="bottomRight" state="frozen"/>
      <selection pane="bottomRight" activeCell="J21" sqref="J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30</v>
      </c>
      <c r="E1" s="51"/>
      <c r="F1" s="51"/>
      <c r="G1" s="49" t="s">
        <v>31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126239.34</v>
      </c>
      <c r="D2" s="5">
        <f>SUM(D4:D75)</f>
        <v>0</v>
      </c>
      <c r="E2" s="5">
        <f>C2-D2</f>
        <v>126239.34</v>
      </c>
      <c r="F2" s="6">
        <f>IFERROR(E2/D2, 0)</f>
        <v>0</v>
      </c>
      <c r="G2" s="5">
        <f>SUM(G4:G75)</f>
        <v>146109.4</v>
      </c>
      <c r="H2" s="7">
        <f>C2-G2</f>
        <v>-19870.059999999998</v>
      </c>
      <c r="I2" s="6">
        <f>IFERROR(H2/G2, 0)</f>
        <v>-0.13599439871767319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126239.34</v>
      </c>
      <c r="D4" s="12">
        <v>0</v>
      </c>
      <c r="E4" s="12">
        <f>IF(AND(ISNUMBER(C4),ISNUMBER(D4)), C4-D4, "")</f>
        <v>126239.34</v>
      </c>
      <c r="F4" s="13" t="str">
        <f>IFERROR(E4/D4, "")</f>
        <v/>
      </c>
      <c r="G4" s="14">
        <v>146109.4</v>
      </c>
      <c r="H4" s="14">
        <f>IF(AND(ISNUMBER(C4),ISNUMBER(G4)), C4-G4, "")</f>
        <v>-19870.059999999998</v>
      </c>
      <c r="I4" s="15">
        <f>IFERROR(H4/G4, "")</f>
        <v>-0.13599439871767319</v>
      </c>
      <c r="J4" s="37" t="s">
        <v>32</v>
      </c>
      <c r="K4" s="37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workbookViewId="0">
      <pane xSplit="2" ySplit="3" topLeftCell="E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34</v>
      </c>
      <c r="E1" s="51"/>
      <c r="F1" s="51"/>
      <c r="G1" s="49" t="s">
        <v>35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139186.01999999999</v>
      </c>
      <c r="D2" s="5">
        <f>SUM(D4:D75)</f>
        <v>0</v>
      </c>
      <c r="E2" s="5">
        <f>C2-D2</f>
        <v>139186.01999999999</v>
      </c>
      <c r="F2" s="6">
        <f>IFERROR(E2/D2, 0)</f>
        <v>0</v>
      </c>
      <c r="G2" s="5">
        <f>SUM(G4:G75)</f>
        <v>156179.4</v>
      </c>
      <c r="H2" s="7">
        <f>C2-G2</f>
        <v>-16993.380000000005</v>
      </c>
      <c r="I2" s="6">
        <f>IFERROR(H2/G2, 0)</f>
        <v>-0.10880679526237139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139186.01999999999</v>
      </c>
      <c r="D4" s="12">
        <v>0</v>
      </c>
      <c r="E4" s="12">
        <f>IF(AND(ISNUMBER(C4),ISNUMBER(D4)), C4-D4, "")</f>
        <v>139186.01999999999</v>
      </c>
      <c r="F4" s="13" t="str">
        <f>IFERROR(E4/D4, "")</f>
        <v/>
      </c>
      <c r="G4" s="14">
        <v>156179.4</v>
      </c>
      <c r="H4" s="14">
        <f>IF(AND(ISNUMBER(C4),ISNUMBER(G4)), C4-G4, "")</f>
        <v>-16993.380000000005</v>
      </c>
      <c r="I4" s="15">
        <f>IFERROR(H4/G4, "")</f>
        <v>-0.10880679526237139</v>
      </c>
      <c r="J4" s="37" t="s">
        <v>36</v>
      </c>
      <c r="K4" s="37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124851.119577363</v>
      </c>
      <c r="D2" s="5">
        <f>SUM(D4:D75)</f>
        <v>0</v>
      </c>
      <c r="E2" s="5">
        <f>C2-D2</f>
        <v>124851.119577363</v>
      </c>
      <c r="F2" s="6">
        <f>IFERROR(E2/D2, 0)</f>
        <v>0</v>
      </c>
      <c r="G2" s="5">
        <f>SUM(G4:G75)</f>
        <v>153133.6</v>
      </c>
      <c r="H2" s="7">
        <f>C2-G2</f>
        <v>-28282.480422637003</v>
      </c>
      <c r="I2" s="6">
        <f>IFERROR(H2/G2, 0)</f>
        <v>-0.18469154008419447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15.1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124851.119577363</v>
      </c>
      <c r="D4" s="12">
        <v>0</v>
      </c>
      <c r="E4" s="12">
        <f>IF(AND(ISNUMBER(C4),ISNUMBER(D4)), C4-D4, "")</f>
        <v>124851.119577363</v>
      </c>
      <c r="F4" s="13" t="str">
        <f>IFERROR(E4/D4, "")</f>
        <v/>
      </c>
      <c r="G4" s="14">
        <v>153133.6</v>
      </c>
      <c r="H4" s="14">
        <f>IF(AND(ISNUMBER(C4),ISNUMBER(G4)), C4-G4, "")</f>
        <v>-28282.480422637003</v>
      </c>
      <c r="I4" s="15">
        <f>IFERROR(H4/G4, "")</f>
        <v>-0.18469154008419447</v>
      </c>
      <c r="J4" s="48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105762.240318254</v>
      </c>
      <c r="D2" s="5">
        <f>SUM(D4:D75)</f>
        <v>0</v>
      </c>
      <c r="E2" s="5">
        <f>C2-D2</f>
        <v>105762.240318254</v>
      </c>
      <c r="F2" s="6">
        <f>IFERROR(E2/D2, 0)</f>
        <v>0</v>
      </c>
      <c r="G2" s="5">
        <f>SUM(G4:G75)</f>
        <v>137358.20000000001</v>
      </c>
      <c r="H2" s="7">
        <f>C2-G2</f>
        <v>-31595.959681746011</v>
      </c>
      <c r="I2" s="6">
        <f>IFERROR(H2/G2, 0)</f>
        <v>-0.23002601724357197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105762.240318254</v>
      </c>
      <c r="D4" s="12">
        <v>0</v>
      </c>
      <c r="E4" s="12">
        <f>IF(AND(ISNUMBER(C4),ISNUMBER(D4)), C4-D4, "")</f>
        <v>105762.240318254</v>
      </c>
      <c r="F4" s="13" t="str">
        <f>IFERROR(E4/D4, "")</f>
        <v/>
      </c>
      <c r="G4" s="14">
        <v>137358.20000000001</v>
      </c>
      <c r="H4" s="14">
        <f>IF(AND(ISNUMBER(C4),ISNUMBER(G4)), C4-G4, "")</f>
        <v>-31595.959681746011</v>
      </c>
      <c r="I4" s="15">
        <f>IFERROR(H4/G4, "")</f>
        <v>-0.23002601724357197</v>
      </c>
      <c r="J4" s="37" t="s">
        <v>44</v>
      </c>
      <c r="K4" s="37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E4" activePane="bottomRight" state="frozen"/>
      <selection pane="bottomRight" activeCell="J4" sqref="J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90746.890075084797</v>
      </c>
      <c r="D2" s="5">
        <f>SUM(D4:D75)</f>
        <v>0</v>
      </c>
      <c r="E2" s="5">
        <f>C2-D2</f>
        <v>90746.890075084797</v>
      </c>
      <c r="F2" s="6">
        <f>IFERROR(E2/D2, 0)</f>
        <v>0</v>
      </c>
      <c r="G2" s="5">
        <f>SUM(G4:G75)</f>
        <v>107158.8</v>
      </c>
      <c r="H2" s="7">
        <f>C2-G2</f>
        <v>-16411.909924915206</v>
      </c>
      <c r="I2" s="6">
        <f>IFERROR(H2/G2, 0)</f>
        <v>-0.15315503649644457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90746.890075084797</v>
      </c>
      <c r="D4" s="12">
        <v>0</v>
      </c>
      <c r="E4" s="12">
        <f>IF(AND(ISNUMBER(C4),ISNUMBER(D4)), C4-D4, "")</f>
        <v>90746.890075084797</v>
      </c>
      <c r="F4" s="13" t="str">
        <f>IFERROR(E4/D4, "")</f>
        <v/>
      </c>
      <c r="G4" s="14">
        <v>107158.8</v>
      </c>
      <c r="H4" s="14">
        <f>IF(AND(ISNUMBER(C4),ISNUMBER(G4)), C4-G4, "")</f>
        <v>-16411.909924915206</v>
      </c>
      <c r="I4" s="15">
        <f>IFERROR(H4/G4, "")</f>
        <v>-0.15315503649644457</v>
      </c>
      <c r="J4" s="37" t="s">
        <v>44</v>
      </c>
      <c r="K4" s="37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76917.989822279706</v>
      </c>
      <c r="D2" s="5">
        <f>SUM(D4:D75)</f>
        <v>0</v>
      </c>
      <c r="E2" s="5">
        <f>C2-D2</f>
        <v>76917.989822279706</v>
      </c>
      <c r="F2" s="6">
        <f>IFERROR(E2/D2, 0)</f>
        <v>0</v>
      </c>
      <c r="G2" s="5">
        <f>SUM(G4:G75)</f>
        <v>79735.16</v>
      </c>
      <c r="H2" s="7">
        <f>C2-G2</f>
        <v>-2817.1701777202979</v>
      </c>
      <c r="I2" s="6">
        <f>IFERROR(H2/G2, 0)</f>
        <v>-3.5331592458337051E-2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76917.989822279706</v>
      </c>
      <c r="D4" s="12">
        <v>0</v>
      </c>
      <c r="E4" s="12">
        <f>IF(AND(ISNUMBER(C4),ISNUMBER(D4)), C4-D4, "")</f>
        <v>76917.989822279706</v>
      </c>
      <c r="F4" s="13" t="str">
        <f>IFERROR(E4/D4, "")</f>
        <v/>
      </c>
      <c r="G4" s="14">
        <v>79735.16</v>
      </c>
      <c r="H4" s="14">
        <f>IF(AND(ISNUMBER(C4),ISNUMBER(G4)), C4-G4, "")</f>
        <v>-2817.1701777202979</v>
      </c>
      <c r="I4" s="15">
        <f>IFERROR(H4/G4, "")</f>
        <v>-3.5331592458337051E-2</v>
      </c>
      <c r="J4" s="37" t="s">
        <v>50</v>
      </c>
      <c r="K4" s="37" t="s">
        <v>51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C4" sqref="C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52</v>
      </c>
      <c r="E1" s="51"/>
      <c r="F1" s="51"/>
      <c r="G1" s="49" t="s">
        <v>53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41939.109796958997</v>
      </c>
      <c r="D2" s="5">
        <f>SUM(D4:D75)</f>
        <v>0</v>
      </c>
      <c r="E2" s="5">
        <f>C2-D2</f>
        <v>41939.109796958997</v>
      </c>
      <c r="F2" s="6">
        <f>IFERROR(E2/D2, 0)</f>
        <v>0</v>
      </c>
      <c r="G2" s="5">
        <f>SUM(G4:G75)</f>
        <v>49932.84</v>
      </c>
      <c r="H2" s="7">
        <f>C2-G2</f>
        <v>-7993.7302030409992</v>
      </c>
      <c r="I2" s="6">
        <f>IFERROR(H2/G2, 0)</f>
        <v>-0.16008963646051375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41939.109796958997</v>
      </c>
      <c r="D4" s="12">
        <v>0</v>
      </c>
      <c r="E4" s="12">
        <f>IF(AND(ISNUMBER(C4),ISNUMBER(D4)), C4-D4, "")</f>
        <v>41939.109796958997</v>
      </c>
      <c r="F4" s="13" t="str">
        <f>IFERROR(E4/D4, "")</f>
        <v/>
      </c>
      <c r="G4" s="14">
        <v>49932.84</v>
      </c>
      <c r="H4" s="14">
        <f>IF(AND(ISNUMBER(C4),ISNUMBER(G4)), C4-G4, "")</f>
        <v>-7993.7302030409992</v>
      </c>
      <c r="I4" s="15">
        <f>IFERROR(H4/G4, "")</f>
        <v>-0.16008963646051375</v>
      </c>
      <c r="J4" s="37" t="s">
        <v>54</v>
      </c>
      <c r="K4" s="37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tabSelected="1" workbookViewId="0">
      <pane xSplit="2" ySplit="3" topLeftCell="D4" activePane="bottomRight" state="frozen"/>
      <selection pane="bottomRight" activeCell="J4" sqref="J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Creed Monarch - Roof</v>
      </c>
      <c r="B1" s="50"/>
      <c r="C1" s="50"/>
      <c r="D1" s="51" t="s">
        <v>56</v>
      </c>
      <c r="E1" s="51"/>
      <c r="F1" s="51"/>
      <c r="G1" s="49" t="s">
        <v>57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SUM(C4:C75)</f>
        <v>35899.53</v>
      </c>
      <c r="D2" s="5">
        <f>SUM(D4:D75)</f>
        <v>0</v>
      </c>
      <c r="E2" s="5">
        <f>C2-D2</f>
        <v>35899.53</v>
      </c>
      <c r="F2" s="6">
        <f>IFERROR(E2/D2, 0)</f>
        <v>0</v>
      </c>
      <c r="G2" s="5">
        <f>SUM(G4:G75)</f>
        <v>46669.47</v>
      </c>
      <c r="H2" s="7">
        <f>C2-G2</f>
        <v>-10769.940000000002</v>
      </c>
      <c r="I2" s="6">
        <f>IFERROR(H2/G2, 0)</f>
        <v>-0.23077056585386554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9" customHeight="1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35899.53</v>
      </c>
      <c r="D4" s="12">
        <v>0</v>
      </c>
      <c r="E4" s="12">
        <f>IF(AND(ISNUMBER(C4),ISNUMBER(D4)), C4-D4, "")</f>
        <v>35899.53</v>
      </c>
      <c r="F4" s="13" t="str">
        <f>IFERROR(E4/D4, "")</f>
        <v/>
      </c>
      <c r="G4" s="14">
        <v>46669.47</v>
      </c>
      <c r="H4" s="14">
        <f>IF(AND(ISNUMBER(C4),ISNUMBER(G4)), C4-G4, "")</f>
        <v>-10769.940000000002</v>
      </c>
      <c r="I4" s="15">
        <f>IFERROR(H4/G4, "")</f>
        <v>-0.23077056585386554</v>
      </c>
      <c r="J4" s="37" t="s">
        <v>58</v>
      </c>
      <c r="K4" s="37" t="s">
        <v>59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60</v>
      </c>
      <c r="B1" t="s">
        <v>61</v>
      </c>
    </row>
    <row r="3" spans="1:12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12" ht="14.45">
      <c r="A4" s="44" t="s">
        <v>61</v>
      </c>
      <c r="B4" t="s">
        <v>65</v>
      </c>
      <c r="C4" s="42" t="s">
        <v>66</v>
      </c>
      <c r="D4" s="41" t="s">
        <v>67</v>
      </c>
      <c r="E4" t="s">
        <v>68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2025-03-18T08:21:35Z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