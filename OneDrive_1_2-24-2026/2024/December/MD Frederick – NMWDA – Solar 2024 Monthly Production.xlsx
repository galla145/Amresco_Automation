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51" documentId="13_ncr:1_{CAA71F12-2BF9-4804-A1DD-40A5E6F75C04}" xr6:coauthVersionLast="47" xr6:coauthVersionMax="47" xr10:uidLastSave="{B890B456-4589-4CB3-AA22-22CB16CA31AE}"/>
  <bookViews>
    <workbookView xWindow="-108" yWindow="-108" windowWidth="23256" windowHeight="13176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 refMode="R1C1" iterateCount="1" calcOnSave="0" concurrentCalc="0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4" l="1"/>
  <c r="G4" i="18"/>
  <c r="G4" i="29"/>
  <c r="G4" i="30"/>
  <c r="E4" i="33"/>
  <c r="H5" i="33"/>
  <c r="I5" i="33"/>
  <c r="E5" i="33"/>
  <c r="F5" i="33"/>
  <c r="H5" i="31"/>
  <c r="I5" i="31"/>
  <c r="E5" i="31"/>
  <c r="F5" i="31"/>
  <c r="H5" i="27"/>
  <c r="I5" i="27"/>
  <c r="E5" i="27"/>
  <c r="F5" i="27"/>
  <c r="H5" i="26"/>
  <c r="I5" i="26"/>
  <c r="E5" i="26"/>
  <c r="F5" i="26"/>
  <c r="H5" i="19"/>
  <c r="I5" i="19"/>
  <c r="E5" i="19"/>
  <c r="F5" i="19"/>
  <c r="H5" i="20"/>
  <c r="I5" i="20"/>
  <c r="E5" i="20"/>
  <c r="F5" i="20"/>
  <c r="H5" i="21"/>
  <c r="I5" i="21"/>
  <c r="E5" i="21"/>
  <c r="F5" i="21"/>
  <c r="H5" i="4"/>
  <c r="I5" i="4"/>
  <c r="E5" i="4"/>
  <c r="F5" i="4"/>
  <c r="E5" i="3"/>
  <c r="F5" i="3"/>
  <c r="H5" i="3"/>
  <c r="I5" i="3"/>
  <c r="E4" i="72"/>
  <c r="F4" i="72"/>
  <c r="B4" i="33" a="1"/>
  <c r="B4" i="33"/>
  <c r="A4" i="33" a="1"/>
  <c r="A4" i="33"/>
  <c r="B4" i="32" a="1"/>
  <c r="B4" i="32"/>
  <c r="A4" i="32" a="1"/>
  <c r="A4" i="32"/>
  <c r="B4" i="31" a="1"/>
  <c r="B4" i="31"/>
  <c r="A4" i="31" a="1"/>
  <c r="A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B4" i="26"/>
  <c r="A4" i="26" a="1"/>
  <c r="A4" i="26"/>
  <c r="A4" i="72" a="1"/>
  <c r="A4" i="72"/>
  <c r="A4" i="30" a="1"/>
  <c r="A4" i="30"/>
  <c r="B4" i="72" a="1"/>
  <c r="B4" i="72"/>
  <c r="E4" i="3"/>
  <c r="F4" i="3"/>
  <c r="H4" i="3"/>
  <c r="I4" i="3"/>
  <c r="G4" i="1"/>
  <c r="B4" i="34" a="1"/>
  <c r="B4" i="34"/>
  <c r="A4" i="34" a="1"/>
  <c r="A4" i="34"/>
  <c r="G2" i="34"/>
  <c r="A1" i="34" a="1"/>
  <c r="A1" i="34"/>
  <c r="D4" i="30"/>
  <c r="D2" i="30"/>
  <c r="C4" i="30"/>
  <c r="D4" i="29"/>
  <c r="D2" i="29"/>
  <c r="C4" i="29"/>
  <c r="D4" i="18"/>
  <c r="D2" i="18"/>
  <c r="C4" i="18"/>
  <c r="B4" i="30" a="1"/>
  <c r="B4" i="30"/>
  <c r="G2" i="30"/>
  <c r="A1" i="30" a="1"/>
  <c r="A1" i="30"/>
  <c r="B4" i="29" a="1"/>
  <c r="B4" i="29"/>
  <c r="A4" i="29" a="1"/>
  <c r="A4" i="29"/>
  <c r="G2" i="29"/>
  <c r="A1" i="29" a="1"/>
  <c r="A1" i="29"/>
  <c r="B4" i="18" a="1"/>
  <c r="B4" i="18"/>
  <c r="A4" i="18" a="1"/>
  <c r="A4" i="18"/>
  <c r="G2" i="18"/>
  <c r="A1" i="18" a="1"/>
  <c r="A1" i="18"/>
  <c r="C4" i="1"/>
  <c r="D4" i="1"/>
  <c r="B4" i="1" a="1"/>
  <c r="B4" i="1"/>
  <c r="A4" i="1" a="1"/>
  <c r="A4" i="1"/>
  <c r="A1" i="1" a="1"/>
  <c r="A1" i="1"/>
  <c r="H4" i="33"/>
  <c r="I4" i="33" s="1"/>
  <c r="F4" i="33"/>
  <c r="G2" i="33"/>
  <c r="D2" i="33"/>
  <c r="C2" i="33"/>
  <c r="A1" i="33" a="1"/>
  <c r="A1" i="33"/>
  <c r="H4" i="32"/>
  <c r="I4" i="32"/>
  <c r="E4" i="32"/>
  <c r="F4" i="32"/>
  <c r="G2" i="32"/>
  <c r="D2" i="32"/>
  <c r="C2" i="32"/>
  <c r="A1" i="32" a="1"/>
  <c r="A1" i="32"/>
  <c r="H4" i="31"/>
  <c r="I4" i="31"/>
  <c r="E4" i="31"/>
  <c r="F4" i="31"/>
  <c r="G2" i="31"/>
  <c r="D2" i="31"/>
  <c r="C2" i="31"/>
  <c r="A1" i="31" a="1"/>
  <c r="A1" i="31"/>
  <c r="H4" i="28"/>
  <c r="I4" i="28"/>
  <c r="E4" i="28"/>
  <c r="F4" i="28"/>
  <c r="B4" i="28" a="1"/>
  <c r="B4" i="28"/>
  <c r="A4" i="28" a="1"/>
  <c r="A4" i="28"/>
  <c r="G2" i="28"/>
  <c r="D2" i="28"/>
  <c r="C2" i="28"/>
  <c r="A1" i="28" a="1"/>
  <c r="A1" i="28"/>
  <c r="H4" i="27"/>
  <c r="I4" i="27"/>
  <c r="E4" i="27"/>
  <c r="F4" i="27"/>
  <c r="G2" i="27"/>
  <c r="D2" i="27"/>
  <c r="C2" i="27"/>
  <c r="A1" i="27" a="1"/>
  <c r="A1" i="27"/>
  <c r="H4" i="26"/>
  <c r="I4" i="26"/>
  <c r="E4" i="26"/>
  <c r="F4" i="26"/>
  <c r="G2" i="26"/>
  <c r="D2" i="26"/>
  <c r="C2" i="26"/>
  <c r="A1" i="26" a="1"/>
  <c r="A1" i="26"/>
  <c r="H4" i="19"/>
  <c r="I4" i="19"/>
  <c r="E4" i="19"/>
  <c r="F4" i="19"/>
  <c r="G2" i="19"/>
  <c r="D2" i="19"/>
  <c r="C2" i="19"/>
  <c r="A1" i="19" a="1"/>
  <c r="A1" i="19"/>
  <c r="H4" i="20"/>
  <c r="I4" i="20"/>
  <c r="E4" i="20"/>
  <c r="F4" i="20"/>
  <c r="G2" i="20"/>
  <c r="D2" i="20"/>
  <c r="C2" i="20"/>
  <c r="A1" i="20" a="1"/>
  <c r="A1" i="20"/>
  <c r="H4" i="21"/>
  <c r="I4" i="21"/>
  <c r="E4" i="21"/>
  <c r="F4" i="21"/>
  <c r="G2" i="21"/>
  <c r="D2" i="21"/>
  <c r="C2" i="21"/>
  <c r="A1" i="21" a="1"/>
  <c r="A1" i="21"/>
  <c r="H4" i="4"/>
  <c r="I4" i="4"/>
  <c r="E4" i="4"/>
  <c r="F4" i="4"/>
  <c r="G2" i="4"/>
  <c r="D2" i="4"/>
  <c r="C2" i="4"/>
  <c r="A1" i="4" a="1"/>
  <c r="A1" i="4"/>
  <c r="G2" i="3"/>
  <c r="D2" i="3"/>
  <c r="C2" i="3"/>
  <c r="J2" i="3"/>
  <c r="A1" i="3" a="1"/>
  <c r="A1" i="3"/>
  <c r="H4" i="72"/>
  <c r="I4" i="72"/>
  <c r="G2" i="72"/>
  <c r="D2" i="72"/>
  <c r="C2" i="72"/>
  <c r="J2" i="72"/>
  <c r="A1" i="72" a="1"/>
  <c r="A1" i="72"/>
  <c r="E4" i="30"/>
  <c r="F4" i="30"/>
  <c r="D4" i="34"/>
  <c r="D2" i="34"/>
  <c r="E4" i="18"/>
  <c r="F4" i="18"/>
  <c r="H2" i="33"/>
  <c r="I2" i="33"/>
  <c r="J2" i="33"/>
  <c r="H2" i="32"/>
  <c r="I2" i="32"/>
  <c r="J2" i="32"/>
  <c r="H2" i="31"/>
  <c r="I2" i="31"/>
  <c r="J2" i="31"/>
  <c r="H2" i="28"/>
  <c r="I2" i="28"/>
  <c r="J2" i="28"/>
  <c r="E2" i="28"/>
  <c r="F2" i="28"/>
  <c r="H2" i="27"/>
  <c r="I2" i="27"/>
  <c r="J2" i="27"/>
  <c r="H2" i="26"/>
  <c r="I2" i="26"/>
  <c r="J2" i="26"/>
  <c r="H2" i="19"/>
  <c r="I2" i="19"/>
  <c r="J2" i="19"/>
  <c r="E2" i="20"/>
  <c r="F2" i="20"/>
  <c r="J2" i="20"/>
  <c r="H2" i="20"/>
  <c r="I2" i="20"/>
  <c r="H2" i="21"/>
  <c r="I2" i="21"/>
  <c r="J2" i="21"/>
  <c r="H2" i="4"/>
  <c r="I2" i="4"/>
  <c r="J2" i="4"/>
  <c r="H2" i="3"/>
  <c r="I2" i="3"/>
  <c r="G2" i="1"/>
  <c r="H4" i="30"/>
  <c r="I4" i="30"/>
  <c r="H4" i="29"/>
  <c r="I4" i="29"/>
  <c r="H4" i="18"/>
  <c r="I4" i="18"/>
  <c r="C4" i="34"/>
  <c r="E4" i="34"/>
  <c r="F4" i="34"/>
  <c r="C2" i="29"/>
  <c r="E2" i="29"/>
  <c r="F2" i="29"/>
  <c r="C2" i="30"/>
  <c r="E4" i="29"/>
  <c r="F4" i="29"/>
  <c r="C2" i="18"/>
  <c r="H4" i="1"/>
  <c r="C2" i="1"/>
  <c r="E2" i="3"/>
  <c r="F2" i="3"/>
  <c r="E4" i="1"/>
  <c r="F4" i="1"/>
  <c r="D2" i="1"/>
  <c r="E2" i="33"/>
  <c r="F2" i="33"/>
  <c r="E2" i="32"/>
  <c r="F2" i="32"/>
  <c r="E2" i="31"/>
  <c r="F2" i="31"/>
  <c r="E2" i="27"/>
  <c r="F2" i="27"/>
  <c r="E2" i="26"/>
  <c r="F2" i="26"/>
  <c r="E2" i="19"/>
  <c r="F2" i="19"/>
  <c r="E2" i="21"/>
  <c r="F2" i="21"/>
  <c r="E2" i="4"/>
  <c r="F2" i="4"/>
  <c r="H2" i="72"/>
  <c r="H2" i="1"/>
  <c r="I2" i="1"/>
  <c r="C2" i="34"/>
  <c r="H2" i="34"/>
  <c r="I2" i="34"/>
  <c r="I4" i="1"/>
  <c r="H4" i="34"/>
  <c r="I4" i="34"/>
  <c r="H2" i="29"/>
  <c r="I2" i="29"/>
  <c r="H2" i="30"/>
  <c r="I2" i="30"/>
  <c r="E2" i="30"/>
  <c r="F2" i="30"/>
  <c r="H2" i="18"/>
  <c r="I2" i="18"/>
  <c r="E2" i="18"/>
  <c r="F2" i="18"/>
  <c r="E2" i="1"/>
  <c r="F2" i="1"/>
  <c r="I2" i="72"/>
  <c r="E2" i="72"/>
  <c r="F2" i="72"/>
  <c r="E2" i="34"/>
  <c r="F2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<sst xmlns="http://schemas.openxmlformats.org/spreadsheetml/2006/main" count="263" uniqueCount="76">
  <si>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</si>
  <si>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</si>
  <si>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</si>
  <si>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</si>
  <si>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</si>
  <si>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</si>
  <si>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</si>
  <si>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</si>
  <si>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</si>
  <si>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</si>
  <si>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</si>
  <si>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</si>
  <si>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</si>
  <si>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</si>
  <si>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</si>
  <si>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</si>
  <si>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</si>
  <si>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</si>
  <si>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</si>
  <si>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</si>
  <si>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</si>
  <si>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</si>
  <si>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5 was offline on 01/13 and back online at 15:00 on 01/13
2. Inverter 14 was offline from 01/24 to 01/31
3. Site was offline from 01/22 to 01/24</t>
  </si>
  <si>
    <t>1. SR078692
2. SR080505
3. SR080380</t>
  </si>
  <si>
    <t>February Actual v. Expected</t>
  </si>
  <si>
    <t>February Actual v. Forecasted</t>
  </si>
  <si>
    <t>1. Inverter 14 is offline and reporting Ground Fault Isolation Resistance Low on 02/22 and back online on 02/23
2. Inverter 5, 8, 16, 13 are being RMA'd.</t>
  </si>
  <si>
    <t xml:space="preserve">1. SR081194 
2. SR081343
</t>
  </si>
  <si>
    <t>March Actual v. Expected</t>
  </si>
  <si>
    <t>March Actual v. Forecasted</t>
  </si>
  <si>
    <t>1. Inverter 5, 8, 16, 13 are RMA'd.</t>
  </si>
  <si>
    <t>1. SR081343</t>
  </si>
  <si>
    <t>April Actual v. Expected</t>
  </si>
  <si>
    <t>April Actual v. Forecasted</t>
  </si>
  <si>
    <t>1. Inverter 5 was replaced on 04/01, Inverters  8, 13 were replaced on 04/05 and inverter 16 was replaced on 04/09
2. Inverters 6 and 8 started late on 04/14,04/20,04/28</t>
  </si>
  <si>
    <t>1. SR081343
2. SR083414</t>
  </si>
  <si>
    <t>May Actual v. Expected</t>
  </si>
  <si>
    <t>May Actual v. Forecasted</t>
  </si>
  <si>
    <t>1. inverters 2, 5 to 9 &amp; 12,13, 14 started late on 05/12
2. Inverters 6, 7, 8, 12 started late on 05/13</t>
  </si>
  <si>
    <t>1. 	SR084596
2. SR083414</t>
  </si>
  <si>
    <t>June Actual v. Expected</t>
  </si>
  <si>
    <t>June Actual v. Forecasted</t>
  </si>
  <si>
    <t>1. Inverter 8 again tripped offline on 06/08 and back online on 06/10. Inverter 8 tripped offline on 06/24 and back online on 06/25. Inverter 8 again tripped offline on 06/29 and is still offline. Breaker being replaced
2. Inverter 6 started late on 06/17</t>
  </si>
  <si>
    <t>1. SR086859
2. SR083414</t>
  </si>
  <si>
    <t>July Actual v. Expected</t>
  </si>
  <si>
    <t>July Actual v. Forecasted</t>
  </si>
  <si>
    <t>1. Inverter 8 tripped offline at 13:00 on 07/24 and back online at 16:15 on 07/25.</t>
  </si>
  <si>
    <t>1. SR088134</t>
  </si>
  <si>
    <t>August Actual v. Expected</t>
  </si>
  <si>
    <t>August Actual v. Forecasted</t>
  </si>
  <si>
    <t>1. Inverter 16 tripped offline at 13:30 on 08/05 and back online at 15:00 on 08/06.
2. Inverter 7 is offline from 08/14 and back online at 10:30AM on 08/15
Inverter 7 again offline from 08/18 to 08/22.
3. Inverter 8 is offline from 08/18 to 08/22 and is also being RMA'd.
4. Site is offline at 18:15  on 08/29 and back online at 12:45PM on 08/30.
5. Inverter 3 is offline from 12:45PM on 08/30 and back online at 07:00AM on 08/31.</t>
  </si>
  <si>
    <t>1. SR088666
2. SR089015 &amp; SR089207
3. SR089207
4. SR089738
5. SR089738 &amp; SR089787</t>
  </si>
  <si>
    <t>September Actual v. Expected</t>
  </si>
  <si>
    <t>September Actual v. Forecasted</t>
  </si>
  <si>
    <t>1. Inverter 8 is offline from 09/06 and back online at 16:00 on 09/12.
2. Inverter 14 is underperforming aprroximately 4kW from 09/04 to 09/12.</t>
  </si>
  <si>
    <t>1. SR089207
2. SR089937</t>
  </si>
  <si>
    <t>October Actual v. Expected</t>
  </si>
  <si>
    <t>October Actual v. Forecasted</t>
  </si>
  <si>
    <t xml:space="preserve">1.  Inverter 8 tripped offline at 10:00 on 10/9 and back online on 10/29.
2.  Inverter 1 offline on 10/9 and back online at 13:15 on 10/18.
3. Inverter 3 offline on 10/16 and back online at 11:00 on 10/18.
4. Inverter 5 tripped offline at 12:45 PM on 10/21 and back online at 12:30 on 10/22.
</t>
  </si>
  <si>
    <t>1. SR091971
2. SR091972
3. SR092210
4. SR092398</t>
  </si>
  <si>
    <t>November Actual v. Expected</t>
  </si>
  <si>
    <t>November Actual v. Forecasted</t>
  </si>
  <si>
    <t>1.  Inverter 8 tripped offline at 11:30 on 11/18 to throughout the month.</t>
  </si>
  <si>
    <t>1. SR093381</t>
  </si>
  <si>
    <t>December Actual v. Expected</t>
  </si>
  <si>
    <t>December Actual v. Forecasted</t>
  </si>
  <si>
    <t>1.Inverter 9,12 &amp; 13 are offline on 12/02 and back online on 12/3
2.Inverter 8 is back online on 12/05 at 15:15.
3. Inverters 6,7,12 started late for the production at 15:30 on 12/08
4.Site was offline on 12/10 from 08:30 to 10:45 later inverter 7 started late at 13:15</t>
  </si>
  <si>
    <t>1.SR093751
2.SR093381
3.SR094253
4.SR094301</t>
  </si>
  <si>
    <t>Portfolio:</t>
  </si>
  <si>
    <t>MD: Frederick – NMWDA – Solar</t>
  </si>
  <si>
    <t>Site DAS Name</t>
  </si>
  <si>
    <t>Update</t>
  </si>
  <si>
    <t>DAS</t>
  </si>
  <si>
    <t>Frederick MD - NMWDA</t>
  </si>
  <si>
    <t>MD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</si>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</sst>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34" fillId="40" borderId="0" xfId="0" applyFont="1" applyFill="1" applyAlignment="1">
      <alignment horizontal="center" vertical="center"/>
    </xf>
    <xf numFmtId="49" fontId="30" fillId="38" borderId="12" xfId="2" applyNumberFormat="1" applyFont="1" applyFill="1" applyBorder="1" applyAlignment="1">
      <alignment vertical="top" wrapText="1"/>
    </xf>
    <xf numFmtId="0" fontId="5" fillId="45" borderId="11" xfId="0" applyFont="1" applyFill="1" applyBorder="1" applyAlignment="1">
      <alignment horizontal="center" vertical="center"/>
    </xf>
    <xf numFmtId="164" fontId="28" fillId="44" borderId="12" xfId="1" applyNumberFormat="1" applyFont="1" applyFill="1" applyBorder="1" applyAlignment="1">
      <alignment horizontal="center" vertical="center"/>
    </xf>
    <xf numFmtId="3" fontId="30" fillId="3" borderId="12" xfId="0" applyNumberFormat="1" applyFont="1" applyFill="1" applyBorder="1" applyAlignment="1">
      <alignment horizontal="right" vertical="center"/>
    </xf>
    <xf numFmtId="9" fontId="30" fillId="3" borderId="12" xfId="2" applyFont="1" applyFill="1" applyBorder="1" applyAlignment="1">
      <alignment horizontal="center" vertical="center"/>
    </xf>
    <xf numFmtId="3" fontId="30" fillId="4" borderId="12" xfId="1" applyNumberFormat="1" applyFont="1" applyFill="1" applyBorder="1" applyAlignment="1">
      <alignment vertical="center"/>
    </xf>
    <xf numFmtId="9" fontId="30" fillId="37" borderId="12" xfId="2" applyFont="1" applyFill="1" applyBorder="1" applyAlignment="1">
      <alignment horizontal="center" vertical="center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34" fillId="40" borderId="12" xfId="0" applyFont="1" applyFill="1" applyBorder="1" applyAlignment="1">
      <alignment horizontal="center" vertical="center"/>
    </xf>
    <xf numFmtId="0" fontId="28" fillId="40" borderId="12" xfId="0" applyFont="1" applyFill="1" applyBorder="1" applyAlignment="1">
      <alignment horizontal="center" vertical="center"/>
    </xf>
    <xf numFmtId="164" fontId="28" fillId="44" borderId="13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tabSelected="1" workbookViewId="0">
      <pane xSplit="2" ySplit="3" topLeftCell="C4" activePane="bottomRight" state="frozen"/>
      <selection pane="bottomRight" activeCell="H11" sqref="H11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MD: Frederick – NMWDA – Solar</v>
      </c>
      <c r="B1" s="60"/>
      <c r="C1" s="60"/>
      <c r="D1" s="61" t="s">
        <v>0</v>
      </c>
      <c r="E1" s="61"/>
      <c r="F1" s="61"/>
      <c r="G1" s="59" t="s">
        <v>1</v>
      </c>
      <c r="H1" s="59"/>
      <c r="I1" s="59"/>
    </row>
    <row r="2" spans="1:9" ht="19.5" customHeight="1">
      <c r="A2" s="62" t="s">
        <v>2</v>
      </c>
      <c r="B2" s="62"/>
      <c r="C2" s="6">
        <f>SUM(C4:C87)</f>
        <v>1508032.8699999999</v>
      </c>
      <c r="D2" s="6">
        <f>SUM(D4:D87)</f>
        <v>0</v>
      </c>
      <c r="E2" s="6">
        <f>C2-D2</f>
        <v>1508032.8699999999</v>
      </c>
      <c r="F2" s="7">
        <f>IFERROR(E2/D2, 0)</f>
        <v>0</v>
      </c>
      <c r="G2" s="6">
        <f>SUM(G4:G87)</f>
        <v>0</v>
      </c>
      <c r="H2" s="8">
        <f>C2-G2</f>
        <v>1508032.8699999999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Frederick MD - NMWDA</v>
      </c>
      <c r="B4" s="10" t="str" cm="1">
        <f t="array" ref="B4">Sites[State]</f>
        <v>MD</v>
      </c>
      <c r="C4" s="23">
        <f>SUM('1st Qtr'!C4, '2nd Qtr'!C4, '3rd Qtr'!C4, '4th Qtr'!C4)</f>
        <v>1508032.8699999999</v>
      </c>
      <c r="D4" s="13">
        <f>SUM('1st Qtr'!D4, '2nd Qtr'!D4, '3rd Qtr'!D4, '4th Qtr'!D4)</f>
        <v>0</v>
      </c>
      <c r="E4" s="13">
        <f>IF(AND(ISNUMBER(C4),ISNUMBER(D4)), C4-D4, "")</f>
        <v>1508032.8699999999</v>
      </c>
      <c r="F4" s="14" t="str">
        <f>IFERROR(E4/D4, "")</f>
        <v/>
      </c>
      <c r="G4" s="15">
        <f>SUM('1st Qtr'!G4,'2nd Qtr'!G4,'3rd Qtr'!G4,'4th Qtr'!G4)</f>
        <v>0</v>
      </c>
      <c r="H4" s="15">
        <f>SUM('1st Qtr'!H4, '2nd Qtr'!H4, '3rd Qtr'!H4, '4th Qtr'!H4)</f>
        <v>1508032.8699999999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7 I4:I8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MD: Frederick – NMWDA – Solar</v>
      </c>
      <c r="B1" s="60"/>
      <c r="C1" s="60"/>
      <c r="D1" s="61" t="s">
        <v>10</v>
      </c>
      <c r="E1" s="61"/>
      <c r="F1" s="61"/>
      <c r="G1" s="59" t="s">
        <v>11</v>
      </c>
      <c r="H1" s="59"/>
      <c r="I1" s="59"/>
    </row>
    <row r="2" spans="1:9" ht="19.5" customHeight="1">
      <c r="A2" s="62" t="s">
        <v>2</v>
      </c>
      <c r="B2" s="62"/>
      <c r="C2" s="6">
        <f>SUM(C4:C87)</f>
        <v>265710</v>
      </c>
      <c r="D2" s="6">
        <f>SUM(D4:D87)</f>
        <v>0</v>
      </c>
      <c r="E2" s="6">
        <f>C2-D2</f>
        <v>265710</v>
      </c>
      <c r="F2" s="7">
        <f>IFERROR(E2/D2, 0)</f>
        <v>0</v>
      </c>
      <c r="G2" s="6">
        <f>SUM(G4:G87)</f>
        <v>0</v>
      </c>
      <c r="H2" s="8">
        <f>C2-G2</f>
        <v>265710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Frederick MD - NMWDA</v>
      </c>
      <c r="B4" s="10" t="str" cm="1">
        <f t="array" ref="B4">Sites[State]</f>
        <v>MD</v>
      </c>
      <c r="C4" s="23">
        <f>SUM(Jan!C4, Feb!C4, Mar!C4)</f>
        <v>265710</v>
      </c>
      <c r="D4" s="13">
        <f>SUM(Jan!D4, Feb!D4, Mar!D4)</f>
        <v>0</v>
      </c>
      <c r="E4" s="13">
        <f>IF(AND(ISNUMBER(C4),ISNUMBER(D4)), C4-D4, "")</f>
        <v>265710</v>
      </c>
      <c r="F4" s="14" t="str">
        <f>IFERROR(E4/D4, "")</f>
        <v/>
      </c>
      <c r="G4" s="15">
        <f>SUM(Jan!G4, Feb!G4, Mar!G4)</f>
        <v>0</v>
      </c>
      <c r="H4" s="15">
        <f>SUM(Jan!H4, Feb!H4, Mar!H4)</f>
        <v>265710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7 I4:I8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9"/>
  <sheetViews>
    <sheetView workbookViewId="0">
      <pane xSplit="2" ySplit="3" topLeftCell="C4" activePane="bottomRight" state="frozen"/>
      <selection pane="bottomRight" activeCell="G5" sqref="G5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MD: Frederick – NMWDA – Solar</v>
      </c>
      <c r="B1" s="60"/>
      <c r="C1" s="60"/>
      <c r="D1" s="61" t="s">
        <v>12</v>
      </c>
      <c r="E1" s="61"/>
      <c r="F1" s="61"/>
      <c r="G1" s="59" t="s">
        <v>13</v>
      </c>
      <c r="H1" s="59"/>
      <c r="I1" s="59"/>
    </row>
    <row r="2" spans="1:9" ht="19.5" customHeight="1">
      <c r="A2" s="62" t="s">
        <v>2</v>
      </c>
      <c r="B2" s="62"/>
      <c r="C2" s="6">
        <f>SUM(C4:C87)</f>
        <v>491534</v>
      </c>
      <c r="D2" s="6">
        <f>SUM(D4:D87)</f>
        <v>0</v>
      </c>
      <c r="E2" s="6">
        <f>C2-D2</f>
        <v>491534</v>
      </c>
      <c r="F2" s="7">
        <f>IFERROR(E2/D2, 0)</f>
        <v>0</v>
      </c>
      <c r="G2" s="6">
        <f>SUM(G4:G87)</f>
        <v>0</v>
      </c>
      <c r="H2" s="8">
        <f>C2-G2</f>
        <v>491534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Frederick MD - NMWDA</v>
      </c>
      <c r="B4" s="10" t="str" cm="1">
        <f t="array" ref="B4">Sites[State]</f>
        <v>MD</v>
      </c>
      <c r="C4" s="23">
        <f>SUM(Apr!C4, May!C4, Jun!C4)</f>
        <v>491534</v>
      </c>
      <c r="D4" s="13">
        <f>SUM(Apr!D4, May!D4, Jun!D4)</f>
        <v>0</v>
      </c>
      <c r="E4" s="13">
        <f>IF(AND(ISNUMBER(C4),ISNUMBER(D4)), C4-D4, "")</f>
        <v>491534</v>
      </c>
      <c r="F4" s="14" t="str">
        <f>IFERROR(E4/D4, "")</f>
        <v/>
      </c>
      <c r="G4" s="15">
        <f>SUM(Apr!G4,May!G4,Jun!G4)</f>
        <v>0</v>
      </c>
      <c r="H4" s="15">
        <f>SUM(Apr!H4, May!H4, Jun!H4)</f>
        <v>491534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7 I4:I8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MD: Frederick – NMWDA – Solar</v>
      </c>
      <c r="B1" s="60"/>
      <c r="C1" s="60"/>
      <c r="D1" s="61" t="s">
        <v>14</v>
      </c>
      <c r="E1" s="61"/>
      <c r="F1" s="61"/>
      <c r="G1" s="59" t="s">
        <v>15</v>
      </c>
      <c r="H1" s="59"/>
      <c r="I1" s="59"/>
    </row>
    <row r="2" spans="1:9" ht="19.5" customHeight="1">
      <c r="A2" s="62" t="s">
        <v>2</v>
      </c>
      <c r="B2" s="62"/>
      <c r="C2" s="6">
        <f>SUM(C4:C87)</f>
        <v>463912.01799999998</v>
      </c>
      <c r="D2" s="6">
        <f>SUM(D4:D87)</f>
        <v>0</v>
      </c>
      <c r="E2" s="6">
        <f>C2-D2</f>
        <v>463912.01799999998</v>
      </c>
      <c r="F2" s="7">
        <f>IFERROR(E2/D2, 0)</f>
        <v>0</v>
      </c>
      <c r="G2" s="6">
        <f>SUM(G4:G87)</f>
        <v>0</v>
      </c>
      <c r="H2" s="8">
        <f>C2-G2</f>
        <v>463912.01799999998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Frederick MD - NMWDA</v>
      </c>
      <c r="B4" s="10" t="str" cm="1">
        <f t="array" ref="B4">Sites[State]</f>
        <v>MD</v>
      </c>
      <c r="C4" s="23">
        <f>SUM(Jul!C4, Aug!C4, Sep!C4)</f>
        <v>463912.01799999998</v>
      </c>
      <c r="D4" s="13">
        <f>SUM(Jul!D4, Aug!D4, Sep!D4)</f>
        <v>0</v>
      </c>
      <c r="E4" s="13">
        <f>IF(AND(ISNUMBER(C4),ISNUMBER(D4)), C4-D4, "")</f>
        <v>463912.01799999998</v>
      </c>
      <c r="F4" s="14" t="str">
        <f>IFERROR(E4/D4, "")</f>
        <v/>
      </c>
      <c r="G4" s="15">
        <f>SUM(Jul!G4,Aug!G4,Sep!G4)</f>
        <v>0</v>
      </c>
      <c r="H4" s="15">
        <f>SUM(Jul!H4, Aug!H4, Sep!H4)</f>
        <v>463912.01799999998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9"/>
  <sheetViews>
    <sheetView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MD: Frederick – NMWDA – Solar</v>
      </c>
      <c r="B1" s="60"/>
      <c r="C1" s="60"/>
      <c r="D1" s="61" t="s">
        <v>16</v>
      </c>
      <c r="E1" s="61"/>
      <c r="F1" s="61"/>
      <c r="G1" s="59" t="s">
        <v>17</v>
      </c>
      <c r="H1" s="59"/>
      <c r="I1" s="59"/>
    </row>
    <row r="2" spans="1:9" ht="19.5" customHeight="1">
      <c r="A2" s="62" t="s">
        <v>2</v>
      </c>
      <c r="B2" s="62"/>
      <c r="C2" s="6">
        <f>SUM(C4:C87)</f>
        <v>286876.85200000001</v>
      </c>
      <c r="D2" s="6">
        <f>SUM(D4:D87)</f>
        <v>0</v>
      </c>
      <c r="E2" s="6">
        <f>C2-D2</f>
        <v>286876.85200000001</v>
      </c>
      <c r="F2" s="7">
        <f>IFERROR(E2/D2, 0)</f>
        <v>0</v>
      </c>
      <c r="G2" s="6">
        <f>SUM(G4:G87)</f>
        <v>0</v>
      </c>
      <c r="H2" s="8">
        <f>C2-G2</f>
        <v>286876.85200000001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Frederick MD - NMWDA</v>
      </c>
      <c r="B4" s="10" t="str" cm="1">
        <f t="array" ref="B4">Sites[State]</f>
        <v>MD</v>
      </c>
      <c r="C4" s="23">
        <f>SUM(Oct!C4, Nov!C4, Dec!C4)</f>
        <v>286876.85200000001</v>
      </c>
      <c r="D4" s="13">
        <f>SUM(Oct!D4, Nov!D4, Dec!D4)</f>
        <v>0</v>
      </c>
      <c r="E4" s="13">
        <f>IF(AND(ISNUMBER(C4),ISNUMBER(D4)), C4-D4, "")</f>
        <v>286876.85200000001</v>
      </c>
      <c r="F4" s="14" t="str">
        <f>IFERROR(E4/D4, "")</f>
        <v/>
      </c>
      <c r="G4" s="15">
        <f>SUM(Oct!G4,Nov!G4,Dec!G4)</f>
        <v>0</v>
      </c>
      <c r="H4" s="15">
        <f>SUM(Oct!H4, Nov!H4, Dec!H4)</f>
        <v>286876.85200000001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2"/>
  <sheetViews>
    <sheetView workbookViewId="0">
      <pane xSplit="2" ySplit="3" topLeftCell="C4" activePane="bottomRight" state="frozen"/>
      <selection pane="bottomRight" activeCell="C4" sqref="C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MD: Frederick – NMWDA – Solar</v>
      </c>
      <c r="B1" s="60"/>
      <c r="C1" s="60"/>
      <c r="D1" s="61" t="s">
        <v>18</v>
      </c>
      <c r="E1" s="61"/>
      <c r="F1" s="61"/>
      <c r="G1" s="59" t="s">
        <v>19</v>
      </c>
      <c r="H1" s="59"/>
      <c r="I1" s="59"/>
      <c r="J1" s="5"/>
      <c r="K1" s="5"/>
    </row>
    <row r="2" spans="1:11" ht="19.5" customHeight="1">
      <c r="A2" s="62" t="s">
        <v>2</v>
      </c>
      <c r="B2" s="62"/>
      <c r="C2" s="6">
        <f>SUM(C4:C60)</f>
        <v>46371</v>
      </c>
      <c r="D2" s="6">
        <f>SUM(D4:D60)</f>
        <v>0</v>
      </c>
      <c r="E2" s="6">
        <f>C2-D2</f>
        <v>46371</v>
      </c>
      <c r="F2" s="7">
        <f>IFERROR(E2/D2, 0)</f>
        <v>0</v>
      </c>
      <c r="G2" s="6">
        <f>SUM(G4:G60)</f>
        <v>0</v>
      </c>
      <c r="H2" s="8">
        <f>C2-G2</f>
        <v>46371</v>
      </c>
      <c r="I2" s="7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6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43.15">
      <c r="A4" s="30" t="str" cm="1">
        <f t="array" ref="A4">Sites[Site]</f>
        <v>Frederick MD - NMWDA</v>
      </c>
      <c r="B4" s="27" t="str" cm="1">
        <f t="array" ref="B4">Sites[State]</f>
        <v>MD</v>
      </c>
      <c r="C4" s="23">
        <v>46371</v>
      </c>
      <c r="D4" s="13">
        <v>0</v>
      </c>
      <c r="E4" s="13">
        <f>IF(AND(ISNUMBER(C4),ISNUMBER(D4)), C4-D4, "")</f>
        <v>46371</v>
      </c>
      <c r="F4" s="14" t="str">
        <f>IFERROR(E4/D4, "")</f>
        <v/>
      </c>
      <c r="G4" s="15">
        <v>0</v>
      </c>
      <c r="H4" s="15">
        <f>IF(AND(ISNUMBER(C4),ISNUMBER(G4)), C4-G4, "")</f>
        <v>46371</v>
      </c>
      <c r="I4" s="16" t="str">
        <f>IFERROR(H4/G4, "")</f>
        <v/>
      </c>
      <c r="J4" s="39" t="s">
        <v>22</v>
      </c>
      <c r="K4" s="39" t="s">
        <v>23</v>
      </c>
    </row>
    <row r="5" spans="1:11" ht="14.45">
      <c r="A5" s="20"/>
      <c r="B5" s="31"/>
      <c r="C5" s="20"/>
      <c r="D5" s="20"/>
      <c r="E5" s="20"/>
      <c r="F5" s="21"/>
      <c r="G5" s="20"/>
      <c r="H5" s="20"/>
      <c r="I5" s="21"/>
      <c r="J5" s="20"/>
      <c r="K5" s="20"/>
    </row>
    <row r="6" spans="1:11" ht="14.45">
      <c r="A6" s="20"/>
      <c r="B6" s="31"/>
      <c r="C6" s="20"/>
      <c r="D6" s="20"/>
      <c r="E6" s="20"/>
      <c r="F6" s="21"/>
      <c r="G6" s="20"/>
      <c r="H6" s="20"/>
      <c r="I6" s="21"/>
      <c r="J6" s="20"/>
      <c r="K6" s="20"/>
    </row>
    <row r="7" spans="1:11" ht="14.45">
      <c r="A7" s="20"/>
      <c r="B7" s="31"/>
      <c r="C7" s="20"/>
      <c r="D7" s="20"/>
      <c r="E7" s="20"/>
      <c r="F7" s="21"/>
      <c r="G7" s="20"/>
      <c r="H7" s="20"/>
      <c r="I7" s="21"/>
      <c r="J7" s="20"/>
      <c r="K7" s="20"/>
    </row>
    <row r="8" spans="1:11" ht="14.45">
      <c r="A8" s="20"/>
      <c r="B8" s="31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</sheetData>
  <mergeCells count="4">
    <mergeCell ref="D1:F1"/>
    <mergeCell ref="A1:C1"/>
    <mergeCell ref="G1:I1"/>
    <mergeCell ref="A2:B2"/>
  </mergeCells>
  <conditionalFormatting sqref="F2 I2 F4:F60 I4:I60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0"/>
  <sheetViews>
    <sheetView workbookViewId="0">
      <pane xSplit="2" ySplit="3" topLeftCell="C4" activePane="bottomRight" state="frozen"/>
      <selection pane="bottomRight" activeCell="C4" sqref="C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MD: Frederick – NMWDA – Solar</v>
      </c>
      <c r="B1" s="60"/>
      <c r="C1" s="60"/>
      <c r="D1" s="61" t="s">
        <v>24</v>
      </c>
      <c r="E1" s="61"/>
      <c r="F1" s="61"/>
      <c r="G1" s="59" t="s">
        <v>25</v>
      </c>
      <c r="H1" s="59"/>
      <c r="I1" s="59"/>
      <c r="J1" s="5"/>
      <c r="K1" s="5"/>
    </row>
    <row r="2" spans="1:11" ht="19.5" customHeight="1">
      <c r="A2" s="62" t="s">
        <v>2</v>
      </c>
      <c r="B2" s="62"/>
      <c r="C2" s="6">
        <f>SUM(C4:C88)</f>
        <v>108403</v>
      </c>
      <c r="D2" s="6">
        <f>SUM(D4:D88)</f>
        <v>0</v>
      </c>
      <c r="E2" s="6">
        <f>C2-D2</f>
        <v>108403</v>
      </c>
      <c r="F2" s="7">
        <f>IFERROR(E2/D2, 0)</f>
        <v>0</v>
      </c>
      <c r="G2" s="6">
        <f>SUM(G4:G88)</f>
        <v>0</v>
      </c>
      <c r="H2" s="8">
        <f>C2-G2</f>
        <v>108403</v>
      </c>
      <c r="I2" s="7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43.15">
      <c r="A4" s="42" t="str" cm="1">
        <f t="array" ref="A4">Sites[Site]</f>
        <v>Frederick MD - NMWDA</v>
      </c>
      <c r="B4" s="27" t="str" cm="1">
        <f t="array" ref="B4">Sites[State]</f>
        <v>MD</v>
      </c>
      <c r="C4" s="23">
        <v>108403</v>
      </c>
      <c r="D4" s="13">
        <v>0</v>
      </c>
      <c r="E4" s="13">
        <f>IF(AND(ISNUMBER(C4),ISNUMBER(D4)), C4-D4, "")</f>
        <v>108403</v>
      </c>
      <c r="F4" s="14" t="str">
        <f>IFERROR(E4/D4, "")</f>
        <v/>
      </c>
      <c r="G4" s="15">
        <v>0</v>
      </c>
      <c r="H4" s="15">
        <f>IF(AND(ISNUMBER(C4),ISNUMBER(G4)), C4-G4, "")</f>
        <v>108403</v>
      </c>
      <c r="I4" s="16" t="str">
        <f>IFERROR(H4/G4, "")</f>
        <v/>
      </c>
      <c r="J4" s="39" t="s">
        <v>26</v>
      </c>
      <c r="K4" s="39" t="s">
        <v>27</v>
      </c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0"/>
  <sheetViews>
    <sheetView workbookViewId="0">
      <pane xSplit="2" ySplit="3" topLeftCell="C4" activePane="bottomRight" state="frozen"/>
      <selection pane="bottomRight" activeCell="J10" sqref="J10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MD: Frederick – NMWDA – Solar</v>
      </c>
      <c r="B1" s="60"/>
      <c r="C1" s="60"/>
      <c r="D1" s="61" t="s">
        <v>28</v>
      </c>
      <c r="E1" s="61"/>
      <c r="F1" s="61"/>
      <c r="G1" s="59" t="s">
        <v>29</v>
      </c>
      <c r="H1" s="59"/>
      <c r="I1" s="59"/>
      <c r="J1" s="5"/>
      <c r="K1" s="5"/>
    </row>
    <row r="2" spans="1:11" ht="19.5" customHeight="1">
      <c r="A2" s="62" t="s">
        <v>2</v>
      </c>
      <c r="B2" s="62"/>
      <c r="C2" s="6">
        <f>SUM(C4:C88)</f>
        <v>110936</v>
      </c>
      <c r="D2" s="6">
        <f>SUM(D4:D88)</f>
        <v>0</v>
      </c>
      <c r="E2" s="6">
        <f>C2-D2</f>
        <v>110936</v>
      </c>
      <c r="F2" s="7">
        <f>IFERROR(E2/D2, 0)</f>
        <v>0</v>
      </c>
      <c r="G2" s="6">
        <f>SUM(G4:G88)</f>
        <v>0</v>
      </c>
      <c r="H2" s="8">
        <f>C2-G2</f>
        <v>110936</v>
      </c>
      <c r="I2" s="7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Frederick MD - NMWDA</v>
      </c>
      <c r="B4" s="27" t="str" cm="1">
        <f t="array" ref="B4">Sites[State]</f>
        <v>MD</v>
      </c>
      <c r="C4" s="23">
        <v>110936</v>
      </c>
      <c r="D4" s="13">
        <v>0</v>
      </c>
      <c r="E4" s="13">
        <f>IF(AND(ISNUMBER(C4),ISNUMBER(D4)), C4-D4, "")</f>
        <v>110936</v>
      </c>
      <c r="F4" s="14" t="str">
        <f>IFERROR(E4/D4, "")</f>
        <v/>
      </c>
      <c r="G4" s="15">
        <v>0</v>
      </c>
      <c r="H4" s="15">
        <f>IF(AND(ISNUMBER(C4),ISNUMBER(G4)), C4-G4, "")</f>
        <v>110936</v>
      </c>
      <c r="I4" s="16" t="str">
        <f>IFERROR(H4/G4, "")</f>
        <v/>
      </c>
      <c r="J4" s="39" t="s">
        <v>30</v>
      </c>
      <c r="K4" s="39" t="s">
        <v>31</v>
      </c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0"/>
  <sheetViews>
    <sheetView workbookViewId="0">
      <pane xSplit="2" ySplit="3" topLeftCell="C4" activePane="bottomRight" state="frozen"/>
      <selection pane="bottomRight" activeCell="J4" sqref="J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MD: Frederick – NMWDA – Solar</v>
      </c>
      <c r="B1" s="60"/>
      <c r="C1" s="60"/>
      <c r="D1" s="61" t="s">
        <v>32</v>
      </c>
      <c r="E1" s="61"/>
      <c r="F1" s="61"/>
      <c r="G1" s="59" t="s">
        <v>33</v>
      </c>
      <c r="H1" s="59"/>
      <c r="I1" s="59"/>
      <c r="J1" s="5"/>
      <c r="K1" s="5"/>
    </row>
    <row r="2" spans="1:11" ht="19.5" customHeight="1">
      <c r="A2" s="62" t="s">
        <v>2</v>
      </c>
      <c r="B2" s="62"/>
      <c r="C2" s="6">
        <f>SUM(C4:C88)</f>
        <v>143849</v>
      </c>
      <c r="D2" s="6">
        <f>SUM(D4:D88)</f>
        <v>0</v>
      </c>
      <c r="E2" s="6">
        <f>C2-D2</f>
        <v>143849</v>
      </c>
      <c r="F2" s="7">
        <f>IFERROR(E2/D2, 0)</f>
        <v>0</v>
      </c>
      <c r="G2" s="6">
        <f>SUM(G4:G88)</f>
        <v>0</v>
      </c>
      <c r="H2" s="8">
        <f>C2-G2</f>
        <v>143849</v>
      </c>
      <c r="I2" s="7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44" t="s">
        <v>20</v>
      </c>
      <c r="K3" s="44" t="s">
        <v>21</v>
      </c>
    </row>
    <row r="4" spans="1:11" ht="43.15">
      <c r="A4" s="30" t="str" cm="1">
        <f t="array" ref="A4">Sites[Site]</f>
        <v>Frederick MD - NMWDA</v>
      </c>
      <c r="B4" s="27" t="str" cm="1">
        <f t="array" ref="B4">Sites[State]</f>
        <v>MD</v>
      </c>
      <c r="C4" s="23">
        <v>143849</v>
      </c>
      <c r="D4" s="13">
        <v>0</v>
      </c>
      <c r="E4" s="13">
        <f>IF(AND(ISNUMBER(C4),ISNUMBER(D4)), C4-D4, "")</f>
        <v>143849</v>
      </c>
      <c r="F4" s="14" t="str">
        <f>IFERROR(E4/D4, "")</f>
        <v/>
      </c>
      <c r="G4" s="15">
        <v>0</v>
      </c>
      <c r="H4" s="15">
        <f>IF(AND(ISNUMBER(C4),ISNUMBER(G4)), C4-G4, "")</f>
        <v>143849</v>
      </c>
      <c r="I4" s="16" t="str">
        <f>IFERROR(H4/G4, "")</f>
        <v/>
      </c>
      <c r="J4" s="43" t="s">
        <v>34</v>
      </c>
      <c r="K4" s="43" t="s">
        <v>35</v>
      </c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0"/>
  <sheetViews>
    <sheetView workbookViewId="0">
      <pane xSplit="2" ySplit="3" topLeftCell="C4" activePane="bottomRight" state="frozen"/>
      <selection pane="bottomRight" activeCell="K4" sqref="K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MD: Frederick – NMWDA – Solar</v>
      </c>
      <c r="B1" s="60"/>
      <c r="C1" s="60"/>
      <c r="D1" s="61" t="s">
        <v>36</v>
      </c>
      <c r="E1" s="61"/>
      <c r="F1" s="61"/>
      <c r="G1" s="59" t="s">
        <v>37</v>
      </c>
      <c r="H1" s="59"/>
      <c r="I1" s="59"/>
      <c r="J1" s="5"/>
      <c r="K1" s="5"/>
    </row>
    <row r="2" spans="1:11" ht="19.5" customHeight="1">
      <c r="A2" s="62" t="s">
        <v>2</v>
      </c>
      <c r="B2" s="62"/>
      <c r="C2" s="6">
        <f>SUM(C4:C88)</f>
        <v>151169</v>
      </c>
      <c r="D2" s="6">
        <f>SUM(D4:D88)</f>
        <v>0</v>
      </c>
      <c r="E2" s="6">
        <f>C2-D2</f>
        <v>151169</v>
      </c>
      <c r="F2" s="7">
        <f>IFERROR(E2/D2, 0)</f>
        <v>0</v>
      </c>
      <c r="G2" s="6">
        <f>SUM(G4:G88)</f>
        <v>0</v>
      </c>
      <c r="H2" s="8">
        <f>C2-G2</f>
        <v>151169</v>
      </c>
      <c r="I2" s="7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50" t="s">
        <v>5</v>
      </c>
      <c r="D3" s="51" t="s">
        <v>6</v>
      </c>
      <c r="E3" s="51" t="s">
        <v>7</v>
      </c>
      <c r="F3" s="52" t="s">
        <v>8</v>
      </c>
      <c r="G3" s="53" t="s">
        <v>9</v>
      </c>
      <c r="H3" s="54" t="s">
        <v>7</v>
      </c>
      <c r="I3" s="55" t="s">
        <v>8</v>
      </c>
      <c r="J3" s="44" t="s">
        <v>20</v>
      </c>
      <c r="K3" s="44" t="s">
        <v>21</v>
      </c>
    </row>
    <row r="4" spans="1:11" ht="28.9">
      <c r="A4" s="30" t="str" cm="1">
        <f t="array" ref="A4">Sites[Site]</f>
        <v>Frederick MD - NMWDA</v>
      </c>
      <c r="B4" s="27" t="str" cm="1">
        <f t="array" ref="B4">Sites[State]</f>
        <v>MD</v>
      </c>
      <c r="C4" s="45">
        <v>151169</v>
      </c>
      <c r="D4" s="46">
        <v>0</v>
      </c>
      <c r="E4" s="46">
        <f>IF(AND(ISNUMBER(C4),ISNUMBER(D4)), C4-D4, "")</f>
        <v>151169</v>
      </c>
      <c r="F4" s="47" t="str">
        <f>IFERROR(E4/D4, "")</f>
        <v/>
      </c>
      <c r="G4" s="48">
        <v>0</v>
      </c>
      <c r="H4" s="48">
        <f>IF(AND(ISNUMBER(C4),ISNUMBER(G4)), C4-G4, "")</f>
        <v>151169</v>
      </c>
      <c r="I4" s="49" t="str">
        <f>IFERROR(H4/G4, "")</f>
        <v/>
      </c>
      <c r="J4" s="43" t="s">
        <v>38</v>
      </c>
      <c r="K4" s="43" t="s">
        <v>39</v>
      </c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0"/>
  <sheetViews>
    <sheetView workbookViewId="0">
      <pane xSplit="2" ySplit="3" topLeftCell="C4" activePane="bottomRight" state="frozen"/>
      <selection pane="bottomRight" activeCell="D4" sqref="D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MD: Frederick – NMWDA – Solar</v>
      </c>
      <c r="B1" s="60"/>
      <c r="C1" s="60"/>
      <c r="D1" s="61" t="s">
        <v>40</v>
      </c>
      <c r="E1" s="61"/>
      <c r="F1" s="61"/>
      <c r="G1" s="59" t="s">
        <v>41</v>
      </c>
      <c r="H1" s="59"/>
      <c r="I1" s="59"/>
      <c r="J1" s="5"/>
      <c r="K1" s="5"/>
    </row>
    <row r="2" spans="1:11" ht="19.5" customHeight="1">
      <c r="A2" s="62" t="s">
        <v>2</v>
      </c>
      <c r="B2" s="62"/>
      <c r="C2" s="6">
        <f>SUM(C4:C88)</f>
        <v>196516</v>
      </c>
      <c r="D2" s="6">
        <f>SUM(D4:D88)</f>
        <v>0</v>
      </c>
      <c r="E2" s="6">
        <f>C2-D2</f>
        <v>196516</v>
      </c>
      <c r="F2" s="7">
        <f>IFERROR(E2/D2, 0)</f>
        <v>0</v>
      </c>
      <c r="G2" s="6">
        <f>SUM(G4:G88)</f>
        <v>0</v>
      </c>
      <c r="H2" s="8">
        <f>C2-G2</f>
        <v>196516</v>
      </c>
      <c r="I2" s="7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6" t="s">
        <v>3</v>
      </c>
      <c r="B3" s="26" t="s">
        <v>4</v>
      </c>
      <c r="C3" s="50" t="s">
        <v>5</v>
      </c>
      <c r="D3" s="51" t="s">
        <v>6</v>
      </c>
      <c r="E3" s="51" t="s">
        <v>7</v>
      </c>
      <c r="F3" s="52" t="s">
        <v>8</v>
      </c>
      <c r="G3" s="53" t="s">
        <v>9</v>
      </c>
      <c r="H3" s="54" t="s">
        <v>7</v>
      </c>
      <c r="I3" s="55" t="s">
        <v>8</v>
      </c>
      <c r="J3" s="44" t="s">
        <v>20</v>
      </c>
      <c r="K3" s="44" t="s">
        <v>21</v>
      </c>
    </row>
    <row r="4" spans="1:11" ht="58.9" customHeight="1">
      <c r="A4" s="56" t="str" cm="1">
        <f t="array" ref="A4">Sites[Site]</f>
        <v>Frederick MD - NMWDA</v>
      </c>
      <c r="B4" s="57" t="str" cm="1">
        <f t="array" ref="B4">Sites[State]</f>
        <v>MD</v>
      </c>
      <c r="C4" s="58">
        <v>196516</v>
      </c>
      <c r="D4" s="46">
        <v>0</v>
      </c>
      <c r="E4" s="46">
        <f>IF(AND(ISNUMBER(C4),ISNUMBER(D4)), C4-D4, "")</f>
        <v>196516</v>
      </c>
      <c r="F4" s="47" t="str">
        <f>IFERROR(E4/D4, "")</f>
        <v/>
      </c>
      <c r="G4" s="48">
        <v>0</v>
      </c>
      <c r="H4" s="48">
        <f>IF(AND(ISNUMBER(C4),ISNUMBER(G4)), C4-G4, "")</f>
        <v>196516</v>
      </c>
      <c r="I4" s="49" t="str">
        <f>IFERROR(H4/G4, "")</f>
        <v/>
      </c>
      <c r="J4" s="43" t="s">
        <v>42</v>
      </c>
      <c r="K4" s="43" t="s">
        <v>43</v>
      </c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0"/>
  <sheetViews>
    <sheetView workbookViewId="0">
      <pane xSplit="2" ySplit="3" topLeftCell="C4" activePane="bottomRight" state="frozen"/>
      <selection pane="bottomRight" activeCell="K4" sqref="K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MD: Frederick – NMWDA – Solar</v>
      </c>
      <c r="B1" s="60"/>
      <c r="C1" s="60"/>
      <c r="D1" s="61" t="s">
        <v>44</v>
      </c>
      <c r="E1" s="61"/>
      <c r="F1" s="61"/>
      <c r="G1" s="59" t="s">
        <v>45</v>
      </c>
      <c r="H1" s="59"/>
      <c r="I1" s="59"/>
      <c r="J1" s="5"/>
      <c r="K1" s="5"/>
    </row>
    <row r="2" spans="1:11" ht="19.5" customHeight="1">
      <c r="A2" s="62" t="s">
        <v>2</v>
      </c>
      <c r="B2" s="62"/>
      <c r="C2" s="6">
        <f>SUM(C4:C88)</f>
        <v>178459.215</v>
      </c>
      <c r="D2" s="6">
        <f>SUM(D4:D88)</f>
        <v>0</v>
      </c>
      <c r="E2" s="6">
        <f>C2-D2</f>
        <v>178459.215</v>
      </c>
      <c r="F2" s="7">
        <f>IFERROR(E2/D2, 0)</f>
        <v>0</v>
      </c>
      <c r="G2" s="6">
        <f>SUM(G4:G88)</f>
        <v>0</v>
      </c>
      <c r="H2" s="8">
        <f>C2-G2</f>
        <v>178459.215</v>
      </c>
      <c r="I2" s="7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60" customHeight="1">
      <c r="A4" s="30" t="str" cm="1">
        <f t="array" ref="A4">Sites[Site]</f>
        <v>Frederick MD - NMWDA</v>
      </c>
      <c r="B4" s="27" t="str" cm="1">
        <f t="array" ref="B4">Sites[State]</f>
        <v>MD</v>
      </c>
      <c r="C4" s="23">
        <v>178459.215</v>
      </c>
      <c r="D4" s="13">
        <v>0</v>
      </c>
      <c r="E4" s="13">
        <f>IF(AND(ISNUMBER(C4),ISNUMBER(D4)), C4-D4, "")</f>
        <v>178459.215</v>
      </c>
      <c r="F4" s="14" t="str">
        <f>IFERROR(E4/D4, "")</f>
        <v/>
      </c>
      <c r="G4" s="15">
        <v>0</v>
      </c>
      <c r="H4" s="15">
        <f>IF(AND(ISNUMBER(C4),ISNUMBER(G4)), C4-G4, "")</f>
        <v>178459.215</v>
      </c>
      <c r="I4" s="16" t="str">
        <f>IFERROR(H4/G4, "")</f>
        <v/>
      </c>
      <c r="J4" s="39" t="s">
        <v>46</v>
      </c>
      <c r="K4" s="39" t="s">
        <v>47</v>
      </c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88 I4:I88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0"/>
  <sheetViews>
    <sheetView workbookViewId="0">
      <pane xSplit="2" ySplit="3" topLeftCell="F4" activePane="bottomRight" state="frozen"/>
      <selection pane="bottomRight" activeCell="J4" sqref="J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MD: Frederick – NMWDA – Solar</v>
      </c>
      <c r="B1" s="60"/>
      <c r="C1" s="60"/>
      <c r="D1" s="61" t="s">
        <v>48</v>
      </c>
      <c r="E1" s="61"/>
      <c r="F1" s="61"/>
      <c r="G1" s="59" t="s">
        <v>49</v>
      </c>
      <c r="H1" s="59"/>
      <c r="I1" s="59"/>
      <c r="J1" s="5"/>
      <c r="K1" s="5"/>
    </row>
    <row r="2" spans="1:11" ht="19.5" customHeight="1">
      <c r="A2" s="62" t="s">
        <v>2</v>
      </c>
      <c r="B2" s="62"/>
      <c r="C2" s="6">
        <f>SUM(C4:C88)</f>
        <v>159687.98300000001</v>
      </c>
      <c r="D2" s="6">
        <f>SUM(D4:D88)</f>
        <v>0</v>
      </c>
      <c r="E2" s="6">
        <f>C2-D2</f>
        <v>159687.98300000001</v>
      </c>
      <c r="F2" s="7">
        <f>IFERROR(E2/D2, 0)</f>
        <v>0</v>
      </c>
      <c r="G2" s="6">
        <f>SUM(G4:G88)</f>
        <v>0</v>
      </c>
      <c r="H2" s="8">
        <f>C2-G2</f>
        <v>159687.98300000001</v>
      </c>
      <c r="I2" s="7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4.5" customHeight="1">
      <c r="A4" s="30" t="str" cm="1">
        <f t="array" ref="A4">Sites[Site]</f>
        <v>Frederick MD - NMWDA</v>
      </c>
      <c r="B4" s="27" t="str" cm="1">
        <f t="array" ref="B4">Sites[State]</f>
        <v>MD</v>
      </c>
      <c r="C4" s="23">
        <v>159687.98300000001</v>
      </c>
      <c r="D4" s="13">
        <v>0</v>
      </c>
      <c r="E4" s="13">
        <f>IF(AND(ISNUMBER(C4),ISNUMBER(D4)), C4-D4, "")</f>
        <v>159687.98300000001</v>
      </c>
      <c r="F4" s="14" t="str">
        <f>IFERROR(E4/D4, "")</f>
        <v/>
      </c>
      <c r="G4" s="15">
        <v>0</v>
      </c>
      <c r="H4" s="15">
        <f>IF(AND(ISNUMBER(C4),ISNUMBER(G4)), C4-G4, "")</f>
        <v>159687.98300000001</v>
      </c>
      <c r="I4" s="16" t="str">
        <f>IFERROR(H4/G4, "")</f>
        <v/>
      </c>
      <c r="J4" s="39" t="s">
        <v>50</v>
      </c>
      <c r="K4" s="39" t="s">
        <v>51</v>
      </c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9"/>
  <sheetViews>
    <sheetView workbookViewId="0">
      <pane xSplit="2" ySplit="3" topLeftCell="D4" activePane="bottomRight" state="frozen"/>
      <selection pane="bottomRight" activeCell="E4" sqref="E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MD: Frederick – NMWDA – Solar</v>
      </c>
      <c r="B1" s="60"/>
      <c r="C1" s="60"/>
      <c r="D1" s="61" t="s">
        <v>52</v>
      </c>
      <c r="E1" s="61"/>
      <c r="F1" s="61"/>
      <c r="G1" s="59" t="s">
        <v>53</v>
      </c>
      <c r="H1" s="59"/>
      <c r="I1" s="59"/>
      <c r="J1" s="5"/>
      <c r="K1" s="5"/>
    </row>
    <row r="2" spans="1:11" ht="19.5" customHeight="1">
      <c r="A2" s="62" t="s">
        <v>2</v>
      </c>
      <c r="B2" s="62"/>
      <c r="C2" s="6">
        <f>SUM(C4:C87)</f>
        <v>125764.82</v>
      </c>
      <c r="D2" s="6">
        <f>SUM(D4:D87)</f>
        <v>0</v>
      </c>
      <c r="E2" s="6">
        <f>C2-D2</f>
        <v>125764.82</v>
      </c>
      <c r="F2" s="7">
        <f>IFERROR(E2/D2, 0)</f>
        <v>0</v>
      </c>
      <c r="G2" s="6">
        <f>SUM(G4:G87)</f>
        <v>0</v>
      </c>
      <c r="H2" s="8">
        <f>C2-G2</f>
        <v>125764.82</v>
      </c>
      <c r="I2" s="7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59.25" customHeight="1">
      <c r="A4" s="30" t="str" cm="1">
        <f t="array" ref="A4">Sites[Site]</f>
        <v>Frederick MD - NMWDA</v>
      </c>
      <c r="B4" s="27" t="str" cm="1">
        <f t="array" ref="B4">Sites[State]</f>
        <v>MD</v>
      </c>
      <c r="C4" s="23">
        <v>125764.82</v>
      </c>
      <c r="D4" s="13">
        <v>0</v>
      </c>
      <c r="E4" s="13">
        <f>IF(AND(ISNUMBER(C4),ISNUMBER(D4)), C4-D4, "")</f>
        <v>125764.82</v>
      </c>
      <c r="F4" s="14" t="str">
        <f>IFERROR(E4/D4, "")</f>
        <v/>
      </c>
      <c r="G4" s="15">
        <v>0</v>
      </c>
      <c r="H4" s="15">
        <f>IF(AND(ISNUMBER(C4),ISNUMBER(G4)), C4-G4, "")</f>
        <v>125764.82</v>
      </c>
      <c r="I4" s="16" t="str">
        <f>IFERROR(H4/G4, "")</f>
        <v/>
      </c>
      <c r="J4" s="39" t="s">
        <v>54</v>
      </c>
      <c r="K4" s="39" t="s">
        <v>55</v>
      </c>
    </row>
    <row r="5" spans="1:11" ht="12.75" customHeight="1">
      <c r="A5" s="20"/>
      <c r="B5" s="31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C329" s="20"/>
      <c r="D329" s="20"/>
      <c r="E329" s="20"/>
      <c r="F329" s="21"/>
      <c r="G329" s="20"/>
      <c r="H329" s="20"/>
      <c r="I329" s="21"/>
      <c r="J329" s="20"/>
      <c r="K329" s="20"/>
    </row>
  </sheetData>
  <mergeCells count="4">
    <mergeCell ref="G1:I1"/>
    <mergeCell ref="A1:C1"/>
    <mergeCell ref="D1:F1"/>
    <mergeCell ref="A2:B2"/>
  </mergeCells>
  <conditionalFormatting sqref="F2 I2 F4:F87 I4:I8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4" activePane="bottomRight" state="frozen"/>
      <selection pane="bottomRight" activeCell="A5" sqref="A5:XFD16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MD: Frederick – NMWDA – Solar</v>
      </c>
      <c r="B1" s="60"/>
      <c r="C1" s="60"/>
      <c r="D1" s="61" t="s">
        <v>56</v>
      </c>
      <c r="E1" s="61"/>
      <c r="F1" s="61"/>
      <c r="G1" s="59" t="s">
        <v>57</v>
      </c>
      <c r="H1" s="59"/>
      <c r="I1" s="59"/>
      <c r="J1" s="5"/>
      <c r="K1" s="5"/>
    </row>
    <row r="2" spans="1:11" ht="19.5" customHeight="1">
      <c r="A2" s="62" t="s">
        <v>2</v>
      </c>
      <c r="B2" s="62"/>
      <c r="C2" s="6">
        <f>SUM(C4:C88)</f>
        <v>134098</v>
      </c>
      <c r="D2" s="6">
        <f>SUM(D4:D88)</f>
        <v>0</v>
      </c>
      <c r="E2" s="6">
        <f>C2-D2</f>
        <v>134098</v>
      </c>
      <c r="F2" s="7">
        <f>IFERROR(E2/D2, 0)</f>
        <v>0</v>
      </c>
      <c r="G2" s="6">
        <f>SUM(G4:G88)</f>
        <v>0</v>
      </c>
      <c r="H2" s="8">
        <f>C2-G2</f>
        <v>134098</v>
      </c>
      <c r="I2" s="7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91.5">
      <c r="A4" s="42" t="str" cm="1">
        <f t="array" ref="A4">Sites[Site]</f>
        <v>Frederick MD - NMWDA</v>
      </c>
      <c r="B4" s="27" t="str" cm="1">
        <f t="array" ref="B4">Sites[State]</f>
        <v>MD</v>
      </c>
      <c r="C4" s="23">
        <v>134098</v>
      </c>
      <c r="D4" s="13">
        <v>0</v>
      </c>
      <c r="E4" s="13">
        <f>IF(AND(ISNUMBER(C4),ISNUMBER(D4)), C4-D4, "")</f>
        <v>134098</v>
      </c>
      <c r="F4" s="14" t="str">
        <f>IFERROR(E4/D4, "")</f>
        <v/>
      </c>
      <c r="G4" s="15">
        <v>0</v>
      </c>
      <c r="H4" s="15">
        <f>IF(AND(ISNUMBER(C4),ISNUMBER(G4)), C4-G4, "")</f>
        <v>134098</v>
      </c>
      <c r="I4" s="16" t="str">
        <f>IFERROR(H4/G4, "")</f>
        <v/>
      </c>
      <c r="J4" s="39" t="s">
        <v>58</v>
      </c>
      <c r="K4" s="39" t="s">
        <v>59</v>
      </c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  <row r="331" spans="1:11" ht="14.25"/>
    <row r="332" spans="1:11" ht="14.25"/>
    <row r="333" spans="1:11" ht="14.25"/>
    <row r="334" spans="1:11" ht="14.25"/>
    <row r="335" spans="1:11" ht="14.25"/>
    <row r="336" spans="1:11" ht="14.25"/>
    <row r="337" ht="14.25"/>
    <row r="338" ht="14.25"/>
    <row r="339" ht="14.25"/>
    <row r="340" ht="14.25"/>
    <row r="341" ht="14.25"/>
    <row r="342" ht="14.25"/>
  </sheetData>
  <mergeCells count="4">
    <mergeCell ref="G1:I1"/>
    <mergeCell ref="A1:C1"/>
    <mergeCell ref="D1:F1"/>
    <mergeCell ref="A2:B2"/>
  </mergeCells>
  <conditionalFormatting sqref="F2 I2 F4:F88 I4:I8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J4" activePane="bottomRight" state="frozen"/>
      <selection pane="bottomRight" activeCell="A5" sqref="A5:XFD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MD: Frederick – NMWDA – Solar</v>
      </c>
      <c r="B1" s="60"/>
      <c r="C1" s="60"/>
      <c r="D1" s="61" t="s">
        <v>60</v>
      </c>
      <c r="E1" s="61"/>
      <c r="F1" s="61"/>
      <c r="G1" s="59" t="s">
        <v>61</v>
      </c>
      <c r="H1" s="59"/>
      <c r="I1" s="59"/>
      <c r="J1" s="5"/>
      <c r="K1" s="5"/>
    </row>
    <row r="2" spans="1:11" ht="19.5" customHeight="1">
      <c r="A2" s="62" t="s">
        <v>2</v>
      </c>
      <c r="B2" s="62"/>
      <c r="C2" s="6">
        <f>SUM(C4:C87)</f>
        <v>89738.4</v>
      </c>
      <c r="D2" s="6">
        <f>SUM(D4:D87)</f>
        <v>0</v>
      </c>
      <c r="E2" s="6">
        <f>C2-D2</f>
        <v>89738.4</v>
      </c>
      <c r="F2" s="7">
        <f>IFERROR(E2/D2, 0)</f>
        <v>0</v>
      </c>
      <c r="G2" s="6">
        <f>SUM(G4:G87)</f>
        <v>0</v>
      </c>
      <c r="H2" s="8">
        <f>C2-G2</f>
        <v>89738.4</v>
      </c>
      <c r="I2" s="7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">Sites[Site]</f>
        <v>Frederick MD - NMWDA</v>
      </c>
      <c r="B4" s="27" t="str" cm="1">
        <f t="array" ref="B4">Sites[State]</f>
        <v>MD</v>
      </c>
      <c r="C4" s="23">
        <v>89738.4</v>
      </c>
      <c r="D4" s="13">
        <v>0</v>
      </c>
      <c r="E4" s="13">
        <f>IF(AND(ISNUMBER(C4),ISNUMBER(D4)), C4-D4, "")</f>
        <v>89738.4</v>
      </c>
      <c r="F4" s="14" t="str">
        <f>IFERROR(E4/D4, "")</f>
        <v/>
      </c>
      <c r="G4" s="15">
        <v>0</v>
      </c>
      <c r="H4" s="15">
        <f>IF(AND(ISNUMBER(C4),ISNUMBER(G4)), C4-G4, "")</f>
        <v>89738.4</v>
      </c>
      <c r="I4" s="16" t="str">
        <f>IFERROR(H4/G4, "")</f>
        <v/>
      </c>
      <c r="J4" s="39" t="s">
        <v>62</v>
      </c>
      <c r="K4" s="39" t="s">
        <v>63</v>
      </c>
    </row>
    <row r="5" spans="1:11" ht="12.75" customHeight="1">
      <c r="A5" s="20"/>
      <c r="B5" s="31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25"/>
    <row r="331" spans="1:11" ht="14.25"/>
    <row r="332" spans="1:11" ht="14.25"/>
    <row r="333" spans="1:11" ht="14.25"/>
    <row r="334" spans="1:11" ht="14.25"/>
    <row r="335" spans="1:11" ht="14.25"/>
    <row r="336" spans="1:11" ht="14.25"/>
    <row r="337" ht="14.25"/>
    <row r="338" ht="14.25"/>
    <row r="339" ht="14.25"/>
    <row r="340" ht="14.25"/>
    <row r="341" ht="14.25"/>
    <row r="342" ht="14.25"/>
  </sheetData>
  <mergeCells count="4">
    <mergeCell ref="G1:I1"/>
    <mergeCell ref="A1:C1"/>
    <mergeCell ref="D1:F1"/>
    <mergeCell ref="A2:B2"/>
  </mergeCells>
  <conditionalFormatting sqref="F2 I2 F4:F87 I4:I8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C4" activePane="bottomRight" state="frozen"/>
      <selection pane="bottomRight" activeCell="H7" sqref="H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MD: Frederick – NMWDA – Solar</v>
      </c>
      <c r="B1" s="60"/>
      <c r="C1" s="60"/>
      <c r="D1" s="61" t="s">
        <v>64</v>
      </c>
      <c r="E1" s="61"/>
      <c r="F1" s="61"/>
      <c r="G1" s="59" t="s">
        <v>65</v>
      </c>
      <c r="H1" s="59"/>
      <c r="I1" s="59"/>
      <c r="J1" s="5"/>
      <c r="K1" s="5"/>
    </row>
    <row r="2" spans="1:11" ht="19.5" customHeight="1">
      <c r="A2" s="62" t="s">
        <v>2</v>
      </c>
      <c r="B2" s="62"/>
      <c r="C2" s="6">
        <f>SUM(C4:C88)</f>
        <v>63040.451999999997</v>
      </c>
      <c r="D2" s="6">
        <f>SUM(D4:D88)</f>
        <v>0</v>
      </c>
      <c r="E2" s="6">
        <f>C2-D2</f>
        <v>63040.451999999997</v>
      </c>
      <c r="F2" s="7">
        <f>IFERROR(E2/D2, 0)</f>
        <v>0</v>
      </c>
      <c r="G2" s="6">
        <f>SUM(G4:G88)</f>
        <v>0</v>
      </c>
      <c r="H2" s="8">
        <f>C2-G2</f>
        <v>63040.451999999997</v>
      </c>
      <c r="I2" s="7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76.5">
      <c r="A4" s="42" t="str" cm="1">
        <f t="array" ref="A4">Sites[Site]</f>
        <v>Frederick MD - NMWDA</v>
      </c>
      <c r="B4" s="27" t="str" cm="1">
        <f t="array" ref="B4">Sites[State]</f>
        <v>MD</v>
      </c>
      <c r="C4" s="23">
        <v>63040.451999999997</v>
      </c>
      <c r="D4" s="13">
        <v>0</v>
      </c>
      <c r="E4" s="13">
        <f>IF(AND(ISNUMBER(C4),ISNUMBER(D4)), C4-D4, "")</f>
        <v>63040.451999999997</v>
      </c>
      <c r="F4" s="14" t="str">
        <f>IFERROR(E4/D4, "")</f>
        <v/>
      </c>
      <c r="G4" s="15">
        <v>0</v>
      </c>
      <c r="H4" s="15">
        <f>IF(AND(ISNUMBER(C4),ISNUMBER(G4)), C4-G4, "")</f>
        <v>63040.451999999997</v>
      </c>
      <c r="I4" s="16" t="str">
        <f>IFERROR(H4/G4, "")</f>
        <v/>
      </c>
      <c r="J4" s="39" t="s">
        <v>66</v>
      </c>
      <c r="K4" s="39" t="s">
        <v>67</v>
      </c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  <row r="331" spans="1:11" ht="14.25"/>
    <row r="332" spans="1:11" ht="14.25"/>
    <row r="333" spans="1:11" ht="14.25"/>
    <row r="334" spans="1:11" ht="14.25"/>
    <row r="335" spans="1:11" ht="14.25"/>
    <row r="336" spans="1:11" ht="14.25"/>
    <row r="337" ht="14.25"/>
    <row r="338" ht="14.25"/>
    <row r="339" ht="14.25"/>
    <row r="340" ht="14.25"/>
    <row r="341" ht="14.25"/>
    <row r="342" ht="14.25"/>
  </sheetData>
  <mergeCells count="4">
    <mergeCell ref="G1:I1"/>
    <mergeCell ref="A1:C1"/>
    <mergeCell ref="D1:F1"/>
    <mergeCell ref="A2:B2"/>
  </mergeCells>
  <conditionalFormatting sqref="F2 I2 F4:F88 I4:I8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18" sqref="B18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68</v>
      </c>
      <c r="B1" t="s">
        <v>69</v>
      </c>
    </row>
    <row r="3" spans="1:7" ht="13.15">
      <c r="A3" t="s">
        <v>70</v>
      </c>
      <c r="B3" t="s">
        <v>3</v>
      </c>
      <c r="C3" t="s">
        <v>4</v>
      </c>
      <c r="D3" t="s">
        <v>71</v>
      </c>
      <c r="E3" s="2" t="s">
        <v>72</v>
      </c>
    </row>
    <row r="4" spans="1:7" ht="14.45">
      <c r="A4" s="3" t="s">
        <v>73</v>
      </c>
      <c r="B4" t="s">
        <v>73</v>
      </c>
      <c r="C4" s="4" t="s">
        <v>74</v>
      </c>
      <c r="E4" t="s">
        <v>75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B09F59-6532-46F8-924A-9A02417E070D}"/>
</file>

<file path=customXml/itemProps2.xml><?xml version="1.0" encoding="utf-8"?>
<ds:datastoreItem xmlns:ds="http://schemas.openxmlformats.org/officeDocument/2006/customXml" ds:itemID="{14966E4F-347B-477B-B74C-9DAC05405806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D3A7101F-9A85-4235-8B03-415370C100B2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E3716282-BFD2-4ED2-BA47-BFA1123827F0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BE26B669-A686-459C-A5E9-FEC3409C4C81}"/>
</file>

<file path=customXml/itemProps11.xml><?xml version="1.0" encoding="utf-8"?>
<ds:datastoreItem xmlns:ds="http://schemas.openxmlformats.org/officeDocument/2006/customXml" ds:itemID="{CB52044A-5C0B-44A2-99D0-C1C315EC302D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1954BBA4-0359-438C-B0EC-A756015F7C02}"/>
</file>

<file path=customXml/itemProps15.xml><?xml version="1.0" encoding="utf-8"?>
<ds:datastoreItem xmlns:ds="http://schemas.openxmlformats.org/officeDocument/2006/customXml" ds:itemID="{078388C9-06F9-42F4-B857-EF76B5CAF1FD}"/>
</file>

<file path=customXml/itemProps16.xml><?xml version="1.0" encoding="utf-8"?>
<ds:datastoreItem xmlns:ds="http://schemas.openxmlformats.org/officeDocument/2006/customXml" ds:itemID="{0389C43E-394D-44C0-87DC-4780FCFCFB40}"/>
</file>

<file path=customXml/itemProps17.xml><?xml version="1.0" encoding="utf-8"?>
<ds:datastoreItem xmlns:ds="http://schemas.openxmlformats.org/officeDocument/2006/customXml" ds:itemID="{8D732231-4216-4543-A665-18A2886B0EB7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7946C510-7D04-49D8-9B25-EEC04582A1CA}"/>
</file>

<file path=customXml/itemProps20.xml><?xml version="1.0" encoding="utf-8"?>
<ds:datastoreItem xmlns:ds="http://schemas.openxmlformats.org/officeDocument/2006/customXml" ds:itemID="{C0BCDC1E-6052-4E48-9BAF-94A40814E7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2025-04-10T19:30:21Z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2024-10-10T20:35:44Z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4d4d6722-2360-4afc-b871-8fb4d81c0fc4</vt:lpwstr>
  </property>
  <property fmtid="{D5CDD505-2E9C-101B-9397-08002B2CF9AE}" pid="9" name="MSIP_Label_9d817c99-0b37-4a07-8277-96aa1f96b74b_ContentBits">
    <vt:lpwstr>0</vt:lpwstr>
  </property>
</Properties>
</file>