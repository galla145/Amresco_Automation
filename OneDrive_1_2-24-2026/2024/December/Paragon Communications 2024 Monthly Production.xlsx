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4E05795C-7772-44C8-96BA-4A8EADCD1B62}" xr6:coauthVersionLast="47" xr6:coauthVersionMax="47" xr10:uidLastSave="{917682EE-FC53-41D3-AB43-2C0ADD4FB094}"/>
  <bookViews>
    <workbookView xWindow="-108" yWindow="-108" windowWidth="23256" windowHeight="1245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<sst xmlns="http://schemas.openxmlformats.org/spreadsheetml/2006/main" count="254" uniqueCount="66">
  <si>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</si>
  <si>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</si>
  <si>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</si>
  <si>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</si>
  <si>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</si>
  <si>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</si>
  <si>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</si>
  <si>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</si>
  <si>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</si>
  <si>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</si>
  <si>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</si>
  <si>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</si>
  <si>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</si>
  <si>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</si>
  <si>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</si>
  <si>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</si>
  <si>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</si>
  <si>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</si>
  <si>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</si>
  <si>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</si>
  <si>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</si>
  <si>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</si>
  <si>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</si>
  <si>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</si>
  <si>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</si>
  <si>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</si>
  <si>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South RCB CB 9-16, 2.13 SM-14 is tripped offline on 03/02
 and back online on 03/03</t>
  </si>
  <si>
    <t>1. SR081522</t>
  </si>
  <si>
    <t>April Actual v. Expected</t>
  </si>
  <si>
    <t>April Actual v. Forecasted</t>
  </si>
  <si>
    <t>May Actual v. Expected</t>
  </si>
  <si>
    <t>May Actual v. Forecasted</t>
  </si>
  <si>
    <t>1.  North RCB - CB 1-8, 1.4 ND-11 is tripped offline at 12:30pm on 05/09 and back online on 05/10.</t>
  </si>
  <si>
    <t>1. 	SR084519</t>
  </si>
  <si>
    <t>June Actual v. Expected</t>
  </si>
  <si>
    <t>June Actual v. Forecasted</t>
  </si>
  <si>
    <t>1. North RCB - CB 1-8, 1.4 ND-11 is tripped offline at 12:30pm 06/08 and back online on 06/10.
2. Inverter N offline at 06:00AM on 06/27 and back online at 14:15 on same day.</t>
  </si>
  <si>
    <t>1.SR085760
2.SR087025</t>
  </si>
  <si>
    <t>July Actual v. Expected</t>
  </si>
  <si>
    <t>July Actual v. Forecasted</t>
  </si>
  <si>
    <t>1. North RCB - CB 9-14 Combiner Box 1.10 tripped offline at 13:15 on 07/28 and back online on 07/29.</t>
  </si>
  <si>
    <t>1. SR088321</t>
  </si>
  <si>
    <t>August Actual v. Expected</t>
  </si>
  <si>
    <t>August Actual v. Forecasted</t>
  </si>
  <si>
    <t>September Actual v. Expected</t>
  </si>
  <si>
    <t>September Actual v. Forecasted</t>
  </si>
  <si>
    <t>1. North RCB - CB 9-14 Combiner Box 1.10 tripped offline at 14:00 on 09/03 and back online on 09/04.</t>
  </si>
  <si>
    <t>1. SR089826</t>
  </si>
  <si>
    <t>October Actual v. Expected</t>
  </si>
  <si>
    <t>October Actual v. Forecasted</t>
  </si>
  <si>
    <t>Site Expired in AE</t>
  </si>
  <si>
    <t>November Actual v. Expected</t>
  </si>
  <si>
    <t>November Actual v. Forecasted</t>
  </si>
  <si>
    <t>December Actual v. Expected</t>
  </si>
  <si>
    <t>December Actual v. Forecasted</t>
  </si>
  <si>
    <t>1. Site is offline on 12/07 and back online on 12/08.
2. Site expired in AE since 12/18</t>
  </si>
  <si>
    <t>1. SR094243</t>
  </si>
  <si>
    <t>Portfolio:</t>
  </si>
  <si>
    <t>MA: Bolton - Paragon</t>
  </si>
  <si>
    <t>Site DAS Name</t>
  </si>
  <si>
    <t>Update</t>
  </si>
  <si>
    <t>DAS</t>
  </si>
  <si>
    <t>Paragon Communications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</si>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</sst>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1254854</v>
      </c>
      <c r="D2" s="5">
        <f>SUM(D4:D79)</f>
        <v>1617350.67</v>
      </c>
      <c r="E2" s="5">
        <f>C2-D2</f>
        <v>-362496.66999999993</v>
      </c>
      <c r="F2" s="6">
        <f>IFERROR(E2/D2, 0)</f>
        <v>-0.22412991611769631</v>
      </c>
      <c r="G2" s="5">
        <f>SUM(G4:G79)</f>
        <v>0</v>
      </c>
      <c r="H2" s="7">
        <f>C2-G2</f>
        <v>1254854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Bolton - Paragon</v>
      </c>
      <c r="B4" s="9" t="str" cm="1">
        <f t="array" ref="B4">Sites[State]</f>
        <v>MA</v>
      </c>
      <c r="C4" s="23">
        <f>SUM('1st Qtr'!C4, '2nd Qtr'!C4, '3rd Qtr'!C4, '4th Qtr'!C4)</f>
        <v>1254854</v>
      </c>
      <c r="D4" s="12">
        <f>SUM('1st Qtr'!D4, '2nd Qtr'!D4, '3rd Qtr'!D4, '4th Qtr'!D4)</f>
        <v>1617350.67</v>
      </c>
      <c r="E4" s="12">
        <f>IF(AND(ISNUMBER(C4),ISNUMBER(D4)), C4-D4, "")</f>
        <v>-362496.66999999993</v>
      </c>
      <c r="F4" s="13">
        <f>IFERROR(E4/D4, "")</f>
        <v>-0.22412991611769631</v>
      </c>
      <c r="G4" s="14">
        <f>SUM('1st Qtr'!G4, '2nd Qtr'!G4, '3rd Qtr'!G4, '4th Qtr'!G4)</f>
        <v>0</v>
      </c>
      <c r="H4" s="14">
        <f>SUM('1st Qtr'!H4, '2nd Qtr'!H4, '3rd Qtr'!H4, '4th Qtr'!H4)</f>
        <v>1254854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204971</v>
      </c>
      <c r="D2" s="5">
        <f>SUM(D4:D79)</f>
        <v>255235.71</v>
      </c>
      <c r="E2" s="5">
        <f>C2-D2</f>
        <v>-50264.709999999992</v>
      </c>
      <c r="F2" s="6">
        <f>IFERROR(E2/D2, 0)</f>
        <v>-0.19693447284472848</v>
      </c>
      <c r="G2" s="5">
        <f>SUM(G4:G79)</f>
        <v>0</v>
      </c>
      <c r="H2" s="7">
        <f>C2-G2</f>
        <v>204971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SUM(Jan!C4, Feb!C4, Mar!C4)</f>
        <v>204971</v>
      </c>
      <c r="D4" s="12">
        <f>SUM(Jan!D4, Feb!D4, Mar!D4)</f>
        <v>255235.71</v>
      </c>
      <c r="E4" s="12">
        <f>IF(AND(ISNUMBER(C4),ISNUMBER(D4)), C4-D4, "")</f>
        <v>-50264.709999999992</v>
      </c>
      <c r="F4" s="13">
        <f>IFERROR(E4/D4, "")</f>
        <v>-0.19693447284472848</v>
      </c>
      <c r="G4" s="14">
        <f>SUM(Jan!G4, Feb!G4, Mar!G4)</f>
        <v>0</v>
      </c>
      <c r="H4" s="14">
        <f>SUM(Jan!H4, Feb!H4, Mar!H4)</f>
        <v>204971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439462</v>
      </c>
      <c r="D2" s="5">
        <f>SUM(D4:D79)</f>
        <v>551358.4</v>
      </c>
      <c r="E2" s="5">
        <f>C2-D2</f>
        <v>-111896.40000000002</v>
      </c>
      <c r="F2" s="6">
        <f>IFERROR(E2/D2, 0)</f>
        <v>-0.20294675840614748</v>
      </c>
      <c r="G2" s="5">
        <f>SUM(G4:G79)</f>
        <v>0</v>
      </c>
      <c r="H2" s="7">
        <f>C2-G2</f>
        <v>439462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SUM(Apr!C4, May!C4, Jun!C4)</f>
        <v>439462</v>
      </c>
      <c r="D4" s="12">
        <f>SUM(Apr!D4, May!D4, Jun!D4)</f>
        <v>551358.4</v>
      </c>
      <c r="E4" s="12">
        <f>IF(AND(ISNUMBER(C4),ISNUMBER(D4)), C4-D4, "")</f>
        <v>-111896.40000000002</v>
      </c>
      <c r="F4" s="13">
        <f>IFERROR(E4/D4, "")</f>
        <v>-0.20294675840614748</v>
      </c>
      <c r="G4" s="14">
        <f>SUM(Apr!G4,May!G4,Jun!G4)</f>
        <v>0</v>
      </c>
      <c r="H4" s="14">
        <f>SUM(Apr!H4, May!H4, Jun!H4)</f>
        <v>439462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407091</v>
      </c>
      <c r="D2" s="5">
        <f>SUM(D4:D79)</f>
        <v>519992</v>
      </c>
      <c r="E2" s="5">
        <f>C2-D2</f>
        <v>-112901</v>
      </c>
      <c r="F2" s="6">
        <f>IFERROR(E2/D2, 0)</f>
        <v>-0.21712064800996939</v>
      </c>
      <c r="G2" s="5">
        <f>SUM(G4:G79)</f>
        <v>0</v>
      </c>
      <c r="H2" s="7">
        <f>C2-G2</f>
        <v>407091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SUM(Jul!C4, Aug!C4, Sep!C4)</f>
        <v>407091</v>
      </c>
      <c r="D4" s="12">
        <f>SUM(Jul!D4, Aug!D4, Sep!D4)</f>
        <v>519992</v>
      </c>
      <c r="E4" s="12">
        <f>IF(AND(ISNUMBER(C4),ISNUMBER(D4)), C4-D4, "")</f>
        <v>-112901</v>
      </c>
      <c r="F4" s="13">
        <f>IFERROR(E4/D4, "")</f>
        <v>-0.21712064800996939</v>
      </c>
      <c r="G4" s="14">
        <f>SUM(Jul!G4,Aug!G4,Sep!G4)</f>
        <v>0</v>
      </c>
      <c r="H4" s="14">
        <f>SUM(Jul!H4, Aug!H4, Sep!H4)</f>
        <v>407091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203330</v>
      </c>
      <c r="D2" s="5">
        <f>SUM(D4:D79)</f>
        <v>290764.56</v>
      </c>
      <c r="E2" s="5">
        <f>C2-D2</f>
        <v>-87434.559999999998</v>
      </c>
      <c r="F2" s="6">
        <f>IFERROR(E2/D2, 0)</f>
        <v>-0.3007056981084627</v>
      </c>
      <c r="G2" s="5">
        <f>SUM(G4:G79)</f>
        <v>0</v>
      </c>
      <c r="H2" s="7">
        <f>C2-G2</f>
        <v>203330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SUM(Oct!C4, Nov!C4, Dec!C4)</f>
        <v>203330</v>
      </c>
      <c r="D4" s="12">
        <f>SUM(Oct!D4, Nov!D4, Dec!D4)</f>
        <v>290764.56</v>
      </c>
      <c r="E4" s="12">
        <f>IF(AND(ISNUMBER(C4),ISNUMBER(D4)), C4-D4, "")</f>
        <v>-87434.559999999998</v>
      </c>
      <c r="F4" s="13">
        <f>IFERROR(E4/D4, "")</f>
        <v>-0.3007056981084627</v>
      </c>
      <c r="G4" s="14">
        <f>SUM(Oct!G4,Nov!G4,Dec!G4)</f>
        <v>0</v>
      </c>
      <c r="H4" s="14">
        <f>SUM(Oct!H4, Nov!H4, Dec!H4)</f>
        <v>203330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7" sqref="G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23676</v>
      </c>
      <c r="D2" s="5">
        <f>SUM(D4:D78)</f>
        <v>48430.71</v>
      </c>
      <c r="E2" s="5">
        <f>C2-D2</f>
        <v>-24754.71</v>
      </c>
      <c r="F2" s="6">
        <f>IFERROR(E2/D2, 0)</f>
        <v>-0.51113663210801574</v>
      </c>
      <c r="G2" s="5">
        <f>SUM(G4:G78)</f>
        <v>0</v>
      </c>
      <c r="H2" s="7">
        <f>C2-G2</f>
        <v>23676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Bolton - Paragon</v>
      </c>
      <c r="B4" s="27" t="str" cm="1">
        <f t="array" ref="B4">Sites[State]</f>
        <v>MA</v>
      </c>
      <c r="C4" s="50">
        <v>23676</v>
      </c>
      <c r="D4" s="51">
        <v>48430.71</v>
      </c>
      <c r="E4" s="12">
        <f>IF(AND(ISNUMBER(C4),ISNUMBER(D4)), C4-D4, "")</f>
        <v>-24754.71</v>
      </c>
      <c r="F4" s="40">
        <f>IFERROR(E4/D4, "")</f>
        <v>-0.51113663210801574</v>
      </c>
      <c r="G4" s="53">
        <v>0</v>
      </c>
      <c r="H4" s="14">
        <f>IF(AND(ISNUMBER(C4),ISNUMBER(G4)), C4-G4, "")</f>
        <v>23676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9" sqref="G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69800</v>
      </c>
      <c r="D2" s="5">
        <f>SUM(D4:D79)</f>
        <v>84973</v>
      </c>
      <c r="E2" s="5">
        <f>C2-D2</f>
        <v>-15173</v>
      </c>
      <c r="F2" s="6">
        <f>IFERROR(E2/D2, 0)</f>
        <v>-0.17856260223835807</v>
      </c>
      <c r="G2" s="5">
        <f>SUM(G4:G79)</f>
        <v>0</v>
      </c>
      <c r="H2" s="7">
        <f>C2-G2</f>
        <v>69800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Bolton - Paragon</v>
      </c>
      <c r="B4" s="27" t="str" cm="1">
        <f t="array" ref="B4">Sites[State]</f>
        <v>MA</v>
      </c>
      <c r="C4" s="23">
        <v>69800</v>
      </c>
      <c r="D4" s="12">
        <v>84973</v>
      </c>
      <c r="E4" s="12">
        <f>IF(AND(ISNUMBER(C4),ISNUMBER(D4)), C4-D4, "")</f>
        <v>-15173</v>
      </c>
      <c r="F4" s="13">
        <f>IFERROR(E4/D4, "")</f>
        <v>-0.17856260223835807</v>
      </c>
      <c r="G4" s="14">
        <v>0</v>
      </c>
      <c r="H4" s="14">
        <f>IF(AND(ISNUMBER(C4),ISNUMBER(G4)), C4-G4, "")</f>
        <v>69800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G18" sqref="G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111495</v>
      </c>
      <c r="D2" s="5">
        <f>SUM(D4:D79)</f>
        <v>121832</v>
      </c>
      <c r="E2" s="5">
        <f>C2-D2</f>
        <v>-10337</v>
      </c>
      <c r="F2" s="6">
        <f>IFERROR(E2/D2, 0)</f>
        <v>-8.4846345787641997E-2</v>
      </c>
      <c r="G2" s="5">
        <f>SUM(G4:G79)</f>
        <v>0</v>
      </c>
      <c r="H2" s="7">
        <f>C2-G2</f>
        <v>111495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111495</v>
      </c>
      <c r="D4" s="12">
        <v>121832</v>
      </c>
      <c r="E4" s="12">
        <f>IF(AND(ISNUMBER(C4),ISNUMBER(D4)), C4-D4, "")</f>
        <v>-10337</v>
      </c>
      <c r="F4" s="13">
        <f>IFERROR(E4/D4, "")</f>
        <v>-8.4846345787641997E-2</v>
      </c>
      <c r="G4" s="14">
        <v>0</v>
      </c>
      <c r="H4" s="14">
        <f>IF(AND(ISNUMBER(C4),ISNUMBER(G4)), C4-G4, "")</f>
        <v>111495</v>
      </c>
      <c r="I4" s="15" t="str">
        <f>IFERROR(H4/G4, "")</f>
        <v/>
      </c>
      <c r="J4" s="36" t="s">
        <v>26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127761</v>
      </c>
      <c r="D2" s="5">
        <f>SUM(D4:D79)</f>
        <v>156141.6</v>
      </c>
      <c r="E2" s="5">
        <f>C2-D2</f>
        <v>-28380.600000000006</v>
      </c>
      <c r="F2" s="6">
        <f>IFERROR(E2/D2, 0)</f>
        <v>-0.18176193916291369</v>
      </c>
      <c r="G2" s="5">
        <f>SUM(G4:G79)</f>
        <v>0</v>
      </c>
      <c r="H2" s="7">
        <f>C2-G2</f>
        <v>127761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127761</v>
      </c>
      <c r="D4" s="12">
        <v>156141.6</v>
      </c>
      <c r="E4" s="12">
        <f>IF(AND(ISNUMBER(C4),ISNUMBER(D4)), C4-D4, "")</f>
        <v>-28380.600000000006</v>
      </c>
      <c r="F4" s="13">
        <f>IFERROR(E4/D4, "")</f>
        <v>-0.18176193916291369</v>
      </c>
      <c r="G4" s="14">
        <v>0</v>
      </c>
      <c r="H4" s="14">
        <f>IF(AND(ISNUMBER(C4),ISNUMBER(G4)), C4-G4, "")</f>
        <v>127761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17" sqref="H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149605</v>
      </c>
      <c r="D2" s="5">
        <f>SUM(D4:D79)</f>
        <v>188114.7</v>
      </c>
      <c r="E2" s="5">
        <f>C2-D2</f>
        <v>-38509.700000000012</v>
      </c>
      <c r="F2" s="6">
        <f>IFERROR(E2/D2, 0)</f>
        <v>-0.20471393251032488</v>
      </c>
      <c r="G2" s="5">
        <f>SUM(G4:G79)</f>
        <v>0</v>
      </c>
      <c r="H2" s="7">
        <f>C2-G2</f>
        <v>149605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149605</v>
      </c>
      <c r="D4" s="12">
        <v>188114.7</v>
      </c>
      <c r="E4" s="12">
        <f>IF(AND(ISNUMBER(C4),ISNUMBER(D4)), C4-D4, "")</f>
        <v>-38509.700000000012</v>
      </c>
      <c r="F4" s="13">
        <f>IFERROR(E4/D4, "")</f>
        <v>-0.20471393251032488</v>
      </c>
      <c r="G4" s="14">
        <v>0</v>
      </c>
      <c r="H4" s="14">
        <f>IF(AND(ISNUMBER(C4),ISNUMBER(G4)), C4-G4, "")</f>
        <v>149605</v>
      </c>
      <c r="I4" s="15" t="str">
        <f>IFERROR(H4/G4, "")</f>
        <v/>
      </c>
      <c r="J4" s="36" t="s">
        <v>32</v>
      </c>
      <c r="K4" s="3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3" sqref="J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162096</v>
      </c>
      <c r="D2" s="5">
        <f>SUM(D4:D79)</f>
        <v>207102.1</v>
      </c>
      <c r="E2" s="5">
        <f>C2-D2</f>
        <v>-45006.100000000006</v>
      </c>
      <c r="F2" s="6">
        <f>IFERROR(E2/D2, 0)</f>
        <v>-0.21731358590762723</v>
      </c>
      <c r="G2" s="5">
        <f>SUM(G4:G79)</f>
        <v>0</v>
      </c>
      <c r="H2" s="7">
        <f>C2-G2</f>
        <v>162096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162096</v>
      </c>
      <c r="D4" s="12">
        <v>207102.1</v>
      </c>
      <c r="E4" s="12">
        <f>IF(AND(ISNUMBER(C4),ISNUMBER(D4)), C4-D4, "")</f>
        <v>-45006.100000000006</v>
      </c>
      <c r="F4" s="13">
        <f>IFERROR(E4/D4, "")</f>
        <v>-0.21731358590762723</v>
      </c>
      <c r="G4" s="14">
        <v>0</v>
      </c>
      <c r="H4" s="14">
        <f>IF(AND(ISNUMBER(C4),ISNUMBER(G4)), C4-G4, "")</f>
        <v>162096</v>
      </c>
      <c r="I4" s="15" t="str">
        <f>IFERROR(H4/G4, "")</f>
        <v/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154411</v>
      </c>
      <c r="D2" s="5">
        <f>SUM(D4:D79)</f>
        <v>196452.7</v>
      </c>
      <c r="E2" s="5">
        <f>C2-D2</f>
        <v>-42041.700000000012</v>
      </c>
      <c r="F2" s="6">
        <f>IFERROR(E2/D2, 0)</f>
        <v>-0.214004185231356</v>
      </c>
      <c r="G2" s="5">
        <f>SUM(G4:G79)</f>
        <v>0</v>
      </c>
      <c r="H2" s="7">
        <f>C2-G2</f>
        <v>154411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154411</v>
      </c>
      <c r="D4" s="12">
        <v>196452.7</v>
      </c>
      <c r="E4" s="12">
        <f>IF(AND(ISNUMBER(C4),ISNUMBER(D4)), C4-D4, "")</f>
        <v>-42041.700000000012</v>
      </c>
      <c r="F4" s="13">
        <f>IFERROR(E4/D4, "")</f>
        <v>-0.214004185231356</v>
      </c>
      <c r="G4" s="14">
        <v>0</v>
      </c>
      <c r="H4" s="14">
        <f>IF(AND(ISNUMBER(C4),ISNUMBER(G4)), C4-G4, "")</f>
        <v>154411</v>
      </c>
      <c r="I4" s="15" t="str">
        <f>IFERROR(H4/G4, "")</f>
        <v/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136841</v>
      </c>
      <c r="D2" s="5">
        <f>SUM(D4:D79)</f>
        <v>174521.5</v>
      </c>
      <c r="E2" s="5">
        <f>C2-D2</f>
        <v>-37680.5</v>
      </c>
      <c r="F2" s="6">
        <f>IFERROR(E2/D2, 0)</f>
        <v>-0.21590749563807324</v>
      </c>
      <c r="G2" s="5">
        <f>SUM(G4:G79)</f>
        <v>0</v>
      </c>
      <c r="H2" s="7">
        <f>C2-G2</f>
        <v>136841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136841</v>
      </c>
      <c r="D4" s="12">
        <v>174521.5</v>
      </c>
      <c r="E4" s="12">
        <f>IF(AND(ISNUMBER(C4),ISNUMBER(D4)), C4-D4, "")</f>
        <v>-37680.5</v>
      </c>
      <c r="F4" s="13">
        <f>IFERROR(E4/D4, "")</f>
        <v>-0.21590749563807324</v>
      </c>
      <c r="G4" s="14">
        <v>0</v>
      </c>
      <c r="H4" s="14">
        <f>IF(AND(ISNUMBER(C4),ISNUMBER(G4)), C4-G4, "")</f>
        <v>136841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115839</v>
      </c>
      <c r="D2" s="5">
        <f>SUM(D4:D79)</f>
        <v>149017.79999999999</v>
      </c>
      <c r="E2" s="5">
        <f>C2-D2</f>
        <v>-33178.799999999988</v>
      </c>
      <c r="F2" s="6">
        <f>IFERROR(E2/D2, 0)</f>
        <v>-0.22264991162129619</v>
      </c>
      <c r="G2" s="5">
        <f>SUM(G4:G79)</f>
        <v>0</v>
      </c>
      <c r="H2" s="7">
        <f>C2-G2</f>
        <v>115839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115839</v>
      </c>
      <c r="D4" s="12">
        <v>149017.79999999999</v>
      </c>
      <c r="E4" s="12">
        <f>IF(AND(ISNUMBER(C4),ISNUMBER(D4)), C4-D4, "")</f>
        <v>-33178.799999999988</v>
      </c>
      <c r="F4" s="13">
        <f>IFERROR(E4/D4, "")</f>
        <v>-0.22264991162129619</v>
      </c>
      <c r="G4" s="14">
        <v>0</v>
      </c>
      <c r="H4" s="14">
        <f>IF(AND(ISNUMBER(C4),ISNUMBER(G4)), C4-G4, "")</f>
        <v>115839</v>
      </c>
      <c r="I4" s="15" t="str">
        <f>IFERROR(H4/G4, "")</f>
        <v/>
      </c>
      <c r="J4" s="36" t="s">
        <v>46</v>
      </c>
      <c r="K4" s="36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97510</v>
      </c>
      <c r="D2" s="5">
        <f>SUM(D4:D79)</f>
        <v>125579.7</v>
      </c>
      <c r="E2" s="5">
        <f>C2-D2</f>
        <v>-28069.699999999997</v>
      </c>
      <c r="F2" s="6">
        <f>IFERROR(E2/D2, 0)</f>
        <v>-0.22352099901496816</v>
      </c>
      <c r="G2" s="5">
        <f>SUM(G4:G79)</f>
        <v>0</v>
      </c>
      <c r="H2" s="7">
        <f>C2-G2</f>
        <v>97510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97510</v>
      </c>
      <c r="D4" s="12">
        <v>125579.7</v>
      </c>
      <c r="E4" s="12">
        <f>IF(AND(ISNUMBER(C4),ISNUMBER(D4)), C4-D4, "")</f>
        <v>-28069.699999999997</v>
      </c>
      <c r="F4" s="13">
        <f>IFERROR(E4/D4, "")</f>
        <v>-0.22352099901496816</v>
      </c>
      <c r="G4" s="14">
        <v>0</v>
      </c>
      <c r="H4" s="14">
        <f>IF(AND(ISNUMBER(C4),ISNUMBER(G4)), C4-G4, "")</f>
        <v>97510</v>
      </c>
      <c r="I4" s="15" t="str">
        <f>IFERROR(H4/G4, "")</f>
        <v/>
      </c>
      <c r="J4" s="36" t="s">
        <v>50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F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51</v>
      </c>
      <c r="E1" s="56"/>
      <c r="F1" s="56"/>
      <c r="G1" s="54" t="s">
        <v>52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64325</v>
      </c>
      <c r="D2" s="5">
        <f>SUM(D4:D79)</f>
        <v>92320.31</v>
      </c>
      <c r="E2" s="5">
        <f>C2-D2</f>
        <v>-27995.309999999998</v>
      </c>
      <c r="F2" s="6">
        <f>IFERROR(E2/D2, 0)</f>
        <v>-0.30324107447212861</v>
      </c>
      <c r="G2" s="5">
        <f>SUM(G4:G79)</f>
        <v>0</v>
      </c>
      <c r="H2" s="7">
        <f>C2-G2</f>
        <v>64325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64325</v>
      </c>
      <c r="D4" s="12">
        <v>92320.31</v>
      </c>
      <c r="E4" s="12">
        <f>IF(AND(ISNUMBER(C4),ISNUMBER(D4)), C4-D4, "")</f>
        <v>-27995.309999999998</v>
      </c>
      <c r="F4" s="13">
        <f>IFERROR(E4/D4, "")</f>
        <v>-0.30324107447212861</v>
      </c>
      <c r="G4" s="14">
        <v>0</v>
      </c>
      <c r="H4" s="14">
        <f>IF(AND(ISNUMBER(C4),ISNUMBER(G4)), C4-G4, "")</f>
        <v>64325</v>
      </c>
      <c r="I4" s="15" t="str">
        <f>IFERROR(H4/G4, "")</f>
        <v/>
      </c>
      <c r="J4" s="36" t="s">
        <v>50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53</v>
      </c>
      <c r="E1" s="56"/>
      <c r="F1" s="56"/>
      <c r="G1" s="54" t="s">
        <v>54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41495</v>
      </c>
      <c r="D2" s="5">
        <f>SUM(D4:D79)</f>
        <v>72864.55</v>
      </c>
      <c r="E2" s="5">
        <f>C2-D2</f>
        <v>-31369.550000000003</v>
      </c>
      <c r="F2" s="6">
        <f>IFERROR(E2/D2, 0)</f>
        <v>-0.43051868158109813</v>
      </c>
      <c r="G2" s="5">
        <f>SUM(G4:G79)</f>
        <v>0</v>
      </c>
      <c r="H2" s="7">
        <f>C2-G2</f>
        <v>41495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41495</v>
      </c>
      <c r="D4" s="12">
        <v>72864.55</v>
      </c>
      <c r="E4" s="12">
        <f>IF(AND(ISNUMBER(C4),ISNUMBER(D4)), C4-D4, "")</f>
        <v>-31369.550000000003</v>
      </c>
      <c r="F4" s="13">
        <f>IFERROR(E4/D4, "")</f>
        <v>-0.43051868158109813</v>
      </c>
      <c r="G4" s="14">
        <v>0</v>
      </c>
      <c r="H4" s="14">
        <f>IF(AND(ISNUMBER(C4),ISNUMBER(G4)), C4-G4, "")</f>
        <v>41495</v>
      </c>
      <c r="I4" s="15" t="str">
        <f>IFERROR(H4/G4, "")</f>
        <v/>
      </c>
      <c r="J4" s="36" t="s">
        <v>55</v>
      </c>
      <c r="K4" s="36" t="s">
        <v>56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4" sqref="D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57</v>
      </c>
      <c r="B1" t="s">
        <v>58</v>
      </c>
    </row>
    <row r="3" spans="1:12" ht="13.1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12" ht="14.45">
      <c r="A4" s="45" t="s">
        <v>62</v>
      </c>
      <c r="B4" t="s">
        <v>58</v>
      </c>
      <c r="C4" s="43" t="s">
        <v>63</v>
      </c>
      <c r="D4" s="42" t="s">
        <v>64</v>
      </c>
      <c r="E4" t="s">
        <v>65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2025-01-14T07:20:20Z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