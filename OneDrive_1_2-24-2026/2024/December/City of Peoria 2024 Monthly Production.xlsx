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216" documentId="13_ncr:1_{F74BB4AE-E9EE-4820-9EFF-F3A0E24D8F0F}" xr6:coauthVersionLast="47" xr6:coauthVersionMax="47" xr10:uidLastSave="{B7C23429-C40B-43A2-89A7-3E38D35DD89D}"/>
  <bookViews>
    <workbookView xWindow="-98" yWindow="-98" windowWidth="21795" windowHeight="12975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31" l="1"/>
  <c r="D6" i="34"/>
  <c r="D7" i="34"/>
  <c r="D12" i="34"/>
  <c r="D5" i="34"/>
  <c r="C6" i="34"/>
  <c r="C12" i="34"/>
  <c r="G6" i="18"/>
  <c r="G7" i="18"/>
  <c r="G2" i="18" s="1"/>
  <c r="G8" i="18"/>
  <c r="G9" i="18"/>
  <c r="G10" i="18"/>
  <c r="G11" i="18"/>
  <c r="G12" i="18"/>
  <c r="G6" i="29"/>
  <c r="G7" i="29"/>
  <c r="G8" i="29"/>
  <c r="G9" i="29"/>
  <c r="G10" i="29"/>
  <c r="G11" i="29"/>
  <c r="G12" i="29"/>
  <c r="G5" i="29"/>
  <c r="G4" i="29"/>
  <c r="G2" i="29" s="1"/>
  <c r="D11" i="30"/>
  <c r="D11" i="34" s="1"/>
  <c r="C11" i="30"/>
  <c r="C11" i="34" s="1"/>
  <c r="G6" i="30"/>
  <c r="G7" i="30"/>
  <c r="G8" i="30"/>
  <c r="G9" i="30"/>
  <c r="G10" i="30"/>
  <c r="G11" i="30"/>
  <c r="G12" i="30"/>
  <c r="G5" i="30"/>
  <c r="G2" i="30" s="1"/>
  <c r="G4" i="30"/>
  <c r="I11" i="32"/>
  <c r="H11" i="32"/>
  <c r="E10" i="32"/>
  <c r="E11" i="32"/>
  <c r="F11" i="32" s="1"/>
  <c r="G5" i="18"/>
  <c r="G4" i="18"/>
  <c r="E7" i="72"/>
  <c r="F7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72"/>
  <c r="F13" i="72" s="1"/>
  <c r="H13" i="72"/>
  <c r="I13" i="72" s="1"/>
  <c r="G6" i="1"/>
  <c r="G7" i="1"/>
  <c r="G8" i="1"/>
  <c r="G9" i="1"/>
  <c r="G9" i="34" s="1"/>
  <c r="G10" i="1"/>
  <c r="G11" i="1"/>
  <c r="G12" i="1"/>
  <c r="G5" i="1"/>
  <c r="G4" i="1"/>
  <c r="B4" i="34" a="1"/>
  <c r="B4" i="34" s="1"/>
  <c r="A4" i="34" a="1"/>
  <c r="A4" i="34" s="1"/>
  <c r="A1" i="34" a="1"/>
  <c r="A1" i="34" s="1"/>
  <c r="D12" i="30"/>
  <c r="C12" i="30"/>
  <c r="D10" i="30"/>
  <c r="D10" i="34" s="1"/>
  <c r="C10" i="30"/>
  <c r="C10" i="34" s="1"/>
  <c r="D9" i="30"/>
  <c r="D9" i="34" s="1"/>
  <c r="C9" i="30"/>
  <c r="C9" i="34" s="1"/>
  <c r="D8" i="30"/>
  <c r="D8" i="34" s="1"/>
  <c r="C8" i="30"/>
  <c r="C8" i="34" s="1"/>
  <c r="D7" i="30"/>
  <c r="C7" i="30"/>
  <c r="C7" i="34" s="1"/>
  <c r="D6" i="30"/>
  <c r="C6" i="30"/>
  <c r="D5" i="30"/>
  <c r="C5" i="30"/>
  <c r="C5" i="34" s="1"/>
  <c r="D4" i="30"/>
  <c r="C4" i="30"/>
  <c r="D12" i="29"/>
  <c r="C12" i="29"/>
  <c r="D11" i="29"/>
  <c r="C11" i="29"/>
  <c r="E11" i="29" s="1"/>
  <c r="F11" i="29" s="1"/>
  <c r="D10" i="29"/>
  <c r="C10" i="29"/>
  <c r="E10" i="29" s="1"/>
  <c r="F10" i="29" s="1"/>
  <c r="D9" i="29"/>
  <c r="C9" i="29"/>
  <c r="D8" i="29"/>
  <c r="C8" i="29"/>
  <c r="D7" i="29"/>
  <c r="C7" i="29"/>
  <c r="D6" i="29"/>
  <c r="C6" i="29"/>
  <c r="E6" i="29" s="1"/>
  <c r="F6" i="29" s="1"/>
  <c r="D5" i="29"/>
  <c r="C5" i="29"/>
  <c r="D4" i="29"/>
  <c r="C4" i="29"/>
  <c r="D12" i="18"/>
  <c r="C12" i="18"/>
  <c r="E12" i="18" s="1"/>
  <c r="F12" i="18" s="1"/>
  <c r="D11" i="18"/>
  <c r="C11" i="18"/>
  <c r="D10" i="18"/>
  <c r="C10" i="18"/>
  <c r="D9" i="18"/>
  <c r="C9" i="18"/>
  <c r="D8" i="18"/>
  <c r="C8" i="18"/>
  <c r="E8" i="18" s="1"/>
  <c r="F8" i="18" s="1"/>
  <c r="D7" i="18"/>
  <c r="C7" i="18"/>
  <c r="D6" i="18"/>
  <c r="C6" i="18"/>
  <c r="D5" i="18"/>
  <c r="C5" i="18"/>
  <c r="D4" i="18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5" i="1"/>
  <c r="D4" i="1"/>
  <c r="B4" i="1" a="1"/>
  <c r="B4" i="1" s="1"/>
  <c r="A4" i="1" a="1"/>
  <c r="A4" i="1" s="1"/>
  <c r="A1" i="1" a="1"/>
  <c r="A1" i="1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2" i="32"/>
  <c r="I12" i="32" s="1"/>
  <c r="E12" i="32"/>
  <c r="F12" i="32" s="1"/>
  <c r="H10" i="32"/>
  <c r="I10" i="32" s="1"/>
  <c r="F10" i="32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2" i="31"/>
  <c r="I12" i="31" s="1"/>
  <c r="E12" i="31"/>
  <c r="F12" i="31" s="1"/>
  <c r="H11" i="3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8" i="72"/>
  <c r="F8" i="72" s="1"/>
  <c r="E9" i="72"/>
  <c r="F9" i="72" s="1"/>
  <c r="E10" i="72"/>
  <c r="F10" i="72" s="1"/>
  <c r="E11" i="72"/>
  <c r="F11" i="72" s="1"/>
  <c r="E12" i="72"/>
  <c r="F12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6" i="34" l="1"/>
  <c r="G5" i="34"/>
  <c r="G4" i="34"/>
  <c r="G12" i="34"/>
  <c r="G7" i="34"/>
  <c r="G10" i="34"/>
  <c r="G8" i="34"/>
  <c r="E11" i="30"/>
  <c r="F11" i="30" s="1"/>
  <c r="E5" i="30"/>
  <c r="F5" i="30" s="1"/>
  <c r="H9" i="29"/>
  <c r="I9" i="29" s="1"/>
  <c r="H2" i="27"/>
  <c r="I2" i="27" s="1"/>
  <c r="H12" i="29"/>
  <c r="I12" i="29" s="1"/>
  <c r="H2" i="26"/>
  <c r="I2" i="26" s="1"/>
  <c r="G11" i="34"/>
  <c r="H2" i="19"/>
  <c r="I2" i="19" s="1"/>
  <c r="H2" i="20"/>
  <c r="I2" i="20" s="1"/>
  <c r="D4" i="34"/>
  <c r="D2" i="34" s="1"/>
  <c r="E4" i="18"/>
  <c r="F4" i="18" s="1"/>
  <c r="H6" i="29"/>
  <c r="I6" i="29" s="1"/>
  <c r="D2" i="18"/>
  <c r="E5" i="18"/>
  <c r="F5" i="18" s="1"/>
  <c r="E9" i="18"/>
  <c r="F9" i="18" s="1"/>
  <c r="E8" i="29"/>
  <c r="F8" i="29" s="1"/>
  <c r="E12" i="29"/>
  <c r="F12" i="29" s="1"/>
  <c r="H2" i="28"/>
  <c r="I2" i="28" s="1"/>
  <c r="H2" i="33"/>
  <c r="I2" i="33" s="1"/>
  <c r="E6" i="18"/>
  <c r="F6" i="18" s="1"/>
  <c r="E10" i="18"/>
  <c r="F10" i="18" s="1"/>
  <c r="E4" i="30"/>
  <c r="F4" i="30" s="1"/>
  <c r="H10" i="29"/>
  <c r="I10" i="29" s="1"/>
  <c r="H2" i="31"/>
  <c r="I2" i="31" s="1"/>
  <c r="H2" i="32"/>
  <c r="I2" i="32" s="1"/>
  <c r="H2" i="21"/>
  <c r="I2" i="21" s="1"/>
  <c r="E2" i="20"/>
  <c r="F2" i="20" s="1"/>
  <c r="I10" i="27"/>
  <c r="D2" i="30"/>
  <c r="E8" i="30"/>
  <c r="F8" i="30" s="1"/>
  <c r="E12" i="30"/>
  <c r="F12" i="30" s="1"/>
  <c r="J2" i="32"/>
  <c r="J2" i="21"/>
  <c r="H2" i="4"/>
  <c r="I2" i="4" s="1"/>
  <c r="J2" i="20"/>
  <c r="E2" i="28"/>
  <c r="F2" i="28" s="1"/>
  <c r="J2" i="19"/>
  <c r="D2" i="29"/>
  <c r="J2" i="26"/>
  <c r="H7" i="29"/>
  <c r="I7" i="29" s="1"/>
  <c r="E7" i="18"/>
  <c r="F7" i="18" s="1"/>
  <c r="E11" i="18"/>
  <c r="F11" i="18" s="1"/>
  <c r="E5" i="29"/>
  <c r="F5" i="29" s="1"/>
  <c r="E9" i="29"/>
  <c r="F9" i="29" s="1"/>
  <c r="H6" i="30"/>
  <c r="J2" i="27"/>
  <c r="J2" i="28"/>
  <c r="J2" i="31"/>
  <c r="J2" i="33"/>
  <c r="E9" i="30"/>
  <c r="F9" i="30" s="1"/>
  <c r="E6" i="30"/>
  <c r="F6" i="30" s="1"/>
  <c r="E10" i="30"/>
  <c r="F10" i="30" s="1"/>
  <c r="H2" i="3"/>
  <c r="I2" i="3" s="1"/>
  <c r="E11" i="34"/>
  <c r="F11" i="34" s="1"/>
  <c r="E7" i="1"/>
  <c r="F7" i="1" s="1"/>
  <c r="E12" i="34"/>
  <c r="F12" i="34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0" i="34"/>
  <c r="F10" i="34" s="1"/>
  <c r="E6" i="1"/>
  <c r="F6" i="1" s="1"/>
  <c r="H9" i="30"/>
  <c r="H4" i="30"/>
  <c r="I4" i="30" s="1"/>
  <c r="E7" i="30"/>
  <c r="F7" i="30" s="1"/>
  <c r="H12" i="30"/>
  <c r="H7" i="30"/>
  <c r="H10" i="30"/>
  <c r="H5" i="30"/>
  <c r="H8" i="30"/>
  <c r="H11" i="30"/>
  <c r="E7" i="29"/>
  <c r="F7" i="29" s="1"/>
  <c r="H8" i="29"/>
  <c r="I8" i="29" s="1"/>
  <c r="H11" i="29"/>
  <c r="I11" i="29" s="1"/>
  <c r="I6" i="26"/>
  <c r="I9" i="26"/>
  <c r="I12" i="26"/>
  <c r="H4" i="29"/>
  <c r="I4" i="29" s="1"/>
  <c r="H5" i="29"/>
  <c r="I5" i="29" s="1"/>
  <c r="I7" i="26"/>
  <c r="H9" i="18"/>
  <c r="I9" i="18" s="1"/>
  <c r="H6" i="18"/>
  <c r="I6" i="18" s="1"/>
  <c r="H4" i="18"/>
  <c r="I4" i="18" s="1"/>
  <c r="H12" i="18"/>
  <c r="I12" i="18" s="1"/>
  <c r="H7" i="18"/>
  <c r="I7" i="18" s="1"/>
  <c r="H10" i="18"/>
  <c r="I10" i="18" s="1"/>
  <c r="C4" i="34"/>
  <c r="H5" i="18"/>
  <c r="I5" i="18" s="1"/>
  <c r="H8" i="18"/>
  <c r="I8" i="18" s="1"/>
  <c r="H11" i="18"/>
  <c r="I11" i="18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I11" i="30"/>
  <c r="H11" i="34"/>
  <c r="I11" i="34" s="1"/>
  <c r="I9" i="30"/>
  <c r="H9" i="34"/>
  <c r="I9" i="34" s="1"/>
  <c r="I6" i="30"/>
  <c r="H6" i="34"/>
  <c r="I6" i="34" s="1"/>
  <c r="I8" i="30"/>
  <c r="H8" i="34"/>
  <c r="I8" i="34" s="1"/>
  <c r="I7" i="30"/>
  <c r="H7" i="34"/>
  <c r="I7" i="34" s="1"/>
  <c r="I12" i="30"/>
  <c r="H12" i="34"/>
  <c r="I12" i="34" s="1"/>
  <c r="I5" i="30"/>
  <c r="H5" i="34"/>
  <c r="I5" i="34" s="1"/>
  <c r="I10" i="30"/>
  <c r="H10" i="34"/>
  <c r="I10" i="34" s="1"/>
  <c r="E4" i="34"/>
  <c r="F4" i="34" s="1"/>
  <c r="E2" i="29"/>
  <c r="F2" i="29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<sst xmlns="http://schemas.openxmlformats.org/spreadsheetml/2006/main" count="320" uniqueCount="106">
  <si>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</si>
  <si>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</si>
  <si>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</si>
  <si>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</si>
  <si>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</si>
  <si>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</si>
  <si>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</si>
  <si>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</si>
  <si>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</si>
  <si>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</si>
  <si>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</si>
  <si>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</si>
  <si>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</si>
  <si>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</si>
  <si>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</si>
  <si>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</si>
  <si>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</si>
  <si>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</si>
  <si>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</si>
  <si>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</si>
  <si>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</si>
  <si>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</si>
  <si>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is offline from 01/01 to 01/04</t>
  </si>
  <si>
    <t>1. SR079271</t>
  </si>
  <si>
    <t>1. Inverter B2 was back online from 01/24.</t>
  </si>
  <si>
    <t>1. SR075641</t>
  </si>
  <si>
    <t>February Actual v. Expected</t>
  </si>
  <si>
    <t>February Actual v. Forecasted</t>
  </si>
  <si>
    <t>March Actual v. Expected</t>
  </si>
  <si>
    <t>March Actual v. Forecasted</t>
  </si>
  <si>
    <t>1. Inverter A1 derated due to fan fault on 03/06
2. Inverter A1 is offline from 03/19 at 15:15 and inverter being RMA'd</t>
  </si>
  <si>
    <t>1. SR081608
2. SR082243</t>
  </si>
  <si>
    <t>1. Inverters A1 and B1 tripped offline on 03/07 at 11:45 and back online on 03/08
2. Site is offline from 03/14 at 12:45pm, PV disconnect on the conductors being replaced</t>
  </si>
  <si>
    <t>1. SR081644
2. SR081906</t>
  </si>
  <si>
    <t xml:space="preserve">1. Weather station has inetermittent communication </t>
  </si>
  <si>
    <t>April Actual v. Expected</t>
  </si>
  <si>
    <t>April Actual v. Forecasted</t>
  </si>
  <si>
    <t>1. Inverter A1 is offline from 03/19. Inverter being RMA'd
2. Site performance dropping down due to issue with trackers</t>
  </si>
  <si>
    <t>1. 	SR082243
2. SR085326</t>
  </si>
  <si>
    <t>1. Site is offline from 03/14 at 12:45pm, PV disconnect on the conductors being replaced</t>
  </si>
  <si>
    <t>1. SR081906</t>
  </si>
  <si>
    <t xml:space="preserve">1. Weather station has intermittent communication </t>
  </si>
  <si>
    <t>1. SR085026</t>
  </si>
  <si>
    <t>May Actual v. Expected</t>
  </si>
  <si>
    <t>May Actual v. Forecasted</t>
  </si>
  <si>
    <t>1. Inverter A1 tripped offline at 13:15 on 05/20 and back online at 07:00 on 05/21.</t>
  </si>
  <si>
    <t>1. SR084926</t>
  </si>
  <si>
    <t>1. Inverters B2 tripped offline at 15:00 on 05/14. Inverter being RMA'D.
2. Inverter A1 is offline from 03/19. Inverter being RMA'd
3. Site performance dropping down due to issue with trackers</t>
  </si>
  <si>
    <t xml:space="preserve">1. SR084705
2. SR082243
3. SR085326	</t>
  </si>
  <si>
    <t>June Actual v. Expected</t>
  </si>
  <si>
    <t>June Actual v. Forecasted</t>
  </si>
  <si>
    <t>1. Inverter A1 is offline from 03/19. Inverter being RMA'd.
2. Inverters B2 is offline from 05/14 and back online at 14:00 on 06/13.
3. Site performance dropping down due to issue with trackers</t>
  </si>
  <si>
    <t>1. SR082243
2. SR084705
3. SR085326</t>
  </si>
  <si>
    <t>July Actual v. Expected</t>
  </si>
  <si>
    <t>July Actual v. Forecasted</t>
  </si>
  <si>
    <t>1. Weather station has intermittent in communication.</t>
  </si>
  <si>
    <t>1.SR085026</t>
  </si>
  <si>
    <t>August Actual v. Expected</t>
  </si>
  <si>
    <t>August Actual v. Forecasted</t>
  </si>
  <si>
    <t>September Actual v. Expected</t>
  </si>
  <si>
    <t>September Actual v. Forecasted</t>
  </si>
  <si>
    <t>1. Site is offline from 11:06AM to 11:26AM on 09/12/2024.</t>
  </si>
  <si>
    <t>1. SR090335</t>
  </si>
  <si>
    <t xml:space="preserve">1. Inverter D3 is offline on 09/15, 09/26, 09/28 and 09/29, it was back online on 09/30 </t>
  </si>
  <si>
    <t>1. SR090556</t>
  </si>
  <si>
    <t>October Actual v. Expected</t>
  </si>
  <si>
    <t>October Actual v. Forecasted</t>
  </si>
  <si>
    <t>1.Inverter D3 was offline at 06:30 on 10/01 and back online at  06:15 on 10/03 and Inverter D3 was offline at 06:30 on 10/5 and back online at 06:15 on 10/06 and the Inverter D3 was being RMA'd from 10/10.
2.Inverter B4 tripped offline at 10:00 on 10/14 and back online at 11:15 on 10/22.
3.Since there are several trackers stuck in the afternoon hours. The inverters that are being affected by this are: A1, A2, B1, B2, B3, B4, C1, C2, C3, D2, D3, D4.</t>
  </si>
  <si>
    <t>1.SR090556
2.SR092124
3.SR092803</t>
  </si>
  <si>
    <t>1. Weather station has inetermittent communication due to that expected values are low.</t>
  </si>
  <si>
    <t>November Actual v. Expected</t>
  </si>
  <si>
    <t>November Actual v. Forecasted</t>
  </si>
  <si>
    <t>1.Inverter A2 offline from 11/16 trrough out the month</t>
  </si>
  <si>
    <t>1.	SR095419</t>
  </si>
  <si>
    <t>1.Inverter A1 tripped offline at 09:30 on 11/08 and back online at 10:15 on 11/20. Inverter A1 tripped offline at 10:45 and back online at 12:45 on 11/21.Again Inverter A1 tripped offline at 10:00 on 11/22 and remained offline throughout the month and Inverter A1 was being RMA'd from 11/27.
2.Inverter B4 tripped offline at 14:45 on 11/21 and remained offline throughout the month
3.Inverters A2,A3,B1,B4 were being RMA'd from 11/20.
4.Inverter B2 was offline from 11/26 at 07:00  and back online at 12:00 on 11/27.</t>
  </si>
  <si>
    <t>1.SR093084,SR093529
2.SR093188
3.SR093188
4.SR093640</t>
  </si>
  <si>
    <t>December Actual v. Expected</t>
  </si>
  <si>
    <t>December Actual v. Forecasted</t>
  </si>
  <si>
    <t>1.Inverter A2 offline from 11/16 through out the month</t>
  </si>
  <si>
    <t>1. Inverter A1 was being RMA'd from 11/27.
2. Inverters A2,A3,B1,B4 were being RMA'd from 11/20.</t>
  </si>
  <si>
    <t>1.SR093529
2.SR093188</t>
  </si>
  <si>
    <t>Portfolio:</t>
  </si>
  <si>
    <t>City of Peoria</t>
  </si>
  <si>
    <t>Site DAS Name</t>
  </si>
  <si>
    <t>Update</t>
  </si>
  <si>
    <t>DAS</t>
  </si>
  <si>
    <t>City of Peoria, . - Beardsley WWTP - Admin Building</t>
  </si>
  <si>
    <t>AZ: Peoria - Beardsley WWTP - Ad. Bldg</t>
  </si>
  <si>
    <t>AZ</t>
  </si>
  <si>
    <t>Fire station 191(Peoria)</t>
  </si>
  <si>
    <t>AZ: Peoria - Fire Station 191</t>
  </si>
  <si>
    <t>AEF</t>
  </si>
  <si>
    <t>Fire Station 195 (Peoria)</t>
  </si>
  <si>
    <t>AZ: Peoria - Fire Station 195</t>
  </si>
  <si>
    <t>Fire Station 196(Peoria)</t>
  </si>
  <si>
    <t>AZ: Peoria - Fire Station 196</t>
  </si>
  <si>
    <t>Fire Station 197 (Peoria)</t>
  </si>
  <si>
    <t>AZ: Peoria - Fire Station 197</t>
  </si>
  <si>
    <t>City of Peoria, . - Sunrise Library</t>
  </si>
  <si>
    <t>AZ: Peoria - Sunrise Library</t>
  </si>
  <si>
    <t>Beardsley WWTP - Trackers &amp; East Canopy</t>
  </si>
  <si>
    <t>AZ: Peoria - Beardsley WWTP</t>
  </si>
  <si>
    <t>City of Peoria, . - DCS - Municipal Complex</t>
  </si>
  <si>
    <t>AZ: Peoria - City Hall</t>
  </si>
  <si>
    <t>City of Peoria, . - Pinnacle Peak</t>
  </si>
  <si>
    <t>AZ: Peoria - Pinnacle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</si>
</sst>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0" fontId="35" fillId="0" borderId="0" xfId="0" applyFont="1"/>
    <xf numFmtId="164" fontId="28" fillId="0" borderId="0" xfId="1" applyNumberFormat="1" applyFont="1" applyAlignment="1">
      <alignment horizontal="center" vertical="center"/>
    </xf>
    <xf numFmtId="49" fontId="27" fillId="0" borderId="0" xfId="0" applyNumberFormat="1" applyFont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2" totalsRowShown="0">
  <autoFilter ref="A3:E1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9"/>
  <sheetViews>
    <sheetView workbookViewId="0">
      <pane ySplit="2" topLeftCell="A3" activePane="bottomLeft" state="frozen"/>
      <selection pane="bottomLeft" activeCell="A21" sqref="A21"/>
      <selection activeCell="A13" sqref="A13:XFD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City of Peoria</v>
      </c>
      <c r="B1" s="51"/>
      <c r="C1" s="51"/>
      <c r="D1" s="52" t="s">
        <v>0</v>
      </c>
      <c r="E1" s="52"/>
      <c r="F1" s="52"/>
      <c r="G1" s="50" t="s">
        <v>1</v>
      </c>
      <c r="H1" s="50"/>
      <c r="I1" s="50"/>
    </row>
    <row r="2" spans="1:9" ht="19.5" customHeight="1">
      <c r="A2" s="53" t="s">
        <v>2</v>
      </c>
      <c r="B2" s="53"/>
      <c r="C2" s="6">
        <f>SUM(C4:C97)</f>
        <v>3493009.0737066669</v>
      </c>
      <c r="D2" s="6">
        <f>SUM(D4:D97)</f>
        <v>3441136.4893999998</v>
      </c>
      <c r="E2" s="6">
        <f>C2-D2</f>
        <v>51872.584306667093</v>
      </c>
      <c r="F2" s="7">
        <f>IFERROR(E2/D2, 0)</f>
        <v>1.507425946818856E-2</v>
      </c>
      <c r="G2" s="6">
        <f>SUM(G4:G97)</f>
        <v>3752275.05</v>
      </c>
      <c r="H2" s="8">
        <f>C2-G2</f>
        <v>-259265.97629333287</v>
      </c>
      <c r="I2" s="7">
        <f>IFERROR(H2/G2, 0)</f>
        <v>-6.9095674714286445E-2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0" t="s">
        <v>9</v>
      </c>
      <c r="H3" s="40" t="s">
        <v>7</v>
      </c>
      <c r="I3" s="41" t="s">
        <v>8</v>
      </c>
    </row>
    <row r="4" spans="1:9" ht="15.75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SUM('1st Qtr'!C4, '2nd Qtr'!C4, '3rd Qtr'!C4, '4th Qtr'!C4)</f>
        <v>83316.666373333486</v>
      </c>
      <c r="D4" s="14">
        <f>SUM('1st Qtr'!D4, '2nd Qtr'!D4, '3rd Qtr'!D4, '4th Qtr'!D4)</f>
        <v>74989.69200000001</v>
      </c>
      <c r="E4" s="14">
        <f>IF(AND(ISNUMBER(C4),ISNUMBER(D4)), C4-D4, "")</f>
        <v>8326.9743733334763</v>
      </c>
      <c r="F4" s="15">
        <f>IFERROR(E4/D4, "")</f>
        <v>0.11104158653343282</v>
      </c>
      <c r="G4" s="16">
        <f>SUM('1st Qtr'!G4,'2nd Qtr'!G4,'3rd Qtr'!G4,'4th Qtr'!G4)</f>
        <v>159640.02900000001</v>
      </c>
      <c r="H4" s="16">
        <f>SUM('1st Qtr'!H4, '2nd Qtr'!H4, '3rd Qtr'!H4, '4th Qtr'!H4)</f>
        <v>-76323.362626666523</v>
      </c>
      <c r="I4" s="17">
        <f>IFERROR(H4/G4, "")</f>
        <v>-0.47809664721788869</v>
      </c>
    </row>
    <row r="5" spans="1:9" ht="15.75">
      <c r="A5" s="19" t="str">
        <v>AZ: Peoria - Fire Station 191</v>
      </c>
      <c r="B5" s="11" t="str">
        <v>AZ</v>
      </c>
      <c r="C5" s="20">
        <f>SUM('1st Qtr'!C5, '2nd Qtr'!C5, '3rd Qtr'!C5, '4th Qtr'!C5)</f>
        <v>161199.69419666665</v>
      </c>
      <c r="D5" s="20">
        <f>SUM('1st Qtr'!D5, '2nd Qtr'!D5, '3rd Qtr'!D5, '4th Qtr'!D5)</f>
        <v>138421.96600000001</v>
      </c>
      <c r="E5" s="20">
        <f t="shared" ref="E5:E12" si="0">IF(AND(ISNUMBER(C5),ISNUMBER(D5)), C5-D5, "")</f>
        <v>22777.728196666634</v>
      </c>
      <c r="F5" s="21">
        <f>IFERROR(E5/D5, "")</f>
        <v>0.16455284413939497</v>
      </c>
      <c r="G5" s="22">
        <f>SUM('1st Qtr'!G5,'2nd Qtr'!G5,'3rd Qtr'!G5,'4th Qtr'!G5)</f>
        <v>160628</v>
      </c>
      <c r="H5" s="20">
        <f>SUM('1st Qtr'!H5, '2nd Qtr'!H5, '3rd Qtr'!H5, '4th Qtr'!H5)</f>
        <v>571.69419666664908</v>
      </c>
      <c r="I5" s="21">
        <f>IFERROR(H5/G5, "")</f>
        <v>3.5591191863600935E-3</v>
      </c>
    </row>
    <row r="6" spans="1:9" ht="15.75">
      <c r="A6" s="13" t="str">
        <v>AZ: Peoria - Fire Station 195</v>
      </c>
      <c r="B6" s="10" t="str">
        <v>AZ</v>
      </c>
      <c r="C6" s="26">
        <f>SUM('1st Qtr'!C6, '2nd Qtr'!C6, '3rd Qtr'!C6, '4th Qtr'!C6)</f>
        <v>80378.840846666542</v>
      </c>
      <c r="D6" s="14">
        <f>SUM('1st Qtr'!D6, '2nd Qtr'!D6, '3rd Qtr'!D6, '4th Qtr'!D6)</f>
        <v>80737.500999999989</v>
      </c>
      <c r="E6" s="14">
        <f t="shared" si="0"/>
        <v>-358.66015333344694</v>
      </c>
      <c r="F6" s="15">
        <f t="shared" ref="F6:F12" si="1">IFERROR(E6/D6, "")</f>
        <v>-4.4422994134218621E-3</v>
      </c>
      <c r="G6" s="16">
        <f>SUM('1st Qtr'!G6,'2nd Qtr'!G6,'3rd Qtr'!G6,'4th Qtr'!G6)</f>
        <v>93968.814999999988</v>
      </c>
      <c r="H6" s="16">
        <f>SUM('1st Qtr'!H6, '2nd Qtr'!H6, '3rd Qtr'!H6, '4th Qtr'!H6)</f>
        <v>-13589.974153333451</v>
      </c>
      <c r="I6" s="17">
        <f>IFERROR(H6/G6, "")</f>
        <v>-0.14462217229549454</v>
      </c>
    </row>
    <row r="7" spans="1:9" ht="15.75">
      <c r="A7" s="19" t="str">
        <v>AZ: Peoria - Fire Station 196</v>
      </c>
      <c r="B7" s="11" t="str">
        <v>AZ</v>
      </c>
      <c r="C7" s="20">
        <f>SUM('1st Qtr'!C7, '2nd Qtr'!C7, '3rd Qtr'!C7, '4th Qtr'!C7)</f>
        <v>59289.719803333326</v>
      </c>
      <c r="D7" s="20">
        <f>SUM('1st Qtr'!D7, '2nd Qtr'!D7, '3rd Qtr'!D7, '4th Qtr'!D7)</f>
        <v>0</v>
      </c>
      <c r="E7" s="20">
        <f t="shared" si="0"/>
        <v>59289.719803333326</v>
      </c>
      <c r="F7" s="21">
        <f>IFERROR(E7/D7, 0)</f>
        <v>0</v>
      </c>
      <c r="G7" s="22">
        <f>SUM('1st Qtr'!G7,'2nd Qtr'!G7,'3rd Qtr'!G7,'4th Qtr'!G7)</f>
        <v>0</v>
      </c>
      <c r="H7" s="20">
        <f>SUM('1st Qtr'!H7, '2nd Qtr'!H7, '3rd Qtr'!H7, '4th Qtr'!H7)</f>
        <v>59289.719803333326</v>
      </c>
      <c r="I7" s="21">
        <f>IFERROR(H7/G7, 0)</f>
        <v>0</v>
      </c>
    </row>
    <row r="8" spans="1:9" ht="15.75">
      <c r="A8" s="13" t="str">
        <v>AZ: Peoria - Fire Station 197</v>
      </c>
      <c r="B8" s="10" t="str">
        <v>AZ</v>
      </c>
      <c r="C8" s="26">
        <f>SUM('1st Qtr'!C8, '2nd Qtr'!C8, '3rd Qtr'!C8, '4th Qtr'!C8)</f>
        <v>23292.790436666786</v>
      </c>
      <c r="D8" s="14">
        <f>SUM('1st Qtr'!D8, '2nd Qtr'!D8, '3rd Qtr'!D8, '4th Qtr'!D8)</f>
        <v>97548.573000000004</v>
      </c>
      <c r="E8" s="14">
        <f t="shared" si="0"/>
        <v>-74255.782563333225</v>
      </c>
      <c r="F8" s="15">
        <f t="shared" si="1"/>
        <v>-0.76121854251351495</v>
      </c>
      <c r="G8" s="16">
        <f>SUM('1st Qtr'!G8,'2nd Qtr'!G8,'3rd Qtr'!G8,'4th Qtr'!G8)</f>
        <v>118786.216</v>
      </c>
      <c r="H8" s="16">
        <f>SUM('1st Qtr'!H8, '2nd Qtr'!H8, '3rd Qtr'!H8, '4th Qtr'!H8)</f>
        <v>-95493.425563333221</v>
      </c>
      <c r="I8" s="17">
        <f>IFERROR(H8/G8, "")</f>
        <v>-0.80390998870890218</v>
      </c>
    </row>
    <row r="9" spans="1:9" ht="15.75">
      <c r="A9" s="19" t="str">
        <v>AZ: Peoria - Sunrise Library</v>
      </c>
      <c r="B9" s="11" t="str">
        <v>AZ</v>
      </c>
      <c r="C9" s="20">
        <f>SUM('1st Qtr'!C9, '2nd Qtr'!C9, '3rd Qtr'!C9, '4th Qtr'!C9)</f>
        <v>316504.99205</v>
      </c>
      <c r="D9" s="20">
        <f>SUM('1st Qtr'!D9, '2nd Qtr'!D9, '3rd Qtr'!D9, '4th Qtr'!D9)</f>
        <v>278446.52</v>
      </c>
      <c r="E9" s="20">
        <f t="shared" si="0"/>
        <v>38058.472049999982</v>
      </c>
      <c r="F9" s="21">
        <f t="shared" si="1"/>
        <v>0.13668144263393911</v>
      </c>
      <c r="G9" s="22">
        <f>SUM('1st Qtr'!G9,'2nd Qtr'!G9,'3rd Qtr'!G9,'4th Qtr'!G9)</f>
        <v>367402</v>
      </c>
      <c r="H9" s="20">
        <f>SUM('1st Qtr'!H9, '2nd Qtr'!H9, '3rd Qtr'!H9, '4th Qtr'!H9)</f>
        <v>-50897.007950000043</v>
      </c>
      <c r="I9" s="21">
        <f>IFERROR(H9/G9, "")</f>
        <v>-0.13853220164833083</v>
      </c>
    </row>
    <row r="10" spans="1:9" ht="15.75">
      <c r="A10" s="13" t="str">
        <v>AZ: Peoria - Beardsley WWTP</v>
      </c>
      <c r="B10" s="10" t="str">
        <v>AZ</v>
      </c>
      <c r="C10" s="26">
        <f>SUM('1st Qtr'!C10, '2nd Qtr'!C10, '3rd Qtr'!C10, '4th Qtr'!C10)</f>
        <v>2295929</v>
      </c>
      <c r="D10" s="14">
        <f>SUM('1st Qtr'!D10, '2nd Qtr'!D10, '3rd Qtr'!D10, '4th Qtr'!D10)</f>
        <v>2449622.4</v>
      </c>
      <c r="E10" s="14">
        <f t="shared" si="0"/>
        <v>-153693.39999999991</v>
      </c>
      <c r="F10" s="15">
        <f t="shared" si="1"/>
        <v>-6.2741669899817998E-2</v>
      </c>
      <c r="G10" s="16">
        <f>SUM('1st Qtr'!G10,'2nd Qtr'!G10,'3rd Qtr'!G10,'4th Qtr'!G10)</f>
        <v>2226921</v>
      </c>
      <c r="H10" s="16">
        <f>SUM('1st Qtr'!H10, '2nd Qtr'!H10, '3rd Qtr'!H10, '4th Qtr'!H10)</f>
        <v>69008</v>
      </c>
      <c r="I10" s="17">
        <f>IFERROR(H10/G10, "")</f>
        <v>3.0988077260037515E-2</v>
      </c>
    </row>
    <row r="11" spans="1:9" ht="15.75">
      <c r="A11" s="19" t="str">
        <v>AZ: Peoria - City Hall</v>
      </c>
      <c r="B11" s="11" t="str">
        <v>AZ</v>
      </c>
      <c r="C11" s="20">
        <f>SUM('1st Qtr'!C11, '2nd Qtr'!C11, '3rd Qtr'!C11, '4th Qtr'!C11)</f>
        <v>209989.37000000011</v>
      </c>
      <c r="D11" s="20">
        <f>SUM('1st Qtr'!D11, '2nd Qtr'!D11, '3rd Qtr'!D11, '4th Qtr'!D11)</f>
        <v>194665.27000000002</v>
      </c>
      <c r="E11" s="20">
        <f t="shared" si="0"/>
        <v>15324.100000000093</v>
      </c>
      <c r="F11" s="21">
        <f t="shared" si="1"/>
        <v>7.8720256571704297E-2</v>
      </c>
      <c r="G11" s="22">
        <f>SUM('1st Qtr'!G11,'2nd Qtr'!G11,'3rd Qtr'!G11,'4th Qtr'!G11)</f>
        <v>350839.99</v>
      </c>
      <c r="H11" s="20">
        <f>SUM('1st Qtr'!H11, '2nd Qtr'!H11, '3rd Qtr'!H11, '4th Qtr'!H11)</f>
        <v>-141711.0799999999</v>
      </c>
      <c r="I11" s="21">
        <f>IFERROR(H11/G11, "")</f>
        <v>-0.40391940496862944</v>
      </c>
    </row>
    <row r="12" spans="1:9" ht="15.75">
      <c r="A12" s="13" t="str">
        <v>AZ: Peoria - Pinnacle Peak</v>
      </c>
      <c r="B12" s="10" t="str">
        <v>AZ</v>
      </c>
      <c r="C12" s="26">
        <f>SUM('1st Qtr'!C12, '2nd Qtr'!C12, '3rd Qtr'!C12, '4th Qtr'!C12)</f>
        <v>263107.99999999988</v>
      </c>
      <c r="D12" s="14">
        <f>SUM('1st Qtr'!D12, '2nd Qtr'!D12, '3rd Qtr'!D12, '4th Qtr'!D12)</f>
        <v>126704.5674</v>
      </c>
      <c r="E12" s="14">
        <f t="shared" si="0"/>
        <v>136403.43259999988</v>
      </c>
      <c r="F12" s="15">
        <f t="shared" si="1"/>
        <v>1.0765470842845077</v>
      </c>
      <c r="G12" s="16">
        <f>SUM('1st Qtr'!G12,'2nd Qtr'!G12,'3rd Qtr'!G12,'4th Qtr'!G12)</f>
        <v>274089</v>
      </c>
      <c r="H12" s="16">
        <f>SUM('1st Qtr'!H12, '2nd Qtr'!H12, '3rd Qtr'!H12, '4th Qtr'!H12)</f>
        <v>-10981.000000000098</v>
      </c>
      <c r="I12" s="17">
        <f>IFERROR(H12/G12, "")</f>
        <v>-4.006362896723363E-2</v>
      </c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7 I4:I9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8"/>
  <sheetViews>
    <sheetView workbookViewId="0">
      <pane ySplit="2" topLeftCell="A3" activePane="bottomLeft" state="frozen"/>
      <selection pane="bottomLeft" activeCell="E20" sqref="E20"/>
      <selection activeCell="A13" sqref="A13:XFD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City of Peoria</v>
      </c>
      <c r="B1" s="51"/>
      <c r="C1" s="51"/>
      <c r="D1" s="52" t="s">
        <v>10</v>
      </c>
      <c r="E1" s="52"/>
      <c r="F1" s="52"/>
      <c r="G1" s="50" t="s">
        <v>11</v>
      </c>
      <c r="H1" s="50"/>
      <c r="I1" s="50"/>
    </row>
    <row r="2" spans="1:9" ht="19.5" customHeight="1">
      <c r="A2" s="53" t="s">
        <v>2</v>
      </c>
      <c r="B2" s="53"/>
      <c r="C2" s="6">
        <f>SUM(C4:C96)</f>
        <v>736720.00493666669</v>
      </c>
      <c r="D2" s="6">
        <f>SUM(D4:D96)</f>
        <v>721451.33299999998</v>
      </c>
      <c r="E2" s="6">
        <f>C2-D2</f>
        <v>15268.671936666709</v>
      </c>
      <c r="F2" s="7">
        <f>IFERROR(E2/D2, 0)</f>
        <v>2.1163828020353399E-2</v>
      </c>
      <c r="G2" s="6">
        <f>SUM(G4:G96)</f>
        <v>847363.96400000004</v>
      </c>
      <c r="H2" s="8">
        <f>C2-G2</f>
        <v>-110643.95906333334</v>
      </c>
      <c r="I2" s="7">
        <f>IFERROR(H2/G2, 0)</f>
        <v>-0.13057430309053517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SUM(Jan!C4, Feb!C4, Mar!C4)</f>
        <v>16455.855493333369</v>
      </c>
      <c r="D4" s="14">
        <f>SUM(Jan!D4, Feb!D4, Mar!D4)</f>
        <v>12969.027</v>
      </c>
      <c r="E4" s="14">
        <f>IF(AND(ISNUMBER(C4),ISNUMBER(D4)), C4-D4, "")</f>
        <v>3486.8284933333689</v>
      </c>
      <c r="F4" s="15">
        <f>IFERROR(E4/D4, "")</f>
        <v>0.26885814127253871</v>
      </c>
      <c r="G4" s="16">
        <f>SUM(Jan!G4, Feb!G4, Mar!G4)</f>
        <v>31737.821</v>
      </c>
      <c r="H4" s="16">
        <f>SUM(Jan!H4, Feb!H4, Mar!H4)</f>
        <v>-15281.965506666631</v>
      </c>
      <c r="I4" s="17">
        <f>IFERROR(H4/G4, "")</f>
        <v>-0.48150644956585492</v>
      </c>
    </row>
    <row r="5" spans="1:9" ht="15.75">
      <c r="A5" s="19" t="str">
        <v>AZ: Peoria - Fire Station 191</v>
      </c>
      <c r="B5" s="11" t="str">
        <v>AZ</v>
      </c>
      <c r="C5" s="12">
        <f>SUM(Jan!C5, Feb!C5, Mar!C5)</f>
        <v>32853.71231666673</v>
      </c>
      <c r="D5" s="20">
        <f>SUM(Jan!D5, Feb!D5, Mar!D5)</f>
        <v>28830.924999999999</v>
      </c>
      <c r="E5" s="20">
        <f t="shared" ref="E5:E12" si="0">IF(AND(ISNUMBER(C5),ISNUMBER(D5)), C5-D5, "")</f>
        <v>4022.7873166667305</v>
      </c>
      <c r="F5" s="21">
        <f>IFERROR(E5/D5, "")</f>
        <v>0.13953028966870576</v>
      </c>
      <c r="G5" s="22">
        <f>SUM(Jan!G5, Feb!G5, Mar!G5)</f>
        <v>35205</v>
      </c>
      <c r="H5" s="22">
        <f>SUM(Jan!H5, Feb!H5, Mar!H5)</f>
        <v>-2351.2876833332703</v>
      </c>
      <c r="I5" s="21">
        <f>IFERROR(H5/G5, "")</f>
        <v>-6.6788458552287183E-2</v>
      </c>
    </row>
    <row r="6" spans="1:9" ht="15.75">
      <c r="A6" s="13" t="str">
        <v>AZ: Peoria - Fire Station 195</v>
      </c>
      <c r="B6" s="10" t="str">
        <v>AZ</v>
      </c>
      <c r="C6" s="26">
        <f>SUM(Jan!C6, Feb!C6, Mar!C6)</f>
        <v>16098.688313333259</v>
      </c>
      <c r="D6" s="14">
        <f>SUM(Jan!D6, Feb!D6, Mar!D6)</f>
        <v>15356.848</v>
      </c>
      <c r="E6" s="14">
        <f t="shared" si="0"/>
        <v>741.84031333325947</v>
      </c>
      <c r="F6" s="15">
        <f t="shared" ref="F6:F12" si="1">IFERROR(E6/D6, "")</f>
        <v>4.8306808358932737E-2</v>
      </c>
      <c r="G6" s="16">
        <f>SUM(Jan!G6, Feb!G6, Mar!G6)</f>
        <v>20490.702000000001</v>
      </c>
      <c r="H6" s="16">
        <f>SUM(Jan!H6, Feb!H6, Mar!H6)</f>
        <v>-4392.0136866667399</v>
      </c>
      <c r="I6" s="17">
        <f t="shared" ref="I6:I12" si="2">IFERROR(H6/G6, "")</f>
        <v>-0.2143417871513987</v>
      </c>
    </row>
    <row r="7" spans="1:9" ht="15.75">
      <c r="A7" s="19" t="str">
        <v>AZ: Peoria - Fire Station 196</v>
      </c>
      <c r="B7" s="11" t="str">
        <v>AZ</v>
      </c>
      <c r="C7" s="12">
        <f>SUM(Jan!C7, Feb!C7, Mar!C7)</f>
        <v>11913.281173333329</v>
      </c>
      <c r="D7" s="20">
        <f>SUM(Jan!D7, Feb!D7, Mar!D7)</f>
        <v>0</v>
      </c>
      <c r="E7" s="20">
        <f t="shared" si="0"/>
        <v>11913.281173333329</v>
      </c>
      <c r="F7" s="21">
        <f>IFERROR(E7/D7, 0)</f>
        <v>0</v>
      </c>
      <c r="G7" s="22">
        <f>SUM(Jan!G7, Feb!G7, Mar!G7)</f>
        <v>0</v>
      </c>
      <c r="H7" s="22">
        <f>SUM(Jan!H7, Feb!H7, Mar!H7)</f>
        <v>11913.281173333329</v>
      </c>
      <c r="I7" s="21">
        <f>IFERROR(H7/G7, 0)</f>
        <v>0</v>
      </c>
    </row>
    <row r="8" spans="1:9" ht="15.75">
      <c r="A8" s="13" t="str">
        <v>AZ: Peoria - Fire Station 197</v>
      </c>
      <c r="B8" s="10" t="str">
        <v>AZ</v>
      </c>
      <c r="C8" s="26">
        <f>SUM(Jan!C8, Feb!C8, Mar!C8)</f>
        <v>24755.48692000005</v>
      </c>
      <c r="D8" s="14">
        <f>SUM(Jan!D8, Feb!D8, Mar!D8)</f>
        <v>19852.922999999999</v>
      </c>
      <c r="E8" s="14">
        <f t="shared" si="0"/>
        <v>4902.5639200000514</v>
      </c>
      <c r="F8" s="15">
        <f t="shared" si="1"/>
        <v>0.2469441865059393</v>
      </c>
      <c r="G8" s="16">
        <f>SUM(Jan!G8, Feb!G8, Mar!G8)</f>
        <v>25838.861000000001</v>
      </c>
      <c r="H8" s="16">
        <f>SUM(Jan!H8, Feb!H8, Mar!H8)</f>
        <v>-1083.3740799999496</v>
      </c>
      <c r="I8" s="17">
        <f t="shared" si="2"/>
        <v>-4.1928089632122315E-2</v>
      </c>
    </row>
    <row r="9" spans="1:9" ht="15.75">
      <c r="A9" s="19" t="str">
        <v>AZ: Peoria - Sunrise Library</v>
      </c>
      <c r="B9" s="11" t="str">
        <v>AZ</v>
      </c>
      <c r="C9" s="12">
        <f>SUM(Jan!C9, Feb!C9, Mar!C9)</f>
        <v>63863.230719999898</v>
      </c>
      <c r="D9" s="20">
        <f>SUM(Jan!D9, Feb!D9, Mar!D9)</f>
        <v>48887.25</v>
      </c>
      <c r="E9" s="20">
        <f t="shared" si="0"/>
        <v>14975.980719999898</v>
      </c>
      <c r="F9" s="21">
        <f t="shared" si="1"/>
        <v>0.30633714762028746</v>
      </c>
      <c r="G9" s="22">
        <f>SUM(Jan!G9, Feb!G9, Mar!G9)</f>
        <v>80048</v>
      </c>
      <c r="H9" s="22">
        <f>SUM(Jan!H9, Feb!H9, Mar!H9)</f>
        <v>-16184.7692800001</v>
      </c>
      <c r="I9" s="21">
        <f t="shared" si="2"/>
        <v>-0.20218830301819035</v>
      </c>
    </row>
    <row r="10" spans="1:9" ht="15.75">
      <c r="A10" s="13" t="str">
        <v>AZ: Peoria - Beardsley WWTP</v>
      </c>
      <c r="B10" s="10" t="str">
        <v>AZ</v>
      </c>
      <c r="C10" s="26">
        <f>SUM(Jan!C10, Feb!C10, Mar!C10)</f>
        <v>450652</v>
      </c>
      <c r="D10" s="14">
        <f>SUM(Jan!D10, Feb!D10, Mar!D10)</f>
        <v>496026.1</v>
      </c>
      <c r="E10" s="14">
        <f t="shared" si="0"/>
        <v>-45374.099999999977</v>
      </c>
      <c r="F10" s="15">
        <f t="shared" si="1"/>
        <v>-9.1475226807621574E-2</v>
      </c>
      <c r="G10" s="16">
        <f>SUM(Jan!G10, Feb!G10, Mar!G10)</f>
        <v>483706</v>
      </c>
      <c r="H10" s="16">
        <f>SUM(Jan!H10, Feb!H10, Mar!H10)</f>
        <v>-33054</v>
      </c>
      <c r="I10" s="17">
        <f t="shared" si="2"/>
        <v>-6.8334897644436912E-2</v>
      </c>
    </row>
    <row r="11" spans="1:9" ht="15.75">
      <c r="A11" s="19" t="str">
        <v>AZ: Peoria - City Hall</v>
      </c>
      <c r="B11" s="11" t="str">
        <v>AZ</v>
      </c>
      <c r="C11" s="12">
        <f>SUM(Jan!C11, Feb!C11, Mar!C11)</f>
        <v>66030.5</v>
      </c>
      <c r="D11" s="20">
        <f>SUM(Jan!D11, Feb!D11, Mar!D11)</f>
        <v>63679.03</v>
      </c>
      <c r="E11" s="20">
        <f t="shared" si="0"/>
        <v>2351.4700000000012</v>
      </c>
      <c r="F11" s="21">
        <f t="shared" si="1"/>
        <v>3.6926912988467335E-2</v>
      </c>
      <c r="G11" s="22">
        <f>SUM(Jan!G11, Feb!G11, Mar!G11)</f>
        <v>110627.58</v>
      </c>
      <c r="H11" s="22">
        <f>SUM(Jan!H11, Feb!H11, Mar!H11)</f>
        <v>-44597.08</v>
      </c>
      <c r="I11" s="21">
        <f t="shared" si="2"/>
        <v>-0.40312804456176299</v>
      </c>
    </row>
    <row r="12" spans="1:9" ht="15.75">
      <c r="A12" s="13" t="str">
        <v>AZ: Peoria - Pinnacle Peak</v>
      </c>
      <c r="B12" s="10" t="str">
        <v>AZ</v>
      </c>
      <c r="C12" s="26">
        <f>SUM(Jan!C12, Feb!C12, Mar!C12)</f>
        <v>54097.25</v>
      </c>
      <c r="D12" s="14">
        <f>SUM(Jan!D12, Feb!D12, Mar!D12)</f>
        <v>35849.229999999996</v>
      </c>
      <c r="E12" s="14">
        <f t="shared" si="0"/>
        <v>18248.020000000004</v>
      </c>
      <c r="F12" s="15">
        <f t="shared" si="1"/>
        <v>0.50902125373404128</v>
      </c>
      <c r="G12" s="16">
        <f>SUM(Jan!G12, Feb!G12, Mar!G12)</f>
        <v>59710</v>
      </c>
      <c r="H12" s="16">
        <f>SUM(Jan!H12, Feb!H12, Mar!H12)</f>
        <v>-5612.75</v>
      </c>
      <c r="I12" s="17">
        <f t="shared" si="2"/>
        <v>-9.4000167476134655E-2</v>
      </c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75" customHeight="1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6 I4:I96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9"/>
  <sheetViews>
    <sheetView workbookViewId="0">
      <pane ySplit="2" topLeftCell="A3" activePane="bottomLeft" state="frozen"/>
      <selection pane="bottomLeft" activeCell="A13" sqref="A13:XFD13"/>
      <selection activeCell="F19" sqref="F1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City of Peoria</v>
      </c>
      <c r="B1" s="51"/>
      <c r="C1" s="51"/>
      <c r="D1" s="52" t="s">
        <v>12</v>
      </c>
      <c r="E1" s="52"/>
      <c r="F1" s="52"/>
      <c r="G1" s="50" t="s">
        <v>13</v>
      </c>
      <c r="H1" s="50"/>
      <c r="I1" s="50"/>
    </row>
    <row r="2" spans="1:9" ht="19.5" customHeight="1">
      <c r="A2" s="53" t="s">
        <v>2</v>
      </c>
      <c r="B2" s="53"/>
      <c r="C2" s="6">
        <f>SUM(C4:C97)</f>
        <v>1067912.5345066665</v>
      </c>
      <c r="D2" s="6">
        <f>SUM(D4:D97)</f>
        <v>1079461.1969999999</v>
      </c>
      <c r="E2" s="6">
        <f>C2-D2</f>
        <v>-11548.662493333453</v>
      </c>
      <c r="F2" s="7">
        <f>IFERROR(E2/D2, 0)</f>
        <v>-1.0698543426506746E-2</v>
      </c>
      <c r="G2" s="6">
        <f>SUM(G4:G97)</f>
        <v>1041662.97</v>
      </c>
      <c r="H2" s="8">
        <f>C2-G2</f>
        <v>26249.564506666502</v>
      </c>
      <c r="I2" s="7">
        <f>IFERROR(H2/G2, 0)</f>
        <v>2.5199671354993548E-2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SUM(Apr!C4, May!C4, Jun!C4)</f>
        <v>27340.57265666674</v>
      </c>
      <c r="D4" s="14">
        <f>SUM(Apr!D4, May!D4, Jun!D4)</f>
        <v>27234.171000000002</v>
      </c>
      <c r="E4" s="14">
        <f>IF(AND(ISNUMBER(C4),ISNUMBER(D4)), C4-D4, "")</f>
        <v>106.40165666673784</v>
      </c>
      <c r="F4" s="15">
        <f>IFERROR(E4/D4, "")</f>
        <v>3.9069174041221162E-3</v>
      </c>
      <c r="G4" s="16">
        <f>SUM(Apr!G4,May!G4,Jun!G4)</f>
        <v>53488.800000000003</v>
      </c>
      <c r="H4" s="16">
        <f>SUM(Apr!H4, May!H4, Jun!H4)</f>
        <v>-26148.227343333263</v>
      </c>
      <c r="I4" s="17">
        <f>IFERROR(H4/G4, "")</f>
        <v>-0.48885425254134063</v>
      </c>
    </row>
    <row r="5" spans="1:9" ht="15.75">
      <c r="A5" s="19" t="str">
        <v>AZ: Peoria - Fire Station 191</v>
      </c>
      <c r="B5" s="11" t="str">
        <v>AZ</v>
      </c>
      <c r="C5" s="12">
        <f>SUM(Apr!C5, May!C5, Jun!C5)</f>
        <v>47966.597366666603</v>
      </c>
      <c r="D5" s="20">
        <f>SUM(Apr!D5, May!D5, Jun!D5)</f>
        <v>43109.279999999999</v>
      </c>
      <c r="E5" s="20">
        <f t="shared" ref="E5:E12" si="0">IF(AND(ISNUMBER(C5),ISNUMBER(D5)), C5-D5, "")</f>
        <v>4857.3173666666044</v>
      </c>
      <c r="F5" s="21">
        <f>IFERROR(E5/D5, "")</f>
        <v>0.11267451849501092</v>
      </c>
      <c r="G5" s="48">
        <f>SUM(Apr!G5,May!G5,Jun!G5)</f>
        <v>49116</v>
      </c>
      <c r="H5" s="22">
        <f>SUM(Apr!H5, May!H5, Jun!H5)</f>
        <v>-1149.4026333334023</v>
      </c>
      <c r="I5" s="21">
        <f>IFERROR(H5/G5, "")</f>
        <v>-2.3401796427506359E-2</v>
      </c>
    </row>
    <row r="6" spans="1:9" ht="15.75">
      <c r="A6" s="13" t="str">
        <v>AZ: Peoria - Fire Station 195</v>
      </c>
      <c r="B6" s="10" t="str">
        <v>AZ</v>
      </c>
      <c r="C6" s="26">
        <f>SUM(Apr!C6, May!C6, Jun!C6)</f>
        <v>25985.31232000003</v>
      </c>
      <c r="D6" s="14">
        <f>SUM(Apr!D6, May!D6, Jun!D6)</f>
        <v>27100.639000000003</v>
      </c>
      <c r="E6" s="14">
        <f t="shared" si="0"/>
        <v>-1115.3266799999728</v>
      </c>
      <c r="F6" s="15">
        <f t="shared" ref="F6:F12" si="1">IFERROR(E6/D6, "")</f>
        <v>-4.1154995644197639E-2</v>
      </c>
      <c r="G6" s="16">
        <f>SUM(Apr!G6,May!G6,Jun!G6)</f>
        <v>28764.6</v>
      </c>
      <c r="H6" s="16">
        <f>SUM(Apr!H6, May!H6, Jun!H6)</f>
        <v>-2779.2876799999685</v>
      </c>
      <c r="I6" s="17">
        <f t="shared" ref="I6:I12" si="2">IFERROR(H6/G6, "")</f>
        <v>-9.662180875103317E-2</v>
      </c>
    </row>
    <row r="7" spans="1:9" ht="15.75">
      <c r="A7" s="19" t="str">
        <v>AZ: Peoria - Fire Station 196</v>
      </c>
      <c r="B7" s="11" t="str">
        <v>AZ</v>
      </c>
      <c r="C7" s="12">
        <f>SUM(Apr!C7, May!C7, Jun!C7)</f>
        <v>18927.862130000001</v>
      </c>
      <c r="D7" s="20">
        <f>SUM(Apr!D7, May!D7, Jun!D7)</f>
        <v>0</v>
      </c>
      <c r="E7" s="20">
        <f t="shared" si="0"/>
        <v>18927.862130000001</v>
      </c>
      <c r="F7" s="21" t="str">
        <f t="shared" si="1"/>
        <v/>
      </c>
      <c r="G7" s="48">
        <f>SUM(Apr!G7,May!G7,Jun!G7)</f>
        <v>0</v>
      </c>
      <c r="H7" s="22">
        <f>SUM(Apr!H7, May!H7, Jun!H7)</f>
        <v>18927.862130000001</v>
      </c>
      <c r="I7" s="21" t="str">
        <f t="shared" si="2"/>
        <v/>
      </c>
    </row>
    <row r="8" spans="1:9" ht="15.75">
      <c r="A8" s="13" t="str">
        <v>AZ: Peoria - Fire Station 197</v>
      </c>
      <c r="B8" s="10" t="str">
        <v>AZ</v>
      </c>
      <c r="C8" s="26">
        <f>SUM(Apr!C8, May!C8, Jun!C8)</f>
        <v>38437.314440000002</v>
      </c>
      <c r="D8" s="14">
        <f>SUM(Apr!D8, May!D8, Jun!D8)</f>
        <v>30624.127</v>
      </c>
      <c r="E8" s="14">
        <f t="shared" si="0"/>
        <v>7813.1874400000015</v>
      </c>
      <c r="F8" s="15">
        <f t="shared" si="1"/>
        <v>0.25513176065394455</v>
      </c>
      <c r="G8" s="16">
        <f>SUM(Apr!G8,May!G8,Jun!G8)</f>
        <v>37474.57</v>
      </c>
      <c r="H8" s="16">
        <f>SUM(Apr!H8, May!H8, Jun!H8)</f>
        <v>962.74443999999858</v>
      </c>
      <c r="I8" s="17">
        <f t="shared" si="2"/>
        <v>2.5690606723439351E-2</v>
      </c>
    </row>
    <row r="9" spans="1:9" ht="15.75">
      <c r="A9" s="19" t="str">
        <v>AZ: Peoria - Sunrise Library</v>
      </c>
      <c r="B9" s="11" t="str">
        <v>AZ</v>
      </c>
      <c r="C9" s="12">
        <f>SUM(Apr!C9, May!C9, Jun!C9)</f>
        <v>107516.12559333301</v>
      </c>
      <c r="D9" s="20">
        <f>SUM(Apr!D9, May!D9, Jun!D9)</f>
        <v>100593.15</v>
      </c>
      <c r="E9" s="20">
        <f t="shared" si="0"/>
        <v>6922.9755933330161</v>
      </c>
      <c r="F9" s="21">
        <f t="shared" si="1"/>
        <v>6.8821540963107497E-2</v>
      </c>
      <c r="G9" s="48">
        <f>SUM(Apr!G9,May!G9,Jun!G9)</f>
        <v>112423</v>
      </c>
      <c r="H9" s="22">
        <f>SUM(Apr!H9, May!H9, Jun!H9)</f>
        <v>-4906.8744066669969</v>
      </c>
      <c r="I9" s="21">
        <f t="shared" si="2"/>
        <v>-4.3646535021009909E-2</v>
      </c>
    </row>
    <row r="10" spans="1:9" ht="15.75">
      <c r="A10" s="13" t="str">
        <v>AZ: Peoria - Beardsley WWTP</v>
      </c>
      <c r="B10" s="10" t="str">
        <v>AZ</v>
      </c>
      <c r="C10" s="26">
        <f>SUM(Apr!C10, May!C10, Jun!C10)</f>
        <v>719877</v>
      </c>
      <c r="D10" s="14">
        <f>SUM(Apr!D10, May!D10, Jun!D10)</f>
        <v>793136.5</v>
      </c>
      <c r="E10" s="14">
        <f t="shared" si="0"/>
        <v>-73259.5</v>
      </c>
      <c r="F10" s="15">
        <f t="shared" si="1"/>
        <v>-9.2366824626025912E-2</v>
      </c>
      <c r="G10" s="16">
        <f>SUM(Apr!G10,May!G10,Jun!G10)</f>
        <v>676447</v>
      </c>
      <c r="H10" s="16">
        <f>SUM(Apr!H10, May!H10, Jun!H10)</f>
        <v>43430</v>
      </c>
      <c r="I10" s="17">
        <f t="shared" si="2"/>
        <v>6.4203108299689407E-2</v>
      </c>
    </row>
    <row r="11" spans="1:9" ht="15.75">
      <c r="A11" s="19" t="str">
        <v>AZ: Peoria - City Hall</v>
      </c>
      <c r="B11" s="11" t="str">
        <v>AZ</v>
      </c>
      <c r="C11" s="12">
        <f>SUM(Apr!C11, May!C11, Jun!C11)</f>
        <v>0</v>
      </c>
      <c r="D11" s="20">
        <f>SUM(Apr!D11, May!D11, Jun!D11)</f>
        <v>0</v>
      </c>
      <c r="E11" s="20">
        <f t="shared" si="0"/>
        <v>0</v>
      </c>
      <c r="F11" s="21" t="str">
        <f t="shared" si="1"/>
        <v/>
      </c>
      <c r="G11" s="48">
        <f>SUM(Apr!G11,May!G11,Jun!G11)</f>
        <v>0</v>
      </c>
      <c r="H11" s="22">
        <f>SUM(Apr!H11, May!H11, Jun!H11)</f>
        <v>0</v>
      </c>
      <c r="I11" s="21" t="str">
        <f t="shared" si="2"/>
        <v/>
      </c>
    </row>
    <row r="12" spans="1:9" ht="15.75">
      <c r="A12" s="13" t="str">
        <v>AZ: Peoria - Pinnacle Peak</v>
      </c>
      <c r="B12" s="10" t="str">
        <v>AZ</v>
      </c>
      <c r="C12" s="26">
        <f>SUM(Apr!C12, May!C12, Jun!C12)</f>
        <v>81861.75</v>
      </c>
      <c r="D12" s="14">
        <f>SUM(Apr!D12, May!D12, Jun!D12)</f>
        <v>57663.33</v>
      </c>
      <c r="E12" s="14">
        <f t="shared" si="0"/>
        <v>24198.42</v>
      </c>
      <c r="F12" s="15">
        <f t="shared" si="1"/>
        <v>0.41965006183305748</v>
      </c>
      <c r="G12" s="16">
        <f>SUM(Apr!G12,May!G12,Jun!G12)</f>
        <v>83949</v>
      </c>
      <c r="H12" s="16">
        <f>SUM(Apr!H12, May!H12, Jun!H12)</f>
        <v>-2087.25</v>
      </c>
      <c r="I12" s="17">
        <f t="shared" si="2"/>
        <v>-2.4863309866704784E-2</v>
      </c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7 I4:I9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City of Peoria</v>
      </c>
      <c r="B1" s="51"/>
      <c r="C1" s="51"/>
      <c r="D1" s="52" t="s">
        <v>14</v>
      </c>
      <c r="E1" s="52"/>
      <c r="F1" s="52"/>
      <c r="G1" s="50" t="s">
        <v>15</v>
      </c>
      <c r="H1" s="50"/>
      <c r="I1" s="50"/>
    </row>
    <row r="2" spans="1:9" ht="19.5" customHeight="1">
      <c r="A2" s="53" t="s">
        <v>2</v>
      </c>
      <c r="B2" s="53"/>
      <c r="C2" s="6">
        <f>SUM(C4:C97)</f>
        <v>975413.95500044024</v>
      </c>
      <c r="D2" s="6">
        <f>SUM(D4:D97)</f>
        <v>963807.43339999998</v>
      </c>
      <c r="E2" s="6">
        <f>C2-D2</f>
        <v>11606.521600440261</v>
      </c>
      <c r="F2" s="7">
        <f>IFERROR(E2/D2, 0)</f>
        <v>1.2042365723924973E-2</v>
      </c>
      <c r="G2" s="6">
        <f>SUM(G4:G97)</f>
        <v>1071590.9410000001</v>
      </c>
      <c r="H2" s="8">
        <f>C2-G2</f>
        <v>-96176.985999559867</v>
      </c>
      <c r="I2" s="7">
        <f>IFERROR(H2/G2, 0)</f>
        <v>-8.9751585534876097E-2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SUM(Jul!C4, Aug!C4, Sep!C4)</f>
        <v>24617.046039999979</v>
      </c>
      <c r="D4" s="14">
        <f>SUM(Jul!D4, Aug!D4, Sep!D4)</f>
        <v>23722.953000000001</v>
      </c>
      <c r="E4" s="14">
        <f>IF(AND(ISNUMBER(C4),ISNUMBER(D4)), C4-D4, "")</f>
        <v>894.09303999997792</v>
      </c>
      <c r="F4" s="15">
        <f>IFERROR(E4/D4, "")</f>
        <v>3.7688943699377468E-2</v>
      </c>
      <c r="G4" s="16">
        <f>SUM(Jul!G4,Aug!G4,Sep!G4)</f>
        <v>46722.89</v>
      </c>
      <c r="H4" s="16">
        <f>SUM(Jul!H4, Aug!H4, Sep!H4)</f>
        <v>-22105.84396000002</v>
      </c>
      <c r="I4" s="17">
        <f>IFERROR(H4/G4, "")</f>
        <v>-0.47312664006871197</v>
      </c>
    </row>
    <row r="5" spans="1:9" ht="15.75">
      <c r="A5" s="19" t="str">
        <v>AZ: Peoria - Fire Station 191</v>
      </c>
      <c r="B5" s="11" t="str">
        <v>AZ</v>
      </c>
      <c r="C5" s="12">
        <f>SUM(Jul!C5, Aug!C5, Sep!C5)</f>
        <v>46487.249633333297</v>
      </c>
      <c r="D5" s="20">
        <f>SUM(Jul!D5, Aug!D5, Sep!D5)</f>
        <v>39099.050000000003</v>
      </c>
      <c r="E5" s="20">
        <f t="shared" ref="E5:E12" si="0">IF(AND(ISNUMBER(C5),ISNUMBER(D5)), C5-D5, "")</f>
        <v>7388.1996333332936</v>
      </c>
      <c r="F5" s="21">
        <f>IFERROR(E5/D5, "")</f>
        <v>0.18896110348802064</v>
      </c>
      <c r="G5" s="48">
        <f>SUM(Jul!G5,Aug!G5,Sep!G5)</f>
        <v>43749</v>
      </c>
      <c r="H5" s="22">
        <f>SUM(Jul!H5, Aug!H5, Sep!H5)</f>
        <v>2738.2496333333002</v>
      </c>
      <c r="I5" s="21">
        <f>IFERROR(H5/G5, "")</f>
        <v>6.2589993676045175E-2</v>
      </c>
    </row>
    <row r="6" spans="1:9" ht="15.75">
      <c r="A6" s="13" t="str">
        <v>AZ: Peoria - Fire Station 195</v>
      </c>
      <c r="B6" s="10" t="str">
        <v>AZ</v>
      </c>
      <c r="C6" s="26">
        <f>SUM(Jul!C6, Aug!C6, Sep!C6)</f>
        <v>23841.173239999978</v>
      </c>
      <c r="D6" s="14">
        <f>SUM(Jul!D6, Aug!D6, Sep!D6)</f>
        <v>24378.758000000002</v>
      </c>
      <c r="E6" s="14">
        <f t="shared" si="0"/>
        <v>-537.58476000002338</v>
      </c>
      <c r="F6" s="15">
        <f t="shared" ref="F6:F12" si="1">IFERROR(E6/D6, "")</f>
        <v>-2.2051359630380817E-2</v>
      </c>
      <c r="G6" s="16">
        <f>SUM(Jul!G6,Aug!G6,Sep!G6)</f>
        <v>25513.161</v>
      </c>
      <c r="H6" s="16">
        <f>SUM(Jul!H6, Aug!H6, Sep!H6)</f>
        <v>-1671.9877600000218</v>
      </c>
      <c r="I6" s="17">
        <f t="shared" ref="I6:I12" si="2">IFERROR(H6/G6, "")</f>
        <v>-6.5534324029861368E-2</v>
      </c>
    </row>
    <row r="7" spans="1:9" ht="15.75">
      <c r="A7" s="19" t="str">
        <v>AZ: Peoria - Fire Station 196</v>
      </c>
      <c r="B7" s="11" t="str">
        <v>AZ</v>
      </c>
      <c r="C7" s="12">
        <f>SUM(Jul!C7, Aug!C7, Sep!C7)</f>
        <v>17021.008600000001</v>
      </c>
      <c r="D7" s="20">
        <f>SUM(Jul!D7, Aug!D7, Sep!D7)</f>
        <v>0</v>
      </c>
      <c r="E7" s="20">
        <f t="shared" si="0"/>
        <v>17021.008600000001</v>
      </c>
      <c r="F7" s="21" t="str">
        <f t="shared" si="1"/>
        <v/>
      </c>
      <c r="G7" s="48">
        <f>SUM(Jul!G7,Aug!G7,Sep!G7)</f>
        <v>0</v>
      </c>
      <c r="H7" s="22">
        <f>SUM(Jul!H7, Aug!H7, Sep!H7)</f>
        <v>17021.008600000001</v>
      </c>
      <c r="I7" s="21" t="str">
        <f t="shared" si="2"/>
        <v/>
      </c>
    </row>
    <row r="8" spans="1:9" ht="15.75">
      <c r="A8" s="13" t="str">
        <v>AZ: Peoria - Fire Station 197</v>
      </c>
      <c r="B8" s="10" t="str">
        <v>AZ</v>
      </c>
      <c r="C8" s="26">
        <f>SUM(Jul!C8, Aug!C8, Sep!C8)</f>
        <v>-65176.475226666713</v>
      </c>
      <c r="D8" s="14">
        <f>SUM(Jul!D8, Aug!D8, Sep!D8)</f>
        <v>27569.982</v>
      </c>
      <c r="E8" s="14">
        <f t="shared" si="0"/>
        <v>-92746.457226666709</v>
      </c>
      <c r="F8" s="15">
        <f t="shared" si="1"/>
        <v>-3.3640376416156785</v>
      </c>
      <c r="G8" s="16">
        <f>SUM(Jul!G8,Aug!G8,Sep!G8)</f>
        <v>31246.16</v>
      </c>
      <c r="H8" s="16">
        <f>SUM(Jul!H8, Aug!H8, Sep!H8)</f>
        <v>-96422.635226666709</v>
      </c>
      <c r="I8" s="17">
        <f t="shared" si="2"/>
        <v>-3.0859035230782506</v>
      </c>
    </row>
    <row r="9" spans="1:9" ht="15.75">
      <c r="A9" s="19" t="str">
        <v>AZ: Peoria - Sunrise Library</v>
      </c>
      <c r="B9" s="11" t="str">
        <v>AZ</v>
      </c>
      <c r="C9" s="12">
        <f>SUM(Jul!C9, Aug!C9, Sep!C9)</f>
        <v>96687.886473333696</v>
      </c>
      <c r="D9" s="20">
        <f>SUM(Jul!D9, Aug!D9, Sep!D9)</f>
        <v>86906.260000000009</v>
      </c>
      <c r="E9" s="20">
        <f t="shared" si="0"/>
        <v>9781.6264733336866</v>
      </c>
      <c r="F9" s="21">
        <f t="shared" si="1"/>
        <v>0.11255376164310471</v>
      </c>
      <c r="G9" s="48">
        <f>SUM(Jul!G9,Aug!G9,Sep!G9)</f>
        <v>99763</v>
      </c>
      <c r="H9" s="22">
        <f>SUM(Jul!H9, Aug!H9, Sep!H9)</f>
        <v>-3075.1135266663005</v>
      </c>
      <c r="I9" s="21">
        <f t="shared" si="2"/>
        <v>-3.0824188593629908E-2</v>
      </c>
    </row>
    <row r="10" spans="1:9" ht="15.75">
      <c r="A10" s="13" t="str">
        <v>AZ: Peoria - Beardsley WWTP</v>
      </c>
      <c r="B10" s="10" t="str">
        <v>AZ</v>
      </c>
      <c r="C10" s="26">
        <f>SUM(Jul!C10, Aug!C10, Sep!C10)</f>
        <v>694350.82624044002</v>
      </c>
      <c r="D10" s="14">
        <f>SUM(Jul!D10, Aug!D10, Sep!D10)</f>
        <v>695127.7</v>
      </c>
      <c r="E10" s="14">
        <f t="shared" si="0"/>
        <v>-776.87375955993775</v>
      </c>
      <c r="F10" s="15">
        <f t="shared" si="1"/>
        <v>-1.1175986218934129E-3</v>
      </c>
      <c r="G10" s="16">
        <f>SUM(Jul!G10,Aug!G10,Sep!G10)</f>
        <v>612493</v>
      </c>
      <c r="H10" s="16">
        <f>SUM(Jul!H10, Aug!H10, Sep!H10)</f>
        <v>81857.826240439987</v>
      </c>
      <c r="I10" s="17">
        <f t="shared" si="2"/>
        <v>0.13364695799044232</v>
      </c>
    </row>
    <row r="11" spans="1:9" ht="15.75">
      <c r="A11" s="19" t="str">
        <v>AZ: Peoria - City Hall</v>
      </c>
      <c r="B11" s="11" t="str">
        <v>AZ</v>
      </c>
      <c r="C11" s="12">
        <f>SUM(Jul!C11, Aug!C11, Sep!C11)</f>
        <v>62694.120000000097</v>
      </c>
      <c r="D11" s="20">
        <f>SUM(Jul!D11, Aug!D11, Sep!D11)</f>
        <v>55898.36</v>
      </c>
      <c r="E11" s="20">
        <f t="shared" si="0"/>
        <v>6795.7600000000966</v>
      </c>
      <c r="F11" s="21">
        <f t="shared" si="1"/>
        <v>0.12157351306907925</v>
      </c>
      <c r="G11" s="48">
        <f>SUM(Jul!G11,Aug!G11,Sep!G11)</f>
        <v>137716.73000000001</v>
      </c>
      <c r="H11" s="22">
        <f>SUM(Jul!H11, Aug!H11, Sep!H11)</f>
        <v>-75022.609999999913</v>
      </c>
      <c r="I11" s="21">
        <f t="shared" si="2"/>
        <v>-0.54476032069596703</v>
      </c>
    </row>
    <row r="12" spans="1:9" ht="15.75">
      <c r="A12" s="13" t="str">
        <v>AZ: Peoria - Pinnacle Peak</v>
      </c>
      <c r="B12" s="10" t="str">
        <v>AZ</v>
      </c>
      <c r="C12" s="26">
        <f>SUM(Jul!C12, Aug!C12, Sep!C12)</f>
        <v>74891.119999999908</v>
      </c>
      <c r="D12" s="14">
        <f>SUM(Jul!D12, Aug!D12, Sep!D12)</f>
        <v>11104.3704</v>
      </c>
      <c r="E12" s="14">
        <f t="shared" si="0"/>
        <v>63786.749599999908</v>
      </c>
      <c r="F12" s="15">
        <f t="shared" si="1"/>
        <v>5.7442923193556217</v>
      </c>
      <c r="G12" s="16">
        <f>SUM(Jul!G12,Aug!G12,Sep!G12)</f>
        <v>74387</v>
      </c>
      <c r="H12" s="16">
        <f>SUM(Jul!H12, Aug!H12, Sep!H12)</f>
        <v>504.11999999990076</v>
      </c>
      <c r="I12" s="17">
        <f t="shared" si="2"/>
        <v>6.7769906031954607E-3</v>
      </c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</sheetData>
  <mergeCells count="4">
    <mergeCell ref="G1:I1"/>
    <mergeCell ref="A1:C1"/>
    <mergeCell ref="D1:F1"/>
    <mergeCell ref="A2:B2"/>
  </mergeCells>
  <conditionalFormatting sqref="F2 I2 F4:F97 I4:I9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9"/>
  <sheetViews>
    <sheetView workbookViewId="0">
      <pane ySplit="2" topLeftCell="A3" activePane="bottomLeft" state="frozen"/>
      <selection pane="bottomLeft" activeCell="G17" sqref="G17"/>
      <selection activeCell="A13" sqref="A13:XFD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City of Peoria</v>
      </c>
      <c r="B1" s="51"/>
      <c r="C1" s="51"/>
      <c r="D1" s="52" t="s">
        <v>16</v>
      </c>
      <c r="E1" s="52"/>
      <c r="F1" s="52"/>
      <c r="G1" s="50" t="s">
        <v>17</v>
      </c>
      <c r="H1" s="50"/>
      <c r="I1" s="50"/>
    </row>
    <row r="2" spans="1:9" ht="19.5" customHeight="1">
      <c r="A2" s="53" t="s">
        <v>2</v>
      </c>
      <c r="B2" s="53"/>
      <c r="C2" s="6">
        <f>SUM(C4:C97)</f>
        <v>712962.57926289353</v>
      </c>
      <c r="D2" s="6">
        <f>SUM(D4:D97)</f>
        <v>676416.52599999995</v>
      </c>
      <c r="E2" s="6">
        <f>C2-D2</f>
        <v>36546.053262893576</v>
      </c>
      <c r="F2" s="7">
        <f>IFERROR(E2/D2, 0)</f>
        <v>5.402891836337774E-2</v>
      </c>
      <c r="G2" s="6">
        <f>SUM(G4:G97)</f>
        <v>791657.17500000005</v>
      </c>
      <c r="H2" s="8">
        <f>C2-G2</f>
        <v>-78694.595737106516</v>
      </c>
      <c r="I2" s="7">
        <f>IFERROR(H2/G2, 0)</f>
        <v>-9.9404891690783342E-2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SUM(Oct!C4, Nov!C4, Dec!C4)</f>
        <v>14903.192183333391</v>
      </c>
      <c r="D4" s="14">
        <f>SUM(Oct!D4, Nov!D4, Dec!D4)</f>
        <v>11063.540999999999</v>
      </c>
      <c r="E4" s="14">
        <f>IF(AND(ISNUMBER(C4),ISNUMBER(D4)), C4-D4, "")</f>
        <v>3839.6511833333916</v>
      </c>
      <c r="F4" s="15">
        <f>IFERROR(E4/D4, "")</f>
        <v>0.34705445420533915</v>
      </c>
      <c r="G4" s="16">
        <f>SUM(Oct!G4,Nov!G4,Dec!G4)</f>
        <v>27690.518</v>
      </c>
      <c r="H4" s="16">
        <f>SUM(Oct!H4, Nov!H4, Dec!H4)</f>
        <v>-12787.325816666609</v>
      </c>
      <c r="I4" s="17">
        <f>IFERROR(H4/G4, "")</f>
        <v>-0.46179438812472229</v>
      </c>
    </row>
    <row r="5" spans="1:9" ht="15.75">
      <c r="A5" s="19" t="str">
        <v>AZ: Peoria - Fire Station 191</v>
      </c>
      <c r="B5" s="11" t="str">
        <v>AZ</v>
      </c>
      <c r="C5" s="12">
        <f>SUM(Oct!C5, Nov!C5, Dec!C5)</f>
        <v>33892.13488000002</v>
      </c>
      <c r="D5" s="20">
        <f>SUM(Oct!D5, Nov!D5, Dec!D5)</f>
        <v>27382.711000000003</v>
      </c>
      <c r="E5" s="20">
        <f t="shared" ref="E5:E12" si="0">IF(AND(ISNUMBER(C5),ISNUMBER(D5)), C5-D5, "")</f>
        <v>6509.4238800000167</v>
      </c>
      <c r="F5" s="21">
        <f>IFERROR(E5/D5, "")</f>
        <v>0.2377202125823121</v>
      </c>
      <c r="G5" s="48">
        <f>SUM(Oct!G5,Nov!G5,Dec!G5)</f>
        <v>32558</v>
      </c>
      <c r="H5" s="22">
        <f>SUM(Oct!H5, Nov!H5, Dec!H5)</f>
        <v>1334.1348800000214</v>
      </c>
      <c r="I5" s="21">
        <f>IFERROR(H5/G5, "")</f>
        <v>4.0977175502181384E-2</v>
      </c>
    </row>
    <row r="6" spans="1:9" ht="15.75">
      <c r="A6" s="13" t="str">
        <v>AZ: Peoria - Fire Station 195</v>
      </c>
      <c r="B6" s="10" t="str">
        <v>AZ</v>
      </c>
      <c r="C6" s="26">
        <f>SUM(Oct!C6, Nov!C6, Dec!C6)</f>
        <v>14453.666973333278</v>
      </c>
      <c r="D6" s="14">
        <f>SUM(Oct!D6, Nov!D6, Dec!D6)</f>
        <v>13901.255999999999</v>
      </c>
      <c r="E6" s="14">
        <f t="shared" si="0"/>
        <v>552.41097333327889</v>
      </c>
      <c r="F6" s="15">
        <f t="shared" ref="F6:F12" si="1">IFERROR(E6/D6, "")</f>
        <v>3.9738205909831376E-2</v>
      </c>
      <c r="G6" s="16">
        <f>SUM(Oct!G6,Nov!G6,Dec!G6)</f>
        <v>19200.351999999999</v>
      </c>
      <c r="H6" s="16">
        <f>SUM(Oct!H6, Nov!H6, Dec!H6)</f>
        <v>-4746.6850266667207</v>
      </c>
      <c r="I6" s="17">
        <f t="shared" ref="I6:I12" si="2">IFERROR(H6/G6, "")</f>
        <v>-0.24721864613037933</v>
      </c>
    </row>
    <row r="7" spans="1:9" ht="15.75">
      <c r="A7" s="19" t="str">
        <v>AZ: Peoria - Fire Station 196</v>
      </c>
      <c r="B7" s="11" t="str">
        <v>AZ</v>
      </c>
      <c r="C7" s="12">
        <f>SUM(Oct!C7, Nov!C7, Dec!C7)</f>
        <v>11427.567899999998</v>
      </c>
      <c r="D7" s="20">
        <f>SUM(Oct!D7, Nov!D7, Dec!D7)</f>
        <v>0</v>
      </c>
      <c r="E7" s="20">
        <f t="shared" si="0"/>
        <v>11427.567899999998</v>
      </c>
      <c r="F7" s="21" t="str">
        <f t="shared" si="1"/>
        <v/>
      </c>
      <c r="G7" s="48">
        <f>SUM(Oct!G7,Nov!G7,Dec!G7)</f>
        <v>0</v>
      </c>
      <c r="H7" s="22">
        <f>SUM(Oct!H7, Nov!H7, Dec!H7)</f>
        <v>11427.567899999998</v>
      </c>
      <c r="I7" s="21" t="str">
        <f t="shared" si="2"/>
        <v/>
      </c>
    </row>
    <row r="8" spans="1:9" ht="15.75">
      <c r="A8" s="13" t="str">
        <v>AZ: Peoria - Fire Station 197</v>
      </c>
      <c r="B8" s="10" t="str">
        <v>AZ</v>
      </c>
      <c r="C8" s="26">
        <f>SUM(Oct!C8, Nov!C8, Dec!C8)</f>
        <v>25276.464303333443</v>
      </c>
      <c r="D8" s="14">
        <f>SUM(Oct!D8, Nov!D8, Dec!D8)</f>
        <v>19501.541000000001</v>
      </c>
      <c r="E8" s="14">
        <f t="shared" si="0"/>
        <v>5774.9233033334422</v>
      </c>
      <c r="F8" s="15">
        <f t="shared" si="1"/>
        <v>0.29612651140407015</v>
      </c>
      <c r="G8" s="16">
        <f>SUM(Oct!G8,Nov!G8,Dec!G8)</f>
        <v>24226.625</v>
      </c>
      <c r="H8" s="16">
        <f>SUM(Oct!H8, Nov!H8, Dec!H8)</f>
        <v>1049.8393033334414</v>
      </c>
      <c r="I8" s="17">
        <f t="shared" si="2"/>
        <v>4.3334112916406695E-2</v>
      </c>
    </row>
    <row r="9" spans="1:9" ht="15.75">
      <c r="A9" s="19" t="str">
        <v>AZ: Peoria - Sunrise Library</v>
      </c>
      <c r="B9" s="11" t="str">
        <v>AZ</v>
      </c>
      <c r="C9" s="12">
        <f>SUM(Oct!C9, Nov!C9, Dec!C9)</f>
        <v>48437.74926333336</v>
      </c>
      <c r="D9" s="20">
        <f>SUM(Oct!D9, Nov!D9, Dec!D9)</f>
        <v>42059.86</v>
      </c>
      <c r="E9" s="20">
        <f t="shared" si="0"/>
        <v>6377.8892633333598</v>
      </c>
      <c r="F9" s="21">
        <f t="shared" si="1"/>
        <v>0.15163838546617511</v>
      </c>
      <c r="G9" s="48">
        <f>SUM(Oct!G9,Nov!G9,Dec!G9)</f>
        <v>75168</v>
      </c>
      <c r="H9" s="22">
        <f>SUM(Oct!H9, Nov!H9, Dec!H9)</f>
        <v>-26730.250736666643</v>
      </c>
      <c r="I9" s="21">
        <f t="shared" si="2"/>
        <v>-0.35560678395948597</v>
      </c>
    </row>
    <row r="10" spans="1:9" ht="15.75">
      <c r="A10" s="13" t="str">
        <v>AZ: Peoria - Beardsley WWTP</v>
      </c>
      <c r="B10" s="10" t="str">
        <v>AZ</v>
      </c>
      <c r="C10" s="26">
        <f>SUM(Oct!C10, Nov!C10, Dec!C10)</f>
        <v>431049.17375955998</v>
      </c>
      <c r="D10" s="14">
        <f>SUM(Oct!D10, Nov!D10, Dec!D10)</f>
        <v>465332.1</v>
      </c>
      <c r="E10" s="14">
        <f t="shared" si="0"/>
        <v>-34282.926240439992</v>
      </c>
      <c r="F10" s="15">
        <f t="shared" si="1"/>
        <v>-7.367410552686994E-2</v>
      </c>
      <c r="G10" s="16">
        <f>SUM(Oct!G10,Nov!G10,Dec!G10)</f>
        <v>454275</v>
      </c>
      <c r="H10" s="16">
        <f>SUM(Oct!H10, Nov!H10, Dec!H10)</f>
        <v>-23225.826240439987</v>
      </c>
      <c r="I10" s="17">
        <f t="shared" si="2"/>
        <v>-5.1127238435837295E-2</v>
      </c>
    </row>
    <row r="11" spans="1:9" ht="15.75">
      <c r="A11" s="19" t="str">
        <v>AZ: Peoria - City Hall</v>
      </c>
      <c r="B11" s="11" t="str">
        <v>AZ</v>
      </c>
      <c r="C11" s="12">
        <f>SUM(Oct!C11, Nov!C11, Dec!C11)</f>
        <v>81264.75</v>
      </c>
      <c r="D11" s="20">
        <f>SUM(Oct!D11, Nov!D11, Dec!D11)</f>
        <v>75087.88</v>
      </c>
      <c r="E11" s="20">
        <f t="shared" si="0"/>
        <v>6176.8699999999953</v>
      </c>
      <c r="F11" s="21">
        <f t="shared" si="1"/>
        <v>8.2261877682523396E-2</v>
      </c>
      <c r="G11" s="48">
        <f>SUM(Oct!G11,Nov!G11,Dec!G11)</f>
        <v>102495.68000000001</v>
      </c>
      <c r="H11" s="22">
        <f>SUM(Oct!H11, Nov!H11, Dec!H11)</f>
        <v>-22091.39</v>
      </c>
      <c r="I11" s="21">
        <f t="shared" si="2"/>
        <v>-0.21553484010252918</v>
      </c>
    </row>
    <row r="12" spans="1:9" ht="15.75">
      <c r="A12" s="13" t="str">
        <v>AZ: Peoria - Pinnacle Peak</v>
      </c>
      <c r="B12" s="10" t="str">
        <v>AZ</v>
      </c>
      <c r="C12" s="26">
        <f>SUM(Oct!C12, Nov!C12, Dec!C12)</f>
        <v>52257.880000000005</v>
      </c>
      <c r="D12" s="14">
        <f>SUM(Oct!D12, Nov!D12, Dec!D12)</f>
        <v>22087.637000000002</v>
      </c>
      <c r="E12" s="14">
        <f t="shared" si="0"/>
        <v>30170.243000000002</v>
      </c>
      <c r="F12" s="15">
        <f t="shared" si="1"/>
        <v>1.3659334857775867</v>
      </c>
      <c r="G12" s="16">
        <f>SUM(Oct!G12,Nov!G12,Dec!G12)</f>
        <v>56043</v>
      </c>
      <c r="H12" s="16">
        <f>SUM(Oct!H12, Nov!H12, Dec!H12)</f>
        <v>-3785.119999999999</v>
      </c>
      <c r="I12" s="17">
        <f t="shared" si="2"/>
        <v>-6.7539567831843395E-2</v>
      </c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</sheetData>
  <mergeCells count="4">
    <mergeCell ref="G1:I1"/>
    <mergeCell ref="A1:C1"/>
    <mergeCell ref="D1:F1"/>
    <mergeCell ref="A2:B2"/>
  </mergeCells>
  <conditionalFormatting sqref="F2 I2 F4:F97 I4:I9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8"/>
  <sheetViews>
    <sheetView workbookViewId="0">
      <pane ySplit="3" topLeftCell="A4" activePane="bottomLeft" state="frozen"/>
      <selection pane="bottomLeft" activeCell="D21" sqref="D21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City of Peoria</v>
      </c>
      <c r="B1" s="51"/>
      <c r="C1" s="51"/>
      <c r="D1" s="52" t="s">
        <v>18</v>
      </c>
      <c r="E1" s="52"/>
      <c r="F1" s="52"/>
      <c r="G1" s="50" t="s">
        <v>19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SUM(C4:C96)</f>
        <v>181579.38493666664</v>
      </c>
      <c r="D2" s="6">
        <f>SUM(D4:D96)</f>
        <v>192109.33300000001</v>
      </c>
      <c r="E2" s="6">
        <f>C2-D2</f>
        <v>-10529.948063333373</v>
      </c>
      <c r="F2" s="7">
        <f>IFERROR(E2/D2, 0)</f>
        <v>-5.4812267050728725E-2</v>
      </c>
      <c r="G2" s="6">
        <f>SUM(G4:G96)</f>
        <v>240650.96400000004</v>
      </c>
      <c r="H2" s="8">
        <f>C2-G2</f>
        <v>-59071.579063333396</v>
      </c>
      <c r="I2" s="7">
        <f>IFERROR(H2/G2, 0)</f>
        <v>-0.24546579029425117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4095.23549333337</v>
      </c>
      <c r="D4" s="14">
        <v>2888.027</v>
      </c>
      <c r="E4" s="14">
        <f>IF(AND(ISNUMBER(C4),ISNUMBER(D4)), C4-D4, "")</f>
        <v>1207.2084933333699</v>
      </c>
      <c r="F4" s="15">
        <f>IFERROR(E4/D4, "")</f>
        <v>0.41800457313362027</v>
      </c>
      <c r="G4" s="16">
        <v>8175.8209999999999</v>
      </c>
      <c r="H4" s="16">
        <f>IF(AND(ISNUMBER(C4),ISNUMBER(G4)), C4-G4, "")</f>
        <v>-4080.58550666663</v>
      </c>
      <c r="I4" s="17">
        <f>IFERROR(H4/G4, "")</f>
        <v>-0.49910406632760551</v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>
        <v>8711.7123166667297</v>
      </c>
      <c r="D5" s="20">
        <v>7611.9250000000002</v>
      </c>
      <c r="E5" s="20">
        <f t="shared" ref="E5:E6" si="0">IF(AND(ISNUMBER(C5),ISNUMBER(D5)), C5-D5, "")</f>
        <v>1099.7873166667296</v>
      </c>
      <c r="F5" s="21">
        <f>IFERROR(E5/D5, "")</f>
        <v>0.1444821535507417</v>
      </c>
      <c r="G5" s="22">
        <v>10085</v>
      </c>
      <c r="H5" s="22">
        <f t="shared" ref="H5:H6" si="1">IF(AND(ISNUMBER(C5),ISNUMBER(G5)), C5-G5, "")</f>
        <v>-1373.2876833332703</v>
      </c>
      <c r="I5" s="21">
        <f t="shared" ref="I5:I6" si="2">IFERROR(H5/G5, "")</f>
        <v>-0.13617131217979875</v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>
        <v>4067.6883133332599</v>
      </c>
      <c r="D6" s="14">
        <v>3810.848</v>
      </c>
      <c r="E6" s="14">
        <f t="shared" si="0"/>
        <v>256.84031333325993</v>
      </c>
      <c r="F6" s="15">
        <f t="shared" ref="F6:F12" si="3">IFERROR(E6/D6, "")</f>
        <v>6.7397154998903114E-2</v>
      </c>
      <c r="G6" s="16">
        <v>5705.7020000000002</v>
      </c>
      <c r="H6" s="16">
        <f t="shared" si="1"/>
        <v>-1638.0136866667403</v>
      </c>
      <c r="I6" s="17">
        <f t="shared" si="2"/>
        <v>-0.28708363785328084</v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>
        <v>3092.2811733333301</v>
      </c>
      <c r="D7" s="20">
        <v>0</v>
      </c>
      <c r="E7" s="20">
        <f>IF(AND(ISNUMBER(C7),ISNUMBER(D7)), C7-D7, "")</f>
        <v>3092.2811733333301</v>
      </c>
      <c r="F7" s="21">
        <f>IFERROR(E7/D7, 0)</f>
        <v>0</v>
      </c>
      <c r="G7" s="22">
        <v>0</v>
      </c>
      <c r="H7" s="22">
        <f t="shared" ref="H7:H12" si="4">IF(AND(ISNUMBER(C7),ISNUMBER(G7)), C7-G7, "")</f>
        <v>3092.2811733333301</v>
      </c>
      <c r="I7" s="21">
        <f>IFERROR(H7/G7, 0)</f>
        <v>0</v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>
        <v>6174.4869200000503</v>
      </c>
      <c r="D8" s="14">
        <v>5275.9229999999998</v>
      </c>
      <c r="E8" s="14">
        <f>IF(AND(ISNUMBER(C8),ISNUMBER(D8)), C8-D8, "")</f>
        <v>898.56392000005053</v>
      </c>
      <c r="F8" s="15">
        <f>IFERROR(E8/D8, "")</f>
        <v>0.17031407016365677</v>
      </c>
      <c r="G8" s="16">
        <v>7203.8609999999999</v>
      </c>
      <c r="H8" s="16">
        <f>IF(AND(ISNUMBER(C8),ISNUMBER(G8)), C8-G8, "")</f>
        <v>-1029.3740799999496</v>
      </c>
      <c r="I8" s="17">
        <f t="shared" ref="I8:I12" si="5">IFERROR(H8/G8, "")</f>
        <v>-0.14289199638915154</v>
      </c>
      <c r="J8" s="18" t="s">
        <v>22</v>
      </c>
      <c r="K8" s="18" t="s">
        <v>23</v>
      </c>
    </row>
    <row r="9" spans="1:11" ht="15.75">
      <c r="A9" s="32" t="str">
        <v>AZ: Peoria - Sunrise Library</v>
      </c>
      <c r="B9" s="33" t="str">
        <v>AZ</v>
      </c>
      <c r="C9" s="12">
        <v>15881.2307199999</v>
      </c>
      <c r="D9" s="20">
        <v>10942.25</v>
      </c>
      <c r="E9" s="20">
        <f>IF(AND(ISNUMBER(C9),ISNUMBER(D9)), C9-D9, "")</f>
        <v>4938.9807199998995</v>
      </c>
      <c r="F9" s="21">
        <f>IFERROR(E9/D9, "")</f>
        <v>0.45136792889944022</v>
      </c>
      <c r="G9" s="22">
        <v>22243</v>
      </c>
      <c r="H9" s="22">
        <f>IF(AND(ISNUMBER(C9),ISNUMBER(G9)), C9-G9, "")</f>
        <v>-6361.7692800001005</v>
      </c>
      <c r="I9" s="21">
        <f t="shared" si="5"/>
        <v>-0.28601219619656076</v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>
        <v>102879</v>
      </c>
      <c r="D10" s="14">
        <v>128491.1</v>
      </c>
      <c r="E10" s="14">
        <f t="shared" ref="E10:E12" si="6">IF(AND(ISNUMBER(C10),ISNUMBER(D10)), C10-D10, "")</f>
        <v>-25612.100000000006</v>
      </c>
      <c r="F10" s="15">
        <f t="shared" si="3"/>
        <v>-0.19932975902611158</v>
      </c>
      <c r="G10" s="16">
        <v>138763</v>
      </c>
      <c r="H10" s="16">
        <f t="shared" si="4"/>
        <v>-35884</v>
      </c>
      <c r="I10" s="17">
        <f t="shared" si="5"/>
        <v>-0.25859919430972234</v>
      </c>
      <c r="J10" s="18" t="s">
        <v>24</v>
      </c>
      <c r="K10" s="18" t="s">
        <v>25</v>
      </c>
    </row>
    <row r="11" spans="1:11" ht="15.75">
      <c r="A11" s="32" t="str">
        <v>AZ: Peoria - City Hall</v>
      </c>
      <c r="B11" s="33" t="str">
        <v>AZ</v>
      </c>
      <c r="C11" s="12">
        <v>22132.5</v>
      </c>
      <c r="D11" s="20">
        <v>21050.03</v>
      </c>
      <c r="E11" s="20">
        <f t="shared" si="6"/>
        <v>1082.4700000000012</v>
      </c>
      <c r="F11" s="21">
        <f t="shared" si="3"/>
        <v>5.1423679681216666E-2</v>
      </c>
      <c r="G11" s="22">
        <v>31892.58</v>
      </c>
      <c r="H11" s="22">
        <f t="shared" si="4"/>
        <v>-9760.0800000000017</v>
      </c>
      <c r="I11" s="21">
        <f t="shared" si="5"/>
        <v>-0.30602980379762318</v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>
        <v>14545.25</v>
      </c>
      <c r="D12" s="14">
        <v>12039.23</v>
      </c>
      <c r="E12" s="14">
        <f t="shared" si="6"/>
        <v>2506.0200000000004</v>
      </c>
      <c r="F12" s="15">
        <f t="shared" si="3"/>
        <v>0.20815450822021014</v>
      </c>
      <c r="G12" s="16">
        <v>16582</v>
      </c>
      <c r="H12" s="16">
        <f t="shared" si="4"/>
        <v>-2036.75</v>
      </c>
      <c r="I12" s="17">
        <f t="shared" si="5"/>
        <v>-0.12282897117356169</v>
      </c>
      <c r="J12" s="18"/>
      <c r="K12" s="18"/>
    </row>
    <row r="13" spans="1:11" ht="14.25">
      <c r="A13" s="23"/>
      <c r="B13" s="35"/>
      <c r="C13" s="23"/>
      <c r="D13" s="23"/>
      <c r="E13" s="23" t="str">
        <f t="shared" ref="E13" si="7">IF(AND(ISNUMBER(C13),ISNUMBER(D13)), C13-D13, "")</f>
        <v/>
      </c>
      <c r="F13" s="23" t="str">
        <f t="shared" ref="F13" si="8">IFERROR(E13/D13, "")</f>
        <v/>
      </c>
      <c r="G13" s="23"/>
      <c r="H13" s="23" t="str">
        <f t="shared" ref="H13" si="9">IF(AND(ISNUMBER(C13),ISNUMBER(G13)), C13-G13, "")</f>
        <v/>
      </c>
      <c r="I13" s="23" t="str">
        <f t="shared" ref="I13" si="10">IFERROR(H13/G13, "")</f>
        <v/>
      </c>
      <c r="J13" s="23"/>
      <c r="K13" s="23"/>
    </row>
    <row r="14" spans="1:11" ht="12.75" customHeight="1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</sheetData>
  <mergeCells count="4">
    <mergeCell ref="D1:F1"/>
    <mergeCell ref="A1:C1"/>
    <mergeCell ref="G1:I1"/>
    <mergeCell ref="A2:B2"/>
  </mergeCells>
  <conditionalFormatting sqref="F2 I2 F4:F96 I4:I96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9"/>
  <sheetViews>
    <sheetView workbookViewId="0">
      <pane ySplit="2" topLeftCell="A3" activePane="bottomLeft" state="frozen"/>
      <selection pane="bottomLeft" activeCell="I15" sqref="I15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City of Peoria</v>
      </c>
      <c r="B1" s="51"/>
      <c r="C1" s="51"/>
      <c r="D1" s="52" t="s">
        <v>26</v>
      </c>
      <c r="E1" s="52"/>
      <c r="F1" s="52"/>
      <c r="G1" s="50" t="s">
        <v>27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SUM(C4:C97)</f>
        <v>246771</v>
      </c>
      <c r="D2" s="6">
        <f>SUM(D4:D97)</f>
        <v>232313</v>
      </c>
      <c r="E2" s="6">
        <f>C2-D2</f>
        <v>14458</v>
      </c>
      <c r="F2" s="7">
        <f>IFERROR(E2/D2, 0)</f>
        <v>6.2235001915519152E-2</v>
      </c>
      <c r="G2" s="6">
        <f>SUM(G4:G97)</f>
        <v>263500</v>
      </c>
      <c r="H2" s="8">
        <f>C2-G2</f>
        <v>-16729</v>
      </c>
      <c r="I2" s="7">
        <f>IFERROR(H2/G2, 0)</f>
        <v>-6.3487666034155593E-2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5177</v>
      </c>
      <c r="D4" s="14">
        <v>3849</v>
      </c>
      <c r="E4" s="14">
        <f>IF(AND(ISNUMBER(C4),ISNUMBER(D4)), C4-D4, "")</f>
        <v>1328</v>
      </c>
      <c r="F4" s="15">
        <f>IFERROR(E4/D4, "")</f>
        <v>0.3450246817355157</v>
      </c>
      <c r="G4" s="16">
        <v>9684</v>
      </c>
      <c r="H4" s="16">
        <f>IF(AND(ISNUMBER(C4),ISNUMBER(G4)), C4-G4, "")</f>
        <v>-4507</v>
      </c>
      <c r="I4" s="17">
        <f>IFERROR(H4/G4, "")</f>
        <v>-0.46540685667079718</v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>
        <v>10399</v>
      </c>
      <c r="D5" s="20">
        <v>9070</v>
      </c>
      <c r="E5" s="20">
        <f t="shared" ref="E5:E12" si="0">IF(AND(ISNUMBER(C5),ISNUMBER(D5)), C5-D5, "")</f>
        <v>1329</v>
      </c>
      <c r="F5" s="21">
        <f>IFERROR(E5/D5, "")</f>
        <v>0.14652701212789415</v>
      </c>
      <c r="G5" s="22">
        <v>10905</v>
      </c>
      <c r="H5" s="22">
        <f t="shared" ref="H5:H12" si="1">IF(AND(ISNUMBER(C5),ISNUMBER(G5)), C5-G5, "")</f>
        <v>-506</v>
      </c>
      <c r="I5" s="21">
        <f t="shared" ref="I5:I12" si="2">IFERROR(H5/G5, "")</f>
        <v>-4.6400733608436495E-2</v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>
        <v>5100</v>
      </c>
      <c r="D6" s="14">
        <v>4747</v>
      </c>
      <c r="E6" s="14">
        <f t="shared" si="0"/>
        <v>353</v>
      </c>
      <c r="F6" s="15">
        <f t="shared" ref="F6:F12" si="3">IFERROR(E6/D6, "")</f>
        <v>7.4362755424478622E-2</v>
      </c>
      <c r="G6" s="16">
        <v>6454</v>
      </c>
      <c r="H6" s="16">
        <f t="shared" si="1"/>
        <v>-1354</v>
      </c>
      <c r="I6" s="17">
        <f t="shared" si="2"/>
        <v>-0.20979237682057639</v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>
        <v>3670</v>
      </c>
      <c r="D7" s="20">
        <v>0</v>
      </c>
      <c r="E7" s="20">
        <f t="shared" si="0"/>
        <v>3670</v>
      </c>
      <c r="F7" s="21" t="str">
        <f t="shared" si="3"/>
        <v/>
      </c>
      <c r="G7" s="22">
        <v>0</v>
      </c>
      <c r="H7" s="22">
        <f t="shared" si="1"/>
        <v>3670</v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>
        <v>7942</v>
      </c>
      <c r="D8" s="14">
        <v>6180</v>
      </c>
      <c r="E8" s="14">
        <f t="shared" si="0"/>
        <v>1762</v>
      </c>
      <c r="F8" s="15">
        <f t="shared" si="3"/>
        <v>0.28511326860841424</v>
      </c>
      <c r="G8" s="16">
        <v>8038</v>
      </c>
      <c r="H8" s="16">
        <f t="shared" si="1"/>
        <v>-96</v>
      </c>
      <c r="I8" s="17">
        <f t="shared" si="2"/>
        <v>-1.1943269470017417E-2</v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>
        <v>20134</v>
      </c>
      <c r="D9" s="20">
        <v>14918</v>
      </c>
      <c r="E9" s="20">
        <f t="shared" si="0"/>
        <v>5216</v>
      </c>
      <c r="F9" s="21">
        <f t="shared" si="3"/>
        <v>0.34964472449389999</v>
      </c>
      <c r="G9" s="22">
        <v>25213</v>
      </c>
      <c r="H9" s="22">
        <f t="shared" si="1"/>
        <v>-5079</v>
      </c>
      <c r="I9" s="21">
        <f t="shared" si="2"/>
        <v>-0.20144369967873715</v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>
        <v>149372</v>
      </c>
      <c r="D10" s="14">
        <v>154491</v>
      </c>
      <c r="E10" s="14">
        <f t="shared" si="0"/>
        <v>-5119</v>
      </c>
      <c r="F10" s="15">
        <f t="shared" si="3"/>
        <v>-3.3134616255963131E-2</v>
      </c>
      <c r="G10" s="16">
        <v>149996</v>
      </c>
      <c r="H10" s="16">
        <f t="shared" si="1"/>
        <v>-624</v>
      </c>
      <c r="I10" s="17">
        <f t="shared" si="2"/>
        <v>-4.1601109362916344E-3</v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>
        <v>27969</v>
      </c>
      <c r="D11" s="20">
        <v>26428</v>
      </c>
      <c r="E11" s="20">
        <f t="shared" si="0"/>
        <v>1541</v>
      </c>
      <c r="F11" s="21">
        <f t="shared" si="3"/>
        <v>5.8309368851218402E-2</v>
      </c>
      <c r="G11" s="22">
        <v>34422</v>
      </c>
      <c r="H11" s="22">
        <f t="shared" si="1"/>
        <v>-6453</v>
      </c>
      <c r="I11" s="21">
        <f t="shared" si="2"/>
        <v>-0.18746731741328221</v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>
        <v>17008</v>
      </c>
      <c r="D12" s="14">
        <v>12630</v>
      </c>
      <c r="E12" s="14">
        <f t="shared" si="0"/>
        <v>4378</v>
      </c>
      <c r="F12" s="15">
        <f t="shared" si="3"/>
        <v>0.34663499604117182</v>
      </c>
      <c r="G12" s="16">
        <v>18788</v>
      </c>
      <c r="H12" s="16">
        <f t="shared" si="1"/>
        <v>-1780</v>
      </c>
      <c r="I12" s="17">
        <f t="shared" si="2"/>
        <v>-9.4741324249520975E-2</v>
      </c>
      <c r="J12" s="18"/>
      <c r="K12" s="18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9"/>
  <sheetViews>
    <sheetView topLeftCell="B1" zoomScale="80" zoomScaleNormal="80" workbookViewId="0">
      <pane ySplit="2" topLeftCell="A3" activePane="bottomLeft" state="frozen"/>
      <selection pane="bottomLeft" activeCell="G14" sqref="G14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City of Peoria</v>
      </c>
      <c r="B1" s="51"/>
      <c r="C1" s="51"/>
      <c r="D1" s="52" t="s">
        <v>28</v>
      </c>
      <c r="E1" s="52"/>
      <c r="F1" s="52"/>
      <c r="G1" s="50" t="s">
        <v>29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SUM(C4:C97)</f>
        <v>308369.62</v>
      </c>
      <c r="D2" s="6">
        <f>SUM(D4:D97)</f>
        <v>297029</v>
      </c>
      <c r="E2" s="6">
        <f>C2-D2</f>
        <v>11340.619999999995</v>
      </c>
      <c r="F2" s="7">
        <f>IFERROR(E2/D2, 0)</f>
        <v>3.8180177693087194E-2</v>
      </c>
      <c r="G2" s="6">
        <f>SUM(G4:G97)</f>
        <v>343213</v>
      </c>
      <c r="H2" s="8">
        <f>C2-G2</f>
        <v>-34843.380000000005</v>
      </c>
      <c r="I2" s="7">
        <f>IFERROR(H2/G2, 0)</f>
        <v>-0.10152115450172343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7183.62</v>
      </c>
      <c r="D4" s="14">
        <v>6232</v>
      </c>
      <c r="E4" s="14">
        <f>IF(AND(ISNUMBER(C4),ISNUMBER(D4)), C4-D4, "")</f>
        <v>951.61999999999989</v>
      </c>
      <c r="F4" s="15">
        <f>IFERROR(E4/D4, "")</f>
        <v>0.15269897304236199</v>
      </c>
      <c r="G4" s="16">
        <v>13878</v>
      </c>
      <c r="H4" s="16">
        <f>IF(AND(ISNUMBER(C4),ISNUMBER(G4)), C4-G4, "")</f>
        <v>-6694.38</v>
      </c>
      <c r="I4" s="17">
        <f>IFERROR(H4/G4, "")</f>
        <v>-0.48237354085603112</v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>
        <v>13743</v>
      </c>
      <c r="D5" s="20">
        <v>12149</v>
      </c>
      <c r="E5" s="20">
        <f t="shared" ref="E5:E12" si="0">IF(AND(ISNUMBER(C5),ISNUMBER(D5)), C5-D5, "")</f>
        <v>1594</v>
      </c>
      <c r="F5" s="21">
        <f>IFERROR(E5/D5, "")</f>
        <v>0.13120421433862869</v>
      </c>
      <c r="G5" s="22">
        <v>14215</v>
      </c>
      <c r="H5" s="22">
        <f t="shared" ref="H5:H12" si="1">IF(AND(ISNUMBER(C5),ISNUMBER(G5)), C5-G5, "")</f>
        <v>-472</v>
      </c>
      <c r="I5" s="21">
        <f t="shared" ref="I5:I12" si="2">IFERROR(H5/G5, "")</f>
        <v>-3.3204361589869856E-2</v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>
        <v>6931</v>
      </c>
      <c r="D6" s="14">
        <v>6799</v>
      </c>
      <c r="E6" s="14">
        <f t="shared" si="0"/>
        <v>132</v>
      </c>
      <c r="F6" s="15">
        <f t="shared" ref="F6:F12" si="3">IFERROR(E6/D6, "")</f>
        <v>1.9414619797028975E-2</v>
      </c>
      <c r="G6" s="16">
        <v>8331</v>
      </c>
      <c r="H6" s="16">
        <f t="shared" si="1"/>
        <v>-1400</v>
      </c>
      <c r="I6" s="17">
        <f t="shared" si="2"/>
        <v>-0.16804705317488897</v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>
        <v>5151</v>
      </c>
      <c r="D7" s="20">
        <v>0</v>
      </c>
      <c r="E7" s="20">
        <f t="shared" si="0"/>
        <v>5151</v>
      </c>
      <c r="F7" s="21" t="str">
        <f t="shared" si="3"/>
        <v/>
      </c>
      <c r="G7" s="22">
        <v>0</v>
      </c>
      <c r="H7" s="22">
        <f t="shared" si="1"/>
        <v>5151</v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>
        <v>10639</v>
      </c>
      <c r="D8" s="14">
        <v>8397</v>
      </c>
      <c r="E8" s="14">
        <f t="shared" si="0"/>
        <v>2242</v>
      </c>
      <c r="F8" s="15">
        <f t="shared" si="3"/>
        <v>0.26700011909015126</v>
      </c>
      <c r="G8" s="16">
        <v>10597</v>
      </c>
      <c r="H8" s="16">
        <f t="shared" si="1"/>
        <v>42</v>
      </c>
      <c r="I8" s="17">
        <f t="shared" si="2"/>
        <v>3.9633858639237518E-3</v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>
        <v>27848</v>
      </c>
      <c r="D9" s="20">
        <v>23027</v>
      </c>
      <c r="E9" s="20">
        <f t="shared" si="0"/>
        <v>4821</v>
      </c>
      <c r="F9" s="21">
        <f t="shared" si="3"/>
        <v>0.20936292178746688</v>
      </c>
      <c r="G9" s="22">
        <v>32592</v>
      </c>
      <c r="H9" s="22">
        <f t="shared" si="1"/>
        <v>-4744</v>
      </c>
      <c r="I9" s="21">
        <f t="shared" si="2"/>
        <v>-0.14555719194894454</v>
      </c>
      <c r="J9" s="11"/>
      <c r="K9" s="19"/>
    </row>
    <row r="10" spans="1:11" ht="28.5">
      <c r="A10" s="30" t="str">
        <v>AZ: Peoria - Beardsley WWTP</v>
      </c>
      <c r="B10" s="31" t="str">
        <v>AZ</v>
      </c>
      <c r="C10" s="26">
        <v>198401</v>
      </c>
      <c r="D10" s="14">
        <v>213044</v>
      </c>
      <c r="E10" s="14">
        <f t="shared" si="0"/>
        <v>-14643</v>
      </c>
      <c r="F10" s="15">
        <f t="shared" si="3"/>
        <v>-6.8732280655639216E-2</v>
      </c>
      <c r="G10" s="16">
        <v>194947</v>
      </c>
      <c r="H10" s="16">
        <f t="shared" si="1"/>
        <v>3454</v>
      </c>
      <c r="I10" s="17">
        <f t="shared" si="2"/>
        <v>1.7717636075446148E-2</v>
      </c>
      <c r="J10" s="18" t="s">
        <v>30</v>
      </c>
      <c r="K10" s="18" t="s">
        <v>31</v>
      </c>
    </row>
    <row r="11" spans="1:11" ht="42.75">
      <c r="A11" s="32" t="str">
        <v>AZ: Peoria - City Hall</v>
      </c>
      <c r="B11" s="33" t="str">
        <v>AZ</v>
      </c>
      <c r="C11" s="12">
        <v>15929</v>
      </c>
      <c r="D11" s="20">
        <v>16201</v>
      </c>
      <c r="E11" s="20">
        <f t="shared" si="0"/>
        <v>-272</v>
      </c>
      <c r="F11" s="21">
        <f t="shared" si="3"/>
        <v>-1.6789087093389297E-2</v>
      </c>
      <c r="G11" s="22">
        <v>44313</v>
      </c>
      <c r="H11" s="22">
        <f t="shared" si="1"/>
        <v>-28384</v>
      </c>
      <c r="I11" s="21">
        <f t="shared" si="2"/>
        <v>-0.64053438043012212</v>
      </c>
      <c r="J11" s="43" t="s">
        <v>32</v>
      </c>
      <c r="K11" s="43" t="s">
        <v>33</v>
      </c>
    </row>
    <row r="12" spans="1:11" ht="15.75">
      <c r="A12" s="30" t="str">
        <v>AZ: Peoria - Pinnacle Peak</v>
      </c>
      <c r="B12" s="31" t="str">
        <v>AZ</v>
      </c>
      <c r="C12" s="26">
        <v>22544</v>
      </c>
      <c r="D12" s="14">
        <v>11180</v>
      </c>
      <c r="E12" s="14">
        <f t="shared" si="0"/>
        <v>11364</v>
      </c>
      <c r="F12" s="15">
        <f t="shared" si="3"/>
        <v>1.0164579606440072</v>
      </c>
      <c r="G12" s="16">
        <v>24340</v>
      </c>
      <c r="H12" s="16">
        <f t="shared" si="1"/>
        <v>-1796</v>
      </c>
      <c r="I12" s="17">
        <f t="shared" si="2"/>
        <v>-7.3788003286770751E-2</v>
      </c>
      <c r="J12" s="18" t="s">
        <v>34</v>
      </c>
      <c r="K12" s="18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9"/>
  <sheetViews>
    <sheetView topLeftCell="B1" workbookViewId="0">
      <pane ySplit="2" topLeftCell="A5" activePane="bottomLeft" state="frozen"/>
      <selection pane="bottomLeft" activeCell="J15" sqref="J15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City of Peoria</v>
      </c>
      <c r="B1" s="51"/>
      <c r="C1" s="51"/>
      <c r="D1" s="52" t="s">
        <v>35</v>
      </c>
      <c r="E1" s="52"/>
      <c r="F1" s="52"/>
      <c r="G1" s="50" t="s">
        <v>36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SUM(C4:C97)</f>
        <v>348492.52351999993</v>
      </c>
      <c r="D2" s="6">
        <f>SUM(D4:D97)</f>
        <v>354061.45499999996</v>
      </c>
      <c r="E2" s="6">
        <f>C2-D2</f>
        <v>-5568.9314800000284</v>
      </c>
      <c r="F2" s="7">
        <f>IFERROR(E2/D2, 0)</f>
        <v>-1.5728714327291088E-2</v>
      </c>
      <c r="G2" s="6">
        <f>SUM(G4:G97)</f>
        <v>330828.788</v>
      </c>
      <c r="H2" s="8">
        <f>C2-G2</f>
        <v>17663.735519999929</v>
      </c>
      <c r="I2" s="7">
        <f>IFERROR(H2/G2, 0)</f>
        <v>5.3392377449328648E-2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8720.7716566667696</v>
      </c>
      <c r="D4" s="14">
        <v>8349.0310000000009</v>
      </c>
      <c r="E4" s="14">
        <f>IF(AND(ISNUMBER(C4),ISNUMBER(D4)), C4-D4, "")</f>
        <v>371.7406566667687</v>
      </c>
      <c r="F4" s="15">
        <f>IFERROR(E4/D4, "")</f>
        <v>4.4525006155417157E-2</v>
      </c>
      <c r="G4" s="16">
        <v>16395.849999999999</v>
      </c>
      <c r="H4" s="16">
        <f>IF(AND(ISNUMBER(C4),ISNUMBER(G4)), C4-G4, "")</f>
        <v>-7675.078343333229</v>
      </c>
      <c r="I4" s="17">
        <f>IFERROR(H4/G4, "")</f>
        <v>-0.46811103683756744</v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>
        <v>15860.889213333299</v>
      </c>
      <c r="D5" s="20">
        <v>14030.94</v>
      </c>
      <c r="E5" s="20">
        <f t="shared" ref="E5:E12" si="0">IF(AND(ISNUMBER(C5),ISNUMBER(D5)), C5-D5, "")</f>
        <v>1829.9492133332988</v>
      </c>
      <c r="F5" s="21">
        <f>IFERROR(E5/D5, "")</f>
        <v>0.13042242453700884</v>
      </c>
      <c r="G5" s="22">
        <v>15870</v>
      </c>
      <c r="H5" s="22">
        <f t="shared" ref="H5:H12" si="1">IF(AND(ISNUMBER(C5),ISNUMBER(G5)), C5-G5, "")</f>
        <v>-9.1107866667007329</v>
      </c>
      <c r="I5" s="21">
        <f t="shared" ref="I5:I12" si="2">IFERROR(H5/G5, "")</f>
        <v>-5.7408863684314641E-4</v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>
        <v>8407.8763466666605</v>
      </c>
      <c r="D6" s="14">
        <v>8550.1740000000009</v>
      </c>
      <c r="E6" s="14">
        <f t="shared" si="0"/>
        <v>-142.29765333334035</v>
      </c>
      <c r="F6" s="15">
        <f t="shared" ref="F6:F12" si="3">IFERROR(E6/D6, "")</f>
        <v>-1.6642661697100006E-2</v>
      </c>
      <c r="G6" s="16">
        <v>9202.6880000000001</v>
      </c>
      <c r="H6" s="16">
        <f t="shared" si="1"/>
        <v>-794.81165333333956</v>
      </c>
      <c r="I6" s="17">
        <f t="shared" si="2"/>
        <v>-8.6367336731761363E-2</v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>
        <v>6233.5575399999998</v>
      </c>
      <c r="D7" s="20">
        <v>0</v>
      </c>
      <c r="E7" s="20">
        <f t="shared" si="0"/>
        <v>6233.5575399999998</v>
      </c>
      <c r="F7" s="21" t="str">
        <f t="shared" si="3"/>
        <v/>
      </c>
      <c r="G7" s="22">
        <v>0</v>
      </c>
      <c r="H7" s="22">
        <f t="shared" si="1"/>
        <v>6233.5575399999998</v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>
        <v>12695.55012</v>
      </c>
      <c r="D8" s="14">
        <v>10000.94</v>
      </c>
      <c r="E8" s="14">
        <f t="shared" si="0"/>
        <v>2694.6101199999994</v>
      </c>
      <c r="F8" s="15">
        <f t="shared" si="3"/>
        <v>0.26943568504560561</v>
      </c>
      <c r="G8" s="16">
        <v>11803.25</v>
      </c>
      <c r="H8" s="16">
        <f t="shared" si="1"/>
        <v>892.30011999999988</v>
      </c>
      <c r="I8" s="17">
        <f t="shared" si="2"/>
        <v>7.5597832800288048E-2</v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>
        <v>34382.128643333199</v>
      </c>
      <c r="D9" s="20">
        <v>30715.89</v>
      </c>
      <c r="E9" s="20">
        <f t="shared" si="0"/>
        <v>3666.2386433331994</v>
      </c>
      <c r="F9" s="21">
        <f t="shared" si="3"/>
        <v>0.11935967485666864</v>
      </c>
      <c r="G9" s="22">
        <v>35984</v>
      </c>
      <c r="H9" s="22">
        <f t="shared" si="1"/>
        <v>-1601.8713566668011</v>
      </c>
      <c r="I9" s="21">
        <f t="shared" si="2"/>
        <v>-4.4516211556992029E-2</v>
      </c>
      <c r="J9" s="11"/>
      <c r="K9" s="19"/>
    </row>
    <row r="10" spans="1:11" ht="28.5" customHeight="1">
      <c r="A10" s="30" t="str">
        <v>AZ: Peoria - Beardsley WWTP</v>
      </c>
      <c r="B10" s="31" t="str">
        <v>AZ</v>
      </c>
      <c r="C10" s="26">
        <v>235341</v>
      </c>
      <c r="D10" s="14">
        <v>258608</v>
      </c>
      <c r="E10" s="14">
        <f t="shared" si="0"/>
        <v>-23267</v>
      </c>
      <c r="F10" s="15">
        <f t="shared" si="3"/>
        <v>-8.9970147868588757E-2</v>
      </c>
      <c r="G10" s="16">
        <v>214683</v>
      </c>
      <c r="H10" s="16">
        <f t="shared" si="1"/>
        <v>20658</v>
      </c>
      <c r="I10" s="17">
        <f t="shared" si="2"/>
        <v>9.6225597741786725E-2</v>
      </c>
      <c r="J10" s="18" t="s">
        <v>37</v>
      </c>
      <c r="K10" s="18" t="s">
        <v>38</v>
      </c>
    </row>
    <row r="11" spans="1:11" ht="28.5">
      <c r="A11" s="32" t="str">
        <v>AZ: Peoria - City Hall</v>
      </c>
      <c r="B11" s="33" t="str">
        <v>AZ</v>
      </c>
      <c r="C11" s="12">
        <v>0</v>
      </c>
      <c r="D11" s="20">
        <v>0</v>
      </c>
      <c r="E11" s="20">
        <f t="shared" si="0"/>
        <v>0</v>
      </c>
      <c r="F11" s="21" t="str">
        <f t="shared" si="3"/>
        <v/>
      </c>
      <c r="G11" s="22">
        <v>0</v>
      </c>
      <c r="H11" s="22">
        <f t="shared" si="1"/>
        <v>0</v>
      </c>
      <c r="I11" s="21" t="str">
        <f t="shared" si="2"/>
        <v/>
      </c>
      <c r="J11" s="46" t="s">
        <v>39</v>
      </c>
      <c r="K11" s="44" t="s">
        <v>40</v>
      </c>
    </row>
    <row r="12" spans="1:11" ht="15.75">
      <c r="A12" s="30" t="str">
        <v>AZ: Peoria - Pinnacle Peak</v>
      </c>
      <c r="B12" s="31" t="str">
        <v>AZ</v>
      </c>
      <c r="C12" s="26">
        <v>26850.75</v>
      </c>
      <c r="D12" s="14">
        <v>23806.48</v>
      </c>
      <c r="E12" s="14">
        <f t="shared" si="0"/>
        <v>3044.2700000000004</v>
      </c>
      <c r="F12" s="15">
        <f t="shared" si="3"/>
        <v>0.12787568762790638</v>
      </c>
      <c r="G12" s="16">
        <v>26890</v>
      </c>
      <c r="H12" s="16">
        <f t="shared" si="1"/>
        <v>-39.25</v>
      </c>
      <c r="I12" s="17">
        <f t="shared" si="2"/>
        <v>-1.4596504276682782E-3</v>
      </c>
      <c r="J12" s="18" t="s">
        <v>41</v>
      </c>
      <c r="K12" s="18" t="s">
        <v>42</v>
      </c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9"/>
  <sheetViews>
    <sheetView topLeftCell="B1" workbookViewId="0">
      <pane ySplit="2" topLeftCell="A3" activePane="bottomLeft" state="frozen"/>
      <selection pane="bottomLeft" activeCell="J16" sqref="J16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City of Peoria</v>
      </c>
      <c r="B1" s="51"/>
      <c r="C1" s="51"/>
      <c r="D1" s="52" t="s">
        <v>43</v>
      </c>
      <c r="E1" s="52"/>
      <c r="F1" s="52"/>
      <c r="G1" s="50" t="s">
        <v>44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SUM(C4:C97)</f>
        <v>378228.45621666644</v>
      </c>
      <c r="D2" s="6">
        <f>SUM(D4:D97)</f>
        <v>388147.31599999999</v>
      </c>
      <c r="E2" s="6">
        <f>C2-D2</f>
        <v>-9918.8597833335516</v>
      </c>
      <c r="F2" s="7">
        <f>IFERROR(E2/D2, 0)</f>
        <v>-2.5554369113127015E-2</v>
      </c>
      <c r="G2" s="6">
        <f>SUM(G4:G97)</f>
        <v>360995.32299999997</v>
      </c>
      <c r="H2" s="8">
        <f>C2-G2</f>
        <v>17233.133216666465</v>
      </c>
      <c r="I2" s="7">
        <f>IFERROR(H2/G2, 0)</f>
        <v>4.7737829602480658E-2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9755.3709999999792</v>
      </c>
      <c r="D4" s="14">
        <v>9756.5969999999998</v>
      </c>
      <c r="E4" s="14">
        <f>IF(AND(ISNUMBER(C4),ISNUMBER(D4)), C4-D4, "")</f>
        <v>-1.2260000000205764</v>
      </c>
      <c r="F4" s="15">
        <f>IFERROR(E4/D4, "")</f>
        <v>-1.2565856722590636E-4</v>
      </c>
      <c r="G4" s="16">
        <v>18639.09</v>
      </c>
      <c r="H4" s="16">
        <f>IF(AND(ISNUMBER(C4),ISNUMBER(G4)), C4-G4, "")</f>
        <v>-8883.719000000021</v>
      </c>
      <c r="I4" s="17">
        <f>IFERROR(H4/G4, "")</f>
        <v>-0.47661763530301215</v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>
        <v>16947.379519999999</v>
      </c>
      <c r="D5" s="20">
        <v>15356.98</v>
      </c>
      <c r="E5" s="20">
        <f t="shared" ref="E5:E12" si="0">IF(AND(ISNUMBER(C5),ISNUMBER(D5)), C5-D5, "")</f>
        <v>1590.399519999999</v>
      </c>
      <c r="F5" s="21">
        <f>IFERROR(E5/D5, "")</f>
        <v>0.10356199721559832</v>
      </c>
      <c r="G5" s="22">
        <v>16950</v>
      </c>
      <c r="H5" s="22">
        <f t="shared" ref="H5:H12" si="1">IF(AND(ISNUMBER(C5),ISNUMBER(G5)), C5-G5, "")</f>
        <v>-2.6204800000014075</v>
      </c>
      <c r="I5" s="21">
        <f t="shared" ref="I5:I12" si="2">IFERROR(H5/G5, "")</f>
        <v>-1.546005899705845E-4</v>
      </c>
      <c r="J5" s="44" t="s">
        <v>45</v>
      </c>
      <c r="K5" s="44" t="s">
        <v>46</v>
      </c>
    </row>
    <row r="6" spans="1:11" ht="15.75">
      <c r="A6" s="30" t="str">
        <v>AZ: Peoria - Fire Station 195</v>
      </c>
      <c r="B6" s="31" t="str">
        <v>AZ</v>
      </c>
      <c r="C6" s="26">
        <v>9245.7328599999892</v>
      </c>
      <c r="D6" s="14">
        <v>9660.4390000000003</v>
      </c>
      <c r="E6" s="14">
        <f t="shared" si="0"/>
        <v>-414.70614000001115</v>
      </c>
      <c r="F6" s="15">
        <f t="shared" ref="F6:F12" si="3">IFERROR(E6/D6, "")</f>
        <v>-4.2928291354048312E-2</v>
      </c>
      <c r="G6" s="16">
        <v>9977.6929999999993</v>
      </c>
      <c r="H6" s="16">
        <f t="shared" si="1"/>
        <v>-731.96014000001014</v>
      </c>
      <c r="I6" s="17">
        <f t="shared" si="2"/>
        <v>-7.3359657387735838E-2</v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>
        <v>6718.6373400000002</v>
      </c>
      <c r="D7" s="20">
        <v>0</v>
      </c>
      <c r="E7" s="20">
        <f t="shared" si="0"/>
        <v>6718.6373400000002</v>
      </c>
      <c r="F7" s="21" t="str">
        <f t="shared" si="3"/>
        <v/>
      </c>
      <c r="G7" s="22">
        <v>0</v>
      </c>
      <c r="H7" s="22">
        <f t="shared" si="1"/>
        <v>6718.6373400000002</v>
      </c>
      <c r="I7" s="21" t="str">
        <f t="shared" si="2"/>
        <v/>
      </c>
      <c r="J7" s="11"/>
      <c r="K7" s="11"/>
    </row>
    <row r="8" spans="1:11" ht="15.75">
      <c r="A8" s="30" t="str">
        <v>AZ: Peoria - Fire Station 197</v>
      </c>
      <c r="B8" s="31" t="str">
        <v>AZ</v>
      </c>
      <c r="C8" s="26">
        <v>13710.0689233333</v>
      </c>
      <c r="D8" s="14">
        <v>10958.49</v>
      </c>
      <c r="E8" s="14">
        <f t="shared" si="0"/>
        <v>2751.5789233332998</v>
      </c>
      <c r="F8" s="15">
        <f t="shared" si="3"/>
        <v>0.25109106485777694</v>
      </c>
      <c r="G8" s="16">
        <v>13024.54</v>
      </c>
      <c r="H8" s="16">
        <f t="shared" si="1"/>
        <v>685.52892333329874</v>
      </c>
      <c r="I8" s="17">
        <f t="shared" si="2"/>
        <v>5.2633637989003737E-2</v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>
        <v>38342.146573333303</v>
      </c>
      <c r="D9" s="20">
        <v>36469.660000000003</v>
      </c>
      <c r="E9" s="20">
        <f t="shared" si="0"/>
        <v>1872.486573333299</v>
      </c>
      <c r="F9" s="21">
        <f t="shared" si="3"/>
        <v>5.1343680564428042E-2</v>
      </c>
      <c r="G9" s="22">
        <v>39002</v>
      </c>
      <c r="H9" s="22">
        <f t="shared" si="1"/>
        <v>-659.85342666669749</v>
      </c>
      <c r="I9" s="21">
        <f t="shared" si="2"/>
        <v>-1.6918451019606623E-2</v>
      </c>
      <c r="J9" s="11"/>
      <c r="K9" s="11"/>
    </row>
    <row r="10" spans="1:11" ht="42.75">
      <c r="A10" s="30" t="str">
        <v>AZ: Peoria - Beardsley WWTP</v>
      </c>
      <c r="B10" s="31" t="str">
        <v>AZ</v>
      </c>
      <c r="C10" s="26">
        <v>254408</v>
      </c>
      <c r="D10" s="14">
        <v>283723</v>
      </c>
      <c r="E10" s="14">
        <f t="shared" si="0"/>
        <v>-29315</v>
      </c>
      <c r="F10" s="15">
        <f t="shared" si="3"/>
        <v>-0.10332260690885124</v>
      </c>
      <c r="G10" s="16">
        <v>234267</v>
      </c>
      <c r="H10" s="16">
        <f t="shared" si="1"/>
        <v>20141</v>
      </c>
      <c r="I10" s="17">
        <f t="shared" si="2"/>
        <v>8.5974550406160491E-2</v>
      </c>
      <c r="J10" s="18" t="s">
        <v>47</v>
      </c>
      <c r="K10" s="18" t="s">
        <v>48</v>
      </c>
    </row>
    <row r="11" spans="1:11" ht="28.5">
      <c r="A11" s="32" t="str">
        <v>AZ: Peoria - City Hall</v>
      </c>
      <c r="B11" s="33" t="str">
        <v>AZ</v>
      </c>
      <c r="C11" s="12">
        <v>0</v>
      </c>
      <c r="D11" s="20">
        <v>0</v>
      </c>
      <c r="E11" s="20">
        <f t="shared" si="0"/>
        <v>0</v>
      </c>
      <c r="F11" s="21" t="str">
        <f t="shared" si="3"/>
        <v/>
      </c>
      <c r="G11" s="22">
        <v>0</v>
      </c>
      <c r="H11" s="22">
        <f t="shared" si="1"/>
        <v>0</v>
      </c>
      <c r="I11" s="21" t="str">
        <f t="shared" si="2"/>
        <v/>
      </c>
      <c r="J11" s="46" t="s">
        <v>39</v>
      </c>
      <c r="K11" s="45" t="s">
        <v>40</v>
      </c>
    </row>
    <row r="12" spans="1:11" ht="15.75">
      <c r="A12" s="30" t="str">
        <v>AZ: Peoria - Pinnacle Peak</v>
      </c>
      <c r="B12" s="31" t="str">
        <v>AZ</v>
      </c>
      <c r="C12" s="26">
        <v>29101.119999999901</v>
      </c>
      <c r="D12" s="14">
        <v>22222.15</v>
      </c>
      <c r="E12" s="14">
        <f t="shared" si="0"/>
        <v>6878.9699999998993</v>
      </c>
      <c r="F12" s="15">
        <f t="shared" si="3"/>
        <v>0.30955465605262761</v>
      </c>
      <c r="G12" s="16">
        <v>29135</v>
      </c>
      <c r="H12" s="16">
        <f t="shared" si="1"/>
        <v>-33.880000000099244</v>
      </c>
      <c r="I12" s="17">
        <f t="shared" si="2"/>
        <v>-1.1628625364715718E-3</v>
      </c>
      <c r="J12" s="18" t="s">
        <v>41</v>
      </c>
      <c r="K12" s="18" t="s">
        <v>42</v>
      </c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9"/>
  <sheetViews>
    <sheetView zoomScale="70" zoomScaleNormal="70" workbookViewId="0">
      <pane ySplit="2" topLeftCell="A3" activePane="bottomLeft" state="frozen"/>
      <selection pane="bottomLeft" activeCell="J28" sqref="J28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City of Peoria</v>
      </c>
      <c r="B1" s="51"/>
      <c r="C1" s="51"/>
      <c r="D1" s="52" t="s">
        <v>49</v>
      </c>
      <c r="E1" s="52"/>
      <c r="F1" s="52"/>
      <c r="G1" s="50" t="s">
        <v>50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SUM(C4:C97)</f>
        <v>341191.55476999999</v>
      </c>
      <c r="D2" s="6">
        <f>SUM(D4:D97)</f>
        <v>337252.42600000004</v>
      </c>
      <c r="E2" s="6">
        <f>C2-D2</f>
        <v>3939.1287699999521</v>
      </c>
      <c r="F2" s="7">
        <f>IFERROR(E2/D2, 0)</f>
        <v>1.1680060590579567E-2</v>
      </c>
      <c r="G2" s="6">
        <f>SUM(G4:G97)</f>
        <v>349838.859</v>
      </c>
      <c r="H2" s="8">
        <f>C2-G2</f>
        <v>-8647.3042300000088</v>
      </c>
      <c r="I2" s="7">
        <f>IFERROR(H2/G2, 0)</f>
        <v>-2.4717963735412279E-2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8864.4299999999894</v>
      </c>
      <c r="D4" s="14">
        <v>9128.5429999999997</v>
      </c>
      <c r="E4" s="14">
        <f>IF(AND(ISNUMBER(C4),ISNUMBER(D4)), C4-D4, "")</f>
        <v>-264.11300000001029</v>
      </c>
      <c r="F4" s="15">
        <f>IFERROR(E4/D4, "")</f>
        <v>-2.8932656613438783E-2</v>
      </c>
      <c r="G4" s="16">
        <v>18453.86</v>
      </c>
      <c r="H4" s="16">
        <f>IF(AND(ISNUMBER(C4),ISNUMBER(G4)), C4-G4, "")</f>
        <v>-9589.4300000000112</v>
      </c>
      <c r="I4" s="17">
        <f>IFERROR(H4/G4, "")</f>
        <v>-0.51964358676179456</v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>
        <v>15158.3286333333</v>
      </c>
      <c r="D5" s="20">
        <v>13721.36</v>
      </c>
      <c r="E5" s="20">
        <f t="shared" ref="E5:E12" si="0">IF(AND(ISNUMBER(C5),ISNUMBER(D5)), C5-D5, "")</f>
        <v>1436.9686333332993</v>
      </c>
      <c r="F5" s="21">
        <f>IFERROR(E5/D5, "")</f>
        <v>0.10472494223118549</v>
      </c>
      <c r="G5" s="22">
        <v>16296</v>
      </c>
      <c r="H5" s="22">
        <f t="shared" ref="H5:H12" si="1">IF(AND(ISNUMBER(C5),ISNUMBER(G5)), C5-G5, "")</f>
        <v>-1137.6713666667001</v>
      </c>
      <c r="I5" s="21">
        <f t="shared" ref="I5:I12" si="2">IFERROR(H5/G5, "")</f>
        <v>-6.9812921371299713E-2</v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>
        <v>8331.7031133333803</v>
      </c>
      <c r="D6" s="14">
        <v>8890.0259999999998</v>
      </c>
      <c r="E6" s="14">
        <f t="shared" si="0"/>
        <v>-558.32288666661952</v>
      </c>
      <c r="F6" s="15">
        <f t="shared" ref="F6:F12" si="3">IFERROR(E6/D6, "")</f>
        <v>-6.2803290639039694E-2</v>
      </c>
      <c r="G6" s="16">
        <v>9584.2189999999991</v>
      </c>
      <c r="H6" s="16">
        <f t="shared" si="1"/>
        <v>-1252.5158866666188</v>
      </c>
      <c r="I6" s="17">
        <f t="shared" si="2"/>
        <v>-0.13068523232478504</v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>
        <v>5975.6672500000004</v>
      </c>
      <c r="D7" s="20">
        <v>0</v>
      </c>
      <c r="E7" s="20">
        <f t="shared" si="0"/>
        <v>5975.6672500000004</v>
      </c>
      <c r="F7" s="21" t="str">
        <f t="shared" si="3"/>
        <v/>
      </c>
      <c r="G7" s="22">
        <v>0</v>
      </c>
      <c r="H7" s="22">
        <f t="shared" si="1"/>
        <v>5975.6672500000004</v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>
        <v>12031.695396666701</v>
      </c>
      <c r="D8" s="14">
        <v>9664.6970000000001</v>
      </c>
      <c r="E8" s="14">
        <f t="shared" si="0"/>
        <v>2366.9983966667005</v>
      </c>
      <c r="F8" s="15">
        <f t="shared" si="3"/>
        <v>0.24491180599523196</v>
      </c>
      <c r="G8" s="16">
        <v>12646.78</v>
      </c>
      <c r="H8" s="16">
        <f t="shared" si="1"/>
        <v>-615.08460333330004</v>
      </c>
      <c r="I8" s="17">
        <f t="shared" si="2"/>
        <v>-4.8635668789470524E-2</v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>
        <v>34791.850376666502</v>
      </c>
      <c r="D9" s="20">
        <v>33407.599999999999</v>
      </c>
      <c r="E9" s="20">
        <f t="shared" si="0"/>
        <v>1384.2503766665031</v>
      </c>
      <c r="F9" s="21">
        <f t="shared" si="3"/>
        <v>4.143519368845721E-2</v>
      </c>
      <c r="G9" s="22">
        <v>37437</v>
      </c>
      <c r="H9" s="22">
        <f t="shared" si="1"/>
        <v>-2645.1496233334983</v>
      </c>
      <c r="I9" s="21">
        <f t="shared" si="2"/>
        <v>-7.065602541158475E-2</v>
      </c>
      <c r="J9" s="11"/>
      <c r="K9" s="19"/>
    </row>
    <row r="10" spans="1:11" ht="42.75">
      <c r="A10" s="30" t="str">
        <v>AZ: Peoria - Beardsley WWTP</v>
      </c>
      <c r="B10" s="31" t="str">
        <v>AZ</v>
      </c>
      <c r="C10" s="26">
        <v>230128</v>
      </c>
      <c r="D10" s="14">
        <v>250805.5</v>
      </c>
      <c r="E10" s="14">
        <f t="shared" si="0"/>
        <v>-20677.5</v>
      </c>
      <c r="F10" s="15">
        <f t="shared" si="3"/>
        <v>-8.2444364258359562E-2</v>
      </c>
      <c r="G10" s="16">
        <v>227497</v>
      </c>
      <c r="H10" s="16">
        <f t="shared" si="1"/>
        <v>2631</v>
      </c>
      <c r="I10" s="17">
        <f t="shared" si="2"/>
        <v>1.1564987670167079E-2</v>
      </c>
      <c r="J10" s="18" t="s">
        <v>51</v>
      </c>
      <c r="K10" s="18" t="s">
        <v>52</v>
      </c>
    </row>
    <row r="11" spans="1:11" ht="15.75">
      <c r="A11" s="32" t="str">
        <v>AZ: Peoria - City Hall</v>
      </c>
      <c r="B11" s="33" t="str">
        <v>AZ</v>
      </c>
      <c r="C11" s="12">
        <v>0</v>
      </c>
      <c r="D11" s="20">
        <v>0</v>
      </c>
      <c r="E11" s="20">
        <f t="shared" si="0"/>
        <v>0</v>
      </c>
      <c r="F11" s="21" t="str">
        <f t="shared" si="3"/>
        <v/>
      </c>
      <c r="G11" s="22">
        <v>0</v>
      </c>
      <c r="H11" s="22">
        <f t="shared" si="1"/>
        <v>0</v>
      </c>
      <c r="I11" s="21" t="str">
        <f t="shared" si="2"/>
        <v/>
      </c>
      <c r="J11" s="43" t="s">
        <v>39</v>
      </c>
      <c r="K11" s="44" t="s">
        <v>40</v>
      </c>
    </row>
    <row r="12" spans="1:11" ht="15.75">
      <c r="A12" s="30" t="str">
        <v>AZ: Peoria - Pinnacle Peak</v>
      </c>
      <c r="B12" s="31" t="str">
        <v>AZ</v>
      </c>
      <c r="C12" s="26">
        <v>25909.880000000099</v>
      </c>
      <c r="D12" s="14">
        <v>11634.7</v>
      </c>
      <c r="E12" s="14">
        <f t="shared" si="0"/>
        <v>14275.180000000099</v>
      </c>
      <c r="F12" s="15">
        <f t="shared" si="3"/>
        <v>1.2269486965714713</v>
      </c>
      <c r="G12" s="16">
        <v>27924</v>
      </c>
      <c r="H12" s="16">
        <f t="shared" si="1"/>
        <v>-2014.1199999999008</v>
      </c>
      <c r="I12" s="17">
        <f t="shared" si="2"/>
        <v>-7.2128634866061483E-2</v>
      </c>
      <c r="J12" s="18" t="s">
        <v>41</v>
      </c>
      <c r="K12" s="18" t="s">
        <v>42</v>
      </c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9"/>
  <sheetViews>
    <sheetView zoomScale="60" zoomScaleNormal="60" workbookViewId="0">
      <pane ySplit="2" topLeftCell="A3" activePane="bottomLeft" state="frozen"/>
      <selection pane="bottomLeft" activeCell="J20" sqref="J20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City of Peoria</v>
      </c>
      <c r="B1" s="51"/>
      <c r="C1" s="51"/>
      <c r="D1" s="52" t="s">
        <v>53</v>
      </c>
      <c r="E1" s="52"/>
      <c r="F1" s="52"/>
      <c r="G1" s="50" t="s">
        <v>54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SUM(C4:C97)</f>
        <v>262642.6621466669</v>
      </c>
      <c r="D2" s="6">
        <f>SUM(D4:D97)</f>
        <v>322422.04499999998</v>
      </c>
      <c r="E2" s="6">
        <f>C2-D2</f>
        <v>-59779.382853333082</v>
      </c>
      <c r="F2" s="7">
        <f>IFERROR(E2/D2, 0)</f>
        <v>-0.18540724426375091</v>
      </c>
      <c r="G2" s="6">
        <f>SUM(G4:G97)</f>
        <v>375813.14300000004</v>
      </c>
      <c r="H2" s="8">
        <f>C2-G2</f>
        <v>-113170.48085333314</v>
      </c>
      <c r="I2" s="7">
        <f>IFERROR(H2/G2, 0)</f>
        <v>-0.30113497348689883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8860.7456099999799</v>
      </c>
      <c r="D4" s="14">
        <v>9151.83</v>
      </c>
      <c r="E4" s="14">
        <f>IF(AND(ISNUMBER(C4),ISNUMBER(D4)), C4-D4, "")</f>
        <v>-291.08439000001999</v>
      </c>
      <c r="F4" s="15">
        <f>IFERROR(E4/D4, "")</f>
        <v>-3.1806140411264193E-2</v>
      </c>
      <c r="G4" s="16">
        <v>17180.62</v>
      </c>
      <c r="H4" s="16">
        <f>IF(AND(ISNUMBER(C4),ISNUMBER(G4)), C4-G4, "")</f>
        <v>-8319.874390000019</v>
      </c>
      <c r="I4" s="17">
        <f>IFERROR(H4/G4, "")</f>
        <v>-0.48425926363542293</v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>
        <v>16134.864796666699</v>
      </c>
      <c r="D5" s="20">
        <v>14071.41</v>
      </c>
      <c r="E5" s="20">
        <f t="shared" ref="E5:E12" si="0">IF(AND(ISNUMBER(C5),ISNUMBER(D5)), C5-D5, "")</f>
        <v>2063.4547966666996</v>
      </c>
      <c r="F5" s="21">
        <f>IFERROR(E5/D5, "")</f>
        <v>0.1466416511683406</v>
      </c>
      <c r="G5" s="22">
        <v>15200</v>
      </c>
      <c r="H5" s="22">
        <f t="shared" ref="H5:H12" si="1">IF(AND(ISNUMBER(C5),ISNUMBER(G5)), C5-G5, "")</f>
        <v>934.86479666669948</v>
      </c>
      <c r="I5" s="21">
        <f t="shared" ref="I5:I12" si="2">IFERROR(H5/G5, "")</f>
        <v>6.1504262938598647E-2</v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>
        <v>8617.1092099999696</v>
      </c>
      <c r="D6" s="14">
        <v>9070.4230000000007</v>
      </c>
      <c r="E6" s="14">
        <f t="shared" si="0"/>
        <v>-453.31379000003108</v>
      </c>
      <c r="F6" s="15">
        <f t="shared" ref="F6:F12" si="3">IFERROR(E6/D6, "")</f>
        <v>-4.9977138883162457E-2</v>
      </c>
      <c r="G6" s="16">
        <v>8967.6530000000002</v>
      </c>
      <c r="H6" s="16">
        <f t="shared" si="1"/>
        <v>-350.54379000003064</v>
      </c>
      <c r="I6" s="17">
        <f t="shared" si="2"/>
        <v>-3.9089803095640592E-2</v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>
        <v>6151.8965966666701</v>
      </c>
      <c r="D7" s="20">
        <v>0</v>
      </c>
      <c r="E7" s="20">
        <f t="shared" si="0"/>
        <v>6151.8965966666701</v>
      </c>
      <c r="F7" s="21" t="str">
        <f t="shared" si="3"/>
        <v/>
      </c>
      <c r="G7" s="22">
        <v>0</v>
      </c>
      <c r="H7" s="22">
        <f t="shared" si="1"/>
        <v>6151.8965966666701</v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>
        <v>-87607.244826666705</v>
      </c>
      <c r="D8" s="14">
        <v>9961.1059999999998</v>
      </c>
      <c r="E8" s="14">
        <f t="shared" si="0"/>
        <v>-97568.350826666705</v>
      </c>
      <c r="F8" s="15">
        <f t="shared" si="3"/>
        <v>-9.7949314892007688</v>
      </c>
      <c r="G8" s="16">
        <v>10595.21</v>
      </c>
      <c r="H8" s="16">
        <f t="shared" si="1"/>
        <v>-98202.454826666712</v>
      </c>
      <c r="I8" s="17">
        <f t="shared" si="2"/>
        <v>-9.2685708755812026</v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>
        <v>35689.420760000401</v>
      </c>
      <c r="D9" s="20">
        <v>33483.07</v>
      </c>
      <c r="E9" s="20">
        <f t="shared" si="0"/>
        <v>2206.3507600004014</v>
      </c>
      <c r="F9" s="21">
        <f t="shared" si="3"/>
        <v>6.5894518035544566E-2</v>
      </c>
      <c r="G9" s="22">
        <v>35051</v>
      </c>
      <c r="H9" s="22">
        <f t="shared" si="1"/>
        <v>638.42076000040106</v>
      </c>
      <c r="I9" s="21">
        <f t="shared" si="2"/>
        <v>1.821405266612653E-2</v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>
        <v>248136</v>
      </c>
      <c r="D10" s="14">
        <v>244140.2</v>
      </c>
      <c r="E10" s="14">
        <f t="shared" si="0"/>
        <v>3995.7999999999884</v>
      </c>
      <c r="F10" s="15">
        <f t="shared" si="3"/>
        <v>1.636682529136942E-2</v>
      </c>
      <c r="G10" s="16">
        <v>214802</v>
      </c>
      <c r="H10" s="16">
        <f t="shared" si="1"/>
        <v>33334</v>
      </c>
      <c r="I10" s="17">
        <f t="shared" si="2"/>
        <v>0.15518477481587695</v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>
        <v>0</v>
      </c>
      <c r="D11" s="20">
        <v>0</v>
      </c>
      <c r="E11" s="20">
        <f t="shared" si="0"/>
        <v>0</v>
      </c>
      <c r="F11" s="21" t="str">
        <f t="shared" si="3"/>
        <v/>
      </c>
      <c r="G11" s="22">
        <v>47881.66</v>
      </c>
      <c r="H11" s="22">
        <f t="shared" si="1"/>
        <v>-47881.66</v>
      </c>
      <c r="I11" s="21">
        <f t="shared" si="2"/>
        <v>-1</v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>
        <v>26659.869999999901</v>
      </c>
      <c r="D12" s="14">
        <v>2544.0059999999999</v>
      </c>
      <c r="E12" s="14">
        <f t="shared" si="0"/>
        <v>24115.8639999999</v>
      </c>
      <c r="F12" s="15">
        <f t="shared" si="3"/>
        <v>9.4794839320347126</v>
      </c>
      <c r="G12" s="16">
        <v>26135</v>
      </c>
      <c r="H12" s="16">
        <f t="shared" si="1"/>
        <v>524.86999999990076</v>
      </c>
      <c r="I12" s="17">
        <f t="shared" si="2"/>
        <v>2.0083030418974582E-2</v>
      </c>
      <c r="J12" s="18" t="s">
        <v>55</v>
      </c>
      <c r="K12" s="18" t="s">
        <v>56</v>
      </c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sortState xmlns:xlrd2="http://schemas.microsoft.com/office/spreadsheetml/2017/richdata2" ref="A3:K12">
    <sortCondition ref="A3:A12"/>
  </sortState>
  <mergeCells count="4">
    <mergeCell ref="G1:I1"/>
    <mergeCell ref="A1:C1"/>
    <mergeCell ref="D1:F1"/>
    <mergeCell ref="A2:B2"/>
  </mergeCells>
  <conditionalFormatting sqref="F2 I2 F4:F97 I4:I97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9"/>
  <sheetViews>
    <sheetView zoomScale="70" zoomScaleNormal="70" workbookViewId="0">
      <pane ySplit="2" topLeftCell="A3" activePane="bottomLeft" state="frozen"/>
      <selection pane="bottomLeft" activeCell="J34" sqref="J33:J34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City of Peoria</v>
      </c>
      <c r="B1" s="51"/>
      <c r="C1" s="51"/>
      <c r="D1" s="52" t="s">
        <v>57</v>
      </c>
      <c r="E1" s="52"/>
      <c r="F1" s="52"/>
      <c r="G1" s="50" t="s">
        <v>58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SUM(C4:C97)</f>
        <v>360867.27958333329</v>
      </c>
      <c r="D2" s="6">
        <f>SUM(D4:D97)</f>
        <v>321919.84340000001</v>
      </c>
      <c r="E2" s="6">
        <f>C2-D2</f>
        <v>38947.43618333328</v>
      </c>
      <c r="F2" s="7">
        <f>IFERROR(E2/D2, 0)</f>
        <v>0.12098488795218294</v>
      </c>
      <c r="G2" s="6">
        <f>SUM(G4:G97)</f>
        <v>361153.93300000002</v>
      </c>
      <c r="H2" s="8">
        <f>C2-G2</f>
        <v>-286.65341666672612</v>
      </c>
      <c r="I2" s="7">
        <f>IFERROR(H2/G2, 0)</f>
        <v>-7.9371533984298628E-4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8285.56188666663</v>
      </c>
      <c r="D4" s="14">
        <v>8009.6059999999998</v>
      </c>
      <c r="E4" s="14">
        <f>IF(AND(ISNUMBER(C4),ISNUMBER(D4)), C4-D4, "")</f>
        <v>275.95588666663025</v>
      </c>
      <c r="F4" s="15">
        <f>IFERROR(E4/D4, "")</f>
        <v>3.445311625398681E-2</v>
      </c>
      <c r="G4" s="16">
        <v>15895.69</v>
      </c>
      <c r="H4" s="16">
        <f>IF(AND(ISNUMBER(C4),ISNUMBER(G4)), C4-G4, "")</f>
        <v>-7610.1281133333705</v>
      </c>
      <c r="I4" s="17">
        <f>IFERROR(H4/G4, "")</f>
        <v>-0.47875418514914231</v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>
        <v>15382.899100000001</v>
      </c>
      <c r="D5" s="20">
        <v>12819.21</v>
      </c>
      <c r="E5" s="20">
        <f t="shared" ref="E5:E12" si="0">IF(AND(ISNUMBER(C5),ISNUMBER(D5)), C5-D5, "")</f>
        <v>2563.6891000000014</v>
      </c>
      <c r="F5" s="21">
        <f>IFERROR(E5/D5, "")</f>
        <v>0.19998807258793652</v>
      </c>
      <c r="G5" s="22">
        <v>14707</v>
      </c>
      <c r="H5" s="22">
        <f t="shared" ref="H5:H12" si="1">IF(AND(ISNUMBER(C5),ISNUMBER(G5)), C5-G5, "")</f>
        <v>675.89910000000054</v>
      </c>
      <c r="I5" s="21">
        <f t="shared" ref="I5:I12" si="2">IFERROR(H5/G5, "")</f>
        <v>4.59576460189026E-2</v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>
        <v>7900.1549700000296</v>
      </c>
      <c r="D6" s="14">
        <v>8134.8320000000003</v>
      </c>
      <c r="E6" s="14">
        <f t="shared" si="0"/>
        <v>-234.67702999997073</v>
      </c>
      <c r="F6" s="15">
        <f t="shared" ref="F6:F12" si="3">IFERROR(E6/D6, "")</f>
        <v>-2.8848417521095793E-2</v>
      </c>
      <c r="G6" s="16">
        <v>8530.2430000000004</v>
      </c>
      <c r="H6" s="16">
        <f t="shared" si="1"/>
        <v>-630.08802999997079</v>
      </c>
      <c r="I6" s="17">
        <f t="shared" si="2"/>
        <v>-7.3865191179192755E-2</v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>
        <v>5599.9327933333298</v>
      </c>
      <c r="D7" s="20">
        <v>0</v>
      </c>
      <c r="E7" s="20">
        <f t="shared" si="0"/>
        <v>5599.9327933333298</v>
      </c>
      <c r="F7" s="21" t="str">
        <f t="shared" si="3"/>
        <v/>
      </c>
      <c r="G7" s="22">
        <v>0</v>
      </c>
      <c r="H7" s="22">
        <f t="shared" si="1"/>
        <v>5599.9327933333298</v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>
        <v>11415.668326666701</v>
      </c>
      <c r="D8" s="14">
        <v>9068.9140000000007</v>
      </c>
      <c r="E8" s="14">
        <f t="shared" si="0"/>
        <v>2346.7543266666999</v>
      </c>
      <c r="F8" s="15">
        <f t="shared" si="3"/>
        <v>0.25876905731675254</v>
      </c>
      <c r="G8" s="16">
        <v>10320.93</v>
      </c>
      <c r="H8" s="16">
        <f t="shared" si="1"/>
        <v>1094.7383266667002</v>
      </c>
      <c r="I8" s="17">
        <f t="shared" si="2"/>
        <v>0.10606973660965632</v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>
        <v>31947.0625066666</v>
      </c>
      <c r="D9" s="20">
        <v>29001.08</v>
      </c>
      <c r="E9" s="20">
        <f t="shared" si="0"/>
        <v>2945.9825066665981</v>
      </c>
      <c r="F9" s="21">
        <f t="shared" si="3"/>
        <v>0.10158182063104539</v>
      </c>
      <c r="G9" s="22">
        <v>33358</v>
      </c>
      <c r="H9" s="22">
        <f t="shared" si="1"/>
        <v>-1410.9374933334002</v>
      </c>
      <c r="I9" s="21">
        <f t="shared" si="2"/>
        <v>-4.2296825149391454E-2</v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>
        <v>233803</v>
      </c>
      <c r="D10" s="14">
        <v>235029.9</v>
      </c>
      <c r="E10" s="14">
        <f t="shared" si="0"/>
        <v>-1226.8999999999942</v>
      </c>
      <c r="F10" s="15">
        <f t="shared" si="3"/>
        <v>-5.2201868783503472E-3</v>
      </c>
      <c r="G10" s="16">
        <v>207181</v>
      </c>
      <c r="H10" s="16">
        <f t="shared" si="1"/>
        <v>26622</v>
      </c>
      <c r="I10" s="17">
        <f t="shared" si="2"/>
        <v>0.12849633895000023</v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>
        <v>21778.5</v>
      </c>
      <c r="D11" s="20">
        <v>19263.73</v>
      </c>
      <c r="E11" s="20">
        <f t="shared" si="0"/>
        <v>2514.7700000000004</v>
      </c>
      <c r="F11" s="21">
        <f t="shared" si="3"/>
        <v>0.13054429230476136</v>
      </c>
      <c r="G11" s="22">
        <v>46289.07</v>
      </c>
      <c r="H11" s="22">
        <f t="shared" si="1"/>
        <v>-24510.57</v>
      </c>
      <c r="I11" s="21">
        <f t="shared" si="2"/>
        <v>-0.52951096230708461</v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>
        <v>24754.5</v>
      </c>
      <c r="D12" s="14">
        <v>592.57140000000004</v>
      </c>
      <c r="E12" s="14">
        <f t="shared" si="0"/>
        <v>24161.928599999999</v>
      </c>
      <c r="F12" s="15">
        <f t="shared" si="3"/>
        <v>40.774712718163578</v>
      </c>
      <c r="G12" s="16">
        <v>24872</v>
      </c>
      <c r="H12" s="16">
        <f t="shared" si="1"/>
        <v>-117.5</v>
      </c>
      <c r="I12" s="17">
        <f t="shared" si="2"/>
        <v>-4.7241878417497588E-3</v>
      </c>
      <c r="J12" s="18" t="s">
        <v>55</v>
      </c>
      <c r="K12" s="18" t="s">
        <v>56</v>
      </c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9"/>
  <sheetViews>
    <sheetView zoomScale="70" zoomScaleNormal="70" workbookViewId="0">
      <pane ySplit="2" topLeftCell="A3" activePane="bottomLeft" state="frozen"/>
      <selection pane="bottomLeft" activeCell="G25" sqref="G25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City of Peoria</v>
      </c>
      <c r="B1" s="51"/>
      <c r="C1" s="51"/>
      <c r="D1" s="52" t="s">
        <v>59</v>
      </c>
      <c r="E1" s="52"/>
      <c r="F1" s="52"/>
      <c r="G1" s="50" t="s">
        <v>60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SUM(C4:C97)</f>
        <v>351904.01327044005</v>
      </c>
      <c r="D2" s="6">
        <f>SUM(D4:D97)</f>
        <v>319465.54499999998</v>
      </c>
      <c r="E2" s="6">
        <f>C2-D2</f>
        <v>32438.468270440062</v>
      </c>
      <c r="F2" s="7">
        <f>IFERROR(E2/D2, 0)</f>
        <v>0.10153980226706472</v>
      </c>
      <c r="G2" s="6">
        <f>SUM(G4:G97)</f>
        <v>334623.86499999999</v>
      </c>
      <c r="H2" s="8">
        <f>C2-G2</f>
        <v>17280.148270440055</v>
      </c>
      <c r="I2" s="7">
        <f>IFERROR(H2/G2, 0)</f>
        <v>5.164051365684888E-2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7470.7385433333702</v>
      </c>
      <c r="D4" s="14">
        <v>6561.5169999999998</v>
      </c>
      <c r="E4" s="14">
        <f>IF(AND(ISNUMBER(C4),ISNUMBER(D4)), C4-D4, "")</f>
        <v>909.22154333337039</v>
      </c>
      <c r="F4" s="15">
        <f>IFERROR(E4/D4, "")</f>
        <v>0.13856880098510305</v>
      </c>
      <c r="G4" s="16">
        <v>13646.58</v>
      </c>
      <c r="H4" s="16">
        <f>IF(AND(ISNUMBER(C4),ISNUMBER(G4)), C4-G4, "")</f>
        <v>-6175.8414566666297</v>
      </c>
      <c r="I4" s="17">
        <f>IFERROR(H4/G4, "")</f>
        <v>-0.45255598521143242</v>
      </c>
      <c r="J4" s="18" t="s">
        <v>61</v>
      </c>
      <c r="K4" s="18" t="s">
        <v>62</v>
      </c>
    </row>
    <row r="5" spans="1:11" ht="15.75">
      <c r="A5" s="32" t="str">
        <v>AZ: Peoria - Fire Station 191</v>
      </c>
      <c r="B5" s="33" t="str">
        <v>AZ</v>
      </c>
      <c r="C5" s="12">
        <v>14969.4857366666</v>
      </c>
      <c r="D5" s="20">
        <v>12208.43</v>
      </c>
      <c r="E5" s="20">
        <f t="shared" ref="E5:E12" si="0">IF(AND(ISNUMBER(C5),ISNUMBER(D5)), C5-D5, "")</f>
        <v>2761.0557366665998</v>
      </c>
      <c r="F5" s="21">
        <f>IFERROR(E5/D5, "")</f>
        <v>0.22615977129463818</v>
      </c>
      <c r="G5" s="22">
        <v>13842</v>
      </c>
      <c r="H5" s="22">
        <f t="shared" ref="H5:H12" si="1">IF(AND(ISNUMBER(C5),ISNUMBER(G5)), C5-G5, "")</f>
        <v>1127.4857366666001</v>
      </c>
      <c r="I5" s="21">
        <f t="shared" ref="I5:I12" si="2">IFERROR(H5/G5, "")</f>
        <v>8.1453961614405448E-2</v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>
        <v>7323.9090599999799</v>
      </c>
      <c r="D6" s="14">
        <v>7173.5029999999997</v>
      </c>
      <c r="E6" s="14">
        <f t="shared" si="0"/>
        <v>150.40605999998024</v>
      </c>
      <c r="F6" s="15">
        <f t="shared" ref="F6:F12" si="3">IFERROR(E6/D6, "")</f>
        <v>2.0966891628815133E-2</v>
      </c>
      <c r="G6" s="16">
        <v>8015.2650000000003</v>
      </c>
      <c r="H6" s="16">
        <f t="shared" si="1"/>
        <v>-691.35594000002038</v>
      </c>
      <c r="I6" s="17">
        <f t="shared" si="2"/>
        <v>-8.6254907354905958E-2</v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>
        <v>5269.1792100000002</v>
      </c>
      <c r="D7" s="20">
        <v>0</v>
      </c>
      <c r="E7" s="20">
        <f t="shared" si="0"/>
        <v>5269.1792100000002</v>
      </c>
      <c r="F7" s="21" t="str">
        <f t="shared" si="3"/>
        <v/>
      </c>
      <c r="G7" s="22">
        <v>0</v>
      </c>
      <c r="H7" s="22">
        <f t="shared" si="1"/>
        <v>5269.1792100000002</v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>
        <v>11015.101273333299</v>
      </c>
      <c r="D8" s="14">
        <v>8539.9619999999995</v>
      </c>
      <c r="E8" s="14">
        <f t="shared" si="0"/>
        <v>2475.1392733332996</v>
      </c>
      <c r="F8" s="15">
        <f t="shared" si="3"/>
        <v>0.28983024436564236</v>
      </c>
      <c r="G8" s="16">
        <v>10330.02</v>
      </c>
      <c r="H8" s="16">
        <f t="shared" si="1"/>
        <v>685.08127333329867</v>
      </c>
      <c r="I8" s="17">
        <f t="shared" si="2"/>
        <v>6.6319452753556982E-2</v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>
        <v>29051.403206666699</v>
      </c>
      <c r="D9" s="20">
        <v>24422.11</v>
      </c>
      <c r="E9" s="20">
        <f t="shared" si="0"/>
        <v>4629.2932066666981</v>
      </c>
      <c r="F9" s="21">
        <f t="shared" si="3"/>
        <v>0.18955336810237519</v>
      </c>
      <c r="G9" s="22">
        <v>31354</v>
      </c>
      <c r="H9" s="22">
        <f t="shared" si="1"/>
        <v>-2302.5967933333013</v>
      </c>
      <c r="I9" s="21">
        <f t="shared" si="2"/>
        <v>-7.3438693414980591E-2</v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>
        <v>212411.82624043999</v>
      </c>
      <c r="D10" s="14">
        <v>215957.6</v>
      </c>
      <c r="E10" s="14">
        <f t="shared" si="0"/>
        <v>-3545.7737595600192</v>
      </c>
      <c r="F10" s="15">
        <f t="shared" si="3"/>
        <v>-1.6418842215138615E-2</v>
      </c>
      <c r="G10" s="16">
        <v>190510</v>
      </c>
      <c r="H10" s="16">
        <f t="shared" si="1"/>
        <v>21901.826240439987</v>
      </c>
      <c r="I10" s="17">
        <f t="shared" si="2"/>
        <v>0.11496418162007237</v>
      </c>
      <c r="J10" s="18" t="s">
        <v>63</v>
      </c>
      <c r="K10" s="18" t="s">
        <v>64</v>
      </c>
    </row>
    <row r="11" spans="1:11" ht="15.75">
      <c r="A11" s="32" t="str">
        <v>AZ: Peoria - City Hall</v>
      </c>
      <c r="B11" s="33" t="str">
        <v>AZ</v>
      </c>
      <c r="C11" s="12">
        <v>40915.620000000097</v>
      </c>
      <c r="D11" s="20">
        <v>36634.629999999997</v>
      </c>
      <c r="E11" s="20">
        <f t="shared" si="0"/>
        <v>4280.9900000000998</v>
      </c>
      <c r="F11" s="21">
        <f t="shared" si="3"/>
        <v>0.11685637332764381</v>
      </c>
      <c r="G11" s="22">
        <v>43546</v>
      </c>
      <c r="H11" s="22">
        <f t="shared" si="1"/>
        <v>-2630.3799999999028</v>
      </c>
      <c r="I11" s="21">
        <f t="shared" si="2"/>
        <v>-6.0404629587101064E-2</v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>
        <v>23476.75</v>
      </c>
      <c r="D12" s="14">
        <v>7967.7929999999997</v>
      </c>
      <c r="E12" s="14">
        <f t="shared" si="0"/>
        <v>15508.957</v>
      </c>
      <c r="F12" s="15">
        <f t="shared" si="3"/>
        <v>1.9464558127953375</v>
      </c>
      <c r="G12" s="16">
        <v>23380</v>
      </c>
      <c r="H12" s="16">
        <f t="shared" si="1"/>
        <v>96.75</v>
      </c>
      <c r="I12" s="17">
        <f t="shared" si="2"/>
        <v>4.1381522668947823E-3</v>
      </c>
      <c r="J12" s="18"/>
      <c r="K12" s="18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9"/>
  <sheetViews>
    <sheetView tabSelected="1" zoomScale="70" zoomScaleNormal="70" workbookViewId="0">
      <pane ySplit="2" topLeftCell="A3" activePane="bottomLeft" state="frozen"/>
      <selection pane="bottomLeft" activeCell="J12" sqref="J12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City of Peoria</v>
      </c>
      <c r="B1" s="51"/>
      <c r="C1" s="51"/>
      <c r="D1" s="52" t="s">
        <v>65</v>
      </c>
      <c r="E1" s="52"/>
      <c r="F1" s="52"/>
      <c r="G1" s="50" t="s">
        <v>66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SUM(C4:C97)</f>
        <v>295517.52152922662</v>
      </c>
      <c r="D2" s="6">
        <f>SUM(D4:D97)</f>
        <v>275920.59500000003</v>
      </c>
      <c r="E2" s="6">
        <f>C2-D2</f>
        <v>19596.926529226592</v>
      </c>
      <c r="F2" s="7">
        <f>IFERROR(E2/D2, 0)</f>
        <v>7.102379048300686E-2</v>
      </c>
      <c r="G2" s="6">
        <f>SUM(G4:G97)</f>
        <v>311766.88099999999</v>
      </c>
      <c r="H2" s="8">
        <f>C2-G2</f>
        <v>-16249.359470773372</v>
      </c>
      <c r="I2" s="7">
        <f>IFERROR(H2/G2, 0)</f>
        <v>-5.2120223349745004E-2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6015.4267630000004</v>
      </c>
      <c r="D4" s="14">
        <v>4940.3159999999998</v>
      </c>
      <c r="E4" s="14">
        <f t="shared" ref="E4:E10" si="0">IF(AND(ISNUMBER(C4),ISNUMBER(D4)), C4-D4, "")</f>
        <v>1075.1107630000006</v>
      </c>
      <c r="F4" s="15">
        <f t="shared" ref="F4:F10" si="1">IFERROR(E4/D4, "")</f>
        <v>0.21761983707115104</v>
      </c>
      <c r="G4" s="16">
        <v>11655.42</v>
      </c>
      <c r="H4" s="16">
        <f t="shared" ref="H4:H10" si="2">IF(AND(ISNUMBER(C4),ISNUMBER(G4)), C4-G4, "")</f>
        <v>-5639.9932369999997</v>
      </c>
      <c r="I4" s="17">
        <f t="shared" ref="I4:I10" si="3">IFERROR(H4/G4, "")</f>
        <v>-0.48389446600808889</v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>
        <v>13373.951939999901</v>
      </c>
      <c r="D5" s="20">
        <v>10717.53</v>
      </c>
      <c r="E5" s="20">
        <f t="shared" si="0"/>
        <v>2656.4219399999001</v>
      </c>
      <c r="F5" s="21">
        <f t="shared" si="1"/>
        <v>0.24785766309960411</v>
      </c>
      <c r="G5" s="22">
        <v>12781</v>
      </c>
      <c r="H5" s="22">
        <f t="shared" si="2"/>
        <v>592.95193999990079</v>
      </c>
      <c r="I5" s="21">
        <f t="shared" si="3"/>
        <v>4.6393235271097788E-2</v>
      </c>
      <c r="J5" s="45"/>
      <c r="K5" s="19"/>
    </row>
    <row r="6" spans="1:11" ht="15.75">
      <c r="A6" s="30" t="str">
        <v>AZ: Peoria - Fire Station 195</v>
      </c>
      <c r="B6" s="31" t="str">
        <v>AZ</v>
      </c>
      <c r="C6" s="26">
        <v>6142.0705066666696</v>
      </c>
      <c r="D6" s="14">
        <v>5725.6149999999998</v>
      </c>
      <c r="E6" s="14">
        <f t="shared" si="0"/>
        <v>416.45550666666986</v>
      </c>
      <c r="F6" s="15">
        <f t="shared" si="1"/>
        <v>7.2735506433225058E-2</v>
      </c>
      <c r="G6" s="16">
        <v>7504.6270000000004</v>
      </c>
      <c r="H6" s="16">
        <f t="shared" si="2"/>
        <v>-1362.5564933333308</v>
      </c>
      <c r="I6" s="17">
        <f t="shared" si="3"/>
        <v>-0.18156218734566432</v>
      </c>
      <c r="J6" s="18"/>
      <c r="K6" s="18"/>
    </row>
    <row r="7" spans="1:11" ht="33" customHeight="1">
      <c r="A7" s="32" t="str">
        <v>AZ: Peoria - Fire Station 196</v>
      </c>
      <c r="B7" s="33" t="str">
        <v>AZ</v>
      </c>
      <c r="C7" s="12">
        <v>4547</v>
      </c>
      <c r="D7" s="20">
        <v>0</v>
      </c>
      <c r="E7" s="20">
        <f t="shared" si="0"/>
        <v>4547</v>
      </c>
      <c r="F7" s="21" t="str">
        <f t="shared" si="1"/>
        <v/>
      </c>
      <c r="G7" s="22">
        <v>0</v>
      </c>
      <c r="H7" s="22">
        <f t="shared" si="2"/>
        <v>4547</v>
      </c>
      <c r="I7" s="21" t="str">
        <f t="shared" si="3"/>
        <v/>
      </c>
      <c r="J7" s="46"/>
      <c r="K7" s="19"/>
    </row>
    <row r="8" spans="1:11" ht="15.75">
      <c r="A8" s="30" t="str">
        <v>AZ: Peoria - Fire Station 197</v>
      </c>
      <c r="B8" s="31" t="str">
        <v>AZ</v>
      </c>
      <c r="C8" s="26">
        <v>9869.3578800000305</v>
      </c>
      <c r="D8" s="14">
        <v>7620.6540000000005</v>
      </c>
      <c r="E8" s="14">
        <f t="shared" si="0"/>
        <v>2248.70388000003</v>
      </c>
      <c r="F8" s="15">
        <f t="shared" si="1"/>
        <v>0.29508017028460154</v>
      </c>
      <c r="G8" s="16">
        <v>9793.4040000000005</v>
      </c>
      <c r="H8" s="16">
        <f t="shared" si="2"/>
        <v>75.95388000003004</v>
      </c>
      <c r="I8" s="17">
        <f t="shared" si="3"/>
        <v>7.7556159227200301E-3</v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>
        <v>23485.290679999998</v>
      </c>
      <c r="D9" s="20">
        <v>18665.71</v>
      </c>
      <c r="E9" s="20">
        <f t="shared" si="0"/>
        <v>4819.5806799999991</v>
      </c>
      <c r="F9" s="21">
        <f t="shared" si="1"/>
        <v>0.25820505515193365</v>
      </c>
      <c r="G9" s="22">
        <v>29371</v>
      </c>
      <c r="H9" s="22">
        <f t="shared" si="2"/>
        <v>-5885.7093200000018</v>
      </c>
      <c r="I9" s="21">
        <f t="shared" si="3"/>
        <v>-0.20039185999795722</v>
      </c>
      <c r="J9" s="45"/>
      <c r="K9" s="19"/>
    </row>
    <row r="10" spans="1:11" ht="85.5">
      <c r="A10" s="30" t="str">
        <v>AZ: Peoria - Beardsley WWTP</v>
      </c>
      <c r="B10" s="31" t="str">
        <v>AZ</v>
      </c>
      <c r="C10" s="26">
        <v>177436.17375956001</v>
      </c>
      <c r="D10" s="14">
        <v>186273.1</v>
      </c>
      <c r="E10" s="14">
        <f t="shared" si="0"/>
        <v>-8836.9262404399924</v>
      </c>
      <c r="F10" s="15">
        <f t="shared" si="1"/>
        <v>-4.7440699920922515E-2</v>
      </c>
      <c r="G10" s="16">
        <v>178526</v>
      </c>
      <c r="H10" s="16">
        <f t="shared" si="2"/>
        <v>-1089.8262404399866</v>
      </c>
      <c r="I10" s="17">
        <f t="shared" si="3"/>
        <v>-6.1045799516036125E-3</v>
      </c>
      <c r="J10" s="18" t="s">
        <v>67</v>
      </c>
      <c r="K10" s="18" t="s">
        <v>68</v>
      </c>
    </row>
    <row r="11" spans="1:11" ht="15.75">
      <c r="A11" s="32" t="str">
        <v>AZ: Peoria - City Hall</v>
      </c>
      <c r="B11" s="33" t="str">
        <v>AZ</v>
      </c>
      <c r="C11" s="47">
        <v>34054.5</v>
      </c>
      <c r="D11" s="47">
        <v>31373.5</v>
      </c>
      <c r="E11" s="20">
        <f>IF(AND(ISNUMBER(Nov!C11),ISNUMBER(Nov!D11)), Nov!C11-Nov!D11, "")</f>
        <v>2035.1599999999999</v>
      </c>
      <c r="F11" s="21">
        <f>IFERROR(E11/Nov!D11, "")</f>
        <v>8.4570732349896663E-2</v>
      </c>
      <c r="G11" s="47">
        <v>40236.43</v>
      </c>
      <c r="H11" s="22">
        <f>IF(AND(ISNUMBER(Nov!C11),ISNUMBER(Nov!G11)), Nov!C11-Nov!G11, "")</f>
        <v>-7042.3899999999994</v>
      </c>
      <c r="I11" s="21">
        <f>IFERROR(H11/G11, "")</f>
        <v>-0.17502521968276011</v>
      </c>
      <c r="J11" s="11"/>
      <c r="K11" s="19"/>
    </row>
    <row r="12" spans="1:11" ht="30.75">
      <c r="A12" s="30" t="str">
        <v>AZ: Peoria - Pinnacle Peak</v>
      </c>
      <c r="B12" s="31" t="str">
        <v>AZ</v>
      </c>
      <c r="C12" s="26">
        <v>20593.75</v>
      </c>
      <c r="D12" s="14">
        <v>10604.17</v>
      </c>
      <c r="E12" s="14">
        <f>IF(AND(ISNUMBER(C12),ISNUMBER(D12)), C12-D12, "")</f>
        <v>9989.58</v>
      </c>
      <c r="F12" s="15">
        <f>IFERROR(E12/D12, "")</f>
        <v>0.94204261153866831</v>
      </c>
      <c r="G12" s="16">
        <v>21899</v>
      </c>
      <c r="H12" s="16">
        <f>IF(AND(ISNUMBER(C12),ISNUMBER(G12)), C12-G12, "")</f>
        <v>-1305.25</v>
      </c>
      <c r="I12" s="17">
        <f>IFERROR(H12/G12, "")</f>
        <v>-5.9603178227316318E-2</v>
      </c>
      <c r="J12" s="18" t="s">
        <v>69</v>
      </c>
      <c r="K12" s="18" t="s">
        <v>56</v>
      </c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9"/>
  <sheetViews>
    <sheetView zoomScale="70" zoomScaleNormal="70" workbookViewId="0">
      <pane ySplit="2" topLeftCell="A3" activePane="bottomLeft" state="frozen"/>
      <selection pane="bottomLeft" activeCell="J12" sqref="J12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City of Peoria</v>
      </c>
      <c r="B1" s="51"/>
      <c r="C1" s="51"/>
      <c r="D1" s="52" t="s">
        <v>70</v>
      </c>
      <c r="E1" s="52"/>
      <c r="F1" s="52"/>
      <c r="G1" s="50" t="s">
        <v>71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SUM(C4:C97)</f>
        <v>232806.76130674541</v>
      </c>
      <c r="D2" s="6">
        <f>SUM(D4:D97)</f>
        <v>216911.90899999999</v>
      </c>
      <c r="E2" s="6">
        <f>C2-D2</f>
        <v>15894.852306745423</v>
      </c>
      <c r="F2" s="7">
        <f>IFERROR(E2/D2, 0)</f>
        <v>7.3277914430901175E-2</v>
      </c>
      <c r="G2" s="6">
        <f>SUM(G4:G97)</f>
        <v>253457.82</v>
      </c>
      <c r="H2" s="8">
        <f>C2-G2</f>
        <v>-20651.058693254599</v>
      </c>
      <c r="I2" s="7">
        <f>IFERROR(H2/G2, 0)</f>
        <v>-8.1477299430945158E-2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4830.9141970000001</v>
      </c>
      <c r="D4" s="14">
        <v>3454.2</v>
      </c>
      <c r="E4" s="14">
        <f>IF(AND(ISNUMBER(C4),ISNUMBER(D4)), C4-D4, "")</f>
        <v>1376.7141970000002</v>
      </c>
      <c r="F4" s="15">
        <f>IFERROR(E4/D4, "")</f>
        <v>0.3985623869492213</v>
      </c>
      <c r="G4" s="16">
        <v>8649.3829999999998</v>
      </c>
      <c r="H4" s="16">
        <f>IF(AND(ISNUMBER(C4),ISNUMBER(G4)), C4-G4, "")</f>
        <v>-3818.4688029999998</v>
      </c>
      <c r="I4" s="17">
        <f>IFERROR(H4/G4, "")</f>
        <v>-0.44147297015289988</v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>
        <v>11151.564420000101</v>
      </c>
      <c r="D5" s="20">
        <v>8995.4590000000007</v>
      </c>
      <c r="E5" s="20">
        <f t="shared" ref="E5:E12" si="0">IF(AND(ISNUMBER(C5),ISNUMBER(D5)), C5-D5, "")</f>
        <v>2156.1054200000999</v>
      </c>
      <c r="F5" s="21">
        <f>IFERROR(E5/D5, "")</f>
        <v>0.23968820490428558</v>
      </c>
      <c r="G5" s="22">
        <v>10527</v>
      </c>
      <c r="H5" s="22">
        <f t="shared" ref="H5:H12" si="1">IF(AND(ISNUMBER(C5),ISNUMBER(G5)), C5-G5, "")</f>
        <v>624.56442000010065</v>
      </c>
      <c r="I5" s="21">
        <f t="shared" ref="I5:I12" si="2">IFERROR(H5/G5, "")</f>
        <v>5.9329763465384315E-2</v>
      </c>
      <c r="J5" s="45"/>
      <c r="K5" s="19"/>
    </row>
    <row r="6" spans="1:11" ht="15.75">
      <c r="A6" s="30" t="str">
        <v>AZ: Peoria - Fire Station 195</v>
      </c>
      <c r="B6" s="31" t="str">
        <v>AZ</v>
      </c>
      <c r="C6" s="26">
        <v>4595.2835666666497</v>
      </c>
      <c r="D6" s="14">
        <v>4484.665</v>
      </c>
      <c r="E6" s="14">
        <f t="shared" si="0"/>
        <v>110.61856666664971</v>
      </c>
      <c r="F6" s="15">
        <f t="shared" ref="F6:F12" si="3">IFERROR(E6/D6, "")</f>
        <v>2.4665959813419666E-2</v>
      </c>
      <c r="G6" s="16">
        <v>6117.7669999999998</v>
      </c>
      <c r="H6" s="16">
        <f t="shared" si="1"/>
        <v>-1522.4834333333501</v>
      </c>
      <c r="I6" s="17">
        <f t="shared" si="2"/>
        <v>-0.24886260515206776</v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>
        <v>3716.1691000000001</v>
      </c>
      <c r="D7" s="20">
        <v>0</v>
      </c>
      <c r="E7" s="20">
        <f t="shared" si="0"/>
        <v>3716.1691000000001</v>
      </c>
      <c r="F7" s="21" t="str">
        <f t="shared" si="3"/>
        <v/>
      </c>
      <c r="G7" s="22">
        <v>0</v>
      </c>
      <c r="H7" s="22">
        <f t="shared" si="1"/>
        <v>3716.1691000000001</v>
      </c>
      <c r="I7" s="21" t="str">
        <f t="shared" si="2"/>
        <v/>
      </c>
      <c r="J7" s="45"/>
      <c r="K7" s="19"/>
    </row>
    <row r="8" spans="1:11" ht="15.75">
      <c r="A8" s="30" t="str">
        <v>AZ: Peoria - Fire Station 197</v>
      </c>
      <c r="B8" s="31" t="str">
        <v>AZ</v>
      </c>
      <c r="C8" s="26">
        <v>8235.4533030786606</v>
      </c>
      <c r="D8" s="14">
        <v>6348.3530000000001</v>
      </c>
      <c r="E8" s="14">
        <f t="shared" si="0"/>
        <v>1887.1003030786605</v>
      </c>
      <c r="F8" s="15">
        <f t="shared" si="3"/>
        <v>0.29725824998683287</v>
      </c>
      <c r="G8" s="16">
        <v>7511.53</v>
      </c>
      <c r="H8" s="16">
        <f t="shared" si="1"/>
        <v>723.92330307866087</v>
      </c>
      <c r="I8" s="17">
        <f t="shared" si="2"/>
        <v>9.637494665915744E-2</v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>
        <v>15298.746719999999</v>
      </c>
      <c r="D9" s="20">
        <v>13150.5</v>
      </c>
      <c r="E9" s="20">
        <f t="shared" si="0"/>
        <v>2148.2467199999992</v>
      </c>
      <c r="F9" s="21">
        <f t="shared" si="3"/>
        <v>0.16335855822972503</v>
      </c>
      <c r="G9" s="22">
        <v>23950</v>
      </c>
      <c r="H9" s="22">
        <f t="shared" si="1"/>
        <v>-8651.2532800000008</v>
      </c>
      <c r="I9" s="21">
        <f t="shared" si="2"/>
        <v>-0.36122143131524009</v>
      </c>
      <c r="J9" s="45" t="s">
        <v>72</v>
      </c>
      <c r="K9" s="49" t="s">
        <v>73</v>
      </c>
    </row>
    <row r="10" spans="1:11" ht="114">
      <c r="A10" s="30" t="str">
        <v>AZ: Peoria - Beardsley WWTP</v>
      </c>
      <c r="B10" s="31" t="str">
        <v>AZ</v>
      </c>
      <c r="C10" s="26">
        <v>141918</v>
      </c>
      <c r="D10" s="14">
        <v>151940.9</v>
      </c>
      <c r="E10" s="14">
        <f t="shared" si="0"/>
        <v>-10022.899999999994</v>
      </c>
      <c r="F10" s="15">
        <f t="shared" si="3"/>
        <v>-6.5965780115821313E-2</v>
      </c>
      <c r="G10" s="16">
        <v>145703</v>
      </c>
      <c r="H10" s="16">
        <f t="shared" si="1"/>
        <v>-3785</v>
      </c>
      <c r="I10" s="17">
        <f t="shared" si="2"/>
        <v>-2.5977502179090343E-2</v>
      </c>
      <c r="J10" s="18" t="s">
        <v>74</v>
      </c>
      <c r="K10" s="18" t="s">
        <v>75</v>
      </c>
    </row>
    <row r="11" spans="1:11" ht="15.75">
      <c r="A11" s="32" t="str">
        <v>AZ: Peoria - City Hall</v>
      </c>
      <c r="B11" s="33" t="str">
        <v>AZ</v>
      </c>
      <c r="C11" s="12">
        <v>26099.75</v>
      </c>
      <c r="D11" s="20">
        <v>24064.59</v>
      </c>
      <c r="E11" s="20">
        <f t="shared" si="0"/>
        <v>2035.1599999999999</v>
      </c>
      <c r="F11" s="21">
        <f t="shared" si="3"/>
        <v>8.4570732349896663E-2</v>
      </c>
      <c r="G11" s="22">
        <v>33142.14</v>
      </c>
      <c r="H11" s="22">
        <f t="shared" si="1"/>
        <v>-7042.3899999999994</v>
      </c>
      <c r="I11" s="21">
        <f t="shared" si="2"/>
        <v>-0.21249050302726377</v>
      </c>
      <c r="J11" s="11"/>
      <c r="K11" s="19"/>
    </row>
    <row r="12" spans="1:11" ht="30.75">
      <c r="A12" s="30" t="str">
        <v>AZ: Peoria - Pinnacle Peak</v>
      </c>
      <c r="B12" s="31" t="str">
        <v>AZ</v>
      </c>
      <c r="C12" s="26">
        <v>16960.88</v>
      </c>
      <c r="D12" s="14">
        <v>4473.2420000000002</v>
      </c>
      <c r="E12" s="14">
        <f t="shared" si="0"/>
        <v>12487.638000000001</v>
      </c>
      <c r="F12" s="15">
        <f t="shared" si="3"/>
        <v>2.7916303209171334</v>
      </c>
      <c r="G12" s="16">
        <v>17857</v>
      </c>
      <c r="H12" s="16">
        <f t="shared" si="1"/>
        <v>-896.11999999999898</v>
      </c>
      <c r="I12" s="17">
        <f t="shared" si="2"/>
        <v>-5.0183121464971663E-2</v>
      </c>
      <c r="J12" s="18" t="s">
        <v>69</v>
      </c>
      <c r="K12" s="18" t="s">
        <v>56</v>
      </c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6"/>
  <sheetViews>
    <sheetView zoomScale="70" zoomScaleNormal="70" workbookViewId="0">
      <pane ySplit="2" topLeftCell="A3" activePane="bottomLeft" state="frozen"/>
      <selection pane="bottomLeft" activeCell="J22" sqref="J22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City of Peoria</v>
      </c>
      <c r="B1" s="51"/>
      <c r="C1" s="51"/>
      <c r="D1" s="52" t="s">
        <v>76</v>
      </c>
      <c r="E1" s="52"/>
      <c r="F1" s="52"/>
      <c r="G1" s="50" t="s">
        <v>77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SUM(C4:C94)</f>
        <v>184638.29642692147</v>
      </c>
      <c r="D2" s="6">
        <f>SUM(D4:D94)</f>
        <v>183584.02200000003</v>
      </c>
      <c r="E2" s="6">
        <f>C2-D2</f>
        <v>1054.2744269214454</v>
      </c>
      <c r="F2" s="7">
        <f>IFERROR(E2/D2, 0)</f>
        <v>5.7427352088486507E-3</v>
      </c>
      <c r="G2" s="6">
        <f>SUM(G4:G94)</f>
        <v>226432.47399999999</v>
      </c>
      <c r="H2" s="8">
        <f>C2-G2</f>
        <v>-41794.177573078516</v>
      </c>
      <c r="I2" s="7">
        <f>IFERROR(H2/G2, 0)</f>
        <v>-0.18457678280315268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4056.85122333339</v>
      </c>
      <c r="D4" s="14">
        <v>2669.0250000000001</v>
      </c>
      <c r="E4" s="14">
        <f>IF(AND(ISNUMBER(C4),ISNUMBER(D4)), C4-D4, "")</f>
        <v>1387.8262233333899</v>
      </c>
      <c r="F4" s="15">
        <f>IFERROR(E4/D4, "")</f>
        <v>0.51997498087630867</v>
      </c>
      <c r="G4" s="16">
        <v>7385.7150000000001</v>
      </c>
      <c r="H4" s="16">
        <f>IF(AND(ISNUMBER(C4),ISNUMBER(G4)), C4-G4, "")</f>
        <v>-3328.8637766666102</v>
      </c>
      <c r="I4" s="17">
        <f>IFERROR(H4/G4, "")</f>
        <v>-0.45071652191651185</v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>
        <v>9366.61852000002</v>
      </c>
      <c r="D5" s="20">
        <v>7669.7219999999998</v>
      </c>
      <c r="E5" s="20">
        <f t="shared" ref="E5:E12" si="0">IF(AND(ISNUMBER(C5),ISNUMBER(D5)), C5-D5, "")</f>
        <v>1696.8965200000202</v>
      </c>
      <c r="F5" s="21">
        <f>IFERROR(E5/D5, "")</f>
        <v>0.22124615729227479</v>
      </c>
      <c r="G5" s="22">
        <v>9250</v>
      </c>
      <c r="H5" s="22">
        <f t="shared" ref="H5:H12" si="1">IF(AND(ISNUMBER(C5),ISNUMBER(G5)), C5-G5, "")</f>
        <v>116.61852000002</v>
      </c>
      <c r="I5" s="21">
        <f t="shared" ref="I5:I12" si="2">IFERROR(H5/G5, "")</f>
        <v>1.260740756756973E-2</v>
      </c>
      <c r="J5" s="44"/>
      <c r="K5" s="19"/>
    </row>
    <row r="6" spans="1:11" ht="15.75">
      <c r="A6" s="30" t="str">
        <v>AZ: Peoria - Fire Station 195</v>
      </c>
      <c r="B6" s="31" t="str">
        <v>AZ</v>
      </c>
      <c r="C6" s="26">
        <v>3716.3128999999599</v>
      </c>
      <c r="D6" s="14">
        <v>3690.9760000000001</v>
      </c>
      <c r="E6" s="14">
        <f t="shared" si="0"/>
        <v>25.336899999959769</v>
      </c>
      <c r="F6" s="15">
        <f t="shared" ref="F6:F12" si="3">IFERROR(E6/D6, "")</f>
        <v>6.864552898734581E-3</v>
      </c>
      <c r="G6" s="16">
        <v>5577.9579999999996</v>
      </c>
      <c r="H6" s="16">
        <f t="shared" si="1"/>
        <v>-1861.6451000000397</v>
      </c>
      <c r="I6" s="17">
        <f t="shared" si="2"/>
        <v>-0.33375028998067752</v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>
        <v>3164.3987999999999</v>
      </c>
      <c r="D7" s="20">
        <v>0</v>
      </c>
      <c r="E7" s="20">
        <f t="shared" si="0"/>
        <v>3164.3987999999999</v>
      </c>
      <c r="F7" s="21" t="str">
        <f t="shared" si="3"/>
        <v/>
      </c>
      <c r="G7" s="22">
        <v>0</v>
      </c>
      <c r="H7" s="22">
        <f t="shared" si="1"/>
        <v>3164.3987999999999</v>
      </c>
      <c r="I7" s="21" t="str">
        <f t="shared" si="2"/>
        <v/>
      </c>
      <c r="J7" s="44"/>
      <c r="K7" s="19"/>
    </row>
    <row r="8" spans="1:11" ht="15.75">
      <c r="A8" s="30" t="str">
        <v>AZ: Peoria - Fire Station 197</v>
      </c>
      <c r="B8" s="31" t="str">
        <v>AZ</v>
      </c>
      <c r="C8" s="26">
        <v>7171.6531202547503</v>
      </c>
      <c r="D8" s="14">
        <v>5532.5339999999997</v>
      </c>
      <c r="E8" s="14">
        <f t="shared" si="0"/>
        <v>1639.1191202547507</v>
      </c>
      <c r="F8" s="15">
        <f t="shared" si="3"/>
        <v>0.29626914543222882</v>
      </c>
      <c r="G8" s="16">
        <v>6921.6909999999998</v>
      </c>
      <c r="H8" s="16">
        <f t="shared" si="1"/>
        <v>249.96212025475052</v>
      </c>
      <c r="I8" s="17">
        <f t="shared" si="2"/>
        <v>3.6112868987470043E-2</v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>
        <v>9653.7118633333594</v>
      </c>
      <c r="D9" s="20">
        <v>10243.65</v>
      </c>
      <c r="E9" s="20">
        <f t="shared" si="0"/>
        <v>-589.93813666664028</v>
      </c>
      <c r="F9" s="21">
        <f t="shared" si="3"/>
        <v>-5.759061825293136E-2</v>
      </c>
      <c r="G9" s="22">
        <v>21847</v>
      </c>
      <c r="H9" s="22">
        <f t="shared" si="1"/>
        <v>-12193.288136666641</v>
      </c>
      <c r="I9" s="21">
        <f t="shared" si="2"/>
        <v>-0.5581218536488598</v>
      </c>
      <c r="J9" s="44" t="s">
        <v>78</v>
      </c>
      <c r="K9" s="49" t="s">
        <v>73</v>
      </c>
    </row>
    <row r="10" spans="1:11" ht="28.5">
      <c r="A10" s="30" t="str">
        <v>AZ: Peoria - Beardsley WWTP</v>
      </c>
      <c r="B10" s="31" t="str">
        <v>AZ</v>
      </c>
      <c r="C10" s="26">
        <v>111695</v>
      </c>
      <c r="D10" s="14">
        <v>127118.1</v>
      </c>
      <c r="E10" s="14">
        <f t="shared" si="0"/>
        <v>-15423.100000000006</v>
      </c>
      <c r="F10" s="15">
        <f t="shared" si="3"/>
        <v>-0.1213289059543842</v>
      </c>
      <c r="G10" s="16">
        <v>130046</v>
      </c>
      <c r="H10" s="16">
        <f t="shared" si="1"/>
        <v>-18351</v>
      </c>
      <c r="I10" s="17">
        <f t="shared" si="2"/>
        <v>-0.14111160666225797</v>
      </c>
      <c r="J10" s="18" t="s">
        <v>79</v>
      </c>
      <c r="K10" s="18" t="s">
        <v>80</v>
      </c>
    </row>
    <row r="11" spans="1:11" ht="15.75">
      <c r="A11" s="32" t="str">
        <v>AZ: Peoria - City Hall</v>
      </c>
      <c r="B11" s="33" t="str">
        <v>AZ</v>
      </c>
      <c r="C11" s="12">
        <v>21110.5</v>
      </c>
      <c r="D11" s="20">
        <v>19649.79</v>
      </c>
      <c r="E11" s="20">
        <f t="shared" si="0"/>
        <v>1460.7099999999991</v>
      </c>
      <c r="F11" s="21">
        <f t="shared" si="3"/>
        <v>7.4337181211605777E-2</v>
      </c>
      <c r="G11" s="22">
        <v>29117.11</v>
      </c>
      <c r="H11" s="22">
        <f t="shared" si="1"/>
        <v>-8006.6100000000006</v>
      </c>
      <c r="I11" s="21">
        <f t="shared" si="2"/>
        <v>-0.27497955669364166</v>
      </c>
      <c r="J11" s="11"/>
      <c r="K11" s="19"/>
    </row>
    <row r="12" spans="1:11" ht="30.75">
      <c r="A12" s="30" t="str">
        <v>AZ: Peoria - Pinnacle Peak</v>
      </c>
      <c r="B12" s="31" t="str">
        <v>AZ</v>
      </c>
      <c r="C12" s="26">
        <v>14703.25</v>
      </c>
      <c r="D12" s="14">
        <v>7010.2250000000004</v>
      </c>
      <c r="E12" s="14">
        <f t="shared" si="0"/>
        <v>7693.0249999999996</v>
      </c>
      <c r="F12" s="15">
        <f t="shared" si="3"/>
        <v>1.0974005827202407</v>
      </c>
      <c r="G12" s="16">
        <v>16287</v>
      </c>
      <c r="H12" s="16">
        <f t="shared" si="1"/>
        <v>-1583.75</v>
      </c>
      <c r="I12" s="17">
        <f t="shared" si="2"/>
        <v>-9.7240130165162406E-2</v>
      </c>
      <c r="J12" s="18" t="s">
        <v>69</v>
      </c>
      <c r="K12" s="18" t="s">
        <v>56</v>
      </c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3.9">
      <c r="C336" s="23"/>
      <c r="D336" s="23"/>
      <c r="E336" s="23"/>
      <c r="F336" s="24"/>
      <c r="G336" s="23"/>
      <c r="H336" s="23"/>
      <c r="I336" s="24"/>
      <c r="J336" s="23"/>
      <c r="K336" s="23"/>
    </row>
  </sheetData>
  <mergeCells count="4">
    <mergeCell ref="G1:I1"/>
    <mergeCell ref="A1:C1"/>
    <mergeCell ref="D1:F1"/>
    <mergeCell ref="A2:B2"/>
  </mergeCells>
  <conditionalFormatting sqref="F2 I2 F4:F94 I4:I94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2"/>
  <sheetViews>
    <sheetView workbookViewId="0">
      <pane ySplit="3" topLeftCell="A4" activePane="bottomLeft" state="frozen"/>
      <selection pane="bottomLeft" activeCell="A13" sqref="A13"/>
      <selection activeCell="A13" sqref="A13:XFD1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81</v>
      </c>
      <c r="B1" t="s">
        <v>82</v>
      </c>
    </row>
    <row r="3" spans="1:7">
      <c r="A3" t="s">
        <v>83</v>
      </c>
      <c r="B3" t="s">
        <v>3</v>
      </c>
      <c r="C3" t="s">
        <v>4</v>
      </c>
      <c r="D3" t="s">
        <v>84</v>
      </c>
      <c r="E3" s="2" t="s">
        <v>85</v>
      </c>
    </row>
    <row r="4" spans="1:7" ht="14.25">
      <c r="A4" t="s">
        <v>86</v>
      </c>
      <c r="B4" t="s">
        <v>87</v>
      </c>
      <c r="C4" s="4" t="s">
        <v>88</v>
      </c>
      <c r="G4" s="3"/>
    </row>
    <row r="5" spans="1:7" ht="14.25">
      <c r="A5" t="s">
        <v>89</v>
      </c>
      <c r="B5" t="s">
        <v>90</v>
      </c>
      <c r="C5" s="4" t="s">
        <v>88</v>
      </c>
      <c r="D5" t="s">
        <v>91</v>
      </c>
      <c r="G5" s="3"/>
    </row>
    <row r="6" spans="1:7" ht="14.25">
      <c r="A6" t="s">
        <v>92</v>
      </c>
      <c r="B6" t="s">
        <v>93</v>
      </c>
      <c r="C6" s="4" t="s">
        <v>88</v>
      </c>
      <c r="D6" t="s">
        <v>91</v>
      </c>
      <c r="G6" s="3"/>
    </row>
    <row r="7" spans="1:7" ht="12.75" customHeight="1">
      <c r="A7" s="4" t="s">
        <v>94</v>
      </c>
      <c r="B7" t="s">
        <v>95</v>
      </c>
      <c r="C7" s="4" t="s">
        <v>88</v>
      </c>
      <c r="D7" t="s">
        <v>91</v>
      </c>
    </row>
    <row r="8" spans="1:7" ht="12.75" customHeight="1">
      <c r="A8" s="4" t="s">
        <v>96</v>
      </c>
      <c r="B8" t="s">
        <v>97</v>
      </c>
      <c r="C8" s="4" t="s">
        <v>88</v>
      </c>
      <c r="D8" t="s">
        <v>91</v>
      </c>
    </row>
    <row r="9" spans="1:7" ht="12.75" customHeight="1">
      <c r="A9" s="4" t="s">
        <v>98</v>
      </c>
      <c r="B9" t="s">
        <v>99</v>
      </c>
      <c r="C9" s="4" t="s">
        <v>88</v>
      </c>
    </row>
    <row r="10" spans="1:7" ht="12.75" customHeight="1">
      <c r="A10" s="4" t="s">
        <v>100</v>
      </c>
      <c r="B10" t="s">
        <v>101</v>
      </c>
      <c r="C10" s="4" t="s">
        <v>88</v>
      </c>
      <c r="D10" t="s">
        <v>91</v>
      </c>
    </row>
    <row r="11" spans="1:7" ht="12.75" customHeight="1">
      <c r="A11" s="4" t="s">
        <v>102</v>
      </c>
      <c r="B11" t="s">
        <v>103</v>
      </c>
      <c r="C11" s="4" t="s">
        <v>88</v>
      </c>
    </row>
    <row r="12" spans="1:7" ht="12.75" customHeight="1">
      <c r="A12" s="4" t="s">
        <v>104</v>
      </c>
      <c r="B12" t="s">
        <v>105</v>
      </c>
      <c r="C12" s="4" t="s">
        <v>88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1EB43AF5-B849-4CE2-86A4-4ECAA2536F42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