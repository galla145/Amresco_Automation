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9" documentId="13_ncr:1_{968B764F-739A-418D-8CAC-48669C444FBB}" xr6:coauthVersionLast="47" xr6:coauthVersionMax="47" xr10:uidLastSave="{60C05A02-C7DD-4BA8-926C-3D2A19985BC9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4" l="1"/>
  <c r="C4" i="34"/>
  <c r="G5" i="30"/>
  <c r="G4" i="30"/>
  <c r="G4" i="29"/>
  <c r="G5" i="29"/>
  <c r="G5" i="18"/>
  <c r="G4" i="18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4" i="34" l="1"/>
  <c r="D2" i="34" s="1"/>
  <c r="E5" i="18"/>
  <c r="F5" i="18" s="1"/>
  <c r="D2" i="18"/>
  <c r="E5" i="30"/>
  <c r="F5" i="30" s="1"/>
  <c r="E4" i="18"/>
  <c r="F4" i="18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4" i="34" l="1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<sst xmlns="http://schemas.openxmlformats.org/spreadsheetml/2006/main" count="285" uniqueCount="73">
  <si>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</si>
  <si>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</si>
  <si>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</si>
  <si>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</si>
  <si>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</si>
  <si>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</si>
  <si>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</si>
  <si>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</si>
  <si>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</si>
  <si>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</si>
  <si>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</si>
  <si>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</si>
  <si>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</si>
  <si>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</si>
  <si>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</si>
  <si>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</si>
  <si>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</si>
  <si>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</si>
  <si>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</si>
  <si>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</si>
  <si>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</si>
  <si>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</si>
  <si>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</si>
  <si>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</si>
  <si>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</si>
  <si>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1. Inverter 9 tripped offline at 09:00am on 02/18 and back online on 02/20 at 9:30am.</t>
  </si>
  <si>
    <t>1.  SR081093</t>
  </si>
  <si>
    <t>March Actual v. Expected</t>
  </si>
  <si>
    <t>March Actual v. Forecasted</t>
  </si>
  <si>
    <t>April Actual v. Expected</t>
  </si>
  <si>
    <t>April Actual v. Forecasted</t>
  </si>
  <si>
    <t xml:space="preserve">1. Virtual weather station stopped communicating at 14:45 on 04/01/2024, impacting the expected energy data for both Lee Buildings 9 and 82. AE Case #529710 </t>
  </si>
  <si>
    <t>1. 	SR092275</t>
  </si>
  <si>
    <t>1. 	SR092275, SR085123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</si>
  <si>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</si>
  <si>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</si>
  <si>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</si>
  <si>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</si>
  <si>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</si>
  <si>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</si>
  <si>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Weather station is reporting erroneous since 2021 and lost weather station lost communication from 04/01.</t>
  </si>
  <si>
    <t>1. SR087331</t>
  </si>
  <si>
    <t>1. SR085123, 	SR071639, SR081173</t>
  </si>
  <si>
    <t>August Actual v. Expected</t>
  </si>
  <si>
    <t>August Actual v. Forecasted</t>
  </si>
  <si>
    <t>September Actual v. Expected</t>
  </si>
  <si>
    <t>September Actual v. Forecasted</t>
  </si>
  <si>
    <t>1. Weather station is reporting erroneous since 2021 and weather station lost communication from 04/01.</t>
  </si>
  <si>
    <t>1. SR092275</t>
  </si>
  <si>
    <t>October Actual v. Expected</t>
  </si>
  <si>
    <t>October Actual v. Forecasted</t>
  </si>
  <si>
    <t>1. Weather station was reporting erroneous since 2021 and weather station lost communication from 04/01.</t>
  </si>
  <si>
    <t>1. Weather station was reporting erroneous since 2021 and lost weather station lost communication from 04/01.</t>
  </si>
  <si>
    <t>November Actual v. Expected</t>
  </si>
  <si>
    <t>November Actual v. Forecasted</t>
  </si>
  <si>
    <t>1. Inverter 2 - 114 was tripped offline at 13:45 on 11/30/2024.
2. Weather station was reporting erroneous since 2021 and weather station lost communication from 04/01.</t>
  </si>
  <si>
    <t>1. SR093742
2. SR092275</t>
  </si>
  <si>
    <t>December Actual v. Expected</t>
  </si>
  <si>
    <t>December Actual v. Forecasted</t>
  </si>
  <si>
    <t>1. Inverter 2 - 114 was tripped offline at 13:45 on 11/30/2024 and back online at 15:30 on 12/02, but 1 string down due to a bad optimizer.
2. Weather station was reporting erroneous since 2021 and weather station lost communication from 04/01.</t>
  </si>
  <si>
    <t>1. SR085123, SR071639, SR081173</t>
  </si>
  <si>
    <t>Portfolio:</t>
  </si>
  <si>
    <t>Solar Income LLC</t>
  </si>
  <si>
    <t>Site DAS Name</t>
  </si>
  <si>
    <t>Update</t>
  </si>
  <si>
    <t>DAS</t>
  </si>
  <si>
    <t>Lee Company - B9</t>
  </si>
  <si>
    <t>Westbrook - Lee Building 9</t>
  </si>
  <si>
    <t>CT</t>
  </si>
  <si>
    <t>AEF</t>
  </si>
  <si>
    <t>PowerTrack</t>
  </si>
  <si>
    <t>The Lee Company B82</t>
  </si>
  <si>
    <t>Westbrook - Lee Building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</si>
</sst>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242424"/>
      <name val="Aptos Narrow"/>
      <charset val="1"/>
    </font>
    <font>
      <sz val="11"/>
      <color rgb="FF242424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0" fontId="34" fillId="46" borderId="0" xfId="0" applyFont="1" applyFill="1" applyAlignment="1">
      <alignment horizontal="left" vertical="top"/>
    </xf>
    <xf numFmtId="0" fontId="34" fillId="46" borderId="12" xfId="0" applyFont="1" applyFill="1" applyBorder="1"/>
    <xf numFmtId="0" fontId="0" fillId="0" borderId="13" xfId="0" applyBorder="1"/>
    <xf numFmtId="0" fontId="34" fillId="0" borderId="0" xfId="0" applyFont="1" applyAlignment="1">
      <alignment horizontal="left" vertical="top"/>
    </xf>
    <xf numFmtId="0" fontId="34" fillId="0" borderId="0" xfId="0" applyFont="1"/>
    <xf numFmtId="0" fontId="34" fillId="0" borderId="12" xfId="0" applyFont="1" applyBorder="1"/>
    <xf numFmtId="49" fontId="27" fillId="0" borderId="0" xfId="0" applyNumberFormat="1" applyFont="1" applyAlignment="1">
      <alignment horizontal="left" vertical="top" wrapText="1"/>
    </xf>
    <xf numFmtId="0" fontId="35" fillId="0" borderId="0" xfId="0" applyFont="1"/>
    <xf numFmtId="0" fontId="36" fillId="0" borderId="0" xfId="0" applyFont="1"/>
    <xf numFmtId="0" fontId="35" fillId="0" borderId="0" xfId="0" applyFont="1" applyAlignment="1">
      <alignment horizontal="left" vertical="top"/>
    </xf>
    <xf numFmtId="49" fontId="29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Solar Income LLC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SUM(C4:C77)</f>
        <v>802633.47011144552</v>
      </c>
      <c r="D2" s="5">
        <f>SUM(D4:D77)</f>
        <v>156766.136</v>
      </c>
      <c r="E2" s="5">
        <f>C2-D2</f>
        <v>645867.33411144558</v>
      </c>
      <c r="F2" s="6">
        <f>IFERROR(E2/D2, 0)</f>
        <v>4.1199416569879963</v>
      </c>
      <c r="G2" s="5">
        <f>SUM(G4:G77)</f>
        <v>393817.46100000001</v>
      </c>
      <c r="H2" s="7">
        <f>C2-G2</f>
        <v>408816.00911144551</v>
      </c>
      <c r="I2" s="6">
        <f>IFERROR(H2/G2, 0)</f>
        <v>1.0380850256699143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Westbrook - Lee Building 9</v>
      </c>
      <c r="B4" s="30" t="str" cm="1">
        <f t="array" ref="B4:B5">Sites[State]</f>
        <v>CT</v>
      </c>
      <c r="C4" s="23">
        <f>SUM('1st Qtr'!C4, '2nd Qtr'!C4, '3rd Qtr'!C4, '4th Qtr'!C4)</f>
        <v>383494.33993167995</v>
      </c>
      <c r="D4" s="12">
        <f>SUM('1st Qtr'!D4, '2nd Qtr'!D4, '3rd Qtr'!D4, '4th Qtr'!D4)</f>
        <v>76640.267999999996</v>
      </c>
      <c r="E4" s="12">
        <f>IF(AND(ISNUMBER(C4),ISNUMBER(D4)), C4-D4, "")</f>
        <v>306854.07193167997</v>
      </c>
      <c r="F4" s="13">
        <f>IFERROR(E4/D4, "")</f>
        <v>4.0038230546333686</v>
      </c>
      <c r="G4" s="14">
        <f>SUM('1st Qtr'!G4, '2nd Qtr'!G4, '3rd Qtr'!G4, '4th Qtr'!G4)</f>
        <v>0</v>
      </c>
      <c r="H4" s="14">
        <f>SUM('1st Qtr'!H4, '2nd Qtr'!H4, '3rd Qtr'!H4, '4th Qtr'!H4)</f>
        <v>383494.33993167995</v>
      </c>
      <c r="I4" s="15" t="str">
        <f>IFERROR(H4/G4, "")</f>
        <v/>
      </c>
    </row>
    <row r="5" spans="1:9" ht="15.6">
      <c r="A5" s="28" t="str">
        <v>Westbrook - Lee Building 82</v>
      </c>
      <c r="B5" s="28" t="str">
        <v>CT</v>
      </c>
      <c r="C5" s="11">
        <f>SUM('1st Qtr'!C5, '2nd Qtr'!C5, '3rd Qtr'!C5, '4th Qtr'!C5)</f>
        <v>419139.13017976558</v>
      </c>
      <c r="D5" s="17">
        <f>SUM(Jan!D5, Feb!D5, Mar!D5)</f>
        <v>80125.868000000002</v>
      </c>
      <c r="E5" s="17">
        <f t="shared" ref="E5" si="0">IF(AND(ISNUMBER(C5),ISNUMBER(D5)), C5-D5, "")</f>
        <v>339013.26217976556</v>
      </c>
      <c r="F5" s="18">
        <f>IFERROR(E5/D5, "")</f>
        <v>4.2310089193637888</v>
      </c>
      <c r="G5" s="19">
        <f>SUM('1st Qtr'!G5, '2nd Qtr'!G5, '3rd Qtr'!G5, '4th Qtr'!G5)</f>
        <v>393817.46100000001</v>
      </c>
      <c r="H5" s="19">
        <f>SUM(Jan!H5, Feb!H5, Mar!H5)</f>
        <v>-9536.0010000000002</v>
      </c>
      <c r="I5" s="18">
        <f>IFERROR(H5/G5, "")</f>
        <v>-2.4214266619325953E-2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Solar Income LLC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SUM(C4:C77)</f>
        <v>147069.43</v>
      </c>
      <c r="D2" s="5">
        <f>SUM(D4:D77)</f>
        <v>156494.34899999999</v>
      </c>
      <c r="E2" s="5">
        <f>C2-D2</f>
        <v>-9424.9189999999944</v>
      </c>
      <c r="F2" s="6">
        <f>IFERROR(E2/D2, 0)</f>
        <v>-6.0225299253457355E-2</v>
      </c>
      <c r="G2" s="5">
        <f>SUM(G4:G77)</f>
        <v>84521.241000000009</v>
      </c>
      <c r="H2" s="7">
        <f>C2-G2</f>
        <v>62548.188999999984</v>
      </c>
      <c r="I2" s="6">
        <f>IFERROR(H2/G2, 0)</f>
        <v>0.74002923123194531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SUM(Jan!C4, Feb!C4, Mar!C4)</f>
        <v>72084.19</v>
      </c>
      <c r="D4" s="12">
        <f>SUM(Jan!D4, Feb!D4, Mar!D4)</f>
        <v>76368.481</v>
      </c>
      <c r="E4" s="12">
        <f>IF(AND(ISNUMBER(C4),ISNUMBER(D4)), C4-D4, "")</f>
        <v>-4284.2909999999974</v>
      </c>
      <c r="F4" s="13">
        <f>IFERROR(E4/D4, "")</f>
        <v>-5.6100251620822439E-2</v>
      </c>
      <c r="G4" s="14">
        <f>SUM(Jan!G4, Feb!G4, Mar!G4)</f>
        <v>0</v>
      </c>
      <c r="H4" s="14">
        <f>SUM(Jan!H4, Feb!H4, Mar!H4)</f>
        <v>72084.19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SUM(Jan!C5, Feb!C5, Mar!C5)</f>
        <v>74985.239999999991</v>
      </c>
      <c r="D5" s="17">
        <f>SUM(Jan!D5, Feb!D5, Mar!D5)</f>
        <v>80125.868000000002</v>
      </c>
      <c r="E5" s="17">
        <f t="shared" ref="E5" si="0">IF(AND(ISNUMBER(C5),ISNUMBER(D5)), C5-D5, "")</f>
        <v>-5140.6280000000115</v>
      </c>
      <c r="F5" s="18">
        <f>IFERROR(E5/D5, "")</f>
        <v>-6.4156908727653492E-2</v>
      </c>
      <c r="G5" s="19">
        <f>SUM(Jan!G5, Feb!G5, Mar!G5)</f>
        <v>84521.241000000009</v>
      </c>
      <c r="H5" s="19">
        <f>SUM(Jan!H5, Feb!H5, Mar!H5)</f>
        <v>-9536.0010000000002</v>
      </c>
      <c r="I5" s="18">
        <f>IFERROR(H5/G5, "")</f>
        <v>-0.11282372202746052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Solar Income LLC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SUM(C4:C77)</f>
        <v>249302.42</v>
      </c>
      <c r="D2" s="5">
        <f>SUM(D4:D77)</f>
        <v>539.98699999999997</v>
      </c>
      <c r="E2" s="5">
        <f>C2-D2</f>
        <v>248762.43300000002</v>
      </c>
      <c r="F2" s="6">
        <f>IFERROR(E2/D2, 0)</f>
        <v>460.68226272113964</v>
      </c>
      <c r="G2" s="5">
        <f>SUM(G4:G77)</f>
        <v>123194.51000000001</v>
      </c>
      <c r="H2" s="7">
        <f>C2-G2</f>
        <v>126107.91</v>
      </c>
      <c r="I2" s="6">
        <f>IFERROR(H2/G2, 0)</f>
        <v>1.0236487811023396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SUM(Apr!C4, May!C4, Jun!C4)</f>
        <v>120998.54000000001</v>
      </c>
      <c r="D4" s="12">
        <f>SUM(Apr!D4, May!D4, Jun!D4)</f>
        <v>271.78699999999998</v>
      </c>
      <c r="E4" s="12">
        <f>IF(AND(ISNUMBER(C4),ISNUMBER(D4)), C4-D4, "")</f>
        <v>120726.75300000001</v>
      </c>
      <c r="F4" s="13">
        <f>IFERROR(E4/D4, "")</f>
        <v>444.19620143715491</v>
      </c>
      <c r="G4" s="14">
        <f>SUM(Apr!G4,May!G4,Jun!G4)</f>
        <v>0</v>
      </c>
      <c r="H4" s="14">
        <f>SUM(Apr!H4, May!H4, Jun!H4)</f>
        <v>120998.54000000001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SUM(Apr!C5, May!C5, Jun!C5)</f>
        <v>128303.88</v>
      </c>
      <c r="D5" s="17">
        <f>SUM(Apr!D5, May!D5, Jun!D5)</f>
        <v>268.2</v>
      </c>
      <c r="E5" s="17">
        <f t="shared" ref="E5" si="0">IF(AND(ISNUMBER(C5),ISNUMBER(D5)), C5-D5, "")</f>
        <v>128035.68000000001</v>
      </c>
      <c r="F5" s="18">
        <f>IFERROR(E5/D5, "")</f>
        <v>477.38881431767345</v>
      </c>
      <c r="G5" s="17">
        <f>SUM(Apr!G5,May!G5,Jun!G5)</f>
        <v>123194.51000000001</v>
      </c>
      <c r="H5" s="19">
        <f>SUM(Apr!H5, May!H5, Jun!H5)</f>
        <v>5109.3699999999953</v>
      </c>
      <c r="I5" s="18">
        <f>IFERROR(H5/G5, "")</f>
        <v>4.1474007242692838E-2</v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5" sqref="C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Solar Income LLC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SUM(C4:C77)</f>
        <v>236808.619908772</v>
      </c>
      <c r="D2" s="5">
        <f>SUM(D4:D77)</f>
        <v>0</v>
      </c>
      <c r="E2" s="5">
        <f>C2-D2</f>
        <v>236808.619908772</v>
      </c>
      <c r="F2" s="6">
        <f>IFERROR(E2/D2, 0)</f>
        <v>0</v>
      </c>
      <c r="G2" s="5">
        <f>SUM(G4:G77)</f>
        <v>114941.58</v>
      </c>
      <c r="H2" s="7">
        <f>C2-G2</f>
        <v>121867.039908772</v>
      </c>
      <c r="I2" s="6">
        <f>IFERROR(H2/G2, 0)</f>
        <v>1.0602519985263121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SUM(Jul!C4, Aug!C4, Sep!C4)</f>
        <v>113480.5798697095</v>
      </c>
      <c r="D4" s="12">
        <f>SUM(Jul!D4, Aug!D4, Sep!D4)</f>
        <v>0</v>
      </c>
      <c r="E4" s="12">
        <f>IF(AND(ISNUMBER(C4),ISNUMBER(D4)), C4-D4, "")</f>
        <v>113480.5798697095</v>
      </c>
      <c r="F4" s="13" t="str">
        <f>IFERROR(E4/D4, "")</f>
        <v/>
      </c>
      <c r="G4" s="14">
        <f>SUM(Jul!G4,Aug!G4,Sep!G4)</f>
        <v>0</v>
      </c>
      <c r="H4" s="14">
        <f>SUM(Jul!H4, Aug!H4, Sep!H4)</f>
        <v>113480.5798697095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SUM(Jul!C5, Aug!C5, Sep!C5)</f>
        <v>123328.0400390625</v>
      </c>
      <c r="D5" s="17">
        <f>SUM(Jul!D5, Aug!D5, Sep!D5)</f>
        <v>0</v>
      </c>
      <c r="E5" s="17">
        <f t="shared" ref="E5" si="0">IF(AND(ISNUMBER(C5),ISNUMBER(D5)), C5-D5, "")</f>
        <v>123328.0400390625</v>
      </c>
      <c r="F5" s="18" t="str">
        <f>IFERROR(E5/D5, "")</f>
        <v/>
      </c>
      <c r="G5" s="17">
        <f>SUM(Jul!G5,Aug!G5,Sep!G5)</f>
        <v>114941.58</v>
      </c>
      <c r="H5" s="19">
        <f>SUM(Jul!H5, Aug!H5, Sep!H5)</f>
        <v>8386.4600390624983</v>
      </c>
      <c r="I5" s="18">
        <f>IFERROR(H5/G5, "")</f>
        <v>7.2962804574832688E-2</v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5" sqref="D5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Solar Income LLC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SUM(C4:C77)</f>
        <v>169453.00020267349</v>
      </c>
      <c r="D2" s="5">
        <f>SUM(D4:D77)</f>
        <v>0</v>
      </c>
      <c r="E2" s="5">
        <f>C2-D2</f>
        <v>169453.00020267349</v>
      </c>
      <c r="F2" s="6">
        <f>IFERROR(E2/D2, 0)</f>
        <v>0</v>
      </c>
      <c r="G2" s="5">
        <f>SUM(G4:G77)</f>
        <v>71160.13</v>
      </c>
      <c r="H2" s="7">
        <f>C2-G2</f>
        <v>98292.870202673483</v>
      </c>
      <c r="I2" s="6">
        <f>IFERROR(H2/G2, 0)</f>
        <v>1.3812913242664604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Westbrook - Lee Building 9</v>
      </c>
      <c r="B4" s="9" t="str" cm="1">
        <f t="array" ref="B4:B5">Sites[State]</f>
        <v>CT</v>
      </c>
      <c r="C4" s="23">
        <f>SUM(Oct!C4, Nov!C4, Dec!C4)</f>
        <v>76931.030061970407</v>
      </c>
      <c r="D4" s="12">
        <f>SUM(Oct!D4, Nov!D4, Dec!D4)</f>
        <v>0</v>
      </c>
      <c r="E4" s="12">
        <f>IF(AND(ISNUMBER(C4),ISNUMBER(D4)), C4-D4, "")</f>
        <v>76931.030061970407</v>
      </c>
      <c r="F4" s="13" t="str">
        <f>IFERROR(E4/D4, "")</f>
        <v/>
      </c>
      <c r="G4" s="14">
        <f>SUM(Oct!G4,Nov!G4,Dec!G4)</f>
        <v>0</v>
      </c>
      <c r="H4" s="14">
        <f>SUM(Oct!H4, Nov!H4, Dec!H4)</f>
        <v>76931.030061970407</v>
      </c>
      <c r="I4" s="15" t="str">
        <f>IFERROR(H4/G4, "")</f>
        <v/>
      </c>
    </row>
    <row r="5" spans="1:9" ht="15.6">
      <c r="A5" s="16" t="str">
        <v>Westbrook - Lee Building 82</v>
      </c>
      <c r="B5" s="10" t="str">
        <v>CT</v>
      </c>
      <c r="C5" s="11">
        <f>SUM(Oct!C5, Nov!C5, Dec!C5)</f>
        <v>92521.970140703095</v>
      </c>
      <c r="D5" s="17">
        <f>SUM(Oct!D5, Nov!D5, Dec!D5)</f>
        <v>0</v>
      </c>
      <c r="E5" s="17">
        <f t="shared" ref="E5" si="0">IF(AND(ISNUMBER(C5),ISNUMBER(D5)), C5-D5, "")</f>
        <v>92521.970140703095</v>
      </c>
      <c r="F5" s="18" t="str">
        <f>IFERROR(E5/D5, "")</f>
        <v/>
      </c>
      <c r="G5" s="11">
        <f>SUM(Oct!G5,Nov!G5,Dec!G5)</f>
        <v>71160.13</v>
      </c>
      <c r="H5" s="19">
        <f>SUM(Oct!H5, Nov!H5, Dec!H5)</f>
        <v>21361.840140703094</v>
      </c>
      <c r="I5" s="18">
        <f>IFERROR(H5/G5, "")</f>
        <v>0.3001939448494978</v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0" sqref="J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SUM(C4:C76)</f>
        <v>23279.279999999999</v>
      </c>
      <c r="D2" s="5">
        <f>SUM(D4:D76)</f>
        <v>31853.409</v>
      </c>
      <c r="E2" s="5">
        <f>C2-D2</f>
        <v>-8574.1290000000008</v>
      </c>
      <c r="F2" s="6">
        <f>IFERROR(E2/D2, 0)</f>
        <v>-0.26917461173464985</v>
      </c>
      <c r="G2" s="5">
        <f>SUM(G4:G76)</f>
        <v>23363.282999999999</v>
      </c>
      <c r="H2" s="7">
        <f>C2-G2</f>
        <v>-84.003000000000611</v>
      </c>
      <c r="I2" s="6">
        <f>IFERROR(H2/G2, 0)</f>
        <v>-3.5955135243621633E-3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11433.8</v>
      </c>
      <c r="D4" s="12">
        <v>15679.7</v>
      </c>
      <c r="E4" s="12">
        <f>IF(AND(ISNUMBER(C4),ISNUMBER(D4)), C4-D4, "")</f>
        <v>-4245.9000000000015</v>
      </c>
      <c r="F4" s="12">
        <f>IFERROR(E4/D4, "")</f>
        <v>-0.27078961969935655</v>
      </c>
      <c r="G4" s="14">
        <v>0</v>
      </c>
      <c r="H4" s="14">
        <f>IF(AND(ISNUMBER(C4),ISNUMBER(G4)), C4-G4, "")</f>
        <v>11433.8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28" t="str">
        <v>Westbrook - Lee Building 82</v>
      </c>
      <c r="B5" s="29" t="str">
        <v>CT</v>
      </c>
      <c r="C5" s="11">
        <v>11845.48</v>
      </c>
      <c r="D5" s="17">
        <v>16173.709000000001</v>
      </c>
      <c r="E5" s="17">
        <f t="shared" ref="E5" si="0">IF(AND(ISNUMBER(C5),ISNUMBER(D5)), C5-D5, "")</f>
        <v>-4328.2290000000012</v>
      </c>
      <c r="F5" s="17">
        <f t="shared" ref="F5" si="1">IFERROR(E5/D5, "")</f>
        <v>-0.26760893249655976</v>
      </c>
      <c r="G5" s="19">
        <v>23363.282999999999</v>
      </c>
      <c r="H5" s="19">
        <f t="shared" ref="H5" si="2">IF(AND(ISNUMBER(C5),ISNUMBER(G5)), C5-G5, "")</f>
        <v>-11517.803</v>
      </c>
      <c r="I5" s="18">
        <f t="shared" ref="I5" si="3">IFERROR(H5/G5, "")</f>
        <v>-0.49298735113554032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D4" activePane="bottomRight" state="frozen"/>
      <selection pane="bottomRight" activeCell="J8" sqref="J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23</v>
      </c>
      <c r="E1" s="58"/>
      <c r="F1" s="58"/>
      <c r="G1" s="56" t="s">
        <v>24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52653.18</v>
      </c>
      <c r="D2" s="5">
        <f>SUM(D4:D77)</f>
        <v>57932.347999999998</v>
      </c>
      <c r="E2" s="5">
        <f>C2-D2</f>
        <v>-5279.1679999999978</v>
      </c>
      <c r="F2" s="6">
        <f>IFERROR(E2/D2, 0)</f>
        <v>-9.1126429054800229E-2</v>
      </c>
      <c r="G2" s="5">
        <f>SUM(G4:G77)</f>
        <v>27025.858</v>
      </c>
      <c r="H2" s="7">
        <f>C2-G2</f>
        <v>25627.322</v>
      </c>
      <c r="I2" s="6">
        <f>IFERROR(H2/G2, 0)</f>
        <v>0.94825192968896677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Westbrook - Lee Building 9</v>
      </c>
      <c r="B4" s="27" t="str" cm="1">
        <f t="array" ref="B4:B5">Sites[State]</f>
        <v>CT</v>
      </c>
      <c r="C4" s="23">
        <v>26066.52</v>
      </c>
      <c r="D4" s="12">
        <v>28274.989000000001</v>
      </c>
      <c r="E4" s="12">
        <f>IF(AND(ISNUMBER(C4),ISNUMBER(D4)), C4-D4, "")</f>
        <v>-2208.469000000001</v>
      </c>
      <c r="F4" s="12">
        <f>IFERROR(E4/D4, "")</f>
        <v>-7.8106803153840332E-2</v>
      </c>
      <c r="G4" s="14">
        <v>0</v>
      </c>
      <c r="H4" s="14">
        <f>IF(AND(ISNUMBER(C4),ISNUMBER(G4)), C4-G4, "")</f>
        <v>26066.52</v>
      </c>
      <c r="I4" s="15" t="str">
        <f>IFERROR(H4/G4, "")</f>
        <v/>
      </c>
      <c r="J4" s="39"/>
      <c r="K4" s="39"/>
    </row>
    <row r="5" spans="1:11" ht="30.75">
      <c r="A5" s="28" t="str">
        <v>Westbrook - Lee Building 82</v>
      </c>
      <c r="B5" s="29" t="str">
        <v>CT</v>
      </c>
      <c r="C5" s="11">
        <v>26586.66</v>
      </c>
      <c r="D5" s="17">
        <v>29657.359</v>
      </c>
      <c r="E5" s="17">
        <f t="shared" ref="E5" si="0">IF(AND(ISNUMBER(C5),ISNUMBER(D5)), C5-D5, "")</f>
        <v>-3070.6990000000005</v>
      </c>
      <c r="F5" s="17">
        <f t="shared" ref="F5" si="1">IFERROR(E5/D5, "")</f>
        <v>-0.10353919241426725</v>
      </c>
      <c r="G5" s="19">
        <v>27025.858</v>
      </c>
      <c r="H5" s="19">
        <f t="shared" ref="H5" si="2">IF(AND(ISNUMBER(C5),ISNUMBER(G5)), C5-G5, "")</f>
        <v>-439.19800000000032</v>
      </c>
      <c r="I5" s="18">
        <f t="shared" ref="I5" si="3">IFERROR(H5/G5, "")</f>
        <v>-1.6251028922005004E-2</v>
      </c>
      <c r="J5" s="51" t="s">
        <v>25</v>
      </c>
      <c r="K5" s="51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sqref="A1:C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27</v>
      </c>
      <c r="E1" s="58"/>
      <c r="F1" s="58"/>
      <c r="G1" s="56" t="s">
        <v>28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71136.97</v>
      </c>
      <c r="D2" s="5">
        <f>SUM(D4:D77)</f>
        <v>66708.592000000004</v>
      </c>
      <c r="E2" s="5">
        <f>C2-D2</f>
        <v>4428.377999999997</v>
      </c>
      <c r="F2" s="6">
        <f>IFERROR(E2/D2, 0)</f>
        <v>6.6383922478831459E-2</v>
      </c>
      <c r="G2" s="5">
        <f>SUM(G4:G77)</f>
        <v>34132.1</v>
      </c>
      <c r="H2" s="7">
        <f>C2-G2</f>
        <v>37004.870000000003</v>
      </c>
      <c r="I2" s="6">
        <f>IFERROR(H2/G2, 0)</f>
        <v>1.0841662247561681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34583.870000000003</v>
      </c>
      <c r="D4" s="12">
        <v>32413.792000000001</v>
      </c>
      <c r="E4" s="12">
        <f t="shared" ref="E4:E5" si="0">IF(AND(ISNUMBER(C4),ISNUMBER(D4)), C4-D4, "")</f>
        <v>2170.0780000000013</v>
      </c>
      <c r="F4" s="12">
        <f>IFERROR(E4/D4, "")</f>
        <v>6.6949217172739342E-2</v>
      </c>
      <c r="G4" s="14">
        <v>0</v>
      </c>
      <c r="H4" s="14">
        <f>IF(AND(ISNUMBER(C4),ISNUMBER(G4)), C4-G4, "")</f>
        <v>34583.870000000003</v>
      </c>
      <c r="I4" s="15" t="str">
        <f>IFERROR(H4/G4, "")</f>
        <v/>
      </c>
      <c r="J4" s="39"/>
      <c r="K4" s="39"/>
    </row>
    <row r="5" spans="1:11" ht="15.6">
      <c r="A5" s="28" t="str">
        <v>Westbrook - Lee Building 82</v>
      </c>
      <c r="B5" s="29" t="str">
        <v>CT</v>
      </c>
      <c r="C5" s="11">
        <v>36553.1</v>
      </c>
      <c r="D5" s="17">
        <v>34294.800000000003</v>
      </c>
      <c r="E5" s="17">
        <f t="shared" si="0"/>
        <v>2258.2999999999956</v>
      </c>
      <c r="F5" s="17">
        <f>IFERROR(E5/D5, "")</f>
        <v>6.5849633180540351E-2</v>
      </c>
      <c r="G5" s="19">
        <v>34132.1</v>
      </c>
      <c r="H5" s="19">
        <f t="shared" ref="H5" si="1">IF(AND(ISNUMBER(C5),ISNUMBER(G5)), C5-G5, "")</f>
        <v>2421</v>
      </c>
      <c r="I5" s="18">
        <f t="shared" ref="I5" si="2">IFERROR(H5/G5, "")</f>
        <v>7.0930297286132413E-2</v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6:F77">
    <cfRule type="cellIs" dxfId="25" priority="7" stopIfTrue="1" operator="lessThanOrEqual">
      <formula>-0.1</formula>
    </cfRule>
    <cfRule type="expression" dxfId="24" priority="8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29</v>
      </c>
      <c r="E1" s="58"/>
      <c r="F1" s="58"/>
      <c r="G1" s="56" t="s">
        <v>30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69768.299999999988</v>
      </c>
      <c r="D2" s="5">
        <f>SUM(D4:D77)</f>
        <v>539.98699999999997</v>
      </c>
      <c r="E2" s="5">
        <f>C2-D2</f>
        <v>69228.312999999995</v>
      </c>
      <c r="F2" s="6">
        <f>IFERROR(E2/D2, 0)</f>
        <v>128.20366601418183</v>
      </c>
      <c r="G2" s="5">
        <f>SUM(G4:G77)</f>
        <v>39176.33</v>
      </c>
      <c r="H2" s="7">
        <f>C2-G2</f>
        <v>30591.969999999987</v>
      </c>
      <c r="I2" s="6">
        <f>IFERROR(H2/G2, 0)</f>
        <v>0.78087891336426829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33975.589999999997</v>
      </c>
      <c r="D4" s="12">
        <v>271.78699999999998</v>
      </c>
      <c r="E4" s="12">
        <f>IF(AND(ISNUMBER(C4),ISNUMBER(D4)), C4-D4, "")</f>
        <v>33703.803</v>
      </c>
      <c r="F4" s="13">
        <f>IFERROR(E4/D4, "")</f>
        <v>124.00814976433752</v>
      </c>
      <c r="G4" s="14">
        <v>0</v>
      </c>
      <c r="H4" s="14">
        <f>IF(AND(ISNUMBER(C4),ISNUMBER(G4)), C4-G4, "")</f>
        <v>33975.589999999997</v>
      </c>
      <c r="I4" s="15" t="str">
        <f>IFERROR(H4/G4, "")</f>
        <v/>
      </c>
      <c r="J4" s="39" t="s">
        <v>31</v>
      </c>
      <c r="K4" s="39" t="s">
        <v>32</v>
      </c>
    </row>
    <row r="5" spans="1:11" ht="45.75">
      <c r="A5" s="28" t="str">
        <v>Westbrook - Lee Building 82</v>
      </c>
      <c r="B5" s="29" t="str">
        <v>CT</v>
      </c>
      <c r="C5" s="11">
        <v>35792.71</v>
      </c>
      <c r="D5" s="17">
        <v>268.2</v>
      </c>
      <c r="E5" s="17">
        <f t="shared" ref="E5" si="0">IF(AND(ISNUMBER(C5),ISNUMBER(D5)), C5-D5, "")</f>
        <v>35524.51</v>
      </c>
      <c r="F5" s="18">
        <f>IFERROR(E5/D5, "")</f>
        <v>132.45529455630128</v>
      </c>
      <c r="G5" s="19">
        <v>39176.33</v>
      </c>
      <c r="H5" s="19">
        <f t="shared" ref="H5" si="1">IF(AND(ISNUMBER(C5),ISNUMBER(G5)), C5-G5, "")</f>
        <v>-3383.6200000000026</v>
      </c>
      <c r="I5" s="18">
        <f t="shared" ref="I5" si="2">IFERROR(H5/G5, "")</f>
        <v>-8.6368988621445722E-2</v>
      </c>
      <c r="J5" s="39" t="s">
        <v>31</v>
      </c>
      <c r="K5" s="40" t="s">
        <v>33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84173.39</v>
      </c>
      <c r="D2" s="5">
        <f>SUM(D4:D77)</f>
        <v>0</v>
      </c>
      <c r="E2" s="5">
        <f>C2-D2</f>
        <v>84173.39</v>
      </c>
      <c r="F2" s="6">
        <f>IFERROR(E2/D2, 0)</f>
        <v>0</v>
      </c>
      <c r="G2" s="5">
        <f>SUM(G4:G77)</f>
        <v>42499.68</v>
      </c>
      <c r="H2" s="7">
        <f>C2-G2</f>
        <v>41673.71</v>
      </c>
      <c r="I2" s="6">
        <f>IFERROR(H2/G2, 0)</f>
        <v>0.98056526543258671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40883.57</v>
      </c>
      <c r="D4" s="12">
        <v>0</v>
      </c>
      <c r="E4" s="12">
        <f>IF(AND(ISNUMBER(C4),ISNUMBER(D4)), C4-D4, "")</f>
        <v>40883.57</v>
      </c>
      <c r="F4" s="13" t="str">
        <f>IFERROR(E4/D4, "")</f>
        <v/>
      </c>
      <c r="G4" s="14">
        <v>0</v>
      </c>
      <c r="H4" s="14">
        <f>IF(AND(ISNUMBER(C4),ISNUMBER(G4)), C4-G4, "")</f>
        <v>40883.57</v>
      </c>
      <c r="I4" s="15" t="str">
        <f>IFERROR(H4/G4, "")</f>
        <v/>
      </c>
      <c r="J4" s="39" t="s">
        <v>31</v>
      </c>
      <c r="K4" s="39" t="s">
        <v>32</v>
      </c>
    </row>
    <row r="5" spans="1:11" ht="45.75">
      <c r="A5" s="28" t="str">
        <v>Westbrook - Lee Building 82</v>
      </c>
      <c r="B5" s="29" t="str">
        <v>CT</v>
      </c>
      <c r="C5" s="11">
        <v>43289.82</v>
      </c>
      <c r="D5" s="17">
        <v>0</v>
      </c>
      <c r="E5" s="17">
        <f t="shared" ref="E5" si="0">IF(AND(ISNUMBER(C5),ISNUMBER(D5)), C5-D5, "")</f>
        <v>43289.82</v>
      </c>
      <c r="F5" s="18" t="str">
        <f>IFERROR(E5/D5, "")</f>
        <v/>
      </c>
      <c r="G5" s="19">
        <v>42499.68</v>
      </c>
      <c r="H5" s="19">
        <f t="shared" ref="H5" si="1">IF(AND(ISNUMBER(C5),ISNUMBER(G5)), C5-G5, "")</f>
        <v>790.13999999999942</v>
      </c>
      <c r="I5" s="18">
        <f t="shared" ref="I5" si="2">IFERROR(H5/G5, "")</f>
        <v>1.8591669396098968E-2</v>
      </c>
      <c r="J5" s="40" t="s">
        <v>31</v>
      </c>
      <c r="K5" s="40" t="s">
        <v>33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4" sqref="J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95360.73</v>
      </c>
      <c r="D2" s="5">
        <f>SUM(D4:D77)</f>
        <v>0</v>
      </c>
      <c r="E2" s="5">
        <f>C2-D2</f>
        <v>95360.73</v>
      </c>
      <c r="F2" s="6">
        <f>IFERROR(E2/D2, 0)</f>
        <v>0</v>
      </c>
      <c r="G2" s="5">
        <f>SUM(G4:G77)</f>
        <v>41518.5</v>
      </c>
      <c r="H2" s="7">
        <f>C2-G2</f>
        <v>53842.229999999996</v>
      </c>
      <c r="I2" s="6">
        <f>IFERROR(H2/G2, 0)</f>
        <v>1.29682502980599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5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46139.38</v>
      </c>
      <c r="D4" s="12">
        <v>0</v>
      </c>
      <c r="E4" s="12">
        <f>IF(AND(ISNUMBER(C4),ISNUMBER(D4)), C4-D4, "")</f>
        <v>46139.38</v>
      </c>
      <c r="F4" s="13" t="str">
        <f>IFERROR(E4/D4, "")</f>
        <v/>
      </c>
      <c r="G4" s="14">
        <v>0</v>
      </c>
      <c r="H4" s="14">
        <f>IF(AND(ISNUMBER(C4),ISNUMBER(G4)), C4-G4, "")</f>
        <v>46139.38</v>
      </c>
      <c r="I4" s="15" t="str">
        <f>IFERROR(H4/G4, "")</f>
        <v/>
      </c>
      <c r="J4" s="39" t="s">
        <v>31</v>
      </c>
      <c r="K4" s="39" t="s">
        <v>32</v>
      </c>
    </row>
    <row r="5" spans="1:11" ht="45.75">
      <c r="A5" s="28" t="str">
        <v>Westbrook - Lee Building 82</v>
      </c>
      <c r="B5" s="29" t="str">
        <v>CT</v>
      </c>
      <c r="C5" s="11">
        <v>49221.35</v>
      </c>
      <c r="D5" s="17">
        <v>0</v>
      </c>
      <c r="E5" s="17">
        <f t="shared" ref="E5" si="0">IF(AND(ISNUMBER(C5),ISNUMBER(D5)), C5-D5, "")</f>
        <v>49221.35</v>
      </c>
      <c r="F5" s="18" t="str">
        <f>IFERROR(E5/D5, "")</f>
        <v/>
      </c>
      <c r="G5" s="19">
        <v>41518.5</v>
      </c>
      <c r="H5" s="19">
        <f t="shared" ref="H5" si="1">IF(AND(ISNUMBER(C5),ISNUMBER(G5)), C5-G5, "")</f>
        <v>7702.8499999999985</v>
      </c>
      <c r="I5" s="18">
        <f t="shared" ref="I5" si="2">IFERROR(H5/G5, "")</f>
        <v>0.18552813805893756</v>
      </c>
      <c r="J5" s="40" t="s">
        <v>31</v>
      </c>
      <c r="K5" s="40" t="s">
        <v>33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J4" activePane="bottomRight" state="frozen"/>
      <selection pane="bottomRight" activeCell="K4" sqref="K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82294.479890988703</v>
      </c>
      <c r="D2" s="5">
        <f>SUM(D4:D77)</f>
        <v>0</v>
      </c>
      <c r="E2" s="5">
        <f>C2-D2</f>
        <v>82294.479890988703</v>
      </c>
      <c r="F2" s="6">
        <f>IFERROR(E2/D2, 0)</f>
        <v>0</v>
      </c>
      <c r="G2" s="5">
        <f>SUM(G4:G77)</f>
        <v>41979.56</v>
      </c>
      <c r="H2" s="7">
        <f>C2-G2</f>
        <v>40314.919890988705</v>
      </c>
      <c r="I2" s="6">
        <f>IFERROR(H2/G2, 0)</f>
        <v>0.96034641361149831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39563.639692382902</v>
      </c>
      <c r="D4" s="12">
        <v>0</v>
      </c>
      <c r="E4" s="12">
        <f>IF(AND(ISNUMBER(C4),ISNUMBER(D4)), C4-D4, "")</f>
        <v>39563.639692382902</v>
      </c>
      <c r="F4" s="13" t="str">
        <f>IFERROR(E4/D4, "")</f>
        <v/>
      </c>
      <c r="G4" s="14">
        <v>0</v>
      </c>
      <c r="H4" s="14">
        <f>IF(AND(ISNUMBER(C4),ISNUMBER(G4)), C4-G4, "")</f>
        <v>39563.639692382902</v>
      </c>
      <c r="I4" s="15" t="str">
        <f>IFERROR(H4/G4, "")</f>
        <v/>
      </c>
      <c r="J4" s="39" t="s">
        <v>40</v>
      </c>
      <c r="K4" s="39" t="s">
        <v>41</v>
      </c>
    </row>
    <row r="5" spans="1:11" ht="28.9">
      <c r="A5" s="28" t="str">
        <v>Westbrook - Lee Building 82</v>
      </c>
      <c r="B5" s="29" t="str">
        <v>CT</v>
      </c>
      <c r="C5" s="11">
        <v>42730.840198605802</v>
      </c>
      <c r="D5" s="17">
        <v>0</v>
      </c>
      <c r="E5" s="17">
        <f t="shared" ref="E5" si="0">IF(AND(ISNUMBER(C5),ISNUMBER(D5)), C5-D5, "")</f>
        <v>42730.840198605802</v>
      </c>
      <c r="F5" s="18" t="str">
        <f>IFERROR(E5/D5, "")</f>
        <v/>
      </c>
      <c r="G5" s="19">
        <v>41979.56</v>
      </c>
      <c r="H5" s="19">
        <f t="shared" ref="H5" si="1">IF(AND(ISNUMBER(C5),ISNUMBER(G5)), C5-G5, "")</f>
        <v>751.28019860580389</v>
      </c>
      <c r="I5" s="18">
        <f t="shared" ref="I5" si="2">IFERROR(H5/G5, "")</f>
        <v>1.7896333325213603E-2</v>
      </c>
      <c r="J5" s="40" t="s">
        <v>40</v>
      </c>
      <c r="K5" s="51" t="s">
        <v>42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J11" sqref="J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43</v>
      </c>
      <c r="E1" s="58"/>
      <c r="F1" s="58"/>
      <c r="G1" s="56" t="s">
        <v>44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81878.439876007396</v>
      </c>
      <c r="D2" s="5">
        <f>SUM(D4:D77)</f>
        <v>0</v>
      </c>
      <c r="E2" s="5">
        <f>C2-D2</f>
        <v>81878.439876007396</v>
      </c>
      <c r="F2" s="6">
        <f>IFERROR(E2/D2, 0)</f>
        <v>0</v>
      </c>
      <c r="G2" s="5">
        <f>SUM(G4:G77)</f>
        <v>39595.11</v>
      </c>
      <c r="H2" s="7">
        <f>C2-G2</f>
        <v>42283.329876007396</v>
      </c>
      <c r="I2" s="6">
        <f>IFERROR(H2/G2, 0)</f>
        <v>1.0678927240259566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39299.2099609375</v>
      </c>
      <c r="D4" s="12">
        <v>0</v>
      </c>
      <c r="E4" s="12">
        <f>IF(AND(ISNUMBER(C4),ISNUMBER(D4)), C4-D4, "")</f>
        <v>39299.2099609375</v>
      </c>
      <c r="F4" s="13" t="str">
        <f>IFERROR(E4/D4, "")</f>
        <v/>
      </c>
      <c r="G4" s="14">
        <v>0</v>
      </c>
      <c r="H4" s="14">
        <f>IF(AND(ISNUMBER(C4),ISNUMBER(G4)), C4-G4, "")</f>
        <v>39299.2099609375</v>
      </c>
      <c r="I4" s="15" t="str">
        <f>IFERROR(H4/G4, "")</f>
        <v/>
      </c>
      <c r="J4" s="39" t="s">
        <v>40</v>
      </c>
      <c r="K4" s="39" t="s">
        <v>41</v>
      </c>
    </row>
    <row r="5" spans="1:11" ht="28.9">
      <c r="A5" s="28" t="str">
        <v>Westbrook - Lee Building 82</v>
      </c>
      <c r="B5" s="29" t="str">
        <v>CT</v>
      </c>
      <c r="C5" s="11">
        <v>42579.229915069896</v>
      </c>
      <c r="D5" s="17">
        <v>0</v>
      </c>
      <c r="E5" s="17">
        <f t="shared" ref="E5" si="0">IF(AND(ISNUMBER(C5),ISNUMBER(D5)), C5-D5, "")</f>
        <v>42579.229915069896</v>
      </c>
      <c r="F5" s="18" t="str">
        <f>IFERROR(E5/D5, "")</f>
        <v/>
      </c>
      <c r="G5" s="19">
        <v>39595.11</v>
      </c>
      <c r="H5" s="19">
        <f t="shared" ref="H5" si="1">IF(AND(ISNUMBER(C5),ISNUMBER(G5)), C5-G5, "")</f>
        <v>2984.1199150698958</v>
      </c>
      <c r="I5" s="18">
        <f t="shared" ref="I5" si="2">IFERROR(H5/G5, "")</f>
        <v>7.5365870054910716E-2</v>
      </c>
      <c r="J5" s="40" t="s">
        <v>40</v>
      </c>
      <c r="K5" s="51" t="s">
        <v>42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J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45</v>
      </c>
      <c r="E1" s="58"/>
      <c r="F1" s="58"/>
      <c r="G1" s="56" t="s">
        <v>46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72635.700141775902</v>
      </c>
      <c r="D2" s="5">
        <f>SUM(D4:D77)</f>
        <v>0</v>
      </c>
      <c r="E2" s="5">
        <f>C2-D2</f>
        <v>72635.700141775902</v>
      </c>
      <c r="F2" s="6">
        <f>IFERROR(E2/D2, 0)</f>
        <v>0</v>
      </c>
      <c r="G2" s="5">
        <f>SUM(G4:G77)</f>
        <v>33366.910000000003</v>
      </c>
      <c r="H2" s="7">
        <f>C2-G2</f>
        <v>39268.790141775899</v>
      </c>
      <c r="I2" s="6">
        <f>IFERROR(H2/G2, 0)</f>
        <v>1.1768782348073554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34617.7302163891</v>
      </c>
      <c r="D4" s="12">
        <v>0</v>
      </c>
      <c r="E4" s="12">
        <f>IF(AND(ISNUMBER(C4),ISNUMBER(D4)), C4-D4, "")</f>
        <v>34617.7302163891</v>
      </c>
      <c r="F4" s="13" t="str">
        <f>IFERROR(E4/D4, "")</f>
        <v/>
      </c>
      <c r="G4" s="14">
        <v>0</v>
      </c>
      <c r="H4" s="14">
        <f>IF(AND(ISNUMBER(C4),ISNUMBER(G4)), C4-G4, "")</f>
        <v>34617.7302163891</v>
      </c>
      <c r="I4" s="15" t="str">
        <f>IFERROR(H4/G4, "")</f>
        <v/>
      </c>
      <c r="J4" s="39" t="s">
        <v>47</v>
      </c>
      <c r="K4" s="39" t="s">
        <v>48</v>
      </c>
    </row>
    <row r="5" spans="1:11" ht="30.75">
      <c r="A5" s="28" t="str">
        <v>Westbrook - Lee Building 82</v>
      </c>
      <c r="B5" s="29" t="str">
        <v>CT</v>
      </c>
      <c r="C5" s="11">
        <v>38017.969925386802</v>
      </c>
      <c r="D5" s="17">
        <v>0</v>
      </c>
      <c r="E5" s="17">
        <f t="shared" ref="E5" si="0">IF(AND(ISNUMBER(C5),ISNUMBER(D5)), C5-D5, "")</f>
        <v>38017.969925386802</v>
      </c>
      <c r="F5" s="18" t="str">
        <f>IFERROR(E5/D5, "")</f>
        <v/>
      </c>
      <c r="G5" s="19">
        <v>33366.910000000003</v>
      </c>
      <c r="H5" s="19">
        <f t="shared" ref="H5" si="1">IF(AND(ISNUMBER(C5),ISNUMBER(G5)), C5-G5, "")</f>
        <v>4651.0599253867986</v>
      </c>
      <c r="I5" s="18">
        <f t="shared" ref="I5" si="2">IFERROR(H5/G5, "")</f>
        <v>0.13939138881564994</v>
      </c>
      <c r="J5" s="40" t="s">
        <v>40</v>
      </c>
      <c r="K5" s="51" t="s">
        <v>42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9" sqref="J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28515625" customWidth="1"/>
    <col min="11" max="11" width="30.5703125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49</v>
      </c>
      <c r="E1" s="58"/>
      <c r="F1" s="58"/>
      <c r="G1" s="56" t="s">
        <v>50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76982.579764893802</v>
      </c>
      <c r="D2" s="5">
        <f>SUM(D4:D77)</f>
        <v>0</v>
      </c>
      <c r="E2" s="5">
        <f>C2-D2</f>
        <v>76982.579764893802</v>
      </c>
      <c r="F2" s="6">
        <f>IFERROR(E2/D2, 0)</f>
        <v>0</v>
      </c>
      <c r="G2" s="5">
        <f>SUM(G4:G77)</f>
        <v>30377.81</v>
      </c>
      <c r="H2" s="7">
        <f>C2-G2</f>
        <v>46604.769764893805</v>
      </c>
      <c r="I2" s="6">
        <f>IFERROR(H2/G2, 0)</f>
        <v>1.5341714812520653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35712.199715251598</v>
      </c>
      <c r="D4" s="12">
        <v>0</v>
      </c>
      <c r="E4" s="12">
        <f>IF(AND(ISNUMBER(C4),ISNUMBER(D4)), C4-D4, "")</f>
        <v>35712.199715251598</v>
      </c>
      <c r="F4" s="13" t="str">
        <f>IFERROR(E4/D4, "")</f>
        <v/>
      </c>
      <c r="G4" s="14">
        <v>0</v>
      </c>
      <c r="H4" s="14">
        <f>IF(AND(ISNUMBER(C4),ISNUMBER(G4)), C4-G4, "")</f>
        <v>35712.199715251598</v>
      </c>
      <c r="I4" s="15" t="str">
        <f>IFERROR(H4/G4, "")</f>
        <v/>
      </c>
      <c r="J4" s="39" t="s">
        <v>51</v>
      </c>
      <c r="K4" s="39" t="s">
        <v>48</v>
      </c>
    </row>
    <row r="5" spans="1:11" ht="15.75">
      <c r="A5" s="28" t="str">
        <v>Westbrook - Lee Building 82</v>
      </c>
      <c r="B5" s="29" t="str">
        <v>CT</v>
      </c>
      <c r="C5" s="11">
        <v>41270.380049642197</v>
      </c>
      <c r="D5" s="17">
        <v>0</v>
      </c>
      <c r="E5" s="17">
        <f t="shared" ref="E5" si="0">IF(AND(ISNUMBER(C5),ISNUMBER(D5)), C5-D5, "")</f>
        <v>41270.380049642197</v>
      </c>
      <c r="F5" s="18" t="str">
        <f>IFERROR(E5/D5, "")</f>
        <v/>
      </c>
      <c r="G5" s="19">
        <v>30377.81</v>
      </c>
      <c r="H5" s="19">
        <f t="shared" ref="H5" si="1">IF(AND(ISNUMBER(C5),ISNUMBER(G5)), C5-G5, "")</f>
        <v>10892.570049642196</v>
      </c>
      <c r="I5" s="18">
        <f t="shared" ref="I5" si="2">IFERROR(H5/G5, "")</f>
        <v>0.35856995779623996</v>
      </c>
      <c r="J5" s="52" t="s">
        <v>52</v>
      </c>
      <c r="K5" s="53" t="s">
        <v>42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5.140625" customWidth="1"/>
    <col min="11" max="11" width="35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53</v>
      </c>
      <c r="E1" s="58"/>
      <c r="F1" s="58"/>
      <c r="G1" s="56" t="s">
        <v>54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54596.7300577797</v>
      </c>
      <c r="D2" s="5">
        <f>SUM(D4:D77)</f>
        <v>0</v>
      </c>
      <c r="E2" s="5">
        <f>C2-D2</f>
        <v>54596.7300577797</v>
      </c>
      <c r="F2" s="6">
        <f>IFERROR(E2/D2, 0)</f>
        <v>0</v>
      </c>
      <c r="G2" s="5">
        <f>SUM(G4:G77)</f>
        <v>20527.32</v>
      </c>
      <c r="H2" s="7">
        <f>C2-G2</f>
        <v>34069.4100577797</v>
      </c>
      <c r="I2" s="6">
        <f>IFERROR(H2/G2, 0)</f>
        <v>1.6597105738976008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24698.140136718801</v>
      </c>
      <c r="D4" s="12">
        <v>0</v>
      </c>
      <c r="E4" s="12">
        <f>IF(AND(ISNUMBER(C4),ISNUMBER(D4)), C4-D4, "")</f>
        <v>24698.140136718801</v>
      </c>
      <c r="F4" s="13" t="str">
        <f>IFERROR(E4/D4, "")</f>
        <v/>
      </c>
      <c r="G4" s="14">
        <v>0</v>
      </c>
      <c r="H4" s="14">
        <f>IF(AND(ISNUMBER(C4),ISNUMBER(G4)), C4-G4, "")</f>
        <v>24698.140136718801</v>
      </c>
      <c r="I4" s="15" t="str">
        <f>IFERROR(H4/G4, "")</f>
        <v/>
      </c>
      <c r="J4" s="39" t="s">
        <v>55</v>
      </c>
      <c r="K4" s="39" t="s">
        <v>56</v>
      </c>
    </row>
    <row r="5" spans="1:11" ht="15.75">
      <c r="A5" s="28" t="str">
        <v>Westbrook - Lee Building 82</v>
      </c>
      <c r="B5" s="29" t="str">
        <v>CT</v>
      </c>
      <c r="C5" s="11">
        <v>29898.589921060899</v>
      </c>
      <c r="D5" s="17">
        <v>0</v>
      </c>
      <c r="E5" s="17">
        <f t="shared" ref="E5" si="0">IF(AND(ISNUMBER(C5),ISNUMBER(D5)), C5-D5, "")</f>
        <v>29898.589921060899</v>
      </c>
      <c r="F5" s="18" t="str">
        <f>IFERROR(E5/D5, "")</f>
        <v/>
      </c>
      <c r="G5" s="19">
        <v>20527.32</v>
      </c>
      <c r="H5" s="19">
        <f t="shared" ref="H5" si="1">IF(AND(ISNUMBER(C5),ISNUMBER(G5)), C5-G5, "")</f>
        <v>9371.2699210608989</v>
      </c>
      <c r="I5" s="18">
        <f t="shared" ref="I5" si="2">IFERROR(H5/G5, "")</f>
        <v>0.45652671274481516</v>
      </c>
      <c r="J5" s="52" t="s">
        <v>52</v>
      </c>
      <c r="K5" s="53" t="s">
        <v>42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7109375" customWidth="1"/>
    <col min="11" max="11" width="20.5703125" bestFit="1" customWidth="1"/>
  </cols>
  <sheetData>
    <row r="1" spans="1:11" ht="19.5" customHeight="1">
      <c r="A1" s="57" t="str" cm="1">
        <f t="array" ref="A1">portfolio</f>
        <v>Solar Income LLC</v>
      </c>
      <c r="B1" s="57"/>
      <c r="C1" s="57"/>
      <c r="D1" s="58" t="s">
        <v>57</v>
      </c>
      <c r="E1" s="58"/>
      <c r="F1" s="58"/>
      <c r="G1" s="56" t="s">
        <v>58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SUM(C4:C77)</f>
        <v>37873.69038</v>
      </c>
      <c r="D2" s="5">
        <f>SUM(D4:D77)</f>
        <v>0</v>
      </c>
      <c r="E2" s="5">
        <f>C2-D2</f>
        <v>37873.69038</v>
      </c>
      <c r="F2" s="6">
        <f>IFERROR(E2/D2, 0)</f>
        <v>0</v>
      </c>
      <c r="G2" s="5">
        <f>SUM(G4:G77)</f>
        <v>20255</v>
      </c>
      <c r="H2" s="7">
        <f>C2-G2</f>
        <v>17618.69038</v>
      </c>
      <c r="I2" s="6">
        <f>IFERROR(H2/G2, 0)</f>
        <v>0.86984400789928418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60.75">
      <c r="A4" s="30" t="str" cm="1">
        <f t="array" ref="A4:A5">Sites[Site]</f>
        <v>Westbrook - Lee Building 9</v>
      </c>
      <c r="B4" s="27" t="str" cm="1">
        <f t="array" ref="B4:B5">Sites[State]</f>
        <v>CT</v>
      </c>
      <c r="C4" s="23">
        <v>16520.690210000001</v>
      </c>
      <c r="D4" s="12">
        <v>0</v>
      </c>
      <c r="E4" s="12">
        <f>IF(AND(ISNUMBER(C4),ISNUMBER(D4)), C4-D4, "")</f>
        <v>16520.690210000001</v>
      </c>
      <c r="F4" s="13" t="str">
        <f>IFERROR(E4/D4, "")</f>
        <v/>
      </c>
      <c r="G4" s="14">
        <v>0</v>
      </c>
      <c r="H4" s="14">
        <f>IF(AND(ISNUMBER(C4),ISNUMBER(G4)), C4-G4, "")</f>
        <v>16520.690210000001</v>
      </c>
      <c r="I4" s="15" t="str">
        <f>IFERROR(H4/G4, "")</f>
        <v/>
      </c>
      <c r="J4" s="55" t="s">
        <v>59</v>
      </c>
      <c r="K4" s="55" t="s">
        <v>56</v>
      </c>
    </row>
    <row r="5" spans="1:11" ht="30.75">
      <c r="A5" s="28" t="str">
        <v>Westbrook - Lee Building 82</v>
      </c>
      <c r="B5" s="29" t="str">
        <v>CT</v>
      </c>
      <c r="C5" s="11">
        <v>21353.000169999999</v>
      </c>
      <c r="D5" s="17">
        <v>0</v>
      </c>
      <c r="E5" s="17">
        <f t="shared" ref="E5" si="0">IF(AND(ISNUMBER(C5),ISNUMBER(D5)), C5-D5, "")</f>
        <v>21353.000169999999</v>
      </c>
      <c r="F5" s="18" t="str">
        <f>IFERROR(E5/D5, "")</f>
        <v/>
      </c>
      <c r="G5" s="19">
        <v>20255</v>
      </c>
      <c r="H5" s="19">
        <f t="shared" ref="H5" si="1">IF(AND(ISNUMBER(C5),ISNUMBER(G5)), C5-G5, "")</f>
        <v>1098.0001699999993</v>
      </c>
      <c r="I5" s="18">
        <f t="shared" ref="I5" si="2">IFERROR(H5/G5, "")</f>
        <v>5.4208845717106852E-2</v>
      </c>
      <c r="J5" s="54" t="s">
        <v>52</v>
      </c>
      <c r="K5" s="51" t="s">
        <v>60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61</v>
      </c>
      <c r="B1" t="s">
        <v>62</v>
      </c>
    </row>
    <row r="3" spans="1:12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45">
      <c r="A4" s="45" t="s">
        <v>66</v>
      </c>
      <c r="B4" s="46" t="s">
        <v>67</v>
      </c>
      <c r="C4" s="46" t="s">
        <v>68</v>
      </c>
      <c r="D4" s="47" t="s">
        <v>69</v>
      </c>
      <c r="E4" t="s">
        <v>70</v>
      </c>
      <c r="G4" s="3"/>
    </row>
    <row r="5" spans="1:12" ht="14.45">
      <c r="A5" s="48" t="s">
        <v>71</v>
      </c>
      <c r="B5" s="49" t="s">
        <v>72</v>
      </c>
      <c r="C5" s="50" t="s">
        <v>68</v>
      </c>
      <c r="D5" s="47" t="s">
        <v>69</v>
      </c>
      <c r="E5" t="s">
        <v>70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79A43D49-22F2-4A9E-9785-028350618387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2024-10-17T15:47:45Z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569a0cc3-59ad-4a60-b9e4-83b3229a8c7e</vt:lpwstr>
  </property>
  <property fmtid="{D5CDD505-2E9C-101B-9397-08002B2CF9AE}" pid="9" name="MSIP_Label_9d817c99-0b37-4a07-8277-96aa1f96b74b_ContentBits">
    <vt:lpwstr>0</vt:lpwstr>
  </property>
</Properties>
</file>