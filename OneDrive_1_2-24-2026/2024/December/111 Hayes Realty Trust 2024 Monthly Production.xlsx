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5" documentId="13_ncr:1_{CD9399C9-9E56-4267-A3DB-15217C776762}" xr6:coauthVersionLast="47" xr6:coauthVersionMax="47" xr10:uidLastSave="{DA5D7B77-7713-44B0-A3D7-199FDF9BCF12}"/>
  <bookViews>
    <workbookView xWindow="-98" yWindow="-98" windowWidth="21795" windowHeight="12975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<sst xmlns="http://schemas.openxmlformats.org/spreadsheetml/2006/main" count="246" uniqueCount="59">
  <si>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</si>
  <si>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</si>
  <si>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</si>
  <si>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</si>
  <si>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</si>
  <si>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</si>
  <si>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</si>
  <si>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</si>
  <si>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</si>
  <si>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</si>
  <si>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</si>
  <si>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</si>
  <si>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</si>
  <si>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</si>
  <si>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</si>
  <si>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</si>
  <si>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</si>
  <si>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</si>
  <si>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</si>
  <si>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</si>
  <si>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</si>
  <si>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</si>
  <si>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right unit was still offline.</t>
  </si>
  <si>
    <t>1. SR078701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</si>
  <si>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</si>
  <si>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</si>
  <si>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</si>
  <si>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</si>
  <si>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</si>
  <si>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</si>
  <si>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Inverter 1 primary unit is having tripping events from 04/08, later tripping events resolved and primary unit is producing as expected from 04/11.
2. Inverter 1 primary unit again having tripping events from 04/22</t>
  </si>
  <si>
    <t>1. SR083263
2. SR083744</t>
  </si>
  <si>
    <t>May Actual v. Expected</t>
  </si>
  <si>
    <t>May Actual v. Forecasted</t>
  </si>
  <si>
    <t>1.  Inverter 1 primary unit again having tripping events from 04/22, primary unit tripped offline at 16:55 on 05/06 and back online at 10:10AM on 05/09. The tripping events resolved and inverter 1 primary unit was producing as expected from 05/24</t>
  </si>
  <si>
    <t>1. 	SR083744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</si>
  <si>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</si>
  <si>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</si>
  <si>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</si>
  <si>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</si>
  <si>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</si>
  <si>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</si>
  <si>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</si>
  <si>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</si>
  <si>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</si>
  <si>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</si>
  <si>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</si>
  <si>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</si>
  <si>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</si>
  <si>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</si>
  <si>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</si>
  <si>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111 Hayes Memorial Drive</t>
  </si>
  <si>
    <t>Site DAS Name</t>
  </si>
  <si>
    <t>Update</t>
  </si>
  <si>
    <t>DAS</t>
  </si>
  <si>
    <t>MA: Marlborough - 111 Hayes Memorial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</si>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</sst>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336569.12887218548</v>
      </c>
      <c r="D2" s="5">
        <f>SUM(D4:D79)</f>
        <v>0</v>
      </c>
      <c r="E2" s="5">
        <f>C2-D2</f>
        <v>336569.12887218548</v>
      </c>
      <c r="F2" s="6">
        <f>IFERROR(E2/D2, 0)</f>
        <v>0</v>
      </c>
      <c r="G2" s="5">
        <f>SUM(G4:G79)</f>
        <v>298518.20600000001</v>
      </c>
      <c r="H2" s="7">
        <f>C2-G2</f>
        <v>38050.922872185474</v>
      </c>
      <c r="I2" s="6">
        <f>IFERROR(H2/G2, 0)</f>
        <v>0.12746600410758691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SUM('1st Qtr'!C4, '2nd Qtr'!C4, '3rd Qtr'!C4, '4th Qtr'!C4)</f>
        <v>336569.12887218548</v>
      </c>
      <c r="D4" s="12">
        <f>SUM('1st Qtr'!D4, '2nd Qtr'!D4, '3rd Qtr'!D4, '4th Qtr'!D4)</f>
        <v>0</v>
      </c>
      <c r="E4" s="12">
        <f>IF(AND(ISNUMBER(C4),ISNUMBER(D4)), C4-D4, "")</f>
        <v>336569.12887218548</v>
      </c>
      <c r="F4" s="13" t="str">
        <f>IFERROR(E4/D4, "")</f>
        <v/>
      </c>
      <c r="G4" s="14">
        <f>SUM('1st Qtr'!G4, '2nd Qtr'!G4, '3rd Qtr'!G4, '4th Qtr'!G4)</f>
        <v>298518.20600000001</v>
      </c>
      <c r="H4" s="14">
        <f>SUM('1st Qtr'!H4, '2nd Qtr'!H4, '3rd Qtr'!H4, '4th Qtr'!H4)</f>
        <v>40042.922872185489</v>
      </c>
      <c r="I4" s="15">
        <f>IFERROR(H4/G4, "")</f>
        <v>0.13413896394709504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50893.253874999995</v>
      </c>
      <c r="D2" s="5">
        <f>SUM(D4:D79)</f>
        <v>0</v>
      </c>
      <c r="E2" s="5">
        <f>C2-D2</f>
        <v>50893.253874999995</v>
      </c>
      <c r="F2" s="6">
        <f>IFERROR(E2/D2, 0)</f>
        <v>0</v>
      </c>
      <c r="G2" s="5">
        <f>SUM(G4:G79)</f>
        <v>68669.206000000006</v>
      </c>
      <c r="H2" s="7">
        <f>C2-G2</f>
        <v>-17775.952125000011</v>
      </c>
      <c r="I2" s="6">
        <f>IFERROR(H2/G2, 0)</f>
        <v>-0.2588635162754031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SUM(Jan!C4, Feb!C4, Mar!C4)</f>
        <v>50893.253874999995</v>
      </c>
      <c r="D4" s="12">
        <f>SUM(Jan!D4, Feb!D4, Mar!D4)</f>
        <v>0</v>
      </c>
      <c r="E4" s="12">
        <f>IF(AND(ISNUMBER(C4),ISNUMBER(D4)), C4-D4, "")</f>
        <v>50893.253874999995</v>
      </c>
      <c r="F4" s="13" t="str">
        <f>IFERROR(E4/D4, "")</f>
        <v/>
      </c>
      <c r="G4" s="14">
        <f>SUM(Jan!G4, Feb!G4, Mar!G4)</f>
        <v>68669.206000000006</v>
      </c>
      <c r="H4" s="14">
        <f>SUM(Jan!H4, Feb!H4, Mar!H4)</f>
        <v>-17775.952125000003</v>
      </c>
      <c r="I4" s="15">
        <f>IFERROR(H4/G4, "")</f>
        <v>-0.25886351627540299</v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114560</v>
      </c>
      <c r="D2" s="5">
        <f>SUM(D4:D79)</f>
        <v>0</v>
      </c>
      <c r="E2" s="5">
        <f>C2-D2</f>
        <v>114560</v>
      </c>
      <c r="F2" s="6">
        <f>IFERROR(E2/D2, 0)</f>
        <v>0</v>
      </c>
      <c r="G2" s="5">
        <f>SUM(G4:G79)</f>
        <v>86489</v>
      </c>
      <c r="H2" s="7">
        <f>C2-G2</f>
        <v>28071</v>
      </c>
      <c r="I2" s="6">
        <f>IFERROR(H2/G2, 0)</f>
        <v>0.32456150493126296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SUM(Apr!C4, May!C4, Jun!C4)</f>
        <v>114560</v>
      </c>
      <c r="D4" s="12">
        <f>SUM(Apr!D4, May!D4, Jun!D4)</f>
        <v>0</v>
      </c>
      <c r="E4" s="12">
        <f>IF(AND(ISNUMBER(C4),ISNUMBER(D4)), C4-D4, "")</f>
        <v>114560</v>
      </c>
      <c r="F4" s="13" t="str">
        <f>IFERROR(E4/D4, "")</f>
        <v/>
      </c>
      <c r="G4" s="14">
        <f>SUM(Apr!G4,May!G4,Jun!G4)</f>
        <v>86489</v>
      </c>
      <c r="H4" s="14">
        <f>SUM(Apr!H4, May!H4, Jun!H4)</f>
        <v>28071</v>
      </c>
      <c r="I4" s="15">
        <f>IFERROR(H4/G4, "")</f>
        <v>0.32456150493126296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110507.49999999969</v>
      </c>
      <c r="D2" s="5">
        <f>SUM(D4:D79)</f>
        <v>0</v>
      </c>
      <c r="E2" s="5">
        <f>C2-D2</f>
        <v>110507.49999999969</v>
      </c>
      <c r="F2" s="6">
        <f>IFERROR(E2/D2, 0)</f>
        <v>0</v>
      </c>
      <c r="G2" s="5">
        <f>SUM(G4:G79)</f>
        <v>87715</v>
      </c>
      <c r="H2" s="7">
        <f>C2-G2</f>
        <v>22792.499999999694</v>
      </c>
      <c r="I2" s="6">
        <f>IFERROR(H2/G2, 0)</f>
        <v>0.25984723251438974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SUM(Jul!C4, Aug!C4, Sep!C4)</f>
        <v>110507.49999999969</v>
      </c>
      <c r="D4" s="12">
        <f>SUM(Jul!D4, Aug!D4, Sep!D4)</f>
        <v>0</v>
      </c>
      <c r="E4" s="12">
        <f>IF(AND(ISNUMBER(C4),ISNUMBER(D4)), C4-D4, "")</f>
        <v>110507.49999999969</v>
      </c>
      <c r="F4" s="13" t="str">
        <f>IFERROR(E4/D4, "")</f>
        <v/>
      </c>
      <c r="G4" s="14">
        <f>SUM(Jun!G4,Jul!G4,Aug!G4)</f>
        <v>87715</v>
      </c>
      <c r="H4" s="14">
        <f>SUM(Jul!H4, Aug!H4, Sep!H4)</f>
        <v>24784.499999999694</v>
      </c>
      <c r="I4" s="15">
        <f>IFERROR(H4/G4, "")</f>
        <v>0.28255714530011622</v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0" sqref="F10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60608.374997185805</v>
      </c>
      <c r="D2" s="5">
        <f>SUM(D4:D79)</f>
        <v>0</v>
      </c>
      <c r="E2" s="5">
        <f>C2-D2</f>
        <v>60608.374997185805</v>
      </c>
      <c r="F2" s="6">
        <f>IFERROR(E2/D2, 0)</f>
        <v>0</v>
      </c>
      <c r="G2" s="5">
        <f>SUM(G4:G79)</f>
        <v>55645</v>
      </c>
      <c r="H2" s="7">
        <f>C2-G2</f>
        <v>4963.3749971858051</v>
      </c>
      <c r="I2" s="6">
        <f>IFERROR(H2/G2, 0)</f>
        <v>8.9197142549839251E-2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SUM(Oct!C4, Nov!C4, Dec!C4)</f>
        <v>60608.374997185805</v>
      </c>
      <c r="D4" s="12">
        <f>SUM(Oct!D4, Nov!D4, Dec!D4)</f>
        <v>0</v>
      </c>
      <c r="E4" s="12">
        <f>IF(AND(ISNUMBER(C4),ISNUMBER(D4)), C4-D4, "")</f>
        <v>60608.374997185805</v>
      </c>
      <c r="F4" s="13" t="str">
        <f>IFERROR(E4/D4, "")</f>
        <v/>
      </c>
      <c r="G4" s="14">
        <f>SUM(Oct!G4,Nov!G4,Dec!G4)</f>
        <v>55645</v>
      </c>
      <c r="H4" s="14">
        <f>SUM(Oct!H4, Nov!H4, Dec!H4)</f>
        <v>4963.3749971857978</v>
      </c>
      <c r="I4" s="15">
        <f>IFERROR(H4/G4, "")</f>
        <v>8.9197142549839126E-2</v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4.25">
      <c r="A6" s="20"/>
      <c r="B6" s="10"/>
      <c r="C6" s="41"/>
      <c r="D6" s="17"/>
      <c r="E6" s="17"/>
      <c r="F6" s="18"/>
      <c r="G6" s="19"/>
      <c r="H6" s="19"/>
      <c r="I6" s="18"/>
    </row>
    <row r="7" spans="1:9" ht="14.25">
      <c r="A7" s="20"/>
      <c r="B7" s="10"/>
      <c r="C7" s="41"/>
      <c r="D7" s="17"/>
      <c r="E7" s="17"/>
      <c r="F7" s="18"/>
      <c r="G7" s="19"/>
      <c r="H7" s="19"/>
      <c r="I7" s="18"/>
    </row>
    <row r="8" spans="1:9" ht="14.25">
      <c r="A8" s="20"/>
      <c r="B8" s="10"/>
      <c r="C8" s="41"/>
      <c r="D8" s="17"/>
      <c r="E8" s="17"/>
      <c r="F8" s="18"/>
      <c r="G8" s="19"/>
      <c r="H8" s="19"/>
      <c r="I8" s="18"/>
    </row>
    <row r="9" spans="1:9" ht="14.25">
      <c r="A9" s="20"/>
      <c r="B9" s="10"/>
      <c r="C9" s="41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0" sqref="G10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5630.296875</v>
      </c>
      <c r="D2" s="5">
        <f>SUM(D4:D78)</f>
        <v>0</v>
      </c>
      <c r="E2" s="5">
        <f>C2-D2</f>
        <v>5630.296875</v>
      </c>
      <c r="F2" s="6">
        <f>IFERROR(E2/D2, 0)</f>
        <v>0</v>
      </c>
      <c r="G2" s="5">
        <f>SUM(G4:G78)</f>
        <v>18868</v>
      </c>
      <c r="H2" s="7">
        <f>C2-G2</f>
        <v>-13237.703125</v>
      </c>
      <c r="I2" s="6">
        <f>IFERROR(H2/G2, 0)</f>
        <v>-0.70159545924316302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MA: Marlborough - 111 Hayes Memorial Dr</v>
      </c>
      <c r="B4" s="27" t="str" cm="1">
        <f t="array" ref="B4">Sites[State]</f>
        <v>MA</v>
      </c>
      <c r="C4" s="50">
        <v>5630.296875</v>
      </c>
      <c r="D4" s="51">
        <v>0</v>
      </c>
      <c r="E4" s="12">
        <f>IF(AND(ISNUMBER(C4),ISNUMBER(D4)), C4-D4, "")</f>
        <v>5630.296875</v>
      </c>
      <c r="F4" s="40" t="str">
        <f>IFERROR(E4/D4, "")</f>
        <v/>
      </c>
      <c r="G4" s="53">
        <v>18868</v>
      </c>
      <c r="H4" s="14">
        <f>IF(AND(ISNUMBER(C4),ISNUMBER(G4)), C4-G4, "")</f>
        <v>-13237.703125</v>
      </c>
      <c r="I4" s="15">
        <f>IFERROR(H4/G4, "")</f>
        <v>-0.70159545924316302</v>
      </c>
      <c r="J4" s="47" t="s">
        <v>22</v>
      </c>
      <c r="K4" s="47" t="s">
        <v>23</v>
      </c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H14" sqref="H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18485.599999999999</v>
      </c>
      <c r="D2" s="5">
        <f>SUM(D4:D79)</f>
        <v>0</v>
      </c>
      <c r="E2" s="5">
        <f>C2-D2</f>
        <v>18485.599999999999</v>
      </c>
      <c r="F2" s="6">
        <f>IFERROR(E2/D2, 0)</f>
        <v>0</v>
      </c>
      <c r="G2" s="5">
        <f>SUM(G4:G79)</f>
        <v>21680.400000000001</v>
      </c>
      <c r="H2" s="7">
        <f>C2-G2</f>
        <v>-3194.8000000000029</v>
      </c>
      <c r="I2" s="6">
        <f>IFERROR(H2/G2, 0)</f>
        <v>-0.14735890481725442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18485.599999999999</v>
      </c>
      <c r="D4" s="12">
        <v>0</v>
      </c>
      <c r="E4" s="12">
        <f>IF(AND(ISNUMBER(C4),ISNUMBER(D4)), C4-D4, "")</f>
        <v>18485.599999999999</v>
      </c>
      <c r="F4" s="13" t="str">
        <f>IFERROR(E4/D4, "")</f>
        <v/>
      </c>
      <c r="G4" s="14">
        <v>21680.400000000001</v>
      </c>
      <c r="H4" s="14">
        <f>IF(AND(ISNUMBER(C4),ISNUMBER(G4)), C4-G4, "")</f>
        <v>-3194.8000000000029</v>
      </c>
      <c r="I4" s="15">
        <f>IFERROR(H4/G4, "")</f>
        <v>-0.14735890481725442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26777.357</v>
      </c>
      <c r="D2" s="5">
        <f>SUM(D4:D79)</f>
        <v>0</v>
      </c>
      <c r="E2" s="5">
        <f>C2-D2</f>
        <v>26777.357</v>
      </c>
      <c r="F2" s="6">
        <f>IFERROR(E2/D2, 0)</f>
        <v>0</v>
      </c>
      <c r="G2" s="5">
        <f>SUM(G4:G79)</f>
        <v>28120.806</v>
      </c>
      <c r="H2" s="7">
        <f>C2-G2</f>
        <v>-1343.4490000000005</v>
      </c>
      <c r="I2" s="6">
        <f>IFERROR(H2/G2, 0)</f>
        <v>-4.7774199644206518E-2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26777.357</v>
      </c>
      <c r="D4" s="12">
        <v>0</v>
      </c>
      <c r="E4" s="12">
        <f>IF(AND(ISNUMBER(C4),ISNUMBER(D4)), C4-D4, "")</f>
        <v>26777.357</v>
      </c>
      <c r="F4" s="13" t="str">
        <f>IFERROR(E4/D4, "")</f>
        <v/>
      </c>
      <c r="G4" s="14">
        <v>28120.806</v>
      </c>
      <c r="H4" s="14">
        <f>IF(AND(ISNUMBER(C4),ISNUMBER(G4)), C4-G4, "")</f>
        <v>-1343.4490000000005</v>
      </c>
      <c r="I4" s="15">
        <f>IFERROR(H4/G4, "")</f>
        <v>-4.7774199644206518E-2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E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32728</v>
      </c>
      <c r="D2" s="5">
        <f>SUM(D4:D79)</f>
        <v>0</v>
      </c>
      <c r="E2" s="5">
        <f>C2-D2</f>
        <v>32728</v>
      </c>
      <c r="F2" s="6">
        <f>IFERROR(E2/D2, 0)</f>
        <v>0</v>
      </c>
      <c r="G2" s="5">
        <f>SUM(G4:G79)</f>
        <v>28354</v>
      </c>
      <c r="H2" s="7">
        <f>C2-G2</f>
        <v>4374</v>
      </c>
      <c r="I2" s="6">
        <f>IFERROR(H2/G2, 0)</f>
        <v>0.15426394864922058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69.75" customHeight="1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32728</v>
      </c>
      <c r="D4" s="12">
        <v>0</v>
      </c>
      <c r="E4" s="12">
        <f>IF(AND(ISNUMBER(C4),ISNUMBER(D4)), C4-D4, "")</f>
        <v>32728</v>
      </c>
      <c r="F4" s="13" t="str">
        <f>IFERROR(E4/D4, "")</f>
        <v/>
      </c>
      <c r="G4" s="14">
        <v>28354</v>
      </c>
      <c r="H4" s="14">
        <f>IF(AND(ISNUMBER(C4),ISNUMBER(G4)), C4-G4, "")</f>
        <v>4374</v>
      </c>
      <c r="I4" s="15">
        <f>IFERROR(H4/G4, "")</f>
        <v>0.15426394864922058</v>
      </c>
      <c r="J4" s="36" t="s">
        <v>30</v>
      </c>
      <c r="K4" s="36" t="s">
        <v>31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D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38010</v>
      </c>
      <c r="D2" s="5">
        <f>SUM(D4:D79)</f>
        <v>0</v>
      </c>
      <c r="E2" s="5">
        <f>C2-D2</f>
        <v>38010</v>
      </c>
      <c r="F2" s="6">
        <f>IFERROR(E2/D2, 0)</f>
        <v>0</v>
      </c>
      <c r="G2" s="5">
        <f>SUM(G4:G79)</f>
        <v>29884</v>
      </c>
      <c r="H2" s="7">
        <f>C2-G2</f>
        <v>8126</v>
      </c>
      <c r="I2" s="6">
        <f>IFERROR(H2/G2, 0)</f>
        <v>0.27191808325525363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2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38010</v>
      </c>
      <c r="D4" s="12">
        <v>0</v>
      </c>
      <c r="E4" s="12">
        <f>IF(AND(ISNUMBER(C4),ISNUMBER(D4)), C4-D4, "")</f>
        <v>38010</v>
      </c>
      <c r="F4" s="13" t="str">
        <f>IFERROR(E4/D4, "")</f>
        <v/>
      </c>
      <c r="G4" s="14">
        <v>29884</v>
      </c>
      <c r="H4" s="14">
        <f>IF(AND(ISNUMBER(C4),ISNUMBER(G4)), C4-G4, "")</f>
        <v>8126</v>
      </c>
      <c r="I4" s="15">
        <f>IFERROR(H4/G4, "")</f>
        <v>0.27191808325525363</v>
      </c>
      <c r="J4" s="36" t="s">
        <v>34</v>
      </c>
      <c r="K4" s="36" t="s">
        <v>35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D4" sqref="D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43822</v>
      </c>
      <c r="D2" s="5">
        <f>SUM(D4:D79)</f>
        <v>0</v>
      </c>
      <c r="E2" s="5">
        <f>C2-D2</f>
        <v>43822</v>
      </c>
      <c r="F2" s="6">
        <f>IFERROR(E2/D2, 0)</f>
        <v>0</v>
      </c>
      <c r="G2" s="5">
        <f>SUM(G4:G79)</f>
        <v>28251</v>
      </c>
      <c r="H2" s="7">
        <f>C2-G2</f>
        <v>15571</v>
      </c>
      <c r="I2" s="6">
        <f>IFERROR(H2/G2, 0)</f>
        <v>0.55116633039538421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43822</v>
      </c>
      <c r="D4" s="12">
        <v>0</v>
      </c>
      <c r="E4" s="12">
        <f>IF(AND(ISNUMBER(C4),ISNUMBER(D4)), C4-D4, "")</f>
        <v>43822</v>
      </c>
      <c r="F4" s="13" t="str">
        <f>IFERROR(E4/D4, "")</f>
        <v/>
      </c>
      <c r="G4" s="14">
        <v>28251</v>
      </c>
      <c r="H4" s="14">
        <f>IF(AND(ISNUMBER(C4),ISNUMBER(G4)), C4-G4, "")</f>
        <v>15571</v>
      </c>
      <c r="I4" s="15">
        <f>IFERROR(H4/G4, "")</f>
        <v>0.55116633039538421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F11" sqref="F11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41356.776874999698</v>
      </c>
      <c r="D2" s="5">
        <f>SUM(D4:D79)</f>
        <v>0</v>
      </c>
      <c r="E2" s="5">
        <f>C2-D2</f>
        <v>41356.776874999698</v>
      </c>
      <c r="F2" s="6">
        <f>IFERROR(E2/D2, 0)</f>
        <v>0</v>
      </c>
      <c r="G2" s="5">
        <f>SUM(G4:G79)</f>
        <v>30055</v>
      </c>
      <c r="H2" s="7">
        <f>C2-G2</f>
        <v>11301.776874999698</v>
      </c>
      <c r="I2" s="6">
        <f>IFERROR(H2/G2, 0)</f>
        <v>0.37603649559140567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41356.776874999698</v>
      </c>
      <c r="D4" s="12">
        <v>0</v>
      </c>
      <c r="E4" s="12">
        <f>IF(AND(ISNUMBER(C4),ISNUMBER(D4)), C4-D4, "")</f>
        <v>41356.776874999698</v>
      </c>
      <c r="F4" s="13" t="str">
        <f>IFERROR(E4/D4, "")</f>
        <v/>
      </c>
      <c r="G4" s="14">
        <v>30055</v>
      </c>
      <c r="H4" s="14">
        <f>IF(AND(ISNUMBER(C4),ISNUMBER(G4)), C4-G4, "")</f>
        <v>11301.776874999698</v>
      </c>
      <c r="I4" s="15">
        <f>IFERROR(H4/G4, "")</f>
        <v>0.37603649559140567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G14" sqref="G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37197.223124999997</v>
      </c>
      <c r="D2" s="5">
        <f>SUM(D4:D79)</f>
        <v>0</v>
      </c>
      <c r="E2" s="5">
        <f>C2-D2</f>
        <v>37197.223124999997</v>
      </c>
      <c r="F2" s="6">
        <f>IFERROR(E2/D2, 0)</f>
        <v>0</v>
      </c>
      <c r="G2" s="5">
        <f>SUM(G4:G79)</f>
        <v>29409</v>
      </c>
      <c r="H2" s="7">
        <f>C2-G2</f>
        <v>7788.2231249999968</v>
      </c>
      <c r="I2" s="6">
        <f>IFERROR(H2/G2, 0)</f>
        <v>0.26482447975109652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37197.223124999997</v>
      </c>
      <c r="D4" s="12">
        <v>0</v>
      </c>
      <c r="E4" s="12">
        <f>IF(AND(ISNUMBER(C4),ISNUMBER(D4)), C4-D4, "")</f>
        <v>37197.223124999997</v>
      </c>
      <c r="F4" s="13" t="str">
        <f>IFERROR(E4/D4, "")</f>
        <v/>
      </c>
      <c r="G4" s="14">
        <v>29409</v>
      </c>
      <c r="H4" s="14">
        <f>IF(AND(ISNUMBER(C4),ISNUMBER(G4)), C4-G4, "")</f>
        <v>7788.2231249999968</v>
      </c>
      <c r="I4" s="15">
        <f>IFERROR(H4/G4, "")</f>
        <v>0.26482447975109652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31953.5</v>
      </c>
      <c r="D2" s="5">
        <f>SUM(D4:D79)</f>
        <v>0</v>
      </c>
      <c r="E2" s="5">
        <f>C2-D2</f>
        <v>31953.5</v>
      </c>
      <c r="F2" s="6">
        <f>IFERROR(E2/D2, 0)</f>
        <v>0</v>
      </c>
      <c r="G2" s="5">
        <f>SUM(G4:G79)</f>
        <v>26259</v>
      </c>
      <c r="H2" s="7">
        <f>C2-G2</f>
        <v>5694.5</v>
      </c>
      <c r="I2" s="6">
        <f>IFERROR(H2/G2, 0)</f>
        <v>0.21685898168247078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31953.5</v>
      </c>
      <c r="D4" s="12">
        <v>0</v>
      </c>
      <c r="E4" s="12">
        <f>IF(AND(ISNUMBER(C4),ISNUMBER(D4)), C4-D4, "")</f>
        <v>31953.5</v>
      </c>
      <c r="F4" s="13" t="str">
        <f>IFERROR(E4/D4, "")</f>
        <v/>
      </c>
      <c r="G4" s="14">
        <v>26259</v>
      </c>
      <c r="H4" s="14">
        <f>IF(AND(ISNUMBER(C4),ISNUMBER(G4)), C4-G4, "")</f>
        <v>5694.5</v>
      </c>
      <c r="I4" s="15">
        <f>IFERROR(H4/G4, "")</f>
        <v>0.21685898168247078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E8" sqref="E8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28209.5</v>
      </c>
      <c r="D2" s="5">
        <f>SUM(D4:D79)</f>
        <v>0</v>
      </c>
      <c r="E2" s="5">
        <f>C2-D2</f>
        <v>28209.5</v>
      </c>
      <c r="F2" s="6">
        <f>IFERROR(E2/D2, 0)</f>
        <v>0</v>
      </c>
      <c r="G2" s="5">
        <f>SUM(G4:G79)</f>
        <v>20877</v>
      </c>
      <c r="H2" s="7">
        <f>C2-G2</f>
        <v>7332.5</v>
      </c>
      <c r="I2" s="6">
        <f>IFERROR(H2/G2, 0)</f>
        <v>0.35122383484217079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28209.5</v>
      </c>
      <c r="D4" s="12">
        <v>0</v>
      </c>
      <c r="E4" s="12">
        <f>IF(AND(ISNUMBER(C4),ISNUMBER(D4)), C4-D4, "")</f>
        <v>28209.5</v>
      </c>
      <c r="F4" s="13" t="str">
        <f>IFERROR(E4/D4, "")</f>
        <v/>
      </c>
      <c r="G4" s="14">
        <v>20877</v>
      </c>
      <c r="H4" s="14">
        <f>IF(AND(ISNUMBER(C4),ISNUMBER(G4)), C4-G4, "")</f>
        <v>7332.5</v>
      </c>
      <c r="I4" s="15">
        <f>IFERROR(H4/G4, "")</f>
        <v>0.35122383484217079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F11" sqref="F11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20019.862437185799</v>
      </c>
      <c r="D2" s="5">
        <f>SUM(D4:D79)</f>
        <v>0</v>
      </c>
      <c r="E2" s="5">
        <f>C2-D2</f>
        <v>20019.862437185799</v>
      </c>
      <c r="F2" s="6">
        <f>IFERROR(E2/D2, 0)</f>
        <v>0</v>
      </c>
      <c r="G2" s="5">
        <f>SUM(G4:G79)</f>
        <v>18164</v>
      </c>
      <c r="H2" s="7">
        <f>C2-G2</f>
        <v>1855.8624371857986</v>
      </c>
      <c r="I2" s="6">
        <f>IFERROR(H2/G2, 0)</f>
        <v>0.1021725631571129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20019.862437185799</v>
      </c>
      <c r="D4" s="12">
        <v>0</v>
      </c>
      <c r="E4" s="12">
        <f>IF(AND(ISNUMBER(C4),ISNUMBER(D4)), C4-D4, "")</f>
        <v>20019.862437185799</v>
      </c>
      <c r="F4" s="13" t="str">
        <f>IFERROR(E4/D4, "")</f>
        <v/>
      </c>
      <c r="G4" s="14">
        <v>18164</v>
      </c>
      <c r="H4" s="14">
        <f>IF(AND(ISNUMBER(C4),ISNUMBER(G4)), C4-G4, "")</f>
        <v>1855.8624371857986</v>
      </c>
      <c r="I4" s="15">
        <f>IFERROR(H4/G4, "")</f>
        <v>0.1021725631571129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tabSelected="1" zoomScale="90" zoomScaleNormal="90" workbookViewId="0">
      <pane xSplit="2" ySplit="3" topLeftCell="C4" activePane="bottomRight" state="frozen"/>
      <selection pane="bottomRight" activeCell="G8" sqref="G8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12379.012559999999</v>
      </c>
      <c r="D2" s="5">
        <f>SUM(D4:D79)</f>
        <v>0</v>
      </c>
      <c r="E2" s="5">
        <f>C2-D2</f>
        <v>12379.012559999999</v>
      </c>
      <c r="F2" s="6">
        <f>IFERROR(E2/D2, 0)</f>
        <v>0</v>
      </c>
      <c r="G2" s="5">
        <f>SUM(G4:G79)</f>
        <v>16604</v>
      </c>
      <c r="H2" s="7">
        <f>C2-G2</f>
        <v>-4224.9874400000008</v>
      </c>
      <c r="I2" s="6">
        <f>IFERROR(H2/G2, 0)</f>
        <v>-0.25445600096362325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12379.012559999999</v>
      </c>
      <c r="D4" s="12">
        <v>0</v>
      </c>
      <c r="E4" s="12">
        <f>IF(AND(ISNUMBER(C4),ISNUMBER(D4)), C4-D4, "")</f>
        <v>12379.012559999999</v>
      </c>
      <c r="F4" s="13" t="str">
        <f>IFERROR(E4/D4, "")</f>
        <v/>
      </c>
      <c r="G4" s="14">
        <v>16604</v>
      </c>
      <c r="H4" s="14">
        <f>IF(AND(ISNUMBER(C4),ISNUMBER(G4)), C4-G4, "")</f>
        <v>-4224.9874400000008</v>
      </c>
      <c r="I4" s="15">
        <f>IFERROR(H4/G4, "")</f>
        <v>-0.25445600096362325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25">
      <c r="A4" s="45" t="s">
        <v>51</v>
      </c>
      <c r="B4" t="s">
        <v>55</v>
      </c>
      <c r="C4" s="43" t="s">
        <v>56</v>
      </c>
      <c r="D4" s="42" t="s">
        <v>57</v>
      </c>
      <c r="E4" t="s">
        <v>58</v>
      </c>
      <c r="G4" s="3"/>
    </row>
    <row r="5" spans="1:12" ht="14.25">
      <c r="A5" s="45"/>
      <c r="C5" s="43"/>
      <c r="D5" s="42"/>
      <c r="G5" s="3"/>
    </row>
    <row r="6" spans="1:12" ht="14.2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2025-01-14T06:56:28Z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