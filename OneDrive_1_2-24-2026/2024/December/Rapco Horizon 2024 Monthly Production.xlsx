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0" documentId="13_ncr:1_{983D7807-D571-472F-BDC9-864149722DCB}" xr6:coauthVersionLast="47" xr6:coauthVersionMax="47" xr10:uidLastSave="{7D94118F-6496-4F68-B9EF-CD37ADA58483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<sst xmlns="http://schemas.openxmlformats.org/spreadsheetml/2006/main" count="244" uniqueCount="57">
  <si>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</si>
  <si>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</si>
  <si>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</si>
  <si>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</si>
  <si>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</si>
  <si>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</si>
  <si>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</si>
  <si>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</si>
  <si>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</si>
  <si>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</si>
  <si>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</si>
  <si>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</si>
  <si>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</si>
  <si>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</si>
  <si>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</si>
  <si>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</si>
  <si>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</si>
  <si>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</si>
  <si>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</si>
  <si>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</si>
  <si>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</si>
  <si>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</si>
  <si>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</si>
  <si>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</si>
  <si>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</si>
  <si>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</si>
  <si>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</si>
  <si>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</si>
  <si>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6 is having tripping events from 09:25AM on 04/27 and later resolved on 04/29.</t>
  </si>
  <si>
    <t>1. SR083904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</si>
  <si>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</si>
  <si>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</si>
  <si>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</si>
  <si>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</si>
  <si>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</si>
  <si>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</si>
  <si>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</si>
  <si>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</si>
  <si>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</si>
  <si>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</si>
  <si>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</si>
  <si>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</si>
  <si>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</si>
  <si>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</si>
  <si>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</si>
  <si>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</si>
  <si>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 Inverter 3 was offline on 12/30 and back online on 12/31.
2. Inverter 1 was tripped offline at 10:45AM on 12/31 and back online at 12:00PM on same day.</t>
  </si>
  <si>
    <t>1. SR095165
2. SR094603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</si>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</sst>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MA: Leominster - 1776 Lock Dr - Rapco Horizon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SUM(C4:C79)</f>
        <v>478366.98</v>
      </c>
      <c r="D2" s="5">
        <f>SUM(D4:D79)</f>
        <v>0</v>
      </c>
      <c r="E2" s="5">
        <f>C2-D2</f>
        <v>478366.98</v>
      </c>
      <c r="F2" s="6">
        <f>IFERROR(E2/D2, 0)</f>
        <v>0</v>
      </c>
      <c r="G2" s="5">
        <f>SUM(G4:G79)</f>
        <v>513985.35799999995</v>
      </c>
      <c r="H2" s="7">
        <f>C2-G2</f>
        <v>-35618.377999999968</v>
      </c>
      <c r="I2" s="6">
        <f>IFERROR(H2/G2, 0)</f>
        <v>-6.9298429314400764E-2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478366.98</v>
      </c>
      <c r="D4" s="12">
        <f>SUM('1st Qtr'!D4, '2nd Qtr'!D4, '3rd Qtr'!D4, '4th Qtr'!D4)</f>
        <v>0</v>
      </c>
      <c r="E4" s="12">
        <f>IF(AND(ISNUMBER(C4),ISNUMBER(D4)), C4-D4, "")</f>
        <v>478366.98</v>
      </c>
      <c r="F4" s="13" t="str">
        <f>IFERROR(E4/D4, "")</f>
        <v/>
      </c>
      <c r="G4" s="14">
        <f>SUM('1st Qtr'!G4, '2nd Qtr'!G4, '3rd Qtr'!G4, '4th Qtr'!G4)</f>
        <v>513985.35799999995</v>
      </c>
      <c r="H4" s="14">
        <f>SUM('1st Qtr'!H4, '2nd Qtr'!H4, '3rd Qtr'!H4, '4th Qtr'!H4)</f>
        <v>-35618.377999999997</v>
      </c>
      <c r="I4" s="15">
        <f>IFERROR(H4/G4, "")</f>
        <v>-6.929842931440082E-2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MA: Leominster - 1776 Lock Dr - Rapco Horizon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SUM(C4:C79)</f>
        <v>83001.34</v>
      </c>
      <c r="D2" s="5">
        <f>SUM(D4:D79)</f>
        <v>0</v>
      </c>
      <c r="E2" s="5">
        <f>C2-D2</f>
        <v>83001.34</v>
      </c>
      <c r="F2" s="6">
        <f>IFERROR(E2/D2, 0)</f>
        <v>0</v>
      </c>
      <c r="G2" s="5">
        <f>SUM(G4:G79)</f>
        <v>96524.59</v>
      </c>
      <c r="H2" s="7">
        <f>C2-G2</f>
        <v>-13523.25</v>
      </c>
      <c r="I2" s="6">
        <f>IFERROR(H2/G2, 0)</f>
        <v>-0.14010160519718343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83001.34</v>
      </c>
      <c r="D4" s="12">
        <f>SUM(Jan!D4, Feb!D4, Mar!D4)</f>
        <v>0</v>
      </c>
      <c r="E4" s="12">
        <f>IF(AND(ISNUMBER(C4),ISNUMBER(D4)), C4-D4, "")</f>
        <v>83001.34</v>
      </c>
      <c r="F4" s="13" t="str">
        <f>IFERROR(E4/D4, "")</f>
        <v/>
      </c>
      <c r="G4" s="14">
        <f>SUM(Jan!G4, Feb!G4, Mar!G4)</f>
        <v>96524.59</v>
      </c>
      <c r="H4" s="14">
        <f>SUM(Jan!H4, Feb!H4, Mar!H4)</f>
        <v>-13523.25</v>
      </c>
      <c r="I4" s="15">
        <f>IFERROR(H4/G4, "")</f>
        <v>-0.14010160519718343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MA: Leominster - 1776 Lock Dr - Rapco Horizon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SUM(C4:C79)</f>
        <v>162756</v>
      </c>
      <c r="D2" s="5">
        <f>SUM(D4:D79)</f>
        <v>0</v>
      </c>
      <c r="E2" s="5">
        <f>C2-D2</f>
        <v>162756</v>
      </c>
      <c r="F2" s="6">
        <f>IFERROR(E2/D2, 0)</f>
        <v>0</v>
      </c>
      <c r="G2" s="5">
        <f>SUM(G4:G79)</f>
        <v>172187</v>
      </c>
      <c r="H2" s="7">
        <f>C2-G2</f>
        <v>-9431</v>
      </c>
      <c r="I2" s="6">
        <f>IFERROR(H2/G2, 0)</f>
        <v>-5.4771846887395684E-2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162756</v>
      </c>
      <c r="D4" s="12">
        <f>SUM(Apr!D4, May!D4, Jun!D4)</f>
        <v>0</v>
      </c>
      <c r="E4" s="12">
        <f>IF(AND(ISNUMBER(C4),ISNUMBER(D4)), C4-D4, "")</f>
        <v>162756</v>
      </c>
      <c r="F4" s="13" t="str">
        <f>IFERROR(E4/D4, "")</f>
        <v/>
      </c>
      <c r="G4" s="14">
        <f>SUM(Apr!G4,May!G4,Jun!G4)</f>
        <v>172187</v>
      </c>
      <c r="H4" s="14">
        <f>SUM(Apr!H4, May!H4, Jun!H4)</f>
        <v>-9431</v>
      </c>
      <c r="I4" s="15">
        <f>IFERROR(H4/G4, "")</f>
        <v>-5.4771846887395684E-2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MA: Leominster - 1776 Lock Dr - Rapco Horizon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SUM(C4:C79)</f>
        <v>154602.47</v>
      </c>
      <c r="D2" s="5">
        <f>SUM(D4:D79)</f>
        <v>0</v>
      </c>
      <c r="E2" s="5">
        <f>C2-D2</f>
        <v>154602.47</v>
      </c>
      <c r="F2" s="6">
        <f>IFERROR(E2/D2, 0)</f>
        <v>0</v>
      </c>
      <c r="G2" s="5">
        <f>SUM(G4:G79)</f>
        <v>170326</v>
      </c>
      <c r="H2" s="7">
        <f>C2-G2</f>
        <v>-15723.529999999999</v>
      </c>
      <c r="I2" s="6">
        <f>IFERROR(H2/G2, 0)</f>
        <v>-9.2314326644199945E-2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154602.47</v>
      </c>
      <c r="D4" s="12">
        <f>SUM(Jul!D4, Aug!D4, Sep!D4)</f>
        <v>0</v>
      </c>
      <c r="E4" s="12">
        <f>IF(AND(ISNUMBER(C4),ISNUMBER(D4)), C4-D4, "")</f>
        <v>154602.47</v>
      </c>
      <c r="F4" s="13" t="str">
        <f>IFERROR(E4/D4, "")</f>
        <v/>
      </c>
      <c r="G4" s="14">
        <f>SUM(Jul!G4,Aug!G4,Sep!G4)</f>
        <v>170326</v>
      </c>
      <c r="H4" s="14">
        <f>SUM(Jul!H4, Aug!H4, Sep!H4)</f>
        <v>-15723.529999999999</v>
      </c>
      <c r="I4" s="15">
        <f>IFERROR(H4/G4, "")</f>
        <v>-9.2314326644199945E-2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48.5703125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MA: Leominster - 1776 Lock Dr - Rapco Horizon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SUM(C4:C79)</f>
        <v>78007.17</v>
      </c>
      <c r="D2" s="5">
        <f>SUM(D4:D79)</f>
        <v>0</v>
      </c>
      <c r="E2" s="5">
        <f>C2-D2</f>
        <v>78007.17</v>
      </c>
      <c r="F2" s="6">
        <f>IFERROR(E2/D2, 0)</f>
        <v>0</v>
      </c>
      <c r="G2" s="5">
        <f>SUM(G4:G79)</f>
        <v>74947.767999999996</v>
      </c>
      <c r="H2" s="7">
        <f>C2-G2</f>
        <v>3059.4020000000019</v>
      </c>
      <c r="I2" s="6">
        <f>IFERROR(H2/G2, 0)</f>
        <v>4.0820455120157841E-2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78007.17</v>
      </c>
      <c r="D4" s="12">
        <f>SUM(Oct!D4, Nov!D4, Dec!D4)</f>
        <v>0</v>
      </c>
      <c r="E4" s="12">
        <f>IF(AND(ISNUMBER(C4),ISNUMBER(D4)), C4-D4, "")</f>
        <v>78007.17</v>
      </c>
      <c r="F4" s="13" t="str">
        <f>IFERROR(E4/D4, "")</f>
        <v/>
      </c>
      <c r="G4" s="14">
        <f>SUM(Oct!G4,Nov!G4,Dec!G4)</f>
        <v>74947.767999999996</v>
      </c>
      <c r="H4" s="14">
        <f>SUM(Oct!H4, Nov!H4, Dec!H4)</f>
        <v>3059.4020000000019</v>
      </c>
      <c r="I4" s="15">
        <f>IFERROR(H4/G4, "")</f>
        <v>4.0820455120157841E-2</v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SUM(C4:C78)</f>
        <v>8796</v>
      </c>
      <c r="D2" s="5">
        <f>SUM(D4:D78)</f>
        <v>0</v>
      </c>
      <c r="E2" s="5">
        <f>C2-D2</f>
        <v>8796</v>
      </c>
      <c r="F2" s="6">
        <f>IFERROR(E2/D2, 0)</f>
        <v>0</v>
      </c>
      <c r="G2" s="5">
        <f>SUM(G4:G78)</f>
        <v>22339</v>
      </c>
      <c r="H2" s="7">
        <f>C2-G2</f>
        <v>-13543</v>
      </c>
      <c r="I2" s="6">
        <f>IFERROR(H2/G2, 0)</f>
        <v>-0.60624916066072787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50">
        <v>8796</v>
      </c>
      <c r="D4" s="51">
        <v>0</v>
      </c>
      <c r="E4" s="12">
        <f>IF(AND(ISNUMBER(C4),ISNUMBER(D4)), C4-D4, "")</f>
        <v>8796</v>
      </c>
      <c r="F4" s="40" t="str">
        <f>IFERROR(E4/D4, "")</f>
        <v/>
      </c>
      <c r="G4" s="53">
        <v>22339</v>
      </c>
      <c r="H4" s="14">
        <f>IF(AND(ISNUMBER(C4),ISNUMBER(G4)), C4-G4, "")</f>
        <v>-13543</v>
      </c>
      <c r="I4" s="15">
        <f>IFERROR(H4/G4, "")</f>
        <v>-0.60624916066072787</v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32517.958999999999</v>
      </c>
      <c r="D2" s="5">
        <f>SUM(D4:D79)</f>
        <v>0</v>
      </c>
      <c r="E2" s="5">
        <f>C2-D2</f>
        <v>32517.958999999999</v>
      </c>
      <c r="F2" s="6">
        <f>IFERROR(E2/D2, 0)</f>
        <v>0</v>
      </c>
      <c r="G2" s="5">
        <f>SUM(G4:G79)</f>
        <v>30499.143</v>
      </c>
      <c r="H2" s="7">
        <f>C2-G2</f>
        <v>2018.8159999999989</v>
      </c>
      <c r="I2" s="6">
        <f>IFERROR(H2/G2, 0)</f>
        <v>6.6192548426688549E-2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32517.958999999999</v>
      </c>
      <c r="D4" s="12">
        <v>0</v>
      </c>
      <c r="E4" s="12">
        <f>IF(AND(ISNUMBER(C4),ISNUMBER(D4)), C4-D4, "")</f>
        <v>32517.958999999999</v>
      </c>
      <c r="F4" s="13" t="str">
        <f>IFERROR(E4/D4, "")</f>
        <v/>
      </c>
      <c r="G4" s="14">
        <v>30499.143</v>
      </c>
      <c r="H4" s="14">
        <f>IF(AND(ISNUMBER(C4),ISNUMBER(G4)), C4-G4, "")</f>
        <v>2018.8159999999989</v>
      </c>
      <c r="I4" s="15">
        <f>IFERROR(H4/G4, "")</f>
        <v>6.6192548426688549E-2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41687.381000000001</v>
      </c>
      <c r="D2" s="5">
        <f>SUM(D4:D79)</f>
        <v>0</v>
      </c>
      <c r="E2" s="5">
        <f>C2-D2</f>
        <v>41687.381000000001</v>
      </c>
      <c r="F2" s="6">
        <f>IFERROR(E2/D2, 0)</f>
        <v>0</v>
      </c>
      <c r="G2" s="5">
        <f>SUM(G4:G79)</f>
        <v>43686.447</v>
      </c>
      <c r="H2" s="7">
        <f>C2-G2</f>
        <v>-1999.0659999999989</v>
      </c>
      <c r="I2" s="6">
        <f>IFERROR(H2/G2, 0)</f>
        <v>-4.5759409090878889E-2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41687.381000000001</v>
      </c>
      <c r="D4" s="12">
        <v>0</v>
      </c>
      <c r="E4" s="12">
        <f>IF(AND(ISNUMBER(C4),ISNUMBER(D4)), C4-D4, "")</f>
        <v>41687.381000000001</v>
      </c>
      <c r="F4" s="13" t="str">
        <f>IFERROR(E4/D4, "")</f>
        <v/>
      </c>
      <c r="G4" s="14">
        <v>43686.447</v>
      </c>
      <c r="H4" s="14">
        <f>IF(AND(ISNUMBER(C4),ISNUMBER(G4)), C4-G4, "")</f>
        <v>-1999.0659999999989</v>
      </c>
      <c r="I4" s="15">
        <f>IFERROR(H4/G4, "")</f>
        <v>-4.5759409090878889E-2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F9" sqref="F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46736</v>
      </c>
      <c r="D2" s="5">
        <f>SUM(D4:D79)</f>
        <v>0</v>
      </c>
      <c r="E2" s="5">
        <f>C2-D2</f>
        <v>46736</v>
      </c>
      <c r="F2" s="6">
        <f>IFERROR(E2/D2, 0)</f>
        <v>0</v>
      </c>
      <c r="G2" s="5">
        <f>SUM(G4:G79)</f>
        <v>50625</v>
      </c>
      <c r="H2" s="7">
        <f>C2-G2</f>
        <v>-3889</v>
      </c>
      <c r="I2" s="6">
        <f>IFERROR(H2/G2, 0)</f>
        <v>-7.6819753086419751E-2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46736</v>
      </c>
      <c r="D4" s="12">
        <v>0</v>
      </c>
      <c r="E4" s="12">
        <f>IF(AND(ISNUMBER(C4),ISNUMBER(D4)), C4-D4, "")</f>
        <v>46736</v>
      </c>
      <c r="F4" s="13" t="str">
        <f>IFERROR(E4/D4, "")</f>
        <v/>
      </c>
      <c r="G4" s="14">
        <v>50625</v>
      </c>
      <c r="H4" s="14">
        <f>IF(AND(ISNUMBER(C4),ISNUMBER(G4)), C4-G4, "")</f>
        <v>-3889</v>
      </c>
      <c r="I4" s="15">
        <f>IFERROR(H4/G4, "")</f>
        <v>-7.6819753086419751E-2</v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54866</v>
      </c>
      <c r="D2" s="5">
        <f>SUM(D4:D79)</f>
        <v>0</v>
      </c>
      <c r="E2" s="5">
        <f>C2-D2</f>
        <v>54866</v>
      </c>
      <c r="F2" s="6">
        <f>IFERROR(E2/D2, 0)</f>
        <v>0</v>
      </c>
      <c r="G2" s="5">
        <f>SUM(G4:G79)</f>
        <v>60160</v>
      </c>
      <c r="H2" s="7">
        <f>C2-G2</f>
        <v>-5294</v>
      </c>
      <c r="I2" s="6">
        <f>IFERROR(H2/G2, 0)</f>
        <v>-8.7998670212765959E-2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54866</v>
      </c>
      <c r="D4" s="12">
        <v>0</v>
      </c>
      <c r="E4" s="12">
        <f>IF(AND(ISNUMBER(C4),ISNUMBER(D4)), C4-D4, "")</f>
        <v>54866</v>
      </c>
      <c r="F4" s="13" t="str">
        <f>IFERROR(E4/D4, "")</f>
        <v/>
      </c>
      <c r="G4" s="14">
        <v>60160</v>
      </c>
      <c r="H4" s="14">
        <f>IF(AND(ISNUMBER(C4),ISNUMBER(G4)), C4-G4, "")</f>
        <v>-5294</v>
      </c>
      <c r="I4" s="15">
        <f>IFERROR(H4/G4, "")</f>
        <v>-8.7998670212765959E-2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9" sqref="E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32</v>
      </c>
      <c r="E1" s="57"/>
      <c r="F1" s="57"/>
      <c r="G1" s="55" t="s">
        <v>33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61154</v>
      </c>
      <c r="D2" s="5">
        <f>SUM(D4:D79)</f>
        <v>0</v>
      </c>
      <c r="E2" s="5">
        <f>C2-D2</f>
        <v>61154</v>
      </c>
      <c r="F2" s="6">
        <f>IFERROR(E2/D2, 0)</f>
        <v>0</v>
      </c>
      <c r="G2" s="5">
        <f>SUM(G4:G79)</f>
        <v>61402</v>
      </c>
      <c r="H2" s="7">
        <f>C2-G2</f>
        <v>-248</v>
      </c>
      <c r="I2" s="6">
        <f>IFERROR(H2/G2, 0)</f>
        <v>-4.0389563857854789E-3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61154</v>
      </c>
      <c r="D4" s="12">
        <v>0</v>
      </c>
      <c r="E4" s="12">
        <f>IF(AND(ISNUMBER(C4),ISNUMBER(D4)), C4-D4, "")</f>
        <v>61154</v>
      </c>
      <c r="F4" s="13" t="str">
        <f>IFERROR(E4/D4, "")</f>
        <v/>
      </c>
      <c r="G4" s="14">
        <v>61402</v>
      </c>
      <c r="H4" s="14">
        <f>IF(AND(ISNUMBER(C4),ISNUMBER(G4)), C4-G4, "")</f>
        <v>-248</v>
      </c>
      <c r="I4" s="15">
        <f>IFERROR(H4/G4, "")</f>
        <v>-4.0389563857854789E-3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60042.75</v>
      </c>
      <c r="D2" s="5">
        <f>SUM(D4:D79)</f>
        <v>0</v>
      </c>
      <c r="E2" s="5">
        <f>C2-D2</f>
        <v>60042.75</v>
      </c>
      <c r="F2" s="6">
        <f>IFERROR(E2/D2, 0)</f>
        <v>0</v>
      </c>
      <c r="G2" s="5">
        <f>SUM(G4:G79)</f>
        <v>67212</v>
      </c>
      <c r="H2" s="7">
        <f>C2-G2</f>
        <v>-7169.25</v>
      </c>
      <c r="I2" s="6">
        <f>IFERROR(H2/G2, 0)</f>
        <v>-0.10666622031780039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60042.75</v>
      </c>
      <c r="D4" s="12">
        <v>0</v>
      </c>
      <c r="E4" s="12">
        <f>IF(AND(ISNUMBER(C4),ISNUMBER(D4)), C4-D4, "")</f>
        <v>60042.75</v>
      </c>
      <c r="F4" s="13" t="str">
        <f>IFERROR(E4/D4, "")</f>
        <v/>
      </c>
      <c r="G4" s="14">
        <v>67212</v>
      </c>
      <c r="H4" s="14">
        <f>IF(AND(ISNUMBER(C4),ISNUMBER(G4)), C4-G4, "")</f>
        <v>-7169.25</v>
      </c>
      <c r="I4" s="15">
        <f>IFERROR(H4/G4, "")</f>
        <v>-0.10666622031780039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50907.11</v>
      </c>
      <c r="D2" s="5">
        <f>SUM(D4:D79)</f>
        <v>0</v>
      </c>
      <c r="E2" s="5">
        <f>C2-D2</f>
        <v>50907.11</v>
      </c>
      <c r="F2" s="6">
        <f>IFERROR(E2/D2, 0)</f>
        <v>0</v>
      </c>
      <c r="G2" s="5">
        <f>SUM(G4:G79)</f>
        <v>58133</v>
      </c>
      <c r="H2" s="7">
        <f>C2-G2</f>
        <v>-7225.8899999999994</v>
      </c>
      <c r="I2" s="6">
        <f>IFERROR(H2/G2, 0)</f>
        <v>-0.12429927923898645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50907.11</v>
      </c>
      <c r="D4" s="12">
        <v>0</v>
      </c>
      <c r="E4" s="12">
        <f>IF(AND(ISNUMBER(C4),ISNUMBER(D4)), C4-D4, "")</f>
        <v>50907.11</v>
      </c>
      <c r="F4" s="13" t="str">
        <f>IFERROR(E4/D4, "")</f>
        <v/>
      </c>
      <c r="G4" s="14">
        <v>58133</v>
      </c>
      <c r="H4" s="14">
        <f>IF(AND(ISNUMBER(C4),ISNUMBER(G4)), C4-G4, "")</f>
        <v>-7225.8899999999994</v>
      </c>
      <c r="I4" s="15">
        <f>IFERROR(H4/G4, "")</f>
        <v>-0.12429927923898645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43652.61</v>
      </c>
      <c r="D2" s="5">
        <f>SUM(D4:D79)</f>
        <v>0</v>
      </c>
      <c r="E2" s="5">
        <f>C2-D2</f>
        <v>43652.61</v>
      </c>
      <c r="F2" s="6">
        <f>IFERROR(E2/D2, 0)</f>
        <v>0</v>
      </c>
      <c r="G2" s="5">
        <f>SUM(G4:G79)</f>
        <v>44981</v>
      </c>
      <c r="H2" s="7">
        <f>C2-G2</f>
        <v>-1328.3899999999994</v>
      </c>
      <c r="I2" s="6">
        <f>IFERROR(H2/G2, 0)</f>
        <v>-2.9532246948711666E-2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43652.61</v>
      </c>
      <c r="D4" s="12">
        <v>0</v>
      </c>
      <c r="E4" s="12">
        <f>IF(AND(ISNUMBER(C4),ISNUMBER(D4)), C4-D4, "")</f>
        <v>43652.61</v>
      </c>
      <c r="F4" s="13" t="str">
        <f>IFERROR(E4/D4, "")</f>
        <v/>
      </c>
      <c r="G4" s="14">
        <v>44981</v>
      </c>
      <c r="H4" s="14">
        <f>IF(AND(ISNUMBER(C4),ISNUMBER(G4)), C4-G4, "")</f>
        <v>-1328.3899999999994</v>
      </c>
      <c r="I4" s="15">
        <f>IFERROR(H4/G4, "")</f>
        <v>-2.9532246948711666E-2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36373.760000000002</v>
      </c>
      <c r="D2" s="5">
        <f>SUM(D4:D79)</f>
        <v>0</v>
      </c>
      <c r="E2" s="5">
        <f>C2-D2</f>
        <v>36373.760000000002</v>
      </c>
      <c r="F2" s="6">
        <f>IFERROR(E2/D2, 0)</f>
        <v>0</v>
      </c>
      <c r="G2" s="5">
        <f>SUM(G4:G79)</f>
        <v>34768</v>
      </c>
      <c r="H2" s="7">
        <f>C2-G2</f>
        <v>1605.760000000002</v>
      </c>
      <c r="I2" s="6">
        <f>IFERROR(H2/G2, 0)</f>
        <v>4.6184997699033656E-2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36373.760000000002</v>
      </c>
      <c r="D4" s="12">
        <v>0</v>
      </c>
      <c r="E4" s="12">
        <f>IF(AND(ISNUMBER(C4),ISNUMBER(D4)), C4-D4, "")</f>
        <v>36373.760000000002</v>
      </c>
      <c r="F4" s="13" t="str">
        <f>IFERROR(E4/D4, "")</f>
        <v/>
      </c>
      <c r="G4" s="14">
        <v>34768</v>
      </c>
      <c r="H4" s="14">
        <f>IF(AND(ISNUMBER(C4),ISNUMBER(G4)), C4-G4, "")</f>
        <v>1605.760000000002</v>
      </c>
      <c r="I4" s="15">
        <f>IFERROR(H4/G4, "")</f>
        <v>4.6184997699033656E-2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25188.03</v>
      </c>
      <c r="D2" s="5">
        <f>SUM(D4:D79)</f>
        <v>0</v>
      </c>
      <c r="E2" s="5">
        <f>C2-D2</f>
        <v>25188.03</v>
      </c>
      <c r="F2" s="6">
        <f>IFERROR(E2/D2, 0)</f>
        <v>0</v>
      </c>
      <c r="G2" s="5">
        <f>SUM(G4:G79)</f>
        <v>21923</v>
      </c>
      <c r="H2" s="7">
        <f>C2-G2</f>
        <v>3265.0299999999988</v>
      </c>
      <c r="I2" s="6">
        <f>IFERROR(H2/G2, 0)</f>
        <v>0.14893171554987908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25188.03</v>
      </c>
      <c r="D4" s="12">
        <v>0</v>
      </c>
      <c r="E4" s="12">
        <f>IF(AND(ISNUMBER(C4),ISNUMBER(D4)), C4-D4, "")</f>
        <v>25188.03</v>
      </c>
      <c r="F4" s="13" t="str">
        <f>IFERROR(E4/D4, "")</f>
        <v/>
      </c>
      <c r="G4" s="14">
        <v>21923</v>
      </c>
      <c r="H4" s="14">
        <f>IF(AND(ISNUMBER(C4),ISNUMBER(G4)), C4-G4, "")</f>
        <v>3265.0299999999988</v>
      </c>
      <c r="I4" s="15">
        <f>IFERROR(H4/G4, "")</f>
        <v>0.14893171554987908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MA: Leominster - 1776 Lock Dr - Rapco Horizon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16445.38</v>
      </c>
      <c r="D2" s="5">
        <f>SUM(D4:D79)</f>
        <v>0</v>
      </c>
      <c r="E2" s="5">
        <f>C2-D2</f>
        <v>16445.38</v>
      </c>
      <c r="F2" s="6">
        <f>IFERROR(E2/D2, 0)</f>
        <v>0</v>
      </c>
      <c r="G2" s="5">
        <f>SUM(G4:G79)</f>
        <v>18256.768</v>
      </c>
      <c r="H2" s="7">
        <f>C2-G2</f>
        <v>-1811.387999999999</v>
      </c>
      <c r="I2" s="6">
        <f>IFERROR(H2/G2, 0)</f>
        <v>-9.9217342302865386E-2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5.7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16445.38</v>
      </c>
      <c r="D4" s="12">
        <v>0</v>
      </c>
      <c r="E4" s="12">
        <f>IF(AND(ISNUMBER(C4),ISNUMBER(D4)), C4-D4, "")</f>
        <v>16445.38</v>
      </c>
      <c r="F4" s="13" t="str">
        <f>IFERROR(E4/D4, "")</f>
        <v/>
      </c>
      <c r="G4" s="14">
        <v>18256.768</v>
      </c>
      <c r="H4" s="14">
        <f>IF(AND(ISNUMBER(C4),ISNUMBER(G4)), C4-G4, "")</f>
        <v>-1811.387999999999</v>
      </c>
      <c r="I4" s="15">
        <f>IFERROR(H4/G4, "")</f>
        <v>-9.9217342302865386E-2</v>
      </c>
      <c r="J4" s="54" t="s">
        <v>46</v>
      </c>
      <c r="K4" s="54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2025-01-14T07:05:15Z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