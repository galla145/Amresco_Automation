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8" documentId="13_ncr:1_{CA4AC31C-A317-422A-83EA-47FD412C695A}" xr6:coauthVersionLast="47" xr6:coauthVersionMax="47" xr10:uidLastSave="{93806369-BF17-4C9D-916C-D8F2BEA9934A}"/>
  <bookViews>
    <workbookView xWindow="-108" yWindow="-108" windowWidth="23256" windowHeight="12456" tabRatio="866" firstSheet="16" activeTab="1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4" i="29"/>
  <c r="G4" i="18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4" i="34" s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E4" i="18" s="1"/>
  <c r="F4" i="18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F4" i="33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D4" i="34" l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D2" i="34"/>
  <c r="H4" i="30"/>
  <c r="I4" i="30" s="1"/>
  <c r="H4" i="29"/>
  <c r="I4" i="29" s="1"/>
  <c r="H4" i="18"/>
  <c r="I4" i="18" s="1"/>
  <c r="C4" i="34"/>
  <c r="E4" i="34" s="1"/>
  <c r="F4" i="34" s="1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G2" i="34" l="1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<sst xmlns="http://schemas.openxmlformats.org/spreadsheetml/2006/main" count="240" uniqueCount="54">
  <si>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</si>
  <si>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</si>
  <si>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</si>
  <si>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</si>
  <si>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</si>
  <si>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</si>
  <si>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</si>
  <si>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</si>
  <si>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</si>
  <si>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</si>
  <si>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</si>
  <si>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</si>
  <si>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</si>
  <si>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</si>
  <si>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</si>
  <si>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</si>
  <si>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</si>
  <si>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</si>
  <si>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</si>
  <si>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</si>
  <si>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</si>
  <si>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</si>
  <si>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</si>
  <si>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</si>
  <si>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</si>
  <si>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</si>
  <si>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</si>
  <si>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</si>
  <si>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</si>
  <si>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</si>
  <si>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</si>
  <si>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</si>
  <si>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</si>
  <si>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</si>
  <si>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</si>
  <si>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</si>
  <si>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</si>
  <si>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</si>
  <si>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</si>
  <si>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</si>
  <si>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</si>
  <si>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</si>
  <si>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</si>
  <si>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</si>
  <si>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</si>
  <si>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National Grid</t>
  </si>
  <si>
    <t>Site DAS Name</t>
  </si>
  <si>
    <t>Update</t>
  </si>
  <si>
    <t>DAS</t>
  </si>
  <si>
    <t>PIII - Electric St, Athol</t>
  </si>
  <si>
    <t>NGRID - PIII - Electric St, Athol</t>
  </si>
  <si>
    <t>MA</t>
  </si>
  <si>
    <t>AEF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</si>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</sst>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2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9"/>
  <sheetViews>
    <sheetView workbookViewId="0">
      <pane xSplit="2" ySplit="3" topLeftCell="C4" activePane="bottomRight" state="frozen"/>
      <selection pane="bottomRight" activeCell="A5" sqref="A5:XFD27"/>
      <selection pane="bottomLeft" activeCell="A5" sqref="A5:XFD27"/>
      <selection pane="topRight" activeCell="A5" sqref="A5:XFD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9" t="str" cm="1">
        <f t="array" ref="A1">portfolio</f>
        <v>National Grid</v>
      </c>
      <c r="B1" s="49"/>
      <c r="C1" s="49"/>
      <c r="D1" s="50" t="s">
        <v>0</v>
      </c>
      <c r="E1" s="50"/>
      <c r="F1" s="50"/>
      <c r="G1" s="48" t="s">
        <v>1</v>
      </c>
      <c r="H1" s="48"/>
      <c r="I1" s="48"/>
    </row>
    <row r="2" spans="1:9" ht="19.5" customHeight="1">
      <c r="A2" s="51" t="s">
        <v>2</v>
      </c>
      <c r="B2" s="51"/>
      <c r="C2" s="5">
        <f>SUM(C4:C77)</f>
        <v>224047.17499999999</v>
      </c>
      <c r="D2" s="5">
        <f>SUM(D4:D77)</f>
        <v>240463.68400000001</v>
      </c>
      <c r="E2" s="5">
        <f>C2-D2</f>
        <v>-16416.50900000002</v>
      </c>
      <c r="F2" s="6">
        <f>IFERROR(E2/D2, 0)</f>
        <v>-6.8270221627312416E-2</v>
      </c>
      <c r="G2" s="5">
        <f>SUM(G4:G77)</f>
        <v>179951.864</v>
      </c>
      <c r="H2" s="7">
        <f>C2-G2</f>
        <v>44095.310999999987</v>
      </c>
      <c r="I2" s="6">
        <f>IFERROR(H2/G2, 0)</f>
        <v>0.24503947900200682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NGRID - PIII - Electric St, Athol</v>
      </c>
      <c r="B4" s="9" t="str" cm="1">
        <f t="array" ref="B4">Sites[State]</f>
        <v>MA</v>
      </c>
      <c r="C4" s="23">
        <f>SUM('1st Qtr'!C4, '2nd Qtr'!C4, '3rd Qtr'!C4, '4th Qtr'!C4)</f>
        <v>224047.17499999999</v>
      </c>
      <c r="D4" s="12">
        <f>SUM('1st Qtr'!D4, '2nd Qtr'!D4, '3rd Qtr'!D4, '4th Qtr'!D4)</f>
        <v>240463.68400000001</v>
      </c>
      <c r="E4" s="12">
        <f>IF(AND(ISNUMBER(C4),ISNUMBER(D4)), C4-D4, "")</f>
        <v>-16416.50900000002</v>
      </c>
      <c r="F4" s="13">
        <f>IFERROR(E4/D4, "")</f>
        <v>-6.8270221627312416E-2</v>
      </c>
      <c r="G4" s="14">
        <f>SUM('1st Qtr'!G4, '2nd Qtr'!G4, '3rd Qtr'!G4, '4th Qtr'!G4)</f>
        <v>179951.864</v>
      </c>
      <c r="H4" s="14">
        <f>SUM('1st Qtr'!H4, '2nd Qtr'!H4, '3rd Qtr'!H4, '4th Qtr'!H4)</f>
        <v>44095.311000000002</v>
      </c>
      <c r="I4" s="15">
        <f>IFERROR(H4/G4, "")</f>
        <v>0.2450394790020069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7 I4:I77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9"/>
  <sheetViews>
    <sheetView workbookViewId="0">
      <pane xSplit="2" ySplit="3" topLeftCell="C4" activePane="bottomRight" state="frozen"/>
      <selection pane="bottomRight" activeCell="A5" sqref="A5:XFD27"/>
      <selection pane="bottomLeft" activeCell="A5" sqref="A5:XFD27"/>
      <selection pane="topRight" activeCell="A5" sqref="A5:XFD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9" t="str" cm="1">
        <f t="array" ref="A1">portfolio</f>
        <v>National Grid</v>
      </c>
      <c r="B1" s="49"/>
      <c r="C1" s="49"/>
      <c r="D1" s="50" t="s">
        <v>10</v>
      </c>
      <c r="E1" s="50"/>
      <c r="F1" s="50"/>
      <c r="G1" s="48" t="s">
        <v>11</v>
      </c>
      <c r="H1" s="48"/>
      <c r="I1" s="48"/>
    </row>
    <row r="2" spans="1:9" ht="19.5" customHeight="1">
      <c r="A2" s="51" t="s">
        <v>2</v>
      </c>
      <c r="B2" s="51"/>
      <c r="C2" s="5">
        <f>SUM(C4:C77)</f>
        <v>39722.5</v>
      </c>
      <c r="D2" s="5">
        <f>SUM(D4:D77)</f>
        <v>45212.182000000001</v>
      </c>
      <c r="E2" s="5">
        <f>C2-D2</f>
        <v>-5489.6820000000007</v>
      </c>
      <c r="F2" s="6">
        <f>IFERROR(E2/D2, 0)</f>
        <v>-0.12142041717871525</v>
      </c>
      <c r="G2" s="5">
        <f>SUM(G4:G77)</f>
        <v>40713.72</v>
      </c>
      <c r="H2" s="7">
        <f>C2-G2</f>
        <v>-991.22000000000116</v>
      </c>
      <c r="I2" s="6">
        <f>IFERROR(H2/G2, 0)</f>
        <v>-2.4346092668515704E-2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NGRID - PIII - Electric St, Athol</v>
      </c>
      <c r="B4" s="9" t="str" cm="1">
        <f t="array" ref="B4">Sites[State]</f>
        <v>MA</v>
      </c>
      <c r="C4" s="23">
        <f>SUM(Jan!C4, Feb!C4, Mar!C4)</f>
        <v>39722.5</v>
      </c>
      <c r="D4" s="12">
        <f>SUM(Jan!D4, Feb!D4, Mar!D4)</f>
        <v>45212.182000000001</v>
      </c>
      <c r="E4" s="12">
        <f>IF(AND(ISNUMBER(C4),ISNUMBER(D4)), C4-D4, "")</f>
        <v>-5489.6820000000007</v>
      </c>
      <c r="F4" s="13">
        <f>IFERROR(E4/D4, "")</f>
        <v>-0.12142041717871525</v>
      </c>
      <c r="G4" s="14">
        <f>SUM(Jan!G4, Feb!G4, Mar!G4)</f>
        <v>40713.72</v>
      </c>
      <c r="H4" s="14">
        <f>SUM(Jan!H4, Feb!H4, Mar!H4)</f>
        <v>-991.22000000000116</v>
      </c>
      <c r="I4" s="15">
        <f>IFERROR(H4/G4, "")</f>
        <v>-2.4346092668515704E-2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7 I4:I77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9"/>
  <sheetViews>
    <sheetView workbookViewId="0">
      <pane xSplit="2" ySplit="3" topLeftCell="C4" activePane="bottomRight" state="frozen"/>
      <selection pane="bottomRight" activeCell="E12" sqref="E12"/>
      <selection pane="bottomLeft" activeCell="A5" sqref="A5:XFD27"/>
      <selection pane="topRight" activeCell="A5" sqref="A5:XFD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9" t="str" cm="1">
        <f t="array" ref="A1">portfolio</f>
        <v>National Grid</v>
      </c>
      <c r="B1" s="49"/>
      <c r="C1" s="49"/>
      <c r="D1" s="50" t="s">
        <v>12</v>
      </c>
      <c r="E1" s="50"/>
      <c r="F1" s="50"/>
      <c r="G1" s="48" t="s">
        <v>13</v>
      </c>
      <c r="H1" s="48"/>
      <c r="I1" s="48"/>
    </row>
    <row r="2" spans="1:9" ht="19.5" customHeight="1">
      <c r="A2" s="51" t="s">
        <v>2</v>
      </c>
      <c r="B2" s="51"/>
      <c r="C2" s="5">
        <f>SUM(C4:C77)</f>
        <v>77335.175000000003</v>
      </c>
      <c r="D2" s="5">
        <f>SUM(D4:D77)</f>
        <v>77332</v>
      </c>
      <c r="E2" s="5">
        <f>C2-D2</f>
        <v>3.1750000000029104</v>
      </c>
      <c r="F2" s="6">
        <f>IFERROR(E2/D2, 0)</f>
        <v>4.1056742357664491E-5</v>
      </c>
      <c r="G2" s="5">
        <f>SUM(G4:G77)</f>
        <v>52493.070000000007</v>
      </c>
      <c r="H2" s="7">
        <f>C2-G2</f>
        <v>24842.104999999996</v>
      </c>
      <c r="I2" s="6">
        <f>IFERROR(H2/G2, 0)</f>
        <v>0.47324542077649473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NGRID - PIII - Electric St, Athol</v>
      </c>
      <c r="B4" s="9" t="str" cm="1">
        <f t="array" ref="B4">Sites[State]</f>
        <v>MA</v>
      </c>
      <c r="C4" s="23">
        <f>SUM(Apr!C4, May!C4, Jun!C4)</f>
        <v>77335.175000000003</v>
      </c>
      <c r="D4" s="12">
        <f>SUM(Apr!D4, May!D4, Jun!D4)</f>
        <v>77332</v>
      </c>
      <c r="E4" s="12">
        <f>IF(AND(ISNUMBER(C4),ISNUMBER(D4)), C4-D4, "")</f>
        <v>3.1750000000029104</v>
      </c>
      <c r="F4" s="13">
        <f>IFERROR(E4/D4, "")</f>
        <v>4.1056742357664491E-5</v>
      </c>
      <c r="G4" s="14">
        <f>SUM(Apr!G4,May!G4,Jun!G4)</f>
        <v>52493.070000000007</v>
      </c>
      <c r="H4" s="14">
        <f>SUM(Apr!H4, May!H4, Jun!H4)</f>
        <v>24842.105</v>
      </c>
      <c r="I4" s="15">
        <f>IFERROR(H4/G4, "")</f>
        <v>0.47324542077649479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7 I4:I77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9"/>
  <sheetViews>
    <sheetView workbookViewId="0">
      <pane xSplit="2" ySplit="3" topLeftCell="C4" activePane="bottomRight" state="frozen"/>
      <selection pane="bottomRight" activeCell="G4" sqref="G4"/>
      <selection pane="bottomLeft" activeCell="A5" sqref="A5:XFD27"/>
      <selection pane="topRight" activeCell="A5" sqref="A5:XFD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9" t="str" cm="1">
        <f t="array" ref="A1">portfolio</f>
        <v>National Grid</v>
      </c>
      <c r="B1" s="49"/>
      <c r="C1" s="49"/>
      <c r="D1" s="50" t="s">
        <v>14</v>
      </c>
      <c r="E1" s="50"/>
      <c r="F1" s="50"/>
      <c r="G1" s="48" t="s">
        <v>15</v>
      </c>
      <c r="H1" s="48"/>
      <c r="I1" s="48"/>
    </row>
    <row r="2" spans="1:9" ht="19.5" customHeight="1">
      <c r="A2" s="51" t="s">
        <v>2</v>
      </c>
      <c r="B2" s="51"/>
      <c r="C2" s="5">
        <f>SUM(C4:C77)</f>
        <v>71982</v>
      </c>
      <c r="D2" s="5">
        <f>SUM(D4:D77)</f>
        <v>75209.350000000006</v>
      </c>
      <c r="E2" s="5">
        <f>C2-D2</f>
        <v>-3227.3500000000058</v>
      </c>
      <c r="F2" s="6">
        <f>IFERROR(E2/D2, 0)</f>
        <v>-4.2911552885379352E-2</v>
      </c>
      <c r="G2" s="5">
        <f>SUM(G4:G77)</f>
        <v>52428.540000000008</v>
      </c>
      <c r="H2" s="7">
        <f>C2-G2</f>
        <v>19553.459999999992</v>
      </c>
      <c r="I2" s="6">
        <f>IFERROR(H2/G2, 0)</f>
        <v>0.37295450149861104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NGRID - PIII - Electric St, Athol</v>
      </c>
      <c r="B4" s="9" t="str" cm="1">
        <f t="array" ref="B4">Sites[State]</f>
        <v>MA</v>
      </c>
      <c r="C4" s="23">
        <f>SUM(Jul!C4, Aug!C4, Sep!C4)</f>
        <v>71982</v>
      </c>
      <c r="D4" s="12">
        <f>SUM(Jul!D4, Aug!D4, Sep!D4)</f>
        <v>75209.350000000006</v>
      </c>
      <c r="E4" s="12">
        <f>IF(AND(ISNUMBER(C4),ISNUMBER(D4)), C4-D4, "")</f>
        <v>-3227.3500000000058</v>
      </c>
      <c r="F4" s="13">
        <f>IFERROR(E4/D4, "")</f>
        <v>-4.2911552885379352E-2</v>
      </c>
      <c r="G4" s="14">
        <f>SUM(Jul!G4,Aug!G4,Sep!G4)</f>
        <v>52428.540000000008</v>
      </c>
      <c r="H4" s="14">
        <f>SUM(Jul!H4, Aug!H4, Sep!H4)</f>
        <v>19553.46</v>
      </c>
      <c r="I4" s="15">
        <f>IFERROR(H4/G4, "")</f>
        <v>0.3729545014986112</v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9"/>
  <sheetViews>
    <sheetView workbookViewId="0">
      <pane xSplit="2" ySplit="3" topLeftCell="C4" activePane="bottomRight" state="frozen"/>
      <selection pane="bottomRight" activeCell="D9" sqref="D9"/>
      <selection pane="bottomLeft" activeCell="A5" sqref="A5:XFD27"/>
      <selection pane="topRight" activeCell="A5" sqref="A5:XFD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9" t="str" cm="1">
        <f t="array" ref="A1">portfolio</f>
        <v>National Grid</v>
      </c>
      <c r="B1" s="49"/>
      <c r="C1" s="49"/>
      <c r="D1" s="50" t="s">
        <v>16</v>
      </c>
      <c r="E1" s="50"/>
      <c r="F1" s="50"/>
      <c r="G1" s="48" t="s">
        <v>17</v>
      </c>
      <c r="H1" s="48"/>
      <c r="I1" s="48"/>
    </row>
    <row r="2" spans="1:9" ht="19.5" customHeight="1">
      <c r="A2" s="51" t="s">
        <v>2</v>
      </c>
      <c r="B2" s="51"/>
      <c r="C2" s="5">
        <f>SUM(C4:C77)</f>
        <v>35007.5</v>
      </c>
      <c r="D2" s="5">
        <f>SUM(D4:D77)</f>
        <v>42710.152000000002</v>
      </c>
      <c r="E2" s="5">
        <f>C2-D2</f>
        <v>-7702.6520000000019</v>
      </c>
      <c r="F2" s="6">
        <f>IFERROR(E2/D2, 0)</f>
        <v>-0.18034709874130164</v>
      </c>
      <c r="G2" s="5">
        <f>SUM(G4:G77)</f>
        <v>34316.534</v>
      </c>
      <c r="H2" s="7">
        <f>C2-G2</f>
        <v>690.96600000000035</v>
      </c>
      <c r="I2" s="6">
        <f>IFERROR(H2/G2, 0)</f>
        <v>2.0135075412919042E-2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NGRID - PIII - Electric St, Athol</v>
      </c>
      <c r="B4" s="9" t="str" cm="1">
        <f t="array" ref="B4">Sites[State]</f>
        <v>MA</v>
      </c>
      <c r="C4" s="23">
        <f>SUM(Oct!C4, Nov!C4, Dec!C4)</f>
        <v>35007.5</v>
      </c>
      <c r="D4" s="12">
        <f>SUM(Oct!D4, Nov!D4, Dec!D4)</f>
        <v>42710.152000000002</v>
      </c>
      <c r="E4" s="12">
        <f>IF(AND(ISNUMBER(C4),ISNUMBER(D4)), C4-D4, "")</f>
        <v>-7702.6520000000019</v>
      </c>
      <c r="F4" s="13">
        <f>IFERROR(E4/D4, "")</f>
        <v>-0.18034709874130164</v>
      </c>
      <c r="G4" s="14">
        <f>SUM(Oct!G4,Nov!G4,Dec!G4)</f>
        <v>34316.534</v>
      </c>
      <c r="H4" s="14">
        <f>SUM(Oct!H4, Nov!H4, Dec!H4)</f>
        <v>690.96600000000035</v>
      </c>
      <c r="I4" s="15">
        <f>IFERROR(H4/G4, "")</f>
        <v>2.0135075412919042E-2</v>
      </c>
    </row>
    <row r="5" spans="1:9" ht="14.45">
      <c r="A5" s="20"/>
      <c r="B5" s="10"/>
      <c r="C5" s="40"/>
      <c r="D5" s="17"/>
      <c r="E5" s="17"/>
      <c r="F5" s="18"/>
      <c r="G5" s="19"/>
      <c r="H5" s="19"/>
      <c r="I5" s="18"/>
    </row>
    <row r="6" spans="1:9" ht="14.45">
      <c r="A6" s="20"/>
      <c r="B6" s="10"/>
      <c r="C6" s="40"/>
      <c r="D6" s="17"/>
      <c r="E6" s="17"/>
      <c r="F6" s="18"/>
      <c r="G6" s="19"/>
      <c r="H6" s="19"/>
      <c r="I6" s="18"/>
    </row>
    <row r="7" spans="1:9" ht="14.45">
      <c r="A7" s="20"/>
      <c r="B7" s="10"/>
      <c r="C7" s="40"/>
      <c r="D7" s="17"/>
      <c r="E7" s="17"/>
      <c r="F7" s="18"/>
      <c r="G7" s="19"/>
      <c r="H7" s="19"/>
      <c r="I7" s="18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8"/>
  <sheetViews>
    <sheetView workbookViewId="0">
      <pane xSplit="2" ySplit="3" topLeftCell="G14" activePane="bottomRight" state="frozen"/>
      <selection pane="bottomRight" activeCell="G14" sqref="G14"/>
      <selection pane="bottomLeft" activeCell="A5" sqref="A5:XFD27"/>
      <selection pane="topRight" activeCell="A5" sqref="A5:XFD27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National Grid</v>
      </c>
      <c r="B1" s="49"/>
      <c r="C1" s="49"/>
      <c r="D1" s="50" t="s">
        <v>18</v>
      </c>
      <c r="E1" s="50"/>
      <c r="F1" s="50"/>
      <c r="G1" s="48" t="s">
        <v>19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SUM(C4:C76)</f>
        <v>3705</v>
      </c>
      <c r="D2" s="5">
        <f>SUM(D4:D76)</f>
        <v>7565.6319999999996</v>
      </c>
      <c r="E2" s="5">
        <f>C2-D2</f>
        <v>-3860.6319999999996</v>
      </c>
      <c r="F2" s="6">
        <f>IFERROR(E2/D2, 0)</f>
        <v>-0.5102854592980467</v>
      </c>
      <c r="G2" s="5">
        <f>SUM(G4:G76)</f>
        <v>11180.68</v>
      </c>
      <c r="H2" s="7">
        <f>C2-G2</f>
        <v>-7475.68</v>
      </c>
      <c r="I2" s="6">
        <f>IFERROR(H2/G2, 0)</f>
        <v>-0.66862480636240373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6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5" t="str" cm="1">
        <f t="array" ref="A4">Sites[Site]</f>
        <v>NGRID - PIII - Electric St, Athol</v>
      </c>
      <c r="B4" s="27" t="str" cm="1">
        <f t="array" ref="B4">Sites[State]</f>
        <v>MA</v>
      </c>
      <c r="C4" s="12">
        <v>3705</v>
      </c>
      <c r="D4" s="12">
        <v>7565.6319999999996</v>
      </c>
      <c r="E4" s="12">
        <f>IF(AND(ISNUMBER(C4),ISNUMBER(D4)), C4-D4, "")</f>
        <v>-3860.6319999999996</v>
      </c>
      <c r="F4" s="39">
        <f>IFERROR(E4/D4, "")</f>
        <v>-0.5102854592980467</v>
      </c>
      <c r="G4" s="14">
        <v>11180.68</v>
      </c>
      <c r="H4" s="14">
        <f>IF(AND(ISNUMBER(C4),ISNUMBER(G4)), C4-G4, "")</f>
        <v>-7475.68</v>
      </c>
      <c r="I4" s="15">
        <f>IFERROR(H4/G4, "")</f>
        <v>-0.66862480636240373</v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</sheetData>
  <mergeCells count="4">
    <mergeCell ref="D1:F1"/>
    <mergeCell ref="A1:C1"/>
    <mergeCell ref="G1:I1"/>
    <mergeCell ref="A2:B2"/>
  </mergeCells>
  <conditionalFormatting sqref="F2 I2 I4:I76 F5:F76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9"/>
  <sheetViews>
    <sheetView workbookViewId="0">
      <pane xSplit="2" ySplit="3" topLeftCell="G11" activePane="bottomRight" state="frozen"/>
      <selection pane="bottomRight" activeCell="G11" sqref="G11"/>
      <selection pane="bottomLeft" activeCell="A5" sqref="A5:XFD27"/>
      <selection pane="topRight" activeCell="A5" sqref="A5:XFD27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National Grid</v>
      </c>
      <c r="B1" s="49"/>
      <c r="C1" s="49"/>
      <c r="D1" s="50" t="s">
        <v>22</v>
      </c>
      <c r="E1" s="50"/>
      <c r="F1" s="50"/>
      <c r="G1" s="48" t="s">
        <v>23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SUM(C4:C77)</f>
        <v>16526.5</v>
      </c>
      <c r="D2" s="5">
        <f>SUM(D4:D77)</f>
        <v>17455.55</v>
      </c>
      <c r="E2" s="5">
        <f>C2-D2</f>
        <v>-929.04999999999927</v>
      </c>
      <c r="F2" s="6">
        <f>IFERROR(E2/D2, 0)</f>
        <v>-5.3223759778408548E-2</v>
      </c>
      <c r="G2" s="5">
        <f>SUM(G4:G77)</f>
        <v>13196.04</v>
      </c>
      <c r="H2" s="7">
        <f>C2-G2</f>
        <v>3330.4599999999991</v>
      </c>
      <c r="I2" s="6">
        <f>IFERROR(H2/G2, 0)</f>
        <v>0.25238329074479909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5" t="str" cm="1">
        <f t="array" ref="A4">Sites[Site]</f>
        <v>NGRID - PIII - Electric St, Athol</v>
      </c>
      <c r="B4" s="27" t="str" cm="1">
        <f t="array" ref="B4">Sites[State]</f>
        <v>MA</v>
      </c>
      <c r="C4" s="23">
        <v>16526.5</v>
      </c>
      <c r="D4" s="12">
        <v>17455.55</v>
      </c>
      <c r="E4" s="12">
        <f>IF(AND(ISNUMBER(C4),ISNUMBER(D4)), C4-D4, "")</f>
        <v>-929.04999999999927</v>
      </c>
      <c r="F4" s="13">
        <f>IFERROR(E4/D4, "")</f>
        <v>-5.3223759778408548E-2</v>
      </c>
      <c r="G4" s="14">
        <v>13196.04</v>
      </c>
      <c r="H4" s="14">
        <f>IF(AND(ISNUMBER(C4),ISNUMBER(G4)), C4-G4, "")</f>
        <v>3330.4599999999991</v>
      </c>
      <c r="I4" s="15">
        <f>IFERROR(H4/G4, "")</f>
        <v>0.25238329074479909</v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19"/>
  <sheetViews>
    <sheetView workbookViewId="0">
      <pane xSplit="2" ySplit="3" topLeftCell="E10" activePane="bottomRight" state="frozen"/>
      <selection pane="bottomRight" activeCell="E10" sqref="E10"/>
      <selection pane="bottomLeft" activeCell="A5" sqref="A5:XFD27"/>
      <selection pane="topRight" activeCell="A5" sqref="A5:XFD27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National Grid</v>
      </c>
      <c r="B1" s="49"/>
      <c r="C1" s="49"/>
      <c r="D1" s="50" t="s">
        <v>24</v>
      </c>
      <c r="E1" s="50"/>
      <c r="F1" s="50"/>
      <c r="G1" s="48" t="s">
        <v>25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SUM(C4:C77)</f>
        <v>19491</v>
      </c>
      <c r="D2" s="5">
        <f>SUM(D4:D77)</f>
        <v>20191</v>
      </c>
      <c r="E2" s="5">
        <f>C2-D2</f>
        <v>-700</v>
      </c>
      <c r="F2" s="6">
        <f>IFERROR(E2/D2, 0)</f>
        <v>-3.4668911891436782E-2</v>
      </c>
      <c r="G2" s="5">
        <f>SUM(G4:G77)</f>
        <v>16337</v>
      </c>
      <c r="H2" s="7">
        <f>C2-G2</f>
        <v>3154</v>
      </c>
      <c r="I2" s="6">
        <f>IFERROR(H2/G2, 0)</f>
        <v>0.19305870110791454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NGRID - PIII - Electric St, Athol</v>
      </c>
      <c r="B4" s="27" t="str" cm="1">
        <f t="array" ref="B4">Sites[State]</f>
        <v>MA</v>
      </c>
      <c r="C4" s="23">
        <v>19491</v>
      </c>
      <c r="D4" s="12">
        <v>20191</v>
      </c>
      <c r="E4" s="12">
        <f>IF(AND(ISNUMBER(C4),ISNUMBER(D4)), C4-D4, "")</f>
        <v>-700</v>
      </c>
      <c r="F4" s="13">
        <f>IFERROR(E4/D4, "")</f>
        <v>-3.4668911891436782E-2</v>
      </c>
      <c r="G4" s="14">
        <v>16337</v>
      </c>
      <c r="H4" s="14">
        <f>IF(AND(ISNUMBER(C4),ISNUMBER(G4)), C4-G4, "")</f>
        <v>3154</v>
      </c>
      <c r="I4" s="15">
        <f>IFERROR(H4/G4, "")</f>
        <v>0.19305870110791454</v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9"/>
  <sheetViews>
    <sheetView workbookViewId="0">
      <pane xSplit="2" ySplit="3" topLeftCell="D4" activePane="bottomRight" state="frozen"/>
      <selection pane="bottomRight" activeCell="G5" sqref="G5"/>
      <selection pane="bottomLeft" activeCell="A5" sqref="A5:XFD27"/>
      <selection pane="topRight" activeCell="A5" sqref="A5:XFD27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National Grid</v>
      </c>
      <c r="B1" s="49"/>
      <c r="C1" s="49"/>
      <c r="D1" s="50" t="s">
        <v>26</v>
      </c>
      <c r="E1" s="50"/>
      <c r="F1" s="50"/>
      <c r="G1" s="48" t="s">
        <v>27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SUM(C4:C77)</f>
        <v>21790</v>
      </c>
      <c r="D2" s="5">
        <f>SUM(D4:D77)</f>
        <v>22066.9</v>
      </c>
      <c r="E2" s="5">
        <f>C2-D2</f>
        <v>-276.90000000000146</v>
      </c>
      <c r="F2" s="6">
        <f>IFERROR(E2/D2, 0)</f>
        <v>-1.2548205683625767E-2</v>
      </c>
      <c r="G2" s="5">
        <f>SUM(G4:G77)</f>
        <v>16572</v>
      </c>
      <c r="H2" s="7">
        <f>C2-G2</f>
        <v>5218</v>
      </c>
      <c r="I2" s="6">
        <f>IFERROR(H2/G2, 0)</f>
        <v>0.31486845281197201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NGRID - PIII - Electric St, Athol</v>
      </c>
      <c r="B4" s="27" t="str" cm="1">
        <f t="array" ref="B4">Sites[State]</f>
        <v>MA</v>
      </c>
      <c r="C4" s="23">
        <v>21790</v>
      </c>
      <c r="D4" s="12">
        <v>22066.9</v>
      </c>
      <c r="E4" s="12">
        <f>IF(AND(ISNUMBER(C4),ISNUMBER(D4)), C4-D4, "")</f>
        <v>-276.90000000000146</v>
      </c>
      <c r="F4" s="13">
        <f>IFERROR(E4/D4, "")</f>
        <v>-1.2548205683625767E-2</v>
      </c>
      <c r="G4" s="14">
        <v>16572</v>
      </c>
      <c r="H4" s="14">
        <f>IF(AND(ISNUMBER(C4),ISNUMBER(G4)), C4-G4, "")</f>
        <v>5218</v>
      </c>
      <c r="I4" s="15">
        <f>IFERROR(H4/G4, "")</f>
        <v>0.31486845281197201</v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9"/>
  <sheetViews>
    <sheetView workbookViewId="0">
      <pane xSplit="2" ySplit="3" topLeftCell="G4" activePane="bottomRight" state="frozen"/>
      <selection pane="bottomRight" activeCell="G5" sqref="G5"/>
      <selection pane="bottomLeft" activeCell="A5" sqref="A5:XFD27"/>
      <selection pane="topRight" activeCell="A5" sqref="A5:XFD27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National Grid</v>
      </c>
      <c r="B1" s="49"/>
      <c r="C1" s="49"/>
      <c r="D1" s="50" t="s">
        <v>28</v>
      </c>
      <c r="E1" s="50"/>
      <c r="F1" s="50"/>
      <c r="G1" s="48" t="s">
        <v>29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SUM(C4:C77)</f>
        <v>27300.375</v>
      </c>
      <c r="D2" s="5">
        <f>SUM(D4:D77)</f>
        <v>27014.799999999999</v>
      </c>
      <c r="E2" s="5">
        <f>C2-D2</f>
        <v>285.57500000000073</v>
      </c>
      <c r="F2" s="6">
        <f>IFERROR(E2/D2, 0)</f>
        <v>1.0571057346343513E-2</v>
      </c>
      <c r="G2" s="5">
        <f>SUM(G4:G77)</f>
        <v>18108.77</v>
      </c>
      <c r="H2" s="7">
        <f>C2-G2</f>
        <v>9191.6049999999996</v>
      </c>
      <c r="I2" s="6">
        <f>IFERROR(H2/G2, 0)</f>
        <v>0.50757754391932741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NGRID - PIII - Electric St, Athol</v>
      </c>
      <c r="B4" s="27" t="str" cm="1">
        <f t="array" ref="B4">Sites[State]</f>
        <v>MA</v>
      </c>
      <c r="C4" s="23">
        <v>27300.375</v>
      </c>
      <c r="D4" s="12">
        <v>27014.799999999999</v>
      </c>
      <c r="E4" s="12">
        <f>IF(AND(ISNUMBER(C4),ISNUMBER(D4)), C4-D4, "")</f>
        <v>285.57500000000073</v>
      </c>
      <c r="F4" s="13">
        <f>IFERROR(E4/D4, "")</f>
        <v>1.0571057346343513E-2</v>
      </c>
      <c r="G4" s="14">
        <v>18108.77</v>
      </c>
      <c r="H4" s="14">
        <f>IF(AND(ISNUMBER(C4),ISNUMBER(G4)), C4-G4, "")</f>
        <v>9191.6049999999996</v>
      </c>
      <c r="I4" s="15">
        <f>IFERROR(H4/G4, "")</f>
        <v>0.50757754391932741</v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9"/>
  <sheetViews>
    <sheetView workbookViewId="0">
      <pane xSplit="2" ySplit="3" topLeftCell="D6" activePane="bottomRight" state="frozen"/>
      <selection pane="bottomRight" activeCell="D6" sqref="D6"/>
      <selection pane="bottomLeft" activeCell="A5" sqref="A5:XFD27"/>
      <selection pane="topRight" activeCell="A5" sqref="A5:XFD27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National Grid</v>
      </c>
      <c r="B1" s="49"/>
      <c r="C1" s="49"/>
      <c r="D1" s="50" t="s">
        <v>30</v>
      </c>
      <c r="E1" s="50"/>
      <c r="F1" s="50"/>
      <c r="G1" s="48" t="s">
        <v>31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SUM(C4:C77)</f>
        <v>28244.799999999999</v>
      </c>
      <c r="D2" s="5">
        <f>SUM(D4:D77)</f>
        <v>28250.3</v>
      </c>
      <c r="E2" s="5">
        <f>C2-D2</f>
        <v>-5.5</v>
      </c>
      <c r="F2" s="6">
        <f>IFERROR(E2/D2, 0)</f>
        <v>-1.9468819800143715E-4</v>
      </c>
      <c r="G2" s="5">
        <f>SUM(G4:G77)</f>
        <v>17812.3</v>
      </c>
      <c r="H2" s="7">
        <f>C2-G2</f>
        <v>10432.5</v>
      </c>
      <c r="I2" s="6">
        <f>IFERROR(H2/G2, 0)</f>
        <v>0.58569078670357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NGRID - PIII - Electric St, Athol</v>
      </c>
      <c r="B4" s="27" t="str" cm="1">
        <f t="array" ref="B4">Sites[State]</f>
        <v>MA</v>
      </c>
      <c r="C4" s="23">
        <v>28244.799999999999</v>
      </c>
      <c r="D4" s="12">
        <v>28250.3</v>
      </c>
      <c r="E4" s="12">
        <f>IF(AND(ISNUMBER(C4),ISNUMBER(D4)), C4-D4, "")</f>
        <v>-5.5</v>
      </c>
      <c r="F4" s="13">
        <f>IFERROR(E4/D4, "")</f>
        <v>-1.9468819800143715E-4</v>
      </c>
      <c r="G4" s="14">
        <v>17812.3</v>
      </c>
      <c r="H4" s="14">
        <f>IF(AND(ISNUMBER(C4),ISNUMBER(G4)), C4-G4, "")</f>
        <v>10432.5</v>
      </c>
      <c r="I4" s="15">
        <f>IFERROR(H4/G4, "")</f>
        <v>0.58569078670357</v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9"/>
  <sheetViews>
    <sheetView workbookViewId="0">
      <pane xSplit="2" ySplit="3" topLeftCell="C4" activePane="bottomRight" state="frozen"/>
      <selection pane="bottomRight" activeCell="F9" sqref="F9"/>
      <selection pane="bottomLeft" activeCell="A5" sqref="A5:XFD27"/>
      <selection pane="topRight" activeCell="A5" sqref="A5:XFD27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National Grid</v>
      </c>
      <c r="B1" s="49"/>
      <c r="C1" s="49"/>
      <c r="D1" s="50" t="s">
        <v>32</v>
      </c>
      <c r="E1" s="50"/>
      <c r="F1" s="50"/>
      <c r="G1" s="48" t="s">
        <v>33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SUM(C4:C77)</f>
        <v>28628.125</v>
      </c>
      <c r="D2" s="5">
        <f>SUM(D4:D77)</f>
        <v>29157.34</v>
      </c>
      <c r="E2" s="5">
        <f>C2-D2</f>
        <v>-529.21500000000015</v>
      </c>
      <c r="F2" s="6">
        <f>IFERROR(E2/D2, 0)</f>
        <v>-1.815031823890657E-2</v>
      </c>
      <c r="G2" s="5">
        <f>SUM(G4:G77)</f>
        <v>19033.810000000001</v>
      </c>
      <c r="H2" s="7">
        <f>C2-G2</f>
        <v>9594.3149999999987</v>
      </c>
      <c r="I2" s="6">
        <f>IFERROR(H2/G2, 0)</f>
        <v>0.5040669734540798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NGRID - PIII - Electric St, Athol</v>
      </c>
      <c r="B4" s="27" t="str" cm="1">
        <f t="array" ref="B4">Sites[State]</f>
        <v>MA</v>
      </c>
      <c r="C4" s="23">
        <v>28628.125</v>
      </c>
      <c r="D4" s="12">
        <v>29157.34</v>
      </c>
      <c r="E4" s="12">
        <f>IF(AND(ISNUMBER(C4),ISNUMBER(D4)), C4-D4, "")</f>
        <v>-529.21500000000015</v>
      </c>
      <c r="F4" s="13">
        <f>IFERROR(E4/D4, "")</f>
        <v>-1.815031823890657E-2</v>
      </c>
      <c r="G4" s="14">
        <v>19033.810000000001</v>
      </c>
      <c r="H4" s="14">
        <f>IF(AND(ISNUMBER(C4),ISNUMBER(G4)), C4-G4, "")</f>
        <v>9594.3149999999987</v>
      </c>
      <c r="I4" s="15">
        <f>IFERROR(H4/G4, "")</f>
        <v>0.5040669734540798</v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7 I4:I77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9"/>
  <sheetViews>
    <sheetView workbookViewId="0">
      <pane xSplit="2" ySplit="3" topLeftCell="G4" activePane="bottomRight" state="frozen"/>
      <selection pane="bottomRight" activeCell="G4" sqref="G4"/>
      <selection pane="bottomLeft" activeCell="A5" sqref="A5:XFD27"/>
      <selection pane="topRight" activeCell="A5" sqref="A5:XFD27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National Grid</v>
      </c>
      <c r="B1" s="49"/>
      <c r="C1" s="49"/>
      <c r="D1" s="50" t="s">
        <v>34</v>
      </c>
      <c r="E1" s="50"/>
      <c r="F1" s="50"/>
      <c r="G1" s="48" t="s">
        <v>35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SUM(C4:C77)</f>
        <v>22650.125</v>
      </c>
      <c r="D2" s="5">
        <f>SUM(D4:D77)</f>
        <v>23832.06</v>
      </c>
      <c r="E2" s="5">
        <f>C2-D2</f>
        <v>-1181.9350000000013</v>
      </c>
      <c r="F2" s="6">
        <f>IFERROR(E2/D2, 0)</f>
        <v>-4.9594327976683561E-2</v>
      </c>
      <c r="G2" s="5">
        <f>SUM(G4:G77)</f>
        <v>17748.07</v>
      </c>
      <c r="H2" s="7">
        <f>C2-G2</f>
        <v>4902.0550000000003</v>
      </c>
      <c r="I2" s="6">
        <f>IFERROR(H2/G2, 0)</f>
        <v>0.27620214479658917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NGRID - PIII - Electric St, Athol</v>
      </c>
      <c r="B4" s="27" t="str" cm="1">
        <f t="array" ref="B4">Sites[State]</f>
        <v>MA</v>
      </c>
      <c r="C4" s="23">
        <v>22650.125</v>
      </c>
      <c r="D4" s="12">
        <v>23832.06</v>
      </c>
      <c r="E4" s="12">
        <f>IF(AND(ISNUMBER(C4),ISNUMBER(D4)), C4-D4, "")</f>
        <v>-1181.9350000000013</v>
      </c>
      <c r="F4" s="13">
        <f>IFERROR(E4/D4, "")</f>
        <v>-4.9594327976683561E-2</v>
      </c>
      <c r="G4" s="14">
        <v>17748.07</v>
      </c>
      <c r="H4" s="14">
        <f>IF(AND(ISNUMBER(C4),ISNUMBER(G4)), C4-G4, "")</f>
        <v>4902.0550000000003</v>
      </c>
      <c r="I4" s="15">
        <f>IFERROR(H4/G4, "")</f>
        <v>0.27620214479658917</v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9"/>
  <sheetViews>
    <sheetView workbookViewId="0">
      <pane xSplit="2" ySplit="3" topLeftCell="D4" activePane="bottomRight" state="frozen"/>
      <selection pane="bottomRight" activeCell="E23" sqref="E23"/>
      <selection pane="bottomLeft" activeCell="A5" sqref="A5:XFD27"/>
      <selection pane="topRight" activeCell="A5" sqref="A5:XFD27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National Grid</v>
      </c>
      <c r="B1" s="49"/>
      <c r="C1" s="49"/>
      <c r="D1" s="50" t="s">
        <v>36</v>
      </c>
      <c r="E1" s="50"/>
      <c r="F1" s="50"/>
      <c r="G1" s="48" t="s">
        <v>37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SUM(C4:C77)</f>
        <v>20703.75</v>
      </c>
      <c r="D2" s="5">
        <f>SUM(D4:D77)</f>
        <v>22219.95</v>
      </c>
      <c r="E2" s="5">
        <f>C2-D2</f>
        <v>-1516.2000000000007</v>
      </c>
      <c r="F2" s="6">
        <f>IFERROR(E2/D2, 0)</f>
        <v>-6.8235977128661432E-2</v>
      </c>
      <c r="G2" s="5">
        <f>SUM(G4:G77)</f>
        <v>15646.66</v>
      </c>
      <c r="H2" s="7">
        <f>C2-G2</f>
        <v>5057.09</v>
      </c>
      <c r="I2" s="6">
        <f>IFERROR(H2/G2, 0)</f>
        <v>0.32320571930367248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NGRID - PIII - Electric St, Athol</v>
      </c>
      <c r="B4" s="27" t="str" cm="1">
        <f t="array" ref="B4">Sites[State]</f>
        <v>MA</v>
      </c>
      <c r="C4" s="23">
        <v>20703.75</v>
      </c>
      <c r="D4" s="12">
        <v>22219.95</v>
      </c>
      <c r="E4" s="12">
        <f>IF(AND(ISNUMBER(C4),ISNUMBER(D4)), C4-D4, "")</f>
        <v>-1516.2000000000007</v>
      </c>
      <c r="F4" s="13">
        <f>IFERROR(E4/D4, "")</f>
        <v>-6.8235977128661432E-2</v>
      </c>
      <c r="G4" s="14">
        <v>15646.66</v>
      </c>
      <c r="H4" s="14">
        <f>IF(AND(ISNUMBER(C4),ISNUMBER(G4)), C4-G4, "")</f>
        <v>5057.09</v>
      </c>
      <c r="I4" s="15">
        <f>IFERROR(H4/G4, "")</f>
        <v>0.32320571930367248</v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9"/>
  <sheetViews>
    <sheetView workbookViewId="0">
      <pane xSplit="2" ySplit="3" topLeftCell="G4" activePane="bottomRight" state="frozen"/>
      <selection pane="bottomRight" activeCell="G8" sqref="G8"/>
      <selection pane="bottomLeft" activeCell="A5" sqref="A5:XFD27"/>
      <selection pane="topRight" activeCell="A5" sqref="A5:XFD27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National Grid</v>
      </c>
      <c r="B1" s="49"/>
      <c r="C1" s="49"/>
      <c r="D1" s="50" t="s">
        <v>38</v>
      </c>
      <c r="E1" s="50"/>
      <c r="F1" s="50"/>
      <c r="G1" s="48" t="s">
        <v>39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SUM(C4:C77)</f>
        <v>17900.625</v>
      </c>
      <c r="D2" s="5">
        <f>SUM(D4:D77)</f>
        <v>19514.757000000001</v>
      </c>
      <c r="E2" s="5">
        <f>C2-D2</f>
        <v>-1614.1320000000014</v>
      </c>
      <c r="F2" s="6">
        <f>IFERROR(E2/D2, 0)</f>
        <v>-8.2713405040093571E-2</v>
      </c>
      <c r="G2" s="5">
        <f>SUM(G4:G77)</f>
        <v>14288.892</v>
      </c>
      <c r="H2" s="7">
        <f>C2-G2</f>
        <v>3611.7330000000002</v>
      </c>
      <c r="I2" s="6">
        <f>IFERROR(H2/G2, 0)</f>
        <v>0.25276508493450717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NGRID - PIII - Electric St, Athol</v>
      </c>
      <c r="B4" s="27" t="str" cm="1">
        <f t="array" ref="B4">Sites[State]</f>
        <v>MA</v>
      </c>
      <c r="C4" s="23">
        <v>17900.625</v>
      </c>
      <c r="D4" s="12">
        <v>19514.757000000001</v>
      </c>
      <c r="E4" s="12">
        <f>IF(AND(ISNUMBER(C4),ISNUMBER(D4)), C4-D4, "")</f>
        <v>-1614.1320000000014</v>
      </c>
      <c r="F4" s="13">
        <f>IFERROR(E4/D4, "")</f>
        <v>-8.2713405040093571E-2</v>
      </c>
      <c r="G4" s="14">
        <v>14288.892</v>
      </c>
      <c r="H4" s="14">
        <f>IF(AND(ISNUMBER(C4),ISNUMBER(G4)), C4-G4, "")</f>
        <v>3611.7330000000002</v>
      </c>
      <c r="I4" s="15">
        <f>IFERROR(H4/G4, "")</f>
        <v>0.25276508493450717</v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9"/>
  <sheetViews>
    <sheetView workbookViewId="0">
      <pane xSplit="2" ySplit="3" topLeftCell="C4" activePane="bottomRight" state="frozen"/>
      <selection pane="bottomRight" activeCell="G7" sqref="G7"/>
      <selection pane="bottomLeft" activeCell="A5" sqref="A5:XFD27"/>
      <selection pane="topRight" activeCell="A5" sqref="A5:XFD27"/>
    </sheetView>
  </sheetViews>
  <sheetFormatPr defaultRowHeight="13.9"/>
  <cols>
    <col min="1" max="1" width="52.28515625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National Grid</v>
      </c>
      <c r="B1" s="49"/>
      <c r="C1" s="49"/>
      <c r="D1" s="50" t="s">
        <v>40</v>
      </c>
      <c r="E1" s="50"/>
      <c r="F1" s="50"/>
      <c r="G1" s="48" t="s">
        <v>41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SUM(C4:C77)</f>
        <v>11732.875</v>
      </c>
      <c r="D2" s="5">
        <f>SUM(D4:D77)</f>
        <v>13238.96</v>
      </c>
      <c r="E2" s="5">
        <f>C2-D2</f>
        <v>-1506.0849999999991</v>
      </c>
      <c r="F2" s="6">
        <f>IFERROR(E2/D2, 0)</f>
        <v>-0.11376157945941368</v>
      </c>
      <c r="G2" s="5">
        <f>SUM(G4:G77)</f>
        <v>10293.642</v>
      </c>
      <c r="H2" s="7">
        <f>C2-G2</f>
        <v>1439.2330000000002</v>
      </c>
      <c r="I2" s="6">
        <f>IFERROR(H2/G2, 0)</f>
        <v>0.13981766608941715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NGRID - PIII - Electric St, Athol</v>
      </c>
      <c r="B4" s="27" t="str" cm="1">
        <f t="array" ref="B4">Sites[State]</f>
        <v>MA</v>
      </c>
      <c r="C4" s="23">
        <v>11732.875</v>
      </c>
      <c r="D4" s="12">
        <v>13238.96</v>
      </c>
      <c r="E4" s="12">
        <f>IF(AND(ISNUMBER(C4),ISNUMBER(D4)), C4-D4, "")</f>
        <v>-1506.0849999999991</v>
      </c>
      <c r="F4" s="13">
        <f>IFERROR(E4/D4, "")</f>
        <v>-0.11376157945941368</v>
      </c>
      <c r="G4" s="14">
        <v>10293.642</v>
      </c>
      <c r="H4" s="14">
        <f>IF(AND(ISNUMBER(C4),ISNUMBER(G4)), C4-G4, "")</f>
        <v>1439.2330000000002</v>
      </c>
      <c r="I4" s="15">
        <f>IFERROR(H4/G4, "")</f>
        <v>0.13981766608941715</v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9"/>
  <sheetViews>
    <sheetView tabSelected="1" workbookViewId="0">
      <pane xSplit="2" ySplit="3" topLeftCell="C4" activePane="bottomRight" state="frozen"/>
      <selection pane="bottomRight" activeCell="J17" sqref="J17"/>
      <selection pane="bottomLeft" activeCell="A5" sqref="A5:XFD27"/>
      <selection pane="topRight" activeCell="A5" sqref="A5:XFD27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National Grid</v>
      </c>
      <c r="B1" s="49"/>
      <c r="C1" s="49"/>
      <c r="D1" s="50" t="s">
        <v>42</v>
      </c>
      <c r="E1" s="50"/>
      <c r="F1" s="50"/>
      <c r="G1" s="48" t="s">
        <v>43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SUM(C4:C77)</f>
        <v>5374</v>
      </c>
      <c r="D2" s="5">
        <f>SUM(D4:D77)</f>
        <v>9956.4349999999995</v>
      </c>
      <c r="E2" s="5">
        <f>C2-D2</f>
        <v>-4582.4349999999995</v>
      </c>
      <c r="F2" s="6">
        <f>IFERROR(E2/D2, 0)</f>
        <v>-0.46024857290787313</v>
      </c>
      <c r="G2" s="5">
        <f>SUM(G4:G77)</f>
        <v>9734</v>
      </c>
      <c r="H2" s="7">
        <f>C2-G2</f>
        <v>-4360</v>
      </c>
      <c r="I2" s="6">
        <f>IFERROR(H2/G2, 0)</f>
        <v>-0.44791452640230123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NGRID - PIII - Electric St, Athol</v>
      </c>
      <c r="B4" s="27" t="str" cm="1">
        <f t="array" ref="B4">Sites[State]</f>
        <v>MA</v>
      </c>
      <c r="C4" s="23">
        <v>5374</v>
      </c>
      <c r="D4" s="12">
        <v>9956.4349999999995</v>
      </c>
      <c r="E4" s="12"/>
      <c r="F4" s="13">
        <f>IFERROR(E4/D4, "")</f>
        <v>0</v>
      </c>
      <c r="G4" s="14">
        <v>9734</v>
      </c>
      <c r="H4" s="14">
        <f>IF(AND(ISNUMBER(C4),ISNUMBER(G4)), C4-G4, "")</f>
        <v>-4360</v>
      </c>
      <c r="I4" s="15">
        <f>IFERROR(H4/G4, "")</f>
        <v>-0.44791452640230123</v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E12" sqref="E12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44</v>
      </c>
      <c r="B1" t="s">
        <v>45</v>
      </c>
    </row>
    <row r="3" spans="1:12" ht="13.15">
      <c r="A3" t="s">
        <v>46</v>
      </c>
      <c r="B3" t="s">
        <v>3</v>
      </c>
      <c r="C3" t="s">
        <v>4</v>
      </c>
      <c r="D3" t="s">
        <v>47</v>
      </c>
      <c r="E3" s="2" t="s">
        <v>48</v>
      </c>
    </row>
    <row r="4" spans="1:12" ht="14.45">
      <c r="A4" s="44" t="s">
        <v>49</v>
      </c>
      <c r="B4" t="s">
        <v>50</v>
      </c>
      <c r="C4" s="42" t="s">
        <v>51</v>
      </c>
      <c r="D4" s="46" t="s">
        <v>52</v>
      </c>
      <c r="E4" s="47" t="s">
        <v>53</v>
      </c>
      <c r="G4" s="3"/>
    </row>
    <row r="5" spans="1:12" ht="14.45">
      <c r="A5" s="44"/>
      <c r="C5" s="42"/>
      <c r="D5" s="41"/>
      <c r="G5" s="3"/>
    </row>
    <row r="6" spans="1:12" ht="14.45">
      <c r="A6" s="44"/>
      <c r="C6" s="42"/>
      <c r="D6" s="41"/>
      <c r="G6" s="3"/>
    </row>
    <row r="7" spans="1:12" ht="12.75" customHeight="1">
      <c r="A7" s="44"/>
      <c r="C7" s="42"/>
      <c r="D7" s="41"/>
    </row>
    <row r="8" spans="1:12" ht="12.75" customHeight="1">
      <c r="A8" s="44"/>
      <c r="C8" s="42"/>
      <c r="D8" s="41"/>
    </row>
    <row r="9" spans="1:12" ht="12.75" customHeight="1">
      <c r="A9" s="44"/>
      <c r="C9" s="42"/>
      <c r="D9" s="41"/>
    </row>
    <row r="10" spans="1:12" ht="12.75" customHeight="1">
      <c r="A10" s="44"/>
      <c r="C10" s="42"/>
      <c r="D10" s="41"/>
      <c r="K10" s="38"/>
      <c r="L10" s="38"/>
    </row>
    <row r="11" spans="1:12" ht="12.75" customHeight="1">
      <c r="A11" s="44"/>
      <c r="C11" s="42"/>
      <c r="D11" s="41"/>
      <c r="K11" s="38"/>
      <c r="L11" s="38"/>
    </row>
    <row r="12" spans="1:12" ht="12.75" customHeight="1">
      <c r="A12" s="44"/>
      <c r="C12" s="42"/>
      <c r="D12" s="41"/>
      <c r="K12" s="38"/>
      <c r="L12" s="38"/>
    </row>
    <row r="13" spans="1:12" ht="12.75" customHeight="1">
      <c r="A13" s="44"/>
      <c r="C13" s="42"/>
      <c r="D13" s="41"/>
      <c r="K13" s="38"/>
      <c r="L13" s="38"/>
    </row>
    <row r="14" spans="1:12" ht="12.75" customHeight="1">
      <c r="A14" s="44"/>
      <c r="C14" s="42"/>
      <c r="D14" s="41"/>
      <c r="K14" s="38"/>
      <c r="L14" s="38"/>
    </row>
    <row r="15" spans="1:12" ht="12.75" customHeight="1">
      <c r="A15" s="44"/>
      <c r="C15" s="42"/>
      <c r="D15" s="41"/>
      <c r="K15" s="38"/>
      <c r="L15" s="38"/>
    </row>
    <row r="16" spans="1:12" ht="12.75" customHeight="1">
      <c r="A16" s="44"/>
      <c r="C16" s="42"/>
      <c r="D16" s="41"/>
      <c r="K16" s="38"/>
      <c r="L16" s="38"/>
    </row>
    <row r="17" spans="1:12" ht="12.75" customHeight="1">
      <c r="A17" s="44"/>
      <c r="C17" s="42"/>
      <c r="D17" s="41"/>
      <c r="K17" s="38"/>
      <c r="L17" s="38"/>
    </row>
    <row r="18" spans="1:12" ht="12.75" customHeight="1">
      <c r="A18" s="44"/>
      <c r="C18" s="42"/>
      <c r="D18" s="41"/>
      <c r="K18" s="38"/>
      <c r="L18" s="38"/>
    </row>
    <row r="19" spans="1:12" ht="12.75" customHeight="1">
      <c r="A19" s="44"/>
      <c r="C19" s="42"/>
      <c r="D19" s="41"/>
      <c r="K19" s="38"/>
      <c r="L19" s="38"/>
    </row>
    <row r="20" spans="1:12" ht="12.75" customHeight="1">
      <c r="A20" s="44"/>
      <c r="C20" s="42"/>
      <c r="D20" s="41"/>
      <c r="K20" s="38"/>
      <c r="L20" s="38"/>
    </row>
    <row r="21" spans="1:12" ht="12.75" customHeight="1">
      <c r="A21" s="44"/>
      <c r="C21" s="42"/>
      <c r="D21" s="41"/>
      <c r="K21" s="38"/>
      <c r="L21" s="38"/>
    </row>
    <row r="22" spans="1:12" ht="12.75" customHeight="1">
      <c r="A22" s="44"/>
      <c r="C22" s="42"/>
      <c r="D22" s="41"/>
      <c r="K22" s="38"/>
      <c r="L22" s="38"/>
    </row>
    <row r="23" spans="1:12" ht="12.75" customHeight="1">
      <c r="A23" s="44"/>
      <c r="C23" s="42"/>
      <c r="D23" s="41"/>
      <c r="K23" s="38"/>
      <c r="L23" s="38"/>
    </row>
    <row r="24" spans="1:12" ht="12.75" customHeight="1">
      <c r="A24" s="44"/>
      <c r="C24" s="42"/>
      <c r="D24" s="41"/>
      <c r="K24" s="38"/>
      <c r="L24" s="38"/>
    </row>
    <row r="25" spans="1:12" ht="12.75" customHeight="1">
      <c r="A25" s="44"/>
      <c r="C25" s="42"/>
      <c r="D25" s="41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2.xml>��
</file>

<file path=customXml/item13.xml>��
</file>

<file path=customXml/item14.xml>��
</file>

<file path=customXml/item1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BF5C6359-7763-4C37-8EAF-2BC4698CB285}"/>
</file>

<file path=customXml/itemProps2.xml><?xml version="1.0" encoding="utf-8"?>
<ds:datastoreItem xmlns:ds="http://schemas.openxmlformats.org/officeDocument/2006/customXml" ds:itemID="{1954BBA4-0359-438C-B0EC-A756015F7C02}"/>
</file>

<file path=customXml/itemProps3.xml><?xml version="1.0" encoding="utf-8"?>
<ds:datastoreItem xmlns:ds="http://schemas.openxmlformats.org/officeDocument/2006/customXml" ds:itemID="{C0BCDC1E-6052-4E48-9BAF-94A40814E7C2}"/>
</file>

<file path=customXml/itemProps4.xml><?xml version="1.0" encoding="utf-8"?>
<ds:datastoreItem xmlns:ds="http://schemas.openxmlformats.org/officeDocument/2006/customXml" ds:itemID="{89CF5C07-45EB-4100-9AFB-2C6AF77FA787}"/>
</file>

<file path=customXml/itemProps5.xml><?xml version="1.0" encoding="utf-8"?>
<ds:datastoreItem xmlns:ds="http://schemas.openxmlformats.org/officeDocument/2006/customXml" ds:itemID="{14966E4F-347B-477B-B74C-9DAC05405806}"/>
</file>

<file path=customXml/itemProps6.xml><?xml version="1.0" encoding="utf-8"?>
<ds:datastoreItem xmlns:ds="http://schemas.openxmlformats.org/officeDocument/2006/customXml" ds:itemID="{CB52044A-5C0B-44A2-99D0-C1C315EC302D}"/>
</file>

<file path=customXml/itemProps7.xml><?xml version="1.0" encoding="utf-8"?>
<ds:datastoreItem xmlns:ds="http://schemas.openxmlformats.org/officeDocument/2006/customXml" ds:itemID="{078388C9-06F9-42F4-B857-EF76B5CAF1FD}"/>
</file>

<file path=customXml/itemProps8.xml><?xml version="1.0" encoding="utf-8"?>
<ds:datastoreItem xmlns:ds="http://schemas.openxmlformats.org/officeDocument/2006/customXml" ds:itemID="{2BC74AAC-D69B-4AF1-9649-B21EF3C1C463}"/>
</file>

<file path=customXml/itemProps9.xml><?xml version="1.0" encoding="utf-8"?>
<ds:datastoreItem xmlns:ds="http://schemas.openxmlformats.org/officeDocument/2006/customXml" ds:itemID="{66B09F59-6532-46F8-924A-9A02417E070D}"/>
</file>

<file path=customXml/itemProps10.xml><?xml version="1.0" encoding="utf-8"?>
<ds:datastoreItem xmlns:ds="http://schemas.openxmlformats.org/officeDocument/2006/customXml" ds:itemID="{3AEAA9D8-2182-46BA-A58E-96C72DDA1C54}"/>
</file>

<file path=customXml/itemProps11.xml><?xml version="1.0" encoding="utf-8"?>
<ds:datastoreItem xmlns:ds="http://schemas.openxmlformats.org/officeDocument/2006/customXml" ds:itemID="{8D732231-4216-4543-A665-18A2886B0EB7}"/>
</file>

<file path=customXml/itemProps12.xml><?xml version="1.0" encoding="utf-8"?>
<ds:datastoreItem xmlns:ds="http://schemas.openxmlformats.org/officeDocument/2006/customXml" ds:itemID="{BE26B669-A686-459C-A5E9-FEC3409C4C81}"/>
</file>

<file path=customXml/itemProps13.xml><?xml version="1.0" encoding="utf-8"?>
<ds:datastoreItem xmlns:ds="http://schemas.openxmlformats.org/officeDocument/2006/customXml" ds:itemID="{D3A7101F-9A85-4235-8B03-415370C100B2}"/>
</file>

<file path=customXml/itemProps14.xml><?xml version="1.0" encoding="utf-8"?>
<ds:datastoreItem xmlns:ds="http://schemas.openxmlformats.org/officeDocument/2006/customXml" ds:itemID="{0389C43E-394D-44C0-87DC-4780FCFCFB40}"/>
</file>

<file path=customXml/itemProps15.xml><?xml version="1.0" encoding="utf-8"?>
<ds:datastoreItem xmlns:ds="http://schemas.openxmlformats.org/officeDocument/2006/customXml" ds:itemID="{7946C510-7D04-49D8-9B25-EEC04582A1CA}"/>
</file>

<file path=customXml/itemProps16.xml><?xml version="1.0" encoding="utf-8"?>
<ds:datastoreItem xmlns:ds="http://schemas.openxmlformats.org/officeDocument/2006/customXml" ds:itemID="{E20E8303-6A67-485C-B6F4-303542CC295C}"/>
</file>

<file path=customXml/itemProps17.xml><?xml version="1.0" encoding="utf-8"?>
<ds:datastoreItem xmlns:ds="http://schemas.openxmlformats.org/officeDocument/2006/customXml" ds:itemID="{E3716282-BFD2-4ED2-BA47-BFA1123827F0}"/>
</file>

<file path=customXml/itemProps18.xml><?xml version="1.0" encoding="utf-8"?>
<ds:datastoreItem xmlns:ds="http://schemas.openxmlformats.org/officeDocument/2006/customXml" ds:itemID="{98A113BB-8B7A-453C-8BD4-8EFC67FC2D3F}"/>
</file>

<file path=customXml/itemProps19.xml><?xml version="1.0" encoding="utf-8"?>
<ds:datastoreItem xmlns:ds="http://schemas.openxmlformats.org/officeDocument/2006/customXml" ds:itemID="{F6B2B1A1-1C4B-4AC9-9A7D-7A102DD1C942}"/>
</file>

<file path=customXml/itemProps20.xml><?xml version="1.0" encoding="utf-8"?>
<ds:datastoreItem xmlns:ds="http://schemas.openxmlformats.org/officeDocument/2006/customXml" ds:itemID="{F12EFA50-0068-4A8C-85A0-F1B26389EB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Deepak Mogilipalem[AGS]</cp:lastModifiedBy>
  <cp:revision/>
  <dcterms:created xsi:type="dcterms:W3CDTF">2021-01-01T16:39:53Z</dcterms:created>
  <dcterms:modified xsi:type="dcterms:W3CDTF">2025-01-13T05:28:47Z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