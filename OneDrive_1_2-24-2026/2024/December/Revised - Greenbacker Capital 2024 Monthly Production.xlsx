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22" documentId="13_ncr:1_{B383D3A7-4687-4107-8182-F53FEDDB9125}" xr6:coauthVersionLast="47" xr6:coauthVersionMax="47" xr10:uidLastSave="{83B25225-4BA0-4978-86AA-BB7A65C719C3}"/>
  <bookViews>
    <workbookView xWindow="43005" yWindow="-195" windowWidth="29190" windowHeight="15870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26" l="1"/>
  <c r="E36" i="26"/>
  <c r="H35" i="32"/>
  <c r="H36" i="32"/>
  <c r="H35" i="28"/>
  <c r="H36" i="28"/>
  <c r="E33" i="4"/>
  <c r="F33" i="4"/>
  <c r="H33" i="4"/>
  <c r="I33" i="4"/>
  <c r="F32" i="19"/>
  <c r="I33" i="20"/>
  <c r="I34" i="20"/>
  <c r="I35" i="20"/>
  <c r="I36" i="20"/>
  <c r="F33" i="20"/>
  <c r="F34" i="20"/>
  <c r="F35" i="20"/>
  <c r="F36" i="20"/>
  <c r="I34" i="19"/>
  <c r="I35" i="19"/>
  <c r="I36" i="19"/>
  <c r="H35" i="19"/>
  <c r="H36" i="19"/>
  <c r="F35" i="19"/>
  <c r="F36" i="19"/>
  <c r="E35" i="19"/>
  <c r="E36" i="19"/>
  <c r="F33" i="26"/>
  <c r="F35" i="26"/>
  <c r="F36" i="26"/>
  <c r="E33" i="26"/>
  <c r="H33" i="26"/>
  <c r="I33" i="26"/>
  <c r="E34" i="26"/>
  <c r="F34" i="26" s="1"/>
  <c r="H34" i="26"/>
  <c r="I34" i="26"/>
  <c r="E35" i="26"/>
  <c r="H35" i="26"/>
  <c r="I35" i="26"/>
  <c r="E35" i="27"/>
  <c r="F35" i="27" s="1"/>
  <c r="H35" i="27"/>
  <c r="I35" i="27"/>
  <c r="E36" i="27"/>
  <c r="F36" i="27" s="1"/>
  <c r="H36" i="27"/>
  <c r="I35" i="28"/>
  <c r="I36" i="28"/>
  <c r="F35" i="28"/>
  <c r="F36" i="28"/>
  <c r="E35" i="28"/>
  <c r="E36" i="28"/>
  <c r="E33" i="28"/>
  <c r="F33" i="28" s="1"/>
  <c r="H33" i="28"/>
  <c r="I33" i="28" s="1"/>
  <c r="E34" i="28"/>
  <c r="F34" i="28" s="1"/>
  <c r="H34" i="28"/>
  <c r="I34" i="28" s="1"/>
  <c r="H35" i="31"/>
  <c r="I35" i="31" s="1"/>
  <c r="H36" i="31"/>
  <c r="I36" i="31" s="1"/>
  <c r="E35" i="31"/>
  <c r="F35" i="31" s="1"/>
  <c r="E36" i="31"/>
  <c r="F36" i="31" s="1"/>
  <c r="E32" i="32"/>
  <c r="F32" i="32" s="1"/>
  <c r="H32" i="32"/>
  <c r="I32" i="32" s="1"/>
  <c r="E33" i="32"/>
  <c r="F33" i="32" s="1"/>
  <c r="H33" i="32"/>
  <c r="I33" i="32"/>
  <c r="E34" i="32"/>
  <c r="F34" i="32" s="1"/>
  <c r="H34" i="32"/>
  <c r="I34" i="32" s="1"/>
  <c r="E35" i="32"/>
  <c r="F35" i="32" s="1"/>
  <c r="E36" i="32"/>
  <c r="F36" i="32" s="1"/>
  <c r="E33" i="33"/>
  <c r="F33" i="33" s="1"/>
  <c r="H33" i="33"/>
  <c r="I33" i="33"/>
  <c r="E34" i="33"/>
  <c r="F34" i="33"/>
  <c r="H34" i="33"/>
  <c r="I34" i="33" s="1"/>
  <c r="E35" i="33"/>
  <c r="F35" i="33" s="1"/>
  <c r="H35" i="33"/>
  <c r="I35" i="33"/>
  <c r="E36" i="33"/>
  <c r="F36" i="33"/>
  <c r="H36" i="33"/>
  <c r="I36" i="33" s="1"/>
  <c r="H36" i="20"/>
  <c r="E35" i="20"/>
  <c r="E36" i="20"/>
  <c r="H35" i="20"/>
  <c r="H34" i="31"/>
  <c r="I34" i="31"/>
  <c r="E34" i="31"/>
  <c r="F34" i="31" s="1"/>
  <c r="H34" i="27"/>
  <c r="I34" i="27" s="1"/>
  <c r="E34" i="27"/>
  <c r="F34" i="27" s="1"/>
  <c r="H34" i="19"/>
  <c r="H34" i="18" s="1"/>
  <c r="E34" i="19"/>
  <c r="F34" i="19" s="1"/>
  <c r="H34" i="20"/>
  <c r="E34" i="20"/>
  <c r="H35" i="1"/>
  <c r="C33" i="30"/>
  <c r="D33" i="30"/>
  <c r="G33" i="30"/>
  <c r="C34" i="30"/>
  <c r="D34" i="30"/>
  <c r="G34" i="30"/>
  <c r="C35" i="30"/>
  <c r="D35" i="30"/>
  <c r="G35" i="30"/>
  <c r="C36" i="30"/>
  <c r="D36" i="30"/>
  <c r="G36" i="30"/>
  <c r="H36" i="30"/>
  <c r="C34" i="29"/>
  <c r="D34" i="29"/>
  <c r="G34" i="29"/>
  <c r="C35" i="29"/>
  <c r="D35" i="29"/>
  <c r="G35" i="29"/>
  <c r="C36" i="29"/>
  <c r="D36" i="29"/>
  <c r="G36" i="29"/>
  <c r="C33" i="18"/>
  <c r="E33" i="18" s="1"/>
  <c r="F33" i="18" s="1"/>
  <c r="D33" i="18"/>
  <c r="G33" i="18"/>
  <c r="I33" i="18" s="1"/>
  <c r="H33" i="18"/>
  <c r="C34" i="18"/>
  <c r="D34" i="18"/>
  <c r="G34" i="18"/>
  <c r="C35" i="18"/>
  <c r="D35" i="18"/>
  <c r="G35" i="18"/>
  <c r="H35" i="18"/>
  <c r="C36" i="18"/>
  <c r="D36" i="18"/>
  <c r="G36" i="18"/>
  <c r="H36" i="18"/>
  <c r="C34" i="1"/>
  <c r="D34" i="1"/>
  <c r="G34" i="1"/>
  <c r="H34" i="1"/>
  <c r="I34" i="1" s="1"/>
  <c r="C35" i="1"/>
  <c r="D35" i="1"/>
  <c r="G35" i="1"/>
  <c r="C36" i="1"/>
  <c r="D36" i="1"/>
  <c r="G36" i="1"/>
  <c r="H36" i="1"/>
  <c r="E30" i="33"/>
  <c r="F30" i="33" s="1"/>
  <c r="H30" i="33"/>
  <c r="I30" i="33" s="1"/>
  <c r="I16" i="33"/>
  <c r="I18" i="33"/>
  <c r="E29" i="33"/>
  <c r="F29" i="33"/>
  <c r="H29" i="33"/>
  <c r="I29" i="33"/>
  <c r="E31" i="33"/>
  <c r="F31" i="33"/>
  <c r="H31" i="33"/>
  <c r="I31" i="33"/>
  <c r="E32" i="33"/>
  <c r="F32" i="33"/>
  <c r="H32" i="33"/>
  <c r="I32" i="33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5" i="30"/>
  <c r="G4" i="30"/>
  <c r="D26" i="30"/>
  <c r="D26" i="34" s="1"/>
  <c r="D27" i="30"/>
  <c r="D27" i="34" s="1"/>
  <c r="D28" i="30"/>
  <c r="D28" i="34" s="1"/>
  <c r="D29" i="30"/>
  <c r="D29" i="34" s="1"/>
  <c r="D30" i="30"/>
  <c r="D30" i="34" s="1"/>
  <c r="D31" i="30"/>
  <c r="D31" i="34" s="1"/>
  <c r="D32" i="30"/>
  <c r="C26" i="30"/>
  <c r="C27" i="30"/>
  <c r="C28" i="30"/>
  <c r="C29" i="30"/>
  <c r="C30" i="30"/>
  <c r="C31" i="30"/>
  <c r="C32" i="30"/>
  <c r="I26" i="29"/>
  <c r="I27" i="29"/>
  <c r="I28" i="29"/>
  <c r="I29" i="29"/>
  <c r="I30" i="29"/>
  <c r="I31" i="29"/>
  <c r="I32" i="29"/>
  <c r="G33" i="29"/>
  <c r="H26" i="29"/>
  <c r="H27" i="29"/>
  <c r="H28" i="29"/>
  <c r="H29" i="29"/>
  <c r="H30" i="29"/>
  <c r="H31" i="29"/>
  <c r="H32" i="29"/>
  <c r="H33" i="29"/>
  <c r="F27" i="29"/>
  <c r="F29" i="29"/>
  <c r="F31" i="29"/>
  <c r="E26" i="29"/>
  <c r="F26" i="29" s="1"/>
  <c r="E27" i="29"/>
  <c r="E28" i="29"/>
  <c r="F28" i="29" s="1"/>
  <c r="E29" i="29"/>
  <c r="E30" i="29"/>
  <c r="F30" i="29" s="1"/>
  <c r="E31" i="29"/>
  <c r="E32" i="29"/>
  <c r="F32" i="29" s="1"/>
  <c r="D26" i="29"/>
  <c r="D27" i="29"/>
  <c r="D28" i="29"/>
  <c r="D29" i="29"/>
  <c r="D30" i="29"/>
  <c r="D31" i="29"/>
  <c r="D32" i="29"/>
  <c r="D33" i="29"/>
  <c r="C26" i="29"/>
  <c r="C27" i="29"/>
  <c r="C28" i="29"/>
  <c r="C29" i="29"/>
  <c r="C30" i="29"/>
  <c r="C31" i="29"/>
  <c r="C32" i="29"/>
  <c r="C33" i="29"/>
  <c r="E33" i="29" s="1"/>
  <c r="F33" i="29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4" i="29"/>
  <c r="H28" i="26"/>
  <c r="H29" i="26"/>
  <c r="H30" i="26"/>
  <c r="H27" i="26"/>
  <c r="D1" i="26"/>
  <c r="H26" i="26"/>
  <c r="E27" i="27"/>
  <c r="I35" i="18" l="1"/>
  <c r="I33" i="29"/>
  <c r="H36" i="29"/>
  <c r="I36" i="29" s="1"/>
  <c r="I36" i="27"/>
  <c r="H35" i="29"/>
  <c r="I35" i="29" s="1"/>
  <c r="H35" i="30"/>
  <c r="I35" i="30" s="1"/>
  <c r="I36" i="30"/>
  <c r="E36" i="29"/>
  <c r="F36" i="29" s="1"/>
  <c r="E36" i="18"/>
  <c r="F36" i="18" s="1"/>
  <c r="E36" i="30"/>
  <c r="F36" i="30" s="1"/>
  <c r="E35" i="30"/>
  <c r="F35" i="30" s="1"/>
  <c r="E35" i="29"/>
  <c r="F35" i="29" s="1"/>
  <c r="I36" i="18"/>
  <c r="G35" i="34"/>
  <c r="E35" i="18"/>
  <c r="F35" i="18" s="1"/>
  <c r="E33" i="30"/>
  <c r="F33" i="30" s="1"/>
  <c r="H34" i="30"/>
  <c r="I34" i="30" s="1"/>
  <c r="E34" i="30"/>
  <c r="F34" i="30" s="1"/>
  <c r="H34" i="29"/>
  <c r="I34" i="29" s="1"/>
  <c r="E34" i="29"/>
  <c r="F34" i="29" s="1"/>
  <c r="G34" i="34"/>
  <c r="E34" i="18"/>
  <c r="F34" i="18" s="1"/>
  <c r="D35" i="34"/>
  <c r="E36" i="1"/>
  <c r="F36" i="1" s="1"/>
  <c r="I36" i="1"/>
  <c r="I35" i="1"/>
  <c r="E35" i="1"/>
  <c r="F35" i="1" s="1"/>
  <c r="G36" i="34"/>
  <c r="D34" i="34"/>
  <c r="E34" i="1"/>
  <c r="F34" i="1" s="1"/>
  <c r="D36" i="34"/>
  <c r="C35" i="34"/>
  <c r="I34" i="18"/>
  <c r="C34" i="34"/>
  <c r="C36" i="34"/>
  <c r="E32" i="30"/>
  <c r="F32" i="30" s="1"/>
  <c r="C31" i="34"/>
  <c r="E31" i="30"/>
  <c r="F31" i="30" s="1"/>
  <c r="C30" i="34"/>
  <c r="E30" i="30"/>
  <c r="F30" i="30" s="1"/>
  <c r="C29" i="34"/>
  <c r="E29" i="30"/>
  <c r="F29" i="30" s="1"/>
  <c r="C28" i="34"/>
  <c r="E28" i="30"/>
  <c r="F28" i="30" s="1"/>
  <c r="C27" i="34"/>
  <c r="E27" i="30"/>
  <c r="F27" i="30" s="1"/>
  <c r="C26" i="34"/>
  <c r="E26" i="30"/>
  <c r="F26" i="30" s="1"/>
  <c r="E10" i="27"/>
  <c r="I26" i="21"/>
  <c r="I27" i="21"/>
  <c r="I28" i="21"/>
  <c r="I29" i="21"/>
  <c r="I30" i="21"/>
  <c r="I31" i="21"/>
  <c r="I22" i="21"/>
  <c r="I20" i="2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4" i="18"/>
  <c r="E4" i="20"/>
  <c r="E10" i="21"/>
  <c r="E11" i="21"/>
  <c r="E12" i="21"/>
  <c r="E13" i="21"/>
  <c r="E14" i="21"/>
  <c r="E7" i="21"/>
  <c r="F7" i="21"/>
  <c r="E26" i="34"/>
  <c r="F26" i="34" s="1"/>
  <c r="E27" i="34"/>
  <c r="F27" i="34" s="1"/>
  <c r="E28" i="34"/>
  <c r="F28" i="34" s="1"/>
  <c r="E31" i="34"/>
  <c r="F31" i="34" s="1"/>
  <c r="D26" i="18"/>
  <c r="D27" i="18"/>
  <c r="D28" i="18"/>
  <c r="D29" i="18"/>
  <c r="D30" i="18"/>
  <c r="D31" i="18"/>
  <c r="D32" i="18"/>
  <c r="C26" i="18"/>
  <c r="E26" i="18" s="1"/>
  <c r="F26" i="18" s="1"/>
  <c r="C27" i="18"/>
  <c r="C28" i="18"/>
  <c r="C29" i="18"/>
  <c r="C30" i="18"/>
  <c r="C31" i="18"/>
  <c r="C32" i="18"/>
  <c r="E32" i="18" s="1"/>
  <c r="F32" i="18" s="1"/>
  <c r="D33" i="1"/>
  <c r="D33" i="34" s="1"/>
  <c r="G26" i="1"/>
  <c r="G26" i="34" s="1"/>
  <c r="G27" i="1"/>
  <c r="G27" i="34" s="1"/>
  <c r="G28" i="1"/>
  <c r="G28" i="34" s="1"/>
  <c r="G29" i="1"/>
  <c r="G29" i="34" s="1"/>
  <c r="G30" i="1"/>
  <c r="G30" i="34" s="1"/>
  <c r="G31" i="1"/>
  <c r="G31" i="34" s="1"/>
  <c r="G32" i="1"/>
  <c r="G32" i="34" s="1"/>
  <c r="G33" i="1"/>
  <c r="G33" i="34" s="1"/>
  <c r="C26" i="1"/>
  <c r="C27" i="1"/>
  <c r="C28" i="1"/>
  <c r="C29" i="1"/>
  <c r="C30" i="1"/>
  <c r="C31" i="1"/>
  <c r="C32" i="1"/>
  <c r="C32" i="34" s="1"/>
  <c r="C33" i="1"/>
  <c r="E33" i="1" s="1"/>
  <c r="F33" i="1" s="1"/>
  <c r="D26" i="1"/>
  <c r="D27" i="1"/>
  <c r="D28" i="1"/>
  <c r="D29" i="1"/>
  <c r="E29" i="1" s="1"/>
  <c r="F29" i="1" s="1"/>
  <c r="D30" i="1"/>
  <c r="E30" i="1" s="1"/>
  <c r="F30" i="1" s="1"/>
  <c r="D31" i="1"/>
  <c r="D32" i="1"/>
  <c r="D32" i="34" s="1"/>
  <c r="D25" i="1"/>
  <c r="H4" i="3"/>
  <c r="I4" i="3" s="1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H17" i="3"/>
  <c r="H36" i="34" l="1"/>
  <c r="I36" i="34" s="1"/>
  <c r="H35" i="34"/>
  <c r="I35" i="34" s="1"/>
  <c r="E35" i="34"/>
  <c r="F35" i="34" s="1"/>
  <c r="H34" i="34"/>
  <c r="I34" i="34" s="1"/>
  <c r="E34" i="34"/>
  <c r="F34" i="34" s="1"/>
  <c r="E32" i="34"/>
  <c r="F32" i="34" s="1"/>
  <c r="C33" i="34"/>
  <c r="E33" i="34" s="1"/>
  <c r="F33" i="34" s="1"/>
  <c r="E36" i="34"/>
  <c r="F36" i="34" s="1"/>
  <c r="E30" i="18"/>
  <c r="F30" i="18" s="1"/>
  <c r="E29" i="18"/>
  <c r="F29" i="18" s="1"/>
  <c r="E28" i="18"/>
  <c r="F28" i="18" s="1"/>
  <c r="E27" i="18"/>
  <c r="F27" i="18" s="1"/>
  <c r="E31" i="18"/>
  <c r="F31" i="18" s="1"/>
  <c r="E32" i="1"/>
  <c r="F32" i="1" s="1"/>
  <c r="E31" i="1"/>
  <c r="F31" i="1" s="1"/>
  <c r="E26" i="1"/>
  <c r="F26" i="1" s="1"/>
  <c r="E30" i="34"/>
  <c r="F30" i="34" s="1"/>
  <c r="E29" i="34"/>
  <c r="F29" i="34" s="1"/>
  <c r="E28" i="1"/>
  <c r="F28" i="1" s="1"/>
  <c r="E27" i="1"/>
  <c r="F27" i="1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I29" i="20" l="1"/>
  <c r="I10" i="19"/>
  <c r="I12" i="19"/>
  <c r="I13" i="19"/>
  <c r="I14" i="19"/>
  <c r="I16" i="19"/>
  <c r="I20" i="19"/>
  <c r="I23" i="19"/>
  <c r="I31" i="19"/>
  <c r="I33" i="19"/>
  <c r="I11" i="26"/>
  <c r="I12" i="26"/>
  <c r="I13" i="26"/>
  <c r="I23" i="26"/>
  <c r="I27" i="26"/>
  <c r="I13" i="27"/>
  <c r="I18" i="27"/>
  <c r="I19" i="27"/>
  <c r="I20" i="27"/>
  <c r="I27" i="27"/>
  <c r="I9" i="28"/>
  <c r="I13" i="28"/>
  <c r="I14" i="28"/>
  <c r="I15" i="31"/>
  <c r="I31" i="32"/>
  <c r="I16" i="3"/>
  <c r="I17" i="3"/>
  <c r="I23" i="3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H32" i="4"/>
  <c r="I32" i="4" s="1"/>
  <c r="H8" i="20"/>
  <c r="I8" i="20" s="1"/>
  <c r="H9" i="20"/>
  <c r="I9" i="20" s="1"/>
  <c r="H10" i="20"/>
  <c r="I10" i="20" s="1"/>
  <c r="H11" i="20"/>
  <c r="I11" i="20" s="1"/>
  <c r="H12" i="20"/>
  <c r="I12" i="20" s="1"/>
  <c r="H13" i="20"/>
  <c r="I13" i="20" s="1"/>
  <c r="H14" i="20"/>
  <c r="I14" i="20" s="1"/>
  <c r="H15" i="20"/>
  <c r="I15" i="20" s="1"/>
  <c r="H16" i="20"/>
  <c r="I16" i="20" s="1"/>
  <c r="H17" i="20"/>
  <c r="I17" i="20" s="1"/>
  <c r="H18" i="20"/>
  <c r="I18" i="20" s="1"/>
  <c r="H19" i="20"/>
  <c r="I19" i="20" s="1"/>
  <c r="H20" i="20"/>
  <c r="I20" i="20" s="1"/>
  <c r="H21" i="20"/>
  <c r="I21" i="20" s="1"/>
  <c r="H22" i="20"/>
  <c r="I22" i="20" s="1"/>
  <c r="H23" i="20"/>
  <c r="I23" i="20" s="1"/>
  <c r="H24" i="20"/>
  <c r="I24" i="20" s="1"/>
  <c r="H25" i="20"/>
  <c r="I25" i="20" s="1"/>
  <c r="H26" i="20"/>
  <c r="I26" i="20" s="1"/>
  <c r="H27" i="20"/>
  <c r="I27" i="20" s="1"/>
  <c r="H28" i="20"/>
  <c r="I28" i="20" s="1"/>
  <c r="H29" i="20"/>
  <c r="H30" i="20"/>
  <c r="I30" i="20" s="1"/>
  <c r="H31" i="20"/>
  <c r="I31" i="20" s="1"/>
  <c r="H32" i="20"/>
  <c r="I32" i="20" s="1"/>
  <c r="H33" i="20"/>
  <c r="H8" i="21"/>
  <c r="I8" i="21" s="1"/>
  <c r="H9" i="21"/>
  <c r="I9" i="21" s="1"/>
  <c r="H10" i="21"/>
  <c r="I10" i="21" s="1"/>
  <c r="H11" i="21"/>
  <c r="I11" i="21" s="1"/>
  <c r="H12" i="21"/>
  <c r="I12" i="21" s="1"/>
  <c r="H13" i="21"/>
  <c r="I13" i="21" s="1"/>
  <c r="H14" i="21"/>
  <c r="I14" i="21" s="1"/>
  <c r="H15" i="21"/>
  <c r="I15" i="21" s="1"/>
  <c r="H16" i="21"/>
  <c r="I16" i="21" s="1"/>
  <c r="H17" i="21"/>
  <c r="I17" i="21" s="1"/>
  <c r="H18" i="21"/>
  <c r="I18" i="21" s="1"/>
  <c r="H19" i="21"/>
  <c r="I19" i="21" s="1"/>
  <c r="H20" i="21"/>
  <c r="H21" i="21"/>
  <c r="I21" i="21" s="1"/>
  <c r="H22" i="21"/>
  <c r="H23" i="21"/>
  <c r="I23" i="21" s="1"/>
  <c r="H24" i="21"/>
  <c r="I24" i="21" s="1"/>
  <c r="H25" i="21"/>
  <c r="I25" i="21" s="1"/>
  <c r="H26" i="21"/>
  <c r="H27" i="21"/>
  <c r="H28" i="21"/>
  <c r="H29" i="21"/>
  <c r="H30" i="21"/>
  <c r="H31" i="21"/>
  <c r="H32" i="21"/>
  <c r="I32" i="21" s="1"/>
  <c r="H33" i="21"/>
  <c r="H8" i="19"/>
  <c r="I8" i="19" s="1"/>
  <c r="H9" i="19"/>
  <c r="I9" i="19" s="1"/>
  <c r="H10" i="19"/>
  <c r="H11" i="19"/>
  <c r="I11" i="19" s="1"/>
  <c r="H12" i="19"/>
  <c r="H13" i="19"/>
  <c r="H14" i="19"/>
  <c r="H15" i="19"/>
  <c r="I15" i="19" s="1"/>
  <c r="H16" i="19"/>
  <c r="H17" i="19"/>
  <c r="I17" i="19" s="1"/>
  <c r="H18" i="19"/>
  <c r="I18" i="19" s="1"/>
  <c r="H19" i="19"/>
  <c r="I19" i="19" s="1"/>
  <c r="H20" i="19"/>
  <c r="H21" i="19"/>
  <c r="I21" i="19" s="1"/>
  <c r="H22" i="19"/>
  <c r="I22" i="19" s="1"/>
  <c r="H23" i="19"/>
  <c r="H24" i="19"/>
  <c r="I24" i="19" s="1"/>
  <c r="H25" i="19"/>
  <c r="I25" i="19" s="1"/>
  <c r="H26" i="19"/>
  <c r="I26" i="19" s="1"/>
  <c r="H27" i="19"/>
  <c r="I27" i="19" s="1"/>
  <c r="H28" i="19"/>
  <c r="I28" i="19" s="1"/>
  <c r="H29" i="19"/>
  <c r="I29" i="19" s="1"/>
  <c r="H30" i="19"/>
  <c r="I30" i="19" s="1"/>
  <c r="H31" i="19"/>
  <c r="H32" i="19"/>
  <c r="I32" i="19" s="1"/>
  <c r="H33" i="19"/>
  <c r="H8" i="26"/>
  <c r="I8" i="26" s="1"/>
  <c r="H9" i="26"/>
  <c r="I9" i="26" s="1"/>
  <c r="H10" i="26"/>
  <c r="I10" i="26" s="1"/>
  <c r="H11" i="26"/>
  <c r="H12" i="26"/>
  <c r="H13" i="26"/>
  <c r="H14" i="26"/>
  <c r="I14" i="26" s="1"/>
  <c r="H15" i="26"/>
  <c r="I15" i="26" s="1"/>
  <c r="H16" i="26"/>
  <c r="I16" i="26" s="1"/>
  <c r="H17" i="26"/>
  <c r="I17" i="26" s="1"/>
  <c r="H18" i="26"/>
  <c r="I18" i="26" s="1"/>
  <c r="H19" i="26"/>
  <c r="I19" i="26" s="1"/>
  <c r="H20" i="26"/>
  <c r="I20" i="26" s="1"/>
  <c r="H21" i="26"/>
  <c r="I21" i="26" s="1"/>
  <c r="H22" i="26"/>
  <c r="I22" i="26" s="1"/>
  <c r="H23" i="26"/>
  <c r="H24" i="26"/>
  <c r="I24" i="26" s="1"/>
  <c r="H25" i="26"/>
  <c r="I25" i="26" s="1"/>
  <c r="I26" i="26"/>
  <c r="I28" i="26"/>
  <c r="I29" i="26"/>
  <c r="I30" i="26"/>
  <c r="H31" i="26"/>
  <c r="I31" i="26" s="1"/>
  <c r="H32" i="26"/>
  <c r="I32" i="26" s="1"/>
  <c r="H8" i="27"/>
  <c r="I8" i="27" s="1"/>
  <c r="H9" i="27"/>
  <c r="I9" i="27" s="1"/>
  <c r="H10" i="27"/>
  <c r="I10" i="27" s="1"/>
  <c r="H11" i="27"/>
  <c r="I11" i="27" s="1"/>
  <c r="H12" i="27"/>
  <c r="I12" i="27" s="1"/>
  <c r="H13" i="27"/>
  <c r="H14" i="27"/>
  <c r="I14" i="27" s="1"/>
  <c r="H15" i="27"/>
  <c r="I15" i="27" s="1"/>
  <c r="H16" i="27"/>
  <c r="I16" i="27" s="1"/>
  <c r="H17" i="27"/>
  <c r="I17" i="27" s="1"/>
  <c r="H18" i="27"/>
  <c r="H19" i="27"/>
  <c r="H20" i="27"/>
  <c r="H21" i="27"/>
  <c r="I21" i="27" s="1"/>
  <c r="H22" i="27"/>
  <c r="I22" i="27" s="1"/>
  <c r="H23" i="27"/>
  <c r="I23" i="27" s="1"/>
  <c r="H24" i="27"/>
  <c r="I24" i="27" s="1"/>
  <c r="H25" i="27"/>
  <c r="I25" i="27" s="1"/>
  <c r="H26" i="27"/>
  <c r="I26" i="27" s="1"/>
  <c r="H28" i="27"/>
  <c r="I28" i="27" s="1"/>
  <c r="H29" i="27"/>
  <c r="I29" i="27" s="1"/>
  <c r="H30" i="27"/>
  <c r="I30" i="27" s="1"/>
  <c r="H31" i="27"/>
  <c r="I31" i="27" s="1"/>
  <c r="H32" i="27"/>
  <c r="I32" i="27" s="1"/>
  <c r="H33" i="27"/>
  <c r="I33" i="27" s="1"/>
  <c r="H8" i="28"/>
  <c r="I8" i="28" s="1"/>
  <c r="H9" i="28"/>
  <c r="H10" i="28"/>
  <c r="I10" i="28" s="1"/>
  <c r="H11" i="28"/>
  <c r="I11" i="28" s="1"/>
  <c r="H12" i="28"/>
  <c r="I12" i="28" s="1"/>
  <c r="H13" i="28"/>
  <c r="H14" i="28"/>
  <c r="H15" i="28"/>
  <c r="I15" i="28" s="1"/>
  <c r="H16" i="28"/>
  <c r="I16" i="28" s="1"/>
  <c r="H17" i="28"/>
  <c r="I17" i="28" s="1"/>
  <c r="H18" i="28"/>
  <c r="I18" i="28" s="1"/>
  <c r="H19" i="28"/>
  <c r="I19" i="28" s="1"/>
  <c r="H20" i="28"/>
  <c r="I20" i="28" s="1"/>
  <c r="H21" i="28"/>
  <c r="I21" i="28" s="1"/>
  <c r="H22" i="28"/>
  <c r="I22" i="28" s="1"/>
  <c r="H23" i="28"/>
  <c r="I23" i="28" s="1"/>
  <c r="H24" i="28"/>
  <c r="I24" i="28" s="1"/>
  <c r="H25" i="28"/>
  <c r="I25" i="28" s="1"/>
  <c r="H26" i="28"/>
  <c r="I26" i="28" s="1"/>
  <c r="I27" i="28"/>
  <c r="H28" i="28"/>
  <c r="I28" i="28" s="1"/>
  <c r="H29" i="28"/>
  <c r="I29" i="28" s="1"/>
  <c r="H30" i="28"/>
  <c r="I30" i="28" s="1"/>
  <c r="H31" i="28"/>
  <c r="I31" i="28" s="1"/>
  <c r="H32" i="28"/>
  <c r="I32" i="28" s="1"/>
  <c r="H8" i="31"/>
  <c r="I8" i="31" s="1"/>
  <c r="H9" i="31"/>
  <c r="I9" i="31" s="1"/>
  <c r="H10" i="31"/>
  <c r="I10" i="31" s="1"/>
  <c r="H11" i="31"/>
  <c r="I11" i="31" s="1"/>
  <c r="H12" i="31"/>
  <c r="I12" i="31" s="1"/>
  <c r="H13" i="31"/>
  <c r="I13" i="31" s="1"/>
  <c r="H14" i="31"/>
  <c r="I14" i="31" s="1"/>
  <c r="H15" i="31"/>
  <c r="H16" i="31"/>
  <c r="I16" i="31" s="1"/>
  <c r="H17" i="31"/>
  <c r="I17" i="31" s="1"/>
  <c r="H18" i="31"/>
  <c r="I18" i="31" s="1"/>
  <c r="H19" i="31"/>
  <c r="I19" i="31" s="1"/>
  <c r="H20" i="31"/>
  <c r="I20" i="31" s="1"/>
  <c r="H21" i="31"/>
  <c r="I21" i="31" s="1"/>
  <c r="H22" i="31"/>
  <c r="I22" i="31" s="1"/>
  <c r="H23" i="31"/>
  <c r="I23" i="31" s="1"/>
  <c r="H24" i="31"/>
  <c r="I24" i="31" s="1"/>
  <c r="H25" i="31"/>
  <c r="I25" i="31" s="1"/>
  <c r="H26" i="31"/>
  <c r="I26" i="31" s="1"/>
  <c r="H27" i="31"/>
  <c r="I27" i="31" s="1"/>
  <c r="H28" i="31"/>
  <c r="I28" i="31" s="1"/>
  <c r="H29" i="31"/>
  <c r="I29" i="31" s="1"/>
  <c r="H30" i="31"/>
  <c r="I30" i="31" s="1"/>
  <c r="H31" i="31"/>
  <c r="I31" i="31" s="1"/>
  <c r="H32" i="31"/>
  <c r="I32" i="31" s="1"/>
  <c r="H33" i="31"/>
  <c r="I33" i="31" s="1"/>
  <c r="H8" i="32"/>
  <c r="I8" i="32" s="1"/>
  <c r="H9" i="32"/>
  <c r="I9" i="32" s="1"/>
  <c r="H10" i="32"/>
  <c r="I10" i="32" s="1"/>
  <c r="H11" i="32"/>
  <c r="I11" i="32" s="1"/>
  <c r="H12" i="32"/>
  <c r="I12" i="32" s="1"/>
  <c r="H13" i="32"/>
  <c r="I13" i="32" s="1"/>
  <c r="H14" i="32"/>
  <c r="I14" i="32" s="1"/>
  <c r="H15" i="32"/>
  <c r="I15" i="32" s="1"/>
  <c r="H16" i="32"/>
  <c r="I16" i="32" s="1"/>
  <c r="H17" i="32"/>
  <c r="I17" i="32" s="1"/>
  <c r="H18" i="32"/>
  <c r="I18" i="32" s="1"/>
  <c r="H19" i="32"/>
  <c r="I19" i="32" s="1"/>
  <c r="H20" i="32"/>
  <c r="I20" i="32" s="1"/>
  <c r="H21" i="32"/>
  <c r="I21" i="32" s="1"/>
  <c r="H22" i="32"/>
  <c r="I22" i="32" s="1"/>
  <c r="H23" i="32"/>
  <c r="I23" i="32" s="1"/>
  <c r="H24" i="32"/>
  <c r="I24" i="32" s="1"/>
  <c r="H25" i="32"/>
  <c r="I25" i="32" s="1"/>
  <c r="H26" i="32"/>
  <c r="I26" i="32" s="1"/>
  <c r="H27" i="32"/>
  <c r="H28" i="32"/>
  <c r="H29" i="32"/>
  <c r="H30" i="32"/>
  <c r="H31" i="32"/>
  <c r="H8" i="33"/>
  <c r="I8" i="33" s="1"/>
  <c r="H9" i="33"/>
  <c r="I9" i="33" s="1"/>
  <c r="H10" i="33"/>
  <c r="I10" i="33" s="1"/>
  <c r="H11" i="33"/>
  <c r="I11" i="33" s="1"/>
  <c r="H12" i="33"/>
  <c r="I12" i="33" s="1"/>
  <c r="H13" i="33"/>
  <c r="I13" i="33" s="1"/>
  <c r="H14" i="33"/>
  <c r="I14" i="33" s="1"/>
  <c r="H15" i="33"/>
  <c r="I15" i="33" s="1"/>
  <c r="H16" i="33"/>
  <c r="H17" i="33"/>
  <c r="I17" i="33" s="1"/>
  <c r="H18" i="33"/>
  <c r="H19" i="33"/>
  <c r="I19" i="33" s="1"/>
  <c r="H20" i="33"/>
  <c r="I20" i="33" s="1"/>
  <c r="H21" i="33"/>
  <c r="I21" i="33" s="1"/>
  <c r="H22" i="33"/>
  <c r="I22" i="33" s="1"/>
  <c r="H23" i="33"/>
  <c r="I23" i="33" s="1"/>
  <c r="H24" i="33"/>
  <c r="I24" i="33" s="1"/>
  <c r="H25" i="33"/>
  <c r="I25" i="33" s="1"/>
  <c r="H26" i="33"/>
  <c r="H27" i="33"/>
  <c r="I27" i="33" s="1"/>
  <c r="H28" i="33"/>
  <c r="I28" i="3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H24" i="3"/>
  <c r="I24" i="3" s="1"/>
  <c r="H25" i="3"/>
  <c r="I25" i="3" s="1"/>
  <c r="H26" i="3"/>
  <c r="I26" i="3" s="1"/>
  <c r="H27" i="3"/>
  <c r="H28" i="3"/>
  <c r="H29" i="3"/>
  <c r="H30" i="3"/>
  <c r="H31" i="3"/>
  <c r="I31" i="3" s="1"/>
  <c r="H32" i="3"/>
  <c r="I32" i="3" s="1"/>
  <c r="H33" i="3"/>
  <c r="F12" i="20"/>
  <c r="F13" i="20"/>
  <c r="F14" i="20"/>
  <c r="F16" i="20"/>
  <c r="F19" i="20"/>
  <c r="F21" i="20"/>
  <c r="F23" i="20"/>
  <c r="F24" i="20"/>
  <c r="F25" i="20"/>
  <c r="F26" i="20"/>
  <c r="F31" i="20"/>
  <c r="F11" i="21"/>
  <c r="F12" i="21"/>
  <c r="F13" i="21"/>
  <c r="F14" i="21"/>
  <c r="F11" i="19"/>
  <c r="F12" i="19"/>
  <c r="F14" i="19"/>
  <c r="F17" i="19"/>
  <c r="F33" i="19"/>
  <c r="F11" i="26"/>
  <c r="F21" i="26"/>
  <c r="F25" i="26"/>
  <c r="F26" i="26"/>
  <c r="F11" i="27"/>
  <c r="F12" i="27"/>
  <c r="F14" i="27"/>
  <c r="F16" i="27"/>
  <c r="F18" i="27"/>
  <c r="F24" i="27"/>
  <c r="F25" i="27"/>
  <c r="F26" i="27"/>
  <c r="F27" i="27"/>
  <c r="F12" i="28"/>
  <c r="F13" i="28"/>
  <c r="F24" i="31"/>
  <c r="F25" i="31"/>
  <c r="F26" i="31"/>
  <c r="F31" i="31"/>
  <c r="F14" i="32"/>
  <c r="F21" i="3"/>
  <c r="F25" i="3"/>
  <c r="F26" i="3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11" i="20"/>
  <c r="F11" i="20" s="1"/>
  <c r="E12" i="20"/>
  <c r="E13" i="20"/>
  <c r="E14" i="20"/>
  <c r="E15" i="20"/>
  <c r="F15" i="20" s="1"/>
  <c r="E16" i="20"/>
  <c r="E17" i="20"/>
  <c r="F17" i="20" s="1"/>
  <c r="E18" i="20"/>
  <c r="F18" i="20" s="1"/>
  <c r="E19" i="20"/>
  <c r="E20" i="20"/>
  <c r="F20" i="20" s="1"/>
  <c r="E21" i="20"/>
  <c r="E22" i="20"/>
  <c r="F22" i="20" s="1"/>
  <c r="E23" i="20"/>
  <c r="E24" i="20"/>
  <c r="E25" i="20"/>
  <c r="E26" i="20"/>
  <c r="E27" i="20"/>
  <c r="F27" i="20" s="1"/>
  <c r="E28" i="20"/>
  <c r="F28" i="20" s="1"/>
  <c r="E29" i="20"/>
  <c r="F29" i="20" s="1"/>
  <c r="E30" i="20"/>
  <c r="F30" i="20" s="1"/>
  <c r="E31" i="20"/>
  <c r="E32" i="20"/>
  <c r="F32" i="20" s="1"/>
  <c r="E33" i="20"/>
  <c r="E15" i="21"/>
  <c r="F15" i="21" s="1"/>
  <c r="E16" i="21"/>
  <c r="F16" i="21" s="1"/>
  <c r="E17" i="21"/>
  <c r="F17" i="21" s="1"/>
  <c r="E18" i="21"/>
  <c r="F18" i="21" s="1"/>
  <c r="E19" i="21"/>
  <c r="F19" i="21" s="1"/>
  <c r="E20" i="21"/>
  <c r="F20" i="21" s="1"/>
  <c r="E21" i="21"/>
  <c r="F21" i="21" s="1"/>
  <c r="E22" i="21"/>
  <c r="F22" i="21" s="1"/>
  <c r="E23" i="21"/>
  <c r="F23" i="21" s="1"/>
  <c r="E24" i="21"/>
  <c r="F24" i="21" s="1"/>
  <c r="E25" i="21"/>
  <c r="F25" i="21" s="1"/>
  <c r="E26" i="21"/>
  <c r="F26" i="21" s="1"/>
  <c r="E27" i="21"/>
  <c r="F27" i="21" s="1"/>
  <c r="E28" i="21"/>
  <c r="F28" i="21" s="1"/>
  <c r="E29" i="21"/>
  <c r="F29" i="21" s="1"/>
  <c r="E30" i="21"/>
  <c r="F30" i="21" s="1"/>
  <c r="E31" i="21"/>
  <c r="F31" i="21" s="1"/>
  <c r="E32" i="21"/>
  <c r="F32" i="21" s="1"/>
  <c r="E33" i="21"/>
  <c r="F33" i="21" s="1"/>
  <c r="E11" i="19"/>
  <c r="E12" i="19"/>
  <c r="E13" i="19"/>
  <c r="F13" i="19" s="1"/>
  <c r="E14" i="19"/>
  <c r="E15" i="19"/>
  <c r="F15" i="19" s="1"/>
  <c r="E16" i="19"/>
  <c r="F16" i="19" s="1"/>
  <c r="E17" i="19"/>
  <c r="E18" i="19"/>
  <c r="F18" i="19" s="1"/>
  <c r="E19" i="19"/>
  <c r="F19" i="19" s="1"/>
  <c r="E20" i="19"/>
  <c r="F20" i="19" s="1"/>
  <c r="E21" i="19"/>
  <c r="F21" i="19" s="1"/>
  <c r="E22" i="19"/>
  <c r="F22" i="19" s="1"/>
  <c r="E23" i="19"/>
  <c r="F23" i="19" s="1"/>
  <c r="E24" i="19"/>
  <c r="F24" i="19" s="1"/>
  <c r="E25" i="19"/>
  <c r="F25" i="19" s="1"/>
  <c r="E26" i="19"/>
  <c r="F26" i="19" s="1"/>
  <c r="E27" i="19"/>
  <c r="F27" i="19" s="1"/>
  <c r="E28" i="19"/>
  <c r="F28" i="19" s="1"/>
  <c r="E29" i="19"/>
  <c r="F29" i="19" s="1"/>
  <c r="E30" i="19"/>
  <c r="F30" i="19" s="1"/>
  <c r="E31" i="19"/>
  <c r="F31" i="19" s="1"/>
  <c r="E32" i="19"/>
  <c r="E33" i="19"/>
  <c r="E11" i="26"/>
  <c r="E12" i="26"/>
  <c r="F12" i="26" s="1"/>
  <c r="E13" i="26"/>
  <c r="F13" i="26" s="1"/>
  <c r="E14" i="26"/>
  <c r="F14" i="26" s="1"/>
  <c r="E15" i="26"/>
  <c r="F15" i="26" s="1"/>
  <c r="E16" i="26"/>
  <c r="F16" i="26" s="1"/>
  <c r="E17" i="26"/>
  <c r="F17" i="26" s="1"/>
  <c r="E18" i="26"/>
  <c r="F18" i="26" s="1"/>
  <c r="E19" i="26"/>
  <c r="F19" i="26" s="1"/>
  <c r="E20" i="26"/>
  <c r="F20" i="26" s="1"/>
  <c r="E21" i="26"/>
  <c r="E22" i="26"/>
  <c r="F22" i="26" s="1"/>
  <c r="E23" i="26"/>
  <c r="F23" i="26" s="1"/>
  <c r="E24" i="26"/>
  <c r="F24" i="26" s="1"/>
  <c r="E25" i="26"/>
  <c r="E26" i="26"/>
  <c r="E27" i="26"/>
  <c r="F27" i="26" s="1"/>
  <c r="E28" i="26"/>
  <c r="F28" i="26" s="1"/>
  <c r="E29" i="26"/>
  <c r="F29" i="26" s="1"/>
  <c r="E30" i="26"/>
  <c r="F30" i="26" s="1"/>
  <c r="E31" i="26"/>
  <c r="F31" i="26" s="1"/>
  <c r="E32" i="26"/>
  <c r="F32" i="26" s="1"/>
  <c r="E11" i="27"/>
  <c r="E12" i="27"/>
  <c r="E13" i="27"/>
  <c r="F13" i="27" s="1"/>
  <c r="E14" i="27"/>
  <c r="E15" i="27"/>
  <c r="F15" i="27" s="1"/>
  <c r="E16" i="27"/>
  <c r="E17" i="27"/>
  <c r="F17" i="27" s="1"/>
  <c r="E18" i="27"/>
  <c r="E19" i="27"/>
  <c r="F19" i="27" s="1"/>
  <c r="E20" i="27"/>
  <c r="F20" i="27" s="1"/>
  <c r="E21" i="27"/>
  <c r="F21" i="27" s="1"/>
  <c r="E22" i="27"/>
  <c r="F22" i="27" s="1"/>
  <c r="E23" i="27"/>
  <c r="F23" i="27" s="1"/>
  <c r="E24" i="27"/>
  <c r="E25" i="27"/>
  <c r="E26" i="27"/>
  <c r="E28" i="27"/>
  <c r="F28" i="27" s="1"/>
  <c r="E29" i="27"/>
  <c r="F29" i="27" s="1"/>
  <c r="E30" i="27"/>
  <c r="F30" i="27" s="1"/>
  <c r="E31" i="27"/>
  <c r="F31" i="27" s="1"/>
  <c r="E32" i="27"/>
  <c r="F32" i="27" s="1"/>
  <c r="E33" i="27"/>
  <c r="F33" i="27" s="1"/>
  <c r="E11" i="28"/>
  <c r="F11" i="28" s="1"/>
  <c r="E12" i="28"/>
  <c r="E13" i="28"/>
  <c r="E14" i="28"/>
  <c r="F14" i="28" s="1"/>
  <c r="E15" i="28"/>
  <c r="F15" i="28" s="1"/>
  <c r="E16" i="28"/>
  <c r="F16" i="28" s="1"/>
  <c r="E17" i="28"/>
  <c r="F17" i="28" s="1"/>
  <c r="E18" i="28"/>
  <c r="F18" i="28" s="1"/>
  <c r="E19" i="28"/>
  <c r="F19" i="28" s="1"/>
  <c r="E20" i="28"/>
  <c r="F20" i="28" s="1"/>
  <c r="E21" i="28"/>
  <c r="F21" i="28" s="1"/>
  <c r="E22" i="28"/>
  <c r="F22" i="28" s="1"/>
  <c r="E23" i="28"/>
  <c r="F23" i="28" s="1"/>
  <c r="E24" i="28"/>
  <c r="F24" i="28" s="1"/>
  <c r="E25" i="28"/>
  <c r="F25" i="28" s="1"/>
  <c r="E26" i="28"/>
  <c r="F26" i="28" s="1"/>
  <c r="E27" i="28"/>
  <c r="F27" i="28" s="1"/>
  <c r="E28" i="28"/>
  <c r="F28" i="28" s="1"/>
  <c r="E29" i="28"/>
  <c r="F29" i="28" s="1"/>
  <c r="E30" i="28"/>
  <c r="F30" i="28" s="1"/>
  <c r="E31" i="28"/>
  <c r="F31" i="28" s="1"/>
  <c r="E32" i="28"/>
  <c r="F32" i="28" s="1"/>
  <c r="E11" i="31"/>
  <c r="F11" i="31" s="1"/>
  <c r="E12" i="31"/>
  <c r="F12" i="31" s="1"/>
  <c r="E13" i="31"/>
  <c r="F13" i="31" s="1"/>
  <c r="E14" i="31"/>
  <c r="F14" i="31" s="1"/>
  <c r="E15" i="31"/>
  <c r="F15" i="31" s="1"/>
  <c r="E16" i="31"/>
  <c r="F16" i="31" s="1"/>
  <c r="E17" i="31"/>
  <c r="F17" i="31" s="1"/>
  <c r="E18" i="31"/>
  <c r="F18" i="31" s="1"/>
  <c r="E19" i="31"/>
  <c r="F19" i="31" s="1"/>
  <c r="E20" i="31"/>
  <c r="F20" i="31" s="1"/>
  <c r="E21" i="31"/>
  <c r="F21" i="31" s="1"/>
  <c r="E22" i="31"/>
  <c r="F22" i="31" s="1"/>
  <c r="E23" i="31"/>
  <c r="F23" i="31" s="1"/>
  <c r="E24" i="31"/>
  <c r="E25" i="31"/>
  <c r="E26" i="31"/>
  <c r="E27" i="31"/>
  <c r="F27" i="31" s="1"/>
  <c r="E28" i="31"/>
  <c r="F28" i="31" s="1"/>
  <c r="E29" i="31"/>
  <c r="F29" i="31" s="1"/>
  <c r="E30" i="31"/>
  <c r="F30" i="31" s="1"/>
  <c r="E31" i="31"/>
  <c r="E32" i="31"/>
  <c r="F32" i="31" s="1"/>
  <c r="E33" i="31"/>
  <c r="F33" i="31" s="1"/>
  <c r="E11" i="32"/>
  <c r="F11" i="32" s="1"/>
  <c r="E12" i="32"/>
  <c r="F12" i="32" s="1"/>
  <c r="E13" i="32"/>
  <c r="F13" i="32" s="1"/>
  <c r="E14" i="32"/>
  <c r="E15" i="32"/>
  <c r="F15" i="32" s="1"/>
  <c r="E16" i="32"/>
  <c r="F16" i="32" s="1"/>
  <c r="E17" i="32"/>
  <c r="F17" i="32" s="1"/>
  <c r="E18" i="32"/>
  <c r="F18" i="32" s="1"/>
  <c r="E19" i="32"/>
  <c r="F19" i="32" s="1"/>
  <c r="E20" i="32"/>
  <c r="F20" i="32" s="1"/>
  <c r="E21" i="32"/>
  <c r="F21" i="32" s="1"/>
  <c r="E22" i="32"/>
  <c r="F22" i="32" s="1"/>
  <c r="E23" i="32"/>
  <c r="F23" i="32" s="1"/>
  <c r="E24" i="32"/>
  <c r="F24" i="32" s="1"/>
  <c r="E25" i="32"/>
  <c r="F25" i="32" s="1"/>
  <c r="E26" i="32"/>
  <c r="F26" i="32" s="1"/>
  <c r="E27" i="32"/>
  <c r="F27" i="32" s="1"/>
  <c r="E28" i="32"/>
  <c r="F28" i="32" s="1"/>
  <c r="E29" i="32"/>
  <c r="F29" i="32" s="1"/>
  <c r="E30" i="32"/>
  <c r="F30" i="32" s="1"/>
  <c r="E31" i="32"/>
  <c r="F31" i="32" s="1"/>
  <c r="E11" i="33"/>
  <c r="F11" i="33" s="1"/>
  <c r="E12" i="33"/>
  <c r="F12" i="33" s="1"/>
  <c r="E13" i="33"/>
  <c r="F13" i="33" s="1"/>
  <c r="E14" i="33"/>
  <c r="F14" i="33" s="1"/>
  <c r="E15" i="33"/>
  <c r="F15" i="33" s="1"/>
  <c r="E16" i="33"/>
  <c r="F16" i="33" s="1"/>
  <c r="E17" i="33"/>
  <c r="F17" i="33" s="1"/>
  <c r="E18" i="33"/>
  <c r="F18" i="33" s="1"/>
  <c r="E19" i="33"/>
  <c r="F19" i="33" s="1"/>
  <c r="E20" i="33"/>
  <c r="F20" i="33" s="1"/>
  <c r="E21" i="33"/>
  <c r="F21" i="33" s="1"/>
  <c r="E22" i="33"/>
  <c r="F22" i="33" s="1"/>
  <c r="E23" i="33"/>
  <c r="F23" i="33" s="1"/>
  <c r="E24" i="33"/>
  <c r="F24" i="33" s="1"/>
  <c r="E25" i="33"/>
  <c r="F25" i="33" s="1"/>
  <c r="E26" i="33"/>
  <c r="F26" i="33" s="1"/>
  <c r="E27" i="33"/>
  <c r="F27" i="33" s="1"/>
  <c r="E28" i="33"/>
  <c r="F28" i="3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9" i="3"/>
  <c r="F19" i="3" s="1"/>
  <c r="E20" i="3"/>
  <c r="F20" i="3" s="1"/>
  <c r="E21" i="3"/>
  <c r="E22" i="3"/>
  <c r="F22" i="3" s="1"/>
  <c r="E23" i="3"/>
  <c r="F23" i="3" s="1"/>
  <c r="E24" i="3"/>
  <c r="F24" i="3" s="1"/>
  <c r="E25" i="3"/>
  <c r="E26" i="3"/>
  <c r="E27" i="3"/>
  <c r="F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29" i="72"/>
  <c r="E30" i="72"/>
  <c r="F30" i="72" s="1"/>
  <c r="E31" i="72"/>
  <c r="F31" i="72" s="1"/>
  <c r="E32" i="72"/>
  <c r="E33" i="72"/>
  <c r="F33" i="72" s="1"/>
  <c r="H32" i="72"/>
  <c r="I32" i="72" s="1"/>
  <c r="H33" i="72"/>
  <c r="I33" i="72" s="1"/>
  <c r="I26" i="72"/>
  <c r="I27" i="72"/>
  <c r="H26" i="72"/>
  <c r="H27" i="72"/>
  <c r="H28" i="72"/>
  <c r="I28" i="72" s="1"/>
  <c r="H29" i="72"/>
  <c r="I29" i="72" s="1"/>
  <c r="H30" i="72"/>
  <c r="I30" i="72" s="1"/>
  <c r="H31" i="72"/>
  <c r="I31" i="72" s="1"/>
  <c r="F25" i="72"/>
  <c r="F26" i="72"/>
  <c r="F27" i="72"/>
  <c r="F28" i="72"/>
  <c r="F29" i="72"/>
  <c r="F32" i="72"/>
  <c r="E13" i="72"/>
  <c r="F13" i="72"/>
  <c r="H13" i="72"/>
  <c r="I13" i="72"/>
  <c r="E26" i="72"/>
  <c r="E27" i="72"/>
  <c r="E28" i="72"/>
  <c r="H33" i="30" l="1"/>
  <c r="I33" i="30" s="1"/>
  <c r="H32" i="30"/>
  <c r="H31" i="30"/>
  <c r="H26" i="30"/>
  <c r="I26" i="33"/>
  <c r="H30" i="30"/>
  <c r="I30" i="32"/>
  <c r="I29" i="32"/>
  <c r="H29" i="30"/>
  <c r="H28" i="30"/>
  <c r="I28" i="32"/>
  <c r="I27" i="32"/>
  <c r="H27" i="30"/>
  <c r="I33" i="21"/>
  <c r="H30" i="18"/>
  <c r="I30" i="18" s="1"/>
  <c r="H29" i="18"/>
  <c r="I29" i="18" s="1"/>
  <c r="H32" i="18"/>
  <c r="I32" i="18" s="1"/>
  <c r="H28" i="18"/>
  <c r="I28" i="18" s="1"/>
  <c r="H27" i="18"/>
  <c r="I27" i="18" s="1"/>
  <c r="H26" i="18"/>
  <c r="I26" i="18" s="1"/>
  <c r="H31" i="18"/>
  <c r="I31" i="18" s="1"/>
  <c r="H31" i="1"/>
  <c r="I31" i="1" s="1"/>
  <c r="I31" i="4"/>
  <c r="H32" i="1"/>
  <c r="I32" i="1" s="1"/>
  <c r="H26" i="1"/>
  <c r="I26" i="1" s="1"/>
  <c r="H30" i="1"/>
  <c r="I30" i="1" s="1"/>
  <c r="I30" i="3"/>
  <c r="H29" i="1"/>
  <c r="I29" i="1" s="1"/>
  <c r="I29" i="3"/>
  <c r="H28" i="1"/>
  <c r="I28" i="1" s="1"/>
  <c r="I28" i="3"/>
  <c r="H33" i="1"/>
  <c r="I33" i="3"/>
  <c r="H27" i="1"/>
  <c r="I27" i="1" s="1"/>
  <c r="I27" i="3"/>
  <c r="C18" i="29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25" i="29"/>
  <c r="D25" i="29"/>
  <c r="H25" i="29"/>
  <c r="I25" i="29" s="1"/>
  <c r="C17" i="18"/>
  <c r="D17" i="18"/>
  <c r="H17" i="18"/>
  <c r="I17" i="18" s="1"/>
  <c r="C18" i="18"/>
  <c r="D18" i="18"/>
  <c r="H18" i="18"/>
  <c r="I18" i="18" s="1"/>
  <c r="C19" i="18"/>
  <c r="D19" i="18"/>
  <c r="H19" i="18"/>
  <c r="I19" i="18" s="1"/>
  <c r="C20" i="18"/>
  <c r="D20" i="18"/>
  <c r="H20" i="18"/>
  <c r="I20" i="18" s="1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25" i="18"/>
  <c r="D25" i="18"/>
  <c r="H25" i="18"/>
  <c r="I25" i="18" s="1"/>
  <c r="I33" i="1" l="1"/>
  <c r="H33" i="34"/>
  <c r="I33" i="34" s="1"/>
  <c r="H26" i="34"/>
  <c r="I26" i="34" s="1"/>
  <c r="I26" i="30"/>
  <c r="H31" i="34"/>
  <c r="I31" i="34" s="1"/>
  <c r="I31" i="30"/>
  <c r="H32" i="34"/>
  <c r="I32" i="34" s="1"/>
  <c r="I32" i="30"/>
  <c r="H30" i="34"/>
  <c r="I30" i="34" s="1"/>
  <c r="I30" i="30"/>
  <c r="H29" i="34"/>
  <c r="I29" i="34" s="1"/>
  <c r="I29" i="30"/>
  <c r="H28" i="34"/>
  <c r="I28" i="34" s="1"/>
  <c r="I28" i="30"/>
  <c r="H27" i="34"/>
  <c r="I27" i="34" s="1"/>
  <c r="I27" i="30"/>
  <c r="E18" i="29"/>
  <c r="F18" i="29" s="1"/>
  <c r="E17" i="18"/>
  <c r="F17" i="18" s="1"/>
  <c r="E20" i="18"/>
  <c r="F20" i="18" s="1"/>
  <c r="E23" i="29"/>
  <c r="F23" i="29" s="1"/>
  <c r="E20" i="29"/>
  <c r="F20" i="29" s="1"/>
  <c r="E25" i="29"/>
  <c r="F25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5" i="18"/>
  <c r="F25" i="18" s="1"/>
  <c r="E23" i="18"/>
  <c r="F23" i="18" s="1"/>
  <c r="E21" i="18"/>
  <c r="F21" i="18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25" i="1"/>
  <c r="G25" i="1"/>
  <c r="G25" i="34" s="1"/>
  <c r="C25" i="30"/>
  <c r="C25" i="34" s="1"/>
  <c r="D25" i="30"/>
  <c r="D25" i="34" s="1"/>
  <c r="H25" i="30"/>
  <c r="C18" i="30"/>
  <c r="C18" i="34" s="1"/>
  <c r="D18" i="30"/>
  <c r="D18" i="34" s="1"/>
  <c r="H18" i="30"/>
  <c r="C19" i="30"/>
  <c r="C19" i="34" s="1"/>
  <c r="D19" i="30"/>
  <c r="D19" i="34" s="1"/>
  <c r="H19" i="30"/>
  <c r="C20" i="30"/>
  <c r="C20" i="34" s="1"/>
  <c r="D20" i="30"/>
  <c r="D20" i="34" s="1"/>
  <c r="H20" i="30"/>
  <c r="C21" i="30"/>
  <c r="D21" i="30"/>
  <c r="D21" i="34" s="1"/>
  <c r="H21" i="30"/>
  <c r="C22" i="30"/>
  <c r="C22" i="34" s="1"/>
  <c r="D22" i="30"/>
  <c r="D22" i="34" s="1"/>
  <c r="H22" i="30"/>
  <c r="C23" i="30"/>
  <c r="C23" i="34" s="1"/>
  <c r="D23" i="30"/>
  <c r="D23" i="34" s="1"/>
  <c r="H23" i="30"/>
  <c r="C24" i="30"/>
  <c r="C24" i="34" s="1"/>
  <c r="D24" i="30"/>
  <c r="D24" i="34" s="1"/>
  <c r="H24" i="30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E25" i="72"/>
  <c r="H18" i="72"/>
  <c r="H18" i="1" s="1"/>
  <c r="H19" i="72"/>
  <c r="H19" i="1" s="1"/>
  <c r="H20" i="72"/>
  <c r="H20" i="1" s="1"/>
  <c r="H21" i="72"/>
  <c r="H22" i="72"/>
  <c r="H22" i="1" s="1"/>
  <c r="H23" i="72"/>
  <c r="H24" i="72"/>
  <c r="H25" i="72"/>
  <c r="C16" i="30"/>
  <c r="C16" i="34" s="1"/>
  <c r="D16" i="30"/>
  <c r="H16" i="30"/>
  <c r="C17" i="30"/>
  <c r="D17" i="30"/>
  <c r="D17" i="34" s="1"/>
  <c r="H17" i="30"/>
  <c r="H17" i="34" s="1"/>
  <c r="I17" i="30"/>
  <c r="C16" i="29"/>
  <c r="D16" i="29"/>
  <c r="E16" i="29" s="1"/>
  <c r="F16" i="29" s="1"/>
  <c r="H16" i="29"/>
  <c r="I16" i="29" s="1"/>
  <c r="C17" i="29"/>
  <c r="D17" i="29"/>
  <c r="H17" i="29"/>
  <c r="I17" i="29" s="1"/>
  <c r="C16" i="18"/>
  <c r="D16" i="18"/>
  <c r="E16" i="18" s="1"/>
  <c r="F16" i="18" s="1"/>
  <c r="H16" i="18"/>
  <c r="I16" i="18" s="1"/>
  <c r="C16" i="1"/>
  <c r="D16" i="1"/>
  <c r="G16" i="1"/>
  <c r="G16" i="34" s="1"/>
  <c r="C17" i="1"/>
  <c r="D17" i="1"/>
  <c r="G17" i="1"/>
  <c r="G17" i="34" s="1"/>
  <c r="E16" i="72"/>
  <c r="F16" i="72" s="1"/>
  <c r="H16" i="72"/>
  <c r="H16" i="1" s="1"/>
  <c r="I16" i="1" s="1"/>
  <c r="E17" i="72"/>
  <c r="F17" i="72" s="1"/>
  <c r="H17" i="72"/>
  <c r="H17" i="1" s="1"/>
  <c r="I17" i="1" s="1"/>
  <c r="E15" i="72"/>
  <c r="F15" i="72" s="1"/>
  <c r="E14" i="72"/>
  <c r="F14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C15" i="34" s="1"/>
  <c r="D14" i="30"/>
  <c r="D14" i="34" s="1"/>
  <c r="C14" i="30"/>
  <c r="C14" i="34" s="1"/>
  <c r="D13" i="30"/>
  <c r="D13" i="34" s="1"/>
  <c r="C13" i="30"/>
  <c r="C13" i="34" s="1"/>
  <c r="D12" i="30"/>
  <c r="D12" i="34" s="1"/>
  <c r="C12" i="30"/>
  <c r="C12" i="34" s="1"/>
  <c r="D11" i="30"/>
  <c r="D11" i="34" s="1"/>
  <c r="C11" i="30"/>
  <c r="C11" i="34" s="1"/>
  <c r="D10" i="30"/>
  <c r="D10" i="34" s="1"/>
  <c r="C10" i="30"/>
  <c r="C10" i="34" s="1"/>
  <c r="D9" i="30"/>
  <c r="D9" i="34" s="1"/>
  <c r="C9" i="30"/>
  <c r="C9" i="34" s="1"/>
  <c r="D8" i="30"/>
  <c r="D8" i="34" s="1"/>
  <c r="C8" i="30"/>
  <c r="C8" i="34" s="1"/>
  <c r="D7" i="30"/>
  <c r="D7" i="34" s="1"/>
  <c r="C7" i="30"/>
  <c r="C7" i="34" s="1"/>
  <c r="D6" i="30"/>
  <c r="D6" i="34" s="1"/>
  <c r="C6" i="30"/>
  <c r="C6" i="34" s="1"/>
  <c r="D5" i="30"/>
  <c r="D5" i="34" s="1"/>
  <c r="C5" i="30"/>
  <c r="C5" i="34" s="1"/>
  <c r="D4" i="30"/>
  <c r="C4" i="30"/>
  <c r="D15" i="29"/>
  <c r="C15" i="29"/>
  <c r="D14" i="29"/>
  <c r="C14" i="29"/>
  <c r="D13" i="29"/>
  <c r="C13" i="29"/>
  <c r="E13" i="29" s="1"/>
  <c r="F13" i="29" s="1"/>
  <c r="D12" i="29"/>
  <c r="C12" i="29"/>
  <c r="E12" i="29" s="1"/>
  <c r="F12" i="29" s="1"/>
  <c r="D11" i="29"/>
  <c r="C11" i="29"/>
  <c r="E11" i="29" s="1"/>
  <c r="F11" i="29" s="1"/>
  <c r="D10" i="29"/>
  <c r="C10" i="29"/>
  <c r="D9" i="29"/>
  <c r="C9" i="29"/>
  <c r="E9" i="29" s="1"/>
  <c r="F9" i="29" s="1"/>
  <c r="D8" i="29"/>
  <c r="C8" i="29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D6" i="18"/>
  <c r="C6" i="18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E10" i="33"/>
  <c r="F10" i="33" s="1"/>
  <c r="E9" i="33"/>
  <c r="F9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E10" i="32"/>
  <c r="F10" i="32" s="1"/>
  <c r="E9" i="32"/>
  <c r="F9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E10" i="31"/>
  <c r="F10" i="31" s="1"/>
  <c r="E9" i="31"/>
  <c r="F9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E10" i="28"/>
  <c r="F10" i="28" s="1"/>
  <c r="E9" i="28"/>
  <c r="F9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3" i="29"/>
  <c r="I13" i="29" s="1"/>
  <c r="H10" i="29"/>
  <c r="I10" i="29" s="1"/>
  <c r="F10" i="27"/>
  <c r="E9" i="27"/>
  <c r="F9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9"/>
  <c r="I15" i="29" s="1"/>
  <c r="H12" i="29"/>
  <c r="I12" i="29" s="1"/>
  <c r="E10" i="26"/>
  <c r="F10" i="26" s="1"/>
  <c r="H9" i="29"/>
  <c r="I9" i="29" s="1"/>
  <c r="E9" i="26"/>
  <c r="F9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E10" i="19"/>
  <c r="F10" i="19" s="1"/>
  <c r="E9" i="19"/>
  <c r="F9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E10" i="20"/>
  <c r="F10" i="20" s="1"/>
  <c r="E9" i="20"/>
  <c r="F9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F4" i="20"/>
  <c r="G2" i="20"/>
  <c r="D2" i="20"/>
  <c r="C2" i="20"/>
  <c r="A1" i="20" a="1"/>
  <c r="A1" i="20" s="1"/>
  <c r="F10" i="21"/>
  <c r="E9" i="21"/>
  <c r="F9" i="21" s="1"/>
  <c r="E8" i="21"/>
  <c r="F8" i="21" s="1"/>
  <c r="H7" i="21"/>
  <c r="I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E10" i="4"/>
  <c r="F10" i="4" s="1"/>
  <c r="E9" i="4"/>
  <c r="F9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3" i="30" l="1"/>
  <c r="F13" i="30" s="1"/>
  <c r="E15" i="30"/>
  <c r="F15" i="30" s="1"/>
  <c r="D15" i="34"/>
  <c r="E17" i="30"/>
  <c r="F17" i="30" s="1"/>
  <c r="C17" i="34"/>
  <c r="I16" i="30"/>
  <c r="H16" i="34"/>
  <c r="E16" i="30"/>
  <c r="F16" i="30" s="1"/>
  <c r="D16" i="34"/>
  <c r="E16" i="34" s="1"/>
  <c r="F16" i="34" s="1"/>
  <c r="I24" i="30"/>
  <c r="H24" i="34"/>
  <c r="I24" i="34" s="1"/>
  <c r="E24" i="34"/>
  <c r="F24" i="34" s="1"/>
  <c r="I23" i="30"/>
  <c r="H23" i="34"/>
  <c r="E23" i="34"/>
  <c r="F23" i="34" s="1"/>
  <c r="I21" i="30"/>
  <c r="H21" i="34"/>
  <c r="I21" i="34" s="1"/>
  <c r="E21" i="30"/>
  <c r="F21" i="30" s="1"/>
  <c r="C21" i="34"/>
  <c r="E21" i="34" s="1"/>
  <c r="F21" i="34" s="1"/>
  <c r="I20" i="30"/>
  <c r="H20" i="34"/>
  <c r="E20" i="34"/>
  <c r="F20" i="34" s="1"/>
  <c r="I19" i="30"/>
  <c r="H19" i="34"/>
  <c r="I19" i="34" s="1"/>
  <c r="E19" i="34"/>
  <c r="F19" i="34" s="1"/>
  <c r="I25" i="30"/>
  <c r="H25" i="34"/>
  <c r="E25" i="34"/>
  <c r="F25" i="34" s="1"/>
  <c r="E18" i="34"/>
  <c r="F18" i="34" s="1"/>
  <c r="E22" i="34"/>
  <c r="F22" i="34" s="1"/>
  <c r="I22" i="30"/>
  <c r="H22" i="34"/>
  <c r="I18" i="30"/>
  <c r="H18" i="34"/>
  <c r="I18" i="34" s="1"/>
  <c r="E20" i="30"/>
  <c r="F20" i="30" s="1"/>
  <c r="E14" i="30"/>
  <c r="F14" i="30" s="1"/>
  <c r="E19" i="30"/>
  <c r="F19" i="30" s="1"/>
  <c r="E25" i="30"/>
  <c r="F25" i="30" s="1"/>
  <c r="E12" i="30"/>
  <c r="F12" i="30" s="1"/>
  <c r="E11" i="30"/>
  <c r="F11" i="30" s="1"/>
  <c r="E10" i="30"/>
  <c r="F10" i="30" s="1"/>
  <c r="E9" i="30"/>
  <c r="F9" i="30" s="1"/>
  <c r="E8" i="30"/>
  <c r="F8" i="30" s="1"/>
  <c r="E6" i="30"/>
  <c r="F6" i="30" s="1"/>
  <c r="H6" i="30"/>
  <c r="E5" i="30"/>
  <c r="F5" i="30" s="1"/>
  <c r="E4" i="30"/>
  <c r="F4" i="30" s="1"/>
  <c r="E17" i="29"/>
  <c r="F17" i="29" s="1"/>
  <c r="E8" i="29"/>
  <c r="F8" i="29" s="1"/>
  <c r="H7" i="29"/>
  <c r="I7" i="29" s="1"/>
  <c r="E6" i="29"/>
  <c r="F6" i="29" s="1"/>
  <c r="H6" i="29"/>
  <c r="I6" i="29" s="1"/>
  <c r="E5" i="29"/>
  <c r="F5" i="29" s="1"/>
  <c r="E14" i="29"/>
  <c r="F14" i="29" s="1"/>
  <c r="E10" i="29"/>
  <c r="F10" i="29" s="1"/>
  <c r="D2" i="29"/>
  <c r="E15" i="18"/>
  <c r="F15" i="18" s="1"/>
  <c r="E7" i="18"/>
  <c r="F7" i="18" s="1"/>
  <c r="E13" i="18"/>
  <c r="F13" i="18" s="1"/>
  <c r="E9" i="18"/>
  <c r="F9" i="18" s="1"/>
  <c r="E14" i="18"/>
  <c r="F14" i="18" s="1"/>
  <c r="D2" i="18"/>
  <c r="E6" i="18"/>
  <c r="F6" i="18" s="1"/>
  <c r="D4" i="34"/>
  <c r="E24" i="1"/>
  <c r="F24" i="1" s="1"/>
  <c r="E23" i="1"/>
  <c r="F23" i="1" s="1"/>
  <c r="E21" i="1"/>
  <c r="F21" i="1" s="1"/>
  <c r="I25" i="72"/>
  <c r="I24" i="72"/>
  <c r="H24" i="1"/>
  <c r="I24" i="1" s="1"/>
  <c r="I23" i="72"/>
  <c r="I22" i="72"/>
  <c r="I22" i="34"/>
  <c r="I21" i="72"/>
  <c r="I20" i="72"/>
  <c r="H25" i="1"/>
  <c r="I25" i="1" s="1"/>
  <c r="H23" i="1"/>
  <c r="I23" i="1" s="1"/>
  <c r="H21" i="1"/>
  <c r="I19" i="72"/>
  <c r="I25" i="34"/>
  <c r="I18" i="72"/>
  <c r="E24" i="30"/>
  <c r="F24" i="30" s="1"/>
  <c r="E23" i="30"/>
  <c r="F23" i="30" s="1"/>
  <c r="E22" i="30"/>
  <c r="F22" i="30" s="1"/>
  <c r="E18" i="30"/>
  <c r="F18" i="30" s="1"/>
  <c r="I21" i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E25" i="1"/>
  <c r="F25" i="1" s="1"/>
  <c r="I19" i="1"/>
  <c r="D2" i="30"/>
  <c r="E17" i="1"/>
  <c r="F17" i="1" s="1"/>
  <c r="E17" i="34"/>
  <c r="F17" i="34" s="1"/>
  <c r="E16" i="1"/>
  <c r="F16" i="1" s="1"/>
  <c r="I17" i="72"/>
  <c r="I16" i="34"/>
  <c r="I16" i="72"/>
  <c r="I17" i="34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H9" i="30"/>
  <c r="H4" i="30"/>
  <c r="I4" i="30" s="1"/>
  <c r="E7" i="30"/>
  <c r="F7" i="30" s="1"/>
  <c r="H12" i="30"/>
  <c r="H7" i="30"/>
  <c r="H15" i="30"/>
  <c r="H10" i="30"/>
  <c r="H5" i="30"/>
  <c r="H13" i="30"/>
  <c r="H8" i="30"/>
  <c r="H11" i="30"/>
  <c r="E7" i="29"/>
  <c r="F7" i="29" s="1"/>
  <c r="H8" i="29"/>
  <c r="I8" i="29" s="1"/>
  <c r="H11" i="29"/>
  <c r="I11" i="29" s="1"/>
  <c r="I6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2" i="34" l="1"/>
  <c r="I11" i="30"/>
  <c r="H11" i="34"/>
  <c r="I11" i="34" s="1"/>
  <c r="I8" i="30"/>
  <c r="H8" i="34"/>
  <c r="I8" i="34" s="1"/>
  <c r="I13" i="30"/>
  <c r="H13" i="34"/>
  <c r="I13" i="34" s="1"/>
  <c r="I5" i="30"/>
  <c r="H5" i="34"/>
  <c r="I5" i="34" s="1"/>
  <c r="I10" i="30"/>
  <c r="H10" i="34"/>
  <c r="I10" i="34" s="1"/>
  <c r="I7" i="30"/>
  <c r="H7" i="34"/>
  <c r="I7" i="34" s="1"/>
  <c r="I12" i="30"/>
  <c r="H12" i="34"/>
  <c r="I12" i="34" s="1"/>
  <c r="I9" i="30"/>
  <c r="H9" i="34"/>
  <c r="I9" i="34" s="1"/>
  <c r="I14" i="30"/>
  <c r="H14" i="34"/>
  <c r="I14" i="34" s="1"/>
  <c r="I6" i="30"/>
  <c r="H6" i="34"/>
  <c r="I6" i="34" s="1"/>
  <c r="I15" i="30"/>
  <c r="H15" i="34"/>
  <c r="I15" i="34" s="1"/>
  <c r="E2" i="29"/>
  <c r="F2" i="29" s="1"/>
  <c r="E4" i="34"/>
  <c r="F4" i="34" s="1"/>
  <c r="I23" i="34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<sst xmlns="http://schemas.openxmlformats.org/spreadsheetml/2006/main" count="707" uniqueCount="386">
  <si>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</si>
  <si>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</si>
  <si>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</si>
  <si>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</si>
  <si>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</si>
  <si>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</si>
  <si>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</si>
  <si>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</si>
  <si>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</si>
  <si>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</si>
  <si>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</si>
  <si>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</si>
  <si>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</si>
  <si>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</si>
  <si>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</si>
  <si>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</si>
  <si>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</si>
  <si>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</si>
  <si>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</si>
  <si>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</si>
  <si>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</si>
  <si>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</si>
  <si>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Inverter 8 was offline on 01/15/24 7 and back online on 01/17/2024. </t>
  </si>
  <si>
    <t>1.SR080248</t>
  </si>
  <si>
    <t xml:space="preserve">1. Inverter 4 tripped offline on 01/12/2024 at 08:30 &amp; back online on 01/17/2024 at 14:30. </t>
  </si>
  <si>
    <t>1.SR080166</t>
  </si>
  <si>
    <t>1.Site tripped offline on 01/13/2024 at 03:30 &amp; back on 01/16/2024 mid day.</t>
  </si>
  <si>
    <t>1. SR080182</t>
  </si>
  <si>
    <t xml:space="preserve">1.  Inverter 1 was tripped offline on 01/02/2024 at 8:45 &amp; back online on 01/03/2024 at 11:30. 
2. Site was offline tripped offline on 01/21/2024 at 11:45 &amp; back online on 01/22/2024 at 10:30. </t>
  </si>
  <si>
    <t>1. SR079865
2. SR080375</t>
  </si>
  <si>
    <t>1. Site was tripped offline on 01/07 at 18:15 and back online on 01/08 at 12:00</t>
  </si>
  <si>
    <t>1. SR080033</t>
  </si>
  <si>
    <t xml:space="preserve">1. Inverter 17 tripped offline on 01/23/2024 at 12:00 &amp; back online at 16:30. </t>
  </si>
  <si>
    <t>1. SR079023</t>
  </si>
  <si>
    <t xml:space="preserve">1.Inverters 14 and 18 tripped offline on 01/23/2024 at 13:45 &amp; back online on 01/24/2024. </t>
  </si>
  <si>
    <t>1. SR080417</t>
  </si>
  <si>
    <t xml:space="preserve">1. Inverter 7 tripped offline at 12/05/2023 at 13:00 &amp; back online at 01/24 at 12:15. 
2.  Inverters 2, 5, and 24 tripped offline on 01/23/2024 &amp; back online  on 01/24/2024. </t>
  </si>
  <si>
    <t>1.SR078798
2. SR080419</t>
  </si>
  <si>
    <t>February Actual v. Expected</t>
  </si>
  <si>
    <t>February Actual v. Forecasted</t>
  </si>
  <si>
    <t>1. Inverter 8 is offline on 02/16 and back online on 02/17</t>
  </si>
  <si>
    <t>1. SR080248</t>
  </si>
  <si>
    <t>1.Site tripped offline on 02/15 at 21:30 and back online at 02/16 at 10:30AM</t>
  </si>
  <si>
    <t>1. CB 1.1 is offline for whole month.</t>
  </si>
  <si>
    <t>1. SR079865</t>
  </si>
  <si>
    <t>1. Except inverter 13 all other inverters tripped offline on 02/16/2024 at 09:00AM and later back online on 02/16/2024 at 14:00.</t>
  </si>
  <si>
    <t>1. SR081055</t>
  </si>
  <si>
    <t>March Actual v. Expected</t>
  </si>
  <si>
    <t>March Actual v. Forecasted</t>
  </si>
  <si>
    <t>1. Inverter 3 is derating about 20kW during peak hours on 03/01 and later the inverter was powercycled by technician.</t>
  </si>
  <si>
    <t>1. 	SR081496</t>
  </si>
  <si>
    <t xml:space="preserve">1. Inverter 13 derated on 03/21 &amp; resolved next day. </t>
  </si>
  <si>
    <t>1.SR082332</t>
  </si>
  <si>
    <t xml:space="preserve">1. Inverter 3 tripped offline on 03/08 at 18:00 &amp; back online 03/11 at 15:30. </t>
  </si>
  <si>
    <t>1. SR081715</t>
  </si>
  <si>
    <t xml:space="preserve"> </t>
  </si>
  <si>
    <t>1.  Site tripped offline on 03/31 at 9:30am and back online on 04/01 at 11:00am</t>
  </si>
  <si>
    <t>1. SR082943</t>
  </si>
  <si>
    <t>1. Site is offline at 8:00am on 03/20 and back online at 15:00 on 03/20.</t>
  </si>
  <si>
    <t>1. SR082234</t>
  </si>
  <si>
    <t>1. Inverter 12 was offline on 03/31</t>
  </si>
  <si>
    <t>1. SR082945</t>
  </si>
  <si>
    <t>1. Site was offline on 03/11 between 11:15 to 15:30</t>
  </si>
  <si>
    <t>1. SR081753</t>
  </si>
  <si>
    <t>1. Inverter 5 is offline on 03/23 dur ground fault</t>
  </si>
  <si>
    <t>1. SR082598</t>
  </si>
  <si>
    <t xml:space="preserve">1. Inverter 27 was offline due to arc fault on 03/03 and 03/31 </t>
  </si>
  <si>
    <t>1. SR082924</t>
  </si>
  <si>
    <t xml:space="preserve">1. Inverters 1 to 6 are derating during 09:00am to 12:00pm on 03/10, 03/11, 03/18 &amp; 03/21.  </t>
  </si>
  <si>
    <t>1. SR082017</t>
  </si>
  <si>
    <t>1. Inverters 07 to 12 are derating during 09:00am to 12:00pm on 03/10, 03/11, 03/18 &amp; 03/21</t>
  </si>
  <si>
    <t>1. SR082020</t>
  </si>
  <si>
    <t>1. Inverter 5 is derating during sunny days throughout the month 
2. Inverter 3 right unit, Inverter 2 left unit has multiple tripping events thorughtout the month
3. Inverter 2 left unit tripped offline on 03/16 and back online 03/21</t>
  </si>
  <si>
    <t>1. SR081196
2. SR081401
3. SR082342</t>
  </si>
  <si>
    <t xml:space="preserve">1. Site was offline on 03/10 between 14:00 to 15:00 
2. Technician took inverters 6, 7 and 11 offline about 1 hour on 03/13 
3. Inverter 11 tripped offline on 03/29 at 10:55 and back online at 17:00
4. Inverters 9, 10 and 11 7 were offline during peak hours on 03/29, 03/30 and 03/31 </t>
  </si>
  <si>
    <t>1. SR081730
2. PM7645
3. SR082897
4. SR082904</t>
  </si>
  <si>
    <t>1. Inverters 11 &amp; 16 are offline on 03/14 between 09:30 to 14:15</t>
  </si>
  <si>
    <t>1. SR081897</t>
  </si>
  <si>
    <t>April Actual v. Expected</t>
  </si>
  <si>
    <t>April Actual v. Forecasted</t>
  </si>
  <si>
    <t>1. Site tripped offline at 07:30AM on 04/04 and back online at 13:15 on 04/05.</t>
  </si>
  <si>
    <t>1. SR083068</t>
  </si>
  <si>
    <t xml:space="preserve">1. Site tripped offline at 07:15AM on 04/04 and back online at 13:15 on 04/05.
</t>
  </si>
  <si>
    <t>1. SR083069</t>
  </si>
  <si>
    <t>1. Inverter 13 is underperformed 4kW down compared to its peers through out the month</t>
  </si>
  <si>
    <t>1. SR075675</t>
  </si>
  <si>
    <t>1. Site tripped offline on 04/04 at 14:45 and back online at 15:30 on same day.
2. Site tripped offline on 04/05 at 16:10 and back online on 04/19 at 09:30.
3. Inverter 4 tripped offline on 04/27 at 07:10 and back online on 04/29 at 13:15.</t>
  </si>
  <si>
    <t>1. SR083106
2. SR083114 &amp; SR083365
3. SR083878</t>
  </si>
  <si>
    <t>1. Site tripped offline on 04/12 at 08:30 and back online at 13:45 on same day.</t>
  </si>
  <si>
    <t>1. SR083363</t>
  </si>
  <si>
    <t>1. Site tripped offline on 03/31 and back online on 04/01 at 11:00.
2. Inverter 5 right and left unit tripped offline on 04/15 at 13:00 and back online on 04/19 at 12:45.
3. Site tripped offline on 04/28 at 15:30 and back online on 04/29 at 10:45.</t>
  </si>
  <si>
    <t>1. SR082943
2. SR083523
3. SR083903</t>
  </si>
  <si>
    <t>1. Site tripped offline on 04/01 at 16:00 and still offline.</t>
  </si>
  <si>
    <t>1. SR082974, SR084822</t>
  </si>
  <si>
    <t>1. Inverter 3 dropped 1 string on 4/23 and underproducing 5kW since then, some of the modules need to be replaced</t>
  </si>
  <si>
    <t>1. SR083810, SR081044</t>
  </si>
  <si>
    <t>1. Inverters 3,4,5,6,7,8,9,10,11,12 tripped offline around 10am on 04/04 and back online on 04/05</t>
  </si>
  <si>
    <t>1. SR083077</t>
  </si>
  <si>
    <t>1. Inverter 27 tripped offline on 03/30 and back online on 04/01 at 12:15pm.
2. Inverter 27 tripped offline on 04/08 at 07:45am and back online on 04/09 at 14:15.</t>
  </si>
  <si>
    <t>1. SR082924
2. SR083176</t>
  </si>
  <si>
    <t>1. Inverter 8 is underperforming 5kW compared to its peers for whole month.</t>
  </si>
  <si>
    <t>1. SR087088</t>
  </si>
  <si>
    <t>1. Inverter 17 was underproduced 5kW compared to its peers for whole month.</t>
  </si>
  <si>
    <t>1. 	SR083972</t>
  </si>
  <si>
    <t>1. Inverter 5 has multiple trip events during high irradiance days.</t>
  </si>
  <si>
    <t>1. SR084029</t>
  </si>
  <si>
    <t xml:space="preserve">1. Inverter 11 tripped offline on 04/07 at 11:15 am and later back online at 16:30 pm on same day.
</t>
  </si>
  <si>
    <t xml:space="preserve">1. SR083158
</t>
  </si>
  <si>
    <t>May Actual v. Expected</t>
  </si>
  <si>
    <t>May Actual v. Forecasted</t>
  </si>
  <si>
    <t>1. Inverter 11 is offline from 05/13. Inverter being RMA'D.</t>
  </si>
  <si>
    <t>1. SR084606</t>
  </si>
  <si>
    <t>1. Inverter 2 was offline on 05/23 and  later back online on 05/24 and started late on 05/27.</t>
  </si>
  <si>
    <t>1. SR085060</t>
  </si>
  <si>
    <t>1. Site tripped offline on 05/19 at 06:35 and back online on 05/20 at 07:00.
2. Inverter 13 is underperformed 4kW down compared to its peers through out the month</t>
  </si>
  <si>
    <t>1. SR084834
2. SR075675</t>
  </si>
  <si>
    <t>1. Inverter 5 right unit tripped offline on 05/02 at 15:14 &amp; left unit tripped offline on 05/11 at 12:15 and back online on 05/20 at 17:30.</t>
  </si>
  <si>
    <t>1. SR084220</t>
  </si>
  <si>
    <t>1. Inverter 9 derated about 3kW during high irradiance days from 05/25 to 06/13</t>
  </si>
  <si>
    <t>1. SR085423</t>
  </si>
  <si>
    <t>1. Site was offline from 07:15 AM to 11:30 AM on 05/11 due to utility planned outage</t>
  </si>
  <si>
    <t>1. SR084574</t>
  </si>
  <si>
    <t>1. Site tripped offline on 05/28 at 09:56am and back online at 13:00 on same day</t>
  </si>
  <si>
    <t>1. SR085214</t>
  </si>
  <si>
    <t>1. Site tripped offline on 05/30 at 09:00am and back online at 18:00 on same day.</t>
  </si>
  <si>
    <t>1. SR085302</t>
  </si>
  <si>
    <t>1. SR085303</t>
  </si>
  <si>
    <t>1. Inverter 8 is underperforming 5kW compared to its peers for whole month.
2. Site was offline from 12:00pm to 13:45pm on 05/20.</t>
  </si>
  <si>
    <t>1. SR087088
2. SR084908</t>
  </si>
  <si>
    <t>1. Inverter 25 was tripped offline at 8:30am on 05/01 and back online on 05/02 at 14:00.</t>
  </si>
  <si>
    <t>1. SR084041</t>
  </si>
  <si>
    <t>1.Inverter 5 has multiple trip events throughout the day during high irradiance days observed on 05/01, 05/02, 05/07, 05/11 &amp; 05/20 to 05/22.</t>
  </si>
  <si>
    <t>1. Inverter 1 is underperforming by 16kW, inverter 2 is underperforming by 24kW, inverter 3 is underperforming by 15kW, inverter 4 is underperforming by 8kW, inverter 5 is underperforming by 9kW, inverter 9 is underperforming by 6kW for whole month.</t>
  </si>
  <si>
    <t>1.  SR087390</t>
  </si>
  <si>
    <t xml:space="preserve">1. Inverter B12 is producing as expected from 05/03/24.
2. Inverter B7 is producing as expected from 05/03/24 after installing a IF board.
3. Inverter A5 is offline on 05/02/24 and back online on 05/03/24.
</t>
  </si>
  <si>
    <t>1. SR084081
2. SR084082
3. SR084158</t>
  </si>
  <si>
    <t>1. Site tripped offline at 10:55 AM and came back online at 12:30 PM on 05/25/24. However, Inverter 4 remained offline and came back online on 05/26/24</t>
  </si>
  <si>
    <t>1.SR085154</t>
  </si>
  <si>
    <t>June Actual v. Expected</t>
  </si>
  <si>
    <t>June Actual v. Forecasted</t>
  </si>
  <si>
    <t xml:space="preserve">1. Inverter 11 is offline from 05/13 and back online at 12:45PM on 06/11.
2. Inverter 10 tripped offline at 16:30 on 06/18. Inverter is being RMA'd </t>
  </si>
  <si>
    <t>1. SR084606
2. SR086410</t>
  </si>
  <si>
    <t>1. Site tripped offline at 14:15 on 06/13 and back online at 12:00PM on 06/14.
2. Inverter 9 is underperforming approximately 20kW from 06/15 to 06/18
and Inverter 13 is underperforming approximately 6kW from 06/15.</t>
  </si>
  <si>
    <t>1. SR086178
2. SR086279</t>
  </si>
  <si>
    <t>1. Inverter 2 was offline on 06/03 and back online on 06/04 and started late on 06/06 and 06/07. 
2. Inverter 15 underproduced about 28 kW from 06/08 to 06/11.
3. Inverter 8 was started late on 06/18, 06/23, 06/24, 06/25, 06/27 &amp; was offline on  06/22, again tripped offline on 06/28 at 14:15 and back online on 06/29 and was offline on 06/30.
4. Inverter 9 tripped offline on 06/20 at 06:30 and back online at 14:45 on same day .</t>
  </si>
  <si>
    <t>1. SR085060
2. SR085845
3. SR086354
4. SR086479</t>
  </si>
  <si>
    <t>1. Site tripped offline on 06/23 at 10:00 and back online on 06/24 at 09:15.</t>
  </si>
  <si>
    <t>1. SR086759</t>
  </si>
  <si>
    <t>1. Site tripped offline on 06/09 at 08:45 and back online on 06/10 at 08:30.</t>
  </si>
  <si>
    <t>1. SR085784</t>
  </si>
  <si>
    <t>1. Site was offline on 06/18 from 05:00 to 12:30.
2. Site was offline on 06/28 from 05:00 to 15:15.</t>
  </si>
  <si>
    <t>1. SR086350
2. SR087062</t>
  </si>
  <si>
    <t>1. Inverter 2 primary unit tripped offline on 06/02 at 11:39 and back online on 06/25 at 15:30.
2. Site tripped offlline on 06/22 at 16:30 and back online on 06/24 at 07:30</t>
  </si>
  <si>
    <t>1. SR085537
2. SR086659</t>
  </si>
  <si>
    <t>1. Site was offline on 06/03 from 06:45 to 16:30.
2. Site tripped offline on 06/14 at 12:15 and back online on 06/15 at 11:30.
3. Inverter 9 derated about 3kW during high irradiance days from 05/25 to 06/13</t>
  </si>
  <si>
    <t>1. SR085464
2. SR086251
3. SR085423</t>
  </si>
  <si>
    <t>1. Site was offline from 00:15 to 12:30 on 06/09</t>
  </si>
  <si>
    <t>1. SR085770</t>
  </si>
  <si>
    <t xml:space="preserve">1. Site is offline from 08:45AM to 19:45 on 06/22 due to planned outage.
2. Inverter 8 is underperforming approximately 5kW from 10/21/23.
</t>
  </si>
  <si>
    <t>1. 	SR086633
2. SR087088</t>
  </si>
  <si>
    <t>1. Inverter 25 tripped offline at 07:30AM on 06/09 and back online at 13:30 on 06/10.</t>
  </si>
  <si>
    <t>1. SR085777</t>
  </si>
  <si>
    <t>1. Inverter 6 is offline from 07:45AM to 14:15 on 06/03.</t>
  </si>
  <si>
    <t>1. SR085476</t>
  </si>
  <si>
    <t>1. Inverter 9 tripped offline on 06/09 at 16:00 and back online on 06/12 at 07:00.
2. Inverter 5 tripped offline on 06/14 at 15:00 and back online and back online on
06/15 at 05:30 am. 
3.  Inverter 1 is underperforming by 16kW, inverter 2 is underperforming by 24kW, inverter 3 is underperforming by 15kW, inverter 4 is underperforming by 8kW, inverter 5 is underperforming by 9kW, inverter 9 is underperforming by 6kW for whole month.</t>
  </si>
  <si>
    <t>1. SR085790
2. SR086252
3. SR087390</t>
  </si>
  <si>
    <t>1. Site tripped offline at 4:45PM on 06/02 and back online at 11:15am on 06/03</t>
  </si>
  <si>
    <t>1. SR085426</t>
  </si>
  <si>
    <t>1. Inverter B05 and B10 tripped offline from 10:35 to 12:25 on 06/12.
2. Site tripped offline at 17:35 on 06/17 and back online at 09:20am on 06/19.</t>
  </si>
  <si>
    <t>1. SR086084
2. SR086355</t>
  </si>
  <si>
    <t>July Actual v. Forecasted</t>
  </si>
  <si>
    <t xml:space="preserve">1.Inverter 10 tripped offline at 16:30 from 06/18. Inverter is being RMA'd </t>
  </si>
  <si>
    <t>1.SR086410,SR089997</t>
  </si>
  <si>
    <t>1.Inverter 13 tripped offline at 12:15 from 7/16. Inverter  power head RMA'd</t>
  </si>
  <si>
    <t>1.SR087756</t>
  </si>
  <si>
    <t>1.Inverter 8 tripped offline on 7/7 back online on 7/8 again offline at 07:30 on 7/10 back online at 12:15</t>
  </si>
  <si>
    <t>1.	SR087444</t>
  </si>
  <si>
    <t xml:space="preserve">1. Inverters 7 and 11 are derating from 09:14AM from 7/1
</t>
  </si>
  <si>
    <t>1.	SR087210</t>
  </si>
  <si>
    <t>1.Inverter 6 primary unit is offline from 06:00 to 11:44 on 7/10
2.nverter 6 primary unit is offline and reporting isolation fault. 
Inverter 10 primary unit tripping on &amp; off from 07/11
Inverter 1 right unit having multiple tripping from 02/03
Inverter 11 left unit &amp; 9 right unit tripping on &amp; off from 07/26</t>
  </si>
  <si>
    <t>1.SR087550
2.SR089086</t>
  </si>
  <si>
    <t>1.Site offline from 03:15 to 08:30 on 7/12</t>
  </si>
  <si>
    <t>1.SR087608</t>
  </si>
  <si>
    <t xml:space="preserve">1.Weather Station (Standard) (RMA9664) lost communication from 7/5
2.Inverter 12 tripped offline at 13:00 on 7/3
3.Inverter 3 tripped offline at 13:00 on 7/14
4.Inverter 26 offline from 7/15 resolved on 7/26
5.Inverter 31 offline from 7/15 resolved on 7/26
</t>
  </si>
  <si>
    <t>1.	SR087248
2.SR087360
3.SR087660
4.	SR087825
5.SR087826</t>
  </si>
  <si>
    <t>1.Inverter 8  underperforming by 5kW since 10/21/23.</t>
  </si>
  <si>
    <t>1.SR087088</t>
  </si>
  <si>
    <t>1.inverter 1 is underperforming by 16kW.
inverter 2 is underperforming by 24kW.
inverter 3 is underperforming by 15kW.
inverter 4 is underperforming by 8kW.
inverter 5 is underperforming by 9kW.
inverter 9 is underperforming by 6kW.
2.Inverter 5 tripped offline at 15:45 on 7/8</t>
  </si>
  <si>
    <t>1.	SR087390
2.SR087483</t>
  </si>
  <si>
    <t>August Actual v. Expected</t>
  </si>
  <si>
    <t>August Actual v. Forecasted</t>
  </si>
  <si>
    <t>1.Inverter 13 tripped offline at 12:15 from 7/16. Inverter  power head RMA'd
2. Inverters 9, 10, 11 &amp; 12 tripped offline from 8/16 and back online on 8/20</t>
  </si>
  <si>
    <t>1.SR087756
2.SR089170</t>
  </si>
  <si>
    <t xml:space="preserve">1. Inverters 1 and 9 tripped offline 12:45 to 18:30 on 8/26 and again inverter tripped offline from 09:00 to 15:00 on 8/30 </t>
  </si>
  <si>
    <t>1.SR089564</t>
  </si>
  <si>
    <t>1.Inverter 5 is underperforming approximately 3-4kW compared to inverter 4 since 08/13.</t>
  </si>
  <si>
    <t>1.	SR089336</t>
  </si>
  <si>
    <t>1.Inverters 10 and 12 are being RMA'd from 8/28</t>
  </si>
  <si>
    <t>1.SR089813</t>
  </si>
  <si>
    <t>1.Inverter 2 right unit offline from 8/13 and back online on 8/15
2.nverter 6 primary unit is offline and reporting isolation fault. 
Inverter 10 primary unit tripping on &amp; off from 07/11
Inverter 1 right unit having multiple tripping from 02/03
Inverter 11 left unit &amp; 9 right unit tripping on &amp; off from 07/26 resloved on 8/23
3.Inverter 6 right unit tripped offline at 16:25 from 8/23</t>
  </si>
  <si>
    <t>1.SR089084
2.SR089086
3.	SR090028</t>
  </si>
  <si>
    <t>1.Inverter 03 under preforming compared to its peer
2.Weather Station (Standard) (RMA9664) lost communication from 7/5</t>
  </si>
  <si>
    <t>1.SR089560
2.SR087248</t>
  </si>
  <si>
    <t>1.Inverter 4 offline on 8/17
2.Inverter 1 tripped offline from 8/22 and back online on 8/26 at 13:45</t>
  </si>
  <si>
    <t>1.SR089193
2.SR089410</t>
  </si>
  <si>
    <t xml:space="preserve">1.Site offline from 8/10 at from 20:15 and back online on 8/13
2. All inverters have tripped offline from 07:00 to 09:45 on 8/19 </t>
  </si>
  <si>
    <t>1.	SR088888
2.SR089251</t>
  </si>
  <si>
    <t>1.SR088887
2.SR089251</t>
  </si>
  <si>
    <t>1.inverter 2 is underperforming by 6 kW.</t>
  </si>
  <si>
    <t>1.SR089719</t>
  </si>
  <si>
    <t>1.Inverter 16 tripped offline multiple days at 08:30AM on 9/3</t>
  </si>
  <si>
    <t xml:space="preserve">1.SR089440
</t>
  </si>
  <si>
    <t>1. Site is offline from 8:15AM to 11:15AM on 08/10/24 due to onsite repairs.</t>
  </si>
  <si>
    <t>1. SR088568</t>
  </si>
  <si>
    <t>1.Inverter 16 tripped offline multiple days at 08:30AM on 9/4</t>
  </si>
  <si>
    <t>September Actual v. Expected</t>
  </si>
  <si>
    <t>September Actual v. Forecasted</t>
  </si>
  <si>
    <t>1.Inverters 1,5 tripped offline at 10:00 on 9/6 and back onlin eon 9/7</t>
  </si>
  <si>
    <t>1.	SR090045, SR090046</t>
  </si>
  <si>
    <t>1.Inverters 1,9 are tripped offline from 13:30 to 17:40 on 9/3</t>
  </si>
  <si>
    <t xml:space="preserve">1.Inverters 7 and 11 are derating from 09:14AM from 7/1
2.Inverter 3 offline from 9/29 </t>
  </si>
  <si>
    <t>1.	SR087210
2.	SR091356</t>
  </si>
  <si>
    <t>1.Inverter 6 right unit back online on 9/9 at 16:34
2.Site offline from 9/7 at 07:15 and back online on 9/8 at  09:00
3.Inverter 10 primary unit is tripping on and off. 
    Inverter 11 left unit is tripping on and off.
     Inverter 9 right unit is derating</t>
  </si>
  <si>
    <t>1.	SR090028
2.	SR090086
3.SR090413,SR089086</t>
  </si>
  <si>
    <t>1.Inverter 27  offline from 9/5 
2.Weather station back online on 9/8</t>
  </si>
  <si>
    <t>1.	SR089983
2.SR087248</t>
  </si>
  <si>
    <t>1.Site offline due to utility outage from 9/25 at 08:00 back online on 9/26 at 11:15</t>
  </si>
  <si>
    <t>1.SR091176</t>
  </si>
  <si>
    <t>1.Inverter 16 started late to start frequent days</t>
  </si>
  <si>
    <t>1.SR090156,SR091498</t>
  </si>
  <si>
    <t>1.inverter 1 down a string from 9/9/24</t>
  </si>
  <si>
    <t>1.SR091298</t>
  </si>
  <si>
    <t>1.Inverter 16 tripped offline multiple days at 08:30AM on 9/3
2.Inverters 3. 5, 11, 12 are underperforming 15kW down each compared to its peers
Inverters 9, 10, 15, 13 are underperforming 8kW down each compared to its peers
Inverters 8 is underperforming 23kW compared to its peers
Inverters 14 is underperforming 30kW compared to its peers.
3.Site tripped offline. UPS is discharging on 9/24 later Remotely closed</t>
  </si>
  <si>
    <t>1.SR089848
2.SR090300
3.	SR091120</t>
  </si>
  <si>
    <t>October Actual v. Expected</t>
  </si>
  <si>
    <t>October Actual v. Forecasted</t>
  </si>
  <si>
    <t xml:space="preserve">1. Inverter 10 tripped offline at 16:30 from 06/18. Inverter is being RMA'd </t>
  </si>
  <si>
    <t>1. Inverter 13 tripped offline at 12:15 from 7/16. Inverter power head is being RMA'd</t>
  </si>
  <si>
    <t>1.SR087756, SR089170</t>
  </si>
  <si>
    <t>1. Inverter 9 tripped offline at 7:00AM and back online at 11:30AM on 10/07/2024</t>
  </si>
  <si>
    <t>1. SR089564</t>
  </si>
  <si>
    <t>1. Inverter 5 is underperforming approximately 3-4kW compared to inverter 4 since 08/13.
2. Inverter 1 is underperforming approximately 5KW from 09/16.
     Inverter 13 is underperforming approximately 5KW from 09/30.
3. Inverter 1 tripped offline at 14:45 on 10/31 and back online at 9:15 on 11/01.</t>
  </si>
  <si>
    <t>1. SR089336
2. SR091976
3. SR092851, SR091976</t>
  </si>
  <si>
    <t>1. Inverter 3 tripped offline at 17:15 from 09/29 and back online at 11:45 on 10/04.</t>
  </si>
  <si>
    <t>1. SR091356</t>
  </si>
  <si>
    <t>1. Inverter A4 is offline on 10/24/2024 and back online on 10/25/2024.
2. The site was offline from 8:30 AM to 10:45 AM on 10/23. However, inverters B6 and C1 remained offline and came back online on 10/24..</t>
  </si>
  <si>
    <t>1. SR092522
2. SR092475</t>
  </si>
  <si>
    <t>1. Inverter 10 is back online on 10/08/2024
2. Inverter 12 is back online on 10/08/2024</t>
  </si>
  <si>
    <t>1. SR089813
2. SR089674</t>
  </si>
  <si>
    <t>1.  Inverter 10 primary unit is tripping on and off and back to normal on 10/23/2024
     Inverter 11 left unit is tripping on and off back to normal on 10/23/2024
     Inverter 9 right unit is derating back to normal on 10/23/2024
2.  Inverter 11 primary unit tripped offline from 10/26/2024 
3.  Inverter 2 right unit  offline on 10/29/2024 and back online on 10/30/2024</t>
  </si>
  <si>
    <t>1. SR090413
2. SR092625
3. SR092758</t>
  </si>
  <si>
    <t xml:space="preserve">1.Inverter 27  offline from 9/5 </t>
  </si>
  <si>
    <t>1. SR089983</t>
  </si>
  <si>
    <t>1. Inverter 17 is underperforming 4kW compared to its peers</t>
  </si>
  <si>
    <t>1. SR092567</t>
  </si>
  <si>
    <t xml:space="preserve">1. Inverter 16 started late to start frequent days.
2. Inverter 2 underproducing 4kW down compared to peers. 
</t>
  </si>
  <si>
    <t>1.SR091498
2. SR09182</t>
  </si>
  <si>
    <t>1. Inverters from 1, 6 to 16 and underproducing 10kW each during peak production hours. Possibly due to seasonal shading.</t>
  </si>
  <si>
    <t>1. SR092109</t>
  </si>
  <si>
    <t>1.  Inv 8 is underperforming by 5kW down compared to its peers since 10/21/23.</t>
  </si>
  <si>
    <r>
      <rPr>
        <sz val="12"/>
        <color rgb="FF000000"/>
        <rFont val="Calibri"/>
      </rPr>
      <t xml:space="preserve">1. </t>
    </r>
    <r>
      <rPr>
        <sz val="11"/>
        <color rgb="FF000000"/>
        <rFont val="Calibri"/>
      </rPr>
      <t>SR087088</t>
    </r>
  </si>
  <si>
    <t>1. Inverter 07 tripped offline at 16:30 on 10/18 and back online at 10:00 on 10/22.</t>
  </si>
  <si>
    <r>
      <rPr>
        <sz val="12"/>
        <color rgb="FF000000"/>
        <rFont val="Calibri"/>
      </rPr>
      <t xml:space="preserve">1. </t>
    </r>
    <r>
      <rPr>
        <sz val="11"/>
        <color rgb="FF000000"/>
        <rFont val="Calibri"/>
      </rPr>
      <t>SR092323</t>
    </r>
  </si>
  <si>
    <t>1. Inverter 1 is underperforming by 6 kW down from 9/9 to 10/29.
2. Inverter 2 is offline from 10/27 to throughout the month.</t>
  </si>
  <si>
    <t>1. SR091298
2. SR092627</t>
  </si>
  <si>
    <t>1. Inverter 3 underperforming by 13 kW from 10/16 to 10/22.
    Inverter 6 underperforming by 5 kW from 10/16 to 10/22.
    Inverter 8 underperforming by 5 kW from 10/16 to 10/22.
    Inverter 9 underperforming by 13 kW from 10/16 to 10/22.
    Inverter 10 underperforming by 13 kW from 10/16 to 10/22.
    Inverter 11 underperforming by 16 kW from 10/16 to 10/22.
    Inverter 12 underperforming by 4 kW from 10/16 to 10/22.
    Inverter 13 underperforming by 4 kW from 10/16 to 10/22.
    Inverter 14 underperforming by 12 kW from 10/16 to 10/22.
2. Site tripped offline at 10:45AM on 10/31 and back online at 12PM on 10/31.</t>
  </si>
  <si>
    <t>1. SR092204
2. SR092831</t>
  </si>
  <si>
    <t>November Actual v. Expected</t>
  </si>
  <si>
    <t>November Actual v. Forecasted</t>
  </si>
  <si>
    <t>1.Inverter 10 tripped offline at 16:30 on 06/18 and was being RMA'd from 10/17
2. Weather station is reporting erroneous values. Observed from Nov 2023.</t>
  </si>
  <si>
    <t>1.SR089997
2.SR080044</t>
  </si>
  <si>
    <t xml:space="preserve">1.Inverter 9 tripped offline at 10:00AM on 11/02/2024 and  Inverter is being RMA'd </t>
  </si>
  <si>
    <t>1. Site tripped offline at 10:00AM and back online at 12:15PM on 11/27/24.
2. Inverter 1 tripped offline at 14:45 on 10/31 and back online at 9:15 on 11/01.</t>
  </si>
  <si>
    <t>1. SR093661
2. SR091976, SR092851</t>
  </si>
  <si>
    <t>1. Inverter A4 is offline from 11/04/2024 and Inverter is being RMA'd.
2. Inverter D1 is offline on 11/13 and back online on 11/14 but inverter starts consistently late everyday.
3. Invverter B6 is offline on 11/19 and back online on 11/20</t>
  </si>
  <si>
    <t>1. SR092522, SR092971
2. SR093218
3. SR093420</t>
  </si>
  <si>
    <t>1. Inverter 11 primary unit tripped offline from 10/26/2024 and back online at 14:20 on 11/01/2024</t>
  </si>
  <si>
    <t>1. SR092625</t>
  </si>
  <si>
    <t>1.Inverter 27 offline from 9/5</t>
  </si>
  <si>
    <t>1.SR089983</t>
  </si>
  <si>
    <t>1. Inverter 17 is offline on 11/26 and back online at 09:45AM on 11/27/24 
2.Inverter 17 is underperforming 4kW compared to its peers</t>
  </si>
  <si>
    <t>1. SR093631
2.SR092567</t>
  </si>
  <si>
    <t>1.Inverter 2.6 was offline on 11/15/24 and back online at 07:00 on 11/16/24 .And Inverter 2.6  delayed for production at 10:30 on 11/20/24.Inverter 2.6 was offline on 11/22, 11/23 , /11/24 and back online at 14:45 on 11/25.
2. Inverters from 1, 6 to 16 and underproducing 10kW each during peak production hours. Possibly due to seasonal shading.</t>
  </si>
  <si>
    <t>1.SR093284
2. SR092109</t>
  </si>
  <si>
    <t>1. Inverter 8 is underperforming by 5kW down compared to its peers since 10/21/23.</t>
  </si>
  <si>
    <t>1. Inverter 7 tripped offline at 15:30 on 11/03 and back online at 15:00 on 11/04.</t>
  </si>
  <si>
    <r>
      <rPr>
        <sz val="12"/>
        <color rgb="FF000000"/>
        <rFont val="Calibri"/>
      </rPr>
      <t>1.</t>
    </r>
    <r>
      <rPr>
        <sz val="11"/>
        <color rgb="FF000000"/>
        <rFont val="Calibri"/>
      </rPr>
      <t xml:space="preserve"> SR092925</t>
    </r>
  </si>
  <si>
    <t>1. Site tripped offline at 16:00 EST on 11/28 to throughout the month.</t>
  </si>
  <si>
    <r>
      <rPr>
        <sz val="12"/>
        <color rgb="FF000000"/>
        <rFont val="Calibri"/>
      </rPr>
      <t xml:space="preserve">1. </t>
    </r>
    <r>
      <rPr>
        <sz val="11"/>
        <color rgb="FF000000"/>
        <rFont val="Calibri"/>
      </rPr>
      <t>SR093712</t>
    </r>
  </si>
  <si>
    <t>1. Inverter 2 is offline from 10/27 and back online at 12:30 EST on 11/15.</t>
  </si>
  <si>
    <t>1. SR092627</t>
  </si>
  <si>
    <t>1. Inverter 10 underperforming.
    Inverter 12 underperforming.
    Inverter 11 underperforming.
2. Inverter 11 offline on 11/18 and back online at 09:45 AM on 11/19 ,again went offline in 11/20 and back online at 11:00 AM on 11/20 and again went offline on 11/21 and back online at 10:45AM on 11/21.
3.  Inverter 3 tripped offline at 10:15AM on 11/16 and back online on 11/18.</t>
  </si>
  <si>
    <t>1. SR092997
2. SR092997,SR093368
3. SR093341,SR092997</t>
  </si>
  <si>
    <t>December Actual v. Expected</t>
  </si>
  <si>
    <t>December Actual v. Forecasted</t>
  </si>
  <si>
    <t xml:space="preserve">1.Inverter 13 being RMA'd from 08/20 </t>
  </si>
  <si>
    <t>1.SR095220</t>
  </si>
  <si>
    <t>1.Inverter 1 tripped offline at 12:23 on 12/31 and back online at 14:30 on 12/31.
2.Inverter 9 being RMA'D from 11/19.</t>
  </si>
  <si>
    <t>1.SR095197
2.SR093404</t>
  </si>
  <si>
    <t>1.Inverter A4 was offline from 06:35 on 12/01 and Inverter A4 being RMA'd from 12/02  and the Inverter was back online at 11:00 on 12/04.
2.Inverter B6 being RMA'd from 12/04 and the Inverter was producing as expected from 12/17.                    
3.Inverter B3  was not  starting up in the morning and it turns on by noon and the Inverter has a hwastory of intermittent communication. Inverter B3 being RMA'd from 12/19
4.While technician wass on site Inverter C1 was offline from 10:15 to 12:00 on 12/04
5.While technician wass on site Inverter D2  was offline from 09:15 to 10:15on 12/04
6.Inverter D1 was offline on 12/06 and back online at 06:45 on 12/7</t>
  </si>
  <si>
    <t>1.SR092971
2.SR094027
3.SR093500
4.SR094028
5.SR094024
6.SR093218</t>
  </si>
  <si>
    <t>1. Inverter 6 right unit was tripped offline at 12:1PM on 12/17 and remains offline throughout the month.
2. Inverter 10 started communicating from 12/14.</t>
  </si>
  <si>
    <t>1.SR095142
2.SR092545</t>
  </si>
  <si>
    <t>1.Inverter 34 was offline on 12/01 and back online at 12:15 on 12/03 and again tripped offline at 15:00 on 12/05 and back online at 14:30 on 12/17.
2.Inverter 31 tripped offline at 15:30 on 12/01 and back online at 12PM on 12/03.
3.Site tripped offline at 12:03AM and back online at 12:24PM on 12/23.
4.Inverter 12 was being RMA'D from 12/24.
5.Inverter 27 offline from 09/05.</t>
  </si>
  <si>
    <t>1.SR093749, SR094606
2.SR093783
3.SR095027
4.SR095058
5.SR089983</t>
  </si>
  <si>
    <t>1. Inverter 12 was offline on 12/15 and back online on 12/16. Inverter again offline on 12/18 and remains offline throughtout the month.</t>
  </si>
  <si>
    <t>1.SR094678</t>
  </si>
  <si>
    <t>1.Site tripped offline at 16:30 on 12/11 and back online at 9:45 on 12/12.
2.Inverter 17 tripped offline at 8:30AM on 12/25 and remains offline through out the month.</t>
  </si>
  <si>
    <t>1.SR094441
2.SR095079</t>
  </si>
  <si>
    <t>1. Site tripped offline at 16:00 EST on 11/28 and back online at 12:45 on 12/02.</t>
  </si>
  <si>
    <t>1.SR093712</t>
  </si>
  <si>
    <t>1.SR093713</t>
  </si>
  <si>
    <t>1. Inverter C02was offline on 12/12/24 and came back online at 11:50 AM on 12/13/24. It started late at 14:15 on 12/14/24 and was again offline on 12/15/24, back online at 12:55 PM on 12/16/24.</t>
  </si>
  <si>
    <t>1. SR094525, SR094686</t>
  </si>
  <si>
    <t>Portfolio:</t>
  </si>
  <si>
    <t>Greenbacker Capital</t>
  </si>
  <si>
    <t>Site DAS Name</t>
  </si>
  <si>
    <t>Update</t>
  </si>
  <si>
    <t>DAS</t>
  </si>
  <si>
    <t>10 Walpole Park South [0664]</t>
  </si>
  <si>
    <t>10 Walpole Park South</t>
  </si>
  <si>
    <t>MA</t>
  </si>
  <si>
    <t>AEF</t>
  </si>
  <si>
    <t>PowerTrack</t>
  </si>
  <si>
    <t>15 Walpole Park South [0668]</t>
  </si>
  <si>
    <t>15 Walpole Park South</t>
  </si>
  <si>
    <t>19 Walpole Park South [0670]</t>
  </si>
  <si>
    <t>19 Walpole Park South</t>
  </si>
  <si>
    <t>23 Walpole Park South [0676]</t>
  </si>
  <si>
    <t>23 Walpole Park South</t>
  </si>
  <si>
    <t>24 Walpole Park South [0667]</t>
  </si>
  <si>
    <t>24 Walpole Park South</t>
  </si>
  <si>
    <t>25 Walpole Park South [0665]</t>
  </si>
  <si>
    <t>25 Walpole Park South</t>
  </si>
  <si>
    <t>3 Walpole Park South [0666]</t>
  </si>
  <si>
    <t>3 Walpole Park South</t>
  </si>
  <si>
    <t>4 Walpole Park South [0669]</t>
  </si>
  <si>
    <t>4 Walpole Park South</t>
  </si>
  <si>
    <t>Brockton [0662]</t>
  </si>
  <si>
    <t>Brockton</t>
  </si>
  <si>
    <t>Canton [0672]</t>
  </si>
  <si>
    <t>Canton</t>
  </si>
  <si>
    <t>Chelsea [0663]</t>
  </si>
  <si>
    <t>Chelsea</t>
  </si>
  <si>
    <t>Hamilton MA Landfill</t>
  </si>
  <si>
    <t>Hamilton Landfill</t>
  </si>
  <si>
    <t>InAccess</t>
  </si>
  <si>
    <t>Holliston [0674]</t>
  </si>
  <si>
    <t>Holliston</t>
  </si>
  <si>
    <t>MA: Natick HS - Carports</t>
  </si>
  <si>
    <t>Natick HS - Carports</t>
  </si>
  <si>
    <t>Norton [0671]</t>
  </si>
  <si>
    <t>Norton</t>
  </si>
  <si>
    <t>Palmer - Boston Rd. [0637]</t>
  </si>
  <si>
    <t>Palmer - Boston Rd.</t>
  </si>
  <si>
    <t>Shirley Bartkus [0632]</t>
  </si>
  <si>
    <t>Shirley Bartkus</t>
  </si>
  <si>
    <t>Stoughton [0661]</t>
  </si>
  <si>
    <t>Stoughton</t>
  </si>
  <si>
    <t>MA: Wellfleet Landfill</t>
  </si>
  <si>
    <t>Wellfleet Landfill</t>
  </si>
  <si>
    <t>Wilmington Garage &amp; Building 7 [0675]</t>
  </si>
  <si>
    <t>Wilmington Garage &amp; Building 7</t>
  </si>
  <si>
    <t>Woburn [0673]</t>
  </si>
  <si>
    <t>Woburn</t>
  </si>
  <si>
    <t>Friendship Solar 1 [0569]</t>
  </si>
  <si>
    <t>Friendship Solar 1</t>
  </si>
  <si>
    <t>MD</t>
  </si>
  <si>
    <t>Friendship Solar 2 [0570]</t>
  </si>
  <si>
    <t>Friendship Solar 2</t>
  </si>
  <si>
    <t>101 Carnegie Center</t>
  </si>
  <si>
    <t>NJ</t>
  </si>
  <si>
    <t>302 Carnegie Center</t>
  </si>
  <si>
    <t>510 Carnegie Center</t>
  </si>
  <si>
    <t>701 Carnegie Center</t>
  </si>
  <si>
    <t>Hudson County Correction [0470]</t>
  </si>
  <si>
    <t>Hudson County Correction</t>
  </si>
  <si>
    <t>ER Bison Solar [0371]</t>
  </si>
  <si>
    <t>ER Bison Solar</t>
  </si>
  <si>
    <t>PA</t>
  </si>
  <si>
    <t>Danville</t>
  </si>
  <si>
    <t>IL</t>
  </si>
  <si>
    <t>Oaks Landfill - ANEM</t>
  </si>
  <si>
    <t>ML</t>
  </si>
  <si>
    <t>Oaks Landfill - CS1</t>
  </si>
  <si>
    <t>Oaks Landfill - CS2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</si>
</sst>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charset val="1"/>
    </font>
    <font>
      <sz val="12"/>
      <color rgb="FF000000"/>
      <name val="Calibri"/>
    </font>
    <font>
      <sz val="11"/>
      <name val="Calibri"/>
      <scheme val="minor"/>
    </font>
    <font>
      <sz val="8"/>
      <name val="Arial"/>
    </font>
  </fonts>
  <fills count="51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10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9" fontId="31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35" fillId="40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28" fillId="40" borderId="0" xfId="0" applyFont="1" applyFill="1" applyAlignment="1">
      <alignment horizontal="left" vertical="center"/>
    </xf>
    <xf numFmtId="0" fontId="23" fillId="0" borderId="0" xfId="43" applyFont="1"/>
    <xf numFmtId="9" fontId="31" fillId="46" borderId="0" xfId="2" applyFont="1" applyFill="1" applyAlignment="1">
      <alignment horizontal="right" vertical="center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3" fontId="1" fillId="49" borderId="0" xfId="0" applyNumberFormat="1" applyFont="1" applyFill="1"/>
    <xf numFmtId="0" fontId="25" fillId="42" borderId="11" xfId="0" applyFont="1" applyFill="1" applyBorder="1" applyAlignment="1">
      <alignment horizontal="center" vertical="center"/>
    </xf>
    <xf numFmtId="3" fontId="1" fillId="4" borderId="0" xfId="1" applyNumberFormat="1" applyFont="1" applyFill="1" applyBorder="1"/>
    <xf numFmtId="3" fontId="1" fillId="46" borderId="0" xfId="1" applyNumberFormat="1" applyFont="1" applyFill="1" applyBorder="1"/>
    <xf numFmtId="3" fontId="1" fillId="48" borderId="0" xfId="0" applyNumberFormat="1" applyFont="1" applyFill="1"/>
    <xf numFmtId="0" fontId="36" fillId="38" borderId="0" xfId="0" applyFont="1" applyFill="1" applyAlignment="1">
      <alignment horizontal="left" vertical="top" wrapText="1"/>
    </xf>
    <xf numFmtId="3" fontId="31" fillId="0" borderId="0" xfId="0" applyNumberFormat="1" applyFont="1" applyAlignment="1">
      <alignment horizontal="center" vertical="center"/>
    </xf>
    <xf numFmtId="3" fontId="31" fillId="3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3" fontId="1" fillId="46" borderId="0" xfId="0" applyNumberFormat="1" applyFont="1" applyFill="1" applyAlignment="1">
      <alignment horizontal="center" vertical="center"/>
    </xf>
    <xf numFmtId="3" fontId="1" fillId="49" borderId="0" xfId="0" applyNumberFormat="1" applyFont="1" applyFill="1" applyAlignment="1">
      <alignment horizontal="center" vertical="center"/>
    </xf>
    <xf numFmtId="0" fontId="1" fillId="49" borderId="0" xfId="0" applyFont="1" applyFill="1" applyAlignment="1">
      <alignment horizontal="center" vertical="center"/>
    </xf>
    <xf numFmtId="3" fontId="1" fillId="47" borderId="0" xfId="0" applyNumberFormat="1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49" fontId="28" fillId="0" borderId="0" xfId="0" applyNumberFormat="1" applyFont="1" applyAlignment="1">
      <alignment vertical="top" wrapText="1"/>
    </xf>
    <xf numFmtId="49" fontId="29" fillId="0" borderId="0" xfId="0" applyNumberFormat="1" applyFont="1" applyAlignment="1">
      <alignment vertical="top" wrapText="1"/>
    </xf>
    <xf numFmtId="49" fontId="29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37" fillId="0" borderId="0" xfId="0" applyNumberFormat="1" applyFont="1" applyAlignment="1">
      <alignment horizontal="left" vertical="top" wrapText="1"/>
    </xf>
    <xf numFmtId="49" fontId="31" fillId="38" borderId="0" xfId="2" applyNumberFormat="1" applyFont="1" applyFill="1" applyBorder="1" applyAlignment="1">
      <alignment horizontal="left" vertical="top" wrapText="1"/>
    </xf>
    <xf numFmtId="0" fontId="35" fillId="40" borderId="0" xfId="0" applyFont="1" applyFill="1" applyAlignment="1">
      <alignment horizontal="center" vertical="center"/>
    </xf>
    <xf numFmtId="0" fontId="38" fillId="0" borderId="0" xfId="0" applyFont="1"/>
    <xf numFmtId="49" fontId="39" fillId="0" borderId="0" xfId="0" applyNumberFormat="1" applyFont="1" applyAlignment="1">
      <alignment vertical="center" wrapText="1"/>
    </xf>
    <xf numFmtId="49" fontId="37" fillId="0" borderId="0" xfId="0" applyNumberFormat="1" applyFont="1" applyAlignment="1">
      <alignment vertical="top" wrapText="1"/>
    </xf>
    <xf numFmtId="0" fontId="31" fillId="50" borderId="0" xfId="0" applyFont="1" applyFill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49" fontId="39" fillId="0" borderId="0" xfId="0" applyNumberFormat="1" applyFont="1" applyAlignment="1">
      <alignment horizontal="left" vertical="top" wrapText="1"/>
    </xf>
    <xf numFmtId="3" fontId="31" fillId="0" borderId="0" xfId="1" applyNumberFormat="1" applyFont="1" applyAlignment="1">
      <alignment vertical="center"/>
    </xf>
    <xf numFmtId="49" fontId="28" fillId="0" borderId="0" xfId="0" applyNumberFormat="1" applyFont="1" applyAlignment="1">
      <alignment vertical="center"/>
    </xf>
    <xf numFmtId="0" fontId="40" fillId="0" borderId="0" xfId="0" applyFont="1"/>
    <xf numFmtId="49" fontId="24" fillId="0" borderId="0" xfId="0" applyNumberFormat="1" applyFont="1" applyAlignment="1">
      <alignment vertical="top" wrapText="1"/>
    </xf>
    <xf numFmtId="164" fontId="29" fillId="44" borderId="0" xfId="1" applyNumberFormat="1" applyFont="1" applyFill="1" applyAlignment="1">
      <alignment horizontal="center" vertical="center"/>
    </xf>
    <xf numFmtId="9" fontId="31" fillId="3" borderId="0" xfId="2" applyFont="1" applyFill="1" applyAlignment="1">
      <alignment horizontal="center" vertical="center"/>
    </xf>
    <xf numFmtId="3" fontId="31" fillId="4" borderId="0" xfId="1" applyNumberFormat="1" applyFont="1" applyFill="1" applyAlignment="1">
      <alignment vertical="center"/>
    </xf>
    <xf numFmtId="9" fontId="31" fillId="37" borderId="0" xfId="2" applyFont="1" applyFill="1" applyAlignment="1">
      <alignment horizontal="center" vertical="center"/>
    </xf>
    <xf numFmtId="49" fontId="31" fillId="38" borderId="0" xfId="2" applyNumberFormat="1" applyFont="1" applyFill="1" applyAlignment="1">
      <alignment vertical="top" wrapText="1"/>
    </xf>
    <xf numFmtId="164" fontId="29" fillId="0" borderId="0" xfId="1" applyNumberFormat="1" applyFont="1" applyAlignment="1">
      <alignment horizontal="center" vertical="center"/>
    </xf>
    <xf numFmtId="9" fontId="31" fillId="0" borderId="0" xfId="2" applyFont="1" applyAlignment="1">
      <alignment horizontal="center" vertical="center"/>
    </xf>
    <xf numFmtId="49" fontId="24" fillId="0" borderId="0" xfId="0" applyNumberFormat="1" applyFont="1" applyAlignment="1">
      <alignment vertical="center" wrapText="1"/>
    </xf>
    <xf numFmtId="49" fontId="31" fillId="38" borderId="0" xfId="2" applyNumberFormat="1" applyFont="1" applyFill="1" applyBorder="1" applyAlignment="1">
      <alignment horizontal="left" vertical="top"/>
    </xf>
    <xf numFmtId="0" fontId="24" fillId="0" borderId="0" xfId="43" applyFont="1" applyAlignment="1">
      <alignment horizontal="left"/>
    </xf>
    <xf numFmtId="0" fontId="23" fillId="0" borderId="0" xfId="43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6" totalsRowShown="0">
  <autoFilter ref="A3:E3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/>
    <tableColumn id="4" xr3:uid="{E086A54F-BF3D-477F-A0D7-706863BF0C38}" name="DA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20" activePane="bottomRight" state="frozen"/>
      <selection pane="bottomRight" activeCell="C36" sqref="C3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9" t="str" cm="1">
        <f t="array" ref="A1">portfolio</f>
        <v>Greenbacker Capital</v>
      </c>
      <c r="B1" s="99"/>
      <c r="C1" s="99"/>
      <c r="D1" s="100" t="s">
        <v>0</v>
      </c>
      <c r="E1" s="100"/>
      <c r="F1" s="100"/>
      <c r="G1" s="98" t="s">
        <v>1</v>
      </c>
      <c r="H1" s="98"/>
      <c r="I1" s="98"/>
    </row>
    <row r="2" spans="1:9" ht="19.5" customHeight="1">
      <c r="A2" s="101" t="s">
        <v>2</v>
      </c>
      <c r="B2" s="101"/>
      <c r="C2" s="5">
        <f>SUM(C4:C100)</f>
        <v>50476149.173301637</v>
      </c>
      <c r="D2" s="5">
        <f>SUM(D4:D100)</f>
        <v>46253557.890899993</v>
      </c>
      <c r="E2" s="5">
        <f>C2-D2</f>
        <v>4222591.2824016437</v>
      </c>
      <c r="F2" s="6">
        <f>IFERROR(E2/D2, 0)</f>
        <v>9.1292248098224754E-2</v>
      </c>
      <c r="G2" s="5">
        <f>SUM(G4:G100)</f>
        <v>35831632.213</v>
      </c>
      <c r="H2" s="7">
        <f>C2-G2</f>
        <v>14644516.960301638</v>
      </c>
      <c r="I2" s="6">
        <f>IFERROR(H2/G2, 0)</f>
        <v>0.4087035966781466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6">Sites[Site]</f>
        <v>10 Walpole Park South</v>
      </c>
      <c r="B4" s="9" t="str" cm="1">
        <f t="array" ref="B4:B36">Sites[State]</f>
        <v>MA</v>
      </c>
      <c r="C4" s="24">
        <f>SUM('1st Qtr'!C4, '2nd Qtr'!C4, '3rd Qtr'!C4, '4th Qtr'!C4)</f>
        <v>163442.625</v>
      </c>
      <c r="D4" s="13">
        <f>SUM('1st Qtr'!D4, '2nd Qtr'!D4, '3rd Qtr'!D4, '4th Qtr'!D4)</f>
        <v>157448.32500000001</v>
      </c>
      <c r="E4" s="13">
        <f>IF(AND(ISNUMBER(C4),ISNUMBER(D4)), C4-D4, "")</f>
        <v>5994.2999999999884</v>
      </c>
      <c r="F4" s="14">
        <f>IFERROR(E4/D4, "")</f>
        <v>3.807153870960512E-2</v>
      </c>
      <c r="G4" s="15">
        <f>SUM('1st Qtr'!G4, '2nd Qtr'!G4, '3rd Qtr'!G4, '4th Qtr'!G4)</f>
        <v>175542.883</v>
      </c>
      <c r="H4" s="15">
        <f>SUM('1st Qtr'!H4, '2nd Qtr'!H4, '3rd Qtr'!H4, '4th Qtr'!H4)</f>
        <v>-12100.257999999996</v>
      </c>
      <c r="I4" s="16">
        <f>IFERROR(H4/G4, "")</f>
        <v>-6.8930496031559402E-2</v>
      </c>
    </row>
    <row r="5" spans="1:9" ht="15.75">
      <c r="A5" s="17" t="str">
        <v>15 Walpole Park South</v>
      </c>
      <c r="B5" s="10" t="str">
        <v>MA</v>
      </c>
      <c r="C5" s="18">
        <f>SUM('1st Qtr'!C5, '2nd Qtr'!C5, '3rd Qtr'!C5, '4th Qtr'!C5)</f>
        <v>596649</v>
      </c>
      <c r="D5" s="18">
        <f>SUM('1st Qtr'!D5, '2nd Qtr'!D5, '3rd Qtr'!D5, '4th Qtr'!D5)</f>
        <v>595502.4</v>
      </c>
      <c r="E5" s="18">
        <f t="shared" ref="E5:E15" si="0">IF(AND(ISNUMBER(C5),ISNUMBER(D5)), C5-D5, "")</f>
        <v>1146.5999999999767</v>
      </c>
      <c r="F5" s="19">
        <f>IFERROR(E5/D5, "")</f>
        <v>1.9254330461136288E-3</v>
      </c>
      <c r="G5" s="20">
        <f>SUM('1st Qtr'!G5, '2nd Qtr'!G5, '3rd Qtr'!G5, '4th Qtr'!G5)</f>
        <v>609714.35</v>
      </c>
      <c r="H5" s="83">
        <f>SUM('1st Qtr'!H5, '2nd Qtr'!H5, '3rd Qtr'!H5, '4th Qtr'!H5)</f>
        <v>-13065.349999999988</v>
      </c>
      <c r="I5" s="19">
        <f>IFERROR(H5/G5, "")</f>
        <v>-2.1428641133343817E-2</v>
      </c>
    </row>
    <row r="6" spans="1:9" ht="15.75">
      <c r="A6" s="12" t="str">
        <v>19 Walpole Park South</v>
      </c>
      <c r="B6" s="9" t="str">
        <v>MA</v>
      </c>
      <c r="C6" s="24">
        <f>SUM('1st Qtr'!C6, '2nd Qtr'!C6, '3rd Qtr'!C6, '4th Qtr'!C6)</f>
        <v>368900.125</v>
      </c>
      <c r="D6" s="13">
        <f>SUM('1st Qtr'!D6, '2nd Qtr'!D6, '3rd Qtr'!D6, '4th Qtr'!D6)</f>
        <v>362032.29</v>
      </c>
      <c r="E6" s="13">
        <f t="shared" si="0"/>
        <v>6867.835000000021</v>
      </c>
      <c r="F6" s="14">
        <f t="shared" ref="F6:F15" si="1">IFERROR(E6/D6, "")</f>
        <v>1.8970227766147658E-2</v>
      </c>
      <c r="G6" s="15">
        <f>SUM('1st Qtr'!G6, '2nd Qtr'!G6, '3rd Qtr'!G6, '4th Qtr'!G6)</f>
        <v>390462.38</v>
      </c>
      <c r="H6" s="15">
        <f>SUM('1st Qtr'!H6, '2nd Qtr'!H6, '3rd Qtr'!H6, '4th Qtr'!H6)</f>
        <v>-21562.25499999999</v>
      </c>
      <c r="I6" s="16">
        <f t="shared" ref="I6:I15" si="2">IFERROR(H6/G6, "")</f>
        <v>-5.5222362267012742E-2</v>
      </c>
    </row>
    <row r="7" spans="1:9" ht="15.75">
      <c r="A7" s="17" t="str">
        <v>23 Walpole Park South</v>
      </c>
      <c r="B7" s="10" t="str">
        <v>MA</v>
      </c>
      <c r="C7" s="18">
        <f>SUM('1st Qtr'!C7, '2nd Qtr'!C7, '3rd Qtr'!C7, '4th Qtr'!C7)</f>
        <v>511125.25</v>
      </c>
      <c r="D7" s="18">
        <f>SUM('1st Qtr'!D7, '2nd Qtr'!D7, '3rd Qtr'!D7, '4th Qtr'!D7)</f>
        <v>473189.25</v>
      </c>
      <c r="E7" s="18">
        <f t="shared" si="0"/>
        <v>37936</v>
      </c>
      <c r="F7" s="19">
        <f t="shared" si="1"/>
        <v>8.017088300294227E-2</v>
      </c>
      <c r="G7" s="20">
        <f>SUM('1st Qtr'!G7, '2nd Qtr'!G7, '3rd Qtr'!G7, '4th Qtr'!G7)</f>
        <v>511358.13</v>
      </c>
      <c r="H7" s="20">
        <f>SUM('1st Qtr'!H7, '2nd Qtr'!H7, '3rd Qtr'!H7, '4th Qtr'!H7)</f>
        <v>-232.88000000000829</v>
      </c>
      <c r="I7" s="19">
        <f t="shared" si="2"/>
        <v>-4.5541468168308635E-4</v>
      </c>
    </row>
    <row r="8" spans="1:9" ht="15.75">
      <c r="A8" s="12" t="str">
        <v>24 Walpole Park South</v>
      </c>
      <c r="B8" s="9" t="str">
        <v>MA</v>
      </c>
      <c r="C8" s="24">
        <f>SUM('1st Qtr'!C8, '2nd Qtr'!C8, '3rd Qtr'!C8, '4th Qtr'!C8)</f>
        <v>707462.75</v>
      </c>
      <c r="D8" s="13">
        <f>SUM('1st Qtr'!D8, '2nd Qtr'!D8, '3rd Qtr'!D8, '4th Qtr'!D8)</f>
        <v>619609.99800000002</v>
      </c>
      <c r="E8" s="13">
        <f t="shared" si="0"/>
        <v>87852.751999999979</v>
      </c>
      <c r="F8" s="14">
        <f t="shared" si="1"/>
        <v>0.14178717626180071</v>
      </c>
      <c r="G8" s="15">
        <f>SUM('1st Qtr'!G8, '2nd Qtr'!G8, '3rd Qtr'!G8, '4th Qtr'!G8)</f>
        <v>786387.92</v>
      </c>
      <c r="H8" s="15">
        <f>SUM('1st Qtr'!H8, '2nd Qtr'!H8, '3rd Qtr'!H8, '4th Qtr'!H8)</f>
        <v>-78925.170000000027</v>
      </c>
      <c r="I8" s="16">
        <f t="shared" si="2"/>
        <v>-0.10036416886973547</v>
      </c>
    </row>
    <row r="9" spans="1:9" ht="15.75">
      <c r="A9" s="17" t="str">
        <v>25 Walpole Park South</v>
      </c>
      <c r="B9" s="10" t="str">
        <v>MA</v>
      </c>
      <c r="C9" s="18">
        <f>SUM('1st Qtr'!C9, '2nd Qtr'!C9, '3rd Qtr'!C9, '4th Qtr'!C9)</f>
        <v>721706.5</v>
      </c>
      <c r="D9" s="18">
        <f>SUM('1st Qtr'!D9, '2nd Qtr'!D9, '3rd Qtr'!D9, '4th Qtr'!D9)</f>
        <v>716191.55999999994</v>
      </c>
      <c r="E9" s="18">
        <f t="shared" si="0"/>
        <v>5514.9400000000605</v>
      </c>
      <c r="F9" s="19">
        <f t="shared" si="1"/>
        <v>7.7003699959827246E-3</v>
      </c>
      <c r="G9" s="20">
        <f>SUM('1st Qtr'!G9, '2nd Qtr'!G9, '3rd Qtr'!G9, '4th Qtr'!G9)</f>
        <v>797371.09000000008</v>
      </c>
      <c r="H9" s="20">
        <f>SUM('1st Qtr'!H9, '2nd Qtr'!H9, '3rd Qtr'!H9, '4th Qtr'!H9)</f>
        <v>-75664.59</v>
      </c>
      <c r="I9" s="19">
        <f t="shared" si="2"/>
        <v>-9.4892567524613905E-2</v>
      </c>
    </row>
    <row r="10" spans="1:9" ht="15.75">
      <c r="A10" s="12" t="str">
        <v>3 Walpole Park South</v>
      </c>
      <c r="B10" s="9" t="str">
        <v>MA</v>
      </c>
      <c r="C10" s="24">
        <f>SUM('1st Qtr'!C10, '2nd Qtr'!C10, '3rd Qtr'!C10, '4th Qtr'!C10)</f>
        <v>935370.8125</v>
      </c>
      <c r="D10" s="13">
        <f>SUM('1st Qtr'!D10, '2nd Qtr'!D10, '3rd Qtr'!D10, '4th Qtr'!D10)</f>
        <v>917610.02</v>
      </c>
      <c r="E10" s="13">
        <f t="shared" si="0"/>
        <v>17760.792499999981</v>
      </c>
      <c r="F10" s="14">
        <f t="shared" si="1"/>
        <v>1.9355491017850897E-2</v>
      </c>
      <c r="G10" s="15">
        <f>SUM('1st Qtr'!G10, '2nd Qtr'!G10, '3rd Qtr'!G10, '4th Qtr'!G10)</f>
        <v>950383.02</v>
      </c>
      <c r="H10" s="15">
        <f>SUM('1st Qtr'!H10, '2nd Qtr'!H10, '3rd Qtr'!H10, '4th Qtr'!H10)</f>
        <v>-15012.207500000026</v>
      </c>
      <c r="I10" s="16">
        <f t="shared" si="2"/>
        <v>-1.5795955087665629E-2</v>
      </c>
    </row>
    <row r="11" spans="1:9" ht="15.75">
      <c r="A11" s="17" t="str">
        <v>4 Walpole Park South</v>
      </c>
      <c r="B11" s="10" t="str">
        <v>MA</v>
      </c>
      <c r="C11" s="18">
        <f>SUM('1st Qtr'!C11, '2nd Qtr'!C11, '3rd Qtr'!C11, '4th Qtr'!C11)</f>
        <v>519076.75</v>
      </c>
      <c r="D11" s="18">
        <f>SUM('1st Qtr'!D11, '2nd Qtr'!D11, '3rd Qtr'!D11, '4th Qtr'!D11)</f>
        <v>513308.75</v>
      </c>
      <c r="E11" s="18">
        <f t="shared" si="0"/>
        <v>5768</v>
      </c>
      <c r="F11" s="19">
        <f t="shared" si="1"/>
        <v>1.1236901767211255E-2</v>
      </c>
      <c r="G11" s="20">
        <f>SUM('1st Qtr'!G11, '2nd Qtr'!G11, '3rd Qtr'!G11, '4th Qtr'!G11)</f>
        <v>529439.37</v>
      </c>
      <c r="H11" s="20">
        <f>SUM('1st Qtr'!H11, '2nd Qtr'!H11, '3rd Qtr'!H11, '4th Qtr'!H11)</f>
        <v>-10362.619999999999</v>
      </c>
      <c r="I11" s="19">
        <f t="shared" si="2"/>
        <v>-1.9572817185846983E-2</v>
      </c>
    </row>
    <row r="12" spans="1:9" ht="15.75">
      <c r="A12" s="12" t="str">
        <v>Brockton</v>
      </c>
      <c r="B12" s="9" t="str">
        <v>MA</v>
      </c>
      <c r="C12" s="24">
        <f>SUM('1st Qtr'!C12, '2nd Qtr'!C12, '3rd Qtr'!C12, '4th Qtr'!C12)</f>
        <v>855813</v>
      </c>
      <c r="D12" s="13">
        <f>SUM('1st Qtr'!D12, '2nd Qtr'!D12, '3rd Qtr'!D12, '4th Qtr'!D12)</f>
        <v>777326.91</v>
      </c>
      <c r="E12" s="13">
        <f t="shared" si="0"/>
        <v>78486.089999999967</v>
      </c>
      <c r="F12" s="14">
        <f t="shared" si="1"/>
        <v>0.10096921770018223</v>
      </c>
      <c r="G12" s="15">
        <f>SUM('1st Qtr'!G12, '2nd Qtr'!G12, '3rd Qtr'!G12, '4th Qtr'!G12)</f>
        <v>883231.35</v>
      </c>
      <c r="H12" s="15">
        <f>SUM('1st Qtr'!H12, '2nd Qtr'!H12, '3rd Qtr'!H12, '4th Qtr'!H12)</f>
        <v>-27418.349999999991</v>
      </c>
      <c r="I12" s="16">
        <f t="shared" si="2"/>
        <v>-3.1043225537680463E-2</v>
      </c>
    </row>
    <row r="13" spans="1:9" ht="15.75">
      <c r="A13" s="17" t="str">
        <v>Canton</v>
      </c>
      <c r="B13" s="10" t="str">
        <v>MA</v>
      </c>
      <c r="C13" s="18">
        <f>SUM('1st Qtr'!C13, '2nd Qtr'!C13, '3rd Qtr'!C13, '4th Qtr'!C13)</f>
        <v>777426.74999999965</v>
      </c>
      <c r="D13" s="18">
        <f>SUM('1st Qtr'!D13, '2nd Qtr'!D13, '3rd Qtr'!D13, '4th Qtr'!D13)</f>
        <v>754438.83</v>
      </c>
      <c r="E13" s="18">
        <f t="shared" si="0"/>
        <v>22987.919999999693</v>
      </c>
      <c r="F13" s="19">
        <f t="shared" si="1"/>
        <v>3.0470223808601812E-2</v>
      </c>
      <c r="G13" s="20">
        <f>SUM('1st Qtr'!G13, '2nd Qtr'!G13, '3rd Qtr'!G13, '4th Qtr'!G13)</f>
        <v>857997.55</v>
      </c>
      <c r="H13" s="20">
        <f>SUM('1st Qtr'!H13, '2nd Qtr'!H13, '3rd Qtr'!H13, '4th Qtr'!H13)</f>
        <v>-80570.800000000323</v>
      </c>
      <c r="I13" s="19">
        <f t="shared" si="2"/>
        <v>-9.3905629450807077E-2</v>
      </c>
    </row>
    <row r="14" spans="1:9" ht="15.75">
      <c r="A14" s="12" t="str">
        <v>Chelsea</v>
      </c>
      <c r="B14" s="9" t="str">
        <v>MA</v>
      </c>
      <c r="C14" s="24">
        <f>SUM('1st Qtr'!C14, '2nd Qtr'!C14, '3rd Qtr'!C14, '4th Qtr'!C14)</f>
        <v>1434158</v>
      </c>
      <c r="D14" s="13">
        <f>SUM('1st Qtr'!D14, '2nd Qtr'!D14, '3rd Qtr'!D14, '4th Qtr'!D14)</f>
        <v>1430657.56</v>
      </c>
      <c r="E14" s="13">
        <f t="shared" si="0"/>
        <v>3500.4399999999441</v>
      </c>
      <c r="F14" s="14">
        <f t="shared" si="1"/>
        <v>2.4467350523768553E-3</v>
      </c>
      <c r="G14" s="15">
        <f>SUM('1st Qtr'!G14, '2nd Qtr'!G14, '3rd Qtr'!G14, '4th Qtr'!G14)</f>
        <v>1408890.5</v>
      </c>
      <c r="H14" s="15">
        <f>SUM('1st Qtr'!H14, '2nd Qtr'!H14, '3rd Qtr'!H14, '4th Qtr'!H14)</f>
        <v>25267.499999999971</v>
      </c>
      <c r="I14" s="16">
        <f t="shared" si="2"/>
        <v>1.7934324917372905E-2</v>
      </c>
    </row>
    <row r="15" spans="1:9" ht="15.75">
      <c r="A15" s="17" t="str">
        <v>Hamilton Landfill</v>
      </c>
      <c r="B15" s="10" t="str">
        <v>MA</v>
      </c>
      <c r="C15" s="18">
        <f>SUM('1st Qtr'!C15, '2nd Qtr'!C15, '3rd Qtr'!C15, '4th Qtr'!C15)</f>
        <v>1155854.0704817625</v>
      </c>
      <c r="D15" s="18">
        <f>SUM('1st Qtr'!D15, '2nd Qtr'!D15, '3rd Qtr'!D15, '4th Qtr'!D15)</f>
        <v>1306341.713</v>
      </c>
      <c r="E15" s="18">
        <f t="shared" si="0"/>
        <v>-150487.64251823747</v>
      </c>
      <c r="F15" s="19">
        <f t="shared" si="1"/>
        <v>-0.11519776259202823</v>
      </c>
      <c r="G15" s="20">
        <f>SUM('1st Qtr'!G15, '2nd Qtr'!G15, '3rd Qtr'!G15, '4th Qtr'!G15)</f>
        <v>0</v>
      </c>
      <c r="H15" s="20">
        <f>SUM('1st Qtr'!H15, '2nd Qtr'!H15, '3rd Qtr'!H15, '4th Qtr'!H15)</f>
        <v>1155854.0704817625</v>
      </c>
      <c r="I15" s="19" t="str">
        <f t="shared" si="2"/>
        <v/>
      </c>
    </row>
    <row r="16" spans="1:9" ht="15.75">
      <c r="A16" s="12" t="str">
        <v>Holliston</v>
      </c>
      <c r="B16" s="9" t="str">
        <v>MA</v>
      </c>
      <c r="C16" s="24">
        <f>SUM('1st Qtr'!C16, '2nd Qtr'!C16, '3rd Qtr'!C16, '4th Qtr'!C16)</f>
        <v>2025332.5</v>
      </c>
      <c r="D16" s="13">
        <f>SUM('1st Qtr'!D16, '2nd Qtr'!D16, '3rd Qtr'!D16, '4th Qtr'!D16)</f>
        <v>2218077.9699999997</v>
      </c>
      <c r="E16" s="13">
        <f t="shared" ref="E16:E19" si="3">IF(AND(ISNUMBER(C16),ISNUMBER(D16)), C16-D16, "")</f>
        <v>-192745.46999999974</v>
      </c>
      <c r="F16" s="14">
        <f t="shared" ref="F16:F19" si="4">IFERROR(E16/D16, "")</f>
        <v>-8.6897517854162609E-2</v>
      </c>
      <c r="G16" s="15">
        <f>SUM('1st Qtr'!G16, '2nd Qtr'!G16, '3rd Qtr'!G16, '4th Qtr'!G16)</f>
        <v>2291898.87</v>
      </c>
      <c r="H16" s="15">
        <f>SUM('1st Qtr'!H16, '2nd Qtr'!H16, '3rd Qtr'!H16, '4th Qtr'!H16)</f>
        <v>-266566.37</v>
      </c>
      <c r="I16" s="16">
        <f t="shared" ref="I16:I19" si="5">IFERROR(H16/G16, "")</f>
        <v>-0.11630808561810582</v>
      </c>
    </row>
    <row r="17" spans="1:9" ht="15.75">
      <c r="A17" s="17" t="str">
        <v>Natick HS - Carports</v>
      </c>
      <c r="B17" s="10" t="str">
        <v>MA</v>
      </c>
      <c r="C17" s="18">
        <f>SUM('1st Qtr'!C17, '2nd Qtr'!C17, '3rd Qtr'!C17, '4th Qtr'!C17)</f>
        <v>709096.76679999987</v>
      </c>
      <c r="D17" s="18">
        <f>SUM('1st Qtr'!D17, '2nd Qtr'!D17, '3rd Qtr'!D17, '4th Qtr'!D17)</f>
        <v>839629.98479999998</v>
      </c>
      <c r="E17" s="18">
        <f t="shared" si="3"/>
        <v>-130533.21800000011</v>
      </c>
      <c r="F17" s="19">
        <f t="shared" si="4"/>
        <v>-0.15546516961408083</v>
      </c>
      <c r="G17" s="20">
        <f>SUM('1st Qtr'!G17, '2nd Qtr'!G17, '3rd Qtr'!G17, '4th Qtr'!G17)</f>
        <v>0</v>
      </c>
      <c r="H17" s="20">
        <f>SUM('1st Qtr'!H17, '2nd Qtr'!H17, '3rd Qtr'!H17, '4th Qtr'!H17)</f>
        <v>709096.76679999987</v>
      </c>
      <c r="I17" s="19" t="str">
        <f t="shared" si="5"/>
        <v/>
      </c>
    </row>
    <row r="18" spans="1:9" ht="12.75" customHeight="1">
      <c r="A18" s="12" t="str">
        <v>Norton</v>
      </c>
      <c r="B18" s="9" t="str">
        <v>MA</v>
      </c>
      <c r="C18" s="24">
        <f>SUM('1st Qtr'!C18, '2nd Qtr'!C18, '3rd Qtr'!C18, '4th Qtr'!C18)</f>
        <v>673843</v>
      </c>
      <c r="D18" s="13">
        <f>SUM('1st Qtr'!D18, '2nd Qtr'!D18, '3rd Qtr'!D18, '4th Qtr'!D18)</f>
        <v>752643.90700000001</v>
      </c>
      <c r="E18" s="13">
        <f t="shared" si="3"/>
        <v>-78800.907000000007</v>
      </c>
      <c r="F18" s="14">
        <f t="shared" si="4"/>
        <v>-0.10469879084532335</v>
      </c>
      <c r="G18" s="15">
        <f>SUM('1st Qtr'!G18, '2nd Qtr'!G18, '3rd Qtr'!G18, '4th Qtr'!G18)</f>
        <v>2483550</v>
      </c>
      <c r="H18" s="15">
        <f>SUM('1st Qtr'!H18, '2nd Qtr'!H18, '3rd Qtr'!H18, '4th Qtr'!H18)</f>
        <v>-1809707</v>
      </c>
      <c r="I18" s="16">
        <f t="shared" si="5"/>
        <v>-0.72867749793642167</v>
      </c>
    </row>
    <row r="19" spans="1:9" ht="15.75">
      <c r="A19" s="17" t="str">
        <v>Palmer - Boston Rd.</v>
      </c>
      <c r="B19" s="10" t="str">
        <v>MA</v>
      </c>
      <c r="C19" s="18">
        <f>SUM('1st Qtr'!C19, '2nd Qtr'!C19, '3rd Qtr'!C19, '4th Qtr'!C19)</f>
        <v>754331.04750000034</v>
      </c>
      <c r="D19" s="18">
        <f>SUM('1st Qtr'!D19, '2nd Qtr'!D19, '3rd Qtr'!D19, '4th Qtr'!D19)</f>
        <v>744761.11</v>
      </c>
      <c r="E19" s="18">
        <f t="shared" si="3"/>
        <v>9569.9375000003492</v>
      </c>
      <c r="F19" s="19">
        <f t="shared" si="4"/>
        <v>1.2849674038431397E-2</v>
      </c>
      <c r="G19" s="20">
        <f>SUM('1st Qtr'!G19, '2nd Qtr'!G19, '3rd Qtr'!G19, '4th Qtr'!G19)</f>
        <v>799467</v>
      </c>
      <c r="H19" s="20">
        <f>SUM('1st Qtr'!H19, '2nd Qtr'!H19, '3rd Qtr'!H19, '4th Qtr'!H19)</f>
        <v>-45135.952499999701</v>
      </c>
      <c r="I19" s="19">
        <f t="shared" si="5"/>
        <v>-5.6457555471332403E-2</v>
      </c>
    </row>
    <row r="20" spans="1:9" ht="15.75">
      <c r="A20" s="12" t="str">
        <v>Shirley Bartkus</v>
      </c>
      <c r="B20" s="9" t="str">
        <v>MA</v>
      </c>
      <c r="C20" s="24">
        <f>SUM('1st Qtr'!C20, '2nd Qtr'!C20, '3rd Qtr'!C20, '4th Qtr'!C20)</f>
        <v>1105873.9422243619</v>
      </c>
      <c r="D20" s="13">
        <f>SUM('1st Qtr'!D20, '2nd Qtr'!D20, '3rd Qtr'!D20, '4th Qtr'!D20)</f>
        <v>455610.28300000005</v>
      </c>
      <c r="E20" s="13">
        <f t="shared" ref="E20:E33" si="6">IF(AND(ISNUMBER(C20),ISNUMBER(D20)), C20-D20, "")</f>
        <v>650263.65922436188</v>
      </c>
      <c r="F20" s="14">
        <f t="shared" ref="F20:F33" si="7">IFERROR(E20/D20, "")</f>
        <v>1.4272365736406389</v>
      </c>
      <c r="G20" s="15">
        <f>SUM('1st Qtr'!G20, '2nd Qtr'!G20, '3rd Qtr'!G20, '4th Qtr'!G20)</f>
        <v>1268969</v>
      </c>
      <c r="H20" s="15">
        <f>SUM('1st Qtr'!H20, '2nd Qtr'!H20, '3rd Qtr'!H20, '4th Qtr'!H20)</f>
        <v>-163095.05777563812</v>
      </c>
      <c r="I20" s="16">
        <f t="shared" ref="I20:I33" si="8">IFERROR(H20/G20, "")</f>
        <v>-0.12852564386965964</v>
      </c>
    </row>
    <row r="21" spans="1:9" ht="15.75">
      <c r="A21" s="17" t="str">
        <v>Stoughton</v>
      </c>
      <c r="B21" s="10" t="str">
        <v>MA</v>
      </c>
      <c r="C21" s="18">
        <f>SUM('1st Qtr'!C21, '2nd Qtr'!C21, '3rd Qtr'!C21, '4th Qtr'!C21)</f>
        <v>979808</v>
      </c>
      <c r="D21" s="18">
        <f>SUM('1st Qtr'!D21, '2nd Qtr'!D21, '3rd Qtr'!D21, '4th Qtr'!D21)</f>
        <v>594927.00999999989</v>
      </c>
      <c r="E21" s="18">
        <f t="shared" si="6"/>
        <v>384880.99000000011</v>
      </c>
      <c r="F21" s="19">
        <f t="shared" si="7"/>
        <v>0.64693816809561255</v>
      </c>
      <c r="G21" s="20">
        <f>SUM('1st Qtr'!G21, '2nd Qtr'!G21, '3rd Qtr'!G21, '4th Qtr'!G21)</f>
        <v>958569.35000000009</v>
      </c>
      <c r="H21" s="20">
        <f>SUM('1st Qtr'!H21, '2nd Qtr'!H21, '3rd Qtr'!H21, '4th Qtr'!H21)</f>
        <v>21238.649999999991</v>
      </c>
      <c r="I21" s="19">
        <f t="shared" si="8"/>
        <v>2.2156612873132225E-2</v>
      </c>
    </row>
    <row r="22" spans="1:9" ht="15.75">
      <c r="A22" s="12" t="str">
        <v>Wellfleet Landfill</v>
      </c>
      <c r="B22" s="9" t="str">
        <v>MA</v>
      </c>
      <c r="C22" s="24">
        <f>SUM('1st Qtr'!C22, '2nd Qtr'!C22, '3rd Qtr'!C22, '4th Qtr'!C22)</f>
        <v>1198467.774</v>
      </c>
      <c r="D22" s="13">
        <f>SUM('1st Qtr'!D22, '2nd Qtr'!D22, '3rd Qtr'!D22, '4th Qtr'!D22)</f>
        <v>1268071.3689999999</v>
      </c>
      <c r="E22" s="13">
        <f t="shared" si="6"/>
        <v>-69603.594999999972</v>
      </c>
      <c r="F22" s="14">
        <f t="shared" si="7"/>
        <v>-5.4889335649056813E-2</v>
      </c>
      <c r="G22" s="15">
        <f>SUM('1st Qtr'!G22, '2nd Qtr'!G22, '3rd Qtr'!G22, '4th Qtr'!G22)</f>
        <v>0</v>
      </c>
      <c r="H22" s="15">
        <f>SUM('1st Qtr'!H22, '2nd Qtr'!H22, '3rd Qtr'!H22, '4th Qtr'!H22)</f>
        <v>1198467.774</v>
      </c>
      <c r="I22" s="16" t="str">
        <f t="shared" si="8"/>
        <v/>
      </c>
    </row>
    <row r="23" spans="1:9" ht="15.75">
      <c r="A23" s="17" t="str">
        <v>Wilmington Garage &amp; Building 7</v>
      </c>
      <c r="B23" s="10" t="str">
        <v>MA</v>
      </c>
      <c r="C23" s="18">
        <f>SUM('1st Qtr'!C23, '2nd Qtr'!C23, '3rd Qtr'!C23, '4th Qtr'!C23)</f>
        <v>1394371.24</v>
      </c>
      <c r="D23" s="18">
        <f>SUM('1st Qtr'!D23, '2nd Qtr'!D23, '3rd Qtr'!D23, '4th Qtr'!D23)</f>
        <v>1439477.7</v>
      </c>
      <c r="E23" s="18">
        <f t="shared" si="6"/>
        <v>-45106.459999999963</v>
      </c>
      <c r="F23" s="19">
        <f t="shared" si="7"/>
        <v>-3.133529612858884E-2</v>
      </c>
      <c r="G23" s="20">
        <f>SUM('1st Qtr'!G23, '2nd Qtr'!G23, '3rd Qtr'!G23, '4th Qtr'!G23)</f>
        <v>1458960.45</v>
      </c>
      <c r="H23" s="20">
        <f>SUM('1st Qtr'!H23, '2nd Qtr'!H23, '3rd Qtr'!H23, '4th Qtr'!H23)</f>
        <v>-64589.210000000021</v>
      </c>
      <c r="I23" s="19">
        <f t="shared" si="8"/>
        <v>-4.427070658426692E-2</v>
      </c>
    </row>
    <row r="24" spans="1:9" ht="15.75">
      <c r="A24" s="12" t="str">
        <v>Woburn</v>
      </c>
      <c r="B24" s="9" t="str">
        <v>MA</v>
      </c>
      <c r="C24" s="24">
        <f>SUM('1st Qtr'!C24, '2nd Qtr'!C24, '3rd Qtr'!C24, '4th Qtr'!C24)</f>
        <v>2065289.9999999993</v>
      </c>
      <c r="D24" s="13">
        <f>SUM('1st Qtr'!D24, '2nd Qtr'!D24, '3rd Qtr'!D24, '4th Qtr'!D24)</f>
        <v>2173939.17</v>
      </c>
      <c r="E24" s="13">
        <f t="shared" si="6"/>
        <v>-108649.17000000062</v>
      </c>
      <c r="F24" s="14">
        <f t="shared" si="7"/>
        <v>-4.9978017554189721E-2</v>
      </c>
      <c r="G24" s="15">
        <f>SUM('1st Qtr'!G24, '2nd Qtr'!G24, '3rd Qtr'!G24, '4th Qtr'!G24)</f>
        <v>2095932.52</v>
      </c>
      <c r="H24" s="15">
        <f>SUM('1st Qtr'!H24, '2nd Qtr'!H24, '3rd Qtr'!H24, '4th Qtr'!H24)</f>
        <v>-30642.520000000695</v>
      </c>
      <c r="I24" s="16">
        <f t="shared" si="8"/>
        <v>-1.461999358643507E-2</v>
      </c>
    </row>
    <row r="25" spans="1:9" ht="15.75">
      <c r="A25" s="17" t="str">
        <v>Friendship Solar 1</v>
      </c>
      <c r="B25" s="10" t="str">
        <v>MD</v>
      </c>
      <c r="C25" s="18">
        <f>SUM('1st Qtr'!C25, '2nd Qtr'!C25, '3rd Qtr'!C25, '4th Qtr'!C25)</f>
        <v>4433246</v>
      </c>
      <c r="D25" s="18">
        <f>SUM('1st Qtr'!D25, '2nd Qtr'!D25, '3rd Qtr'!D25, '4th Qtr'!D25)</f>
        <v>4704206.2</v>
      </c>
      <c r="E25" s="18">
        <f t="shared" si="6"/>
        <v>-270960.20000000019</v>
      </c>
      <c r="F25" s="19">
        <f t="shared" si="7"/>
        <v>-5.759955845472934E-2</v>
      </c>
      <c r="G25" s="20">
        <f>SUM('1st Qtr'!G25, '2nd Qtr'!G25, '3rd Qtr'!G25, '4th Qtr'!G25)</f>
        <v>5071707.3999999994</v>
      </c>
      <c r="H25" s="20">
        <f>SUM('1st Qtr'!H25, '2nd Qtr'!H25, '3rd Qtr'!H25, '4th Qtr'!H25)</f>
        <v>-638461.4</v>
      </c>
      <c r="I25" s="19">
        <f t="shared" si="8"/>
        <v>-0.12588687588720124</v>
      </c>
    </row>
    <row r="26" spans="1:9" ht="15.75">
      <c r="A26" s="12" t="str">
        <v>Friendship Solar 2</v>
      </c>
      <c r="B26" s="9" t="str">
        <v>MD</v>
      </c>
      <c r="C26" s="24">
        <f>SUM('1st Qtr'!C26, '2nd Qtr'!C26, '3rd Qtr'!C26, '4th Qtr'!C26)</f>
        <v>4432407</v>
      </c>
      <c r="D26" s="13">
        <f>SUM('1st Qtr'!D26, '2nd Qtr'!D26, '3rd Qtr'!D26, '4th Qtr'!D26)</f>
        <v>4754341.5</v>
      </c>
      <c r="E26" s="13">
        <f t="shared" si="6"/>
        <v>-321934.5</v>
      </c>
      <c r="F26" s="14">
        <f t="shared" si="7"/>
        <v>-6.7713793802990377E-2</v>
      </c>
      <c r="G26" s="15">
        <f>SUM('1st Qtr'!G26, '2nd Qtr'!G26, '3rd Qtr'!G26, '4th Qtr'!G26)</f>
        <v>5022442.8999999994</v>
      </c>
      <c r="H26" s="15">
        <f>SUM('1st Qtr'!H26, '2nd Qtr'!H26, '3rd Qtr'!H26, '4th Qtr'!H26)</f>
        <v>-590035.90000000014</v>
      </c>
      <c r="I26" s="16">
        <f t="shared" si="8"/>
        <v>-0.11747986223994705</v>
      </c>
    </row>
    <row r="27" spans="1:9" ht="15.75">
      <c r="A27" s="17" t="str">
        <v>101 Carnegie Center</v>
      </c>
      <c r="B27" s="10" t="str">
        <v>NJ</v>
      </c>
      <c r="C27" s="18">
        <f>SUM('1st Qtr'!C27, '2nd Qtr'!C27, '3rd Qtr'!C27, '4th Qtr'!C27)</f>
        <v>1707641.2199999997</v>
      </c>
      <c r="D27" s="18">
        <f>SUM('1st Qtr'!D27, '2nd Qtr'!D27, '3rd Qtr'!D27, '4th Qtr'!D27)</f>
        <v>2093500.9699999997</v>
      </c>
      <c r="E27" s="18">
        <f t="shared" si="6"/>
        <v>-385859.75</v>
      </c>
      <c r="F27" s="19">
        <f t="shared" si="7"/>
        <v>-0.18431314603116714</v>
      </c>
      <c r="G27" s="20">
        <f>SUM('1st Qtr'!G27, '2nd Qtr'!G27, '3rd Qtr'!G27, '4th Qtr'!G27)</f>
        <v>0</v>
      </c>
      <c r="H27" s="20">
        <f>SUM('1st Qtr'!H27, '2nd Qtr'!H27, '3rd Qtr'!H27, '4th Qtr'!H27)</f>
        <v>1707641.1869999999</v>
      </c>
      <c r="I27" s="19" t="str">
        <f t="shared" si="8"/>
        <v/>
      </c>
    </row>
    <row r="28" spans="1:9" ht="15.75">
      <c r="A28" s="12" t="str">
        <v>302 Carnegie Center</v>
      </c>
      <c r="B28" s="9" t="str">
        <v>NJ</v>
      </c>
      <c r="C28" s="24">
        <f>SUM('1st Qtr'!C28, '2nd Qtr'!C28, '3rd Qtr'!C28, '4th Qtr'!C28)</f>
        <v>750016.2905</v>
      </c>
      <c r="D28" s="13">
        <f>SUM('1st Qtr'!D28, '2nd Qtr'!D28, '3rd Qtr'!D28, '4th Qtr'!D28)</f>
        <v>824269.90709999995</v>
      </c>
      <c r="E28" s="13">
        <f t="shared" si="6"/>
        <v>-74253.61659999995</v>
      </c>
      <c r="F28" s="14">
        <f t="shared" si="7"/>
        <v>-9.0084104685131422E-2</v>
      </c>
      <c r="G28" s="15">
        <f>SUM('1st Qtr'!G28, '2nd Qtr'!G28, '3rd Qtr'!G28, '4th Qtr'!G28)</f>
        <v>0</v>
      </c>
      <c r="H28" s="15">
        <f>SUM('1st Qtr'!H28, '2nd Qtr'!H28, '3rd Qtr'!H28, '4th Qtr'!H28)</f>
        <v>750016.2905</v>
      </c>
      <c r="I28" s="16" t="str">
        <f t="shared" si="8"/>
        <v/>
      </c>
    </row>
    <row r="29" spans="1:9" ht="15.75">
      <c r="A29" s="17" t="str">
        <v>510 Carnegie Center</v>
      </c>
      <c r="B29" s="10" t="str">
        <v>NJ</v>
      </c>
      <c r="C29" s="18">
        <f>SUM('1st Qtr'!C29, '2nd Qtr'!C29, '3rd Qtr'!C29, '4th Qtr'!C29)</f>
        <v>1884902.763</v>
      </c>
      <c r="D29" s="18">
        <f>SUM('1st Qtr'!D29, '2nd Qtr'!D29, '3rd Qtr'!D29, '4th Qtr'!D29)</f>
        <v>2241915.4450000003</v>
      </c>
      <c r="E29" s="18">
        <f t="shared" si="6"/>
        <v>-357012.68200000026</v>
      </c>
      <c r="F29" s="19">
        <f t="shared" si="7"/>
        <v>-0.159244490150698</v>
      </c>
      <c r="G29" s="20">
        <f>SUM('1st Qtr'!G29, '2nd Qtr'!G29, '3rd Qtr'!G29, '4th Qtr'!G29)</f>
        <v>0</v>
      </c>
      <c r="H29" s="20">
        <f>SUM('1st Qtr'!H29, '2nd Qtr'!H29, '3rd Qtr'!H29, '4th Qtr'!H29)</f>
        <v>1884902.763</v>
      </c>
      <c r="I29" s="19" t="str">
        <f t="shared" si="8"/>
        <v/>
      </c>
    </row>
    <row r="30" spans="1:9" ht="15.75">
      <c r="A30" s="12" t="str">
        <v>701 Carnegie Center</v>
      </c>
      <c r="B30" s="9" t="str">
        <v>NJ</v>
      </c>
      <c r="C30" s="24">
        <f>SUM('1st Qtr'!C30, '2nd Qtr'!C30, '3rd Qtr'!C30, '4th Qtr'!C30)</f>
        <v>1486689.9275269564</v>
      </c>
      <c r="D30" s="13">
        <f>SUM('1st Qtr'!D30, '2nd Qtr'!D30, '3rd Qtr'!D30, '4th Qtr'!D30)</f>
        <v>1774433.6940000001</v>
      </c>
      <c r="E30" s="13">
        <f t="shared" si="6"/>
        <v>-287743.76647304371</v>
      </c>
      <c r="F30" s="14">
        <f t="shared" si="7"/>
        <v>-0.16216090093758312</v>
      </c>
      <c r="G30" s="15">
        <f>SUM('1st Qtr'!G30, '2nd Qtr'!G30, '3rd Qtr'!G30, '4th Qtr'!G30)</f>
        <v>72312.800000000003</v>
      </c>
      <c r="H30" s="15">
        <f>SUM('1st Qtr'!H30, '2nd Qtr'!H30, '3rd Qtr'!H30, '4th Qtr'!H30)</f>
        <v>1414377.1275269566</v>
      </c>
      <c r="I30" s="16">
        <f t="shared" si="8"/>
        <v>19.559153117110064</v>
      </c>
    </row>
    <row r="31" spans="1:9" ht="15.75">
      <c r="A31" s="17" t="str">
        <v>Hudson County Correction</v>
      </c>
      <c r="B31" s="10" t="str">
        <v>NJ</v>
      </c>
      <c r="C31" s="18">
        <f>SUM('1st Qtr'!C31, '2nd Qtr'!C31, '3rd Qtr'!C31, '4th Qtr'!C31)</f>
        <v>2041105.5912955168</v>
      </c>
      <c r="D31" s="18">
        <f>SUM('1st Qtr'!D31, '2nd Qtr'!D31, '3rd Qtr'!D31, '4th Qtr'!D31)</f>
        <v>1728776.43</v>
      </c>
      <c r="E31" s="18">
        <f t="shared" si="6"/>
        <v>312329.16129551688</v>
      </c>
      <c r="F31" s="19">
        <f t="shared" si="7"/>
        <v>0.18066486555205805</v>
      </c>
      <c r="G31" s="20">
        <f>SUM('1st Qtr'!G31, '2nd Qtr'!G31, '3rd Qtr'!G31, '4th Qtr'!G31)</f>
        <v>4227719.18</v>
      </c>
      <c r="H31" s="20">
        <f>SUM('1st Qtr'!H31, '2nd Qtr'!H31, '3rd Qtr'!H31, '4th Qtr'!H31)</f>
        <v>-2186613.5887044836</v>
      </c>
      <c r="I31" s="19">
        <f t="shared" si="8"/>
        <v>-0.51720880588489881</v>
      </c>
    </row>
    <row r="32" spans="1:9" ht="15.75">
      <c r="A32" s="12" t="str">
        <v>ER Bison Solar</v>
      </c>
      <c r="B32" s="9" t="str">
        <v>PA</v>
      </c>
      <c r="C32" s="24">
        <f>SUM('1st Qtr'!C32, '2nd Qtr'!C32, '3rd Qtr'!C32, '4th Qtr'!C32)</f>
        <v>2107212.7944730436</v>
      </c>
      <c r="D32" s="13">
        <f>SUM('1st Qtr'!D32, '2nd Qtr'!D32, '3rd Qtr'!D32, '4th Qtr'!D32)</f>
        <v>-65042.3</v>
      </c>
      <c r="E32" s="13">
        <f t="shared" si="6"/>
        <v>2172255.0944730435</v>
      </c>
      <c r="F32" s="14">
        <f t="shared" si="7"/>
        <v>-33.397575031526301</v>
      </c>
      <c r="G32" s="15">
        <f>SUM('1st Qtr'!G32, '2nd Qtr'!G32, '3rd Qtr'!G32, '4th Qtr'!G32)</f>
        <v>2179324.2000000002</v>
      </c>
      <c r="H32" s="15">
        <f>SUM('1st Qtr'!H32, '2nd Qtr'!H32, '3rd Qtr'!H32, '4th Qtr'!H32)</f>
        <v>-72111.405526956398</v>
      </c>
      <c r="I32" s="16">
        <f t="shared" si="8"/>
        <v>-3.3088883942534293E-2</v>
      </c>
    </row>
    <row r="33" spans="1:9" ht="15.75">
      <c r="A33" s="17" t="str">
        <v>Danville</v>
      </c>
      <c r="B33" s="10" t="str">
        <v>IL</v>
      </c>
      <c r="C33" s="18">
        <f>SUM('1st Qtr'!C33, '2nd Qtr'!C33, '3rd Qtr'!C33, '4th Qtr'!C33)</f>
        <v>3678473.02</v>
      </c>
      <c r="D33" s="18">
        <f>SUM('1st Qtr'!D33, '2nd Qtr'!D33, '3rd Qtr'!D33, '4th Qtr'!D33)</f>
        <v>213152.4</v>
      </c>
      <c r="E33" s="18">
        <f t="shared" si="6"/>
        <v>3465320.62</v>
      </c>
      <c r="F33" s="19">
        <f t="shared" si="7"/>
        <v>16.257478780440664</v>
      </c>
      <c r="G33" s="20">
        <f>SUM('1st Qtr'!G33, '2nd Qtr'!G33, '3rd Qtr'!G33, '4th Qtr'!G33)</f>
        <v>0</v>
      </c>
      <c r="H33" s="20">
        <f>SUM('1st Qtr'!H33, '2nd Qtr'!H33, '3rd Qtr'!H33, '4th Qtr'!H33)</f>
        <v>3678473.02</v>
      </c>
      <c r="I33" s="19" t="str">
        <f t="shared" si="8"/>
        <v/>
      </c>
    </row>
    <row r="34" spans="1:9" ht="15.75">
      <c r="A34" s="12" t="str">
        <v>Oaks Landfill - ANEM</v>
      </c>
      <c r="B34" s="9" t="str">
        <v>ML</v>
      </c>
      <c r="C34" s="24">
        <f>SUM('1st Qtr'!C34, '2nd Qtr'!C34, '3rd Qtr'!C34, '4th Qtr'!C34)</f>
        <v>2791823.7709999997</v>
      </c>
      <c r="D34" s="13">
        <f>SUM('1st Qtr'!D34, '2nd Qtr'!D34, '3rd Qtr'!D34, '4th Qtr'!D34)</f>
        <v>3034259.32</v>
      </c>
      <c r="E34" s="13">
        <f t="shared" ref="E34:E36" si="9">IF(AND(ISNUMBER(C34),ISNUMBER(D34)), C34-D34, "")</f>
        <v>-242435.54900000012</v>
      </c>
      <c r="F34" s="14">
        <f t="shared" ref="F34:F36" si="10">IFERROR(E34/D34, "")</f>
        <v>-7.9899416441439858E-2</v>
      </c>
      <c r="G34" s="15">
        <f>SUM('1st Qtr'!G34, '2nd Qtr'!G34, '3rd Qtr'!G34, '4th Qtr'!G34)</f>
        <v>0</v>
      </c>
      <c r="H34" s="15">
        <f>SUM('1st Qtr'!H34, '2nd Qtr'!H34, '3rd Qtr'!H34, '4th Qtr'!H34)</f>
        <v>2791823.7709999997</v>
      </c>
      <c r="I34" s="16" t="str">
        <f t="shared" ref="I34:I36" si="11">IFERROR(H34/G34, "")</f>
        <v/>
      </c>
    </row>
    <row r="35" spans="1:9" ht="15.75">
      <c r="A35" s="17" t="str">
        <v>Oaks Landfill - CS1</v>
      </c>
      <c r="B35" s="10" t="str">
        <v>ML</v>
      </c>
      <c r="C35" s="18">
        <f>SUM('1st Qtr'!C35, '2nd Qtr'!C35, '3rd Qtr'!C35, '4th Qtr'!C35)</f>
        <v>2842423.4879999999</v>
      </c>
      <c r="D35" s="18">
        <f>SUM('1st Qtr'!D35, '2nd Qtr'!D35, '3rd Qtr'!D35, '4th Qtr'!D35)</f>
        <v>3047546.642</v>
      </c>
      <c r="E35" s="18">
        <f t="shared" si="9"/>
        <v>-205123.1540000001</v>
      </c>
      <c r="F35" s="19">
        <f t="shared" si="10"/>
        <v>-6.7307634007328865E-2</v>
      </c>
      <c r="G35" s="20">
        <f>SUM('1st Qtr'!G35, '2nd Qtr'!G35, '3rd Qtr'!G35, '4th Qtr'!G35)</f>
        <v>0</v>
      </c>
      <c r="H35" s="20">
        <f>SUM('1st Qtr'!H35, '2nd Qtr'!H35, '3rd Qtr'!H35, '4th Qtr'!H35)</f>
        <v>2842423.4879999999</v>
      </c>
      <c r="I35" s="19" t="str">
        <f t="shared" si="11"/>
        <v/>
      </c>
    </row>
    <row r="36" spans="1:9" ht="15.75">
      <c r="A36" s="12" t="str">
        <v>Oaks Landfill - CS2</v>
      </c>
      <c r="B36" s="9" t="str">
        <v>ML</v>
      </c>
      <c r="C36" s="24">
        <f>SUM('1st Qtr'!C36, '2nd Qtr'!C36, '3rd Qtr'!C36, '4th Qtr'!C36)</f>
        <v>2666807.4040000001</v>
      </c>
      <c r="D36" s="13">
        <f>SUM('1st Qtr'!D36, '2nd Qtr'!D36, '3rd Qtr'!D36, '4th Qtr'!D36)</f>
        <v>2791401.5729999999</v>
      </c>
      <c r="E36" s="13">
        <f t="shared" si="9"/>
        <v>-124594.16899999976</v>
      </c>
      <c r="F36" s="14">
        <f t="shared" si="10"/>
        <v>-4.4634985594743652E-2</v>
      </c>
      <c r="G36" s="15">
        <f>SUM('1st Qtr'!G36, '2nd Qtr'!G36, '3rd Qtr'!G36, '4th Qtr'!G36)</f>
        <v>0</v>
      </c>
      <c r="H36" s="15">
        <f>SUM('1st Qtr'!H36, '2nd Qtr'!H36, '3rd Qtr'!H36, '4th Qtr'!H36)</f>
        <v>2666807.4040000001</v>
      </c>
      <c r="I36" s="16" t="str">
        <f t="shared" si="11"/>
        <v/>
      </c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7" priority="1" stopIfTrue="1" operator="lessThanOrEqual">
      <formula>-0.1</formula>
    </cfRule>
    <cfRule type="expression" dxfId="5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24" activePane="bottomRight" state="frozen"/>
      <selection pane="bottomRight" activeCell="D40" sqref="D40"/>
      <selection pane="bottomLeft" activeCell="K22" sqref="K22"/>
      <selection pane="topRight" activeCell="K22" sqref="K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9" t="str" cm="1">
        <f t="array" ref="A1">portfolio</f>
        <v>Greenbacker Capital</v>
      </c>
      <c r="B1" s="99"/>
      <c r="C1" s="99"/>
      <c r="D1" s="100" t="s">
        <v>10</v>
      </c>
      <c r="E1" s="100"/>
      <c r="F1" s="100"/>
      <c r="G1" s="98" t="s">
        <v>11</v>
      </c>
      <c r="H1" s="98"/>
      <c r="I1" s="98"/>
    </row>
    <row r="2" spans="1:9" ht="19.5" customHeight="1">
      <c r="A2" s="101" t="s">
        <v>2</v>
      </c>
      <c r="B2" s="101"/>
      <c r="C2" s="5">
        <f>SUM(C4:C100)</f>
        <v>8106439.3749142215</v>
      </c>
      <c r="D2" s="5">
        <f>SUM(D4:D100)</f>
        <v>7655316.2039999999</v>
      </c>
      <c r="E2" s="5">
        <f>C2-D2</f>
        <v>451123.17091422155</v>
      </c>
      <c r="F2" s="6">
        <f>IFERROR(E2/D2, 0)</f>
        <v>5.8929397413852606E-2</v>
      </c>
      <c r="G2" s="5">
        <f>SUM(G4:G100)</f>
        <v>6542628.0720000006</v>
      </c>
      <c r="H2" s="7">
        <f>C2-G2</f>
        <v>1563811.3029142208</v>
      </c>
      <c r="I2" s="6">
        <f>IFERROR(H2/G2, 0)</f>
        <v>0.23901882939162444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7" t="str" cm="1">
        <f t="array" ref="A4:A36">Sites[Site]</f>
        <v>10 Walpole Park South</v>
      </c>
      <c r="B4" s="9" t="str" cm="1">
        <f t="array" ref="B4:B36">Sites[State]</f>
        <v>MA</v>
      </c>
      <c r="C4" s="24">
        <f>SUM(Jan!C4, Feb!C4, Mar!C4)</f>
        <v>27279.1875</v>
      </c>
      <c r="D4" s="13">
        <f>SUM(Jan!D4, Feb!D4, Mar!D4)</f>
        <v>29350.804</v>
      </c>
      <c r="E4" s="13">
        <f>IF(AND(ISNUMBER(C4),ISNUMBER(D4)), C4-D4, "")</f>
        <v>-2071.6165000000001</v>
      </c>
      <c r="F4" s="14">
        <f>IFERROR(E4/D4, "")</f>
        <v>-7.0581252220552462E-2</v>
      </c>
      <c r="G4" s="15">
        <f>SUM(Jan!G4, Feb!G4, Mar!G4)</f>
        <v>31050.152000000002</v>
      </c>
      <c r="H4" s="15">
        <f>SUM(Jan!H4, Feb!H4, Mar!H4)</f>
        <v>-3770.9644999999991</v>
      </c>
      <c r="I4" s="16">
        <f>IFERROR(H4/G4, "")</f>
        <v>-0.121447537519301</v>
      </c>
    </row>
    <row r="5" spans="1:9" ht="15.75">
      <c r="A5" s="48" t="str">
        <v>15 Walpole Park South</v>
      </c>
      <c r="B5" s="10" t="str">
        <v>MA</v>
      </c>
      <c r="C5" s="11">
        <f>SUM(Jan!C5, Feb!C5, Mar!C5)</f>
        <v>100657.5</v>
      </c>
      <c r="D5" s="18">
        <f>SUM(Jan!D5, Feb!D5, Mar!D5)</f>
        <v>112350.87</v>
      </c>
      <c r="E5" s="18">
        <f t="shared" ref="E5:E15" si="0">IF(AND(ISNUMBER(C5),ISNUMBER(D5)), C5-D5, "")</f>
        <v>-11693.369999999995</v>
      </c>
      <c r="F5" s="19">
        <f>IFERROR(E5/D5, "")</f>
        <v>-0.10407903383391687</v>
      </c>
      <c r="G5" s="20">
        <f>SUM(Jan!G5, Feb!G5, Mar!G5)</f>
        <v>105870.23000000001</v>
      </c>
      <c r="H5" s="20">
        <f>SUM(Jan!H5, Feb!H5, Mar!H5)</f>
        <v>-5212.7299999999996</v>
      </c>
      <c r="I5" s="19">
        <f>IFERROR(H5/G5, "")</f>
        <v>-4.9236976249130648E-2</v>
      </c>
    </row>
    <row r="6" spans="1:9" ht="15.75">
      <c r="A6" s="47" t="str">
        <v>19 Walpole Park South</v>
      </c>
      <c r="B6" s="9" t="str">
        <v>MA</v>
      </c>
      <c r="C6" s="24">
        <f>SUM(Jan!C6, Feb!C6, Mar!C6)</f>
        <v>60231</v>
      </c>
      <c r="D6" s="13">
        <f>SUM(Jan!D6, Feb!D6, Mar!D6)</f>
        <v>67805.210000000006</v>
      </c>
      <c r="E6" s="13">
        <f t="shared" si="0"/>
        <v>-7574.2100000000064</v>
      </c>
      <c r="F6" s="14">
        <f t="shared" ref="F6:F15" si="1">IFERROR(E6/D6, "")</f>
        <v>-0.11170542794572874</v>
      </c>
      <c r="G6" s="15">
        <f>SUM(Jan!G6, Feb!G6, Mar!G6)</f>
        <v>68109.16</v>
      </c>
      <c r="H6" s="15">
        <f>SUM(Jan!H6, Feb!H6, Mar!H6)</f>
        <v>-7878.1599999999962</v>
      </c>
      <c r="I6" s="16">
        <f t="shared" ref="I6:I15" si="2">IFERROR(H6/G6, "")</f>
        <v>-0.11566961037252546</v>
      </c>
    </row>
    <row r="7" spans="1:9" ht="15.75">
      <c r="A7" s="48" t="str">
        <v>23 Walpole Park South</v>
      </c>
      <c r="B7" s="10" t="str">
        <v>MA</v>
      </c>
      <c r="C7" s="11">
        <f>SUM(Jan!C7, Feb!C7, Mar!C7)</f>
        <v>84985.75</v>
      </c>
      <c r="D7" s="18">
        <f>SUM(Jan!D7, Feb!D7, Mar!D7)</f>
        <v>85604.47</v>
      </c>
      <c r="E7" s="18">
        <f t="shared" si="0"/>
        <v>-618.72000000000116</v>
      </c>
      <c r="F7" s="19">
        <f t="shared" si="1"/>
        <v>-7.2276599574765329E-3</v>
      </c>
      <c r="G7" s="20">
        <f>SUM(Jan!G7, Feb!G7, Mar!G7)</f>
        <v>88577.15</v>
      </c>
      <c r="H7" s="20">
        <f>SUM(Jan!H7, Feb!H7, Mar!H7)</f>
        <v>-3591.4000000000015</v>
      </c>
      <c r="I7" s="19">
        <f t="shared" si="2"/>
        <v>-4.0545445411147248E-2</v>
      </c>
    </row>
    <row r="8" spans="1:9" ht="15.75">
      <c r="A8" s="47" t="str">
        <v>24 Walpole Park South</v>
      </c>
      <c r="B8" s="9" t="str">
        <v>MA</v>
      </c>
      <c r="C8" s="24">
        <f>SUM(Jan!C8, Feb!C8, Mar!C8)</f>
        <v>123727</v>
      </c>
      <c r="D8" s="13">
        <f>SUM(Jan!D8, Feb!D8, Mar!D8)</f>
        <v>108020.73999999999</v>
      </c>
      <c r="E8" s="13">
        <f t="shared" si="0"/>
        <v>15706.260000000009</v>
      </c>
      <c r="F8" s="14">
        <f t="shared" si="1"/>
        <v>0.14540041106920773</v>
      </c>
      <c r="G8" s="15">
        <f>SUM(Jan!G8, Feb!G8, Mar!G8)</f>
        <v>136334.19</v>
      </c>
      <c r="H8" s="15">
        <f>SUM(Jan!H8, Feb!H8, Mar!H8)</f>
        <v>-12607.190000000006</v>
      </c>
      <c r="I8" s="16">
        <f t="shared" si="2"/>
        <v>-9.247269522047262E-2</v>
      </c>
    </row>
    <row r="9" spans="1:9" ht="15.75">
      <c r="A9" s="48" t="str">
        <v>25 Walpole Park South</v>
      </c>
      <c r="B9" s="10" t="str">
        <v>MA</v>
      </c>
      <c r="C9" s="11">
        <f>SUM(Jan!C9, Feb!C9, Mar!C9)</f>
        <v>125019.5</v>
      </c>
      <c r="D9" s="18">
        <f>SUM(Jan!D9, Feb!D9, Mar!D9)</f>
        <v>133559.04999999999</v>
      </c>
      <c r="E9" s="18">
        <f t="shared" si="0"/>
        <v>-8539.5499999999884</v>
      </c>
      <c r="F9" s="19">
        <f t="shared" si="1"/>
        <v>-6.3938385305975065E-2</v>
      </c>
      <c r="G9" s="20">
        <f>SUM(Jan!G9, Feb!G9, Mar!G9)</f>
        <v>138727.98000000001</v>
      </c>
      <c r="H9" s="20">
        <f>SUM(Jan!H9, Feb!H9, Mar!H9)</f>
        <v>-13708.480000000003</v>
      </c>
      <c r="I9" s="19">
        <f t="shared" si="2"/>
        <v>-9.881553814882911E-2</v>
      </c>
    </row>
    <row r="10" spans="1:9" ht="15.75">
      <c r="A10" s="47" t="str">
        <v>3 Walpole Park South</v>
      </c>
      <c r="B10" s="9" t="str">
        <v>MA</v>
      </c>
      <c r="C10" s="24">
        <f>SUM(Jan!C10, Feb!C10, Mar!C10)</f>
        <v>150714.70249999966</v>
      </c>
      <c r="D10" s="13">
        <f>SUM(Jan!D10, Feb!D10, Mar!D10)</f>
        <v>172746.2</v>
      </c>
      <c r="E10" s="13">
        <f t="shared" si="0"/>
        <v>-22031.497500000347</v>
      </c>
      <c r="F10" s="14">
        <f t="shared" si="1"/>
        <v>-0.12753679965174541</v>
      </c>
      <c r="G10" s="15">
        <f>SUM(Jan!G10, Feb!G10, Mar!G10)</f>
        <v>162772.93</v>
      </c>
      <c r="H10" s="15">
        <f>SUM(Jan!H10, Feb!H10, Mar!H10)</f>
        <v>-12058.227500000336</v>
      </c>
      <c r="I10" s="16">
        <f t="shared" si="2"/>
        <v>-7.4080054343190455E-2</v>
      </c>
    </row>
    <row r="11" spans="1:9" ht="15.75">
      <c r="A11" s="48" t="str">
        <v>4 Walpole Park South</v>
      </c>
      <c r="B11" s="10" t="str">
        <v>MA</v>
      </c>
      <c r="C11" s="11">
        <f>SUM(Jan!C11, Feb!C11, Mar!C11)</f>
        <v>87160.25</v>
      </c>
      <c r="D11" s="18">
        <f>SUM(Jan!D11, Feb!D11, Mar!D11)</f>
        <v>96935.57</v>
      </c>
      <c r="E11" s="18">
        <f t="shared" si="0"/>
        <v>-9775.320000000007</v>
      </c>
      <c r="F11" s="19">
        <f t="shared" si="1"/>
        <v>-0.10084347778632763</v>
      </c>
      <c r="G11" s="20">
        <f>SUM(Jan!G11, Feb!G11, Mar!G11)</f>
        <v>92807.95</v>
      </c>
      <c r="H11" s="20">
        <f>SUM(Jan!H11, Feb!H11, Mar!H11)</f>
        <v>-5647.6999999999971</v>
      </c>
      <c r="I11" s="19">
        <f t="shared" si="2"/>
        <v>-6.0853622992426804E-2</v>
      </c>
    </row>
    <row r="12" spans="1:9" ht="15.75">
      <c r="A12" s="47" t="str">
        <v>Brockton</v>
      </c>
      <c r="B12" s="9" t="str">
        <v>MA</v>
      </c>
      <c r="C12" s="24">
        <f>SUM(Jan!C12, Feb!C12, Mar!C12)</f>
        <v>141995.5</v>
      </c>
      <c r="D12" s="13">
        <f>SUM(Jan!D12, Feb!D12, Mar!D12)</f>
        <v>140784.93</v>
      </c>
      <c r="E12" s="13">
        <f t="shared" si="0"/>
        <v>1210.570000000007</v>
      </c>
      <c r="F12" s="14">
        <f t="shared" si="1"/>
        <v>8.5987186270576471E-3</v>
      </c>
      <c r="G12" s="15">
        <f>SUM(Jan!G12, Feb!G12, Mar!G12)</f>
        <v>154378.74</v>
      </c>
      <c r="H12" s="15">
        <f>SUM(Jan!H12, Feb!H12, Mar!H12)</f>
        <v>-12383.239999999998</v>
      </c>
      <c r="I12" s="16">
        <f t="shared" si="2"/>
        <v>-8.021337653099124E-2</v>
      </c>
    </row>
    <row r="13" spans="1:9" ht="15.75">
      <c r="A13" s="48" t="str">
        <v>Canton</v>
      </c>
      <c r="B13" s="10" t="str">
        <v>MA</v>
      </c>
      <c r="C13" s="11">
        <f>SUM(Jan!C13, Feb!C13, Mar!C13)</f>
        <v>139223.51122448966</v>
      </c>
      <c r="D13" s="18">
        <f>SUM(Jan!D13, Feb!D13, Mar!D13)</f>
        <v>149863.22999999998</v>
      </c>
      <c r="E13" s="18">
        <f t="shared" si="0"/>
        <v>-10639.718775510322</v>
      </c>
      <c r="F13" s="19">
        <f t="shared" si="1"/>
        <v>-7.0996192832026406E-2</v>
      </c>
      <c r="G13" s="20">
        <f>SUM(Jan!G13, Feb!G13, Mar!G13)</f>
        <v>148265.58000000002</v>
      </c>
      <c r="H13" s="20">
        <f>SUM(Jan!H13, Feb!H13, Mar!H13)</f>
        <v>-9042.0687755103354</v>
      </c>
      <c r="I13" s="19">
        <f t="shared" si="2"/>
        <v>-6.0985623065787316E-2</v>
      </c>
    </row>
    <row r="14" spans="1:9" ht="15.75">
      <c r="A14" s="47" t="str">
        <v>Chelsea</v>
      </c>
      <c r="B14" s="9" t="str">
        <v>MA</v>
      </c>
      <c r="C14" s="24">
        <f>SUM(Jan!C14, Feb!C14, Mar!C14)</f>
        <v>258959</v>
      </c>
      <c r="D14" s="13">
        <f>SUM(Jan!D14, Feb!D14, Mar!D14)</f>
        <v>265501.42</v>
      </c>
      <c r="E14" s="13">
        <f t="shared" si="0"/>
        <v>-6542.4199999999837</v>
      </c>
      <c r="F14" s="14">
        <f t="shared" si="1"/>
        <v>-2.4641751445246447E-2</v>
      </c>
      <c r="G14" s="15">
        <f>SUM(Jan!G14, Feb!G14, Mar!G14)</f>
        <v>248557.13</v>
      </c>
      <c r="H14" s="15">
        <f>SUM(Jan!H14, Feb!H14, Mar!H14)</f>
        <v>10401.869999999988</v>
      </c>
      <c r="I14" s="16">
        <f t="shared" si="2"/>
        <v>4.1849010728438919E-2</v>
      </c>
    </row>
    <row r="15" spans="1:9" ht="15.75">
      <c r="A15" s="48" t="str">
        <v>Hamilton Landfill</v>
      </c>
      <c r="B15" s="10" t="str">
        <v>MA</v>
      </c>
      <c r="C15" s="11">
        <f>SUM(Jan!C15, Feb!C15, Mar!C15)</f>
        <v>206487.26648176264</v>
      </c>
      <c r="D15" s="18">
        <f>SUM(Jan!D15, Feb!D15, Mar!D15)</f>
        <v>252276</v>
      </c>
      <c r="E15" s="18">
        <f t="shared" si="0"/>
        <v>-45788.733518237364</v>
      </c>
      <c r="F15" s="19">
        <f t="shared" si="1"/>
        <v>-0.18150253499436081</v>
      </c>
      <c r="G15" s="20">
        <f>SUM(Jan!G15, Feb!G15, Mar!G15)</f>
        <v>0</v>
      </c>
      <c r="H15" s="20">
        <f>SUM(Jan!H15, Feb!H15, Mar!H15)</f>
        <v>206487.26648176264</v>
      </c>
      <c r="I15" s="19" t="str">
        <f t="shared" si="2"/>
        <v/>
      </c>
    </row>
    <row r="16" spans="1:9" ht="15.75">
      <c r="A16" s="47" t="str">
        <v>Holliston</v>
      </c>
      <c r="B16" s="9" t="str">
        <v>MA</v>
      </c>
      <c r="C16" s="24">
        <f>SUM(Jan!C16, Feb!C16, Mar!C16)</f>
        <v>335953</v>
      </c>
      <c r="D16" s="13">
        <f>SUM(Jan!D16, Feb!D16, Mar!D16)</f>
        <v>354261.62</v>
      </c>
      <c r="E16" s="13">
        <f t="shared" ref="E16:E18" si="3">IF(AND(ISNUMBER(C16),ISNUMBER(D16)), C16-D16, "")</f>
        <v>-18308.619999999995</v>
      </c>
      <c r="F16" s="14">
        <f t="shared" ref="F16:F18" si="4">IFERROR(E16/D16, "")</f>
        <v>-5.1681071181236049E-2</v>
      </c>
      <c r="G16" s="15">
        <f>SUM(Jan!G16, Feb!G16, Mar!G16)</f>
        <v>393997.22</v>
      </c>
      <c r="H16" s="15">
        <f>SUM(Jan!H16, Feb!H16, Mar!H16)</f>
        <v>-58044.220000000016</v>
      </c>
      <c r="I16" s="16">
        <f t="shared" ref="I16:I18" si="5">IFERROR(H16/G16, "")</f>
        <v>-0.14732139480578066</v>
      </c>
    </row>
    <row r="17" spans="1:9" ht="15.75">
      <c r="A17" s="48" t="str">
        <v>Natick HS - Carports</v>
      </c>
      <c r="B17" s="10" t="str">
        <v>MA</v>
      </c>
      <c r="C17" s="11">
        <f>SUM(Jan!C17, Feb!C17, Mar!C17)</f>
        <v>114826</v>
      </c>
      <c r="D17" s="18">
        <f>SUM(Jan!D17, Feb!D17, Mar!D17)</f>
        <v>150902.6</v>
      </c>
      <c r="E17" s="18">
        <f t="shared" si="3"/>
        <v>-36076.600000000006</v>
      </c>
      <c r="F17" s="19">
        <f t="shared" si="4"/>
        <v>-0.23907209020918133</v>
      </c>
      <c r="G17" s="20">
        <f>SUM(Jan!G17, Feb!G17, Mar!G17)</f>
        <v>0</v>
      </c>
      <c r="H17" s="20">
        <f>SUM(Jan!H17, Feb!H17, Mar!H17)</f>
        <v>114826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SUM(Jan!C18, Feb!C18, Mar!C18)</f>
        <v>665258</v>
      </c>
      <c r="D18" s="13">
        <f>SUM(Jan!D18, Feb!D18, Mar!D18)</f>
        <v>744061.3</v>
      </c>
      <c r="E18" s="13">
        <f t="shared" si="3"/>
        <v>-78803.300000000047</v>
      </c>
      <c r="F18" s="14">
        <f t="shared" si="4"/>
        <v>-0.10590968781738822</v>
      </c>
      <c r="G18" s="15">
        <f>SUM(Jan!G18, Feb!G18, Mar!G18)</f>
        <v>787612.1</v>
      </c>
      <c r="H18" s="15">
        <f>SUM(Jan!H18, Feb!H18, Mar!H18)</f>
        <v>-122354.09999999998</v>
      </c>
      <c r="I18" s="16">
        <f t="shared" si="5"/>
        <v>-0.15534817202529008</v>
      </c>
    </row>
    <row r="19" spans="1:9" ht="15.75">
      <c r="A19" s="48" t="str">
        <v>Palmer - Boston Rd.</v>
      </c>
      <c r="B19" s="10" t="str">
        <v>MA</v>
      </c>
      <c r="C19" s="11">
        <f>SUM(Jan!C19, Feb!C19, Mar!C19)</f>
        <v>140541.54750000031</v>
      </c>
      <c r="D19" s="18">
        <f>SUM(Jan!D19, Feb!D19, Mar!D19)</f>
        <v>158020.53</v>
      </c>
      <c r="E19" s="18">
        <f t="shared" ref="E19:E33" si="6">IF(AND(ISNUMBER(C19),ISNUMBER(D19)), C19-D19, "")</f>
        <v>-17478.982499999693</v>
      </c>
      <c r="F19" s="19">
        <f t="shared" ref="F19:F33" si="7">IFERROR(E19/D19, "")</f>
        <v>-0.11061209894688806</v>
      </c>
      <c r="G19" s="20">
        <f>SUM(Jan!G19, Feb!G19, Mar!G19)</f>
        <v>177011</v>
      </c>
      <c r="H19" s="20">
        <f>SUM(Jan!H19, Feb!H19, Mar!H19)</f>
        <v>-36469.452499999701</v>
      </c>
      <c r="I19" s="19">
        <f t="shared" ref="I19:I33" si="8">IFERROR(H19/G19, "")</f>
        <v>-0.20602930043895409</v>
      </c>
    </row>
    <row r="20" spans="1:9" ht="15.75">
      <c r="A20" s="47" t="str">
        <v>Shirley Bartkus</v>
      </c>
      <c r="B20" s="9" t="str">
        <v>MA</v>
      </c>
      <c r="C20" s="24">
        <f>SUM(Jan!C20, Feb!C20, Mar!C20)</f>
        <v>100304.5</v>
      </c>
      <c r="D20" s="13">
        <f>SUM(Jan!D20, Feb!D20, Mar!D20)</f>
        <v>128316.91</v>
      </c>
      <c r="E20" s="13">
        <f t="shared" si="6"/>
        <v>-28012.410000000003</v>
      </c>
      <c r="F20" s="14">
        <f t="shared" si="7"/>
        <v>-0.21830645703672261</v>
      </c>
      <c r="G20" s="15">
        <f>SUM(Jan!G20, Feb!G20, Mar!G20)</f>
        <v>240628</v>
      </c>
      <c r="H20" s="15">
        <f>SUM(Jan!H20, Feb!H20, Mar!H20)</f>
        <v>-140323.5</v>
      </c>
      <c r="I20" s="16">
        <f t="shared" si="8"/>
        <v>-0.58315532689462568</v>
      </c>
    </row>
    <row r="21" spans="1:9" ht="15.75">
      <c r="A21" s="48" t="str">
        <v>Stoughton</v>
      </c>
      <c r="B21" s="10" t="str">
        <v>MA</v>
      </c>
      <c r="C21" s="11">
        <f>SUM(Jan!C21, Feb!C21, Mar!C21)</f>
        <v>162214.0129310349</v>
      </c>
      <c r="D21" s="18">
        <f>SUM(Jan!D21, Feb!D21, Mar!D21)</f>
        <v>120628.10999999999</v>
      </c>
      <c r="E21" s="18">
        <f t="shared" si="6"/>
        <v>41585.902931034914</v>
      </c>
      <c r="F21" s="19">
        <f t="shared" si="7"/>
        <v>0.34474471108794558</v>
      </c>
      <c r="G21" s="20">
        <f>SUM(Jan!G21, Feb!G21, Mar!G21)</f>
        <v>163750.41</v>
      </c>
      <c r="H21" s="20">
        <f>SUM(Jan!H21, Feb!H21, Mar!H21)</f>
        <v>-1536.3970689651032</v>
      </c>
      <c r="I21" s="19">
        <f t="shared" si="8"/>
        <v>-9.3825540282012308E-3</v>
      </c>
    </row>
    <row r="22" spans="1:9" ht="15.75">
      <c r="A22" s="47" t="str">
        <v>Wellfleet Landfill</v>
      </c>
      <c r="B22" s="9" t="str">
        <v>MA</v>
      </c>
      <c r="C22" s="24">
        <f>SUM(Jan!C22, Feb!C22, Mar!C22)</f>
        <v>197584</v>
      </c>
      <c r="D22" s="13">
        <f>SUM(Jan!D22, Feb!D22, Mar!D22)</f>
        <v>216979</v>
      </c>
      <c r="E22" s="13">
        <f t="shared" si="6"/>
        <v>-19395</v>
      </c>
      <c r="F22" s="14">
        <f t="shared" si="7"/>
        <v>-8.938653049373442E-2</v>
      </c>
      <c r="G22" s="15">
        <f>SUM(Jan!G22, Feb!G22, Mar!G22)</f>
        <v>0</v>
      </c>
      <c r="H22" s="15">
        <f>SUM(Jan!H22, Feb!H22, Mar!H22)</f>
        <v>197584</v>
      </c>
      <c r="I22" s="16" t="str">
        <f t="shared" si="8"/>
        <v/>
      </c>
    </row>
    <row r="23" spans="1:9" ht="15.75">
      <c r="A23" s="48" t="str">
        <v>Wilmington Garage &amp; Building 7</v>
      </c>
      <c r="B23" s="10" t="str">
        <v>MA</v>
      </c>
      <c r="C23" s="11">
        <f>SUM(Jan!C23, Feb!C23, Mar!C23)</f>
        <v>236826.23999999999</v>
      </c>
      <c r="D23" s="18">
        <f>SUM(Jan!D23, Feb!D23, Mar!D23)</f>
        <v>265956.24</v>
      </c>
      <c r="E23" s="18">
        <f t="shared" si="6"/>
        <v>-29130</v>
      </c>
      <c r="F23" s="19">
        <f t="shared" si="7"/>
        <v>-0.10952929700013807</v>
      </c>
      <c r="G23" s="20">
        <f>SUM(Jan!G23, Feb!G23, Mar!G23)</f>
        <v>245303.76</v>
      </c>
      <c r="H23" s="20">
        <f>SUM(Jan!H23, Feb!H23, Mar!H23)</f>
        <v>-8477.520000000015</v>
      </c>
      <c r="I23" s="19">
        <f t="shared" si="8"/>
        <v>-3.4559274590817583E-2</v>
      </c>
    </row>
    <row r="24" spans="1:9" ht="15.75">
      <c r="A24" s="47" t="str">
        <v>Woburn</v>
      </c>
      <c r="B24" s="9" t="str">
        <v>MA</v>
      </c>
      <c r="C24" s="24">
        <f>SUM(Jan!C24, Feb!C24, Mar!C24)</f>
        <v>364419.10756972153</v>
      </c>
      <c r="D24" s="13">
        <f>SUM(Jan!D24, Feb!D24, Mar!D24)</f>
        <v>441019.47</v>
      </c>
      <c r="E24" s="13">
        <f t="shared" si="6"/>
        <v>-76600.362430278445</v>
      </c>
      <c r="F24" s="14">
        <f t="shared" si="7"/>
        <v>-0.17368929863862576</v>
      </c>
      <c r="G24" s="15">
        <f>SUM(Jan!G24, Feb!G24, Mar!G24)</f>
        <v>347015.71</v>
      </c>
      <c r="H24" s="15">
        <f>SUM(Jan!H24, Feb!H24, Mar!H24)</f>
        <v>17403.397569721506</v>
      </c>
      <c r="I24" s="16">
        <f t="shared" si="8"/>
        <v>5.0151612933378449E-2</v>
      </c>
    </row>
    <row r="25" spans="1:9" ht="15.75">
      <c r="A25" s="48" t="str">
        <v>Friendship Solar 1</v>
      </c>
      <c r="B25" s="10" t="str">
        <v>MD</v>
      </c>
      <c r="C25" s="11">
        <f>SUM(Jan!C25, Feb!C25, Mar!C25)</f>
        <v>881961</v>
      </c>
      <c r="D25" s="18">
        <f>SUM(Jan!D25, Feb!D25, Mar!D25)</f>
        <v>927597.79999999993</v>
      </c>
      <c r="E25" s="18">
        <f t="shared" si="6"/>
        <v>-45636.79999999993</v>
      </c>
      <c r="F25" s="19">
        <f t="shared" si="7"/>
        <v>-4.9198909268650629E-2</v>
      </c>
      <c r="G25" s="20">
        <f>SUM(Jan!G25, Feb!G25, Mar!G25)</f>
        <v>1003756.9</v>
      </c>
      <c r="H25" s="20">
        <f>SUM(Jan!H25, Feb!H25, Mar!H25)</f>
        <v>-121795.90000000002</v>
      </c>
      <c r="I25" s="19">
        <f t="shared" si="8"/>
        <v>-0.12134003761269289</v>
      </c>
    </row>
    <row r="26" spans="1:9" ht="15.75">
      <c r="A26" s="47" t="str">
        <v>Friendship Solar 2</v>
      </c>
      <c r="B26" s="9" t="str">
        <v>MD</v>
      </c>
      <c r="C26" s="24">
        <f>SUM(Jan!C26, Feb!C26, Mar!C26)</f>
        <v>883022</v>
      </c>
      <c r="D26" s="13">
        <f>SUM(Jan!D26, Feb!D26, Mar!D26)</f>
        <v>944636.9</v>
      </c>
      <c r="E26" s="13">
        <f t="shared" si="6"/>
        <v>-61614.900000000023</v>
      </c>
      <c r="F26" s="14">
        <f t="shared" si="7"/>
        <v>-6.522601435535709E-2</v>
      </c>
      <c r="G26" s="15">
        <f>SUM(Jan!G26, Feb!G26, Mar!G26)</f>
        <v>1006610.5</v>
      </c>
      <c r="H26" s="15">
        <f>SUM(Jan!H26, Feb!H26, Mar!H26)</f>
        <v>-123588.5</v>
      </c>
      <c r="I26" s="16">
        <f t="shared" si="8"/>
        <v>-0.12277688341220362</v>
      </c>
    </row>
    <row r="27" spans="1:9" ht="15.75">
      <c r="A27" s="48" t="str">
        <v>101 Carnegie Center</v>
      </c>
      <c r="B27" s="10" t="str">
        <v>NJ</v>
      </c>
      <c r="C27" s="11">
        <f>SUM(Jan!C27, Feb!C27, Mar!C27)</f>
        <v>308138</v>
      </c>
      <c r="D27" s="18">
        <f>SUM(Jan!D27, Feb!D27, Mar!D27)</f>
        <v>379211.6</v>
      </c>
      <c r="E27" s="18">
        <f t="shared" si="6"/>
        <v>-71073.599999999977</v>
      </c>
      <c r="F27" s="19">
        <f t="shared" si="7"/>
        <v>-0.18742464629246569</v>
      </c>
      <c r="G27" s="20">
        <f>SUM(Jan!G27, Feb!G27, Mar!G27)</f>
        <v>0</v>
      </c>
      <c r="H27" s="20">
        <f>SUM(Jan!H27, Feb!H27, Mar!H27)</f>
        <v>308138</v>
      </c>
      <c r="I27" s="19" t="str">
        <f t="shared" si="8"/>
        <v/>
      </c>
    </row>
    <row r="28" spans="1:9" ht="15.75">
      <c r="A28" s="47" t="str">
        <v>302 Carnegie Center</v>
      </c>
      <c r="B28" s="9" t="str">
        <v>NJ</v>
      </c>
      <c r="C28" s="24">
        <f>SUM(Jan!C28, Feb!C28, Mar!C28)</f>
        <v>134830.6</v>
      </c>
      <c r="D28" s="13">
        <f>SUM(Jan!D28, Feb!D28, Mar!D28)</f>
        <v>158870.5</v>
      </c>
      <c r="E28" s="13">
        <f t="shared" si="6"/>
        <v>-24039.899999999994</v>
      </c>
      <c r="F28" s="14">
        <f t="shared" si="7"/>
        <v>-0.15131758255938008</v>
      </c>
      <c r="G28" s="15">
        <f>SUM(Jan!G28, Feb!G28, Mar!G28)</f>
        <v>0</v>
      </c>
      <c r="H28" s="15">
        <f>SUM(Jan!H28, Feb!H28, Mar!H28)</f>
        <v>134830.6</v>
      </c>
      <c r="I28" s="16" t="str">
        <f t="shared" si="8"/>
        <v/>
      </c>
    </row>
    <row r="29" spans="1:9" ht="15.75">
      <c r="A29" s="48" t="str">
        <v>510 Carnegie Center</v>
      </c>
      <c r="B29" s="10" t="str">
        <v>NJ</v>
      </c>
      <c r="C29" s="11">
        <f>SUM(Jan!C29, Feb!C29, Mar!C29)</f>
        <v>330124</v>
      </c>
      <c r="D29" s="18">
        <f>SUM(Jan!D29, Feb!D29, Mar!D29)</f>
        <v>410128</v>
      </c>
      <c r="E29" s="18">
        <f t="shared" si="6"/>
        <v>-80004</v>
      </c>
      <c r="F29" s="19">
        <f t="shared" si="7"/>
        <v>-0.19507080716264191</v>
      </c>
      <c r="G29" s="20">
        <f>SUM(Jan!G29, Feb!G29, Mar!G29)</f>
        <v>0</v>
      </c>
      <c r="H29" s="20">
        <f>SUM(Jan!H29, Feb!H29, Mar!H29)</f>
        <v>330124</v>
      </c>
      <c r="I29" s="19" t="str">
        <f t="shared" si="8"/>
        <v/>
      </c>
    </row>
    <row r="30" spans="1:9" ht="15.75">
      <c r="A30" s="47" t="str">
        <v>701 Carnegie Center</v>
      </c>
      <c r="B30" s="9" t="str">
        <v>NJ</v>
      </c>
      <c r="C30" s="24">
        <f>SUM(Jan!C30, Feb!C30, Mar!C30)</f>
        <v>259333</v>
      </c>
      <c r="D30" s="13">
        <f>SUM(Jan!D30, Feb!D30, Mar!D30)</f>
        <v>325235</v>
      </c>
      <c r="E30" s="13">
        <f t="shared" si="6"/>
        <v>-65902</v>
      </c>
      <c r="F30" s="14">
        <f t="shared" si="7"/>
        <v>-0.20262886835672667</v>
      </c>
      <c r="G30" s="15">
        <f>SUM(Jan!G30, Feb!G30, Mar!G30)</f>
        <v>0</v>
      </c>
      <c r="H30" s="15">
        <f>SUM(Jan!H30, Feb!H30, Mar!H30)</f>
        <v>259333</v>
      </c>
      <c r="I30" s="16" t="str">
        <f t="shared" si="8"/>
        <v/>
      </c>
    </row>
    <row r="31" spans="1:9" ht="15.75">
      <c r="A31" s="48" t="str">
        <v>Hudson County Correction</v>
      </c>
      <c r="B31" s="10" t="str">
        <v>NJ</v>
      </c>
      <c r="C31" s="11">
        <f>SUM(Jan!C31, Feb!C31, Mar!C31)</f>
        <v>336527.19920721248</v>
      </c>
      <c r="D31" s="18">
        <f>SUM(Jan!D31, Feb!D31, Mar!D31)</f>
        <v>314692.13</v>
      </c>
      <c r="E31" s="18">
        <f t="shared" si="6"/>
        <v>21835.06920721248</v>
      </c>
      <c r="F31" s="19">
        <f t="shared" si="7"/>
        <v>6.9385494982707324E-2</v>
      </c>
      <c r="G31" s="20">
        <f>SUM(Jan!G31, Feb!G31, Mar!G31)</f>
        <v>366551.28</v>
      </c>
      <c r="H31" s="20">
        <f>SUM(Jan!H31, Feb!H31, Mar!H31)</f>
        <v>-30024.080792787514</v>
      </c>
      <c r="I31" s="19">
        <f t="shared" si="8"/>
        <v>-8.1909632924450609E-2</v>
      </c>
    </row>
    <row r="32" spans="1:9" ht="15.75">
      <c r="A32" s="47" t="str">
        <v>ER Bison Solar</v>
      </c>
      <c r="B32" s="9" t="str">
        <v>PA</v>
      </c>
      <c r="C32" s="24">
        <f>SUM(Jan!C32, Feb!C32, Mar!C32)</f>
        <v>406302</v>
      </c>
      <c r="D32" s="13">
        <f>SUM(Jan!D32, Feb!D32, Mar!D32)</f>
        <v>0</v>
      </c>
      <c r="E32" s="13">
        <f t="shared" si="6"/>
        <v>406302</v>
      </c>
      <c r="F32" s="14" t="str">
        <f t="shared" si="7"/>
        <v/>
      </c>
      <c r="G32" s="15">
        <f>SUM(Jan!G32, Feb!G32, Mar!G32)</f>
        <v>434940</v>
      </c>
      <c r="H32" s="15">
        <f>SUM(Jan!H32, Feb!H32, Mar!H32)</f>
        <v>-28638</v>
      </c>
      <c r="I32" s="16">
        <f t="shared" si="8"/>
        <v>-6.5843564629604084E-2</v>
      </c>
    </row>
    <row r="33" spans="1:9" ht="15.75">
      <c r="A33" s="48" t="str">
        <v>Danville</v>
      </c>
      <c r="B33" s="10" t="str">
        <v>IL</v>
      </c>
      <c r="C33" s="11">
        <f>SUM(Jan!C33, Feb!C33, Mar!C33)</f>
        <v>741835</v>
      </c>
      <c r="D33" s="21">
        <f>SUM(Jan!D33, Feb!D33, Mar!D33)</f>
        <v>0</v>
      </c>
      <c r="E33" s="18">
        <f t="shared" si="6"/>
        <v>741835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741835</v>
      </c>
      <c r="I33" s="19" t="str">
        <f t="shared" si="8"/>
        <v/>
      </c>
    </row>
    <row r="34" spans="1:9" ht="15.75">
      <c r="A34" s="47" t="str">
        <v>Oaks Landfill - ANEM</v>
      </c>
      <c r="B34" s="9" t="str">
        <v>ML</v>
      </c>
      <c r="C34" s="24">
        <f>SUM(Jan!C34, Feb!C34, Mar!C34)</f>
        <v>0</v>
      </c>
      <c r="D34" s="13">
        <f>SUM(Jan!D34, Feb!D34, Mar!D34)</f>
        <v>0</v>
      </c>
      <c r="E34" s="13">
        <f t="shared" ref="E34:E36" si="9">IF(AND(ISNUMBER(C34),ISNUMBER(D34)), C34-D34, "")</f>
        <v>0</v>
      </c>
      <c r="F34" s="14" t="str">
        <f t="shared" ref="F34:F36" si="10">IFERROR(E34/D34, "")</f>
        <v/>
      </c>
      <c r="G34" s="15">
        <f>SUM(Jan!G34, Feb!G34, Mar!G34)</f>
        <v>0</v>
      </c>
      <c r="H34" s="15">
        <f>SUM(Jan!H34, Feb!H34, Mar!H34)</f>
        <v>0</v>
      </c>
      <c r="I34" s="16" t="str">
        <f t="shared" ref="I34:I36" si="11">IFERROR(H34/G34, "")</f>
        <v/>
      </c>
    </row>
    <row r="35" spans="1:9" ht="15.75">
      <c r="A35" s="48" t="str">
        <v>Oaks Landfill - CS1</v>
      </c>
      <c r="B35" s="10" t="str">
        <v>ML</v>
      </c>
      <c r="C35" s="11">
        <f>SUM(Jan!C35, Feb!C35, Mar!C35)</f>
        <v>0</v>
      </c>
      <c r="D35" s="21">
        <f>SUM(Jan!D35, Feb!D35, Mar!D35)</f>
        <v>0</v>
      </c>
      <c r="E35" s="18">
        <f t="shared" si="9"/>
        <v>0</v>
      </c>
      <c r="F35" s="19" t="str">
        <f t="shared" si="10"/>
        <v/>
      </c>
      <c r="G35" s="20">
        <f>SUM(Jan!G35, Feb!G35, Mar!G35)</f>
        <v>0</v>
      </c>
      <c r="H35" s="20">
        <f>SUM(Jan!H35, Feb!H35, Mar!H35)</f>
        <v>0</v>
      </c>
      <c r="I35" s="19" t="str">
        <f t="shared" si="11"/>
        <v/>
      </c>
    </row>
    <row r="36" spans="1:9" ht="15.75">
      <c r="A36" s="47" t="str">
        <v>Oaks Landfill - CS2</v>
      </c>
      <c r="B36" s="9" t="str">
        <v>ML</v>
      </c>
      <c r="C36" s="24">
        <f>SUM(Jan!C36, Feb!C36, Mar!C36)</f>
        <v>0</v>
      </c>
      <c r="D36" s="13">
        <f>SUM(Jan!D36, Feb!D36, Mar!D36)</f>
        <v>0</v>
      </c>
      <c r="E36" s="13">
        <f t="shared" si="9"/>
        <v>0</v>
      </c>
      <c r="F36" s="14" t="str">
        <f t="shared" si="10"/>
        <v/>
      </c>
      <c r="G36" s="15">
        <f>SUM(Jan!G36, Feb!G36, Mar!G36)</f>
        <v>0</v>
      </c>
      <c r="H36" s="15">
        <f>SUM(Jan!H36, Feb!H36, Mar!H36)</f>
        <v>0</v>
      </c>
      <c r="I36" s="16" t="str">
        <f t="shared" si="11"/>
        <v/>
      </c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22" activePane="bottomRight" state="frozen"/>
      <selection pane="bottomRight" activeCell="F43" sqref="F43"/>
      <selection pane="bottomLeft" activeCell="K22" sqref="K22"/>
      <selection pane="topRight" activeCell="K22" sqref="K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9" t="str" cm="1">
        <f t="array" ref="A1">portfolio</f>
        <v>Greenbacker Capital</v>
      </c>
      <c r="B1" s="99"/>
      <c r="C1" s="99"/>
      <c r="D1" s="100" t="s">
        <v>12</v>
      </c>
      <c r="E1" s="100"/>
      <c r="F1" s="100"/>
      <c r="G1" s="98" t="s">
        <v>13</v>
      </c>
      <c r="H1" s="98"/>
      <c r="I1" s="98"/>
    </row>
    <row r="2" spans="1:9" ht="19.5" customHeight="1">
      <c r="A2" s="101" t="s">
        <v>2</v>
      </c>
      <c r="B2" s="101"/>
      <c r="C2" s="5">
        <f>SUM(C4:C100)</f>
        <v>16442476.817630827</v>
      </c>
      <c r="D2" s="5">
        <f>SUM(D4:D100)</f>
        <v>15008142.787</v>
      </c>
      <c r="E2" s="5">
        <f>C2-D2</f>
        <v>1434334.030630827</v>
      </c>
      <c r="F2" s="6">
        <f>IFERROR(E2/D2, 0)</f>
        <v>9.5570388087808031E-2</v>
      </c>
      <c r="G2" s="5">
        <f>SUM(G4:G100)</f>
        <v>14253727.400000002</v>
      </c>
      <c r="H2" s="7">
        <f>C2-G2</f>
        <v>2188749.4176308252</v>
      </c>
      <c r="I2" s="6">
        <f>IFERROR(H2/G2, 0)</f>
        <v>0.15355628434642471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7" t="str" cm="1">
        <f t="array" ref="A4:A36">Sites[Site]</f>
        <v>10 Walpole Park South</v>
      </c>
      <c r="B4" s="9" t="str" cm="1">
        <f t="array" ref="B4:B36">Sites[State]</f>
        <v>MA</v>
      </c>
      <c r="C4" s="24">
        <f>SUM(Apr!C4, May!C4, Jun!C4)</f>
        <v>55661.875</v>
      </c>
      <c r="D4" s="13">
        <f>SUM(Apr!D4, May!D4, Jun!D4)</f>
        <v>52124.800000000003</v>
      </c>
      <c r="E4" s="13">
        <f>IF(AND(ISNUMBER(C4),ISNUMBER(D4)), C4-D4, "")</f>
        <v>3537.0749999999971</v>
      </c>
      <c r="F4" s="14">
        <f>IFERROR(E4/D4, "")</f>
        <v>6.7857814322548907E-2</v>
      </c>
      <c r="G4" s="15">
        <f>SUM(Apr!G4,May!G4,Jun!G4)</f>
        <v>58827.12999999999</v>
      </c>
      <c r="H4" s="15">
        <f>SUM(Apr!H4, May!H4, Jun!H4)</f>
        <v>-3165.2549999999974</v>
      </c>
      <c r="I4" s="16">
        <f>IFERROR(H4/G4, "")</f>
        <v>-5.3806041532197778E-2</v>
      </c>
    </row>
    <row r="5" spans="1:9" ht="15.75">
      <c r="A5" s="48" t="str">
        <v>15 Walpole Park South</v>
      </c>
      <c r="B5" s="10" t="str">
        <v>MA</v>
      </c>
      <c r="C5" s="11">
        <f>SUM(Apr!C5, May!C5, Jun!C5)</f>
        <v>202569</v>
      </c>
      <c r="D5" s="18">
        <f>SUM(Apr!D5, May!D5, Jun!D5)</f>
        <v>193291.2</v>
      </c>
      <c r="E5" s="18">
        <f t="shared" ref="E5:E15" si="0">IF(AND(ISNUMBER(C5),ISNUMBER(D5)), C5-D5, "")</f>
        <v>9277.7999999999884</v>
      </c>
      <c r="F5" s="19">
        <f>IFERROR(E5/D5, "")</f>
        <v>4.7999081179070688E-2</v>
      </c>
      <c r="G5" s="18">
        <f>SUM(Apr!G5,May!G5,Jun!G5)</f>
        <v>208090.63</v>
      </c>
      <c r="H5" s="20">
        <f>SUM(Apr!H5, May!H5, Jun!H5)</f>
        <v>-5521.6299999999901</v>
      </c>
      <c r="I5" s="19">
        <f>IFERROR(H5/G5, "")</f>
        <v>-2.6534736330991886E-2</v>
      </c>
    </row>
    <row r="6" spans="1:9" ht="15.75">
      <c r="A6" s="47" t="str">
        <v>19 Walpole Park South</v>
      </c>
      <c r="B6" s="9" t="str">
        <v>MA</v>
      </c>
      <c r="C6" s="24">
        <f>SUM(Apr!C6, May!C6, Jun!C6)</f>
        <v>128597.75</v>
      </c>
      <c r="D6" s="13">
        <f>SUM(Apr!D6, May!D6, Jun!D6)</f>
        <v>119373.17</v>
      </c>
      <c r="E6" s="13">
        <f t="shared" si="0"/>
        <v>9224.5800000000017</v>
      </c>
      <c r="F6" s="14">
        <f t="shared" ref="F6:F15" si="1">IFERROR(E6/D6, "")</f>
        <v>7.7275153202348582E-2</v>
      </c>
      <c r="G6" s="15">
        <f>SUM(Apr!G6,May!G6,Jun!G6)</f>
        <v>132254.06</v>
      </c>
      <c r="H6" s="15">
        <f>SUM(Apr!H6, May!H6, Jun!H6)</f>
        <v>-3656.3099999999977</v>
      </c>
      <c r="I6" s="16">
        <f t="shared" ref="I6:I15" si="2">IFERROR(H6/G6, "")</f>
        <v>-2.7646107801907918E-2</v>
      </c>
    </row>
    <row r="7" spans="1:9" ht="15.75">
      <c r="A7" s="48" t="str">
        <v>23 Walpole Park South</v>
      </c>
      <c r="B7" s="10" t="str">
        <v>MA</v>
      </c>
      <c r="C7" s="11">
        <f>SUM(Apr!C7, May!C7, Jun!C7)</f>
        <v>175619.25</v>
      </c>
      <c r="D7" s="18">
        <f>SUM(Apr!D7, May!D7, Jun!D7)</f>
        <v>154323.6</v>
      </c>
      <c r="E7" s="18">
        <f t="shared" si="0"/>
        <v>21295.649999999994</v>
      </c>
      <c r="F7" s="19">
        <f t="shared" si="1"/>
        <v>0.13799347604643744</v>
      </c>
      <c r="G7" s="18">
        <f>SUM(Apr!G7,May!G7,Jun!G7)</f>
        <v>174344.02</v>
      </c>
      <c r="H7" s="20">
        <f>SUM(Apr!H7, May!H7, Jun!H7)</f>
        <v>1275.2299999999959</v>
      </c>
      <c r="I7" s="19">
        <f t="shared" si="2"/>
        <v>7.3144464605094913E-3</v>
      </c>
    </row>
    <row r="8" spans="1:9" ht="15.75">
      <c r="A8" s="47" t="str">
        <v>24 Walpole Park South</v>
      </c>
      <c r="B8" s="9" t="str">
        <v>MA</v>
      </c>
      <c r="C8" s="24">
        <f>SUM(Apr!C8, May!C8, Jun!C8)</f>
        <v>248823.5</v>
      </c>
      <c r="D8" s="13">
        <f>SUM(Apr!D8, May!D8, Jun!D8)</f>
        <v>222689.46</v>
      </c>
      <c r="E8" s="13">
        <f t="shared" si="0"/>
        <v>26134.040000000008</v>
      </c>
      <c r="F8" s="14">
        <f t="shared" si="1"/>
        <v>0.11735642989120369</v>
      </c>
      <c r="G8" s="15">
        <f>SUM(Apr!G8,May!G8,Jun!G8)</f>
        <v>268030.2</v>
      </c>
      <c r="H8" s="15">
        <f>SUM(Apr!H8, May!H8, Jun!H8)</f>
        <v>-19206.700000000012</v>
      </c>
      <c r="I8" s="16">
        <f t="shared" si="2"/>
        <v>-7.1658716070054834E-2</v>
      </c>
    </row>
    <row r="9" spans="1:9" ht="15.75">
      <c r="A9" s="48" t="str">
        <v>25 Walpole Park South</v>
      </c>
      <c r="B9" s="10" t="str">
        <v>MA</v>
      </c>
      <c r="C9" s="11">
        <f>SUM(Apr!C9, May!C9, Jun!C9)</f>
        <v>252567.75</v>
      </c>
      <c r="D9" s="18">
        <f>SUM(Apr!D9, May!D9, Jun!D9)</f>
        <v>233840.07</v>
      </c>
      <c r="E9" s="18">
        <f t="shared" si="0"/>
        <v>18727.679999999993</v>
      </c>
      <c r="F9" s="19">
        <f t="shared" si="1"/>
        <v>8.008755727792928E-2</v>
      </c>
      <c r="G9" s="18">
        <f>SUM(Apr!G9,May!G9,Jun!G9)</f>
        <v>271514.16000000003</v>
      </c>
      <c r="H9" s="20">
        <f>SUM(Apr!H9, May!H9, Jun!H9)</f>
        <v>-18946.409999999989</v>
      </c>
      <c r="I9" s="19">
        <f t="shared" si="2"/>
        <v>-6.9780559511150309E-2</v>
      </c>
    </row>
    <row r="10" spans="1:9" ht="15.75">
      <c r="A10" s="47" t="str">
        <v>3 Walpole Park South</v>
      </c>
      <c r="B10" s="9" t="str">
        <v>MA</v>
      </c>
      <c r="C10" s="24">
        <f>SUM(Apr!C10, May!C10, Jun!C10)</f>
        <v>328233.79750000034</v>
      </c>
      <c r="D10" s="13">
        <f>SUM(Apr!D10, May!D10, Jun!D10)</f>
        <v>300987.89999999997</v>
      </c>
      <c r="E10" s="13">
        <f t="shared" si="0"/>
        <v>27245.89750000037</v>
      </c>
      <c r="F10" s="14">
        <f t="shared" si="1"/>
        <v>9.0521570800687914E-2</v>
      </c>
      <c r="G10" s="15">
        <f>SUM(Apr!G10,May!G10,Jun!G10)</f>
        <v>326339.76</v>
      </c>
      <c r="H10" s="15">
        <f>SUM(Apr!H10, May!H10, Jun!H10)</f>
        <v>1894.0375000003114</v>
      </c>
      <c r="I10" s="16">
        <f t="shared" si="2"/>
        <v>5.803882125795249E-3</v>
      </c>
    </row>
    <row r="11" spans="1:9" ht="15.75">
      <c r="A11" s="48" t="str">
        <v>4 Walpole Park South</v>
      </c>
      <c r="B11" s="10" t="str">
        <v>MA</v>
      </c>
      <c r="C11" s="11">
        <f>SUM(Apr!C11, May!C11, Jun!C11)</f>
        <v>177763.5</v>
      </c>
      <c r="D11" s="18">
        <f>SUM(Apr!D11, May!D11, Jun!D11)</f>
        <v>164499.28</v>
      </c>
      <c r="E11" s="18">
        <f t="shared" si="0"/>
        <v>13264.220000000001</v>
      </c>
      <c r="F11" s="19">
        <f t="shared" si="1"/>
        <v>8.063390915753553E-2</v>
      </c>
      <c r="G11" s="18">
        <f>SUM(Apr!G11,May!G11,Jun!G11)</f>
        <v>178511.19</v>
      </c>
      <c r="H11" s="20">
        <f>SUM(Apr!H11, May!H11, Jun!H11)</f>
        <v>-747.69000000000233</v>
      </c>
      <c r="I11" s="19">
        <f t="shared" si="2"/>
        <v>-4.1884769240516651E-3</v>
      </c>
    </row>
    <row r="12" spans="1:9" ht="15.75">
      <c r="A12" s="47" t="str">
        <v>Brockton</v>
      </c>
      <c r="B12" s="9" t="str">
        <v>MA</v>
      </c>
      <c r="C12" s="24">
        <f>SUM(Apr!C12, May!C12, Jun!C12)</f>
        <v>287759</v>
      </c>
      <c r="D12" s="13">
        <f>SUM(Apr!D12, May!D12, Jun!D12)</f>
        <v>257000.66999999998</v>
      </c>
      <c r="E12" s="13">
        <f t="shared" si="0"/>
        <v>30758.330000000016</v>
      </c>
      <c r="F12" s="14">
        <f t="shared" si="1"/>
        <v>0.11968190588763841</v>
      </c>
      <c r="G12" s="15">
        <f>SUM(Apr!G12,May!G12,Jun!G12)</f>
        <v>300530.63</v>
      </c>
      <c r="H12" s="15">
        <f>SUM(Apr!H12, May!H12, Jun!H12)</f>
        <v>-12771.630000000005</v>
      </c>
      <c r="I12" s="16">
        <f t="shared" si="2"/>
        <v>-4.2496932841753945E-2</v>
      </c>
    </row>
    <row r="13" spans="1:9" ht="15.75">
      <c r="A13" s="48" t="str">
        <v>Canton</v>
      </c>
      <c r="B13" s="10" t="str">
        <v>MA</v>
      </c>
      <c r="C13" s="11">
        <f>SUM(Apr!C13, May!C13, Jun!C13)</f>
        <v>243917.11174299027</v>
      </c>
      <c r="D13" s="18">
        <f>SUM(Apr!D13, May!D13, Jun!D13)</f>
        <v>228075.89</v>
      </c>
      <c r="E13" s="18">
        <f t="shared" si="0"/>
        <v>15841.221742990252</v>
      </c>
      <c r="F13" s="19">
        <f t="shared" si="1"/>
        <v>6.9455924267094835E-2</v>
      </c>
      <c r="G13" s="18">
        <f>SUM(Apr!G13,May!G13,Jun!G13)</f>
        <v>286487.94</v>
      </c>
      <c r="H13" s="20">
        <f>SUM(Apr!H13, May!H13, Jun!H13)</f>
        <v>-42570.828257009707</v>
      </c>
      <c r="I13" s="19">
        <f t="shared" si="2"/>
        <v>-0.14859553340014839</v>
      </c>
    </row>
    <row r="14" spans="1:9" ht="15.75">
      <c r="A14" s="47" t="str">
        <v>Chelsea</v>
      </c>
      <c r="B14" s="9" t="str">
        <v>MA</v>
      </c>
      <c r="C14" s="24">
        <f>SUM(Apr!C14, May!C14, Jun!C14)</f>
        <v>482782</v>
      </c>
      <c r="D14" s="13">
        <f>SUM(Apr!D14, May!D14, Jun!D14)</f>
        <v>471516.50000000006</v>
      </c>
      <c r="E14" s="13">
        <f t="shared" si="0"/>
        <v>11265.499999999942</v>
      </c>
      <c r="F14" s="14">
        <f t="shared" si="1"/>
        <v>2.3892058920525455E-2</v>
      </c>
      <c r="G14" s="15">
        <f>SUM(Apr!G14,May!G14,Jun!G14)</f>
        <v>479302.20000000007</v>
      </c>
      <c r="H14" s="15">
        <f>SUM(Apr!H14, May!H14, Jun!H14)</f>
        <v>3479.7999999999884</v>
      </c>
      <c r="I14" s="16">
        <f t="shared" si="2"/>
        <v>7.2601377585998729E-3</v>
      </c>
    </row>
    <row r="15" spans="1:9" ht="15.75">
      <c r="A15" s="48" t="str">
        <v>Hamilton Landfill</v>
      </c>
      <c r="B15" s="10" t="str">
        <v>MA</v>
      </c>
      <c r="C15" s="11">
        <f>SUM(Apr!C15, May!C15, Jun!C15)</f>
        <v>369142.39</v>
      </c>
      <c r="D15" s="18">
        <f>SUM(Apr!D15, May!D15, Jun!D15)</f>
        <v>393727.3</v>
      </c>
      <c r="E15" s="18">
        <f t="shared" si="0"/>
        <v>-24584.909999999974</v>
      </c>
      <c r="F15" s="19">
        <f t="shared" si="1"/>
        <v>-6.2441466466765135E-2</v>
      </c>
      <c r="G15" s="18">
        <f>SUM(Apr!G15,May!G15,Jun!G15)</f>
        <v>0</v>
      </c>
      <c r="H15" s="20">
        <f>SUM(Apr!H15, May!H15, Jun!H15)</f>
        <v>369142.39</v>
      </c>
      <c r="I15" s="19" t="str">
        <f t="shared" si="2"/>
        <v/>
      </c>
    </row>
    <row r="16" spans="1:9" ht="15.75">
      <c r="A16" s="47" t="str">
        <v>Holliston</v>
      </c>
      <c r="B16" s="9" t="str">
        <v>MA</v>
      </c>
      <c r="C16" s="24">
        <f>SUM(Apr!C16, May!C16, Jun!C16)</f>
        <v>692665</v>
      </c>
      <c r="D16" s="13">
        <f>SUM(Apr!D16, May!D16, Jun!D16)</f>
        <v>797227.8</v>
      </c>
      <c r="E16" s="13">
        <f t="shared" ref="E16:E18" si="3">IF(AND(ISNUMBER(C16),ISNUMBER(D16)), C16-D16, "")</f>
        <v>-104562.80000000005</v>
      </c>
      <c r="F16" s="14">
        <f t="shared" ref="F16:F18" si="4">IFERROR(E16/D16, "")</f>
        <v>-0.13115799524301591</v>
      </c>
      <c r="G16" s="15">
        <f>SUM(Apr!G16,May!G16,Jun!G16)</f>
        <v>788375.9</v>
      </c>
      <c r="H16" s="15">
        <f>SUM(Apr!H16, May!H16, Jun!H16)</f>
        <v>-95710.9</v>
      </c>
      <c r="I16" s="16">
        <f t="shared" ref="I16:I18" si="5">IFERROR(H16/G16, "")</f>
        <v>-0.12140262024752405</v>
      </c>
    </row>
    <row r="17" spans="1:9" ht="15.75">
      <c r="A17" s="48" t="str">
        <v>Natick HS - Carports</v>
      </c>
      <c r="B17" s="10" t="str">
        <v>MA</v>
      </c>
      <c r="C17" s="11">
        <f>SUM(Apr!C17, May!C17, Jun!C17)</f>
        <v>253214.6</v>
      </c>
      <c r="D17" s="18">
        <f>SUM(Apr!D17, May!D17, Jun!D17)</f>
        <v>285080.59999999998</v>
      </c>
      <c r="E17" s="18">
        <f t="shared" si="3"/>
        <v>-31865.999999999971</v>
      </c>
      <c r="F17" s="19">
        <f t="shared" si="4"/>
        <v>-0.11177891445436824</v>
      </c>
      <c r="G17" s="18">
        <f>SUM(Apr!G17,May!G17,Jun!G17)</f>
        <v>0</v>
      </c>
      <c r="H17" s="20">
        <f>SUM(Apr!H17, May!H17, Jun!H17)</f>
        <v>253214.6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SUM(Apr!C18, May!C18, Jun!C18)</f>
        <v>8585</v>
      </c>
      <c r="D18" s="13">
        <f>SUM(Apr!D18, May!D18, Jun!D18)</f>
        <v>8582.607</v>
      </c>
      <c r="E18" s="13">
        <f t="shared" si="3"/>
        <v>2.3930000000000291</v>
      </c>
      <c r="F18" s="14">
        <f t="shared" si="4"/>
        <v>2.7881971060774764E-4</v>
      </c>
      <c r="G18" s="15">
        <f>SUM(Apr!G18,May!G18,Jun!G18)</f>
        <v>1695937.9</v>
      </c>
      <c r="H18" s="15">
        <f>SUM(Apr!H18, May!H18, Jun!H18)</f>
        <v>-1687352.9</v>
      </c>
      <c r="I18" s="16">
        <f t="shared" si="5"/>
        <v>-0.99493790427114104</v>
      </c>
    </row>
    <row r="19" spans="1:9" ht="15.75">
      <c r="A19" s="48" t="str">
        <v>Palmer - Boston Rd.</v>
      </c>
      <c r="B19" s="10" t="str">
        <v>MA</v>
      </c>
      <c r="C19" s="11">
        <f>SUM(Apr!C19, May!C19, Jun!C19)</f>
        <v>231751.5</v>
      </c>
      <c r="D19" s="18">
        <f>SUM(Apr!D19, May!D19, Jun!D19)</f>
        <v>201715</v>
      </c>
      <c r="E19" s="18">
        <f t="shared" ref="E19:E33" si="6">IF(AND(ISNUMBER(C19),ISNUMBER(D19)), C19-D19, "")</f>
        <v>30036.5</v>
      </c>
      <c r="F19" s="19">
        <f t="shared" ref="F19:F33" si="7">IFERROR(E19/D19, "")</f>
        <v>0.14890563418684777</v>
      </c>
      <c r="G19" s="18">
        <f>SUM(Apr!G19,May!G19,Jun!G19)</f>
        <v>242489</v>
      </c>
      <c r="H19" s="20">
        <f>SUM(Apr!H19, May!H19, Jun!H19)</f>
        <v>-10737.5</v>
      </c>
      <c r="I19" s="19">
        <f t="shared" ref="I19:I33" si="8">IFERROR(H19/G19, "")</f>
        <v>-4.4280359109072992E-2</v>
      </c>
    </row>
    <row r="20" spans="1:9" ht="15.75">
      <c r="A20" s="47" t="str">
        <v>Shirley Bartkus</v>
      </c>
      <c r="B20" s="9" t="str">
        <v>MA</v>
      </c>
      <c r="C20" s="24">
        <f>SUM(Apr!C20, May!C20, Jun!C20)</f>
        <v>400027</v>
      </c>
      <c r="D20" s="13">
        <f>SUM(Apr!D20, May!D20, Jun!D20)</f>
        <v>317657.40000000002</v>
      </c>
      <c r="E20" s="13">
        <f t="shared" si="6"/>
        <v>82369.599999999977</v>
      </c>
      <c r="F20" s="14">
        <f t="shared" si="7"/>
        <v>0.25930326194195374</v>
      </c>
      <c r="G20" s="15">
        <f>SUM(Apr!G20,May!G20,Jun!G20)</f>
        <v>405547</v>
      </c>
      <c r="H20" s="15">
        <f>SUM(Apr!H20, May!H20, Jun!H20)</f>
        <v>-5520</v>
      </c>
      <c r="I20" s="16">
        <f t="shared" si="8"/>
        <v>-1.3611246045464521E-2</v>
      </c>
    </row>
    <row r="21" spans="1:9" ht="15.75">
      <c r="A21" s="48" t="str">
        <v>Stoughton</v>
      </c>
      <c r="B21" s="10" t="str">
        <v>MA</v>
      </c>
      <c r="C21" s="11">
        <f>SUM(Apr!C21, May!C21, Jun!C21)</f>
        <v>334258.4870689651</v>
      </c>
      <c r="D21" s="18">
        <f>SUM(Apr!D21, May!D21, Jun!D21)</f>
        <v>183879.18</v>
      </c>
      <c r="E21" s="18">
        <f t="shared" si="6"/>
        <v>150379.30706896511</v>
      </c>
      <c r="F21" s="19">
        <f t="shared" si="7"/>
        <v>0.81781584554034403</v>
      </c>
      <c r="G21" s="18">
        <f>SUM(Apr!G21,May!G21,Jun!G21)</f>
        <v>325179.18000000005</v>
      </c>
      <c r="H21" s="20">
        <f>SUM(Apr!H21, May!H21, Jun!H21)</f>
        <v>9079.3070689650922</v>
      </c>
      <c r="I21" s="19">
        <f t="shared" si="8"/>
        <v>2.7920935986630788E-2</v>
      </c>
    </row>
    <row r="22" spans="1:9" ht="15.75">
      <c r="A22" s="47" t="str">
        <v>Wellfleet Landfill</v>
      </c>
      <c r="B22" s="9" t="str">
        <v>MA</v>
      </c>
      <c r="C22" s="24">
        <f>SUM(Apr!C22, May!C22, Jun!C22)</f>
        <v>407838.6</v>
      </c>
      <c r="D22" s="13">
        <f>SUM(Apr!D22, May!D22, Jun!D22)</f>
        <v>388874.1</v>
      </c>
      <c r="E22" s="13">
        <f t="shared" si="6"/>
        <v>18964.5</v>
      </c>
      <c r="F22" s="14">
        <f t="shared" si="7"/>
        <v>4.8767711709265291E-2</v>
      </c>
      <c r="G22" s="15">
        <f>SUM(Apr!G22,May!G22,Jun!G22)</f>
        <v>0</v>
      </c>
      <c r="H22" s="15">
        <f>SUM(Apr!H22, May!H22, Jun!H22)</f>
        <v>407838.6</v>
      </c>
      <c r="I22" s="16" t="str">
        <f t="shared" si="8"/>
        <v/>
      </c>
    </row>
    <row r="23" spans="1:9" ht="15.75">
      <c r="A23" s="48" t="str">
        <v>Wilmington Garage &amp; Building 7</v>
      </c>
      <c r="B23" s="10" t="str">
        <v>MA</v>
      </c>
      <c r="C23" s="11">
        <f>SUM(Apr!C23, May!C23, Jun!C23)</f>
        <v>484253.375</v>
      </c>
      <c r="D23" s="18">
        <f>SUM(Apr!D23, May!D23, Jun!D23)</f>
        <v>479985.3</v>
      </c>
      <c r="E23" s="18">
        <f t="shared" si="6"/>
        <v>4268.0750000000116</v>
      </c>
      <c r="F23" s="19">
        <f t="shared" si="7"/>
        <v>8.8920952370833261E-3</v>
      </c>
      <c r="G23" s="18">
        <f>SUM(Apr!G23,May!G23,Jun!G23)</f>
        <v>500732.20000000007</v>
      </c>
      <c r="H23" s="20">
        <f>SUM(Apr!H23, May!H23, Jun!H23)</f>
        <v>-16478.825000000012</v>
      </c>
      <c r="I23" s="19">
        <f t="shared" si="8"/>
        <v>-3.2909457390597231E-2</v>
      </c>
    </row>
    <row r="24" spans="1:9" ht="15.75">
      <c r="A24" s="47" t="str">
        <v>Woburn</v>
      </c>
      <c r="B24" s="9" t="str">
        <v>MA</v>
      </c>
      <c r="C24" s="24">
        <f>SUM(Apr!C24, May!C24, Jun!C24)</f>
        <v>688189.89243027801</v>
      </c>
      <c r="D24" s="13">
        <f>SUM(Apr!D24, May!D24, Jun!D24)</f>
        <v>668183.69999999995</v>
      </c>
      <c r="E24" s="13">
        <f t="shared" si="6"/>
        <v>20006.192430278054</v>
      </c>
      <c r="F24" s="14">
        <f t="shared" si="7"/>
        <v>2.9941156047772574E-2</v>
      </c>
      <c r="G24" s="15">
        <f>SUM(Apr!G24,May!G24,Jun!G24)</f>
        <v>708035.4</v>
      </c>
      <c r="H24" s="15">
        <f>SUM(Apr!H24, May!H24, Jun!H24)</f>
        <v>-19845.507569722016</v>
      </c>
      <c r="I24" s="16">
        <f t="shared" si="8"/>
        <v>-2.8028976474512454E-2</v>
      </c>
    </row>
    <row r="25" spans="1:9" ht="15.75">
      <c r="A25" s="48" t="str">
        <v>Friendship Solar 1</v>
      </c>
      <c r="B25" s="10" t="str">
        <v>MD</v>
      </c>
      <c r="C25" s="11">
        <f>SUM(Apr!C25, May!C25, Jun!C25)</f>
        <v>1368673</v>
      </c>
      <c r="D25" s="18">
        <f>SUM(Apr!D25, May!D25, Jun!D25)</f>
        <v>1458244.1</v>
      </c>
      <c r="E25" s="18">
        <f t="shared" si="6"/>
        <v>-89571.100000000093</v>
      </c>
      <c r="F25" s="19">
        <f t="shared" si="7"/>
        <v>-6.1423941300362599E-2</v>
      </c>
      <c r="G25" s="18">
        <f>SUM(Apr!G25,May!G25,Jun!G25)</f>
        <v>1673395.6</v>
      </c>
      <c r="H25" s="20">
        <f>SUM(Apr!H25, May!H25, Jun!H25)</f>
        <v>-304722.59999999998</v>
      </c>
      <c r="I25" s="19">
        <f t="shared" si="8"/>
        <v>-0.18209836335173821</v>
      </c>
    </row>
    <row r="26" spans="1:9" ht="15.75">
      <c r="A26" s="47" t="str">
        <v>Friendship Solar 2</v>
      </c>
      <c r="B26" s="9" t="str">
        <v>MD</v>
      </c>
      <c r="C26" s="24">
        <f>SUM(Apr!C26, May!C26, Jun!C26)</f>
        <v>1375416</v>
      </c>
      <c r="D26" s="13">
        <f>SUM(Apr!D26, May!D26, Jun!D26)</f>
        <v>1457132.8</v>
      </c>
      <c r="E26" s="13">
        <f t="shared" si="6"/>
        <v>-81716.800000000047</v>
      </c>
      <c r="F26" s="14">
        <f t="shared" si="7"/>
        <v>-5.6080543928460083E-2</v>
      </c>
      <c r="G26" s="15">
        <f>SUM(Apr!G26,May!G26,Jun!G26)</f>
        <v>1644644</v>
      </c>
      <c r="H26" s="15">
        <f>SUM(Apr!H26, May!H26, Jun!H26)</f>
        <v>-269228</v>
      </c>
      <c r="I26" s="16">
        <f t="shared" si="8"/>
        <v>-0.163699864529953</v>
      </c>
    </row>
    <row r="27" spans="1:9" ht="15.75">
      <c r="A27" s="48" t="str">
        <v>101 Carnegie Center</v>
      </c>
      <c r="B27" s="10" t="str">
        <v>NJ</v>
      </c>
      <c r="C27" s="11">
        <f>SUM(Apr!C27, May!C27, Jun!C27)</f>
        <v>569842.16999999993</v>
      </c>
      <c r="D27" s="18">
        <f>SUM(Apr!D27, May!D27, Jun!D27)</f>
        <v>691651.45</v>
      </c>
      <c r="E27" s="18">
        <f t="shared" si="6"/>
        <v>-121809.28000000003</v>
      </c>
      <c r="F27" s="19">
        <f t="shared" si="7"/>
        <v>-0.17611367691053065</v>
      </c>
      <c r="G27" s="18">
        <f>SUM(Apr!G27,May!G27,Jun!G27)</f>
        <v>0</v>
      </c>
      <c r="H27" s="20">
        <f>SUM(Apr!H27, May!H27, Jun!H27)</f>
        <v>569842.16999999993</v>
      </c>
      <c r="I27" s="19" t="str">
        <f t="shared" si="8"/>
        <v/>
      </c>
    </row>
    <row r="28" spans="1:9" ht="15.75">
      <c r="A28" s="47" t="str">
        <v>302 Carnegie Center</v>
      </c>
      <c r="B28" s="9" t="str">
        <v>NJ</v>
      </c>
      <c r="C28" s="24">
        <f>SUM(Apr!C28, May!C28, Jun!C28)</f>
        <v>249960.89</v>
      </c>
      <c r="D28" s="13">
        <f>SUM(Apr!D28, May!D28, Jun!D28)</f>
        <v>262141.19800000003</v>
      </c>
      <c r="E28" s="13">
        <f t="shared" si="6"/>
        <v>-12180.308000000019</v>
      </c>
      <c r="F28" s="14">
        <f t="shared" si="7"/>
        <v>-4.6464684272939108E-2</v>
      </c>
      <c r="G28" s="15">
        <f>SUM(Apr!G28,May!G28,Jun!G28)</f>
        <v>0</v>
      </c>
      <c r="H28" s="15">
        <f>SUM(Apr!H28, May!H28, Jun!H28)</f>
        <v>249960.89</v>
      </c>
      <c r="I28" s="16" t="str">
        <f t="shared" si="8"/>
        <v/>
      </c>
    </row>
    <row r="29" spans="1:9" ht="15.75">
      <c r="A29" s="48" t="str">
        <v>510 Carnegie Center</v>
      </c>
      <c r="B29" s="10" t="str">
        <v>NJ</v>
      </c>
      <c r="C29" s="11">
        <f>SUM(Apr!C29, May!C29, Jun!C29)</f>
        <v>637608.93900000001</v>
      </c>
      <c r="D29" s="18">
        <f>SUM(Apr!D29, May!D29, Jun!D29)</f>
        <v>735350.21600000001</v>
      </c>
      <c r="E29" s="18">
        <f t="shared" si="6"/>
        <v>-97741.277000000002</v>
      </c>
      <c r="F29" s="19">
        <f t="shared" si="7"/>
        <v>-0.13291799590632064</v>
      </c>
      <c r="G29" s="18">
        <f>SUM(Apr!G29,May!G29,Jun!G29)</f>
        <v>0</v>
      </c>
      <c r="H29" s="20">
        <f>SUM(Apr!H29, May!H29, Jun!H29)</f>
        <v>637608.93900000001</v>
      </c>
      <c r="I29" s="19" t="str">
        <f t="shared" si="8"/>
        <v/>
      </c>
    </row>
    <row r="30" spans="1:9" ht="15.75">
      <c r="A30" s="47" t="str">
        <v>701 Carnegie Center</v>
      </c>
      <c r="B30" s="9" t="str">
        <v>NJ</v>
      </c>
      <c r="C30" s="24">
        <f>SUM(Apr!C30, May!C30, Jun!C30)</f>
        <v>497821.79000000004</v>
      </c>
      <c r="D30" s="13">
        <f>SUM(Apr!D30, May!D30, Jun!D30)</f>
        <v>591926.17000000004</v>
      </c>
      <c r="E30" s="13">
        <f t="shared" si="6"/>
        <v>-94104.38</v>
      </c>
      <c r="F30" s="14">
        <f t="shared" si="7"/>
        <v>-0.15897992818935511</v>
      </c>
      <c r="G30" s="15">
        <f>SUM(Apr!G30,May!G30,Jun!G30)</f>
        <v>0</v>
      </c>
      <c r="H30" s="15">
        <f>SUM(Apr!H30, May!H30, Jun!H30)</f>
        <v>497821.79000000004</v>
      </c>
      <c r="I30" s="16" t="str">
        <f t="shared" si="8"/>
        <v/>
      </c>
    </row>
    <row r="31" spans="1:9" ht="15.75">
      <c r="A31" s="48" t="str">
        <v>Hudson County Correction</v>
      </c>
      <c r="B31" s="10" t="str">
        <v>NJ</v>
      </c>
      <c r="C31" s="11">
        <f>SUM(Apr!C31, May!C31, Jun!C31)</f>
        <v>710863.52388859307</v>
      </c>
      <c r="D31" s="18">
        <f>SUM(Apr!D31, May!D31, Jun!D31)</f>
        <v>621235.30000000005</v>
      </c>
      <c r="E31" s="18">
        <f t="shared" si="6"/>
        <v>89628.223888593027</v>
      </c>
      <c r="F31" s="19">
        <f t="shared" si="7"/>
        <v>0.14427419673124342</v>
      </c>
      <c r="G31" s="18">
        <f>SUM(Apr!G31,May!G31,Jun!G31)</f>
        <v>2879962.3</v>
      </c>
      <c r="H31" s="20">
        <f>SUM(Apr!H31, May!H31, Jun!H31)</f>
        <v>-2169098.7761114072</v>
      </c>
      <c r="I31" s="19">
        <f t="shared" si="8"/>
        <v>-0.75316915645437699</v>
      </c>
    </row>
    <row r="32" spans="1:9" ht="15.75">
      <c r="A32" s="47" t="str">
        <v>ER Bison Solar</v>
      </c>
      <c r="B32" s="9" t="str">
        <v>PA</v>
      </c>
      <c r="C32" s="24">
        <f>SUM(Apr!C32, May!C32, Jun!C32)</f>
        <v>673745</v>
      </c>
      <c r="D32" s="13">
        <f>SUM(Apr!D32, May!D32, Jun!D32)</f>
        <v>0</v>
      </c>
      <c r="E32" s="13">
        <f t="shared" si="6"/>
        <v>673745</v>
      </c>
      <c r="F32" s="14" t="str">
        <f t="shared" si="7"/>
        <v/>
      </c>
      <c r="G32" s="15">
        <f>SUM(Apr!G32,May!G32,Jun!G32)</f>
        <v>705197</v>
      </c>
      <c r="H32" s="15">
        <f>SUM(Apr!H32, May!H32, Jun!H32)</f>
        <v>-31452</v>
      </c>
      <c r="I32" s="16">
        <f t="shared" si="8"/>
        <v>-4.4600303177693611E-2</v>
      </c>
    </row>
    <row r="33" spans="1:9" ht="15.75">
      <c r="A33" s="48" t="str">
        <v>Danville</v>
      </c>
      <c r="B33" s="10" t="str">
        <v>IL</v>
      </c>
      <c r="C33" s="11">
        <f>SUM(Apr!C33, May!C33, Jun!C33)</f>
        <v>1092965.58</v>
      </c>
      <c r="D33" s="18">
        <f>SUM(Apr!D33, May!D33, Jun!D33)</f>
        <v>0</v>
      </c>
      <c r="E33" s="18">
        <f t="shared" ref="E33:E36" si="9">IF(AND(ISNUMBER(C33),ISNUMBER(D33)), C33-D33, "")</f>
        <v>1092965.58</v>
      </c>
      <c r="F33" s="19" t="str">
        <f t="shared" ref="F33:F36" si="10">IFERROR(E33/D33, "")</f>
        <v/>
      </c>
      <c r="G33" s="18">
        <f>SUM(Apr!G33,May!G33,Jun!G33)</f>
        <v>0</v>
      </c>
      <c r="H33" s="20">
        <f>SUM(Apr!H33, May!H33, Jun!H33)</f>
        <v>1092965.58</v>
      </c>
      <c r="I33" s="19" t="str">
        <f t="shared" ref="I33:I36" si="11">IFERROR(H33/G33, "")</f>
        <v/>
      </c>
    </row>
    <row r="34" spans="1:9" ht="15.75">
      <c r="A34" s="47" t="str">
        <v>Oaks Landfill - ANEM</v>
      </c>
      <c r="B34" s="9" t="str">
        <v>ML</v>
      </c>
      <c r="C34" s="24">
        <f>SUM(Apr!C34, May!C34, Jun!C34)</f>
        <v>930832.83799999999</v>
      </c>
      <c r="D34" s="13">
        <f>SUM(Apr!D34, May!D34, Jun!D34)</f>
        <v>1006331.635</v>
      </c>
      <c r="E34" s="13">
        <f t="shared" si="9"/>
        <v>-75498.79700000002</v>
      </c>
      <c r="F34" s="14">
        <f t="shared" si="10"/>
        <v>-7.5023773847674002E-2</v>
      </c>
      <c r="G34" s="15">
        <f>SUM(Apr!G34,May!G34,Jun!G34)</f>
        <v>0</v>
      </c>
      <c r="H34" s="15">
        <f>SUM(Apr!H34, May!H34, Jun!H34)</f>
        <v>930832.83799999999</v>
      </c>
      <c r="I34" s="16" t="str">
        <f t="shared" si="11"/>
        <v/>
      </c>
    </row>
    <row r="35" spans="1:9" ht="15.75">
      <c r="A35" s="48" t="str">
        <v>Oaks Landfill - CS1</v>
      </c>
      <c r="B35" s="10" t="str">
        <v>ML</v>
      </c>
      <c r="C35" s="11">
        <f>SUM(Apr!C35, May!C35, Jun!C35)</f>
        <v>939288.09100000001</v>
      </c>
      <c r="D35" s="18">
        <f>SUM(Apr!D35, May!D35, Jun!D35)</f>
        <v>1044839.173</v>
      </c>
      <c r="E35" s="18">
        <f t="shared" si="9"/>
        <v>-105551.08199999994</v>
      </c>
      <c r="F35" s="19">
        <f t="shared" si="10"/>
        <v>-0.10102136742914782</v>
      </c>
      <c r="G35" s="18">
        <f>SUM(Apr!G35,May!G35,Jun!G35)</f>
        <v>0</v>
      </c>
      <c r="H35" s="20">
        <f>SUM(Apr!H35, May!H35, Jun!H35)</f>
        <v>939288.09100000001</v>
      </c>
      <c r="I35" s="19" t="str">
        <f t="shared" si="11"/>
        <v/>
      </c>
    </row>
    <row r="36" spans="1:9" ht="15.75">
      <c r="A36" s="47" t="str">
        <v>Oaks Landfill - CS2</v>
      </c>
      <c r="B36" s="9" t="str">
        <v>ML</v>
      </c>
      <c r="C36" s="24">
        <f>SUM(Apr!C36, May!C36, Jun!C36)</f>
        <v>941238.61700000009</v>
      </c>
      <c r="D36" s="13">
        <f>SUM(Apr!D36, May!D36, Jun!D36)</f>
        <v>1016655.218</v>
      </c>
      <c r="E36" s="13">
        <f t="shared" si="9"/>
        <v>-75416.600999999908</v>
      </c>
      <c r="F36" s="14">
        <f t="shared" si="10"/>
        <v>-7.4181098630824033E-2</v>
      </c>
      <c r="G36" s="15">
        <f>SUM(Apr!G36,May!G36,Jun!G36)</f>
        <v>0</v>
      </c>
      <c r="H36" s="15">
        <f>SUM(Apr!H36, May!H36, Jun!H36)</f>
        <v>941238.61700000009</v>
      </c>
      <c r="I36" s="16" t="str">
        <f t="shared" si="11"/>
        <v/>
      </c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17" activePane="bottomRight" state="frozen"/>
      <selection pane="bottomRight" activeCell="L34" sqref="L34"/>
      <selection pane="bottomLeft" activeCell="K22" sqref="K22"/>
      <selection pane="topRight" activeCell="K22" sqref="K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9" t="str" cm="1">
        <f t="array" ref="A1">portfolio</f>
        <v>Greenbacker Capital</v>
      </c>
      <c r="B1" s="99"/>
      <c r="C1" s="99"/>
      <c r="D1" s="100" t="s">
        <v>14</v>
      </c>
      <c r="E1" s="100"/>
      <c r="F1" s="100"/>
      <c r="G1" s="98" t="s">
        <v>15</v>
      </c>
      <c r="H1" s="98"/>
      <c r="I1" s="98"/>
    </row>
    <row r="2" spans="1:9" ht="19.5" customHeight="1">
      <c r="A2" s="101" t="s">
        <v>2</v>
      </c>
      <c r="B2" s="101"/>
      <c r="C2" s="5">
        <f>SUM(C4:C100)</f>
        <v>16191780.713888759</v>
      </c>
      <c r="D2" s="5">
        <f>SUM(D4:D100)</f>
        <v>14550322.5669</v>
      </c>
      <c r="E2" s="5">
        <f>C2-D2</f>
        <v>1641458.1469887588</v>
      </c>
      <c r="F2" s="6">
        <f>IFERROR(E2/D2, 0)</f>
        <v>0.11281249191841645</v>
      </c>
      <c r="G2" s="5">
        <f>SUM(G4:G100)</f>
        <v>10133175.059999999</v>
      </c>
      <c r="H2" s="7">
        <f>C2-G2</f>
        <v>6058605.6538887601</v>
      </c>
      <c r="I2" s="6">
        <f>IFERROR(H2/G2, 0)</f>
        <v>0.5978980544612007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7" t="str" cm="1">
        <f t="array" ref="A4:A36">Sites[Site]</f>
        <v>10 Walpole Park South</v>
      </c>
      <c r="B4" s="9" t="str" cm="1">
        <f t="array" ref="B4:B36">Sites[State]</f>
        <v>MA</v>
      </c>
      <c r="C4" s="24">
        <f>SUM(Jul!C4, Aug!C4, Sep!C4)</f>
        <v>51812.625</v>
      </c>
      <c r="D4" s="13">
        <f>SUM(Jul!D4, Aug!D4, Sep!D4)</f>
        <v>47898.020000000004</v>
      </c>
      <c r="E4" s="13">
        <f>IF(AND(ISNUMBER(C4),ISNUMBER(D4)), C4-D4, "")</f>
        <v>3914.6049999999959</v>
      </c>
      <c r="F4" s="14">
        <f>IFERROR(E4/D4, "")</f>
        <v>8.1727908585782785E-2</v>
      </c>
      <c r="G4" s="15">
        <f>SUM(Jul!G4,Aug!G4,Sep!G4)</f>
        <v>58697.880000000005</v>
      </c>
      <c r="H4" s="15">
        <f>SUM(Jul!H4, Aug!H4, Sep!H4)</f>
        <v>-6885.255000000001</v>
      </c>
      <c r="I4" s="16">
        <f>IFERROR(H4/G4, "")</f>
        <v>-0.11729989226186704</v>
      </c>
    </row>
    <row r="5" spans="1:9" ht="15.75">
      <c r="A5" s="48" t="str">
        <v>15 Walpole Park South</v>
      </c>
      <c r="B5" s="10" t="str">
        <v>MA</v>
      </c>
      <c r="C5" s="11">
        <f>SUM(Jul!C5, Aug!C5, Sep!C5)</f>
        <v>189269.5</v>
      </c>
      <c r="D5" s="18">
        <f>SUM(Jul!D5, Aug!D5, Sep!D5)</f>
        <v>178464.85</v>
      </c>
      <c r="E5" s="18">
        <f t="shared" ref="E5:E15" si="0">IF(AND(ISNUMBER(C5),ISNUMBER(D5)), C5-D5, "")</f>
        <v>10804.649999999994</v>
      </c>
      <c r="F5" s="19">
        <f>IFERROR(E5/D5, "")</f>
        <v>6.0542173991124826E-2</v>
      </c>
      <c r="G5" s="18">
        <f>SUM(Jul!G5,Aug!G5,Sep!G5)</f>
        <v>206524.61000000002</v>
      </c>
      <c r="H5" s="20">
        <f>SUM(Jul!H5, Aug!H5, Sep!H5)</f>
        <v>-17255.109999999993</v>
      </c>
      <c r="I5" s="19">
        <f>IFERROR(H5/G5, "")</f>
        <v>-8.3549897515845656E-2</v>
      </c>
    </row>
    <row r="6" spans="1:9" ht="15.75">
      <c r="A6" s="47" t="str">
        <v>19 Walpole Park South</v>
      </c>
      <c r="B6" s="9" t="str">
        <v>MA</v>
      </c>
      <c r="C6" s="24">
        <f>SUM(Jul!C6, Aug!C6, Sep!C6)</f>
        <v>118882.875</v>
      </c>
      <c r="D6" s="13">
        <f>SUM(Jul!D6, Aug!D6, Sep!D6)</f>
        <v>109679.29999999999</v>
      </c>
      <c r="E6" s="13">
        <f t="shared" si="0"/>
        <v>9203.5750000000116</v>
      </c>
      <c r="F6" s="14">
        <f t="shared" ref="F6:F15" si="1">IFERROR(E6/D6, "")</f>
        <v>8.3913509659525654E-2</v>
      </c>
      <c r="G6" s="15">
        <f>SUM(Jul!G6,Aug!G6,Sep!G6)</f>
        <v>131744.18</v>
      </c>
      <c r="H6" s="15">
        <f>SUM(Jul!H6, Aug!H6, Sep!H6)</f>
        <v>-12861.305</v>
      </c>
      <c r="I6" s="16">
        <f t="shared" ref="I6:I15" si="2">IFERROR(H6/G6, "")</f>
        <v>-9.7623325751467732E-2</v>
      </c>
    </row>
    <row r="7" spans="1:9" ht="15.75">
      <c r="A7" s="48" t="str">
        <v>23 Walpole Park South</v>
      </c>
      <c r="B7" s="10" t="str">
        <v>MA</v>
      </c>
      <c r="C7" s="11">
        <f>SUM(Jul!C7, Aug!C7, Sep!C7)</f>
        <v>162363.25</v>
      </c>
      <c r="D7" s="18">
        <f>SUM(Jul!D7, Aug!D7, Sep!D7)</f>
        <v>145778.47999999998</v>
      </c>
      <c r="E7" s="18">
        <f t="shared" si="0"/>
        <v>16584.770000000019</v>
      </c>
      <c r="F7" s="19">
        <f t="shared" si="1"/>
        <v>0.11376692911052455</v>
      </c>
      <c r="G7" s="18">
        <f>SUM(Jul!G7,Aug!G7,Sep!G7)</f>
        <v>173306.11</v>
      </c>
      <c r="H7" s="20">
        <f>SUM(Jul!H7, Aug!H7, Sep!H7)</f>
        <v>-10942.86</v>
      </c>
      <c r="I7" s="19">
        <f t="shared" si="2"/>
        <v>-6.3141801521019669E-2</v>
      </c>
    </row>
    <row r="8" spans="1:9" ht="15.75">
      <c r="A8" s="47" t="str">
        <v>24 Walpole Park South</v>
      </c>
      <c r="B8" s="9" t="str">
        <v>MA</v>
      </c>
      <c r="C8" s="24">
        <f>SUM(Jul!C8, Aug!C8, Sep!C8)</f>
        <v>222295.2799999998</v>
      </c>
      <c r="D8" s="13">
        <f>SUM(Jul!D8, Aug!D8, Sep!D8)</f>
        <v>202661.39</v>
      </c>
      <c r="E8" s="13">
        <f t="shared" si="0"/>
        <v>19633.889999999781</v>
      </c>
      <c r="F8" s="14">
        <f t="shared" si="1"/>
        <v>9.6880269103057956E-2</v>
      </c>
      <c r="G8" s="15">
        <f>SUM(Jul!G8,Aug!G8,Sep!G8)</f>
        <v>266324.05000000005</v>
      </c>
      <c r="H8" s="15">
        <f>SUM(Jul!H8, Aug!H8, Sep!H8)</f>
        <v>-44028.770000000201</v>
      </c>
      <c r="I8" s="16">
        <f t="shared" si="2"/>
        <v>-0.16532029307905236</v>
      </c>
    </row>
    <row r="9" spans="1:9" ht="15.75">
      <c r="A9" s="48" t="str">
        <v>25 Walpole Park South</v>
      </c>
      <c r="B9" s="10" t="str">
        <v>MA</v>
      </c>
      <c r="C9" s="11">
        <f>SUM(Jul!C9, Aug!C9, Sep!C9)</f>
        <v>225081.63625000001</v>
      </c>
      <c r="D9" s="18">
        <f>SUM(Jul!D9, Aug!D9, Sep!D9)</f>
        <v>219656.11</v>
      </c>
      <c r="E9" s="18">
        <f t="shared" si="0"/>
        <v>5425.5262500000244</v>
      </c>
      <c r="F9" s="19">
        <f t="shared" si="1"/>
        <v>2.470009256742289E-2</v>
      </c>
      <c r="G9" s="18">
        <f>SUM(Jul!G9,Aug!G9,Sep!G9)</f>
        <v>269433.39</v>
      </c>
      <c r="H9" s="20">
        <f>SUM(Jul!H9, Aug!H9, Sep!H9)</f>
        <v>-44351.753749999996</v>
      </c>
      <c r="I9" s="19">
        <f t="shared" si="2"/>
        <v>-0.16461120037869098</v>
      </c>
    </row>
    <row r="10" spans="1:9" ht="15.75">
      <c r="A10" s="47" t="str">
        <v>3 Walpole Park South</v>
      </c>
      <c r="B10" s="9" t="str">
        <v>MA</v>
      </c>
      <c r="C10" s="24">
        <f>SUM(Jul!C10, Aug!C10, Sep!C10)</f>
        <v>302990.6400000006</v>
      </c>
      <c r="D10" s="13">
        <f>SUM(Jul!D10, Aug!D10, Sep!D10)</f>
        <v>276961.71999999997</v>
      </c>
      <c r="E10" s="13">
        <f t="shared" si="0"/>
        <v>26028.920000000624</v>
      </c>
      <c r="F10" s="14">
        <f t="shared" si="1"/>
        <v>9.3980207806337382E-2</v>
      </c>
      <c r="G10" s="15">
        <f>SUM(Jul!G10,Aug!G10,Sep!G10)</f>
        <v>322244.91000000003</v>
      </c>
      <c r="H10" s="15">
        <f>SUM(Jul!H10, Aug!H10, Sep!H10)</f>
        <v>-19254.269999999407</v>
      </c>
      <c r="I10" s="16">
        <f t="shared" si="2"/>
        <v>-5.9750423986524429E-2</v>
      </c>
    </row>
    <row r="11" spans="1:9" ht="15.75">
      <c r="A11" s="48" t="str">
        <v>4 Walpole Park South</v>
      </c>
      <c r="B11" s="10" t="str">
        <v>MA</v>
      </c>
      <c r="C11" s="11">
        <f>SUM(Jul!C11, Aug!C11, Sep!C11)</f>
        <v>165614</v>
      </c>
      <c r="D11" s="18">
        <f>SUM(Jul!D11, Aug!D11, Sep!D11)</f>
        <v>153139.65</v>
      </c>
      <c r="E11" s="18">
        <f t="shared" si="0"/>
        <v>12474.350000000006</v>
      </c>
      <c r="F11" s="19">
        <f t="shared" si="1"/>
        <v>8.1457349549904329E-2</v>
      </c>
      <c r="G11" s="18">
        <f>SUM(Jul!G11,Aug!G11,Sep!G11)</f>
        <v>178657.19</v>
      </c>
      <c r="H11" s="20">
        <f>SUM(Jul!H11, Aug!H11, Sep!H11)</f>
        <v>-13043.189999999995</v>
      </c>
      <c r="I11" s="19">
        <f t="shared" si="2"/>
        <v>-7.300680146150286E-2</v>
      </c>
    </row>
    <row r="12" spans="1:9" ht="15.75">
      <c r="A12" s="47" t="str">
        <v>Brockton</v>
      </c>
      <c r="B12" s="9" t="str">
        <v>MA</v>
      </c>
      <c r="C12" s="24">
        <f>SUM(Jul!C12, Aug!C12, Sep!C12)</f>
        <v>274632</v>
      </c>
      <c r="D12" s="13">
        <f>SUM(Jul!D12, Aug!D12, Sep!D12)</f>
        <v>238069.64</v>
      </c>
      <c r="E12" s="13">
        <f t="shared" si="0"/>
        <v>36562.359999999986</v>
      </c>
      <c r="F12" s="14">
        <f t="shared" si="1"/>
        <v>0.15357842352346979</v>
      </c>
      <c r="G12" s="15">
        <f>SUM(Jul!G12,Aug!G12,Sep!G12)</f>
        <v>293285.40000000002</v>
      </c>
      <c r="H12" s="15">
        <f>SUM(Jul!H12, Aug!H12, Sep!H12)</f>
        <v>-18653.399999999994</v>
      </c>
      <c r="I12" s="16">
        <f t="shared" si="2"/>
        <v>-6.3601529431741202E-2</v>
      </c>
    </row>
    <row r="13" spans="1:9" ht="15.75">
      <c r="A13" s="48" t="str">
        <v>Canton</v>
      </c>
      <c r="B13" s="10" t="str">
        <v>MA</v>
      </c>
      <c r="C13" s="11">
        <f>SUM(Jul!C13, Aug!C13, Sep!C13)</f>
        <v>258372.87703251879</v>
      </c>
      <c r="D13" s="18">
        <f>SUM(Jul!D13, Aug!D13, Sep!D13)</f>
        <v>235017.87</v>
      </c>
      <c r="E13" s="18">
        <f t="shared" si="0"/>
        <v>23355.007032518799</v>
      </c>
      <c r="F13" s="19">
        <f t="shared" si="1"/>
        <v>9.9375451885930208E-2</v>
      </c>
      <c r="G13" s="18">
        <f>SUM(Jul!G13,Aug!G13,Sep!G13)</f>
        <v>291527.19999999995</v>
      </c>
      <c r="H13" s="20">
        <f>SUM(Jul!H13, Aug!H13, Sep!H13)</f>
        <v>-33154.322967481188</v>
      </c>
      <c r="I13" s="19">
        <f t="shared" si="2"/>
        <v>-0.11372634514886155</v>
      </c>
    </row>
    <row r="14" spans="1:9" ht="15.75">
      <c r="A14" s="47" t="str">
        <v>Chelsea</v>
      </c>
      <c r="B14" s="9" t="str">
        <v>MA</v>
      </c>
      <c r="C14" s="24">
        <f>SUM(Jul!C14, Aug!C14, Sep!C14)</f>
        <v>452729</v>
      </c>
      <c r="D14" s="13">
        <f>SUM(Jul!D14, Aug!D14, Sep!D14)</f>
        <v>439379.89999999997</v>
      </c>
      <c r="E14" s="13">
        <f t="shared" si="0"/>
        <v>13349.100000000035</v>
      </c>
      <c r="F14" s="14">
        <f t="shared" si="1"/>
        <v>3.0381681091920763E-2</v>
      </c>
      <c r="G14" s="15">
        <f>SUM(Jul!G14,Aug!G14,Sep!G14)</f>
        <v>471141</v>
      </c>
      <c r="H14" s="15">
        <f>SUM(Jul!H14, Aug!H14, Sep!H14)</f>
        <v>-18412</v>
      </c>
      <c r="I14" s="16">
        <f t="shared" si="2"/>
        <v>-3.9079596129396509E-2</v>
      </c>
    </row>
    <row r="15" spans="1:9" ht="15.75">
      <c r="A15" s="48" t="str">
        <v>Hamilton Landfill</v>
      </c>
      <c r="B15" s="10" t="str">
        <v>MA</v>
      </c>
      <c r="C15" s="11">
        <f>SUM(Jul!C15, Aug!C15, Sep!C15)</f>
        <v>369195.18299999996</v>
      </c>
      <c r="D15" s="18">
        <f>SUM(Jul!D15, Aug!D15, Sep!D15)</f>
        <v>394477.91300000006</v>
      </c>
      <c r="E15" s="18">
        <f t="shared" si="0"/>
        <v>-25282.730000000098</v>
      </c>
      <c r="F15" s="19">
        <f t="shared" si="1"/>
        <v>-6.4091623806578221E-2</v>
      </c>
      <c r="G15" s="18">
        <f>SUM(Jul!G15,Aug!G15,Sep!G15)</f>
        <v>0</v>
      </c>
      <c r="H15" s="20">
        <f>SUM(Jul!H15, Aug!H15, Sep!H15)</f>
        <v>369195.18299999996</v>
      </c>
      <c r="I15" s="19" t="str">
        <f t="shared" si="2"/>
        <v/>
      </c>
    </row>
    <row r="16" spans="1:9" ht="15.75">
      <c r="A16" s="47" t="str">
        <v>Holliston</v>
      </c>
      <c r="B16" s="9" t="str">
        <v>MA</v>
      </c>
      <c r="C16" s="24">
        <f>SUM(Jul!C16, Aug!C16, Sep!C16)</f>
        <v>651156.5</v>
      </c>
      <c r="D16" s="13">
        <f>SUM(Jul!D16, Aug!D16, Sep!D16)</f>
        <v>742640.9</v>
      </c>
      <c r="E16" s="13">
        <f t="shared" ref="E16:E19" si="3">IF(AND(ISNUMBER(C16),ISNUMBER(D16)), C16-D16, "")</f>
        <v>-91484.400000000023</v>
      </c>
      <c r="F16" s="14">
        <f t="shared" ref="F16:F19" si="4">IFERROR(E16/D16, "")</f>
        <v>-0.12318793645758</v>
      </c>
      <c r="G16" s="15">
        <f>SUM(Jul!G16,Aug!G16,Sep!G16)</f>
        <v>767006</v>
      </c>
      <c r="H16" s="15">
        <f>SUM(Jul!H16, Aug!H16, Sep!H16)</f>
        <v>-115849.50000000003</v>
      </c>
      <c r="I16" s="16">
        <f t="shared" ref="I16:I19" si="5">IFERROR(H16/G16, "")</f>
        <v>-0.15104119133357499</v>
      </c>
    </row>
    <row r="17" spans="1:9" ht="15.75">
      <c r="A17" s="48" t="str">
        <v>Natick HS - Carports</v>
      </c>
      <c r="B17" s="10" t="str">
        <v>MA</v>
      </c>
      <c r="C17" s="11">
        <f>SUM(Jul!C17, Aug!C17, Sep!C17)</f>
        <v>231627.96679999999</v>
      </c>
      <c r="D17" s="18">
        <f>SUM(Jul!D17, Aug!D17, Sep!D17)</f>
        <v>264062.1838</v>
      </c>
      <c r="E17" s="18">
        <f t="shared" si="3"/>
        <v>-32434.217000000004</v>
      </c>
      <c r="F17" s="19">
        <f t="shared" si="4"/>
        <v>-0.12282795110323558</v>
      </c>
      <c r="G17" s="18">
        <f>SUM(Jul!G17,Aug!G17,Sep!G17)</f>
        <v>0</v>
      </c>
      <c r="H17" s="20">
        <f>SUM(Jul!H17, Aug!H17, Sep!H17)</f>
        <v>231627.96679999999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>
        <f>SUM(Jul!G18,Aug!G18,Sep!G18)</f>
        <v>0</v>
      </c>
      <c r="H18" s="15">
        <f>SUM(Jul!H18, Aug!H18, Sep!H18)</f>
        <v>0</v>
      </c>
      <c r="I18" s="16" t="str">
        <f t="shared" si="5"/>
        <v/>
      </c>
    </row>
    <row r="19" spans="1:9" ht="15.75">
      <c r="A19" s="48" t="str">
        <v>Palmer - Boston Rd.</v>
      </c>
      <c r="B19" s="10" t="str">
        <v>MA</v>
      </c>
      <c r="C19" s="11">
        <f>SUM(Jul!C19, Aug!C19, Sep!C19)</f>
        <v>232142</v>
      </c>
      <c r="D19" s="18">
        <f>SUM(Jul!D19, Aug!D19, Sep!D19)</f>
        <v>209831.21</v>
      </c>
      <c r="E19" s="18">
        <f t="shared" si="3"/>
        <v>22310.790000000008</v>
      </c>
      <c r="F19" s="19">
        <f t="shared" si="4"/>
        <v>0.10632731899129785</v>
      </c>
      <c r="G19" s="18">
        <f>SUM(Jul!G19,Aug!G19,Sep!G19)</f>
        <v>241724</v>
      </c>
      <c r="H19" s="20">
        <f>SUM(Jul!H19, Aug!H19, Sep!H19)</f>
        <v>-9582</v>
      </c>
      <c r="I19" s="19">
        <f t="shared" si="5"/>
        <v>-3.9640250864622459E-2</v>
      </c>
    </row>
    <row r="20" spans="1:9" ht="15.75">
      <c r="A20" s="47" t="str">
        <v>Shirley Bartkus</v>
      </c>
      <c r="B20" s="9" t="str">
        <v>MA</v>
      </c>
      <c r="C20" s="24">
        <f>SUM(Jul!C20, Aug!C20, Sep!C20)</f>
        <v>375830.38657957199</v>
      </c>
      <c r="D20" s="13">
        <f>SUM(Jul!D20, Aug!D20, Sep!D20)</f>
        <v>9635.973</v>
      </c>
      <c r="E20" s="13">
        <f t="shared" ref="E20:E33" si="6">IF(AND(ISNUMBER(C20),ISNUMBER(D20)), C20-D20, "")</f>
        <v>366194.41357957199</v>
      </c>
      <c r="F20" s="14">
        <f t="shared" ref="F20:F33" si="7">IFERROR(E20/D20, "")</f>
        <v>38.002847618976517</v>
      </c>
      <c r="G20" s="15">
        <f>SUM(Jul!G20,Aug!G20,Sep!G20)</f>
        <v>403460</v>
      </c>
      <c r="H20" s="15">
        <f>SUM(Jul!H20, Aug!H20, Sep!H20)</f>
        <v>-27629.613420427995</v>
      </c>
      <c r="I20" s="16">
        <f t="shared" ref="I20:I33" si="8">IFERROR(H20/G20, "")</f>
        <v>-6.8481667130392096E-2</v>
      </c>
    </row>
    <row r="21" spans="1:9" ht="15.75">
      <c r="A21" s="48" t="str">
        <v>Stoughton</v>
      </c>
      <c r="B21" s="10" t="str">
        <v>MA</v>
      </c>
      <c r="C21" s="11">
        <f>SUM(Jul!C21, Aug!C21, Sep!C21)</f>
        <v>307704.5</v>
      </c>
      <c r="D21" s="18">
        <f>SUM(Jul!D21, Aug!D21, Sep!D21)</f>
        <v>173677.63999999998</v>
      </c>
      <c r="E21" s="18">
        <f t="shared" si="6"/>
        <v>134026.86000000002</v>
      </c>
      <c r="F21" s="19">
        <f t="shared" si="7"/>
        <v>0.77169899360677652</v>
      </c>
      <c r="G21" s="18">
        <f>SUM(Jul!G21,Aug!G21,Sep!G21)</f>
        <v>321101.14</v>
      </c>
      <c r="H21" s="20">
        <f>SUM(Jul!H21, Aug!H21, Sep!H21)</f>
        <v>-13396.64</v>
      </c>
      <c r="I21" s="19">
        <f t="shared" si="8"/>
        <v>-4.1720935652860024E-2</v>
      </c>
    </row>
    <row r="22" spans="1:9" ht="15.75">
      <c r="A22" s="47" t="str">
        <v>Wellfleet Landfill</v>
      </c>
      <c r="B22" s="9" t="str">
        <v>MA</v>
      </c>
      <c r="C22" s="24">
        <f>SUM(Jul!C22, Aug!C22, Sep!C22)</f>
        <v>385394.37400000001</v>
      </c>
      <c r="D22" s="13">
        <f>SUM(Jul!D22, Aug!D22, Sep!D22)</f>
        <v>437160.36900000001</v>
      </c>
      <c r="E22" s="13">
        <f t="shared" si="6"/>
        <v>-51765.994999999995</v>
      </c>
      <c r="F22" s="14">
        <f t="shared" si="7"/>
        <v>-0.11841419916085759</v>
      </c>
      <c r="G22" s="15">
        <f>SUM(Jul!G22,Aug!G22,Sep!G22)</f>
        <v>0</v>
      </c>
      <c r="H22" s="15">
        <f>SUM(Jul!H22, Aug!H22, Sep!H22)</f>
        <v>385394.37400000001</v>
      </c>
      <c r="I22" s="16" t="str">
        <f t="shared" si="8"/>
        <v/>
      </c>
    </row>
    <row r="23" spans="1:9" ht="15.75">
      <c r="A23" s="48" t="str">
        <v>Wilmington Garage &amp; Building 7</v>
      </c>
      <c r="B23" s="10" t="str">
        <v>MA</v>
      </c>
      <c r="C23" s="11">
        <f>SUM(Jul!C23, Aug!C23, Sep!C23)</f>
        <v>454034.625</v>
      </c>
      <c r="D23" s="18">
        <f>SUM(Jul!D23, Aug!D23, Sep!D23)</f>
        <v>448267.2</v>
      </c>
      <c r="E23" s="18">
        <f t="shared" si="6"/>
        <v>5767.4249999999884</v>
      </c>
      <c r="F23" s="19">
        <f t="shared" si="7"/>
        <v>1.2866042842304743E-2</v>
      </c>
      <c r="G23" s="18">
        <f>SUM(Jul!G23,Aug!G23,Sep!G23)</f>
        <v>497937.29999999993</v>
      </c>
      <c r="H23" s="20">
        <f>SUM(Jul!H23, Aug!H23, Sep!H23)</f>
        <v>-43902.674999999988</v>
      </c>
      <c r="I23" s="19">
        <f t="shared" si="8"/>
        <v>-8.816908273391047E-2</v>
      </c>
    </row>
    <row r="24" spans="1:9" ht="15.75">
      <c r="A24" s="47" t="str">
        <v>Woburn</v>
      </c>
      <c r="B24" s="9" t="str">
        <v>MA</v>
      </c>
      <c r="C24" s="24">
        <f>SUM(Jul!C24, Aug!C24, Sep!C24)</f>
        <v>656033</v>
      </c>
      <c r="D24" s="13">
        <f>SUM(Jul!D24, Aug!D24, Sep!D24)</f>
        <v>632727.80000000005</v>
      </c>
      <c r="E24" s="13">
        <f t="shared" si="6"/>
        <v>23305.199999999953</v>
      </c>
      <c r="F24" s="14">
        <f t="shared" si="7"/>
        <v>3.6832900340399065E-2</v>
      </c>
      <c r="G24" s="15">
        <f>SUM(Jul!G24,Aug!G24,Sep!G24)</f>
        <v>725400.2</v>
      </c>
      <c r="H24" s="15">
        <f>SUM(Jul!H24, Aug!H24, Sep!H24)</f>
        <v>-69367.199999999983</v>
      </c>
      <c r="I24" s="16">
        <f t="shared" si="8"/>
        <v>-9.5626110938486081E-2</v>
      </c>
    </row>
    <row r="25" spans="1:9" ht="15.75">
      <c r="A25" s="48" t="str">
        <v>Friendship Solar 1</v>
      </c>
      <c r="B25" s="10" t="str">
        <v>MD</v>
      </c>
      <c r="C25" s="11">
        <f>SUM(Jul!C25, Aug!C25, Sep!C25)</f>
        <v>1302606</v>
      </c>
      <c r="D25" s="18">
        <f>SUM(Jul!D25, Aug!D25, Sep!D25)</f>
        <v>1418652.4</v>
      </c>
      <c r="E25" s="18">
        <f t="shared" si="6"/>
        <v>-116046.39999999991</v>
      </c>
      <c r="F25" s="19">
        <f t="shared" si="7"/>
        <v>-8.1800446677424227E-2</v>
      </c>
      <c r="G25" s="18">
        <f>SUM(Jul!G25,Aug!G25,Sep!G25)</f>
        <v>1597036.3</v>
      </c>
      <c r="H25" s="20">
        <f>SUM(Jul!H25, Aug!H25, Sep!H25)</f>
        <v>-294430.3</v>
      </c>
      <c r="I25" s="19">
        <f t="shared" si="8"/>
        <v>-0.18436043063016161</v>
      </c>
    </row>
    <row r="26" spans="1:9" ht="15.75">
      <c r="A26" s="47" t="str">
        <v>Friendship Solar 2</v>
      </c>
      <c r="B26" s="9" t="str">
        <v>MD</v>
      </c>
      <c r="C26" s="24">
        <f>SUM(Jul!C26, Aug!C26, Sep!C26)</f>
        <v>1307389</v>
      </c>
      <c r="D26" s="13">
        <f>SUM(Jul!D26, Aug!D26, Sep!D26)</f>
        <v>1418502.4000000001</v>
      </c>
      <c r="E26" s="13">
        <f t="shared" si="6"/>
        <v>-111113.40000000014</v>
      </c>
      <c r="F26" s="14">
        <f t="shared" si="7"/>
        <v>-7.83314853749984E-2</v>
      </c>
      <c r="G26" s="15">
        <f>SUM(Jul!G26,Aug!G26,Sep!G26)</f>
        <v>1547210.6</v>
      </c>
      <c r="H26" s="15">
        <f>SUM(Jul!H26, Aug!H26, Sep!H26)</f>
        <v>-239821.60000000003</v>
      </c>
      <c r="I26" s="16">
        <f t="shared" si="8"/>
        <v>-0.15500255750574615</v>
      </c>
    </row>
    <row r="27" spans="1:9" ht="15.75">
      <c r="A27" s="48" t="str">
        <v>101 Carnegie Center</v>
      </c>
      <c r="B27" s="10" t="str">
        <v>NJ</v>
      </c>
      <c r="C27" s="11">
        <f>SUM(Jul!C27, Aug!C27, Sep!C27)</f>
        <v>541222.65</v>
      </c>
      <c r="D27" s="18">
        <f>SUM(Jul!D27, Aug!D27, Sep!D27)</f>
        <v>644026</v>
      </c>
      <c r="E27" s="18">
        <f t="shared" si="6"/>
        <v>-102803.34999999998</v>
      </c>
      <c r="F27" s="19">
        <f t="shared" si="7"/>
        <v>-0.15962608652445706</v>
      </c>
      <c r="G27" s="18">
        <f>SUM(Jul!G27,Aug!G27,Sep!G27)</f>
        <v>0</v>
      </c>
      <c r="H27" s="20">
        <f>SUM(Jul!H27, Aug!H27, Sep!H27)</f>
        <v>541222.61700000009</v>
      </c>
      <c r="I27" s="19" t="str">
        <f t="shared" si="8"/>
        <v/>
      </c>
    </row>
    <row r="28" spans="1:9" ht="15.75">
      <c r="A28" s="47" t="str">
        <v>302 Carnegie Center</v>
      </c>
      <c r="B28" s="9" t="str">
        <v>NJ</v>
      </c>
      <c r="C28" s="24">
        <f>SUM(Jul!C28, Aug!C28, Sep!C28)</f>
        <v>235303.80049999998</v>
      </c>
      <c r="D28" s="13">
        <f>SUM(Jul!D28, Aug!D28, Sep!D28)</f>
        <v>245147.00910000002</v>
      </c>
      <c r="E28" s="13">
        <f t="shared" si="6"/>
        <v>-9843.2086000000418</v>
      </c>
      <c r="F28" s="14">
        <f t="shared" si="7"/>
        <v>-4.0152268780015238E-2</v>
      </c>
      <c r="G28" s="15">
        <f>SUM(Jul!G28,Aug!G28,Sep!G28)</f>
        <v>0</v>
      </c>
      <c r="H28" s="15">
        <f>SUM(Jul!H28, Aug!H28, Sep!H28)</f>
        <v>235303.80049999998</v>
      </c>
      <c r="I28" s="16" t="str">
        <f t="shared" si="8"/>
        <v/>
      </c>
    </row>
    <row r="29" spans="1:9" ht="15.75">
      <c r="A29" s="48" t="str">
        <v>510 Carnegie Center</v>
      </c>
      <c r="B29" s="10" t="str">
        <v>NJ</v>
      </c>
      <c r="C29" s="11">
        <f>SUM(Jul!C29, Aug!C29, Sep!C29)</f>
        <v>601093.12400000007</v>
      </c>
      <c r="D29" s="18">
        <f>SUM(Jul!D29, Aug!D29, Sep!D29)</f>
        <v>686838.22900000005</v>
      </c>
      <c r="E29" s="18">
        <f t="shared" si="6"/>
        <v>-85745.104999999981</v>
      </c>
      <c r="F29" s="19">
        <f t="shared" si="7"/>
        <v>-0.12484032102412281</v>
      </c>
      <c r="G29" s="18">
        <f>SUM(Jul!G29,Aug!G29,Sep!G29)</f>
        <v>0</v>
      </c>
      <c r="H29" s="20">
        <f>SUM(Jul!H29, Aug!H29, Sep!H29)</f>
        <v>601093.12400000007</v>
      </c>
      <c r="I29" s="19" t="str">
        <f t="shared" si="8"/>
        <v/>
      </c>
    </row>
    <row r="30" spans="1:9" ht="15.75">
      <c r="A30" s="47" t="str">
        <v>701 Carnegie Center</v>
      </c>
      <c r="B30" s="9" t="str">
        <v>NJ</v>
      </c>
      <c r="C30" s="24">
        <f>SUM(Jul!C30, Aug!C30, Sep!C30)</f>
        <v>463171.73200000002</v>
      </c>
      <c r="D30" s="13">
        <f>SUM(Jul!D30, Aug!D30, Sep!D30)</f>
        <v>548336.70400000003</v>
      </c>
      <c r="E30" s="13">
        <f t="shared" si="6"/>
        <v>-85164.972000000009</v>
      </c>
      <c r="F30" s="14">
        <f t="shared" si="7"/>
        <v>-0.15531510361925363</v>
      </c>
      <c r="G30" s="15">
        <f>SUM(Jul!G30,Aug!G30,Sep!G30)</f>
        <v>0</v>
      </c>
      <c r="H30" s="15">
        <f>SUM(Jul!H30, Aug!H30, Sep!H30)</f>
        <v>463171.73200000002</v>
      </c>
      <c r="I30" s="16" t="str">
        <f t="shared" si="8"/>
        <v/>
      </c>
    </row>
    <row r="31" spans="1:9" ht="15.75">
      <c r="A31" s="48" t="str">
        <v>Hudson County Correction</v>
      </c>
      <c r="B31" s="10" t="str">
        <v>NJ</v>
      </c>
      <c r="C31" s="11">
        <f>SUM(Jul!C31, Aug!C31, Sep!C31)</f>
        <v>662627.701726667</v>
      </c>
      <c r="D31" s="18">
        <f>SUM(Jul!D31, Aug!D31, Sep!D31)</f>
        <v>570267.19999999995</v>
      </c>
      <c r="E31" s="18">
        <f t="shared" si="6"/>
        <v>92360.501726667047</v>
      </c>
      <c r="F31" s="19">
        <f t="shared" si="7"/>
        <v>0.16196004561838215</v>
      </c>
      <c r="G31" s="18">
        <f>SUM(Jul!G31,Aug!G31,Sep!G31)</f>
        <v>668190.6</v>
      </c>
      <c r="H31" s="20">
        <f>SUM(Jul!H31, Aug!H31, Sep!H31)</f>
        <v>-5562.8982733330049</v>
      </c>
      <c r="I31" s="19">
        <f t="shared" si="8"/>
        <v>-8.3253165688547629E-3</v>
      </c>
    </row>
    <row r="32" spans="1:9" ht="15.75">
      <c r="A32" s="47" t="str">
        <v>ER Bison Solar</v>
      </c>
      <c r="B32" s="9" t="str">
        <v>PA</v>
      </c>
      <c r="C32" s="24">
        <f>SUM(Jul!C32, Aug!C32, Sep!C32)</f>
        <v>649927</v>
      </c>
      <c r="D32" s="13">
        <f>SUM(Jul!D32, Aug!D32, Sep!D32)</f>
        <v>0</v>
      </c>
      <c r="E32" s="13">
        <f t="shared" si="6"/>
        <v>649927</v>
      </c>
      <c r="F32" s="14" t="str">
        <f t="shared" si="7"/>
        <v/>
      </c>
      <c r="G32" s="15">
        <f>SUM(Jul!G32,Aug!G32,Sep!G32)</f>
        <v>701223</v>
      </c>
      <c r="H32" s="15">
        <f>SUM(Jul!H32, Aug!H32, Sep!H32)</f>
        <v>-51296</v>
      </c>
      <c r="I32" s="16">
        <f t="shared" si="8"/>
        <v>-7.3152192669093855E-2</v>
      </c>
    </row>
    <row r="33" spans="1:9" ht="15.75">
      <c r="A33" s="48" t="str">
        <v>Danville</v>
      </c>
      <c r="B33" s="10" t="str">
        <v>IL</v>
      </c>
      <c r="C33" s="11">
        <f>SUM(Jul!C33, Aug!C33, Sep!C33)</f>
        <v>1131275.5260000001</v>
      </c>
      <c r="D33" s="18">
        <f>SUM(Jul!D33, Aug!D33, Sep!D33)</f>
        <v>0</v>
      </c>
      <c r="E33" s="18">
        <f t="shared" si="6"/>
        <v>1131275.5260000001</v>
      </c>
      <c r="F33" s="19" t="str">
        <f t="shared" si="7"/>
        <v/>
      </c>
      <c r="G33" s="18">
        <f>SUM(Jul!G33,Aug!G33,Sep!G33)</f>
        <v>0</v>
      </c>
      <c r="H33" s="20">
        <f>SUM(Jul!H33, Aug!H33, Sep!H33)</f>
        <v>1131275.5260000001</v>
      </c>
      <c r="I33" s="19" t="str">
        <f t="shared" si="8"/>
        <v/>
      </c>
    </row>
    <row r="34" spans="1:9" ht="15.75">
      <c r="A34" s="48" t="str">
        <v>Oaks Landfill - ANEM</v>
      </c>
      <c r="B34" s="10" t="str">
        <v>ML</v>
      </c>
      <c r="C34" s="11">
        <f>SUM(Jul!C34, Aug!C34, Sep!C34)</f>
        <v>1050744.6159999999</v>
      </c>
      <c r="D34" s="18">
        <f>SUM(Jul!D34, Aug!D34, Sep!D34)</f>
        <v>1131227.4380000001</v>
      </c>
      <c r="E34" s="18">
        <f t="shared" ref="E34:E36" si="9">IF(AND(ISNUMBER(C34),ISNUMBER(D34)), C34-D34, "")</f>
        <v>-80482.82200000016</v>
      </c>
      <c r="F34" s="19">
        <f t="shared" ref="F34:F36" si="10">IFERROR(E34/D34, "")</f>
        <v>-7.1146454989010052E-2</v>
      </c>
      <c r="G34" s="18">
        <f>SUM(Jul!G34,Aug!G34,Sep!G34)</f>
        <v>0</v>
      </c>
      <c r="H34" s="20">
        <f>SUM(Jul!H34, Aug!H34, Sep!H34)</f>
        <v>1050744.6159999999</v>
      </c>
      <c r="I34" s="19" t="str">
        <f t="shared" ref="I34:I36" si="11">IFERROR(H34/G34, "")</f>
        <v/>
      </c>
    </row>
    <row r="35" spans="1:9" ht="15.75">
      <c r="A35" s="47" t="str">
        <v>Oaks Landfill - CS1</v>
      </c>
      <c r="B35" s="9" t="str">
        <v>ML</v>
      </c>
      <c r="C35" s="24">
        <f>SUM(Jul!C35, Aug!C35, Sep!C35)</f>
        <v>1075133.121</v>
      </c>
      <c r="D35" s="13">
        <f>SUM(Jul!D35, Aug!D35, Sep!D35)</f>
        <v>1164063.8319999999</v>
      </c>
      <c r="E35" s="13">
        <f t="shared" si="9"/>
        <v>-88930.710999999894</v>
      </c>
      <c r="F35" s="14">
        <f t="shared" si="10"/>
        <v>-7.6396764984276139E-2</v>
      </c>
      <c r="G35" s="15">
        <f>SUM(Jul!G35,Aug!G35,Sep!G35)</f>
        <v>0</v>
      </c>
      <c r="H35" s="15">
        <f>SUM(Jul!H35, Aug!H35, Sep!H35)</f>
        <v>1075133.121</v>
      </c>
      <c r="I35" s="16" t="str">
        <f t="shared" si="11"/>
        <v/>
      </c>
    </row>
    <row r="36" spans="1:9" ht="15.75">
      <c r="A36" s="48" t="str">
        <v>Oaks Landfill - CS2</v>
      </c>
      <c r="B36" s="10" t="str">
        <v>ML</v>
      </c>
      <c r="C36" s="11">
        <f>SUM(Jul!C36, Aug!C36, Sep!C36)</f>
        <v>1084124.2239999999</v>
      </c>
      <c r="D36" s="18">
        <f>SUM(Jul!D36, Aug!D36, Sep!D36)</f>
        <v>1164073.236</v>
      </c>
      <c r="E36" s="18">
        <f t="shared" si="9"/>
        <v>-79949.012000000104</v>
      </c>
      <c r="F36" s="19">
        <f t="shared" si="10"/>
        <v>-6.8680397012409369E-2</v>
      </c>
      <c r="G36" s="18">
        <f>SUM(Jul!G36,Aug!G36,Sep!G36)</f>
        <v>0</v>
      </c>
      <c r="H36" s="20">
        <f>SUM(Jul!H36, Aug!H36, Sep!H36)</f>
        <v>1084124.2239999999</v>
      </c>
      <c r="I36" s="19" t="str">
        <f t="shared" si="11"/>
        <v/>
      </c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22" activePane="bottomRight" state="frozen"/>
      <selection pane="bottomRight" activeCell="C36" sqref="C36"/>
      <selection pane="bottomLeft" activeCell="K22" sqref="K22"/>
      <selection pane="topRight" activeCell="K22" sqref="K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9" t="str" cm="1">
        <f t="array" ref="A1">portfolio</f>
        <v>Greenbacker Capital</v>
      </c>
      <c r="B1" s="99"/>
      <c r="C1" s="99"/>
      <c r="D1" s="100" t="s">
        <v>16</v>
      </c>
      <c r="E1" s="100"/>
      <c r="F1" s="100"/>
      <c r="G1" s="98" t="s">
        <v>17</v>
      </c>
      <c r="H1" s="98"/>
      <c r="I1" s="98"/>
    </row>
    <row r="2" spans="1:9" ht="19.5" customHeight="1">
      <c r="A2" s="101" t="s">
        <v>2</v>
      </c>
      <c r="B2" s="101"/>
      <c r="C2" s="5">
        <f>SUM(C4:C100)</f>
        <v>9735452.2668678332</v>
      </c>
      <c r="D2" s="5">
        <f>SUM(D4:D100)</f>
        <v>9039776.3330000006</v>
      </c>
      <c r="E2" s="5">
        <f>C2-D2</f>
        <v>695675.93386783265</v>
      </c>
      <c r="F2" s="6">
        <f>IFERROR(E2/D2, 0)</f>
        <v>7.695720648842215E-2</v>
      </c>
      <c r="G2" s="5">
        <f>SUM(G4:G100)</f>
        <v>4902101.6809999999</v>
      </c>
      <c r="H2" s="7">
        <f>C2-G2</f>
        <v>4833350.5858678333</v>
      </c>
      <c r="I2" s="6">
        <f>IFERROR(H2/G2, 0)</f>
        <v>0.9859751797073818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7" t="str" cm="1">
        <f t="array" ref="A4:A36">Sites[Site]</f>
        <v>10 Walpole Park South</v>
      </c>
      <c r="B4" s="9" t="str" cm="1">
        <f t="array" ref="B4:B36">Sites[State]</f>
        <v>MA</v>
      </c>
      <c r="C4" s="24">
        <f>SUM(Oct!C4, Nov!C4, Dec!C4)</f>
        <v>28688.9375</v>
      </c>
      <c r="D4" s="13">
        <f>SUM(Oct!D4, Nov!D4, Dec!D4)</f>
        <v>28074.701000000001</v>
      </c>
      <c r="E4" s="13">
        <f>IF(AND(ISNUMBER(C4),ISNUMBER(D4)), C4-D4, "")</f>
        <v>614.23649999999907</v>
      </c>
      <c r="F4" s="14">
        <f>IFERROR(E4/D4, "")</f>
        <v>2.1878647968503709E-2</v>
      </c>
      <c r="G4" s="15">
        <f>SUM(Oct!G4,Nov!G4,Dec!G4)</f>
        <v>26967.720999999998</v>
      </c>
      <c r="H4" s="15">
        <f>SUM(Oct!H4, Nov!H4, Dec!H4)</f>
        <v>1721.2165000000005</v>
      </c>
      <c r="I4" s="16">
        <f>IFERROR(H4/G4, "")</f>
        <v>6.3825063304385296E-2</v>
      </c>
    </row>
    <row r="5" spans="1:9" ht="15.75">
      <c r="A5" s="48" t="str">
        <v>15 Walpole Park South</v>
      </c>
      <c r="B5" s="10" t="str">
        <v>MA</v>
      </c>
      <c r="C5" s="11">
        <f>SUM(Oct!C5, Nov!C5, Dec!C5)</f>
        <v>104153</v>
      </c>
      <c r="D5" s="18">
        <f>SUM(Oct!D5, Nov!D5, Dec!D5)</f>
        <v>111395.48000000001</v>
      </c>
      <c r="E5" s="18">
        <f t="shared" ref="E5:E15" si="0">IF(AND(ISNUMBER(C5),ISNUMBER(D5)), C5-D5, "")</f>
        <v>-7242.4800000000105</v>
      </c>
      <c r="F5" s="19">
        <f>IFERROR(E5/D5, "")</f>
        <v>-6.5015923446804208E-2</v>
      </c>
      <c r="G5" s="18">
        <f>SUM(Oct!G5,Nov!G5,Dec!G5)</f>
        <v>89228.88</v>
      </c>
      <c r="H5" s="20">
        <f>SUM(Oct!H5, Nov!H5, Dec!H5)</f>
        <v>14924.119999999995</v>
      </c>
      <c r="I5" s="19">
        <f>IFERROR(H5/G5, "")</f>
        <v>0.16725661019167778</v>
      </c>
    </row>
    <row r="6" spans="1:9" ht="15.75">
      <c r="A6" s="47" t="str">
        <v>19 Walpole Park South</v>
      </c>
      <c r="B6" s="9" t="str">
        <v>MA</v>
      </c>
      <c r="C6" s="24">
        <f>SUM(Oct!C6, Nov!C6, Dec!C6)</f>
        <v>61188.5</v>
      </c>
      <c r="D6" s="13">
        <f>SUM(Oct!D6, Nov!D6, Dec!D6)</f>
        <v>65174.609999999993</v>
      </c>
      <c r="E6" s="13">
        <f t="shared" si="0"/>
        <v>-3986.1099999999933</v>
      </c>
      <c r="F6" s="14">
        <f t="shared" ref="F6:F15" si="1">IFERROR(E6/D6, "")</f>
        <v>-6.1160473380661481E-2</v>
      </c>
      <c r="G6" s="15">
        <f>SUM(Oct!G6,Nov!G6,Dec!G6)</f>
        <v>58354.98</v>
      </c>
      <c r="H6" s="15">
        <f>SUM(Oct!H6, Nov!H6, Dec!H6)</f>
        <v>2833.5200000000023</v>
      </c>
      <c r="I6" s="16">
        <f t="shared" ref="I6:I15" si="2">IFERROR(H6/G6, "")</f>
        <v>4.8556609907157919E-2</v>
      </c>
    </row>
    <row r="7" spans="1:9" ht="15.75">
      <c r="A7" s="48" t="str">
        <v>23 Walpole Park South</v>
      </c>
      <c r="B7" s="10" t="str">
        <v>MA</v>
      </c>
      <c r="C7" s="11">
        <f>SUM(Oct!C7, Nov!C7, Dec!C7)</f>
        <v>88157</v>
      </c>
      <c r="D7" s="18">
        <f>SUM(Oct!D7, Nov!D7, Dec!D7)</f>
        <v>87482.7</v>
      </c>
      <c r="E7" s="18">
        <f t="shared" si="0"/>
        <v>674.30000000000291</v>
      </c>
      <c r="F7" s="19">
        <f t="shared" si="1"/>
        <v>7.7078096583667738E-3</v>
      </c>
      <c r="G7" s="18">
        <f>SUM(Oct!G7,Nov!G7,Dec!G7)</f>
        <v>75130.850000000006</v>
      </c>
      <c r="H7" s="20">
        <f>SUM(Oct!H7, Nov!H7, Dec!H7)</f>
        <v>13026.149999999998</v>
      </c>
      <c r="I7" s="19">
        <f t="shared" si="2"/>
        <v>0.17337951054726516</v>
      </c>
    </row>
    <row r="8" spans="1:9" ht="15.75">
      <c r="A8" s="47" t="str">
        <v>24 Walpole Park South</v>
      </c>
      <c r="B8" s="9" t="str">
        <v>MA</v>
      </c>
      <c r="C8" s="24">
        <f>SUM(Oct!C8, Nov!C8, Dec!C8)</f>
        <v>112616.9700000002</v>
      </c>
      <c r="D8" s="13">
        <f>SUM(Oct!D8, Nov!D8, Dec!D8)</f>
        <v>86238.40800000001</v>
      </c>
      <c r="E8" s="13">
        <f t="shared" si="0"/>
        <v>26378.562000000195</v>
      </c>
      <c r="F8" s="14">
        <f t="shared" si="1"/>
        <v>0.30587951020617393</v>
      </c>
      <c r="G8" s="15">
        <f>SUM(Oct!G8,Nov!G8,Dec!G8)</f>
        <v>115699.48000000001</v>
      </c>
      <c r="H8" s="15">
        <f>SUM(Oct!H8, Nov!H8, Dec!H8)</f>
        <v>-3082.5099999998056</v>
      </c>
      <c r="I8" s="16">
        <f t="shared" si="2"/>
        <v>-2.6642384218146922E-2</v>
      </c>
    </row>
    <row r="9" spans="1:9" ht="15.75">
      <c r="A9" s="48" t="str">
        <v>25 Walpole Park South</v>
      </c>
      <c r="B9" s="10" t="str">
        <v>MA</v>
      </c>
      <c r="C9" s="11">
        <f>SUM(Oct!C9, Nov!C9, Dec!C9)</f>
        <v>119037.61374999999</v>
      </c>
      <c r="D9" s="18">
        <f>SUM(Oct!D9, Nov!D9, Dec!D9)</f>
        <v>129136.33</v>
      </c>
      <c r="E9" s="18">
        <f t="shared" si="0"/>
        <v>-10098.716250000012</v>
      </c>
      <c r="F9" s="19">
        <f t="shared" si="1"/>
        <v>-7.8201976546801444E-2</v>
      </c>
      <c r="G9" s="18">
        <f>SUM(Oct!G9,Nov!G9,Dec!G9)</f>
        <v>117695.56000000001</v>
      </c>
      <c r="H9" s="20">
        <f>SUM(Oct!H9, Nov!H9, Dec!H9)</f>
        <v>1342.0537499999919</v>
      </c>
      <c r="I9" s="19">
        <f t="shared" si="2"/>
        <v>1.140275597482175E-2</v>
      </c>
    </row>
    <row r="10" spans="1:9" ht="15.75">
      <c r="A10" s="47" t="str">
        <v>3 Walpole Park South</v>
      </c>
      <c r="B10" s="9" t="str">
        <v>MA</v>
      </c>
      <c r="C10" s="24">
        <f>SUM(Oct!C10, Nov!C10, Dec!C10)</f>
        <v>153431.6724999994</v>
      </c>
      <c r="D10" s="13">
        <f>SUM(Oct!D10, Nov!D10, Dec!D10)</f>
        <v>166914.20000000001</v>
      </c>
      <c r="E10" s="13">
        <f t="shared" si="0"/>
        <v>-13482.527500000608</v>
      </c>
      <c r="F10" s="14">
        <f t="shared" si="1"/>
        <v>-8.0775197676414626E-2</v>
      </c>
      <c r="G10" s="15">
        <f>SUM(Oct!G10,Nov!G10,Dec!G10)</f>
        <v>139025.41999999998</v>
      </c>
      <c r="H10" s="15">
        <f>SUM(Oct!H10, Nov!H10, Dec!H10)</f>
        <v>14406.252499999406</v>
      </c>
      <c r="I10" s="16">
        <f t="shared" si="2"/>
        <v>0.10362315395270454</v>
      </c>
    </row>
    <row r="11" spans="1:9" ht="15.75">
      <c r="A11" s="48" t="str">
        <v>4 Walpole Park South</v>
      </c>
      <c r="B11" s="10" t="str">
        <v>MA</v>
      </c>
      <c r="C11" s="11">
        <f>SUM(Oct!C11, Nov!C11, Dec!C11)</f>
        <v>88539</v>
      </c>
      <c r="D11" s="18">
        <f>SUM(Oct!D11, Nov!D11, Dec!D11)</f>
        <v>98734.25</v>
      </c>
      <c r="E11" s="18">
        <f t="shared" si="0"/>
        <v>-10195.25</v>
      </c>
      <c r="F11" s="19">
        <f t="shared" si="1"/>
        <v>-0.10325950721254276</v>
      </c>
      <c r="G11" s="18">
        <f>SUM(Oct!G11,Nov!G11,Dec!G11)</f>
        <v>79463.040000000008</v>
      </c>
      <c r="H11" s="20">
        <f>SUM(Oct!H11, Nov!H11, Dec!H11)</f>
        <v>9075.9599999999955</v>
      </c>
      <c r="I11" s="19">
        <f t="shared" si="2"/>
        <v>0.11421611858796234</v>
      </c>
    </row>
    <row r="12" spans="1:9" ht="15.75">
      <c r="A12" s="47" t="str">
        <v>Brockton</v>
      </c>
      <c r="B12" s="9" t="str">
        <v>MA</v>
      </c>
      <c r="C12" s="24">
        <f>SUM(Oct!C12, Nov!C12, Dec!C12)</f>
        <v>151426.5</v>
      </c>
      <c r="D12" s="13">
        <f>SUM(Oct!D12, Nov!D12, Dec!D12)</f>
        <v>141471.67000000001</v>
      </c>
      <c r="E12" s="13">
        <f t="shared" si="0"/>
        <v>9954.8299999999872</v>
      </c>
      <c r="F12" s="14">
        <f t="shared" si="1"/>
        <v>7.0366243644398807E-2</v>
      </c>
      <c r="G12" s="15">
        <f>SUM(Oct!G12,Nov!G12,Dec!G12)</f>
        <v>135036.57999999999</v>
      </c>
      <c r="H12" s="15">
        <f>SUM(Oct!H12, Nov!H12, Dec!H12)</f>
        <v>16389.920000000006</v>
      </c>
      <c r="I12" s="16">
        <f t="shared" si="2"/>
        <v>0.12137392697593502</v>
      </c>
    </row>
    <row r="13" spans="1:9" ht="15.75">
      <c r="A13" s="48" t="str">
        <v>Canton</v>
      </c>
      <c r="B13" s="10" t="str">
        <v>MA</v>
      </c>
      <c r="C13" s="11">
        <f>SUM(Oct!C13, Nov!C13, Dec!C13)</f>
        <v>135913.2500000009</v>
      </c>
      <c r="D13" s="18">
        <f>SUM(Oct!D13, Nov!D13, Dec!D13)</f>
        <v>141481.84</v>
      </c>
      <c r="E13" s="18">
        <f t="shared" si="0"/>
        <v>-5568.5899999990943</v>
      </c>
      <c r="F13" s="19">
        <f t="shared" si="1"/>
        <v>-3.9359044241996675E-2</v>
      </c>
      <c r="G13" s="18">
        <f>SUM(Oct!G13,Nov!G13,Dec!G13)</f>
        <v>131716.83000000002</v>
      </c>
      <c r="H13" s="20">
        <f>SUM(Oct!H13, Nov!H13, Dec!H13)</f>
        <v>4196.4200000008968</v>
      </c>
      <c r="I13" s="19">
        <f t="shared" si="2"/>
        <v>3.1859406273297773E-2</v>
      </c>
    </row>
    <row r="14" spans="1:9" ht="15.75">
      <c r="A14" s="47" t="str">
        <v>Chelsea</v>
      </c>
      <c r="B14" s="9" t="str">
        <v>MA</v>
      </c>
      <c r="C14" s="24">
        <f>SUM(Oct!C14, Nov!C14, Dec!C14)</f>
        <v>239688</v>
      </c>
      <c r="D14" s="13">
        <f>SUM(Oct!D14, Nov!D14, Dec!D14)</f>
        <v>254259.74</v>
      </c>
      <c r="E14" s="13">
        <f t="shared" si="0"/>
        <v>-14571.739999999991</v>
      </c>
      <c r="F14" s="14">
        <f t="shared" si="1"/>
        <v>-5.7310449542660555E-2</v>
      </c>
      <c r="G14" s="15">
        <f>SUM(Oct!G14,Nov!G14,Dec!G14)</f>
        <v>209890.16999999998</v>
      </c>
      <c r="H14" s="15">
        <f>SUM(Oct!H14, Nov!H14, Dec!H14)</f>
        <v>29797.829999999994</v>
      </c>
      <c r="I14" s="16">
        <f t="shared" si="2"/>
        <v>0.14196867819012199</v>
      </c>
    </row>
    <row r="15" spans="1:9" ht="15.75">
      <c r="A15" s="48" t="str">
        <v>Hamilton Landfill</v>
      </c>
      <c r="B15" s="10" t="str">
        <v>MA</v>
      </c>
      <c r="C15" s="11">
        <f>SUM(Oct!C15, Nov!C15, Dec!C15)</f>
        <v>211029.231</v>
      </c>
      <c r="D15" s="18">
        <f>SUM(Oct!D15, Nov!D15, Dec!D15)</f>
        <v>265860.5</v>
      </c>
      <c r="E15" s="18">
        <f t="shared" si="0"/>
        <v>-54831.269</v>
      </c>
      <c r="F15" s="19">
        <f t="shared" si="1"/>
        <v>-0.20624075031830602</v>
      </c>
      <c r="G15" s="18">
        <f>SUM(Oct!G15,Nov!G15,Dec!G15)</f>
        <v>0</v>
      </c>
      <c r="H15" s="20">
        <f>SUM(Oct!H15, Nov!H15, Dec!H15)</f>
        <v>211029.231</v>
      </c>
      <c r="I15" s="19" t="str">
        <f t="shared" si="2"/>
        <v/>
      </c>
    </row>
    <row r="16" spans="1:9" ht="15.75">
      <c r="A16" s="47" t="str">
        <v>Holliston</v>
      </c>
      <c r="B16" s="9" t="str">
        <v>MA</v>
      </c>
      <c r="C16" s="24">
        <f>SUM(Oct!C16, Nov!C16, Dec!C16)</f>
        <v>345558</v>
      </c>
      <c r="D16" s="13">
        <f>SUM(Oct!D16, Nov!D16, Dec!D16)</f>
        <v>323947.65000000002</v>
      </c>
      <c r="E16" s="13">
        <f t="shared" ref="E16:E18" si="3">IF(AND(ISNUMBER(C16),ISNUMBER(D16)), C16-D16, "")</f>
        <v>21610.349999999977</v>
      </c>
      <c r="F16" s="14">
        <f t="shared" ref="F16:F18" si="4">IFERROR(E16/D16, "")</f>
        <v>6.6709389618970771E-2</v>
      </c>
      <c r="G16" s="15">
        <f>SUM(Oct!G16,Nov!G16,Dec!G16)</f>
        <v>342519.74999999994</v>
      </c>
      <c r="H16" s="15">
        <f>SUM(Oct!H16, Nov!H16, Dec!H16)</f>
        <v>3038.2500000000146</v>
      </c>
      <c r="I16" s="16">
        <f t="shared" ref="I16:I18" si="5">IFERROR(H16/G16, "")</f>
        <v>8.8702914211516715E-3</v>
      </c>
    </row>
    <row r="17" spans="1:9" ht="15.75">
      <c r="A17" s="48" t="str">
        <v>Natick HS - Carports</v>
      </c>
      <c r="B17" s="10" t="str">
        <v>MA</v>
      </c>
      <c r="C17" s="11">
        <f>SUM(Oct!C17, Nov!C17, Dec!C17)</f>
        <v>109428.2</v>
      </c>
      <c r="D17" s="18">
        <f>SUM(Oct!D17, Nov!D17, Dec!D17)</f>
        <v>139584.601</v>
      </c>
      <c r="E17" s="18">
        <f t="shared" si="3"/>
        <v>-30156.400999999998</v>
      </c>
      <c r="F17" s="19">
        <f t="shared" si="4"/>
        <v>-0.2160438958449292</v>
      </c>
      <c r="G17" s="18">
        <f>SUM(Oct!G17,Nov!G17,Dec!G17)</f>
        <v>0</v>
      </c>
      <c r="H17" s="20">
        <f>SUM(Oct!H17, Nov!H17, Dec!H17)</f>
        <v>109428.2</v>
      </c>
      <c r="I17" s="19" t="str">
        <f t="shared" si="5"/>
        <v/>
      </c>
    </row>
    <row r="18" spans="1:9" ht="12.75" customHeight="1">
      <c r="A18" s="47" t="str">
        <v>Norton</v>
      </c>
      <c r="B18" s="9" t="str">
        <v>MA</v>
      </c>
      <c r="C18" s="24">
        <f>SUM(Oct!C18, Nov!C18, Dec!C18)</f>
        <v>0</v>
      </c>
      <c r="D18" s="13">
        <f>SUM(Oct!D18, Nov!D18, Dec!D18)</f>
        <v>0</v>
      </c>
      <c r="E18" s="13">
        <f t="shared" si="3"/>
        <v>0</v>
      </c>
      <c r="F18" s="14" t="str">
        <f t="shared" si="4"/>
        <v/>
      </c>
      <c r="G18" s="15">
        <f>SUM(Oct!G18,Nov!G18,Dec!G18)</f>
        <v>0</v>
      </c>
      <c r="H18" s="15">
        <f>SUM(Oct!H18, Nov!H18, Dec!H18)</f>
        <v>0</v>
      </c>
      <c r="I18" s="16" t="str">
        <f t="shared" si="5"/>
        <v/>
      </c>
    </row>
    <row r="19" spans="1:9" ht="15.75">
      <c r="A19" s="48" t="str">
        <v>Palmer - Boston Rd.</v>
      </c>
      <c r="B19" s="10" t="str">
        <v>MA</v>
      </c>
      <c r="C19" s="11">
        <f>SUM(Oct!C19, Nov!C19, Dec!C19)</f>
        <v>149896</v>
      </c>
      <c r="D19" s="18">
        <f>SUM(Oct!D19, Nov!D19, Dec!D19)</f>
        <v>175194.37</v>
      </c>
      <c r="E19" s="18">
        <f t="shared" ref="E19:E25" si="6">IF(AND(ISNUMBER(C19),ISNUMBER(D19)), C19-D19, "")</f>
        <v>-25298.369999999995</v>
      </c>
      <c r="F19" s="19">
        <f t="shared" ref="F19:F25" si="7">IFERROR(E19/D19, "")</f>
        <v>-0.14440172934780951</v>
      </c>
      <c r="G19" s="18">
        <f>SUM(Oct!G19,Nov!G19,Dec!G19)</f>
        <v>138243</v>
      </c>
      <c r="H19" s="20">
        <f>SUM(Oct!H19, Nov!H19, Dec!H19)</f>
        <v>11653</v>
      </c>
      <c r="I19" s="19">
        <f t="shared" ref="I19:I25" si="8">IFERROR(H19/G19, "")</f>
        <v>8.4293598952569021E-2</v>
      </c>
    </row>
    <row r="20" spans="1:9" ht="15.75">
      <c r="A20" s="47" t="str">
        <v>Shirley Bartkus</v>
      </c>
      <c r="B20" s="9" t="str">
        <v>MA</v>
      </c>
      <c r="C20" s="24">
        <f>SUM(Oct!C20, Nov!C20, Dec!C20)</f>
        <v>229712.05564478991</v>
      </c>
      <c r="D20" s="13">
        <f>SUM(Oct!D20, Nov!D20, Dec!D20)</f>
        <v>0</v>
      </c>
      <c r="E20" s="13">
        <f t="shared" si="6"/>
        <v>229712.05564478991</v>
      </c>
      <c r="F20" s="14" t="str">
        <f t="shared" si="7"/>
        <v/>
      </c>
      <c r="G20" s="15">
        <f>SUM(Oct!G20,Nov!G20,Dec!G20)</f>
        <v>219334</v>
      </c>
      <c r="H20" s="15">
        <f>SUM(Oct!H20, Nov!H20, Dec!H20)</f>
        <v>10378.055644789893</v>
      </c>
      <c r="I20" s="16">
        <f t="shared" si="8"/>
        <v>4.7316219303846614E-2</v>
      </c>
    </row>
    <row r="21" spans="1:9" ht="15.75">
      <c r="A21" s="48" t="str">
        <v>Stoughton</v>
      </c>
      <c r="B21" s="10" t="str">
        <v>MA</v>
      </c>
      <c r="C21" s="11">
        <f>SUM(Oct!C21, Nov!C21, Dec!C21)</f>
        <v>175631</v>
      </c>
      <c r="D21" s="18">
        <f>SUM(Oct!D21, Nov!D21, Dec!D21)</f>
        <v>116742.08</v>
      </c>
      <c r="E21" s="18">
        <f t="shared" si="6"/>
        <v>58888.92</v>
      </c>
      <c r="F21" s="19">
        <f t="shared" si="7"/>
        <v>0.50443610393099036</v>
      </c>
      <c r="G21" s="18">
        <f>SUM(Oct!G21,Nov!G21,Dec!G21)</f>
        <v>148538.62</v>
      </c>
      <c r="H21" s="20">
        <f>SUM(Oct!H21, Nov!H21, Dec!H21)</f>
        <v>27092.38</v>
      </c>
      <c r="I21" s="19">
        <f t="shared" si="8"/>
        <v>0.18239283494083897</v>
      </c>
    </row>
    <row r="22" spans="1:9" ht="15.75">
      <c r="A22" s="47" t="str">
        <v>Wellfleet Landfill</v>
      </c>
      <c r="B22" s="9" t="str">
        <v>MA</v>
      </c>
      <c r="C22" s="24">
        <f>SUM(Oct!C22, Nov!C22, Dec!C22)</f>
        <v>207650.80000000002</v>
      </c>
      <c r="D22" s="13">
        <f>SUM(Oct!D22, Nov!D22, Dec!D22)</f>
        <v>225057.9</v>
      </c>
      <c r="E22" s="13">
        <f t="shared" si="6"/>
        <v>-17407.099999999977</v>
      </c>
      <c r="F22" s="14">
        <f t="shared" si="7"/>
        <v>-7.7344985445967365E-2</v>
      </c>
      <c r="G22" s="15">
        <f>SUM(Oct!G22,Nov!G22,Dec!G22)</f>
        <v>0</v>
      </c>
      <c r="H22" s="15">
        <f>SUM(Oct!H22, Nov!H22, Dec!H22)</f>
        <v>207650.80000000002</v>
      </c>
      <c r="I22" s="16" t="str">
        <f t="shared" si="8"/>
        <v/>
      </c>
    </row>
    <row r="23" spans="1:9" ht="15.75">
      <c r="A23" s="48" t="str">
        <v>Wilmington Garage &amp; Building 7</v>
      </c>
      <c r="B23" s="10" t="str">
        <v>MA</v>
      </c>
      <c r="C23" s="11">
        <f>SUM(Oct!C23, Nov!C23, Dec!C23)</f>
        <v>219257</v>
      </c>
      <c r="D23" s="18">
        <f>SUM(Oct!D23, Nov!D23, Dec!D23)</f>
        <v>245268.96000000002</v>
      </c>
      <c r="E23" s="18">
        <f t="shared" si="6"/>
        <v>-26011.960000000021</v>
      </c>
      <c r="F23" s="19">
        <f t="shared" si="7"/>
        <v>-0.1060548387370339</v>
      </c>
      <c r="G23" s="18">
        <f>SUM(Oct!G23,Nov!G23,Dec!G23)</f>
        <v>214987.19</v>
      </c>
      <c r="H23" s="20">
        <f>SUM(Oct!H23, Nov!H23, Dec!H23)</f>
        <v>4269.8099999999977</v>
      </c>
      <c r="I23" s="19">
        <f t="shared" si="8"/>
        <v>1.9860764727423982E-2</v>
      </c>
    </row>
    <row r="24" spans="1:9" ht="15.75">
      <c r="A24" s="47" t="str">
        <v>Woburn</v>
      </c>
      <c r="B24" s="9" t="str">
        <v>MA</v>
      </c>
      <c r="C24" s="24">
        <f>SUM(Oct!C24, Nov!C24, Dec!C24)</f>
        <v>356647.99999999983</v>
      </c>
      <c r="D24" s="13">
        <f>SUM(Oct!D24, Nov!D24, Dec!D24)</f>
        <v>432008.19999999995</v>
      </c>
      <c r="E24" s="13">
        <f t="shared" si="6"/>
        <v>-75360.200000000128</v>
      </c>
      <c r="F24" s="14">
        <f t="shared" si="7"/>
        <v>-0.17444159624747896</v>
      </c>
      <c r="G24" s="15">
        <f>SUM(Oct!G24,Nov!G24,Dec!G24)</f>
        <v>315481.21000000002</v>
      </c>
      <c r="H24" s="15">
        <f>SUM(Oct!H24, Nov!H24, Dec!H24)</f>
        <v>41166.789999999797</v>
      </c>
      <c r="I24" s="16">
        <f t="shared" si="8"/>
        <v>0.13048888077993551</v>
      </c>
    </row>
    <row r="25" spans="1:9" ht="15.75">
      <c r="A25" s="48" t="str">
        <v>Friendship Solar 1</v>
      </c>
      <c r="B25" s="10" t="str">
        <v>MD</v>
      </c>
      <c r="C25" s="11">
        <f>SUM(Oct!C25, Nov!C25, Dec!C25)</f>
        <v>880006</v>
      </c>
      <c r="D25" s="18">
        <f>SUM(Oct!D25, Nov!D25, Dec!D25)</f>
        <v>899711.9</v>
      </c>
      <c r="E25" s="18">
        <f t="shared" si="6"/>
        <v>-19705.900000000023</v>
      </c>
      <c r="F25" s="19">
        <f t="shared" si="7"/>
        <v>-2.1902455663863091E-2</v>
      </c>
      <c r="G25" s="18">
        <f>SUM(Oct!G25,Nov!G25,Dec!G25)</f>
        <v>797518.6</v>
      </c>
      <c r="H25" s="20">
        <f>SUM(Oct!H25, Nov!H25, Dec!H25)</f>
        <v>82487.400000000023</v>
      </c>
      <c r="I25" s="19">
        <f t="shared" si="8"/>
        <v>0.10343006420163746</v>
      </c>
    </row>
    <row r="26" spans="1:9" ht="15.75">
      <c r="A26" s="47" t="str">
        <v>Friendship Solar 2</v>
      </c>
      <c r="B26" s="9" t="str">
        <v>MD</v>
      </c>
      <c r="C26" s="24">
        <f>SUM(Oct!C26, Nov!C26, Dec!C26)</f>
        <v>866580</v>
      </c>
      <c r="D26" s="13">
        <f>SUM(Oct!D26, Nov!D26, Dec!D26)</f>
        <v>934069.39999999991</v>
      </c>
      <c r="E26" s="13">
        <f t="shared" ref="E26:E33" si="9">IF(AND(ISNUMBER(C26),ISNUMBER(D26)), C26-D26, "")</f>
        <v>-67489.399999999907</v>
      </c>
      <c r="F26" s="14">
        <f t="shared" ref="F26:F33" si="10">IFERROR(E26/D26, "")</f>
        <v>-7.2253089545594701E-2</v>
      </c>
      <c r="G26" s="15">
        <f>SUM(Oct!G26,Nov!G26,Dec!G26)</f>
        <v>823977.8</v>
      </c>
      <c r="H26" s="15">
        <f>SUM(Oct!H26, Nov!H26, Dec!H26)</f>
        <v>42602.199999999953</v>
      </c>
      <c r="I26" s="16">
        <f t="shared" ref="I26:I33" si="11">IFERROR(H26/G26, "")</f>
        <v>5.170309200077957E-2</v>
      </c>
    </row>
    <row r="27" spans="1:9" ht="15.75">
      <c r="A27" s="48" t="str">
        <v>101 Carnegie Center</v>
      </c>
      <c r="B27" s="10" t="str">
        <v>NJ</v>
      </c>
      <c r="C27" s="11">
        <f>SUM(Oct!C27, Nov!C27, Dec!C27)</f>
        <v>288438.40000000002</v>
      </c>
      <c r="D27" s="18">
        <f>SUM(Oct!D27, Nov!D27, Dec!D27)</f>
        <v>378611.92000000004</v>
      </c>
      <c r="E27" s="18">
        <f t="shared" si="9"/>
        <v>-90173.520000000019</v>
      </c>
      <c r="F27" s="19">
        <f t="shared" si="10"/>
        <v>-0.23816872960576627</v>
      </c>
      <c r="G27" s="18">
        <f>SUM(Oct!G27,Nov!G27,Dec!G27)</f>
        <v>0</v>
      </c>
      <c r="H27" s="20">
        <f>SUM(Oct!H27, Nov!H27, Dec!H27)</f>
        <v>288438.40000000002</v>
      </c>
      <c r="I27" s="19" t="str">
        <f t="shared" si="11"/>
        <v/>
      </c>
    </row>
    <row r="28" spans="1:9" ht="15.75">
      <c r="A28" s="47" t="str">
        <v>302 Carnegie Center</v>
      </c>
      <c r="B28" s="9" t="str">
        <v>NJ</v>
      </c>
      <c r="C28" s="24">
        <f>SUM(Oct!C28, Nov!C28, Dec!C28)</f>
        <v>129921</v>
      </c>
      <c r="D28" s="13">
        <f>SUM(Oct!D28, Nov!D28, Dec!D28)</f>
        <v>158111.20000000001</v>
      </c>
      <c r="E28" s="13">
        <f t="shared" si="9"/>
        <v>-28190.200000000012</v>
      </c>
      <c r="F28" s="14">
        <f t="shared" si="10"/>
        <v>-0.17829350482445272</v>
      </c>
      <c r="G28" s="15">
        <f>SUM(Oct!G28,Nov!G28,Dec!G28)</f>
        <v>0</v>
      </c>
      <c r="H28" s="15">
        <f>SUM(Oct!H28, Nov!H28, Dec!H28)</f>
        <v>129921</v>
      </c>
      <c r="I28" s="16" t="str">
        <f t="shared" si="11"/>
        <v/>
      </c>
    </row>
    <row r="29" spans="1:9" ht="15.75">
      <c r="A29" s="48" t="str">
        <v>510 Carnegie Center</v>
      </c>
      <c r="B29" s="10" t="str">
        <v>NJ</v>
      </c>
      <c r="C29" s="11">
        <f>SUM(Oct!C29, Nov!C29, Dec!C29)</f>
        <v>316076.69999999995</v>
      </c>
      <c r="D29" s="18">
        <f>SUM(Oct!D29, Nov!D29, Dec!D29)</f>
        <v>409599</v>
      </c>
      <c r="E29" s="18">
        <f t="shared" si="9"/>
        <v>-93522.300000000047</v>
      </c>
      <c r="F29" s="19">
        <f t="shared" si="10"/>
        <v>-0.22832648517208307</v>
      </c>
      <c r="G29" s="18">
        <f>SUM(Oct!G29,Nov!G29,Dec!G29)</f>
        <v>0</v>
      </c>
      <c r="H29" s="20">
        <f>SUM(Oct!H29, Nov!H29, Dec!H29)</f>
        <v>316076.69999999995</v>
      </c>
      <c r="I29" s="19" t="str">
        <f t="shared" si="11"/>
        <v/>
      </c>
    </row>
    <row r="30" spans="1:9" ht="15.75">
      <c r="A30" s="47" t="str">
        <v>701 Carnegie Center</v>
      </c>
      <c r="B30" s="9" t="str">
        <v>NJ</v>
      </c>
      <c r="C30" s="24">
        <f>SUM(Oct!C30, Nov!C30, Dec!C31)</f>
        <v>266363.40552695643</v>
      </c>
      <c r="D30" s="13">
        <f>SUM(Oct!D30, Nov!D30, Dec!D31)</f>
        <v>308935.82</v>
      </c>
      <c r="E30" s="13">
        <f t="shared" si="9"/>
        <v>-42572.41447304358</v>
      </c>
      <c r="F30" s="14">
        <f t="shared" si="10"/>
        <v>-0.13780342620368069</v>
      </c>
      <c r="G30" s="15">
        <f>SUM(Oct!G30,Nov!G30,Dec!G31)</f>
        <v>72312.800000000003</v>
      </c>
      <c r="H30" s="15">
        <f>SUM(Oct!H30, Nov!H30, Dec!H31)</f>
        <v>194050.60552695641</v>
      </c>
      <c r="I30" s="16">
        <f t="shared" si="11"/>
        <v>2.6834890299774923</v>
      </c>
    </row>
    <row r="31" spans="1:9" ht="15.75">
      <c r="A31" s="48" t="str">
        <v>Hudson County Correction</v>
      </c>
      <c r="B31" s="10" t="str">
        <v>NJ</v>
      </c>
      <c r="C31" s="11">
        <f>SUM(Oct!C31, Nov!C31, Dec!C32)</f>
        <v>331087.16647304432</v>
      </c>
      <c r="D31" s="18">
        <f>SUM(Oct!D31, Nov!D31, Dec!D32)</f>
        <v>222581.80000000002</v>
      </c>
      <c r="E31" s="18">
        <f t="shared" si="9"/>
        <v>108505.3664730443</v>
      </c>
      <c r="F31" s="19">
        <f t="shared" si="10"/>
        <v>0.4874853490853443</v>
      </c>
      <c r="G31" s="18">
        <f>SUM(Oct!G31,Nov!G31,Dec!G32)</f>
        <v>313015</v>
      </c>
      <c r="H31" s="20">
        <f>SUM(Oct!H31, Nov!H31, Dec!H32)</f>
        <v>18072.166473044286</v>
      </c>
      <c r="I31" s="19">
        <f t="shared" si="11"/>
        <v>5.7735784141476565E-2</v>
      </c>
    </row>
    <row r="32" spans="1:9" ht="15.75">
      <c r="A32" s="47" t="str">
        <v>ER Bison Solar</v>
      </c>
      <c r="B32" s="9" t="str">
        <v>PA</v>
      </c>
      <c r="C32" s="24">
        <f>SUM(Oct!C32, Nov!C32, Dec!C33)</f>
        <v>377238.79447304358</v>
      </c>
      <c r="D32" s="13">
        <f>SUM(Oct!D32, Nov!D32, Dec!D33)</f>
        <v>-65042.3</v>
      </c>
      <c r="E32" s="13">
        <f t="shared" si="9"/>
        <v>442281.09447304357</v>
      </c>
      <c r="F32" s="14">
        <f t="shared" si="10"/>
        <v>-6.7998993650753983</v>
      </c>
      <c r="G32" s="15">
        <f>SUM(Oct!G32,Nov!G32,Dec!G33)</f>
        <v>337964.2</v>
      </c>
      <c r="H32" s="15">
        <f>SUM(Oct!H32, Nov!H32, Dec!H33)</f>
        <v>39274.594473043602</v>
      </c>
      <c r="I32" s="16">
        <f t="shared" si="11"/>
        <v>0.11620933363073249</v>
      </c>
    </row>
    <row r="33" spans="1:9" ht="15.75">
      <c r="A33" s="48" t="str">
        <v>Danville</v>
      </c>
      <c r="B33" s="10" t="str">
        <v>IL</v>
      </c>
      <c r="C33" s="11">
        <f>SUM(Oct!C33, Nov!C33, Dec!C34)</f>
        <v>712396.91399999999</v>
      </c>
      <c r="D33" s="18">
        <f>SUM(Oct!D33, Nov!D33, Dec!D34)</f>
        <v>213152.4</v>
      </c>
      <c r="E33" s="18">
        <f t="shared" ref="E33:E36" si="12">IF(AND(ISNUMBER(C33),ISNUMBER(D33)), C33-D33, "")</f>
        <v>499244.51399999997</v>
      </c>
      <c r="F33" s="19">
        <f t="shared" ref="F33:F36" si="13">IFERROR(E33/D33, "")</f>
        <v>2.3421951336227038</v>
      </c>
      <c r="G33" s="18">
        <f>SUM(Oct!G33,Nov!G33,Dec!G34)</f>
        <v>0</v>
      </c>
      <c r="H33" s="20">
        <f>SUM(Oct!H33, Nov!H33, Dec!H34)</f>
        <v>712396.91399999999</v>
      </c>
      <c r="I33" s="19" t="str">
        <f t="shared" ref="I33:I36" si="14">IFERROR(H33/G33, "")</f>
        <v/>
      </c>
    </row>
    <row r="34" spans="1:9" ht="15.75">
      <c r="A34" s="47" t="str">
        <v>Oaks Landfill - ANEM</v>
      </c>
      <c r="B34" s="9" t="str">
        <v>ML</v>
      </c>
      <c r="C34" s="24">
        <f>SUM(Oct!C34, Nov!C34, Dec!C35)</f>
        <v>810246.31700000004</v>
      </c>
      <c r="D34" s="13">
        <f>SUM(Oct!D34, Nov!D34, Dec!D35)</f>
        <v>896700.24699999997</v>
      </c>
      <c r="E34" s="13">
        <f t="shared" si="12"/>
        <v>-86453.929999999935</v>
      </c>
      <c r="F34" s="14">
        <f t="shared" si="13"/>
        <v>-9.6413411604647337E-2</v>
      </c>
      <c r="G34" s="15">
        <f>SUM(Oct!G34,Nov!G34,Dec!G35)</f>
        <v>0</v>
      </c>
      <c r="H34" s="15">
        <f>SUM(Oct!H34, Nov!H34, Dec!H35)</f>
        <v>810246.31700000004</v>
      </c>
      <c r="I34" s="16" t="str">
        <f t="shared" si="14"/>
        <v/>
      </c>
    </row>
    <row r="35" spans="1:9" ht="15.75">
      <c r="A35" s="48" t="str">
        <v>Oaks Landfill - CS1</v>
      </c>
      <c r="B35" s="10" t="str">
        <v>ML</v>
      </c>
      <c r="C35" s="11">
        <f>SUM(Oct!C35, Nov!C35, Dec!C36)</f>
        <v>828002.27599999995</v>
      </c>
      <c r="D35" s="18">
        <f>SUM(Oct!D35, Nov!D35, Dec!D36)</f>
        <v>838643.6370000001</v>
      </c>
      <c r="E35" s="18">
        <f t="shared" si="12"/>
        <v>-10641.36100000015</v>
      </c>
      <c r="F35" s="19">
        <f t="shared" si="13"/>
        <v>-1.268877569746606E-2</v>
      </c>
      <c r="G35" s="18">
        <f>SUM(Oct!G35,Nov!G35,Dec!G36)</f>
        <v>0</v>
      </c>
      <c r="H35" s="20">
        <f>SUM(Oct!H35, Nov!H35, Dec!H36)</f>
        <v>828002.27599999995</v>
      </c>
      <c r="I35" s="19" t="str">
        <f t="shared" si="14"/>
        <v/>
      </c>
    </row>
    <row r="36" spans="1:9" ht="15.75">
      <c r="A36" s="47" t="str">
        <v>Oaks Landfill - CS2</v>
      </c>
      <c r="B36" s="9" t="str">
        <v>ML</v>
      </c>
      <c r="C36" s="24">
        <f>SUM(Oct!C36, Nov!C36, Dec!C37)</f>
        <v>641444.56299999997</v>
      </c>
      <c r="D36" s="13">
        <f>SUM(Oct!D36, Nov!D36, Dec!D37)</f>
        <v>610673.11899999995</v>
      </c>
      <c r="E36" s="13">
        <f t="shared" si="12"/>
        <v>30771.444000000018</v>
      </c>
      <c r="F36" s="14">
        <f t="shared" si="13"/>
        <v>5.0389386797292483E-2</v>
      </c>
      <c r="G36" s="15">
        <f>SUM(Oct!G36,Nov!G36,Dec!G37)</f>
        <v>0</v>
      </c>
      <c r="H36" s="15">
        <f>SUM(Oct!H36, Nov!H36, Dec!H37)</f>
        <v>641444.56299999997</v>
      </c>
      <c r="I36" s="16" t="str">
        <f t="shared" si="14"/>
        <v/>
      </c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zoomScale="70" zoomScaleNormal="70" workbookViewId="0">
      <pane xSplit="2" ySplit="3" topLeftCell="C21" activePane="bottomRight" state="frozen"/>
      <selection pane="bottomRight" activeCell="E43" sqref="E43"/>
      <selection pane="bottomLeft" activeCell="C4" sqref="C4"/>
      <selection pane="topRight" activeCell="C4" sqref="C4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style="46" customWidth="1"/>
    <col min="4" max="4" width="13.28515625" style="46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Greenbacker Capital</v>
      </c>
      <c r="B1" s="99"/>
      <c r="C1" s="99"/>
      <c r="D1" s="100" t="s">
        <v>18</v>
      </c>
      <c r="E1" s="100"/>
      <c r="F1" s="100"/>
      <c r="G1" s="98" t="s">
        <v>19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SUM(C4:C99)</f>
        <v>1255667.4659057546</v>
      </c>
      <c r="D2" s="5">
        <f>SUM(D4:D99)</f>
        <v>1584905.264</v>
      </c>
      <c r="E2" s="5">
        <f>C2-D2</f>
        <v>-329237.79809424537</v>
      </c>
      <c r="F2" s="6">
        <f>IFERROR(E2/D2, 0)</f>
        <v>-0.20773342456022367</v>
      </c>
      <c r="G2" s="5">
        <f>SUM(G4:G99)</f>
        <v>1501477.3230000001</v>
      </c>
      <c r="H2" s="7">
        <f>C2-G2</f>
        <v>-245809.8570942455</v>
      </c>
      <c r="I2" s="6">
        <f>IFERROR(H2/G2, 0)</f>
        <v>-0.16371200105980255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54" t="s">
        <v>5</v>
      </c>
      <c r="D3" s="55" t="s">
        <v>6</v>
      </c>
      <c r="E3" s="35" t="s">
        <v>7</v>
      </c>
      <c r="F3" s="36" t="s">
        <v>8</v>
      </c>
      <c r="G3" s="5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49" t="str" cm="1">
        <f t="array" ref="A4:A36">Sites[Site]</f>
        <v>10 Walpole Park South</v>
      </c>
      <c r="B4" s="29" t="str" cm="1">
        <f t="array" ref="B4:B36">Sites[State]</f>
        <v>MA</v>
      </c>
      <c r="C4" s="64">
        <v>3478.8125</v>
      </c>
      <c r="D4" s="64">
        <v>6181.5739999999996</v>
      </c>
      <c r="E4" s="13">
        <f>IF(AND(ISNUMBER(C4),ISNUMBER(D4)), C4-D4, "")</f>
        <v>-2702.7614999999996</v>
      </c>
      <c r="F4" s="45">
        <f>IFERROR(E4/D4, "")</f>
        <v>-0.43722868965088824</v>
      </c>
      <c r="G4" s="58">
        <v>6823.2529999999997</v>
      </c>
      <c r="H4" s="15">
        <f>IF(AND(ISNUMBER(C4),ISNUMBER(G4)), C4-G4, "")</f>
        <v>-3344.4404999999997</v>
      </c>
      <c r="I4" s="16">
        <f>IFERROR(H4/G4, "")</f>
        <v>-0.49015337698895234</v>
      </c>
      <c r="J4" s="40"/>
      <c r="K4" s="40"/>
    </row>
    <row r="5" spans="1:11" ht="15.75">
      <c r="A5" s="50" t="str">
        <v>15 Walpole Park South</v>
      </c>
      <c r="B5" s="31" t="str">
        <v>MA</v>
      </c>
      <c r="C5" s="65">
        <v>12517</v>
      </c>
      <c r="D5" s="65">
        <v>22722.47</v>
      </c>
      <c r="E5" s="18">
        <f t="shared" ref="E5:E15" si="0">IF(AND(ISNUMBER(C5),ISNUMBER(D5)), C5-D5, "")</f>
        <v>-10205.470000000001</v>
      </c>
      <c r="F5" s="53">
        <f t="shared" ref="F5:F33" si="1">IFERROR(E5/D5, "")</f>
        <v>-0.44913559133316056</v>
      </c>
      <c r="G5" s="59">
        <v>21603.71</v>
      </c>
      <c r="H5" s="20">
        <f t="shared" ref="H5:H6" si="2">IF(AND(ISNUMBER(C5),ISNUMBER(G5)), C5-G5, "")</f>
        <v>-9086.7099999999991</v>
      </c>
      <c r="I5" s="19">
        <f t="shared" ref="I5:I6" si="3">IFERROR(H5/G5, "")</f>
        <v>-0.42060877506687505</v>
      </c>
      <c r="J5" s="41"/>
      <c r="K5" s="41"/>
    </row>
    <row r="6" spans="1:11" ht="15.75">
      <c r="A6" s="51" t="str">
        <v>19 Walpole Park South</v>
      </c>
      <c r="B6" s="29" t="str">
        <v>MA</v>
      </c>
      <c r="C6" s="64">
        <v>7105.375</v>
      </c>
      <c r="D6" s="64">
        <v>13704.15</v>
      </c>
      <c r="E6" s="13">
        <f t="shared" si="0"/>
        <v>-6598.7749999999996</v>
      </c>
      <c r="F6" s="45">
        <f t="shared" si="1"/>
        <v>-0.48151654790702086</v>
      </c>
      <c r="G6" s="58">
        <v>14450.27</v>
      </c>
      <c r="H6" s="15">
        <f t="shared" si="2"/>
        <v>-7344.8950000000004</v>
      </c>
      <c r="I6" s="16">
        <f t="shared" si="3"/>
        <v>-0.50828773441603514</v>
      </c>
      <c r="J6" s="40"/>
      <c r="K6" s="40"/>
    </row>
    <row r="7" spans="1:11" ht="15.75">
      <c r="A7" s="50" t="str">
        <v>23 Walpole Park South</v>
      </c>
      <c r="B7" s="31" t="str">
        <v>MA</v>
      </c>
      <c r="C7" s="66">
        <v>10190.25</v>
      </c>
      <c r="D7" s="67">
        <v>16832.77</v>
      </c>
      <c r="E7" s="18">
        <f t="shared" si="0"/>
        <v>-6642.52</v>
      </c>
      <c r="F7" s="53">
        <f t="shared" si="1"/>
        <v>-0.39461835455483563</v>
      </c>
      <c r="G7" s="56">
        <v>18563.55</v>
      </c>
      <c r="H7" s="20">
        <f t="shared" ref="H7:H15" si="4">IF(AND(ISNUMBER(C7),ISNUMBER(G7)), C7-G7, "")</f>
        <v>-8373.2999999999993</v>
      </c>
      <c r="I7" s="19">
        <f t="shared" ref="I7:I15" si="5">IFERROR(H7/G7, "")</f>
        <v>-0.4510613541052223</v>
      </c>
      <c r="J7" s="41"/>
      <c r="K7" s="41"/>
    </row>
    <row r="8" spans="1:11" ht="15.75">
      <c r="A8" s="51" t="str">
        <v>24 Walpole Park South</v>
      </c>
      <c r="B8" s="29" t="str">
        <v>MA</v>
      </c>
      <c r="C8" s="68">
        <v>15037</v>
      </c>
      <c r="D8" s="68">
        <v>14267.73</v>
      </c>
      <c r="E8" s="13">
        <f t="shared" si="0"/>
        <v>769.27000000000044</v>
      </c>
      <c r="F8" s="45">
        <f t="shared" si="1"/>
        <v>5.3916775829091275E-2</v>
      </c>
      <c r="G8" s="60">
        <v>28642.02</v>
      </c>
      <c r="H8" s="15">
        <f t="shared" si="4"/>
        <v>-13605.02</v>
      </c>
      <c r="I8" s="16">
        <f t="shared" si="5"/>
        <v>-0.47500211228118688</v>
      </c>
      <c r="J8" s="40" t="s">
        <v>22</v>
      </c>
      <c r="K8" s="40" t="s">
        <v>23</v>
      </c>
    </row>
    <row r="9" spans="1:11" ht="15.75">
      <c r="A9" s="50" t="str">
        <v>25 Walpole Park South</v>
      </c>
      <c r="B9" s="31" t="str">
        <v>MA</v>
      </c>
      <c r="C9" s="62">
        <v>15224.5</v>
      </c>
      <c r="D9" s="62">
        <v>26799</v>
      </c>
      <c r="E9" s="18">
        <f t="shared" si="0"/>
        <v>-11574.5</v>
      </c>
      <c r="F9" s="53">
        <f t="shared" si="1"/>
        <v>-0.43190044404641964</v>
      </c>
      <c r="G9" s="20">
        <v>29130.79</v>
      </c>
      <c r="H9" s="20">
        <f t="shared" si="4"/>
        <v>-13906.29</v>
      </c>
      <c r="I9" s="19">
        <f t="shared" si="5"/>
        <v>-0.47737428336135068</v>
      </c>
      <c r="J9" s="41"/>
      <c r="K9" s="41"/>
    </row>
    <row r="10" spans="1:11" ht="15.75">
      <c r="A10" s="51" t="str">
        <v>3 Walpole Park South</v>
      </c>
      <c r="B10" s="29" t="str">
        <v>MA</v>
      </c>
      <c r="C10" s="63">
        <v>19881.5</v>
      </c>
      <c r="D10" s="63">
        <v>35122.519999999997</v>
      </c>
      <c r="E10" s="13">
        <f t="shared" si="0"/>
        <v>-15241.019999999997</v>
      </c>
      <c r="F10" s="45">
        <f t="shared" si="1"/>
        <v>-0.43393868093747257</v>
      </c>
      <c r="G10" s="15">
        <v>34800.550000000003</v>
      </c>
      <c r="H10" s="15">
        <f t="shared" si="4"/>
        <v>-14919.050000000003</v>
      </c>
      <c r="I10" s="16">
        <f t="shared" si="5"/>
        <v>-0.42870155787767728</v>
      </c>
      <c r="J10" s="40"/>
      <c r="K10" s="40"/>
    </row>
    <row r="11" spans="1:11" ht="15.75">
      <c r="A11" s="50" t="str">
        <v>4 Walpole Park South</v>
      </c>
      <c r="B11" s="31" t="str">
        <v>MA</v>
      </c>
      <c r="C11" s="62">
        <v>10678.25</v>
      </c>
      <c r="D11" s="62">
        <v>19843.16</v>
      </c>
      <c r="E11" s="18">
        <f t="shared" si="0"/>
        <v>-9164.91</v>
      </c>
      <c r="F11" s="53">
        <f t="shared" si="1"/>
        <v>-0.46186746465784684</v>
      </c>
      <c r="G11" s="20">
        <v>19687.72</v>
      </c>
      <c r="H11" s="20">
        <f t="shared" si="4"/>
        <v>-9009.4700000000012</v>
      </c>
      <c r="I11" s="19">
        <f t="shared" si="5"/>
        <v>-0.45761875930783252</v>
      </c>
      <c r="J11" s="41"/>
      <c r="K11" s="41"/>
    </row>
    <row r="12" spans="1:11" ht="15.75">
      <c r="A12" s="51" t="str">
        <v>Brockton</v>
      </c>
      <c r="B12" s="29" t="str">
        <v>MA</v>
      </c>
      <c r="C12" s="63">
        <v>21358</v>
      </c>
      <c r="D12" s="63">
        <v>29225.200000000001</v>
      </c>
      <c r="E12" s="13">
        <f t="shared" si="0"/>
        <v>-7867.2000000000007</v>
      </c>
      <c r="F12" s="45">
        <f t="shared" si="1"/>
        <v>-0.26919234085652111</v>
      </c>
      <c r="G12" s="15">
        <v>35891.120000000003</v>
      </c>
      <c r="H12" s="15">
        <f t="shared" si="4"/>
        <v>-14533.120000000003</v>
      </c>
      <c r="I12" s="16">
        <f t="shared" si="5"/>
        <v>-0.40492244321157994</v>
      </c>
      <c r="J12" s="40"/>
      <c r="K12" s="40"/>
    </row>
    <row r="13" spans="1:11" ht="28.5">
      <c r="A13" s="50" t="str">
        <v>Canton</v>
      </c>
      <c r="B13" s="31" t="str">
        <v>MA</v>
      </c>
      <c r="C13" s="62">
        <v>17412.249999999502</v>
      </c>
      <c r="D13" s="62">
        <v>31213.29</v>
      </c>
      <c r="E13" s="18">
        <f t="shared" si="0"/>
        <v>-13801.040000000499</v>
      </c>
      <c r="F13" s="53">
        <f t="shared" si="1"/>
        <v>-0.44215268560284732</v>
      </c>
      <c r="G13" s="20">
        <v>30904.81</v>
      </c>
      <c r="H13" s="20">
        <f t="shared" si="4"/>
        <v>-13492.5600000005</v>
      </c>
      <c r="I13" s="19">
        <f t="shared" si="5"/>
        <v>-0.43658446694868852</v>
      </c>
      <c r="J13" s="41" t="s">
        <v>24</v>
      </c>
      <c r="K13" s="41" t="s">
        <v>25</v>
      </c>
    </row>
    <row r="14" spans="1:11" ht="15.75">
      <c r="A14" s="51" t="str">
        <v>Chelsea</v>
      </c>
      <c r="B14" s="29" t="str">
        <v>MA</v>
      </c>
      <c r="C14" s="63">
        <v>38716</v>
      </c>
      <c r="D14" s="63">
        <v>54336.05</v>
      </c>
      <c r="E14" s="13">
        <f t="shared" si="0"/>
        <v>-15620.050000000003</v>
      </c>
      <c r="F14" s="45">
        <f t="shared" si="1"/>
        <v>-0.28747120926162284</v>
      </c>
      <c r="G14" s="15">
        <v>55003.46</v>
      </c>
      <c r="H14" s="15">
        <f t="shared" si="4"/>
        <v>-16287.46</v>
      </c>
      <c r="I14" s="16">
        <f t="shared" si="5"/>
        <v>-0.2961170079118659</v>
      </c>
      <c r="J14" s="40"/>
      <c r="K14" s="40"/>
    </row>
    <row r="15" spans="1:11" ht="15.75">
      <c r="A15" s="50" t="str">
        <v>Hamilton Landfill</v>
      </c>
      <c r="B15" s="31" t="str">
        <v>MA</v>
      </c>
      <c r="C15" s="62">
        <v>30221</v>
      </c>
      <c r="D15" s="62">
        <v>58716</v>
      </c>
      <c r="E15" s="18">
        <f t="shared" si="0"/>
        <v>-28495</v>
      </c>
      <c r="F15" s="53">
        <f t="shared" si="1"/>
        <v>-0.48530213229784047</v>
      </c>
      <c r="G15" s="20">
        <v>0</v>
      </c>
      <c r="H15" s="20">
        <f t="shared" si="4"/>
        <v>30221</v>
      </c>
      <c r="I15" s="41" t="str">
        <f t="shared" si="5"/>
        <v/>
      </c>
      <c r="J15" s="41"/>
      <c r="K15" s="41"/>
    </row>
    <row r="16" spans="1:11" ht="15.75">
      <c r="A16" s="51" t="str">
        <v>Holliston</v>
      </c>
      <c r="B16" s="29" t="str">
        <v>MA</v>
      </c>
      <c r="C16" s="63">
        <v>37423.500000000902</v>
      </c>
      <c r="D16" s="63">
        <v>60597.82</v>
      </c>
      <c r="E16" s="13">
        <f t="shared" ref="E16:E33" si="6">IF(AND(ISNUMBER(C16),ISNUMBER(D16)), C16-D16, "")</f>
        <v>-23174.319999999097</v>
      </c>
      <c r="F16" s="45">
        <f t="shared" si="1"/>
        <v>-0.38242827877304986</v>
      </c>
      <c r="G16" s="15">
        <v>84734.92</v>
      </c>
      <c r="H16" s="15">
        <f t="shared" ref="H16:H17" si="7">IF(AND(ISNUMBER(C16),ISNUMBER(G16)), C16-G16, "")</f>
        <v>-47311.419999999096</v>
      </c>
      <c r="I16" s="16">
        <f t="shared" ref="I16:I17" si="8">IFERROR(H16/G16, "")</f>
        <v>-0.5583461930453123</v>
      </c>
      <c r="J16" s="40" t="s">
        <v>26</v>
      </c>
      <c r="K16" s="40" t="s">
        <v>27</v>
      </c>
    </row>
    <row r="17" spans="1:11" ht="15.75">
      <c r="A17" s="50" t="str">
        <v>Natick HS - Carports</v>
      </c>
      <c r="B17" s="30" t="str">
        <v>MA</v>
      </c>
      <c r="C17" s="62">
        <v>13924</v>
      </c>
      <c r="D17" s="62">
        <v>29010</v>
      </c>
      <c r="E17" s="18">
        <f t="shared" si="6"/>
        <v>-15086</v>
      </c>
      <c r="F17" s="53">
        <f t="shared" si="1"/>
        <v>-0.5200275766976904</v>
      </c>
      <c r="G17" s="20">
        <v>0</v>
      </c>
      <c r="H17" s="20">
        <f t="shared" si="7"/>
        <v>13924</v>
      </c>
      <c r="I17" s="41" t="str">
        <f t="shared" si="8"/>
        <v/>
      </c>
      <c r="J17" s="41"/>
      <c r="K17" s="41"/>
    </row>
    <row r="18" spans="1:11" ht="57">
      <c r="A18" s="51" t="str">
        <v>Norton</v>
      </c>
      <c r="B18" s="28" t="str">
        <v>MA</v>
      </c>
      <c r="C18" s="68">
        <v>93336</v>
      </c>
      <c r="D18" s="68">
        <v>144118.9</v>
      </c>
      <c r="E18" s="13">
        <f t="shared" si="6"/>
        <v>-50782.899999999994</v>
      </c>
      <c r="F18" s="45">
        <f t="shared" si="1"/>
        <v>-0.35236807941220755</v>
      </c>
      <c r="G18" s="15">
        <v>162736.5</v>
      </c>
      <c r="H18" s="15">
        <f t="shared" ref="H18:H33" si="9">IF(AND(ISNUMBER(C18),ISNUMBER(G18)), C18-G18, "")</f>
        <v>-69400.5</v>
      </c>
      <c r="I18" s="16">
        <f t="shared" ref="I18:I33" si="10">IFERROR(H18/G18, "")</f>
        <v>-0.42645933764091032</v>
      </c>
      <c r="J18" s="40" t="s">
        <v>28</v>
      </c>
      <c r="K18" s="40" t="s">
        <v>29</v>
      </c>
    </row>
    <row r="19" spans="1:11" ht="15.75">
      <c r="A19" s="50" t="str">
        <v>Palmer - Boston Rd.</v>
      </c>
      <c r="B19" s="30" t="str">
        <v>MA</v>
      </c>
      <c r="C19" s="62">
        <v>18016.047500000299</v>
      </c>
      <c r="D19" s="62">
        <v>31872.06</v>
      </c>
      <c r="E19" s="18">
        <f t="shared" si="6"/>
        <v>-13856.012499999702</v>
      </c>
      <c r="F19" s="53">
        <f t="shared" si="1"/>
        <v>-0.43473852960868242</v>
      </c>
      <c r="G19" s="20">
        <v>45090</v>
      </c>
      <c r="H19" s="20">
        <f t="shared" si="9"/>
        <v>-27073.952499999701</v>
      </c>
      <c r="I19" s="16">
        <f t="shared" si="10"/>
        <v>-0.60044250388111997</v>
      </c>
      <c r="J19" s="41"/>
      <c r="K19" s="41"/>
    </row>
    <row r="20" spans="1:11" ht="15.75">
      <c r="A20" s="51" t="str">
        <v>Shirley Bartkus</v>
      </c>
      <c r="B20" s="28" t="str">
        <v>MA</v>
      </c>
      <c r="C20" s="63">
        <v>24169.871179624501</v>
      </c>
      <c r="D20" s="63">
        <v>47290.29</v>
      </c>
      <c r="E20" s="13">
        <f t="shared" si="6"/>
        <v>-23120.4188203755</v>
      </c>
      <c r="F20" s="45">
        <f t="shared" si="1"/>
        <v>-0.48890414544667626</v>
      </c>
      <c r="G20" s="15">
        <v>65151</v>
      </c>
      <c r="H20" s="15">
        <f t="shared" si="9"/>
        <v>-40981.128820375496</v>
      </c>
      <c r="I20" s="16">
        <f t="shared" si="10"/>
        <v>-0.62901764854531006</v>
      </c>
      <c r="J20" s="40"/>
      <c r="K20" s="40"/>
    </row>
    <row r="21" spans="1:11" ht="15.75">
      <c r="A21" s="50" t="str">
        <v>Stoughton</v>
      </c>
      <c r="B21" s="30" t="str">
        <v>MA</v>
      </c>
      <c r="C21" s="62">
        <v>22398.5</v>
      </c>
      <c r="D21" s="62">
        <v>29378.29</v>
      </c>
      <c r="E21" s="18">
        <f t="shared" si="6"/>
        <v>-6979.7900000000009</v>
      </c>
      <c r="F21" s="53">
        <f t="shared" si="1"/>
        <v>-0.23758326301496788</v>
      </c>
      <c r="G21" s="20">
        <v>35608.120000000003</v>
      </c>
      <c r="H21" s="20">
        <f t="shared" si="9"/>
        <v>-13209.620000000003</v>
      </c>
      <c r="I21" s="16">
        <f t="shared" si="10"/>
        <v>-0.37097212658236384</v>
      </c>
      <c r="J21" s="41"/>
      <c r="K21" s="41"/>
    </row>
    <row r="22" spans="1:11" ht="15.75">
      <c r="A22" s="51" t="str">
        <v>Wellfleet Landfill</v>
      </c>
      <c r="B22" s="28" t="str">
        <v>MA</v>
      </c>
      <c r="C22" s="63">
        <v>40023</v>
      </c>
      <c r="D22" s="63">
        <v>57476</v>
      </c>
      <c r="E22" s="13">
        <f t="shared" si="6"/>
        <v>-17453</v>
      </c>
      <c r="F22" s="45">
        <f t="shared" si="1"/>
        <v>-0.30365717864847935</v>
      </c>
      <c r="G22" s="15">
        <v>0</v>
      </c>
      <c r="H22" s="15">
        <f t="shared" si="9"/>
        <v>40023</v>
      </c>
      <c r="I22" s="16" t="str">
        <f t="shared" si="10"/>
        <v/>
      </c>
      <c r="J22" s="40" t="s">
        <v>30</v>
      </c>
      <c r="K22" s="40" t="s">
        <v>31</v>
      </c>
    </row>
    <row r="23" spans="1:11" ht="15.75">
      <c r="A23" s="50" t="str">
        <v>Wilmington Garage &amp; Building 7</v>
      </c>
      <c r="B23" s="30" t="str">
        <v>MA</v>
      </c>
      <c r="C23" s="62">
        <v>28124.62</v>
      </c>
      <c r="D23" s="62">
        <v>53740.59</v>
      </c>
      <c r="E23" s="18">
        <f t="shared" si="6"/>
        <v>-25615.969999999998</v>
      </c>
      <c r="F23" s="53">
        <f t="shared" si="1"/>
        <v>-0.47665963473791412</v>
      </c>
      <c r="G23" s="20">
        <v>51473.440000000002</v>
      </c>
      <c r="H23" s="20">
        <f t="shared" si="9"/>
        <v>-23348.820000000003</v>
      </c>
      <c r="I23" s="16">
        <f t="shared" si="10"/>
        <v>-0.45360908460751803</v>
      </c>
      <c r="J23" s="41"/>
      <c r="K23" s="41"/>
    </row>
    <row r="24" spans="1:11" ht="15.75">
      <c r="A24" s="51" t="str">
        <v>Woburn</v>
      </c>
      <c r="B24" s="28" t="str">
        <v>MA</v>
      </c>
      <c r="C24" s="63">
        <v>47752.5</v>
      </c>
      <c r="D24" s="63">
        <v>99772.07</v>
      </c>
      <c r="E24" s="13">
        <f t="shared" si="6"/>
        <v>-52019.570000000007</v>
      </c>
      <c r="F24" s="45">
        <f t="shared" si="1"/>
        <v>-0.52138409075806491</v>
      </c>
      <c r="G24" s="15">
        <v>69636.91</v>
      </c>
      <c r="H24" s="15">
        <f t="shared" si="9"/>
        <v>-21884.410000000003</v>
      </c>
      <c r="I24" s="16">
        <f t="shared" si="10"/>
        <v>-0.31426451862956012</v>
      </c>
      <c r="J24" s="40" t="s">
        <v>32</v>
      </c>
      <c r="K24" s="40" t="s">
        <v>33</v>
      </c>
    </row>
    <row r="25" spans="1:11" ht="15.75">
      <c r="A25" s="50" t="str">
        <v>Friendship Solar 1</v>
      </c>
      <c r="B25" s="30" t="str">
        <v>MD</v>
      </c>
      <c r="C25" s="62">
        <v>185310</v>
      </c>
      <c r="D25" s="62">
        <v>198138.4</v>
      </c>
      <c r="E25" s="18">
        <f t="shared" si="6"/>
        <v>-12828.399999999994</v>
      </c>
      <c r="F25" s="53">
        <f t="shared" si="1"/>
        <v>-6.4744643138331559E-2</v>
      </c>
      <c r="G25" s="44">
        <v>253076.2</v>
      </c>
      <c r="H25" s="20">
        <f t="shared" si="9"/>
        <v>-67766.200000000012</v>
      </c>
      <c r="I25" s="16">
        <f t="shared" si="10"/>
        <v>-0.26776994438829099</v>
      </c>
      <c r="J25" s="41"/>
      <c r="K25" s="41"/>
    </row>
    <row r="26" spans="1:11" ht="15.75">
      <c r="A26" s="51" t="str">
        <v>Friendship Solar 2</v>
      </c>
      <c r="B26" s="28" t="str">
        <v>MD</v>
      </c>
      <c r="C26" s="63">
        <v>183527</v>
      </c>
      <c r="D26" s="63">
        <v>204402.5</v>
      </c>
      <c r="E26" s="13">
        <f t="shared" si="6"/>
        <v>-20875.5</v>
      </c>
      <c r="F26" s="45">
        <f t="shared" si="1"/>
        <v>-0.10212937708687517</v>
      </c>
      <c r="G26" s="15">
        <v>250422.2</v>
      </c>
      <c r="H26" s="15">
        <f t="shared" si="9"/>
        <v>-66895.200000000012</v>
      </c>
      <c r="I26" s="16">
        <f t="shared" si="10"/>
        <v>-0.26712967141092125</v>
      </c>
      <c r="J26" s="40"/>
      <c r="K26" s="40"/>
    </row>
    <row r="27" spans="1:11" ht="28.5">
      <c r="A27" s="50" t="str">
        <v>101 Carnegie Center</v>
      </c>
      <c r="B27" s="30" t="str">
        <v>NJ</v>
      </c>
      <c r="C27" s="62">
        <v>42576</v>
      </c>
      <c r="D27" s="62">
        <v>72136</v>
      </c>
      <c r="E27" s="18">
        <f t="shared" si="6"/>
        <v>-29560</v>
      </c>
      <c r="F27" s="53">
        <f t="shared" si="1"/>
        <v>-0.40978152378839972</v>
      </c>
      <c r="G27" s="20">
        <v>0</v>
      </c>
      <c r="H27" s="20">
        <f t="shared" si="9"/>
        <v>42576</v>
      </c>
      <c r="I27" s="41" t="str">
        <f t="shared" si="10"/>
        <v/>
      </c>
      <c r="J27" s="61" t="s">
        <v>34</v>
      </c>
      <c r="K27" s="61" t="s">
        <v>35</v>
      </c>
    </row>
    <row r="28" spans="1:11" ht="15.75">
      <c r="A28" s="51" t="str">
        <v>302 Carnegie Center</v>
      </c>
      <c r="B28" s="28" t="str">
        <v>NJ</v>
      </c>
      <c r="C28" s="63">
        <v>18853</v>
      </c>
      <c r="D28" s="63">
        <v>28852</v>
      </c>
      <c r="E28" s="13">
        <f t="shared" si="6"/>
        <v>-9999</v>
      </c>
      <c r="F28" s="45">
        <f t="shared" si="1"/>
        <v>-0.34656176348260087</v>
      </c>
      <c r="G28" s="15">
        <v>0</v>
      </c>
      <c r="H28" s="15">
        <f t="shared" si="9"/>
        <v>18853</v>
      </c>
      <c r="I28" s="16" t="str">
        <f t="shared" si="10"/>
        <v/>
      </c>
      <c r="J28" s="40"/>
      <c r="K28" s="40"/>
    </row>
    <row r="29" spans="1:11" ht="45" customHeight="1">
      <c r="A29" s="50" t="str">
        <v>510 Carnegie Center</v>
      </c>
      <c r="B29" s="30" t="str">
        <v>NJ</v>
      </c>
      <c r="C29" s="62">
        <v>40883</v>
      </c>
      <c r="D29" s="62">
        <v>79791</v>
      </c>
      <c r="E29" s="18">
        <f t="shared" si="6"/>
        <v>-38908</v>
      </c>
      <c r="F29" s="53">
        <f t="shared" si="1"/>
        <v>-0.48762391748442807</v>
      </c>
      <c r="G29" s="20">
        <v>0</v>
      </c>
      <c r="H29" s="20">
        <f t="shared" si="9"/>
        <v>40883</v>
      </c>
      <c r="I29" s="41" t="str">
        <f t="shared" si="10"/>
        <v/>
      </c>
      <c r="J29" s="41" t="s">
        <v>36</v>
      </c>
      <c r="K29" s="41" t="s">
        <v>37</v>
      </c>
    </row>
    <row r="30" spans="1:11" ht="15.75">
      <c r="A30" s="51" t="str">
        <v>701 Carnegie Center</v>
      </c>
      <c r="B30" s="28" t="str">
        <v>NJ</v>
      </c>
      <c r="C30" s="63">
        <v>36140</v>
      </c>
      <c r="D30" s="63">
        <v>59926</v>
      </c>
      <c r="E30" s="13">
        <f t="shared" si="6"/>
        <v>-23786</v>
      </c>
      <c r="F30" s="45">
        <f t="shared" si="1"/>
        <v>-0.39692287154156791</v>
      </c>
      <c r="G30" s="15">
        <v>0</v>
      </c>
      <c r="H30" s="15">
        <f t="shared" si="9"/>
        <v>36140</v>
      </c>
      <c r="I30" s="16" t="str">
        <f t="shared" si="10"/>
        <v/>
      </c>
      <c r="J30" s="40"/>
      <c r="K30" s="40"/>
    </row>
    <row r="31" spans="1:11" ht="15.75">
      <c r="A31" s="50" t="str">
        <v>Hudson County Correction</v>
      </c>
      <c r="B31" s="30" t="str">
        <v>NJ</v>
      </c>
      <c r="C31" s="62">
        <v>52029.489726129497</v>
      </c>
      <c r="D31" s="62">
        <v>59439.43</v>
      </c>
      <c r="E31" s="18">
        <f t="shared" si="6"/>
        <v>-7409.940273870503</v>
      </c>
      <c r="F31" s="53">
        <f t="shared" si="1"/>
        <v>-0.12466371689416442</v>
      </c>
      <c r="G31" s="20">
        <v>87395.78</v>
      </c>
      <c r="H31" s="20">
        <f t="shared" si="9"/>
        <v>-35366.290273870502</v>
      </c>
      <c r="I31" s="16">
        <f t="shared" si="10"/>
        <v>-0.40466816903368219</v>
      </c>
      <c r="J31" s="41"/>
      <c r="K31" s="41"/>
    </row>
    <row r="32" spans="1:11" ht="15.75">
      <c r="A32" s="51" t="str">
        <v>ER Bison Solar</v>
      </c>
      <c r="B32" s="28" t="str">
        <v>PA</v>
      </c>
      <c r="C32" s="63">
        <v>50310</v>
      </c>
      <c r="D32" s="63">
        <v>0</v>
      </c>
      <c r="E32" s="13">
        <f t="shared" si="6"/>
        <v>50310</v>
      </c>
      <c r="F32" s="45" t="str">
        <f t="shared" si="1"/>
        <v/>
      </c>
      <c r="G32" s="60">
        <v>100651</v>
      </c>
      <c r="H32" s="15">
        <f t="shared" si="9"/>
        <v>-50341</v>
      </c>
      <c r="I32" s="16">
        <f t="shared" si="10"/>
        <v>-0.50015399747642841</v>
      </c>
      <c r="J32" s="40"/>
      <c r="K32" s="40"/>
    </row>
    <row r="33" spans="1:11" ht="15.75">
      <c r="A33" s="50" t="str">
        <v>Danville</v>
      </c>
      <c r="B33" s="30" t="str">
        <v>IL</v>
      </c>
      <c r="C33" s="62">
        <v>119051</v>
      </c>
      <c r="D33" s="62">
        <v>0</v>
      </c>
      <c r="E33" s="18">
        <f t="shared" si="6"/>
        <v>119051</v>
      </c>
      <c r="F33" s="53" t="str">
        <f t="shared" si="1"/>
        <v/>
      </c>
      <c r="G33" s="20">
        <v>0</v>
      </c>
      <c r="H33" s="20">
        <f t="shared" si="9"/>
        <v>119051</v>
      </c>
      <c r="I33" s="41" t="str">
        <f t="shared" si="10"/>
        <v/>
      </c>
      <c r="J33" s="41"/>
      <c r="K33" s="41"/>
    </row>
    <row r="34" spans="1:11" ht="15.75">
      <c r="A34" s="51" t="str">
        <v>Oaks Landfill - ANEM</v>
      </c>
      <c r="B34" s="28" t="str">
        <v>ML</v>
      </c>
      <c r="C34" s="63"/>
      <c r="D34" s="63"/>
      <c r="E34" s="13"/>
      <c r="F34" s="45"/>
      <c r="G34" s="60"/>
      <c r="H34" s="89"/>
      <c r="I34" s="90"/>
      <c r="J34" s="91"/>
      <c r="K34" s="91"/>
    </row>
    <row r="35" spans="1:11" ht="15.75">
      <c r="A35" s="50" t="str">
        <v>Oaks Landfill - CS1</v>
      </c>
      <c r="B35" s="30" t="str">
        <v>ML</v>
      </c>
      <c r="C35" s="62"/>
      <c r="D35" s="62"/>
      <c r="E35" s="18"/>
      <c r="F35" s="53"/>
      <c r="G35" s="83"/>
      <c r="H35" s="83"/>
      <c r="I35" s="41"/>
      <c r="J35" s="41"/>
      <c r="K35" s="41"/>
    </row>
    <row r="36" spans="1:11" ht="15.75">
      <c r="A36" s="51" t="str">
        <v>Oaks Landfill - CS2</v>
      </c>
      <c r="B36" s="28" t="str">
        <v>ML</v>
      </c>
      <c r="C36" s="63"/>
      <c r="D36" s="63"/>
      <c r="E36" s="13"/>
      <c r="F36" s="45"/>
      <c r="G36" s="89"/>
      <c r="H36" s="89"/>
      <c r="I36" s="90"/>
      <c r="J36" s="91"/>
      <c r="K36" s="91"/>
    </row>
    <row r="37" spans="1:11" ht="14.25">
      <c r="A37" s="21"/>
      <c r="B37" s="33"/>
      <c r="C37" s="69"/>
      <c r="D37" s="69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69"/>
      <c r="D38" s="69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69"/>
      <c r="D39" s="69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69"/>
      <c r="D40" s="69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69"/>
      <c r="D41" s="69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69"/>
      <c r="D42" s="69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69"/>
      <c r="D43" s="69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69"/>
      <c r="D44" s="69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69"/>
      <c r="D45" s="69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69"/>
      <c r="D46" s="69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69"/>
      <c r="D47" s="69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69"/>
      <c r="D48" s="69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69"/>
      <c r="D49" s="69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69"/>
      <c r="D50" s="69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69"/>
      <c r="D51" s="69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69"/>
      <c r="D52" s="69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69"/>
      <c r="D53" s="69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69"/>
      <c r="D54" s="69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69"/>
      <c r="D55" s="69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69"/>
      <c r="D56" s="69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69"/>
      <c r="D57" s="69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69"/>
      <c r="D58" s="69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69"/>
      <c r="D59" s="69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69"/>
      <c r="D60" s="69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69"/>
      <c r="D61" s="69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69"/>
      <c r="D62" s="69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69"/>
      <c r="D63" s="69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69"/>
      <c r="D64" s="69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69"/>
      <c r="D65" s="69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69"/>
      <c r="D66" s="69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69"/>
      <c r="D67" s="69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69"/>
      <c r="D68" s="69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69"/>
      <c r="D69" s="69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69"/>
      <c r="D70" s="69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69"/>
      <c r="D71" s="69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69"/>
      <c r="D72" s="69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69"/>
      <c r="D73" s="69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69"/>
      <c r="D74" s="69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69"/>
      <c r="D75" s="69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69"/>
      <c r="D76" s="69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69"/>
      <c r="D77" s="69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69"/>
      <c r="D78" s="69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69"/>
      <c r="D79" s="69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69"/>
      <c r="D80" s="69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69"/>
      <c r="D81" s="69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69"/>
      <c r="D82" s="69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69"/>
      <c r="D83" s="69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69"/>
      <c r="D84" s="69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69"/>
      <c r="D85" s="69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69"/>
      <c r="D86" s="69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69"/>
      <c r="D87" s="69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69"/>
      <c r="D88" s="69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69"/>
      <c r="D89" s="69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69"/>
      <c r="D90" s="69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69"/>
      <c r="D91" s="69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69"/>
      <c r="D92" s="69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69"/>
      <c r="D93" s="69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69"/>
      <c r="D94" s="69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69"/>
      <c r="D95" s="69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69"/>
      <c r="D96" s="69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69"/>
      <c r="D97" s="69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69"/>
      <c r="D98" s="69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69"/>
      <c r="D99" s="69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69"/>
      <c r="D100" s="69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69"/>
      <c r="D101" s="69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69"/>
      <c r="D102" s="69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69"/>
      <c r="D103" s="69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69"/>
      <c r="D104" s="69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69"/>
      <c r="D105" s="69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69"/>
      <c r="D106" s="69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69"/>
      <c r="D107" s="69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69"/>
      <c r="D108" s="69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69"/>
      <c r="D109" s="69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69"/>
      <c r="D110" s="69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69"/>
      <c r="D111" s="69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69"/>
      <c r="D112" s="69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69"/>
      <c r="D113" s="69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69"/>
      <c r="D114" s="69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69"/>
      <c r="D115" s="69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69"/>
      <c r="D116" s="69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69"/>
      <c r="D117" s="69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69"/>
      <c r="D118" s="69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69"/>
      <c r="D119" s="69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69"/>
      <c r="D120" s="69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69"/>
      <c r="D121" s="69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69"/>
      <c r="D122" s="69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69"/>
      <c r="D123" s="69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69"/>
      <c r="D124" s="69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69"/>
      <c r="D125" s="69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69"/>
      <c r="D126" s="69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69"/>
      <c r="D127" s="69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69"/>
      <c r="D128" s="69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69"/>
      <c r="D129" s="69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69"/>
      <c r="D130" s="69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69"/>
      <c r="D131" s="69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69"/>
      <c r="D132" s="69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69"/>
      <c r="D133" s="69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69"/>
      <c r="D134" s="69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69"/>
      <c r="D135" s="69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69"/>
      <c r="D136" s="69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69"/>
      <c r="D137" s="69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69"/>
      <c r="D138" s="69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69"/>
      <c r="D139" s="69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69"/>
      <c r="D140" s="69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69"/>
      <c r="D141" s="69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69"/>
      <c r="D142" s="69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69"/>
      <c r="D143" s="69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69"/>
      <c r="D144" s="69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69"/>
      <c r="D145" s="69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69"/>
      <c r="D146" s="69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69"/>
      <c r="D147" s="69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69"/>
      <c r="D148" s="69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69"/>
      <c r="D149" s="69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69"/>
      <c r="D150" s="69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69"/>
      <c r="D151" s="69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69"/>
      <c r="D152" s="69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69"/>
      <c r="D153" s="69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69"/>
      <c r="D154" s="69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69"/>
      <c r="D155" s="69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69"/>
      <c r="D156" s="69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69"/>
      <c r="D157" s="69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69"/>
      <c r="D158" s="69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69"/>
      <c r="D159" s="69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69"/>
      <c r="D160" s="69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69"/>
      <c r="D161" s="69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69"/>
      <c r="D162" s="69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69"/>
      <c r="D163" s="69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69"/>
      <c r="D164" s="69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69"/>
      <c r="D165" s="69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69"/>
      <c r="D166" s="69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69"/>
      <c r="D167" s="69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69"/>
      <c r="D168" s="69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69"/>
      <c r="D169" s="69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69"/>
      <c r="D170" s="69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69"/>
      <c r="D171" s="69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69"/>
      <c r="D172" s="69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69"/>
      <c r="D173" s="69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69"/>
      <c r="D174" s="69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69"/>
      <c r="D175" s="69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69"/>
      <c r="D176" s="69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69"/>
      <c r="D177" s="69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69"/>
      <c r="D178" s="69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69"/>
      <c r="D179" s="69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69"/>
      <c r="D180" s="69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69"/>
      <c r="D181" s="69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69"/>
      <c r="D182" s="69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69"/>
      <c r="D183" s="69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69"/>
      <c r="D184" s="69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69"/>
      <c r="D185" s="69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69"/>
      <c r="D186" s="69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69"/>
      <c r="D187" s="69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69"/>
      <c r="D188" s="69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69"/>
      <c r="D189" s="69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69"/>
      <c r="D190" s="69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69"/>
      <c r="D191" s="69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69"/>
      <c r="D192" s="69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69"/>
      <c r="D193" s="69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69"/>
      <c r="D194" s="69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69"/>
      <c r="D195" s="69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69"/>
      <c r="D196" s="69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69"/>
      <c r="D197" s="69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69"/>
      <c r="D198" s="69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69"/>
      <c r="D199" s="69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69"/>
      <c r="D200" s="69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69"/>
      <c r="D201" s="69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69"/>
      <c r="D202" s="69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69"/>
      <c r="D203" s="69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69"/>
      <c r="D204" s="69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69"/>
      <c r="D205" s="69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69"/>
      <c r="D206" s="69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69"/>
      <c r="D207" s="69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69"/>
      <c r="D208" s="69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69"/>
      <c r="D209" s="69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69"/>
      <c r="D210" s="69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69"/>
      <c r="D211" s="69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69"/>
      <c r="D212" s="69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69"/>
      <c r="D213" s="69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69"/>
      <c r="D214" s="69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69"/>
      <c r="D215" s="69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69"/>
      <c r="D216" s="69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69"/>
      <c r="D217" s="69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69"/>
      <c r="D218" s="69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69"/>
      <c r="D219" s="69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69"/>
      <c r="D220" s="69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69"/>
      <c r="D221" s="69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69"/>
      <c r="D222" s="69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69"/>
      <c r="D223" s="69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69"/>
      <c r="D224" s="69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69"/>
      <c r="D225" s="69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69"/>
      <c r="D226" s="69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69"/>
      <c r="D227" s="69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69"/>
      <c r="D228" s="69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69"/>
      <c r="D229" s="69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69"/>
      <c r="D230" s="69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69"/>
      <c r="D231" s="69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69"/>
      <c r="D232" s="69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69"/>
      <c r="D233" s="69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69"/>
      <c r="D234" s="69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69"/>
      <c r="D235" s="69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69"/>
      <c r="D236" s="69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69"/>
      <c r="D237" s="69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69"/>
      <c r="D238" s="69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69"/>
      <c r="D239" s="69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69"/>
      <c r="D240" s="69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69"/>
      <c r="D241" s="69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69"/>
      <c r="D242" s="69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69"/>
      <c r="D243" s="69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69"/>
      <c r="D244" s="69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69"/>
      <c r="D245" s="69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69"/>
      <c r="D246" s="69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69"/>
      <c r="D247" s="69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69"/>
      <c r="D248" s="69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69"/>
      <c r="D249" s="69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69"/>
      <c r="D250" s="69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69"/>
      <c r="D251" s="69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69"/>
      <c r="D252" s="69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69"/>
      <c r="D253" s="69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69"/>
      <c r="D254" s="69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69"/>
      <c r="D255" s="69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69"/>
      <c r="D256" s="69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69"/>
      <c r="D257" s="69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69"/>
      <c r="D258" s="69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69"/>
      <c r="D259" s="69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69"/>
      <c r="D260" s="69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69"/>
      <c r="D261" s="69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69"/>
      <c r="D262" s="69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69"/>
      <c r="D263" s="69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69"/>
      <c r="D264" s="69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69"/>
      <c r="D265" s="69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69"/>
      <c r="D266" s="69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69"/>
      <c r="D267" s="69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69"/>
      <c r="D268" s="69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69"/>
      <c r="D269" s="69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69"/>
      <c r="D270" s="69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69"/>
      <c r="D271" s="69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69"/>
      <c r="D272" s="69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69"/>
      <c r="D273" s="69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69"/>
      <c r="D274" s="69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69"/>
      <c r="D275" s="69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69"/>
      <c r="D276" s="69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69"/>
      <c r="D277" s="69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69"/>
      <c r="D278" s="69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69"/>
      <c r="D279" s="69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69"/>
      <c r="D280" s="69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69"/>
      <c r="D281" s="69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69"/>
      <c r="D282" s="69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69"/>
      <c r="D283" s="69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69"/>
      <c r="D284" s="69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69"/>
      <c r="D285" s="69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69"/>
      <c r="D286" s="69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69"/>
      <c r="D287" s="69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69"/>
      <c r="D288" s="69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69"/>
      <c r="D289" s="69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69"/>
      <c r="D290" s="69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69"/>
      <c r="D291" s="69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69"/>
      <c r="D292" s="69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69"/>
      <c r="D293" s="69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69"/>
      <c r="D294" s="69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69"/>
      <c r="D295" s="69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69"/>
      <c r="D296" s="69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69"/>
      <c r="D297" s="69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69"/>
      <c r="D298" s="69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69"/>
      <c r="D299" s="69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69"/>
      <c r="D300" s="69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69"/>
      <c r="D301" s="69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69"/>
      <c r="D302" s="69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69"/>
      <c r="D303" s="69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69"/>
      <c r="D304" s="69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69"/>
      <c r="D305" s="69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69"/>
      <c r="D306" s="69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69"/>
      <c r="D307" s="69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69"/>
      <c r="D308" s="69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69"/>
      <c r="D309" s="69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69"/>
      <c r="D310" s="69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69"/>
      <c r="D311" s="69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69"/>
      <c r="D312" s="69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69"/>
      <c r="D313" s="69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69"/>
      <c r="D314" s="69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69"/>
      <c r="D315" s="69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69"/>
      <c r="D316" s="69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69"/>
      <c r="D317" s="69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69"/>
      <c r="D318" s="69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69"/>
      <c r="D319" s="69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69"/>
      <c r="D320" s="69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69"/>
      <c r="D321" s="69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69"/>
      <c r="D322" s="69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69"/>
      <c r="D323" s="69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69"/>
      <c r="D324" s="69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69"/>
      <c r="D325" s="69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69"/>
      <c r="D326" s="69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69"/>
      <c r="D327" s="69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69"/>
      <c r="D328" s="69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69"/>
      <c r="D329" s="69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69"/>
      <c r="D330" s="69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69"/>
      <c r="D331" s="69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69"/>
      <c r="D332" s="69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69"/>
      <c r="D333" s="69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69"/>
      <c r="D334" s="69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69"/>
      <c r="D335" s="69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69"/>
      <c r="D336" s="69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69"/>
      <c r="D337" s="69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69"/>
      <c r="D338" s="69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69"/>
      <c r="D339" s="69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69"/>
      <c r="D340" s="69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69"/>
      <c r="D341" s="69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14 I16 I18:I26 I28 I30:I32 I34 I36:I99">
    <cfRule type="cellIs" dxfId="47" priority="4" stopIfTrue="1" operator="lessThanOrEqual">
      <formula>-0.1</formula>
    </cfRule>
    <cfRule type="expression" dxfId="46" priority="5">
      <formula>AND(ISNUMBER(F2), F2&gt;=0.1)</formula>
    </cfRule>
  </conditionalFormatting>
  <conditionalFormatting sqref="F37:F99">
    <cfRule type="cellIs" dxfId="45" priority="1" stopIfTrue="1" operator="lessThanOrEqual">
      <formula>-0.1</formula>
    </cfRule>
    <cfRule type="expression" dxfId="44" priority="2">
      <formula>AND(ISNUMBER(F37), F37&gt;=0.1)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zoomScale="90" zoomScaleNormal="90" workbookViewId="0">
      <pane xSplit="2" ySplit="3" topLeftCell="C22" activePane="bottomRight" state="frozen"/>
      <selection pane="bottomRight" activeCell="E40" sqref="E40"/>
      <selection pane="bottomLeft" activeCell="C4" sqref="C4"/>
      <selection pane="topRight" activeCell="C4" sqref="C4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Greenbacker Capital</v>
      </c>
      <c r="B1" s="99"/>
      <c r="C1" s="99"/>
      <c r="D1" s="100" t="s">
        <v>38</v>
      </c>
      <c r="E1" s="100"/>
      <c r="F1" s="100"/>
      <c r="G1" s="98" t="s">
        <v>39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2964055.2715234826</v>
      </c>
      <c r="D2" s="5">
        <f>SUM(D4:D100)</f>
        <v>2754884.14</v>
      </c>
      <c r="E2" s="5">
        <f>C2-D2</f>
        <v>209171.1315234825</v>
      </c>
      <c r="F2" s="6">
        <f>IFERROR(E2/D2, 0)</f>
        <v>7.5927378754840305E-2</v>
      </c>
      <c r="G2" s="5">
        <f>SUM(G4:G100)</f>
        <v>2036870.179</v>
      </c>
      <c r="H2" s="7">
        <f>C2-G2</f>
        <v>927185.09252348263</v>
      </c>
      <c r="I2" s="6">
        <f>IFERROR(H2/G2, 0)</f>
        <v>0.45520087734736414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49" t="str" cm="1">
        <f t="array" ref="A4:A36">Sites[Site]</f>
        <v>10 Walpole Park South</v>
      </c>
      <c r="B4" s="29" t="str" cm="1">
        <f t="array" ref="B4:B36">Sites[State]</f>
        <v>MA</v>
      </c>
      <c r="C4" s="24">
        <v>10004.8125</v>
      </c>
      <c r="D4" s="13">
        <v>10663.78</v>
      </c>
      <c r="E4" s="13">
        <f t="shared" ref="E4:E33" si="0">IF(AND(ISNUMBER(C4),ISNUMBER(D4)), C4-D4, "")</f>
        <v>-658.96750000000065</v>
      </c>
      <c r="F4" s="14">
        <f t="shared" ref="F4:F13" si="1">IFERROR(E4/D4, "")</f>
        <v>-6.1794926376950818E-2</v>
      </c>
      <c r="G4" s="15">
        <v>9487.9089999999997</v>
      </c>
      <c r="H4" s="15">
        <f t="shared" ref="H4:H17" si="2">IF(AND(ISNUMBER(C4),ISNUMBER(G4)), C4-G4, "")</f>
        <v>516.90350000000035</v>
      </c>
      <c r="I4" s="16">
        <f t="shared" ref="I4:I15" si="3">IFERROR(H4/G4, "")</f>
        <v>5.4480233737486346E-2</v>
      </c>
      <c r="J4" s="40"/>
      <c r="K4" s="40"/>
    </row>
    <row r="5" spans="1:11" ht="15.75">
      <c r="A5" s="50" t="str">
        <v>15 Walpole Park South</v>
      </c>
      <c r="B5" s="31" t="str">
        <v>MA</v>
      </c>
      <c r="C5" s="11">
        <v>37374.75</v>
      </c>
      <c r="D5" s="18">
        <v>41176.83</v>
      </c>
      <c r="E5" s="18">
        <f t="shared" si="0"/>
        <v>-3802.0800000000017</v>
      </c>
      <c r="F5" s="19">
        <f t="shared" si="1"/>
        <v>-9.2335422615096932E-2</v>
      </c>
      <c r="G5" s="20">
        <v>32724.01</v>
      </c>
      <c r="H5" s="20">
        <f t="shared" si="2"/>
        <v>4650.7400000000016</v>
      </c>
      <c r="I5" s="19">
        <f t="shared" si="3"/>
        <v>0.14212011303015742</v>
      </c>
      <c r="J5" s="41"/>
      <c r="K5" s="41"/>
    </row>
    <row r="6" spans="1:11" ht="15.75">
      <c r="A6" s="51" t="str">
        <v>19 Walpole Park South</v>
      </c>
      <c r="B6" s="29" t="str">
        <v>MA</v>
      </c>
      <c r="C6" s="24">
        <v>21676.170624999799</v>
      </c>
      <c r="D6" s="13">
        <v>24933.68</v>
      </c>
      <c r="E6" s="13">
        <f t="shared" si="0"/>
        <v>-3257.5093750002015</v>
      </c>
      <c r="F6" s="14">
        <f t="shared" si="1"/>
        <v>-0.13064695524287637</v>
      </c>
      <c r="G6" s="15">
        <v>20845.28</v>
      </c>
      <c r="H6" s="15">
        <f t="shared" si="2"/>
        <v>830.89062499979991</v>
      </c>
      <c r="I6" s="16">
        <f t="shared" si="3"/>
        <v>3.9859892743095794E-2</v>
      </c>
      <c r="J6" s="40"/>
      <c r="K6" s="40"/>
    </row>
    <row r="7" spans="1:11" ht="15.75">
      <c r="A7" s="50" t="str">
        <v>23 Walpole Park South</v>
      </c>
      <c r="B7" s="31" t="str">
        <v>MA</v>
      </c>
      <c r="C7" s="11">
        <v>31445.5</v>
      </c>
      <c r="D7" s="18">
        <v>31659.040000000001</v>
      </c>
      <c r="E7" s="18">
        <f t="shared" si="0"/>
        <v>-213.54000000000087</v>
      </c>
      <c r="F7" s="19">
        <f t="shared" si="1"/>
        <v>-6.7449928993425215E-3</v>
      </c>
      <c r="G7" s="20">
        <v>26978.49</v>
      </c>
      <c r="H7" s="20">
        <f t="shared" si="2"/>
        <v>4467.0099999999984</v>
      </c>
      <c r="I7" s="19">
        <f t="shared" si="3"/>
        <v>0.16557672427181797</v>
      </c>
      <c r="J7" s="41"/>
      <c r="K7" s="42"/>
    </row>
    <row r="8" spans="1:11" ht="15.75">
      <c r="A8" s="51" t="str">
        <v>24 Walpole Park South</v>
      </c>
      <c r="B8" s="29" t="str">
        <v>MA</v>
      </c>
      <c r="C8" s="24">
        <v>44947</v>
      </c>
      <c r="D8" s="13">
        <v>41665.050000000003</v>
      </c>
      <c r="E8" s="13">
        <f t="shared" si="0"/>
        <v>3281.9499999999971</v>
      </c>
      <c r="F8" s="14">
        <f t="shared" si="1"/>
        <v>7.8769856270423211E-2</v>
      </c>
      <c r="G8" s="15">
        <v>41430.21</v>
      </c>
      <c r="H8" s="15">
        <f t="shared" si="2"/>
        <v>3516.7900000000009</v>
      </c>
      <c r="I8" s="16">
        <f t="shared" si="3"/>
        <v>8.4884677147424578E-2</v>
      </c>
      <c r="J8" s="40" t="s">
        <v>40</v>
      </c>
      <c r="K8" s="40" t="s">
        <v>41</v>
      </c>
    </row>
    <row r="9" spans="1:11" ht="15.75">
      <c r="A9" s="50" t="str">
        <v>25 Walpole Park South</v>
      </c>
      <c r="B9" s="31" t="str">
        <v>MA</v>
      </c>
      <c r="C9" s="11">
        <v>45891</v>
      </c>
      <c r="D9" s="18">
        <v>48624.34</v>
      </c>
      <c r="E9" s="18">
        <f t="shared" si="0"/>
        <v>-2733.3399999999965</v>
      </c>
      <c r="F9" s="19">
        <f t="shared" si="1"/>
        <v>-5.6213410814419211E-2</v>
      </c>
      <c r="G9" s="20">
        <v>42368.25</v>
      </c>
      <c r="H9" s="20">
        <f t="shared" si="2"/>
        <v>3522.75</v>
      </c>
      <c r="I9" s="19">
        <f t="shared" si="3"/>
        <v>8.3145987856472717E-2</v>
      </c>
      <c r="J9" s="41"/>
      <c r="K9" s="42"/>
    </row>
    <row r="10" spans="1:11" ht="15.75">
      <c r="A10" s="51" t="str">
        <v>3 Walpole Park South</v>
      </c>
      <c r="B10" s="29" t="str">
        <v>MA</v>
      </c>
      <c r="C10" s="24">
        <v>52732</v>
      </c>
      <c r="D10" s="13">
        <v>63086.7</v>
      </c>
      <c r="E10" s="13">
        <f t="shared" si="0"/>
        <v>-10354.699999999997</v>
      </c>
      <c r="F10" s="14">
        <f t="shared" si="1"/>
        <v>-0.16413443721101273</v>
      </c>
      <c r="G10" s="15">
        <v>49247.23</v>
      </c>
      <c r="H10" s="15">
        <f t="shared" si="2"/>
        <v>3484.7699999999968</v>
      </c>
      <c r="I10" s="16">
        <f t="shared" si="3"/>
        <v>7.0760731111171052E-2</v>
      </c>
      <c r="J10" s="40"/>
      <c r="K10" s="40"/>
    </row>
    <row r="11" spans="1:11" ht="15.75">
      <c r="A11" s="50" t="str">
        <v>4 Walpole Park South</v>
      </c>
      <c r="B11" s="31" t="str">
        <v>MA</v>
      </c>
      <c r="C11" s="11">
        <v>32263.5</v>
      </c>
      <c r="D11" s="18">
        <v>35638.160000000003</v>
      </c>
      <c r="E11" s="18">
        <f t="shared" si="0"/>
        <v>-3374.6600000000035</v>
      </c>
      <c r="F11" s="19">
        <f t="shared" si="1"/>
        <v>-9.4692318570880285E-2</v>
      </c>
      <c r="G11" s="20">
        <v>28453.96</v>
      </c>
      <c r="H11" s="20">
        <f t="shared" si="2"/>
        <v>3809.5400000000009</v>
      </c>
      <c r="I11" s="19">
        <f t="shared" si="3"/>
        <v>0.13388435212532812</v>
      </c>
      <c r="J11" s="41"/>
      <c r="K11" s="42"/>
    </row>
    <row r="12" spans="1:11" ht="15.75">
      <c r="A12" s="51" t="str">
        <v>Brockton</v>
      </c>
      <c r="B12" s="29" t="str">
        <v>MA</v>
      </c>
      <c r="C12" s="24">
        <v>50932.5</v>
      </c>
      <c r="D12" s="13">
        <v>50100.46</v>
      </c>
      <c r="E12" s="13">
        <f t="shared" si="0"/>
        <v>832.04000000000087</v>
      </c>
      <c r="F12" s="14">
        <f t="shared" si="1"/>
        <v>1.6607432346928568E-2</v>
      </c>
      <c r="G12" s="15">
        <v>45403.86</v>
      </c>
      <c r="H12" s="15">
        <f t="shared" si="2"/>
        <v>5528.6399999999994</v>
      </c>
      <c r="I12" s="16">
        <f t="shared" si="3"/>
        <v>0.12176585867368984</v>
      </c>
      <c r="J12" s="40"/>
      <c r="K12" s="40"/>
    </row>
    <row r="13" spans="1:11" ht="15.75">
      <c r="A13" s="50" t="str">
        <v>Canton</v>
      </c>
      <c r="B13" s="31" t="str">
        <v>MA</v>
      </c>
      <c r="C13" s="11">
        <v>54122.750000000502</v>
      </c>
      <c r="D13" s="18">
        <v>55077.24</v>
      </c>
      <c r="E13" s="18">
        <f t="shared" si="0"/>
        <v>-954.48999999949592</v>
      </c>
      <c r="F13" s="19">
        <f t="shared" si="1"/>
        <v>-1.7330025978053658E-2</v>
      </c>
      <c r="G13" s="20">
        <v>48151.77</v>
      </c>
      <c r="H13" s="20">
        <f t="shared" si="2"/>
        <v>5970.9800000005052</v>
      </c>
      <c r="I13" s="19">
        <f t="shared" si="3"/>
        <v>0.12400333362616796</v>
      </c>
      <c r="J13" s="41" t="s">
        <v>42</v>
      </c>
      <c r="K13" s="42"/>
    </row>
    <row r="14" spans="1:11" ht="15.75">
      <c r="A14" s="51" t="str">
        <v>Chelsea</v>
      </c>
      <c r="B14" s="29" t="str">
        <v>MA</v>
      </c>
      <c r="C14" s="24">
        <v>100779.5</v>
      </c>
      <c r="D14" s="13">
        <v>97636.57</v>
      </c>
      <c r="E14" s="13">
        <f t="shared" si="0"/>
        <v>3142.929999999993</v>
      </c>
      <c r="F14" s="14">
        <f t="shared" ref="F14:F33" si="4">IFERROR(E14/D14, "")</f>
        <v>3.2190090249995397E-2</v>
      </c>
      <c r="G14" s="15">
        <v>77108.570000000007</v>
      </c>
      <c r="H14" s="15">
        <f t="shared" si="2"/>
        <v>23670.929999999993</v>
      </c>
      <c r="I14" s="16">
        <f t="shared" si="3"/>
        <v>0.30698183094304549</v>
      </c>
      <c r="J14" s="40"/>
      <c r="K14" s="40"/>
    </row>
    <row r="15" spans="1:11" ht="15.75">
      <c r="A15" s="50" t="str">
        <v>Hamilton Landfill</v>
      </c>
      <c r="B15" s="31" t="str">
        <v>MA</v>
      </c>
      <c r="C15" s="11">
        <v>81955.266481762621</v>
      </c>
      <c r="D15" s="18">
        <v>92578</v>
      </c>
      <c r="E15" s="18">
        <f t="shared" si="0"/>
        <v>-10622.733518237379</v>
      </c>
      <c r="F15" s="19">
        <f t="shared" si="4"/>
        <v>-0.11474360558920456</v>
      </c>
      <c r="G15" s="20">
        <v>0</v>
      </c>
      <c r="H15" s="20">
        <f t="shared" si="2"/>
        <v>81955.266481762621</v>
      </c>
      <c r="I15" s="19" t="str">
        <f t="shared" si="3"/>
        <v/>
      </c>
      <c r="J15" s="41"/>
      <c r="K15" s="42"/>
    </row>
    <row r="16" spans="1:11" ht="15.75">
      <c r="A16" s="51" t="str">
        <v>Holliston</v>
      </c>
      <c r="B16" s="29" t="str">
        <v>MA</v>
      </c>
      <c r="C16" s="24">
        <v>129951.5</v>
      </c>
      <c r="D16" s="13">
        <v>123734.8</v>
      </c>
      <c r="E16" s="13">
        <f t="shared" si="0"/>
        <v>6216.6999999999971</v>
      </c>
      <c r="F16" s="14">
        <f t="shared" si="4"/>
        <v>5.0242130750605303E-2</v>
      </c>
      <c r="G16" s="15">
        <v>123168</v>
      </c>
      <c r="H16" s="15">
        <f t="shared" si="2"/>
        <v>6783.5</v>
      </c>
      <c r="I16" s="16">
        <f t="shared" ref="I16:I33" si="5">IFERROR(H16/G16, "")</f>
        <v>5.5075181865419591E-2</v>
      </c>
      <c r="J16" s="40"/>
      <c r="K16" s="40"/>
    </row>
    <row r="17" spans="1:11" ht="15.75">
      <c r="A17" s="50" t="str">
        <v>Natick HS - Carports</v>
      </c>
      <c r="B17" s="31" t="str">
        <v>MA</v>
      </c>
      <c r="C17" s="11">
        <v>41947</v>
      </c>
      <c r="D17" s="18">
        <v>54546.6</v>
      </c>
      <c r="E17" s="18">
        <f t="shared" si="0"/>
        <v>-12599.599999999999</v>
      </c>
      <c r="F17" s="19">
        <f t="shared" si="4"/>
        <v>-0.23098781592253229</v>
      </c>
      <c r="G17" s="20">
        <v>0</v>
      </c>
      <c r="H17" s="20">
        <f t="shared" si="2"/>
        <v>41947</v>
      </c>
      <c r="I17" s="19" t="str">
        <f t="shared" si="5"/>
        <v/>
      </c>
      <c r="J17" s="41"/>
      <c r="K17" s="42"/>
    </row>
    <row r="18" spans="1:11" ht="12.75" customHeight="1">
      <c r="A18" s="49" t="str">
        <v>Norton</v>
      </c>
      <c r="B18" s="29" t="str">
        <v>MA</v>
      </c>
      <c r="C18" s="24">
        <v>208382</v>
      </c>
      <c r="D18" s="13">
        <v>259599.2</v>
      </c>
      <c r="E18" s="13">
        <f t="shared" si="0"/>
        <v>-51217.200000000012</v>
      </c>
      <c r="F18" s="14">
        <f t="shared" si="4"/>
        <v>-0.19729336608125145</v>
      </c>
      <c r="G18" s="15">
        <v>233294</v>
      </c>
      <c r="H18" s="15">
        <f t="shared" ref="H18:H33" si="6">IF(AND(ISNUMBER(C18),ISNUMBER(G18)), C18-G18, "")</f>
        <v>-24912</v>
      </c>
      <c r="I18" s="16">
        <f t="shared" si="5"/>
        <v>-0.10678371496909479</v>
      </c>
      <c r="J18" s="40" t="s">
        <v>43</v>
      </c>
      <c r="K18" s="40" t="s">
        <v>44</v>
      </c>
    </row>
    <row r="19" spans="1:11" ht="15.75">
      <c r="A19" s="50" t="str">
        <v>Palmer - Boston Rd.</v>
      </c>
      <c r="B19" s="31" t="str">
        <v>MA</v>
      </c>
      <c r="C19" s="11">
        <v>58605.5</v>
      </c>
      <c r="D19" s="18">
        <v>62468.959999999999</v>
      </c>
      <c r="E19" s="18">
        <f t="shared" si="0"/>
        <v>-3863.4599999999991</v>
      </c>
      <c r="F19" s="19">
        <f t="shared" si="4"/>
        <v>-6.18460752348046E-2</v>
      </c>
      <c r="G19" s="20">
        <v>62743</v>
      </c>
      <c r="H19" s="20">
        <f t="shared" si="6"/>
        <v>-4137.5</v>
      </c>
      <c r="I19" s="19">
        <f t="shared" si="5"/>
        <v>-6.5943611239500821E-2</v>
      </c>
      <c r="J19" s="41"/>
      <c r="K19" s="41"/>
    </row>
    <row r="20" spans="1:11" ht="15.75">
      <c r="A20" s="51" t="str">
        <v>Shirley Bartkus</v>
      </c>
      <c r="B20" s="29" t="str">
        <v>MA</v>
      </c>
      <c r="C20" s="24">
        <v>27056.128820375499</v>
      </c>
      <c r="D20" s="13">
        <v>36741.230000000003</v>
      </c>
      <c r="E20" s="13">
        <f t="shared" si="0"/>
        <v>-9685.1011796245039</v>
      </c>
      <c r="F20" s="14">
        <f t="shared" si="4"/>
        <v>-0.26360307424722862</v>
      </c>
      <c r="G20" s="15">
        <v>77292</v>
      </c>
      <c r="H20" s="15">
        <f t="shared" si="6"/>
        <v>-50235.871179624504</v>
      </c>
      <c r="I20" s="16">
        <f t="shared" si="5"/>
        <v>-0.64994916912001899</v>
      </c>
      <c r="J20" s="40"/>
      <c r="K20" s="40"/>
    </row>
    <row r="21" spans="1:11" ht="28.5">
      <c r="A21" s="50" t="str">
        <v>Stoughton</v>
      </c>
      <c r="B21" s="31" t="str">
        <v>MA</v>
      </c>
      <c r="C21" s="11">
        <v>58669.5</v>
      </c>
      <c r="D21" s="18">
        <v>44175.05</v>
      </c>
      <c r="E21" s="18">
        <f t="shared" si="0"/>
        <v>14494.449999999997</v>
      </c>
      <c r="F21" s="19">
        <f t="shared" si="4"/>
        <v>0.32811394667351812</v>
      </c>
      <c r="G21" s="20">
        <v>49499.519999999997</v>
      </c>
      <c r="H21" s="20">
        <f t="shared" si="6"/>
        <v>9169.9800000000032</v>
      </c>
      <c r="I21" s="19">
        <f t="shared" si="5"/>
        <v>0.18525391761374663</v>
      </c>
      <c r="J21" s="71" t="s">
        <v>45</v>
      </c>
      <c r="K21" s="70" t="s">
        <v>46</v>
      </c>
    </row>
    <row r="22" spans="1:11" ht="15.75">
      <c r="A22" s="51" t="str">
        <v>Wellfleet Landfill</v>
      </c>
      <c r="B22" s="29" t="str">
        <v>MA</v>
      </c>
      <c r="C22" s="24">
        <v>65995</v>
      </c>
      <c r="D22" s="13">
        <v>82038</v>
      </c>
      <c r="E22" s="13">
        <f t="shared" si="0"/>
        <v>-16043</v>
      </c>
      <c r="F22" s="14">
        <f t="shared" si="4"/>
        <v>-0.1955557180818645</v>
      </c>
      <c r="G22" s="15">
        <v>0</v>
      </c>
      <c r="H22" s="15">
        <f t="shared" si="6"/>
        <v>65995</v>
      </c>
      <c r="I22" s="16" t="str">
        <f t="shared" si="5"/>
        <v/>
      </c>
      <c r="J22" s="40"/>
      <c r="K22" s="40"/>
    </row>
    <row r="23" spans="1:11" ht="15.75">
      <c r="A23" s="50" t="str">
        <v>Wilmington Garage &amp; Building 7</v>
      </c>
      <c r="B23" s="31" t="str">
        <v>MA</v>
      </c>
      <c r="C23" s="11">
        <v>92593.62</v>
      </c>
      <c r="D23" s="18">
        <v>97217.95</v>
      </c>
      <c r="E23" s="18">
        <f t="shared" si="0"/>
        <v>-4624.3300000000017</v>
      </c>
      <c r="F23" s="19">
        <f t="shared" si="4"/>
        <v>-4.7566627356367852E-2</v>
      </c>
      <c r="G23" s="20">
        <v>78728.72</v>
      </c>
      <c r="H23" s="20">
        <f t="shared" si="6"/>
        <v>13864.899999999994</v>
      </c>
      <c r="I23" s="19">
        <f t="shared" si="5"/>
        <v>0.1761098110067075</v>
      </c>
      <c r="J23" s="41"/>
      <c r="K23" s="42"/>
    </row>
    <row r="24" spans="1:11" ht="15.75">
      <c r="A24" s="51" t="str">
        <v>Woburn</v>
      </c>
      <c r="B24" s="29" t="str">
        <v>MA</v>
      </c>
      <c r="C24" s="24">
        <v>146359</v>
      </c>
      <c r="D24" s="13">
        <v>163940.79999999999</v>
      </c>
      <c r="E24" s="13">
        <f t="shared" si="0"/>
        <v>-17581.799999999988</v>
      </c>
      <c r="F24" s="14">
        <f t="shared" si="4"/>
        <v>-0.10724481032177463</v>
      </c>
      <c r="G24" s="15">
        <v>112139.6</v>
      </c>
      <c r="H24" s="15">
        <f t="shared" si="6"/>
        <v>34219.399999999994</v>
      </c>
      <c r="I24" s="16">
        <f t="shared" si="5"/>
        <v>0.30515000945250376</v>
      </c>
      <c r="J24" s="40"/>
      <c r="K24" s="40"/>
    </row>
    <row r="25" spans="1:11" ht="15.75">
      <c r="A25" s="50" t="str">
        <v>Friendship Solar 1</v>
      </c>
      <c r="B25" s="31" t="str">
        <v>MD</v>
      </c>
      <c r="C25" s="11">
        <v>322297</v>
      </c>
      <c r="D25" s="18">
        <v>332843.8</v>
      </c>
      <c r="E25" s="18">
        <f t="shared" si="0"/>
        <v>-10546.799999999988</v>
      </c>
      <c r="F25" s="19">
        <f t="shared" si="4"/>
        <v>-3.1686935433377424E-2</v>
      </c>
      <c r="G25" s="20">
        <v>310998.2</v>
      </c>
      <c r="H25" s="20">
        <f t="shared" si="6"/>
        <v>11298.799999999988</v>
      </c>
      <c r="I25" s="19">
        <f t="shared" si="5"/>
        <v>3.63307568982714E-2</v>
      </c>
      <c r="J25" s="41"/>
      <c r="K25" s="42"/>
    </row>
    <row r="26" spans="1:11" ht="15.75">
      <c r="A26" s="51" t="str">
        <v>Friendship Solar 2</v>
      </c>
      <c r="B26" s="29" t="str">
        <v>MD</v>
      </c>
      <c r="C26" s="24">
        <v>322955</v>
      </c>
      <c r="D26" s="13">
        <v>339690.4</v>
      </c>
      <c r="E26" s="13">
        <f t="shared" si="0"/>
        <v>-16735.400000000023</v>
      </c>
      <c r="F26" s="14">
        <f t="shared" si="4"/>
        <v>-4.9266626316198582E-2</v>
      </c>
      <c r="G26" s="15">
        <v>322799.2</v>
      </c>
      <c r="H26" s="15">
        <f t="shared" si="6"/>
        <v>155.79999999998836</v>
      </c>
      <c r="I26" s="16">
        <f t="shared" si="5"/>
        <v>4.8265299294418437E-4</v>
      </c>
      <c r="J26" s="40"/>
      <c r="K26" s="40"/>
    </row>
    <row r="27" spans="1:11" ht="15.75">
      <c r="A27" s="50" t="str">
        <v>101 Carnegie Center</v>
      </c>
      <c r="B27" s="31" t="str">
        <v>NJ</v>
      </c>
      <c r="C27" s="11">
        <v>107727</v>
      </c>
      <c r="D27" s="18">
        <v>136195.6</v>
      </c>
      <c r="E27" s="18">
        <f t="shared" si="0"/>
        <v>-28468.600000000006</v>
      </c>
      <c r="F27" s="19">
        <f t="shared" si="4"/>
        <v>-0.20902731072075753</v>
      </c>
      <c r="G27" s="20">
        <v>0</v>
      </c>
      <c r="H27" s="20">
        <f t="shared" si="6"/>
        <v>107727</v>
      </c>
      <c r="I27" s="19" t="str">
        <f t="shared" si="5"/>
        <v/>
      </c>
      <c r="J27" s="41"/>
      <c r="K27" s="42"/>
    </row>
    <row r="28" spans="1:11" ht="15.75">
      <c r="A28" s="51" t="str">
        <v>302 Carnegie Center</v>
      </c>
      <c r="B28" s="29" t="str">
        <v>NJ</v>
      </c>
      <c r="C28" s="24">
        <v>47965.599999999999</v>
      </c>
      <c r="D28" s="13">
        <v>57063.5</v>
      </c>
      <c r="E28" s="13">
        <f t="shared" si="0"/>
        <v>-9097.9000000000015</v>
      </c>
      <c r="F28" s="14">
        <f t="shared" si="4"/>
        <v>-0.15943466489086722</v>
      </c>
      <c r="G28" s="15">
        <v>0</v>
      </c>
      <c r="H28" s="15">
        <f t="shared" si="6"/>
        <v>47965.599999999999</v>
      </c>
      <c r="I28" s="16" t="str">
        <f t="shared" si="5"/>
        <v/>
      </c>
      <c r="J28" s="40"/>
      <c r="K28" s="40"/>
    </row>
    <row r="29" spans="1:11" ht="15.75">
      <c r="A29" s="50" t="str">
        <v>510 Carnegie Center</v>
      </c>
      <c r="B29" s="31" t="str">
        <v>NJ</v>
      </c>
      <c r="C29" s="11">
        <v>119003</v>
      </c>
      <c r="D29" s="18">
        <v>146361</v>
      </c>
      <c r="E29" s="18">
        <f t="shared" si="0"/>
        <v>-27358</v>
      </c>
      <c r="F29" s="19">
        <f t="shared" si="4"/>
        <v>-0.18692137932919289</v>
      </c>
      <c r="G29" s="20">
        <v>0</v>
      </c>
      <c r="H29" s="20">
        <f t="shared" si="6"/>
        <v>119003</v>
      </c>
      <c r="I29" s="19" t="str">
        <f t="shared" si="5"/>
        <v/>
      </c>
      <c r="J29" s="41"/>
      <c r="K29" s="42"/>
    </row>
    <row r="30" spans="1:11" ht="15.75">
      <c r="A30" s="51" t="str">
        <v>701 Carnegie Center</v>
      </c>
      <c r="B30" s="29" t="str">
        <v>NJ</v>
      </c>
      <c r="C30" s="24">
        <v>90283</v>
      </c>
      <c r="D30" s="13">
        <v>115418</v>
      </c>
      <c r="E30" s="13">
        <f t="shared" si="0"/>
        <v>-25135</v>
      </c>
      <c r="F30" s="14">
        <f t="shared" si="4"/>
        <v>-0.21777365748843336</v>
      </c>
      <c r="G30" s="15">
        <v>0</v>
      </c>
      <c r="H30" s="15">
        <f t="shared" si="6"/>
        <v>90283</v>
      </c>
      <c r="I30" s="16" t="str">
        <f t="shared" si="5"/>
        <v/>
      </c>
      <c r="J30" s="40"/>
      <c r="K30" s="40"/>
    </row>
    <row r="31" spans="1:11" ht="15.75">
      <c r="A31" s="50" t="str">
        <v>Hudson County Correction</v>
      </c>
      <c r="B31" s="31" t="str">
        <v>NJ</v>
      </c>
      <c r="C31" s="11">
        <v>110854.67309634401</v>
      </c>
      <c r="D31" s="18">
        <v>110009.4</v>
      </c>
      <c r="E31" s="18">
        <f t="shared" si="0"/>
        <v>845.27309634401172</v>
      </c>
      <c r="F31" s="19">
        <f t="shared" si="4"/>
        <v>7.6836442735258234E-3</v>
      </c>
      <c r="G31" s="20">
        <v>105210.4</v>
      </c>
      <c r="H31" s="20">
        <f t="shared" si="6"/>
        <v>5644.2730963440117</v>
      </c>
      <c r="I31" s="19">
        <f t="shared" si="5"/>
        <v>5.364748253351391E-2</v>
      </c>
      <c r="J31" s="41"/>
      <c r="K31" s="42"/>
    </row>
    <row r="32" spans="1:11" ht="15.75">
      <c r="A32" s="51" t="str">
        <v>ER Bison Solar</v>
      </c>
      <c r="B32" s="29" t="str">
        <v>PA</v>
      </c>
      <c r="C32" s="24">
        <v>162625</v>
      </c>
      <c r="D32" s="13">
        <v>0</v>
      </c>
      <c r="E32" s="13">
        <f t="shared" si="0"/>
        <v>162625</v>
      </c>
      <c r="F32" s="14" t="str">
        <f t="shared" si="4"/>
        <v/>
      </c>
      <c r="G32" s="15">
        <v>138798</v>
      </c>
      <c r="H32" s="15">
        <f t="shared" si="6"/>
        <v>23827</v>
      </c>
      <c r="I32" s="16">
        <f t="shared" si="5"/>
        <v>0.17166673871381433</v>
      </c>
      <c r="J32" s="40"/>
      <c r="K32" s="40"/>
    </row>
    <row r="33" spans="1:11" ht="15.75">
      <c r="A33" s="50" t="str">
        <v>Danville</v>
      </c>
      <c r="B33" s="31" t="str">
        <v>IL</v>
      </c>
      <c r="C33" s="11">
        <v>286661</v>
      </c>
      <c r="D33" s="18">
        <v>0</v>
      </c>
      <c r="E33" s="18">
        <f t="shared" si="0"/>
        <v>286661</v>
      </c>
      <c r="F33" s="19" t="str">
        <f t="shared" si="4"/>
        <v/>
      </c>
      <c r="G33" s="20">
        <v>0</v>
      </c>
      <c r="H33" s="20">
        <f t="shared" si="6"/>
        <v>286661</v>
      </c>
      <c r="I33" s="19" t="str">
        <f t="shared" si="5"/>
        <v/>
      </c>
      <c r="J33" s="41"/>
      <c r="K33" s="42"/>
    </row>
    <row r="34" spans="1:11" ht="15.75">
      <c r="A34" s="51" t="str">
        <v>Oaks Landfill - ANEM</v>
      </c>
      <c r="B34" s="29" t="str">
        <v>ML</v>
      </c>
      <c r="C34" s="87"/>
      <c r="D34" s="13"/>
      <c r="E34" s="13"/>
      <c r="F34" s="88"/>
      <c r="G34" s="89"/>
      <c r="H34" s="89"/>
      <c r="I34" s="90"/>
      <c r="J34" s="91"/>
      <c r="K34" s="91"/>
    </row>
    <row r="35" spans="1:11" ht="15.75">
      <c r="A35" s="50" t="str">
        <v>Oaks Landfill - CS1</v>
      </c>
      <c r="B35" s="31" t="str">
        <v>ML</v>
      </c>
      <c r="C35" s="92"/>
      <c r="D35" s="18"/>
      <c r="E35" s="18"/>
      <c r="F35" s="93"/>
      <c r="G35" s="83"/>
      <c r="H35" s="83"/>
      <c r="I35" s="93"/>
      <c r="J35" s="41"/>
      <c r="K35" s="42"/>
    </row>
    <row r="36" spans="1:11" ht="15.75">
      <c r="A36" s="51" t="str">
        <v>Oaks Landfill - CS2</v>
      </c>
      <c r="B36" s="29" t="str">
        <v>ML</v>
      </c>
      <c r="C36" s="87"/>
      <c r="D36" s="13"/>
      <c r="E36" s="13"/>
      <c r="F36" s="88"/>
      <c r="G36" s="89"/>
      <c r="H36" s="89"/>
      <c r="I36" s="90"/>
      <c r="J36" s="91"/>
      <c r="K36" s="9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3" priority="1" stopIfTrue="1" operator="lessThanOrEqual">
      <formula>-0.1</formula>
    </cfRule>
    <cfRule type="expression" dxfId="4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zoomScale="80" zoomScaleNormal="80" workbookViewId="0">
      <pane xSplit="2" ySplit="3" topLeftCell="E25" activePane="bottomRight" state="frozen"/>
      <selection pane="bottomRight" activeCell="F38" sqref="F38"/>
      <selection pane="bottomLeft" activeCell="G30" sqref="G30"/>
      <selection pane="topRight" activeCell="G30" sqref="G3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Greenbacker Capital</v>
      </c>
      <c r="B1" s="99"/>
      <c r="C1" s="99"/>
      <c r="D1" s="100" t="s">
        <v>47</v>
      </c>
      <c r="E1" s="100"/>
      <c r="F1" s="100"/>
      <c r="G1" s="98" t="s">
        <v>48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3886716.637484984</v>
      </c>
      <c r="D2" s="5">
        <f>SUM(D4:D100)</f>
        <v>3315526.8</v>
      </c>
      <c r="E2" s="5">
        <f>C2-D2</f>
        <v>571189.83748498419</v>
      </c>
      <c r="F2" s="6">
        <f>IFERROR(E2/D2, 0)</f>
        <v>0.17227724942081127</v>
      </c>
      <c r="G2" s="5">
        <f>SUM(G4:G100)</f>
        <v>3004280.5700000003</v>
      </c>
      <c r="H2" s="7">
        <f>C2-G2</f>
        <v>882436.06748498371</v>
      </c>
      <c r="I2" s="6">
        <f>IFERROR(H2/G2, 0)</f>
        <v>0.29372625056952772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6">Sites[Site]</f>
        <v>10 Walpole Park South</v>
      </c>
      <c r="B4" s="29" t="str" cm="1">
        <f t="array" ref="B4:B36">Sites[State]</f>
        <v>MA</v>
      </c>
      <c r="C4" s="24">
        <v>13795.5625</v>
      </c>
      <c r="D4" s="13">
        <v>12505.45</v>
      </c>
      <c r="E4" s="13">
        <f>IF(AND(ISNUMBER(C4),ISNUMBER(D4)), C4-D4, "")</f>
        <v>1290.1124999999993</v>
      </c>
      <c r="F4" s="14">
        <f>IFERROR(E4/D4, "")</f>
        <v>0.10316402048706758</v>
      </c>
      <c r="G4" s="15">
        <v>14738.99</v>
      </c>
      <c r="H4" s="15">
        <f>IF(AND(ISNUMBER(C4),ISNUMBER(G4)), C4-G4, "")</f>
        <v>-943.42749999999978</v>
      </c>
      <c r="I4" s="16">
        <f>IFERROR(H4/G4, "")</f>
        <v>-6.4008965336159379E-2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50765.75</v>
      </c>
      <c r="D5" s="18">
        <v>48451.57</v>
      </c>
      <c r="E5" s="18">
        <f t="shared" ref="E5:E33" si="0">IF(AND(ISNUMBER(C5),ISNUMBER(D5)), C5-D5, "")</f>
        <v>2314.1800000000003</v>
      </c>
      <c r="F5" s="19">
        <f>IFERROR(E5/D5, "")</f>
        <v>4.7762745355826454E-2</v>
      </c>
      <c r="G5" s="20">
        <v>51542.51</v>
      </c>
      <c r="H5" s="20">
        <f t="shared" ref="H5:H33" si="1">IF(AND(ISNUMBER(C5),ISNUMBER(G5)), C5-G5, "")</f>
        <v>-776.76000000000204</v>
      </c>
      <c r="I5" s="19">
        <f t="shared" ref="I5:I33" si="2">IFERROR(H5/G5, "")</f>
        <v>-1.5070278882421559E-2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31449.454375000205</v>
      </c>
      <c r="D6" s="13">
        <v>29167.38</v>
      </c>
      <c r="E6" s="13">
        <f t="shared" si="0"/>
        <v>2282.0743750002039</v>
      </c>
      <c r="F6" s="14">
        <f t="shared" ref="F6:F33" si="3">IFERROR(E6/D6, "")</f>
        <v>7.8240636457583904E-2</v>
      </c>
      <c r="G6" s="15">
        <v>32813.61</v>
      </c>
      <c r="H6" s="15">
        <f t="shared" si="1"/>
        <v>-1364.1556249997957</v>
      </c>
      <c r="I6" s="16">
        <f t="shared" si="2"/>
        <v>-4.157286031618574E-2</v>
      </c>
      <c r="J6" s="40"/>
      <c r="K6" s="40"/>
    </row>
    <row r="7" spans="1:11" ht="28.5">
      <c r="A7" s="30" t="str">
        <v>23 Walpole Park South</v>
      </c>
      <c r="B7" s="31" t="str">
        <v>MA</v>
      </c>
      <c r="C7" s="11">
        <v>43350</v>
      </c>
      <c r="D7" s="18">
        <v>37112.660000000003</v>
      </c>
      <c r="E7" s="18">
        <f t="shared" si="0"/>
        <v>6237.3399999999965</v>
      </c>
      <c r="F7" s="19">
        <f t="shared" si="3"/>
        <v>0.16806502147784599</v>
      </c>
      <c r="G7" s="20">
        <v>43035.11</v>
      </c>
      <c r="H7" s="20">
        <f t="shared" si="1"/>
        <v>314.88999999999942</v>
      </c>
      <c r="I7" s="19">
        <f t="shared" si="2"/>
        <v>7.3170488003864616E-3</v>
      </c>
      <c r="J7" s="72" t="s">
        <v>49</v>
      </c>
      <c r="K7" s="73" t="s">
        <v>50</v>
      </c>
    </row>
    <row r="8" spans="1:11" ht="15.75">
      <c r="A8" s="28" t="str">
        <v>24 Walpole Park South</v>
      </c>
      <c r="B8" s="29" t="str">
        <v>MA</v>
      </c>
      <c r="C8" s="24">
        <v>63743</v>
      </c>
      <c r="D8" s="13">
        <v>52087.96</v>
      </c>
      <c r="E8" s="13">
        <f t="shared" si="0"/>
        <v>11655.04</v>
      </c>
      <c r="F8" s="14">
        <f t="shared" si="3"/>
        <v>0.22375689122783846</v>
      </c>
      <c r="G8" s="15">
        <v>66261.960000000006</v>
      </c>
      <c r="H8" s="15">
        <f t="shared" si="1"/>
        <v>-2518.9600000000064</v>
      </c>
      <c r="I8" s="16">
        <f t="shared" si="2"/>
        <v>-3.8015174920874757E-2</v>
      </c>
      <c r="J8" s="40"/>
      <c r="K8" s="40"/>
    </row>
    <row r="9" spans="1:11" ht="15.75">
      <c r="A9" s="30" t="str">
        <v>25 Walpole Park South</v>
      </c>
      <c r="B9" s="31" t="str">
        <v>MA</v>
      </c>
      <c r="C9" s="11">
        <v>63904</v>
      </c>
      <c r="D9" s="18">
        <v>58135.71</v>
      </c>
      <c r="E9" s="18">
        <f t="shared" si="0"/>
        <v>5768.2900000000009</v>
      </c>
      <c r="F9" s="19">
        <f t="shared" si="3"/>
        <v>9.9221115558750392E-2</v>
      </c>
      <c r="G9" s="20">
        <v>67228.94</v>
      </c>
      <c r="H9" s="20">
        <f t="shared" si="1"/>
        <v>-3324.9400000000023</v>
      </c>
      <c r="I9" s="19">
        <f t="shared" si="2"/>
        <v>-4.9456974927761799E-2</v>
      </c>
      <c r="J9" s="41"/>
      <c r="K9" s="42"/>
    </row>
    <row r="10" spans="1:11" ht="15.75">
      <c r="A10" s="28" t="str">
        <v>3 Walpole Park South</v>
      </c>
      <c r="B10" s="29" t="str">
        <v>MA</v>
      </c>
      <c r="C10" s="24">
        <v>78101.202499999665</v>
      </c>
      <c r="D10" s="13">
        <v>74536.98</v>
      </c>
      <c r="E10" s="13">
        <f t="shared" si="0"/>
        <v>3564.2224999996688</v>
      </c>
      <c r="F10" s="14">
        <f t="shared" si="3"/>
        <v>4.7818176963967E-2</v>
      </c>
      <c r="G10" s="15">
        <v>78725.149999999994</v>
      </c>
      <c r="H10" s="15">
        <f t="shared" si="1"/>
        <v>-623.94750000032946</v>
      </c>
      <c r="I10" s="16">
        <f t="shared" si="2"/>
        <v>-7.9256438380915055E-3</v>
      </c>
      <c r="J10" s="40" t="s">
        <v>51</v>
      </c>
      <c r="K10" s="40" t="s">
        <v>52</v>
      </c>
    </row>
    <row r="11" spans="1:11" ht="15.75">
      <c r="A11" s="30" t="str">
        <v>4 Walpole Park South</v>
      </c>
      <c r="B11" s="31" t="str">
        <v>MA</v>
      </c>
      <c r="C11" s="11">
        <v>44218.5</v>
      </c>
      <c r="D11" s="18">
        <v>41454.25</v>
      </c>
      <c r="E11" s="18">
        <f t="shared" si="0"/>
        <v>2764.25</v>
      </c>
      <c r="F11" s="19">
        <f t="shared" si="3"/>
        <v>6.6681944553332886E-2</v>
      </c>
      <c r="G11" s="20">
        <v>44666.27</v>
      </c>
      <c r="H11" s="20">
        <f t="shared" si="1"/>
        <v>-447.7699999999968</v>
      </c>
      <c r="I11" s="19">
        <f t="shared" si="2"/>
        <v>-1.0024790518661997E-2</v>
      </c>
      <c r="J11" s="41"/>
      <c r="K11" s="42"/>
    </row>
    <row r="12" spans="1:11" ht="15.75">
      <c r="A12" s="28" t="str">
        <v>Brockton</v>
      </c>
      <c r="B12" s="29" t="str">
        <v>MA</v>
      </c>
      <c r="C12" s="24">
        <v>69705</v>
      </c>
      <c r="D12" s="13">
        <v>61459.27</v>
      </c>
      <c r="E12" s="13">
        <f t="shared" si="0"/>
        <v>8245.7300000000032</v>
      </c>
      <c r="F12" s="14">
        <f t="shared" si="3"/>
        <v>0.13416576539226716</v>
      </c>
      <c r="G12" s="15">
        <v>73083.759999999995</v>
      </c>
      <c r="H12" s="15">
        <f t="shared" si="1"/>
        <v>-3378.7599999999948</v>
      </c>
      <c r="I12" s="16">
        <f t="shared" si="2"/>
        <v>-4.6231337851254439E-2</v>
      </c>
      <c r="J12" s="40"/>
      <c r="K12" s="40"/>
    </row>
    <row r="13" spans="1:11" ht="15.75">
      <c r="A13" s="30" t="str">
        <v>Canton</v>
      </c>
      <c r="B13" s="31" t="str">
        <v>MA</v>
      </c>
      <c r="C13" s="11">
        <v>67688.511224489659</v>
      </c>
      <c r="D13" s="18">
        <v>63572.7</v>
      </c>
      <c r="E13" s="18">
        <f t="shared" si="0"/>
        <v>4115.811224489662</v>
      </c>
      <c r="F13" s="19">
        <f t="shared" si="3"/>
        <v>6.4741803077258978E-2</v>
      </c>
      <c r="G13" s="20">
        <v>69209</v>
      </c>
      <c r="H13" s="20">
        <f t="shared" si="1"/>
        <v>-1520.4887755103409</v>
      </c>
      <c r="I13" s="19">
        <f t="shared" si="2"/>
        <v>-2.1969523840979367E-2</v>
      </c>
      <c r="J13" s="41" t="s">
        <v>53</v>
      </c>
      <c r="K13" s="41" t="s">
        <v>54</v>
      </c>
    </row>
    <row r="14" spans="1:11" ht="15.75">
      <c r="A14" s="28" t="str">
        <v>Chelsea</v>
      </c>
      <c r="B14" s="29" t="str">
        <v>MA</v>
      </c>
      <c r="C14" s="24">
        <v>119463.5</v>
      </c>
      <c r="D14" s="13">
        <v>113528.8</v>
      </c>
      <c r="E14" s="13">
        <f>IF(AND(ISNUMBER(C14),ISNUMBER(D14)), C14-D14, "")</f>
        <v>5934.6999999999971</v>
      </c>
      <c r="F14" s="14">
        <f>IFERROR(E14/D14, "")</f>
        <v>5.2274841273756062E-2</v>
      </c>
      <c r="G14" s="15">
        <v>116445.1</v>
      </c>
      <c r="H14" s="15">
        <f>IF(AND(ISNUMBER(C14),ISNUMBER(G14)), C14-G14, "")</f>
        <v>3018.3999999999942</v>
      </c>
      <c r="I14" s="16">
        <f>IFERROR(H14/G14, "")</f>
        <v>2.5921228115223346E-2</v>
      </c>
      <c r="J14" s="40"/>
      <c r="K14" s="40"/>
    </row>
    <row r="15" spans="1:11" ht="15.75">
      <c r="A15" s="30" t="str">
        <v>Hamilton Landfill</v>
      </c>
      <c r="B15" s="31" t="str">
        <v>MA</v>
      </c>
      <c r="C15" s="11">
        <v>94311</v>
      </c>
      <c r="D15" s="18">
        <v>100982</v>
      </c>
      <c r="E15" s="18">
        <f t="shared" si="0"/>
        <v>-6671</v>
      </c>
      <c r="F15" s="19">
        <f t="shared" si="3"/>
        <v>-6.606127824760849E-2</v>
      </c>
      <c r="G15" s="20">
        <v>0</v>
      </c>
      <c r="H15" s="20">
        <f t="shared" si="1"/>
        <v>94311</v>
      </c>
      <c r="I15" s="19" t="str">
        <f t="shared" si="2"/>
        <v/>
      </c>
      <c r="J15" s="41" t="s">
        <v>55</v>
      </c>
      <c r="K15" s="42"/>
    </row>
    <row r="16" spans="1:11" ht="15.75">
      <c r="A16" s="28" t="str">
        <v>Holliston</v>
      </c>
      <c r="B16" s="29" t="str">
        <v>MA</v>
      </c>
      <c r="C16" s="24">
        <v>168577.99999999907</v>
      </c>
      <c r="D16" s="13">
        <v>169929</v>
      </c>
      <c r="E16" s="13">
        <f t="shared" si="0"/>
        <v>-1351.0000000009313</v>
      </c>
      <c r="F16" s="14">
        <f t="shared" si="3"/>
        <v>-7.9503792760560656E-3</v>
      </c>
      <c r="G16" s="15">
        <v>186094.3</v>
      </c>
      <c r="H16" s="15">
        <f t="shared" si="1"/>
        <v>-17516.30000000092</v>
      </c>
      <c r="I16" s="16">
        <f t="shared" si="2"/>
        <v>-9.4125935077006229E-2</v>
      </c>
      <c r="J16" s="75" t="s">
        <v>56</v>
      </c>
      <c r="K16" s="75" t="s">
        <v>57</v>
      </c>
    </row>
    <row r="17" spans="1:11" ht="15.75">
      <c r="A17" s="30" t="str">
        <v>Natick HS - Carports</v>
      </c>
      <c r="B17" s="31" t="str">
        <v>MA</v>
      </c>
      <c r="C17" s="11">
        <v>58955</v>
      </c>
      <c r="D17" s="18">
        <v>67346</v>
      </c>
      <c r="E17" s="18">
        <f t="shared" si="0"/>
        <v>-8391</v>
      </c>
      <c r="F17" s="19">
        <f t="shared" si="3"/>
        <v>-0.1245953731476257</v>
      </c>
      <c r="G17" s="20">
        <v>0</v>
      </c>
      <c r="H17" s="20">
        <f t="shared" si="1"/>
        <v>58955</v>
      </c>
      <c r="I17" s="19" t="str">
        <f t="shared" si="2"/>
        <v/>
      </c>
      <c r="J17" s="41"/>
      <c r="K17" s="42"/>
    </row>
    <row r="18" spans="1:11" ht="15.75">
      <c r="A18" s="32" t="str">
        <v>Norton</v>
      </c>
      <c r="B18" s="29" t="str">
        <v>MA</v>
      </c>
      <c r="C18" s="24">
        <v>363540</v>
      </c>
      <c r="D18" s="13">
        <v>340343.2</v>
      </c>
      <c r="E18" s="13">
        <f t="shared" si="0"/>
        <v>23196.799999999988</v>
      </c>
      <c r="F18" s="14">
        <f t="shared" si="3"/>
        <v>6.8157083790714751E-2</v>
      </c>
      <c r="G18" s="15">
        <v>391581.6</v>
      </c>
      <c r="H18" s="15">
        <f t="shared" si="1"/>
        <v>-28041.599999999977</v>
      </c>
      <c r="I18" s="16">
        <f t="shared" si="2"/>
        <v>-7.1611127795585844E-2</v>
      </c>
      <c r="J18" s="40" t="s">
        <v>58</v>
      </c>
      <c r="K18" s="40" t="s">
        <v>59</v>
      </c>
    </row>
    <row r="19" spans="1:11" ht="15.75">
      <c r="A19" s="30" t="str">
        <v>Palmer - Boston Rd.</v>
      </c>
      <c r="B19" s="31" t="str">
        <v>MA</v>
      </c>
      <c r="C19" s="11">
        <v>63920</v>
      </c>
      <c r="D19" s="18">
        <v>63679.51</v>
      </c>
      <c r="E19" s="18">
        <f t="shared" si="0"/>
        <v>240.48999999999796</v>
      </c>
      <c r="F19" s="19">
        <f t="shared" si="3"/>
        <v>3.7765680043706047E-3</v>
      </c>
      <c r="G19" s="20">
        <v>69178</v>
      </c>
      <c r="H19" s="20">
        <f t="shared" si="1"/>
        <v>-5258</v>
      </c>
      <c r="I19" s="19">
        <f t="shared" si="2"/>
        <v>-7.600682297840354E-2</v>
      </c>
      <c r="J19" s="41"/>
      <c r="K19" s="41"/>
    </row>
    <row r="20" spans="1:11" ht="15.75">
      <c r="A20" s="28" t="str">
        <v>Shirley Bartkus</v>
      </c>
      <c r="B20" s="29" t="str">
        <v>MA</v>
      </c>
      <c r="C20" s="24">
        <v>49078.5</v>
      </c>
      <c r="D20" s="13">
        <v>44285.39</v>
      </c>
      <c r="E20" s="13">
        <f t="shared" si="0"/>
        <v>4793.1100000000006</v>
      </c>
      <c r="F20" s="14">
        <f t="shared" si="3"/>
        <v>0.10823230866884091</v>
      </c>
      <c r="G20" s="15">
        <v>98185</v>
      </c>
      <c r="H20" s="15">
        <f t="shared" si="1"/>
        <v>-49106.5</v>
      </c>
      <c r="I20" s="16">
        <f t="shared" si="2"/>
        <v>-0.50014258797168609</v>
      </c>
      <c r="J20" s="40" t="s">
        <v>60</v>
      </c>
      <c r="K20" s="40" t="s">
        <v>61</v>
      </c>
    </row>
    <row r="21" spans="1:11" ht="15.75">
      <c r="A21" s="30" t="str">
        <v>Stoughton</v>
      </c>
      <c r="B21" s="31" t="str">
        <v>MA</v>
      </c>
      <c r="C21" s="11">
        <v>81146.0129310349</v>
      </c>
      <c r="D21" s="18">
        <v>47074.77</v>
      </c>
      <c r="E21" s="18">
        <f t="shared" si="0"/>
        <v>34071.242931034903</v>
      </c>
      <c r="F21" s="19">
        <f t="shared" si="3"/>
        <v>0.72376865422889813</v>
      </c>
      <c r="G21" s="20">
        <v>78642.77</v>
      </c>
      <c r="H21" s="20">
        <f t="shared" si="1"/>
        <v>2503.2429310348962</v>
      </c>
      <c r="I21" s="19">
        <f t="shared" si="2"/>
        <v>3.1830553921675137E-2</v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>
        <v>91566</v>
      </c>
      <c r="D22" s="13">
        <v>77465</v>
      </c>
      <c r="E22" s="13">
        <f t="shared" si="0"/>
        <v>14101</v>
      </c>
      <c r="F22" s="14">
        <f t="shared" si="3"/>
        <v>0.18203059446201511</v>
      </c>
      <c r="G22" s="15">
        <v>0</v>
      </c>
      <c r="H22" s="15">
        <f t="shared" si="1"/>
        <v>91566</v>
      </c>
      <c r="I22" s="16" t="str">
        <f t="shared" si="2"/>
        <v/>
      </c>
      <c r="J22" s="40" t="s">
        <v>62</v>
      </c>
      <c r="K22" s="40" t="s">
        <v>63</v>
      </c>
    </row>
    <row r="23" spans="1:11" ht="15.75">
      <c r="A23" s="30" t="str">
        <v>Wilmington Garage &amp; Building 7</v>
      </c>
      <c r="B23" s="31" t="str">
        <v>MA</v>
      </c>
      <c r="C23" s="11">
        <v>116108</v>
      </c>
      <c r="D23" s="18">
        <v>114997.7</v>
      </c>
      <c r="E23" s="18">
        <f t="shared" si="0"/>
        <v>1110.3000000000029</v>
      </c>
      <c r="F23" s="19">
        <f t="shared" si="3"/>
        <v>9.6549757082098411E-3</v>
      </c>
      <c r="G23" s="20">
        <v>115101.6</v>
      </c>
      <c r="H23" s="20">
        <f t="shared" si="1"/>
        <v>1006.3999999999942</v>
      </c>
      <c r="I23" s="19">
        <f t="shared" si="2"/>
        <v>8.7435795853402047E-3</v>
      </c>
      <c r="J23" s="41" t="s">
        <v>64</v>
      </c>
      <c r="K23" s="41" t="s">
        <v>65</v>
      </c>
    </row>
    <row r="24" spans="1:11" ht="15.75">
      <c r="A24" s="28" t="str">
        <v>Woburn</v>
      </c>
      <c r="B24" s="29" t="str">
        <v>MA</v>
      </c>
      <c r="C24" s="24">
        <v>170307.60756972153</v>
      </c>
      <c r="D24" s="13">
        <v>177306.6</v>
      </c>
      <c r="E24" s="13">
        <f t="shared" si="0"/>
        <v>-6998.9924302784784</v>
      </c>
      <c r="F24" s="14">
        <f t="shared" si="3"/>
        <v>-3.9473953199026308E-2</v>
      </c>
      <c r="G24" s="15">
        <v>165239.20000000001</v>
      </c>
      <c r="H24" s="15">
        <f t="shared" si="1"/>
        <v>5068.4075697215158</v>
      </c>
      <c r="I24" s="16">
        <f t="shared" si="2"/>
        <v>3.0673154855031467E-2</v>
      </c>
      <c r="J24" s="40" t="s">
        <v>66</v>
      </c>
      <c r="K24" s="40" t="s">
        <v>67</v>
      </c>
    </row>
    <row r="25" spans="1:11" ht="28.5">
      <c r="A25" s="30" t="str">
        <v>Friendship Solar 1</v>
      </c>
      <c r="B25" s="31" t="str">
        <v>MD</v>
      </c>
      <c r="C25" s="11">
        <v>374354</v>
      </c>
      <c r="D25" s="18">
        <v>396615.6</v>
      </c>
      <c r="E25" s="18">
        <f t="shared" si="0"/>
        <v>-22261.599999999977</v>
      </c>
      <c r="F25" s="19">
        <f t="shared" si="3"/>
        <v>-5.6128906679414468E-2</v>
      </c>
      <c r="G25" s="20">
        <v>439682.5</v>
      </c>
      <c r="H25" s="20">
        <f t="shared" si="1"/>
        <v>-65328.5</v>
      </c>
      <c r="I25" s="19">
        <f t="shared" si="2"/>
        <v>-0.14858107839179407</v>
      </c>
      <c r="J25" s="41" t="s">
        <v>68</v>
      </c>
      <c r="K25" s="72" t="s">
        <v>69</v>
      </c>
    </row>
    <row r="26" spans="1:11" ht="28.5">
      <c r="A26" s="28" t="str">
        <v>Friendship Solar 2</v>
      </c>
      <c r="B26" s="29" t="str">
        <v>MD</v>
      </c>
      <c r="C26" s="24">
        <v>376540</v>
      </c>
      <c r="D26" s="13">
        <v>400544</v>
      </c>
      <c r="E26" s="13">
        <f t="shared" si="0"/>
        <v>-24004</v>
      </c>
      <c r="F26" s="14">
        <f t="shared" si="3"/>
        <v>-5.9928497243748505E-2</v>
      </c>
      <c r="G26" s="15">
        <v>433389.1</v>
      </c>
      <c r="H26" s="15">
        <f t="shared" si="1"/>
        <v>-56849.099999999977</v>
      </c>
      <c r="I26" s="16">
        <f t="shared" si="2"/>
        <v>-0.13117334976814132</v>
      </c>
      <c r="J26" s="40" t="s">
        <v>70</v>
      </c>
      <c r="K26" s="40" t="s">
        <v>71</v>
      </c>
    </row>
    <row r="27" spans="1:11" ht="15.75">
      <c r="A27" s="30" t="str">
        <v>101 Carnegie Center</v>
      </c>
      <c r="B27" s="31" t="str">
        <v>NJ</v>
      </c>
      <c r="C27" s="11">
        <v>157835</v>
      </c>
      <c r="D27" s="18">
        <v>170880</v>
      </c>
      <c r="E27" s="18">
        <f t="shared" si="0"/>
        <v>-13045</v>
      </c>
      <c r="F27" s="19">
        <f t="shared" si="3"/>
        <v>-7.6340121722846446E-2</v>
      </c>
      <c r="G27" s="20">
        <v>0</v>
      </c>
      <c r="H27" s="20">
        <f t="shared" si="1"/>
        <v>157835</v>
      </c>
      <c r="I27" s="19" t="str">
        <f t="shared" si="2"/>
        <v/>
      </c>
      <c r="J27" s="41"/>
      <c r="K27" s="42"/>
    </row>
    <row r="28" spans="1:11" ht="15.75">
      <c r="A28" s="28" t="str">
        <v>302 Carnegie Center</v>
      </c>
      <c r="B28" s="29" t="str">
        <v>NJ</v>
      </c>
      <c r="C28" s="24">
        <v>68012</v>
      </c>
      <c r="D28" s="13">
        <v>72955</v>
      </c>
      <c r="E28" s="13">
        <f t="shared" si="0"/>
        <v>-4943</v>
      </c>
      <c r="F28" s="14">
        <f t="shared" si="3"/>
        <v>-6.7754094990062366E-2</v>
      </c>
      <c r="G28" s="15">
        <v>0</v>
      </c>
      <c r="H28" s="15">
        <f t="shared" si="1"/>
        <v>68012</v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>
        <v>170238</v>
      </c>
      <c r="D29" s="18">
        <v>183976</v>
      </c>
      <c r="E29" s="18">
        <f t="shared" si="0"/>
        <v>-13738</v>
      </c>
      <c r="F29" s="19">
        <f t="shared" si="3"/>
        <v>-7.4672783406531287E-2</v>
      </c>
      <c r="G29" s="20">
        <v>0</v>
      </c>
      <c r="H29" s="20">
        <f t="shared" si="1"/>
        <v>170238</v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>
        <v>132910</v>
      </c>
      <c r="D30" s="13">
        <v>149891</v>
      </c>
      <c r="E30" s="13">
        <f t="shared" si="0"/>
        <v>-16981</v>
      </c>
      <c r="F30" s="14">
        <f t="shared" si="3"/>
        <v>-0.11328898999939957</v>
      </c>
      <c r="G30" s="15">
        <v>0</v>
      </c>
      <c r="H30" s="15">
        <f t="shared" si="1"/>
        <v>132910</v>
      </c>
      <c r="I30" s="16" t="str">
        <f t="shared" si="2"/>
        <v/>
      </c>
      <c r="J30" s="40"/>
      <c r="K30" s="40"/>
    </row>
    <row r="31" spans="1:11" ht="57">
      <c r="A31" s="30" t="str">
        <v>Hudson County Correction</v>
      </c>
      <c r="B31" s="31" t="str">
        <v>NJ</v>
      </c>
      <c r="C31" s="11">
        <v>173643.03638473898</v>
      </c>
      <c r="D31" s="18">
        <v>145243.29999999999</v>
      </c>
      <c r="E31" s="18">
        <f t="shared" si="0"/>
        <v>28399.736384738993</v>
      </c>
      <c r="F31" s="19">
        <f t="shared" si="3"/>
        <v>0.19553216144730254</v>
      </c>
      <c r="G31" s="20">
        <v>173945.1</v>
      </c>
      <c r="H31" s="20">
        <f t="shared" si="1"/>
        <v>-302.0636152610241</v>
      </c>
      <c r="I31" s="19">
        <f t="shared" si="2"/>
        <v>-1.7365456989649269E-3</v>
      </c>
      <c r="J31" s="41" t="s">
        <v>72</v>
      </c>
      <c r="K31" s="74" t="s">
        <v>73</v>
      </c>
    </row>
    <row r="32" spans="1:11" ht="57">
      <c r="A32" s="28" t="str">
        <v>ER Bison Solar</v>
      </c>
      <c r="B32" s="29" t="str">
        <v>PA</v>
      </c>
      <c r="C32" s="24">
        <v>193367</v>
      </c>
      <c r="D32" s="13">
        <v>0</v>
      </c>
      <c r="E32" s="13">
        <f t="shared" si="0"/>
        <v>193367</v>
      </c>
      <c r="F32" s="14" t="str">
        <f t="shared" si="3"/>
        <v/>
      </c>
      <c r="G32" s="15">
        <v>195491</v>
      </c>
      <c r="H32" s="15">
        <f t="shared" si="1"/>
        <v>-2124</v>
      </c>
      <c r="I32" s="16">
        <f t="shared" si="2"/>
        <v>-1.0864950304617604E-2</v>
      </c>
      <c r="J32" s="40" t="s">
        <v>74</v>
      </c>
      <c r="K32" s="40" t="s">
        <v>75</v>
      </c>
    </row>
    <row r="33" spans="1:11" ht="16.5">
      <c r="A33" s="30" t="str">
        <v>Danville</v>
      </c>
      <c r="B33" s="31" t="str">
        <v>IL</v>
      </c>
      <c r="C33" s="11">
        <v>336123</v>
      </c>
      <c r="D33" s="18">
        <v>0</v>
      </c>
      <c r="E33" s="18">
        <f>IF(AND(ISNUMBER(C33),ISNUMBER(D33)), C33-D33, "")</f>
        <v>336123</v>
      </c>
      <c r="F33" s="19" t="str">
        <f>IFERROR(E33/D33, "")</f>
        <v/>
      </c>
      <c r="G33" s="20">
        <v>0</v>
      </c>
      <c r="H33" s="20">
        <f>IF(AND(ISNUMBER(C33),ISNUMBER(G33)), C33-G33, "")</f>
        <v>336123</v>
      </c>
      <c r="I33" s="19" t="str">
        <f>IFERROR(H33/G33, "")</f>
        <v/>
      </c>
      <c r="J33" s="41" t="s">
        <v>76</v>
      </c>
      <c r="K33" s="42" t="s">
        <v>77</v>
      </c>
    </row>
    <row r="34" spans="1:11" ht="15.75">
      <c r="A34" s="28" t="str">
        <v>Oaks Landfill - ANEM</v>
      </c>
      <c r="B34" s="29" t="str">
        <v>ML</v>
      </c>
      <c r="C34" s="87"/>
      <c r="D34" s="13"/>
      <c r="E34" s="13"/>
      <c r="F34" s="88"/>
      <c r="G34" s="89"/>
      <c r="H34" s="89"/>
      <c r="I34" s="90"/>
      <c r="J34" s="91"/>
      <c r="K34" s="91"/>
    </row>
    <row r="35" spans="1:11" ht="15.75">
      <c r="A35" s="30" t="str">
        <v>Oaks Landfill - CS1</v>
      </c>
      <c r="B35" s="31" t="str">
        <v>ML</v>
      </c>
      <c r="C35" s="92"/>
      <c r="D35" s="18"/>
      <c r="E35" s="18"/>
      <c r="F35" s="93"/>
      <c r="G35" s="83"/>
      <c r="H35" s="83"/>
      <c r="I35" s="93"/>
      <c r="J35" s="41"/>
      <c r="K35" s="42"/>
    </row>
    <row r="36" spans="1:11" ht="15.75">
      <c r="A36" s="28" t="str">
        <v>Oaks Landfill - CS2</v>
      </c>
      <c r="B36" s="29" t="str">
        <v>ML</v>
      </c>
      <c r="C36" s="87"/>
      <c r="D36" s="13"/>
      <c r="E36" s="13"/>
      <c r="F36" s="88"/>
      <c r="G36" s="89"/>
      <c r="H36" s="89"/>
      <c r="I36" s="90"/>
      <c r="J36" s="91"/>
      <c r="K36" s="9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1" priority="3" stopIfTrue="1" operator="lessThanOrEqual">
      <formula>-0.1</formula>
    </cfRule>
    <cfRule type="expression" dxfId="4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24" activePane="bottomRight" state="frozen"/>
      <selection pane="bottomRight" activeCell="D41" sqref="D41"/>
      <selection pane="bottomLeft" activeCell="G30" sqref="G30"/>
      <selection pane="topRight" activeCell="G30" sqref="G3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Greenbacker Capital</v>
      </c>
      <c r="B1" s="99"/>
      <c r="C1" s="99"/>
      <c r="D1" s="100" t="s">
        <v>78</v>
      </c>
      <c r="E1" s="100"/>
      <c r="F1" s="100"/>
      <c r="G1" s="98" t="s">
        <v>79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3974120.9401649078</v>
      </c>
      <c r="D2" s="5">
        <f>SUM(D4:D100)</f>
        <v>3410905.017</v>
      </c>
      <c r="E2" s="5">
        <f>C2-D2</f>
        <v>563215.92316490784</v>
      </c>
      <c r="F2" s="6">
        <f>IFERROR(E2/D2, 0)</f>
        <v>0.16512213631216099</v>
      </c>
      <c r="G2" s="5">
        <f>SUM(G4:G100)</f>
        <v>3625289.1499999994</v>
      </c>
      <c r="H2" s="7">
        <f>C2-G2</f>
        <v>348831.79016490839</v>
      </c>
      <c r="I2" s="6">
        <f>IFERROR(H2/G2, 0)</f>
        <v>9.6221784175452171E-2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6">Sites[Site]</f>
        <v>10 Walpole Park South</v>
      </c>
      <c r="B4" s="29" t="str" cm="1">
        <f t="array" ref="B4:B36">Sites[State]</f>
        <v>MA</v>
      </c>
      <c r="C4" s="24">
        <v>16114.8125</v>
      </c>
      <c r="D4" s="13">
        <v>14796.69</v>
      </c>
      <c r="E4" s="13">
        <f>IF(AND(ISNUMBER(C4),ISNUMBER(D4)), C4-D4, "")</f>
        <v>1318.1224999999995</v>
      </c>
      <c r="F4" s="14">
        <f>IFERROR(E4/D4, "")</f>
        <v>8.9082254206852979E-2</v>
      </c>
      <c r="G4" s="15">
        <v>17954.59</v>
      </c>
      <c r="H4" s="15">
        <f>IF(AND(ISNUMBER(C4),ISNUMBER(G4)), C4-G4, "")</f>
        <v>-1839.7775000000001</v>
      </c>
      <c r="I4" s="16">
        <f>IFERROR(H4/G4, "")</f>
        <v>-0.10246836602785138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58626.75</v>
      </c>
      <c r="D5" s="18">
        <v>55434.57</v>
      </c>
      <c r="E5" s="18">
        <f t="shared" ref="E5:E33" si="0">IF(AND(ISNUMBER(C5),ISNUMBER(D5)), C5-D5, "")</f>
        <v>3192.1800000000003</v>
      </c>
      <c r="F5" s="19">
        <f>IFERROR(E5/D5, "")</f>
        <v>5.7584644383459643E-2</v>
      </c>
      <c r="G5" s="20">
        <v>63304.81</v>
      </c>
      <c r="H5" s="20">
        <f t="shared" ref="H5:H33" si="1">IF(AND(ISNUMBER(C5),ISNUMBER(G5)), C5-G5, "")</f>
        <v>-4678.0599999999977</v>
      </c>
      <c r="I5" s="19">
        <f t="shared" ref="I5:I33" si="2">IFERROR(H5/G5, "")</f>
        <v>-7.3897386312351265E-2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37188.75</v>
      </c>
      <c r="D6" s="13">
        <v>34363.120000000003</v>
      </c>
      <c r="E6" s="13">
        <f t="shared" si="0"/>
        <v>2825.6299999999974</v>
      </c>
      <c r="F6" s="14">
        <f t="shared" ref="F6:F33" si="3">IFERROR(E6/D6, "")</f>
        <v>8.2228563646141478E-2</v>
      </c>
      <c r="G6" s="15">
        <v>40259.89</v>
      </c>
      <c r="H6" s="15">
        <f t="shared" si="1"/>
        <v>-3071.1399999999994</v>
      </c>
      <c r="I6" s="16">
        <f t="shared" si="2"/>
        <v>-7.6282871115643872E-2</v>
      </c>
      <c r="J6" s="40"/>
      <c r="K6" s="40"/>
    </row>
    <row r="7" spans="1:11" ht="15.75">
      <c r="A7" s="30" t="str">
        <v>23 Walpole Park South</v>
      </c>
      <c r="B7" s="31" t="str">
        <v>MA</v>
      </c>
      <c r="C7" s="11">
        <v>50682.25</v>
      </c>
      <c r="D7" s="18">
        <v>43350.75</v>
      </c>
      <c r="E7" s="18">
        <f t="shared" si="0"/>
        <v>7331.5</v>
      </c>
      <c r="F7" s="19">
        <f t="shared" si="3"/>
        <v>0.16912048811150904</v>
      </c>
      <c r="G7" s="20">
        <v>52936.25</v>
      </c>
      <c r="H7" s="20">
        <f t="shared" si="1"/>
        <v>-2254</v>
      </c>
      <c r="I7" s="19">
        <f t="shared" si="2"/>
        <v>-4.2579517816241232E-2</v>
      </c>
      <c r="J7" s="41"/>
      <c r="K7" s="42"/>
    </row>
    <row r="8" spans="1:11" ht="15.75">
      <c r="A8" s="28" t="str">
        <v>24 Walpole Park South</v>
      </c>
      <c r="B8" s="29" t="str">
        <v>MA</v>
      </c>
      <c r="C8" s="24">
        <v>72883</v>
      </c>
      <c r="D8" s="13">
        <v>62551.38</v>
      </c>
      <c r="E8" s="13">
        <f t="shared" si="0"/>
        <v>10331.620000000003</v>
      </c>
      <c r="F8" s="14">
        <f t="shared" si="3"/>
        <v>0.16517013693382948</v>
      </c>
      <c r="G8" s="15">
        <v>81454.66</v>
      </c>
      <c r="H8" s="15">
        <f t="shared" si="1"/>
        <v>-8571.6600000000035</v>
      </c>
      <c r="I8" s="16">
        <f t="shared" si="2"/>
        <v>-0.10523228505281347</v>
      </c>
      <c r="J8" s="40" t="s">
        <v>80</v>
      </c>
      <c r="K8" s="40" t="s">
        <v>81</v>
      </c>
    </row>
    <row r="9" spans="1:11" ht="33.75" customHeight="1">
      <c r="A9" s="30" t="str">
        <v>25 Walpole Park South</v>
      </c>
      <c r="B9" s="31" t="str">
        <v>MA</v>
      </c>
      <c r="C9" s="11">
        <v>72574.5</v>
      </c>
      <c r="D9" s="18">
        <v>66839.05</v>
      </c>
      <c r="E9" s="18">
        <f t="shared" si="0"/>
        <v>5735.4499999999971</v>
      </c>
      <c r="F9" s="19">
        <f t="shared" si="3"/>
        <v>8.5809867136052903E-2</v>
      </c>
      <c r="G9" s="20">
        <v>82509.09</v>
      </c>
      <c r="H9" s="20">
        <f t="shared" si="1"/>
        <v>-9934.5899999999965</v>
      </c>
      <c r="I9" s="19">
        <f t="shared" si="2"/>
        <v>-0.12040600617459236</v>
      </c>
      <c r="J9" s="71" t="s">
        <v>82</v>
      </c>
      <c r="K9" s="42" t="s">
        <v>83</v>
      </c>
    </row>
    <row r="10" spans="1:11" ht="15.75">
      <c r="A10" s="28" t="str">
        <v>3 Walpole Park South</v>
      </c>
      <c r="B10" s="29" t="str">
        <v>MA</v>
      </c>
      <c r="C10" s="24">
        <v>94905.797500000306</v>
      </c>
      <c r="D10" s="13">
        <v>87738.4</v>
      </c>
      <c r="E10" s="13">
        <f t="shared" si="0"/>
        <v>7167.397500000312</v>
      </c>
      <c r="F10" s="14">
        <f t="shared" si="3"/>
        <v>8.1690542567454075E-2</v>
      </c>
      <c r="G10" s="15">
        <v>98901.56</v>
      </c>
      <c r="H10" s="15">
        <f t="shared" si="1"/>
        <v>-3995.7624999996915</v>
      </c>
      <c r="I10" s="16">
        <f t="shared" si="2"/>
        <v>-4.0401410250755311E-2</v>
      </c>
      <c r="J10" s="40"/>
      <c r="K10" s="40"/>
    </row>
    <row r="11" spans="1:11" ht="15.75">
      <c r="A11" s="30" t="str">
        <v>4 Walpole Park South</v>
      </c>
      <c r="B11" s="31" t="str">
        <v>MA</v>
      </c>
      <c r="C11" s="11">
        <v>51464.25</v>
      </c>
      <c r="D11" s="18">
        <v>47241.47</v>
      </c>
      <c r="E11" s="18">
        <f t="shared" si="0"/>
        <v>4222.7799999999988</v>
      </c>
      <c r="F11" s="19">
        <f t="shared" si="3"/>
        <v>8.9387142271398393E-2</v>
      </c>
      <c r="G11" s="20">
        <v>54449.55</v>
      </c>
      <c r="H11" s="20">
        <f t="shared" si="1"/>
        <v>-2985.3000000000029</v>
      </c>
      <c r="I11" s="19">
        <f t="shared" si="2"/>
        <v>-5.4826899395862827E-2</v>
      </c>
      <c r="J11" s="41"/>
      <c r="K11" s="42"/>
    </row>
    <row r="12" spans="1:11" ht="28.5">
      <c r="A12" s="28" t="str">
        <v>Brockton</v>
      </c>
      <c r="B12" s="29" t="str">
        <v>MA</v>
      </c>
      <c r="C12" s="24">
        <v>84611.5</v>
      </c>
      <c r="D12" s="13">
        <v>74862.95</v>
      </c>
      <c r="E12" s="13">
        <f t="shared" si="0"/>
        <v>9748.5500000000029</v>
      </c>
      <c r="F12" s="14">
        <f t="shared" si="3"/>
        <v>0.1302186194906827</v>
      </c>
      <c r="G12" s="15">
        <v>90635.83</v>
      </c>
      <c r="H12" s="15">
        <f t="shared" si="1"/>
        <v>-6024.3300000000017</v>
      </c>
      <c r="I12" s="16">
        <f t="shared" si="2"/>
        <v>-6.6467422431062878E-2</v>
      </c>
      <c r="J12" s="40" t="s">
        <v>84</v>
      </c>
      <c r="K12" s="40" t="s">
        <v>85</v>
      </c>
    </row>
    <row r="13" spans="1:11" ht="63">
      <c r="A13" s="30" t="str">
        <v>Canton</v>
      </c>
      <c r="B13" s="31" t="str">
        <v>MA</v>
      </c>
      <c r="C13" s="11">
        <v>45279.988775510297</v>
      </c>
      <c r="D13" s="18">
        <v>43765.15</v>
      </c>
      <c r="E13" s="18">
        <f t="shared" si="0"/>
        <v>1514.8387755102958</v>
      </c>
      <c r="F13" s="19">
        <f t="shared" si="3"/>
        <v>3.4612900344458908E-2</v>
      </c>
      <c r="G13" s="20">
        <v>82505.94</v>
      </c>
      <c r="H13" s="20">
        <f t="shared" si="1"/>
        <v>-37225.951224489705</v>
      </c>
      <c r="I13" s="19">
        <f t="shared" si="2"/>
        <v>-0.45119116544202398</v>
      </c>
      <c r="J13" s="71" t="s">
        <v>86</v>
      </c>
      <c r="K13" s="70" t="s">
        <v>87</v>
      </c>
    </row>
    <row r="14" spans="1:11" ht="15.75">
      <c r="A14" s="28" t="str">
        <v>Chelsea</v>
      </c>
      <c r="B14" s="29" t="str">
        <v>MA</v>
      </c>
      <c r="C14" s="24">
        <v>139486</v>
      </c>
      <c r="D14" s="13">
        <v>134564.20000000001</v>
      </c>
      <c r="E14" s="13">
        <f t="shared" si="0"/>
        <v>4921.7999999999884</v>
      </c>
      <c r="F14" s="14">
        <f t="shared" si="3"/>
        <v>3.6575850040352395E-2</v>
      </c>
      <c r="G14" s="15">
        <v>146687.6</v>
      </c>
      <c r="H14" s="15">
        <f t="shared" si="1"/>
        <v>-7201.6000000000058</v>
      </c>
      <c r="I14" s="16">
        <f t="shared" si="2"/>
        <v>-4.9094811013337222E-2</v>
      </c>
      <c r="J14" s="40" t="s">
        <v>88</v>
      </c>
      <c r="K14" s="40" t="s">
        <v>89</v>
      </c>
    </row>
    <row r="15" spans="1:11" ht="15.75">
      <c r="A15" s="30" t="str">
        <v>Hamilton Landfill</v>
      </c>
      <c r="B15" s="31" t="str">
        <v>MA</v>
      </c>
      <c r="C15" s="11">
        <v>109359.79</v>
      </c>
      <c r="D15" s="18">
        <v>116691.9</v>
      </c>
      <c r="E15" s="18">
        <f t="shared" si="0"/>
        <v>-7332.1100000000006</v>
      </c>
      <c r="F15" s="19">
        <f t="shared" si="3"/>
        <v>-6.2833067248026647E-2</v>
      </c>
      <c r="G15" s="20">
        <v>0</v>
      </c>
      <c r="H15" s="20">
        <f t="shared" si="1"/>
        <v>109359.79</v>
      </c>
      <c r="I15" s="19" t="str">
        <f t="shared" si="2"/>
        <v/>
      </c>
      <c r="J15" s="41"/>
      <c r="K15" s="42"/>
    </row>
    <row r="16" spans="1:11" ht="57">
      <c r="A16" s="28" t="str">
        <v>Holliston</v>
      </c>
      <c r="B16" s="29" t="str">
        <v>MA</v>
      </c>
      <c r="C16" s="24">
        <v>203202.5</v>
      </c>
      <c r="D16" s="13">
        <v>217775.9</v>
      </c>
      <c r="E16" s="13">
        <f t="shared" si="0"/>
        <v>-14573.399999999994</v>
      </c>
      <c r="F16" s="14">
        <f t="shared" si="3"/>
        <v>-6.6919250477210729E-2</v>
      </c>
      <c r="G16" s="15">
        <v>223764.6</v>
      </c>
      <c r="H16" s="15">
        <f t="shared" si="1"/>
        <v>-20562.100000000006</v>
      </c>
      <c r="I16" s="16">
        <f t="shared" si="2"/>
        <v>-9.1891657572288038E-2</v>
      </c>
      <c r="J16" s="40" t="s">
        <v>90</v>
      </c>
      <c r="K16" s="40" t="s">
        <v>91</v>
      </c>
    </row>
    <row r="17" spans="1:11" ht="15.75">
      <c r="A17" s="30" t="str">
        <v>Natick HS - Carports</v>
      </c>
      <c r="B17" s="31" t="str">
        <v>MA</v>
      </c>
      <c r="C17" s="11">
        <v>72728</v>
      </c>
      <c r="D17" s="18">
        <v>80794.899999999994</v>
      </c>
      <c r="E17" s="18">
        <f t="shared" si="0"/>
        <v>-8066.8999999999942</v>
      </c>
      <c r="F17" s="19">
        <f t="shared" si="3"/>
        <v>-9.9844173332722663E-2</v>
      </c>
      <c r="G17" s="20">
        <v>0</v>
      </c>
      <c r="H17" s="20">
        <f t="shared" si="1"/>
        <v>72728</v>
      </c>
      <c r="I17" s="19" t="str">
        <f t="shared" si="2"/>
        <v/>
      </c>
      <c r="J17" s="41"/>
      <c r="K17" s="42"/>
    </row>
    <row r="18" spans="1:11" ht="15.75">
      <c r="A18" s="32" t="str">
        <v>Norton</v>
      </c>
      <c r="B18" s="29" t="str">
        <v>MA</v>
      </c>
      <c r="C18" s="24">
        <v>8585</v>
      </c>
      <c r="D18" s="13">
        <v>8582.607</v>
      </c>
      <c r="E18" s="13">
        <f t="shared" si="0"/>
        <v>2.3930000000000291</v>
      </c>
      <c r="F18" s="14">
        <f t="shared" si="3"/>
        <v>2.7881971060774764E-4</v>
      </c>
      <c r="G18" s="15">
        <v>497513.2</v>
      </c>
      <c r="H18" s="15">
        <f t="shared" si="1"/>
        <v>-488928.2</v>
      </c>
      <c r="I18" s="16">
        <f t="shared" si="2"/>
        <v>-0.98274417643592171</v>
      </c>
      <c r="J18" s="40" t="s">
        <v>92</v>
      </c>
      <c r="K18" s="40" t="s">
        <v>93</v>
      </c>
    </row>
    <row r="19" spans="1:11" ht="15.75">
      <c r="A19" s="30" t="str">
        <v>Palmer - Boston Rd.</v>
      </c>
      <c r="B19" s="31" t="str">
        <v>MA</v>
      </c>
      <c r="C19" s="11">
        <v>67555</v>
      </c>
      <c r="D19" s="18">
        <v>61426.2</v>
      </c>
      <c r="E19" s="18">
        <f t="shared" si="0"/>
        <v>6128.8000000000029</v>
      </c>
      <c r="F19" s="19">
        <f t="shared" si="3"/>
        <v>9.9775014570329973E-2</v>
      </c>
      <c r="G19" s="20">
        <v>75993</v>
      </c>
      <c r="H19" s="20">
        <f t="shared" si="1"/>
        <v>-8438</v>
      </c>
      <c r="I19" s="19">
        <f t="shared" si="2"/>
        <v>-0.11103654283947206</v>
      </c>
      <c r="J19" s="41"/>
      <c r="K19" s="41"/>
    </row>
    <row r="20" spans="1:11" ht="28.5">
      <c r="A20" s="28" t="str">
        <v>Shirley Bartkus</v>
      </c>
      <c r="B20" s="29" t="str">
        <v>MA</v>
      </c>
      <c r="C20" s="24">
        <v>122856.5</v>
      </c>
      <c r="D20" s="13">
        <v>103482.6</v>
      </c>
      <c r="E20" s="13">
        <f t="shared" si="0"/>
        <v>19373.899999999994</v>
      </c>
      <c r="F20" s="14">
        <f t="shared" si="3"/>
        <v>0.18721891409763566</v>
      </c>
      <c r="G20" s="15">
        <v>124491</v>
      </c>
      <c r="H20" s="15">
        <f t="shared" si="1"/>
        <v>-1634.5</v>
      </c>
      <c r="I20" s="16">
        <f t="shared" si="2"/>
        <v>-1.312946317404471E-2</v>
      </c>
      <c r="J20" s="40" t="s">
        <v>94</v>
      </c>
      <c r="K20" s="40" t="s">
        <v>95</v>
      </c>
    </row>
    <row r="21" spans="1:11" ht="15.75">
      <c r="A21" s="30" t="str">
        <v>Stoughton</v>
      </c>
      <c r="B21" s="31" t="str">
        <v>MA</v>
      </c>
      <c r="C21" s="11">
        <v>97464.4870689651</v>
      </c>
      <c r="D21" s="18">
        <v>52017.09</v>
      </c>
      <c r="E21" s="18">
        <f t="shared" si="0"/>
        <v>45447.397068965103</v>
      </c>
      <c r="F21" s="19">
        <f t="shared" si="3"/>
        <v>0.87370125989295266</v>
      </c>
      <c r="G21" s="20">
        <v>99111.88</v>
      </c>
      <c r="H21" s="20">
        <f t="shared" si="1"/>
        <v>-1647.3929310349049</v>
      </c>
      <c r="I21" s="19">
        <f t="shared" si="2"/>
        <v>-1.6621548607845042E-2</v>
      </c>
      <c r="J21" s="41"/>
      <c r="K21" s="42"/>
    </row>
    <row r="22" spans="1:11" ht="31.5" customHeight="1">
      <c r="A22" s="28" t="str">
        <v>Wellfleet Landfill</v>
      </c>
      <c r="B22" s="29" t="str">
        <v>MA</v>
      </c>
      <c r="C22" s="24">
        <v>118025.8</v>
      </c>
      <c r="D22" s="13">
        <v>105212.8</v>
      </c>
      <c r="E22" s="13">
        <f t="shared" si="0"/>
        <v>12813</v>
      </c>
      <c r="F22" s="14">
        <f t="shared" si="3"/>
        <v>0.12178176039417257</v>
      </c>
      <c r="G22" s="15">
        <v>0</v>
      </c>
      <c r="H22" s="15">
        <f t="shared" si="1"/>
        <v>118025.8</v>
      </c>
      <c r="I22" s="16" t="str">
        <f t="shared" si="2"/>
        <v/>
      </c>
      <c r="J22" s="40" t="s">
        <v>96</v>
      </c>
      <c r="K22" s="40" t="s">
        <v>97</v>
      </c>
    </row>
    <row r="23" spans="1:11" ht="15.75">
      <c r="A23" s="30" t="str">
        <v>Wilmington Garage &amp; Building 7</v>
      </c>
      <c r="B23" s="31" t="str">
        <v>MA</v>
      </c>
      <c r="C23" s="11">
        <v>142289.125</v>
      </c>
      <c r="D23" s="18">
        <v>140358.39999999999</v>
      </c>
      <c r="E23" s="18">
        <f t="shared" si="0"/>
        <v>1930.7250000000058</v>
      </c>
      <c r="F23" s="19">
        <f t="shared" si="3"/>
        <v>1.3755678320642055E-2</v>
      </c>
      <c r="G23" s="20">
        <v>142807.70000000001</v>
      </c>
      <c r="H23" s="20">
        <f t="shared" si="1"/>
        <v>-518.57500000001164</v>
      </c>
      <c r="I23" s="19">
        <f t="shared" si="2"/>
        <v>-3.6312817866264325E-3</v>
      </c>
      <c r="J23" s="41"/>
      <c r="K23" s="42"/>
    </row>
    <row r="24" spans="1:11" ht="28.5">
      <c r="A24" s="28" t="str">
        <v>Woburn</v>
      </c>
      <c r="B24" s="29" t="str">
        <v>MA</v>
      </c>
      <c r="C24" s="24">
        <v>202155.89243027801</v>
      </c>
      <c r="D24" s="13">
        <v>200972.2</v>
      </c>
      <c r="E24" s="13">
        <f t="shared" si="0"/>
        <v>1183.6924302779953</v>
      </c>
      <c r="F24" s="14">
        <f t="shared" si="3"/>
        <v>5.8898316795954623E-3</v>
      </c>
      <c r="G24" s="15">
        <v>201468.7</v>
      </c>
      <c r="H24" s="15">
        <f t="shared" si="1"/>
        <v>687.1924302779953</v>
      </c>
      <c r="I24" s="16">
        <f t="shared" si="2"/>
        <v>3.410914103669678E-3</v>
      </c>
      <c r="J24" s="40" t="s">
        <v>98</v>
      </c>
      <c r="K24" s="40" t="s">
        <v>99</v>
      </c>
    </row>
    <row r="25" spans="1:11" ht="15.75">
      <c r="A25" s="30" t="str">
        <v>Friendship Solar 1</v>
      </c>
      <c r="B25" s="31" t="str">
        <v>MD</v>
      </c>
      <c r="C25" s="11">
        <v>393254</v>
      </c>
      <c r="D25" s="18">
        <v>412712.7</v>
      </c>
      <c r="E25" s="18">
        <f t="shared" si="0"/>
        <v>-19458.700000000012</v>
      </c>
      <c r="F25" s="19">
        <f t="shared" si="3"/>
        <v>-4.7148294685382862E-2</v>
      </c>
      <c r="G25" s="20">
        <v>516949.9</v>
      </c>
      <c r="H25" s="20">
        <f t="shared" si="1"/>
        <v>-123695.90000000002</v>
      </c>
      <c r="I25" s="19">
        <f t="shared" si="2"/>
        <v>-0.23928024746692092</v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>
        <v>394264</v>
      </c>
      <c r="D26" s="13">
        <v>413111.8</v>
      </c>
      <c r="E26" s="13">
        <f t="shared" si="0"/>
        <v>-18847.799999999988</v>
      </c>
      <c r="F26" s="14">
        <f t="shared" si="3"/>
        <v>-4.5623969104731425E-2</v>
      </c>
      <c r="G26" s="15">
        <v>503238.6</v>
      </c>
      <c r="H26" s="15">
        <f t="shared" si="1"/>
        <v>-108974.59999999998</v>
      </c>
      <c r="I26" s="16">
        <f t="shared" si="2"/>
        <v>-0.21654658446311548</v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>
        <v>176267.28</v>
      </c>
      <c r="D27" s="18">
        <v>199303.32</v>
      </c>
      <c r="E27" s="18">
        <f t="shared" si="0"/>
        <v>-23036.040000000008</v>
      </c>
      <c r="F27" s="19">
        <f t="shared" si="3"/>
        <v>-0.1155828211993659</v>
      </c>
      <c r="G27" s="20">
        <v>0</v>
      </c>
      <c r="H27" s="20">
        <f t="shared" si="1"/>
        <v>176267.28</v>
      </c>
      <c r="I27" s="19" t="str">
        <f t="shared" si="2"/>
        <v/>
      </c>
      <c r="J27" s="41" t="s">
        <v>100</v>
      </c>
      <c r="K27" s="42" t="s">
        <v>101</v>
      </c>
    </row>
    <row r="28" spans="1:11" ht="15.75">
      <c r="A28" s="28" t="str">
        <v>302 Carnegie Center</v>
      </c>
      <c r="B28" s="29" t="str">
        <v>NJ</v>
      </c>
      <c r="C28" s="24">
        <v>75863.199999999997</v>
      </c>
      <c r="D28" s="13">
        <v>80034.5</v>
      </c>
      <c r="E28" s="13">
        <f t="shared" si="0"/>
        <v>-4171.3000000000029</v>
      </c>
      <c r="F28" s="14">
        <f t="shared" si="3"/>
        <v>-5.2118773778807928E-2</v>
      </c>
      <c r="G28" s="15">
        <v>0</v>
      </c>
      <c r="H28" s="15">
        <f t="shared" si="1"/>
        <v>75863.199999999997</v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>
        <v>191960</v>
      </c>
      <c r="D29" s="18">
        <v>208228.6</v>
      </c>
      <c r="E29" s="18">
        <f t="shared" si="0"/>
        <v>-16268.600000000006</v>
      </c>
      <c r="F29" s="19">
        <f t="shared" si="3"/>
        <v>-7.8128556788068529E-2</v>
      </c>
      <c r="G29" s="20">
        <v>0</v>
      </c>
      <c r="H29" s="20">
        <f t="shared" si="1"/>
        <v>191960</v>
      </c>
      <c r="I29" s="19" t="str">
        <f t="shared" si="2"/>
        <v/>
      </c>
      <c r="J29" s="41" t="s">
        <v>102</v>
      </c>
      <c r="K29" s="42" t="s">
        <v>103</v>
      </c>
    </row>
    <row r="30" spans="1:11" ht="15.75">
      <c r="A30" s="28" t="str">
        <v>701 Carnegie Center</v>
      </c>
      <c r="B30" s="29" t="str">
        <v>NJ</v>
      </c>
      <c r="C30" s="24">
        <v>150226.1</v>
      </c>
      <c r="D30" s="13">
        <v>170131.47</v>
      </c>
      <c r="E30" s="13">
        <f t="shared" si="0"/>
        <v>-19905.369999999995</v>
      </c>
      <c r="F30" s="14">
        <f t="shared" si="3"/>
        <v>-0.11699992952509018</v>
      </c>
      <c r="G30" s="15">
        <v>0</v>
      </c>
      <c r="H30" s="15">
        <f t="shared" si="1"/>
        <v>150226.1</v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>
        <v>202450.28689015401</v>
      </c>
      <c r="D31" s="18">
        <v>174560.3</v>
      </c>
      <c r="E31" s="18">
        <f t="shared" si="0"/>
        <v>27889.986890154018</v>
      </c>
      <c r="F31" s="19">
        <f t="shared" si="3"/>
        <v>0.15977279421583268</v>
      </c>
      <c r="G31" s="20">
        <v>212251.8</v>
      </c>
      <c r="H31" s="20">
        <f t="shared" si="1"/>
        <v>-9801.5131098459824</v>
      </c>
      <c r="I31" s="19">
        <f t="shared" si="2"/>
        <v>-4.617870430237097E-2</v>
      </c>
      <c r="J31" s="41" t="s">
        <v>104</v>
      </c>
      <c r="K31" s="41" t="s">
        <v>105</v>
      </c>
    </row>
    <row r="32" spans="1:11" ht="42.75">
      <c r="A32" s="28" t="str">
        <v>ER Bison Solar</v>
      </c>
      <c r="B32" s="29" t="str">
        <v>PA</v>
      </c>
      <c r="C32" s="24">
        <v>195894</v>
      </c>
      <c r="D32" s="13">
        <v>0</v>
      </c>
      <c r="E32" s="13">
        <f t="shared" si="0"/>
        <v>195894</v>
      </c>
      <c r="F32" s="14" t="str">
        <f t="shared" si="3"/>
        <v/>
      </c>
      <c r="G32" s="15">
        <v>216099</v>
      </c>
      <c r="H32" s="15">
        <f t="shared" si="1"/>
        <v>-20205</v>
      </c>
      <c r="I32" s="16">
        <f t="shared" si="2"/>
        <v>-9.3498813044021495E-2</v>
      </c>
      <c r="J32" s="40" t="s">
        <v>106</v>
      </c>
      <c r="K32" s="40" t="s">
        <v>107</v>
      </c>
    </row>
    <row r="33" spans="1:11" ht="15.75">
      <c r="A33" s="30" t="str">
        <v>Danville</v>
      </c>
      <c r="B33" s="31" t="str">
        <v>IL</v>
      </c>
      <c r="C33" s="92">
        <v>325902.38</v>
      </c>
      <c r="D33" s="18">
        <v>0</v>
      </c>
      <c r="E33" s="18">
        <f t="shared" si="0"/>
        <v>325902.38</v>
      </c>
      <c r="F33" s="93" t="str">
        <f t="shared" si="3"/>
        <v/>
      </c>
      <c r="G33" s="83">
        <v>0</v>
      </c>
      <c r="H33" s="83">
        <f t="shared" si="1"/>
        <v>325902.38</v>
      </c>
      <c r="I33" s="93" t="str">
        <f t="shared" si="2"/>
        <v/>
      </c>
      <c r="J33" s="41"/>
      <c r="K33" s="41"/>
    </row>
    <row r="34" spans="1:11" ht="15.75">
      <c r="A34" s="28" t="str">
        <v>Oaks Landfill - ANEM</v>
      </c>
      <c r="B34" s="29" t="str">
        <v>ML</v>
      </c>
      <c r="C34" s="87"/>
      <c r="D34" s="13"/>
      <c r="E34" s="13"/>
      <c r="F34" s="88"/>
      <c r="G34" s="89"/>
      <c r="H34" s="89"/>
      <c r="I34" s="90"/>
      <c r="J34" s="91"/>
      <c r="K34" s="91"/>
    </row>
    <row r="35" spans="1:11" ht="15.75">
      <c r="A35" s="30" t="str">
        <v>Oaks Landfill - CS1</v>
      </c>
      <c r="B35" s="31" t="str">
        <v>ML</v>
      </c>
      <c r="C35" s="92"/>
      <c r="D35" s="18"/>
      <c r="E35" s="18"/>
      <c r="F35" s="93"/>
      <c r="G35" s="83"/>
      <c r="H35" s="83"/>
      <c r="I35" s="93"/>
      <c r="J35" s="41"/>
      <c r="K35" s="42"/>
    </row>
    <row r="36" spans="1:11" ht="15.75">
      <c r="A36" s="28" t="str">
        <v>Oaks Landfill - CS2</v>
      </c>
      <c r="B36" s="29" t="str">
        <v>ML</v>
      </c>
      <c r="C36" s="87"/>
      <c r="D36" s="13"/>
      <c r="E36" s="13"/>
      <c r="F36" s="88"/>
      <c r="G36" s="89"/>
      <c r="H36" s="89"/>
      <c r="I36" s="90"/>
      <c r="J36" s="91"/>
      <c r="K36" s="9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9" priority="3" stopIfTrue="1" operator="lessThanOrEqual">
      <formula>-0.1</formula>
    </cfRule>
    <cfRule type="expression" dxfId="38" priority="4">
      <formula>AND(ISNUMBER(F2), F2&gt;=0.1)</formula>
    </cfRule>
  </conditionalFormatting>
  <conditionalFormatting sqref="F4:F100 I4:I100">
    <cfRule type="cellIs" dxfId="37" priority="1" stopIfTrue="1" operator="lessThanOrEqual">
      <formula>-0.1</formula>
    </cfRule>
    <cfRule type="expression" dxfId="3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zoomScale="80" zoomScaleNormal="80" workbookViewId="0">
      <pane xSplit="2" ySplit="3" topLeftCell="C29" activePane="bottomRight" state="frozen"/>
      <selection pane="bottomRight" activeCell="F36" sqref="F36"/>
      <selection pane="bottomLeft" activeCell="G30" sqref="G30"/>
      <selection pane="topRight" activeCell="G30" sqref="G3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Greenbacker Capital</v>
      </c>
      <c r="B1" s="99"/>
      <c r="C1" s="99"/>
      <c r="D1" s="100" t="s">
        <v>108</v>
      </c>
      <c r="E1" s="100"/>
      <c r="F1" s="100"/>
      <c r="G1" s="98" t="s">
        <v>109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6011845.1346098464</v>
      </c>
      <c r="D2" s="5">
        <f>SUM(D4:D100)</f>
        <v>5568570.2329999991</v>
      </c>
      <c r="E2" s="5">
        <f>C2-D2</f>
        <v>443274.90160984732</v>
      </c>
      <c r="F2" s="6">
        <f>IFERROR(E2/D2, 0)</f>
        <v>7.9603000961171025E-2</v>
      </c>
      <c r="G2" s="5">
        <f>SUM(G4:G100)</f>
        <v>6372815.6499999994</v>
      </c>
      <c r="H2" s="7">
        <f>C2-G2</f>
        <v>-360970.51539015304</v>
      </c>
      <c r="I2" s="6">
        <f>IFERROR(H2/G2, 0)</f>
        <v>-5.6642234016317898E-2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6">Sites[Site]</f>
        <v>10 Walpole Park South</v>
      </c>
      <c r="B4" s="29" t="str" cm="1">
        <f t="array" ref="B4:B36">Sites[State]</f>
        <v>MA</v>
      </c>
      <c r="C4" s="24">
        <v>18870.1875</v>
      </c>
      <c r="D4" s="13">
        <v>17653.89</v>
      </c>
      <c r="E4" s="13">
        <f>IF(AND(ISNUMBER(C4),ISNUMBER(D4)), C4-D4, "")</f>
        <v>1216.2975000000006</v>
      </c>
      <c r="F4" s="14">
        <f>IFERROR(E4/D4, "")</f>
        <v>6.8896855027418921E-2</v>
      </c>
      <c r="G4" s="15">
        <v>20152.78</v>
      </c>
      <c r="H4" s="15">
        <f>IF(AND(ISNUMBER(C4),ISNUMBER(G4)), C4-G4, "")</f>
        <v>-1282.5924999999988</v>
      </c>
      <c r="I4" s="16">
        <f>IFERROR(H4/G4, "")</f>
        <v>-6.3643452665091318E-2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68494.5</v>
      </c>
      <c r="D5" s="18">
        <v>65531.46</v>
      </c>
      <c r="E5" s="18">
        <f t="shared" ref="E5:E36" si="0">IF(AND(ISNUMBER(C5),ISNUMBER(D5)), C5-D5, "")</f>
        <v>2963.0400000000009</v>
      </c>
      <c r="F5" s="19">
        <f>IFERROR(E5/D5, "")</f>
        <v>4.5215534645496998E-2</v>
      </c>
      <c r="G5" s="20">
        <v>71515.53</v>
      </c>
      <c r="H5" s="20">
        <f t="shared" ref="H5:H36" si="1">IF(AND(ISNUMBER(C5),ISNUMBER(G5)), C5-G5, "")</f>
        <v>-3021.0299999999988</v>
      </c>
      <c r="I5" s="19">
        <f t="shared" ref="I5:I36" si="2">IFERROR(H5/G5, "")</f>
        <v>-4.2242992536026772E-2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43511.625</v>
      </c>
      <c r="D6" s="13">
        <v>40299.69</v>
      </c>
      <c r="E6" s="13">
        <f t="shared" si="0"/>
        <v>3211.9349999999977</v>
      </c>
      <c r="F6" s="14">
        <f t="shared" ref="F6:F34" si="3">IFERROR(E6/D6, "")</f>
        <v>7.9701233433805502E-2</v>
      </c>
      <c r="G6" s="15">
        <v>45357.919999999998</v>
      </c>
      <c r="H6" s="15">
        <f t="shared" si="1"/>
        <v>-1846.2949999999983</v>
      </c>
      <c r="I6" s="16">
        <f t="shared" si="2"/>
        <v>-4.0705019101404963E-2</v>
      </c>
      <c r="J6" s="40"/>
      <c r="K6" s="40"/>
    </row>
    <row r="7" spans="1:11" ht="15.75">
      <c r="A7" s="30" t="str">
        <v>23 Walpole Park South</v>
      </c>
      <c r="B7" s="31" t="str">
        <v>MA</v>
      </c>
      <c r="C7" s="11">
        <v>59620.5</v>
      </c>
      <c r="D7" s="18">
        <v>52342.5</v>
      </c>
      <c r="E7" s="18">
        <f t="shared" si="0"/>
        <v>7278</v>
      </c>
      <c r="F7" s="19">
        <f t="shared" si="3"/>
        <v>0.13904570855423412</v>
      </c>
      <c r="G7" s="20">
        <v>59960.62</v>
      </c>
      <c r="H7" s="20">
        <f t="shared" si="1"/>
        <v>-340.12000000000262</v>
      </c>
      <c r="I7" s="19">
        <f t="shared" si="2"/>
        <v>-5.6723896450704249E-3</v>
      </c>
      <c r="J7" s="41"/>
      <c r="K7" s="42"/>
    </row>
    <row r="8" spans="1:11" ht="15.75">
      <c r="A8" s="28" t="str">
        <v>24 Walpole Park South</v>
      </c>
      <c r="B8" s="29" t="str">
        <v>MA</v>
      </c>
      <c r="C8" s="24">
        <v>84188.5</v>
      </c>
      <c r="D8" s="13">
        <v>74470.679999999993</v>
      </c>
      <c r="E8" s="13">
        <f t="shared" si="0"/>
        <v>9717.820000000007</v>
      </c>
      <c r="F8" s="14">
        <f t="shared" si="3"/>
        <v>0.13049189291678293</v>
      </c>
      <c r="G8" s="15">
        <v>92156.27</v>
      </c>
      <c r="H8" s="15">
        <f t="shared" si="1"/>
        <v>-7967.7700000000041</v>
      </c>
      <c r="I8" s="16">
        <f t="shared" si="2"/>
        <v>-8.6459336950160892E-2</v>
      </c>
      <c r="J8" s="40" t="s">
        <v>110</v>
      </c>
      <c r="K8" s="40" t="s">
        <v>111</v>
      </c>
    </row>
    <row r="9" spans="1:11" ht="15.75">
      <c r="A9" s="30" t="str">
        <v>25 Walpole Park South</v>
      </c>
      <c r="B9" s="31" t="str">
        <v>MA</v>
      </c>
      <c r="C9" s="11">
        <v>88315</v>
      </c>
      <c r="D9" s="18">
        <v>79615.64</v>
      </c>
      <c r="E9" s="18">
        <f t="shared" si="0"/>
        <v>8699.36</v>
      </c>
      <c r="F9" s="19">
        <f t="shared" si="3"/>
        <v>0.10926697317260781</v>
      </c>
      <c r="G9" s="20">
        <v>93376.17</v>
      </c>
      <c r="H9" s="20">
        <f t="shared" si="1"/>
        <v>-5061.1699999999983</v>
      </c>
      <c r="I9" s="19">
        <f t="shared" si="2"/>
        <v>-5.4201944671750817E-2</v>
      </c>
      <c r="J9" s="41"/>
      <c r="K9" s="42"/>
    </row>
    <row r="10" spans="1:11" ht="28.5">
      <c r="A10" s="28" t="str">
        <v>3 Walpole Park South</v>
      </c>
      <c r="B10" s="29" t="str">
        <v>MA</v>
      </c>
      <c r="C10" s="24">
        <v>111481.5</v>
      </c>
      <c r="D10" s="13">
        <v>100346.7</v>
      </c>
      <c r="E10" s="13">
        <f t="shared" si="0"/>
        <v>11134.800000000003</v>
      </c>
      <c r="F10" s="14">
        <f t="shared" si="3"/>
        <v>0.11096329027262485</v>
      </c>
      <c r="G10" s="15">
        <v>111938.2</v>
      </c>
      <c r="H10" s="15">
        <f t="shared" si="1"/>
        <v>-456.69999999999709</v>
      </c>
      <c r="I10" s="16">
        <f t="shared" si="2"/>
        <v>-4.079929818417637E-3</v>
      </c>
      <c r="J10" s="40" t="s">
        <v>112</v>
      </c>
      <c r="K10" s="40" t="s">
        <v>113</v>
      </c>
    </row>
    <row r="11" spans="1:11" ht="15.75">
      <c r="A11" s="30" t="str">
        <v>4 Walpole Park South</v>
      </c>
      <c r="B11" s="31" t="str">
        <v>MA</v>
      </c>
      <c r="C11" s="11">
        <v>60084</v>
      </c>
      <c r="D11" s="18">
        <v>55362.13</v>
      </c>
      <c r="E11" s="18">
        <f t="shared" si="0"/>
        <v>4721.8700000000026</v>
      </c>
      <c r="F11" s="19">
        <f t="shared" si="3"/>
        <v>8.5290612915362954E-2</v>
      </c>
      <c r="G11" s="20">
        <v>61121.96</v>
      </c>
      <c r="H11" s="20">
        <f t="shared" si="1"/>
        <v>-1037.9599999999991</v>
      </c>
      <c r="I11" s="19">
        <f t="shared" si="2"/>
        <v>-1.6981785269974969E-2</v>
      </c>
      <c r="J11" s="41"/>
      <c r="K11" s="42"/>
    </row>
    <row r="12" spans="1:11" ht="42.75">
      <c r="A12" s="28" t="str">
        <v>Brockton</v>
      </c>
      <c r="B12" s="29" t="str">
        <v>MA</v>
      </c>
      <c r="C12" s="24">
        <v>93219</v>
      </c>
      <c r="D12" s="13">
        <v>84494.77</v>
      </c>
      <c r="E12" s="13">
        <f t="shared" si="0"/>
        <v>8724.2299999999959</v>
      </c>
      <c r="F12" s="14">
        <f t="shared" si="3"/>
        <v>0.10325171605295802</v>
      </c>
      <c r="G12" s="15">
        <v>103804.7</v>
      </c>
      <c r="H12" s="15">
        <f t="shared" si="1"/>
        <v>-10585.699999999997</v>
      </c>
      <c r="I12" s="16">
        <f t="shared" si="2"/>
        <v>-0.10197707810918</v>
      </c>
      <c r="J12" s="40" t="s">
        <v>114</v>
      </c>
      <c r="K12" s="40" t="s">
        <v>115</v>
      </c>
    </row>
    <row r="13" spans="1:11" ht="15.75">
      <c r="A13" s="30" t="str">
        <v>Canton</v>
      </c>
      <c r="B13" s="31" t="str">
        <v>MA</v>
      </c>
      <c r="C13" s="11">
        <v>95888</v>
      </c>
      <c r="D13" s="18">
        <v>88179.36</v>
      </c>
      <c r="E13" s="18">
        <f t="shared" si="0"/>
        <v>7708.6399999999994</v>
      </c>
      <c r="F13" s="19">
        <f t="shared" si="3"/>
        <v>8.7420003955574171E-2</v>
      </c>
      <c r="G13" s="20">
        <v>102551.3</v>
      </c>
      <c r="H13" s="20">
        <f t="shared" si="1"/>
        <v>-6663.3000000000029</v>
      </c>
      <c r="I13" s="19">
        <f t="shared" si="2"/>
        <v>-6.4975285540017566E-2</v>
      </c>
      <c r="J13" s="41"/>
      <c r="K13" s="42"/>
    </row>
    <row r="14" spans="1:11" ht="15.75">
      <c r="A14" s="28" t="str">
        <v>Chelsea</v>
      </c>
      <c r="B14" s="29" t="str">
        <v>MA</v>
      </c>
      <c r="C14" s="24">
        <v>166159.50000000099</v>
      </c>
      <c r="D14" s="13">
        <v>161097.1</v>
      </c>
      <c r="E14" s="13">
        <f t="shared" si="0"/>
        <v>5062.4000000009837</v>
      </c>
      <c r="F14" s="14">
        <f t="shared" si="3"/>
        <v>3.1424525953608E-2</v>
      </c>
      <c r="G14" s="15">
        <v>164347.20000000001</v>
      </c>
      <c r="H14" s="15">
        <f t="shared" si="1"/>
        <v>1812.3000000009779</v>
      </c>
      <c r="I14" s="16">
        <f t="shared" si="2"/>
        <v>1.1027264230853814E-2</v>
      </c>
      <c r="J14" s="40"/>
      <c r="K14" s="40"/>
    </row>
    <row r="15" spans="1:11" ht="15.75">
      <c r="A15" s="30" t="str">
        <v>Hamilton Landfill</v>
      </c>
      <c r="B15" s="31" t="str">
        <v>MA</v>
      </c>
      <c r="C15" s="11">
        <v>127791.3</v>
      </c>
      <c r="D15" s="18">
        <v>134449.60000000001</v>
      </c>
      <c r="E15" s="18">
        <f t="shared" si="0"/>
        <v>-6658.3000000000029</v>
      </c>
      <c r="F15" s="19">
        <f t="shared" si="3"/>
        <v>-4.9522646404303192E-2</v>
      </c>
      <c r="G15" s="20">
        <v>0</v>
      </c>
      <c r="H15" s="20">
        <f t="shared" si="1"/>
        <v>127791.3</v>
      </c>
      <c r="I15" s="19" t="str">
        <f t="shared" si="2"/>
        <v/>
      </c>
      <c r="J15" s="41"/>
      <c r="K15" s="42"/>
    </row>
    <row r="16" spans="1:11" ht="28.5">
      <c r="A16" s="28" t="str">
        <v>Holliston</v>
      </c>
      <c r="B16" s="29" t="str">
        <v>MA</v>
      </c>
      <c r="C16" s="24">
        <v>238773</v>
      </c>
      <c r="D16" s="13">
        <v>271207.09999999998</v>
      </c>
      <c r="E16" s="13">
        <f t="shared" si="0"/>
        <v>-32434.099999999977</v>
      </c>
      <c r="F16" s="14">
        <f t="shared" si="3"/>
        <v>-0.11959163310990006</v>
      </c>
      <c r="G16" s="15">
        <v>281565.2</v>
      </c>
      <c r="H16" s="15">
        <f t="shared" si="1"/>
        <v>-42792.200000000012</v>
      </c>
      <c r="I16" s="16">
        <f t="shared" si="2"/>
        <v>-0.15197971908460281</v>
      </c>
      <c r="J16" s="40" t="s">
        <v>116</v>
      </c>
      <c r="K16" s="40" t="s">
        <v>117</v>
      </c>
    </row>
    <row r="17" spans="1:11" ht="15.75">
      <c r="A17" s="30" t="str">
        <v>Natick HS - Carports</v>
      </c>
      <c r="B17" s="31" t="str">
        <v>MA</v>
      </c>
      <c r="C17" s="11">
        <v>85420.7</v>
      </c>
      <c r="D17" s="18">
        <v>95687.9</v>
      </c>
      <c r="E17" s="18">
        <f t="shared" si="0"/>
        <v>-10267.199999999997</v>
      </c>
      <c r="F17" s="19">
        <f t="shared" si="3"/>
        <v>-0.10729883297679224</v>
      </c>
      <c r="G17" s="20">
        <v>0</v>
      </c>
      <c r="H17" s="20">
        <f t="shared" si="1"/>
        <v>85420.7</v>
      </c>
      <c r="I17" s="19" t="str">
        <f t="shared" si="2"/>
        <v/>
      </c>
      <c r="J17" s="41"/>
      <c r="K17" s="42"/>
    </row>
    <row r="18" spans="1:11" ht="33.75" customHeight="1">
      <c r="A18" s="76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595612.5</v>
      </c>
      <c r="H18" s="15">
        <f t="shared" si="1"/>
        <v>-595612.5</v>
      </c>
      <c r="I18" s="16">
        <f t="shared" si="2"/>
        <v>-1</v>
      </c>
      <c r="J18" s="40" t="s">
        <v>92</v>
      </c>
      <c r="K18" s="40" t="s">
        <v>93</v>
      </c>
    </row>
    <row r="19" spans="1:11" ht="15.75">
      <c r="A19" s="30" t="str">
        <v>Palmer - Boston Rd.</v>
      </c>
      <c r="B19" s="31" t="str">
        <v>MA</v>
      </c>
      <c r="C19" s="11">
        <v>82642.5</v>
      </c>
      <c r="D19" s="18">
        <v>71216.7</v>
      </c>
      <c r="E19" s="18">
        <f t="shared" si="0"/>
        <v>11425.800000000003</v>
      </c>
      <c r="F19" s="19">
        <f t="shared" si="3"/>
        <v>0.16043708849188468</v>
      </c>
      <c r="G19" s="20">
        <v>81652</v>
      </c>
      <c r="H19" s="20">
        <f t="shared" si="1"/>
        <v>990.5</v>
      </c>
      <c r="I19" s="19">
        <f t="shared" si="2"/>
        <v>1.2130750012247097E-2</v>
      </c>
      <c r="J19" s="77" t="s">
        <v>118</v>
      </c>
      <c r="K19" s="41" t="s">
        <v>119</v>
      </c>
    </row>
    <row r="20" spans="1:11" ht="28.5">
      <c r="A20" s="28" t="str">
        <v>Shirley Bartkus</v>
      </c>
      <c r="B20" s="29" t="str">
        <v>MA</v>
      </c>
      <c r="C20" s="24">
        <v>133912.99999999901</v>
      </c>
      <c r="D20" s="13">
        <v>102417.7</v>
      </c>
      <c r="E20" s="13">
        <f t="shared" si="0"/>
        <v>31495.299999999013</v>
      </c>
      <c r="F20" s="14">
        <f t="shared" si="3"/>
        <v>0.30751813407251888</v>
      </c>
      <c r="G20" s="15">
        <v>135175</v>
      </c>
      <c r="H20" s="15">
        <f t="shared" si="1"/>
        <v>-1262.0000000009895</v>
      </c>
      <c r="I20" s="16">
        <f t="shared" si="2"/>
        <v>-9.3360458664767127E-3</v>
      </c>
      <c r="J20" s="40" t="s">
        <v>94</v>
      </c>
      <c r="K20" s="40" t="s">
        <v>95</v>
      </c>
    </row>
    <row r="21" spans="1:11" ht="15.75">
      <c r="A21" s="30" t="str">
        <v>Stoughton</v>
      </c>
      <c r="B21" s="31" t="str">
        <v>MA</v>
      </c>
      <c r="C21" s="11">
        <v>111148</v>
      </c>
      <c r="D21" s="18">
        <v>61788.73</v>
      </c>
      <c r="E21" s="18">
        <f t="shared" si="0"/>
        <v>49359.27</v>
      </c>
      <c r="F21" s="19">
        <f t="shared" si="3"/>
        <v>0.79883936763225261</v>
      </c>
      <c r="G21" s="20">
        <v>113543.2</v>
      </c>
      <c r="H21" s="20">
        <f t="shared" si="1"/>
        <v>-2395.1999999999971</v>
      </c>
      <c r="I21" s="19">
        <f t="shared" si="2"/>
        <v>-2.1095054569538266E-2</v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>
        <v>136743.9</v>
      </c>
      <c r="D22" s="13">
        <v>126581.05</v>
      </c>
      <c r="E22" s="13">
        <f t="shared" si="0"/>
        <v>10162.849999999991</v>
      </c>
      <c r="F22" s="14">
        <f t="shared" si="3"/>
        <v>8.0287294188190028E-2</v>
      </c>
      <c r="G22" s="15">
        <v>0</v>
      </c>
      <c r="H22" s="15">
        <f t="shared" si="1"/>
        <v>136743.9</v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>
        <v>161283.625</v>
      </c>
      <c r="D23" s="18">
        <v>159042.9</v>
      </c>
      <c r="E23" s="18">
        <f t="shared" si="0"/>
        <v>2240.7250000000058</v>
      </c>
      <c r="F23" s="19">
        <f t="shared" si="3"/>
        <v>1.4088808742798364E-2</v>
      </c>
      <c r="G23" s="20">
        <v>180417.1</v>
      </c>
      <c r="H23" s="20">
        <f t="shared" si="1"/>
        <v>-19133.475000000006</v>
      </c>
      <c r="I23" s="19">
        <f t="shared" si="2"/>
        <v>-0.10605133881433636</v>
      </c>
      <c r="J23" s="41" t="s">
        <v>120</v>
      </c>
      <c r="K23" s="71" t="s">
        <v>121</v>
      </c>
    </row>
    <row r="24" spans="1:11" ht="15.75">
      <c r="A24" s="28" t="str">
        <v>Woburn</v>
      </c>
      <c r="B24" s="29" t="str">
        <v>MA</v>
      </c>
      <c r="C24" s="24">
        <v>227766</v>
      </c>
      <c r="D24" s="13">
        <v>220793.8</v>
      </c>
      <c r="E24" s="13">
        <f t="shared" si="0"/>
        <v>6972.2000000000116</v>
      </c>
      <c r="F24" s="14">
        <f t="shared" si="3"/>
        <v>3.157787945132523E-2</v>
      </c>
      <c r="G24" s="15">
        <v>256809</v>
      </c>
      <c r="H24" s="15">
        <f t="shared" si="1"/>
        <v>-29043</v>
      </c>
      <c r="I24" s="16">
        <f t="shared" si="2"/>
        <v>-0.11309183089377708</v>
      </c>
      <c r="J24" s="40" t="s">
        <v>122</v>
      </c>
      <c r="K24" s="40" t="s">
        <v>123</v>
      </c>
    </row>
    <row r="25" spans="1:11" ht="15.75">
      <c r="A25" s="30" t="str">
        <v>Friendship Solar 1</v>
      </c>
      <c r="B25" s="31" t="str">
        <v>MD</v>
      </c>
      <c r="C25" s="11">
        <v>406608</v>
      </c>
      <c r="D25" s="18">
        <v>438724.1</v>
      </c>
      <c r="E25" s="18">
        <f t="shared" si="0"/>
        <v>-32116.099999999977</v>
      </c>
      <c r="F25" s="19">
        <f t="shared" si="3"/>
        <v>-7.3203409614379461E-2</v>
      </c>
      <c r="G25" s="20">
        <v>577160.69999999995</v>
      </c>
      <c r="H25" s="20">
        <f t="shared" si="1"/>
        <v>-170552.69999999995</v>
      </c>
      <c r="I25" s="19">
        <f t="shared" si="2"/>
        <v>-0.29550296823744232</v>
      </c>
      <c r="J25" s="41" t="s">
        <v>124</v>
      </c>
      <c r="K25" s="41" t="s">
        <v>125</v>
      </c>
    </row>
    <row r="26" spans="1:11" ht="15.75">
      <c r="A26" s="28" t="str">
        <v>Friendship Solar 2</v>
      </c>
      <c r="B26" s="29" t="str">
        <v>MD</v>
      </c>
      <c r="C26" s="24">
        <v>408961</v>
      </c>
      <c r="D26" s="13">
        <v>437754.2</v>
      </c>
      <c r="E26" s="13">
        <f t="shared" si="0"/>
        <v>-28793.200000000012</v>
      </c>
      <c r="F26" s="14">
        <f t="shared" si="3"/>
        <v>-6.5774811526651281E-2</v>
      </c>
      <c r="G26" s="15">
        <v>566911.30000000005</v>
      </c>
      <c r="H26" s="15">
        <f t="shared" si="1"/>
        <v>-157950.30000000005</v>
      </c>
      <c r="I26" s="16">
        <f t="shared" si="2"/>
        <v>-0.27861554356034185</v>
      </c>
      <c r="J26" s="40" t="s">
        <v>124</v>
      </c>
      <c r="K26" s="40" t="s">
        <v>126</v>
      </c>
    </row>
    <row r="27" spans="1:11" ht="31.5">
      <c r="A27" s="30" t="str">
        <v>101 Carnegie Center</v>
      </c>
      <c r="B27" s="31" t="str">
        <v>NJ</v>
      </c>
      <c r="C27" s="11">
        <v>178862.68</v>
      </c>
      <c r="D27" s="18">
        <v>220273.64</v>
      </c>
      <c r="E27" s="18">
        <f t="shared" si="0"/>
        <v>-41410.960000000021</v>
      </c>
      <c r="F27" s="19">
        <f t="shared" si="3"/>
        <v>-0.18799780128026222</v>
      </c>
      <c r="G27" s="20">
        <v>0</v>
      </c>
      <c r="H27" s="20">
        <f t="shared" si="1"/>
        <v>178862.68</v>
      </c>
      <c r="I27" s="19" t="str">
        <f t="shared" si="2"/>
        <v/>
      </c>
      <c r="J27" s="41" t="s">
        <v>127</v>
      </c>
      <c r="K27" s="42" t="s">
        <v>128</v>
      </c>
    </row>
    <row r="28" spans="1:11" ht="15.75">
      <c r="A28" s="28" t="str">
        <v>302 Carnegie Center</v>
      </c>
      <c r="B28" s="29" t="str">
        <v>NJ</v>
      </c>
      <c r="C28" s="24">
        <v>78094.210000000006</v>
      </c>
      <c r="D28" s="13">
        <v>81733.02</v>
      </c>
      <c r="E28" s="13">
        <f t="shared" si="0"/>
        <v>-3638.8099999999977</v>
      </c>
      <c r="F28" s="14">
        <f t="shared" si="3"/>
        <v>-4.4520684540960281E-2</v>
      </c>
      <c r="G28" s="15">
        <v>0</v>
      </c>
      <c r="H28" s="15">
        <f t="shared" si="1"/>
        <v>78094.210000000006</v>
      </c>
      <c r="I28" s="16" t="str">
        <f t="shared" si="2"/>
        <v/>
      </c>
      <c r="J28" s="40"/>
      <c r="K28" s="40"/>
    </row>
    <row r="29" spans="1:11" ht="28.5">
      <c r="A29" s="30" t="str">
        <v>510 Carnegie Center</v>
      </c>
      <c r="B29" s="31" t="str">
        <v>NJ</v>
      </c>
      <c r="C29" s="11">
        <v>199654.93900000001</v>
      </c>
      <c r="D29" s="18">
        <v>233678.21599999999</v>
      </c>
      <c r="E29" s="18">
        <f t="shared" si="0"/>
        <v>-34023.276999999973</v>
      </c>
      <c r="F29" s="19">
        <f t="shared" si="3"/>
        <v>-0.14559883921743041</v>
      </c>
      <c r="G29" s="20">
        <v>0</v>
      </c>
      <c r="H29" s="20">
        <f t="shared" si="1"/>
        <v>199654.93900000001</v>
      </c>
      <c r="I29" s="19" t="str">
        <f t="shared" si="2"/>
        <v/>
      </c>
      <c r="J29" s="41" t="s">
        <v>129</v>
      </c>
      <c r="K29" s="42" t="s">
        <v>130</v>
      </c>
    </row>
    <row r="30" spans="1:11" ht="15.75">
      <c r="A30" s="28" t="str">
        <v>701 Carnegie Center</v>
      </c>
      <c r="B30" s="29" t="str">
        <v>NJ</v>
      </c>
      <c r="C30" s="24">
        <v>156416.95000000001</v>
      </c>
      <c r="D30" s="13">
        <v>187294.8</v>
      </c>
      <c r="E30" s="13">
        <f t="shared" si="0"/>
        <v>-30877.849999999977</v>
      </c>
      <c r="F30" s="14">
        <f t="shared" si="3"/>
        <v>-0.16486229195898647</v>
      </c>
      <c r="G30" s="15">
        <v>0</v>
      </c>
      <c r="H30" s="15">
        <f t="shared" si="1"/>
        <v>156416.95000000001</v>
      </c>
      <c r="I30" s="16" t="str">
        <f t="shared" si="2"/>
        <v/>
      </c>
      <c r="J30" s="40"/>
      <c r="K30" s="40"/>
    </row>
    <row r="31" spans="1:11" ht="28.5">
      <c r="A31" s="30" t="str">
        <v>Hudson County Correction</v>
      </c>
      <c r="B31" s="31" t="str">
        <v>NJ</v>
      </c>
      <c r="C31" s="11">
        <v>235685.48310984601</v>
      </c>
      <c r="D31" s="18">
        <v>207688.3</v>
      </c>
      <c r="E31" s="18">
        <f t="shared" si="0"/>
        <v>27997.183109846024</v>
      </c>
      <c r="F31" s="19">
        <f t="shared" si="3"/>
        <v>0.13480385322546348</v>
      </c>
      <c r="G31" s="20">
        <v>2418859</v>
      </c>
      <c r="H31" s="20">
        <f t="shared" si="1"/>
        <v>-2183173.5168901542</v>
      </c>
      <c r="I31" s="19">
        <f t="shared" si="2"/>
        <v>-0.90256336433423945</v>
      </c>
      <c r="J31" s="41" t="s">
        <v>131</v>
      </c>
      <c r="K31" s="71" t="s">
        <v>105</v>
      </c>
    </row>
    <row r="32" spans="1:11" ht="60.75">
      <c r="A32" s="28" t="str">
        <v>ER Bison Solar</v>
      </c>
      <c r="B32" s="29" t="str">
        <v>PA</v>
      </c>
      <c r="C32" s="87">
        <v>230092</v>
      </c>
      <c r="D32" s="13">
        <v>0</v>
      </c>
      <c r="E32" s="13">
        <f t="shared" si="0"/>
        <v>230092</v>
      </c>
      <c r="F32" s="88" t="str">
        <f t="shared" si="3"/>
        <v/>
      </c>
      <c r="G32" s="89">
        <v>238828</v>
      </c>
      <c r="H32" s="89">
        <f t="shared" si="1"/>
        <v>-8736</v>
      </c>
      <c r="I32" s="90">
        <f t="shared" si="2"/>
        <v>-3.657862562178639E-2</v>
      </c>
      <c r="J32" s="91" t="s">
        <v>132</v>
      </c>
      <c r="K32" s="91" t="s">
        <v>133</v>
      </c>
    </row>
    <row r="33" spans="1:11" ht="15.75">
      <c r="A33" s="30" t="str">
        <v>Danville</v>
      </c>
      <c r="B33" s="31" t="str">
        <v>IL</v>
      </c>
      <c r="C33" s="11">
        <v>383628.3</v>
      </c>
      <c r="D33" s="18">
        <v>0</v>
      </c>
      <c r="E33" s="18">
        <f t="shared" si="0"/>
        <v>383628.3</v>
      </c>
      <c r="F33" s="19" t="str">
        <f>IFERROR(E33/D33, "")</f>
        <v/>
      </c>
      <c r="G33" s="20">
        <v>0</v>
      </c>
      <c r="H33" s="20">
        <f t="shared" si="1"/>
        <v>383628.3</v>
      </c>
      <c r="I33" s="19" t="str">
        <f t="shared" si="2"/>
        <v/>
      </c>
      <c r="J33" s="41"/>
      <c r="K33" s="42"/>
    </row>
    <row r="34" spans="1:11" ht="60.75">
      <c r="A34" s="28" t="str">
        <v>Oaks Landfill - ANEM</v>
      </c>
      <c r="B34" s="29" t="str">
        <v>ML</v>
      </c>
      <c r="C34" s="24">
        <v>506926.25799999997</v>
      </c>
      <c r="D34" s="13">
        <v>551904.26899999997</v>
      </c>
      <c r="E34" s="13">
        <f t="shared" si="0"/>
        <v>-44978.010999999999</v>
      </c>
      <c r="F34" s="14">
        <f>IFERROR(E34/D34, "")</f>
        <v>-8.1496037494864892E-2</v>
      </c>
      <c r="G34" s="15">
        <v>0</v>
      </c>
      <c r="H34" s="15">
        <f t="shared" si="1"/>
        <v>506926.25799999997</v>
      </c>
      <c r="I34" s="16" t="str">
        <f t="shared" si="2"/>
        <v/>
      </c>
      <c r="J34" s="40" t="s">
        <v>134</v>
      </c>
      <c r="K34" s="40" t="s">
        <v>135</v>
      </c>
    </row>
    <row r="35" spans="1:11" ht="45.75">
      <c r="A35" s="30" t="str">
        <v>Oaks Landfill - CS1</v>
      </c>
      <c r="B35" s="31" t="str">
        <v>ML</v>
      </c>
      <c r="C35" s="11">
        <v>508841.929</v>
      </c>
      <c r="D35" s="18">
        <v>578202.56299999997</v>
      </c>
      <c r="E35" s="18">
        <f t="shared" si="0"/>
        <v>-69360.633999999962</v>
      </c>
      <c r="F35" s="19">
        <f>IFERROR(E35/D35, "")</f>
        <v>-0.11995905663254551</v>
      </c>
      <c r="G35" s="20">
        <v>0</v>
      </c>
      <c r="H35" s="20">
        <f t="shared" si="1"/>
        <v>508841.929</v>
      </c>
      <c r="I35" s="19" t="str">
        <f t="shared" si="2"/>
        <v/>
      </c>
      <c r="J35" s="41" t="s">
        <v>136</v>
      </c>
      <c r="K35" s="41" t="s">
        <v>137</v>
      </c>
    </row>
    <row r="36" spans="1:11" ht="42.75">
      <c r="A36" s="28" t="str">
        <v>Oaks Landfill - CS2</v>
      </c>
      <c r="B36" s="29" t="str">
        <v>ML</v>
      </c>
      <c r="C36" s="24">
        <v>522759.04800000001</v>
      </c>
      <c r="D36" s="13">
        <v>568737.72499999998</v>
      </c>
      <c r="E36" s="13">
        <f t="shared" si="0"/>
        <v>-45978.676999999967</v>
      </c>
      <c r="F36" s="14">
        <f>IFERROR(E36/D36, "")</f>
        <v>-8.0843374685581074E-2</v>
      </c>
      <c r="G36" s="15">
        <v>0</v>
      </c>
      <c r="H36" s="15">
        <f t="shared" si="1"/>
        <v>522759.04800000001</v>
      </c>
      <c r="I36" s="16" t="str">
        <f t="shared" si="2"/>
        <v/>
      </c>
      <c r="J36" s="40"/>
      <c r="K36" s="40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5" priority="3" stopIfTrue="1" operator="lessThanOrEqual">
      <formula>-0.1</formula>
    </cfRule>
    <cfRule type="expression" dxfId="34" priority="4">
      <formula>AND(ISNUMBER(F2), F2&gt;=0.1)</formula>
    </cfRule>
  </conditionalFormatting>
  <conditionalFormatting sqref="I4:I100 F4:F100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zoomScale="70" zoomScaleNormal="70" workbookViewId="0">
      <pane xSplit="2" ySplit="3" topLeftCell="C29" activePane="bottomRight" state="frozen"/>
      <selection pane="bottomRight" activeCell="J40" sqref="J40"/>
      <selection pane="bottomLeft" activeCell="G30" sqref="G30"/>
      <selection pane="topRight" activeCell="G30" sqref="G3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Greenbacker Capital</v>
      </c>
      <c r="B1" s="99"/>
      <c r="C1" s="99"/>
      <c r="D1" s="100" t="s">
        <v>138</v>
      </c>
      <c r="E1" s="100"/>
      <c r="F1" s="100"/>
      <c r="G1" s="98" t="s">
        <v>139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6456510.7428560741</v>
      </c>
      <c r="D2" s="5">
        <f>SUM(D4:D100)</f>
        <v>6028667.5370000014</v>
      </c>
      <c r="E2" s="5">
        <f>C2-D2</f>
        <v>427843.20585607272</v>
      </c>
      <c r="F2" s="6">
        <f>IFERROR(E2/D2, 0)</f>
        <v>7.096812077133996E-2</v>
      </c>
      <c r="G2" s="5">
        <f>SUM(G4:G100)</f>
        <v>4255622.5999999996</v>
      </c>
      <c r="H2" s="7">
        <f>C2-G2</f>
        <v>2200888.1428560745</v>
      </c>
      <c r="I2" s="6">
        <f>IFERROR(H2/G2, 0)</f>
        <v>0.51717183353055662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6">Sites[Site]</f>
        <v>10 Walpole Park South</v>
      </c>
      <c r="B4" s="29" t="str" cm="1">
        <f t="array" ref="B4:B36">Sites[State]</f>
        <v>MA</v>
      </c>
      <c r="C4" s="24">
        <v>20676.875</v>
      </c>
      <c r="D4" s="13">
        <v>19674.22</v>
      </c>
      <c r="E4" s="13">
        <f>IF(AND(ISNUMBER(C4),ISNUMBER(D4)), C4-D4, "")</f>
        <v>1002.6549999999988</v>
      </c>
      <c r="F4" s="14">
        <f>IFERROR(E4/D4, "")</f>
        <v>5.0962884424388809E-2</v>
      </c>
      <c r="G4" s="15">
        <v>20719.759999999998</v>
      </c>
      <c r="H4" s="15">
        <f>IF(AND(ISNUMBER(C4),ISNUMBER(G4)), C4-G4, "")</f>
        <v>-42.884999999998399</v>
      </c>
      <c r="I4" s="16">
        <f>IFERROR(H4/G4, "")</f>
        <v>-2.0697633563322355E-3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75447.75</v>
      </c>
      <c r="D5" s="18">
        <v>72325.17</v>
      </c>
      <c r="E5" s="18">
        <f t="shared" ref="E5:E36" si="0">IF(AND(ISNUMBER(C5),ISNUMBER(D5)), C5-D5, "")</f>
        <v>3122.5800000000017</v>
      </c>
      <c r="F5" s="19">
        <f>IFERROR(E5/D5, "")</f>
        <v>4.3174181270503778E-2</v>
      </c>
      <c r="G5" s="20">
        <v>73270.289999999994</v>
      </c>
      <c r="H5" s="20">
        <f t="shared" ref="H5:H36" si="1">IF(AND(ISNUMBER(C5),ISNUMBER(G5)), C5-G5, "")</f>
        <v>2177.4600000000064</v>
      </c>
      <c r="I5" s="19">
        <f t="shared" ref="I5:I36" si="2">IFERROR(H5/G5, "")</f>
        <v>2.9718184546560503E-2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47897.375</v>
      </c>
      <c r="D6" s="13">
        <v>44710.36</v>
      </c>
      <c r="E6" s="13">
        <f t="shared" si="0"/>
        <v>3187.0149999999994</v>
      </c>
      <c r="F6" s="14">
        <f t="shared" ref="F6:F36" si="3">IFERROR(E6/D6, "")</f>
        <v>7.1281354030698907E-2</v>
      </c>
      <c r="G6" s="15">
        <v>46636.25</v>
      </c>
      <c r="H6" s="15">
        <f t="shared" si="1"/>
        <v>1261.125</v>
      </c>
      <c r="I6" s="16">
        <f t="shared" si="2"/>
        <v>2.704173255782787E-2</v>
      </c>
      <c r="J6" s="40"/>
      <c r="K6" s="40"/>
    </row>
    <row r="7" spans="1:11" ht="15.75">
      <c r="A7" s="30" t="str">
        <v>23 Walpole Park South</v>
      </c>
      <c r="B7" s="31" t="str">
        <v>MA</v>
      </c>
      <c r="C7" s="11">
        <v>65316.5</v>
      </c>
      <c r="D7" s="18">
        <v>58630.35</v>
      </c>
      <c r="E7" s="18">
        <f t="shared" si="0"/>
        <v>6686.1500000000015</v>
      </c>
      <c r="F7" s="19">
        <f t="shared" si="3"/>
        <v>0.11403905997491064</v>
      </c>
      <c r="G7" s="20">
        <v>61447.15</v>
      </c>
      <c r="H7" s="20">
        <f t="shared" si="1"/>
        <v>3869.3499999999985</v>
      </c>
      <c r="I7" s="19">
        <f t="shared" si="2"/>
        <v>6.2970373727666756E-2</v>
      </c>
      <c r="J7" s="41"/>
      <c r="K7" s="41"/>
    </row>
    <row r="8" spans="1:11" ht="33" customHeight="1">
      <c r="A8" s="28" t="str">
        <v>24 Walpole Park South</v>
      </c>
      <c r="B8" s="29" t="str">
        <v>MA</v>
      </c>
      <c r="C8" s="24">
        <v>91752</v>
      </c>
      <c r="D8" s="13">
        <v>85667.4</v>
      </c>
      <c r="E8" s="13">
        <f t="shared" si="0"/>
        <v>6084.6000000000058</v>
      </c>
      <c r="F8" s="14">
        <f t="shared" si="3"/>
        <v>7.102585114057397E-2</v>
      </c>
      <c r="G8" s="15">
        <v>94419.27</v>
      </c>
      <c r="H8" s="15">
        <f t="shared" si="1"/>
        <v>-2667.2700000000041</v>
      </c>
      <c r="I8" s="16">
        <f t="shared" si="2"/>
        <v>-2.8249212263555989E-2</v>
      </c>
      <c r="J8" s="40" t="s">
        <v>140</v>
      </c>
      <c r="K8" s="40" t="s">
        <v>141</v>
      </c>
    </row>
    <row r="9" spans="1:11" ht="54" customHeight="1">
      <c r="A9" s="30" t="str">
        <v>25 Walpole Park South</v>
      </c>
      <c r="B9" s="31" t="str">
        <v>MA</v>
      </c>
      <c r="C9" s="11">
        <v>91678.25</v>
      </c>
      <c r="D9" s="18">
        <v>87385.38</v>
      </c>
      <c r="E9" s="18">
        <f t="shared" si="0"/>
        <v>4292.8699999999953</v>
      </c>
      <c r="F9" s="19">
        <f t="shared" si="3"/>
        <v>4.9125723318934986E-2</v>
      </c>
      <c r="G9" s="20">
        <v>95628.9</v>
      </c>
      <c r="H9" s="20">
        <f t="shared" si="1"/>
        <v>-3950.6499999999942</v>
      </c>
      <c r="I9" s="19">
        <f t="shared" si="2"/>
        <v>-4.1312302034217631E-2</v>
      </c>
      <c r="J9" s="71" t="s">
        <v>142</v>
      </c>
      <c r="K9" s="71" t="s">
        <v>143</v>
      </c>
    </row>
    <row r="10" spans="1:11" ht="99.75">
      <c r="A10" s="28" t="str">
        <v>3 Walpole Park South</v>
      </c>
      <c r="B10" s="29" t="str">
        <v>MA</v>
      </c>
      <c r="C10" s="24">
        <v>121846.5</v>
      </c>
      <c r="D10" s="13">
        <v>112902.8</v>
      </c>
      <c r="E10" s="13">
        <f t="shared" si="0"/>
        <v>8943.6999999999971</v>
      </c>
      <c r="F10" s="14">
        <f t="shared" si="3"/>
        <v>7.921592732864019E-2</v>
      </c>
      <c r="G10" s="15">
        <v>115500</v>
      </c>
      <c r="H10" s="15">
        <f t="shared" si="1"/>
        <v>6346.5</v>
      </c>
      <c r="I10" s="16">
        <f t="shared" si="2"/>
        <v>5.4948051948051947E-2</v>
      </c>
      <c r="J10" s="40" t="s">
        <v>144</v>
      </c>
      <c r="K10" s="40" t="s">
        <v>145</v>
      </c>
    </row>
    <row r="11" spans="1:11" ht="15.75">
      <c r="A11" s="30" t="str">
        <v>4 Walpole Park South</v>
      </c>
      <c r="B11" s="31" t="str">
        <v>MA</v>
      </c>
      <c r="C11" s="11">
        <v>66215.25</v>
      </c>
      <c r="D11" s="18">
        <v>61895.68</v>
      </c>
      <c r="E11" s="18">
        <f t="shared" si="0"/>
        <v>4319.57</v>
      </c>
      <c r="F11" s="19">
        <f t="shared" si="3"/>
        <v>6.9787907653652073E-2</v>
      </c>
      <c r="G11" s="20">
        <v>62939.68</v>
      </c>
      <c r="H11" s="20">
        <f t="shared" si="1"/>
        <v>3275.5699999999997</v>
      </c>
      <c r="I11" s="19">
        <f t="shared" si="2"/>
        <v>5.2043003714032227E-2</v>
      </c>
      <c r="J11" s="41"/>
      <c r="K11" s="41"/>
    </row>
    <row r="12" spans="1:11" ht="28.5">
      <c r="A12" s="28" t="str">
        <v>Brockton</v>
      </c>
      <c r="B12" s="29" t="str">
        <v>MA</v>
      </c>
      <c r="C12" s="24">
        <v>109928.5</v>
      </c>
      <c r="D12" s="13">
        <v>97642.95</v>
      </c>
      <c r="E12" s="13">
        <f t="shared" si="0"/>
        <v>12285.550000000003</v>
      </c>
      <c r="F12" s="14">
        <f t="shared" si="3"/>
        <v>0.12582116783649003</v>
      </c>
      <c r="G12" s="15">
        <v>106090.1</v>
      </c>
      <c r="H12" s="15">
        <f t="shared" si="1"/>
        <v>3838.3999999999942</v>
      </c>
      <c r="I12" s="16">
        <f t="shared" si="2"/>
        <v>3.6180567272535269E-2</v>
      </c>
      <c r="J12" s="40" t="s">
        <v>84</v>
      </c>
      <c r="K12" s="40" t="s">
        <v>85</v>
      </c>
    </row>
    <row r="13" spans="1:11" ht="15.75">
      <c r="A13" s="30" t="str">
        <v>Canton</v>
      </c>
      <c r="B13" s="31" t="str">
        <v>MA</v>
      </c>
      <c r="C13" s="11">
        <v>102749.12296748</v>
      </c>
      <c r="D13" s="18">
        <v>96131.38</v>
      </c>
      <c r="E13" s="18">
        <f t="shared" si="0"/>
        <v>6617.7429674799932</v>
      </c>
      <c r="F13" s="19">
        <f t="shared" si="3"/>
        <v>6.8840611332948651E-2</v>
      </c>
      <c r="G13" s="20">
        <v>101430.7</v>
      </c>
      <c r="H13" s="20">
        <f t="shared" si="1"/>
        <v>1318.4229674800008</v>
      </c>
      <c r="I13" s="19">
        <f t="shared" si="2"/>
        <v>1.2998263518638843E-2</v>
      </c>
      <c r="J13" s="41" t="s">
        <v>146</v>
      </c>
      <c r="K13" s="41" t="s">
        <v>147</v>
      </c>
    </row>
    <row r="14" spans="1:11" ht="15.75">
      <c r="A14" s="28" t="str">
        <v>Chelsea</v>
      </c>
      <c r="B14" s="29" t="str">
        <v>MA</v>
      </c>
      <c r="C14" s="24">
        <v>177136.49999999901</v>
      </c>
      <c r="D14" s="13">
        <v>175855.2</v>
      </c>
      <c r="E14" s="13">
        <f t="shared" si="0"/>
        <v>1281.2999999989988</v>
      </c>
      <c r="F14" s="14">
        <f t="shared" si="3"/>
        <v>7.2861081162171985E-3</v>
      </c>
      <c r="G14" s="15">
        <v>168267.4</v>
      </c>
      <c r="H14" s="15">
        <f t="shared" si="1"/>
        <v>8869.0999999990163</v>
      </c>
      <c r="I14" s="16">
        <f t="shared" si="2"/>
        <v>5.2708367752749591E-2</v>
      </c>
      <c r="J14" s="40" t="s">
        <v>148</v>
      </c>
      <c r="K14" s="40" t="s">
        <v>149</v>
      </c>
    </row>
    <row r="15" spans="1:11" ht="28.5">
      <c r="A15" s="30" t="str">
        <v>Hamilton Landfill</v>
      </c>
      <c r="B15" s="31" t="str">
        <v>MA</v>
      </c>
      <c r="C15" s="11">
        <v>131991.29999999999</v>
      </c>
      <c r="D15" s="18">
        <v>142585.79999999999</v>
      </c>
      <c r="E15" s="18">
        <f t="shared" si="0"/>
        <v>-10594.5</v>
      </c>
      <c r="F15" s="19">
        <f t="shared" si="3"/>
        <v>-7.4302630416212559E-2</v>
      </c>
      <c r="G15" s="20">
        <v>0</v>
      </c>
      <c r="H15" s="20">
        <f t="shared" si="1"/>
        <v>131991.29999999999</v>
      </c>
      <c r="I15" s="19" t="str">
        <f t="shared" si="2"/>
        <v/>
      </c>
      <c r="J15" s="41" t="s">
        <v>150</v>
      </c>
      <c r="K15" s="71" t="s">
        <v>151</v>
      </c>
    </row>
    <row r="16" spans="1:11" ht="42.75">
      <c r="A16" s="28" t="str">
        <v>Holliston</v>
      </c>
      <c r="B16" s="29" t="str">
        <v>MA</v>
      </c>
      <c r="C16" s="24">
        <v>250689.5</v>
      </c>
      <c r="D16" s="13">
        <v>308244.8</v>
      </c>
      <c r="E16" s="13">
        <f t="shared" si="0"/>
        <v>-57555.299999999988</v>
      </c>
      <c r="F16" s="14">
        <f t="shared" si="3"/>
        <v>-0.18671945155279177</v>
      </c>
      <c r="G16" s="15">
        <v>283046.09999999998</v>
      </c>
      <c r="H16" s="15">
        <f t="shared" si="1"/>
        <v>-32356.599999999977</v>
      </c>
      <c r="I16" s="16">
        <f t="shared" si="2"/>
        <v>-0.11431565388111682</v>
      </c>
      <c r="J16" s="40" t="s">
        <v>152</v>
      </c>
      <c r="K16" s="40" t="s">
        <v>153</v>
      </c>
    </row>
    <row r="17" spans="1:11" ht="15.75">
      <c r="A17" s="30" t="str">
        <v>Natick HS - Carports</v>
      </c>
      <c r="B17" s="31" t="str">
        <v>MA</v>
      </c>
      <c r="C17" s="11">
        <v>95065.9</v>
      </c>
      <c r="D17" s="18">
        <v>108597.8</v>
      </c>
      <c r="E17" s="18">
        <f t="shared" si="0"/>
        <v>-13531.900000000009</v>
      </c>
      <c r="F17" s="19">
        <f t="shared" si="3"/>
        <v>-0.12460565499485264</v>
      </c>
      <c r="G17" s="20">
        <v>0</v>
      </c>
      <c r="H17" s="20">
        <f t="shared" si="1"/>
        <v>95065.9</v>
      </c>
      <c r="I17" s="19" t="str">
        <f t="shared" si="2"/>
        <v/>
      </c>
      <c r="J17" s="41"/>
      <c r="K17" s="41"/>
    </row>
    <row r="18" spans="1:11" ht="33.75" customHeight="1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602812.19999999995</v>
      </c>
      <c r="H18" s="15">
        <f t="shared" si="1"/>
        <v>-602812.19999999995</v>
      </c>
      <c r="I18" s="16">
        <f t="shared" si="2"/>
        <v>-1</v>
      </c>
      <c r="J18" s="40" t="s">
        <v>92</v>
      </c>
      <c r="K18" s="40" t="s">
        <v>93</v>
      </c>
    </row>
    <row r="19" spans="1:11" ht="42.75">
      <c r="A19" s="30" t="str">
        <v>Palmer - Boston Rd.</v>
      </c>
      <c r="B19" s="31" t="str">
        <v>MA</v>
      </c>
      <c r="C19" s="11">
        <v>81554</v>
      </c>
      <c r="D19" s="18">
        <v>69072.100000000006</v>
      </c>
      <c r="E19" s="18">
        <f t="shared" si="0"/>
        <v>12481.899999999994</v>
      </c>
      <c r="F19" s="19">
        <f t="shared" si="3"/>
        <v>0.18070827439733253</v>
      </c>
      <c r="G19" s="20">
        <v>84844</v>
      </c>
      <c r="H19" s="20">
        <f t="shared" si="1"/>
        <v>-3290</v>
      </c>
      <c r="I19" s="19">
        <f t="shared" si="2"/>
        <v>-3.8777049644052611E-2</v>
      </c>
      <c r="J19" s="41" t="s">
        <v>154</v>
      </c>
      <c r="K19" s="71" t="s">
        <v>155</v>
      </c>
    </row>
    <row r="20" spans="1:11" ht="28.5">
      <c r="A20" s="28" t="str">
        <v>Shirley Bartkus</v>
      </c>
      <c r="B20" s="29" t="str">
        <v>MA</v>
      </c>
      <c r="C20" s="24">
        <v>143257.50000000099</v>
      </c>
      <c r="D20" s="13">
        <v>111757.1</v>
      </c>
      <c r="E20" s="13">
        <f t="shared" si="0"/>
        <v>31500.400000000984</v>
      </c>
      <c r="F20" s="14">
        <f t="shared" si="3"/>
        <v>0.2818648658564063</v>
      </c>
      <c r="G20" s="15">
        <v>145881</v>
      </c>
      <c r="H20" s="15">
        <f t="shared" si="1"/>
        <v>-2623.4999999990105</v>
      </c>
      <c r="I20" s="16">
        <f t="shared" si="2"/>
        <v>-1.7983836140409035E-2</v>
      </c>
      <c r="J20" s="40" t="s">
        <v>94</v>
      </c>
      <c r="K20" s="40" t="s">
        <v>95</v>
      </c>
    </row>
    <row r="21" spans="1:11" ht="15.75">
      <c r="A21" s="30" t="str">
        <v>Stoughton</v>
      </c>
      <c r="B21" s="31" t="str">
        <v>MA</v>
      </c>
      <c r="C21" s="11">
        <v>125646</v>
      </c>
      <c r="D21" s="18">
        <v>70073.36</v>
      </c>
      <c r="E21" s="18">
        <f t="shared" si="0"/>
        <v>55572.639999999999</v>
      </c>
      <c r="F21" s="19">
        <f t="shared" si="3"/>
        <v>0.79306372635763434</v>
      </c>
      <c r="G21" s="20">
        <v>112524.1</v>
      </c>
      <c r="H21" s="20">
        <f t="shared" si="1"/>
        <v>13121.899999999994</v>
      </c>
      <c r="I21" s="19">
        <f t="shared" si="2"/>
        <v>0.11661412977308855</v>
      </c>
      <c r="J21" s="41"/>
      <c r="K21" s="41"/>
    </row>
    <row r="22" spans="1:11" ht="15.75">
      <c r="A22" s="28" t="str">
        <v>Wellfleet Landfill</v>
      </c>
      <c r="B22" s="29" t="str">
        <v>MA</v>
      </c>
      <c r="C22" s="24">
        <v>153068.9</v>
      </c>
      <c r="D22" s="13">
        <v>157080.25</v>
      </c>
      <c r="E22" s="13">
        <f t="shared" si="0"/>
        <v>-4011.3500000000058</v>
      </c>
      <c r="F22" s="14">
        <f t="shared" si="3"/>
        <v>-2.5536946879063445E-2</v>
      </c>
      <c r="G22" s="15">
        <v>0</v>
      </c>
      <c r="H22" s="15">
        <f t="shared" si="1"/>
        <v>153068.9</v>
      </c>
      <c r="I22" s="16" t="str">
        <f t="shared" si="2"/>
        <v/>
      </c>
      <c r="J22" s="40" t="s">
        <v>156</v>
      </c>
      <c r="K22" s="40" t="s">
        <v>157</v>
      </c>
    </row>
    <row r="23" spans="1:11" ht="15.75">
      <c r="A23" s="30" t="str">
        <v>Wilmington Garage &amp; Building 7</v>
      </c>
      <c r="B23" s="31" t="str">
        <v>MA</v>
      </c>
      <c r="C23" s="11">
        <v>180680.625</v>
      </c>
      <c r="D23" s="18">
        <v>180584</v>
      </c>
      <c r="E23" s="18">
        <f t="shared" si="0"/>
        <v>96.625</v>
      </c>
      <c r="F23" s="19">
        <f t="shared" si="3"/>
        <v>5.3506955211978912E-4</v>
      </c>
      <c r="G23" s="20">
        <v>177507.4</v>
      </c>
      <c r="H23" s="20">
        <f t="shared" si="1"/>
        <v>3173.2250000000058</v>
      </c>
      <c r="I23" s="19">
        <f t="shared" si="2"/>
        <v>1.7876578666579566E-2</v>
      </c>
      <c r="J23" s="41"/>
      <c r="K23" s="41"/>
    </row>
    <row r="24" spans="1:11" ht="15.75">
      <c r="A24" s="28" t="str">
        <v>Woburn</v>
      </c>
      <c r="B24" s="29" t="str">
        <v>MA</v>
      </c>
      <c r="C24" s="24">
        <v>258268</v>
      </c>
      <c r="D24" s="13">
        <v>246417.7</v>
      </c>
      <c r="E24" s="13">
        <f t="shared" si="0"/>
        <v>11850.299999999988</v>
      </c>
      <c r="F24" s="14">
        <f t="shared" si="3"/>
        <v>4.8090295461730173E-2</v>
      </c>
      <c r="G24" s="15">
        <v>249757.7</v>
      </c>
      <c r="H24" s="15">
        <f t="shared" si="1"/>
        <v>8510.2999999999884</v>
      </c>
      <c r="I24" s="16">
        <f t="shared" si="2"/>
        <v>3.4074224738616619E-2</v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>
        <v>568811</v>
      </c>
      <c r="D25" s="18">
        <v>606807.30000000005</v>
      </c>
      <c r="E25" s="18">
        <f t="shared" si="0"/>
        <v>-37996.300000000047</v>
      </c>
      <c r="F25" s="19">
        <f t="shared" si="3"/>
        <v>-6.261674834828132E-2</v>
      </c>
      <c r="G25" s="20">
        <v>579285</v>
      </c>
      <c r="H25" s="20">
        <f t="shared" si="1"/>
        <v>-10474</v>
      </c>
      <c r="I25" s="19">
        <f t="shared" si="2"/>
        <v>-1.8080910087435374E-2</v>
      </c>
      <c r="J25" s="41"/>
      <c r="K25" s="41"/>
    </row>
    <row r="26" spans="1:11" ht="15.75">
      <c r="A26" s="28" t="str">
        <v>Friendship Solar 2</v>
      </c>
      <c r="B26" s="29" t="str">
        <v>MD</v>
      </c>
      <c r="C26" s="24">
        <v>572191</v>
      </c>
      <c r="D26" s="13">
        <v>606266.80000000005</v>
      </c>
      <c r="E26" s="13">
        <f t="shared" si="0"/>
        <v>-34075.800000000047</v>
      </c>
      <c r="F26" s="14">
        <f t="shared" si="3"/>
        <v>-5.6205947612503346E-2</v>
      </c>
      <c r="G26" s="15">
        <v>574494.1</v>
      </c>
      <c r="H26" s="15">
        <f t="shared" si="1"/>
        <v>-2303.0999999999767</v>
      </c>
      <c r="I26" s="16">
        <f t="shared" si="2"/>
        <v>-4.0089184553853156E-3</v>
      </c>
      <c r="J26" s="40"/>
      <c r="K26" s="40"/>
    </row>
    <row r="27" spans="1:11" ht="34.5" customHeight="1">
      <c r="A27" s="30" t="str">
        <v>101 Carnegie Center</v>
      </c>
      <c r="B27" s="31" t="str">
        <v>NJ</v>
      </c>
      <c r="C27" s="11">
        <v>214712.21</v>
      </c>
      <c r="D27" s="18">
        <v>272074.49</v>
      </c>
      <c r="E27" s="18">
        <f t="shared" si="0"/>
        <v>-57362.28</v>
      </c>
      <c r="F27" s="19">
        <f t="shared" si="3"/>
        <v>-0.21083299650768436</v>
      </c>
      <c r="G27" s="20">
        <v>0</v>
      </c>
      <c r="H27" s="20">
        <f t="shared" si="1"/>
        <v>214712.21</v>
      </c>
      <c r="I27" s="19" t="str">
        <f t="shared" si="2"/>
        <v/>
      </c>
      <c r="J27" s="71" t="s">
        <v>158</v>
      </c>
      <c r="K27" s="71" t="s">
        <v>159</v>
      </c>
    </row>
    <row r="28" spans="1:11" ht="15.75">
      <c r="A28" s="28" t="str">
        <v>302 Carnegie Center</v>
      </c>
      <c r="B28" s="29" t="str">
        <v>NJ</v>
      </c>
      <c r="C28" s="24">
        <v>96003.48</v>
      </c>
      <c r="D28" s="13">
        <v>100373.678</v>
      </c>
      <c r="E28" s="13">
        <f t="shared" si="0"/>
        <v>-4370.198000000004</v>
      </c>
      <c r="F28" s="14">
        <f t="shared" si="3"/>
        <v>-4.353928327703608E-2</v>
      </c>
      <c r="G28" s="15">
        <v>0</v>
      </c>
      <c r="H28" s="15">
        <f t="shared" si="1"/>
        <v>96003.48</v>
      </c>
      <c r="I28" s="16" t="str">
        <f t="shared" si="2"/>
        <v/>
      </c>
      <c r="J28" s="40"/>
      <c r="K28" s="40"/>
    </row>
    <row r="29" spans="1:11" ht="30" customHeight="1">
      <c r="A29" s="30" t="str">
        <v>510 Carnegie Center</v>
      </c>
      <c r="B29" s="31" t="str">
        <v>NJ</v>
      </c>
      <c r="C29" s="11">
        <v>245994</v>
      </c>
      <c r="D29" s="18">
        <v>293443.40000000002</v>
      </c>
      <c r="E29" s="18">
        <f t="shared" si="0"/>
        <v>-47449.400000000023</v>
      </c>
      <c r="F29" s="19">
        <f t="shared" si="3"/>
        <v>-0.16169864444046117</v>
      </c>
      <c r="G29" s="20">
        <v>0</v>
      </c>
      <c r="H29" s="20">
        <f t="shared" si="1"/>
        <v>245994</v>
      </c>
      <c r="I29" s="19" t="str">
        <f t="shared" si="2"/>
        <v/>
      </c>
      <c r="J29" s="41" t="s">
        <v>160</v>
      </c>
      <c r="K29" s="41" t="s">
        <v>161</v>
      </c>
    </row>
    <row r="30" spans="1:11" ht="15.75">
      <c r="A30" s="28" t="str">
        <v>701 Carnegie Center</v>
      </c>
      <c r="B30" s="29" t="str">
        <v>NJ</v>
      </c>
      <c r="C30" s="24">
        <v>191178.74</v>
      </c>
      <c r="D30" s="13">
        <v>234499.9</v>
      </c>
      <c r="E30" s="13">
        <f t="shared" si="0"/>
        <v>-43321.16</v>
      </c>
      <c r="F30" s="14">
        <f t="shared" si="3"/>
        <v>-0.18473850095458466</v>
      </c>
      <c r="G30" s="15">
        <v>0</v>
      </c>
      <c r="H30" s="15">
        <f t="shared" si="1"/>
        <v>191178.74</v>
      </c>
      <c r="I30" s="16" t="str">
        <f t="shared" si="2"/>
        <v/>
      </c>
      <c r="J30" s="40" t="s">
        <v>162</v>
      </c>
      <c r="K30" s="40" t="s">
        <v>163</v>
      </c>
    </row>
    <row r="31" spans="1:11" ht="15.75">
      <c r="A31" s="30" t="str">
        <v>Hudson County Correction</v>
      </c>
      <c r="B31" s="31" t="str">
        <v>NJ</v>
      </c>
      <c r="C31" s="11">
        <v>272727.753888593</v>
      </c>
      <c r="D31" s="18">
        <v>238986.7</v>
      </c>
      <c r="E31" s="18">
        <f t="shared" si="0"/>
        <v>33741.053888592985</v>
      </c>
      <c r="F31" s="19">
        <f t="shared" si="3"/>
        <v>0.14118381436537256</v>
      </c>
      <c r="G31" s="20">
        <v>248851.5</v>
      </c>
      <c r="H31" s="20">
        <f t="shared" si="1"/>
        <v>23876.253888592997</v>
      </c>
      <c r="I31" s="19">
        <f t="shared" si="2"/>
        <v>9.5945790516002508E-2</v>
      </c>
      <c r="J31" s="41"/>
      <c r="K31" s="41"/>
    </row>
    <row r="32" spans="1:11" ht="102.75" customHeight="1">
      <c r="A32" s="28" t="str">
        <v>ER Bison Solar</v>
      </c>
      <c r="B32" s="29" t="str">
        <v>PA</v>
      </c>
      <c r="C32" s="24">
        <v>247759</v>
      </c>
      <c r="D32" s="13">
        <v>0</v>
      </c>
      <c r="E32" s="13">
        <f t="shared" si="0"/>
        <v>247759</v>
      </c>
      <c r="F32" s="14" t="str">
        <f t="shared" si="3"/>
        <v/>
      </c>
      <c r="G32" s="15">
        <v>250270</v>
      </c>
      <c r="H32" s="15">
        <f t="shared" si="1"/>
        <v>-2511</v>
      </c>
      <c r="I32" s="16">
        <f t="shared" si="2"/>
        <v>-1.0033164182682703E-2</v>
      </c>
      <c r="J32" s="40" t="s">
        <v>164</v>
      </c>
      <c r="K32" s="40" t="s">
        <v>165</v>
      </c>
    </row>
    <row r="33" spans="1:11" ht="15.75">
      <c r="A33" s="30" t="str">
        <v>Danville</v>
      </c>
      <c r="B33" s="31" t="str">
        <v>IL</v>
      </c>
      <c r="C33" s="11">
        <v>383434.9</v>
      </c>
      <c r="D33" s="18">
        <v>0</v>
      </c>
      <c r="E33" s="18">
        <f t="shared" si="0"/>
        <v>383434.9</v>
      </c>
      <c r="F33" s="19" t="str">
        <f t="shared" si="3"/>
        <v/>
      </c>
      <c r="G33" s="20">
        <v>0</v>
      </c>
      <c r="H33" s="20">
        <f t="shared" si="1"/>
        <v>383434.9</v>
      </c>
      <c r="I33" s="19" t="str">
        <f t="shared" si="2"/>
        <v/>
      </c>
      <c r="J33" s="41" t="s">
        <v>166</v>
      </c>
      <c r="K33" s="42" t="s">
        <v>167</v>
      </c>
    </row>
    <row r="34" spans="1:11" ht="15.75">
      <c r="A34" s="28" t="str">
        <v>Oaks Landfill - ANEM</v>
      </c>
      <c r="B34" s="29" t="str">
        <v>ML</v>
      </c>
      <c r="C34" s="24">
        <v>423906.58</v>
      </c>
      <c r="D34" s="13">
        <v>454427.36599999998</v>
      </c>
      <c r="E34" s="13">
        <f t="shared" si="0"/>
        <v>-30520.785999999964</v>
      </c>
      <c r="F34" s="14">
        <f t="shared" si="3"/>
        <v>-6.7163177844355368E-2</v>
      </c>
      <c r="G34" s="15">
        <v>0</v>
      </c>
      <c r="H34" s="15">
        <f t="shared" si="1"/>
        <v>423906.58</v>
      </c>
      <c r="I34" s="16" t="str">
        <f t="shared" si="2"/>
        <v/>
      </c>
      <c r="J34" s="40"/>
      <c r="K34" s="40"/>
    </row>
    <row r="35" spans="1:11" ht="15.75">
      <c r="A35" s="30" t="str">
        <v>Oaks Landfill - CS1</v>
      </c>
      <c r="B35" s="31" t="str">
        <v>ML</v>
      </c>
      <c r="C35" s="11">
        <v>430446.16200000001</v>
      </c>
      <c r="D35" s="18">
        <v>466636.61</v>
      </c>
      <c r="E35" s="18">
        <f t="shared" si="0"/>
        <v>-36190.447999999975</v>
      </c>
      <c r="F35" s="19">
        <f t="shared" si="3"/>
        <v>-7.7555955157483203E-2</v>
      </c>
      <c r="G35" s="20">
        <v>0</v>
      </c>
      <c r="H35" s="20">
        <f t="shared" si="1"/>
        <v>430446.16200000001</v>
      </c>
      <c r="I35" s="19" t="str">
        <f t="shared" si="2"/>
        <v/>
      </c>
      <c r="J35" s="41"/>
      <c r="K35" s="41"/>
    </row>
    <row r="36" spans="1:11" ht="30.75">
      <c r="A36" s="28" t="str">
        <v>Oaks Landfill - CS2</v>
      </c>
      <c r="B36" s="29" t="str">
        <v>ML</v>
      </c>
      <c r="C36" s="24">
        <v>418479.56900000002</v>
      </c>
      <c r="D36" s="13">
        <v>447917.49300000002</v>
      </c>
      <c r="E36" s="13">
        <f t="shared" si="0"/>
        <v>-29437.923999999999</v>
      </c>
      <c r="F36" s="14">
        <f t="shared" si="3"/>
        <v>-6.5721755591269124E-2</v>
      </c>
      <c r="G36" s="15">
        <v>0</v>
      </c>
      <c r="H36" s="15">
        <f t="shared" si="1"/>
        <v>418479.56900000002</v>
      </c>
      <c r="I36" s="16" t="str">
        <f t="shared" si="2"/>
        <v/>
      </c>
      <c r="J36" s="40" t="s">
        <v>168</v>
      </c>
      <c r="K36" s="40" t="s">
        <v>169</v>
      </c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1" priority="3" stopIfTrue="1" operator="lessThanOrEqual">
      <formula>-0.1</formula>
    </cfRule>
    <cfRule type="expression" dxfId="30" priority="4">
      <formula>AND(ISNUMBER(F2), F2&gt;=0.1)</formula>
    </cfRule>
  </conditionalFormatting>
  <conditionalFormatting sqref="F4:F100 I4:I100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60" zoomScaleNormal="60" workbookViewId="0">
      <pane xSplit="2" ySplit="3" topLeftCell="C24" activePane="bottomRight" state="frozen"/>
      <selection pane="bottomRight" activeCell="H39" sqref="H39"/>
      <selection pane="bottomLeft" activeCell="G30" sqref="G30"/>
      <selection pane="topRight" activeCell="G30" sqref="G3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7" width="13.28515625" customWidth="1"/>
    <col min="8" max="8" width="20.710937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Greenbacker Capital</v>
      </c>
      <c r="B1" s="99"/>
      <c r="C1" s="99"/>
      <c r="D1" s="100">
        <f>IF(AND(ISNUMBER(C27),ISNUMBER(G27)), C27-G27, "")</f>
        <v>205961.17300000001</v>
      </c>
      <c r="E1" s="100"/>
      <c r="F1" s="100"/>
      <c r="G1" s="98" t="s">
        <v>170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6135052.1082191858</v>
      </c>
      <c r="D2" s="5">
        <f>SUM(D4:D100)</f>
        <v>5537262.3706</v>
      </c>
      <c r="E2" s="5">
        <f>C2-D2</f>
        <v>597789.73761918582</v>
      </c>
      <c r="F2" s="6">
        <f>IFERROR(E2/D2, 0)</f>
        <v>0.1079576327813434</v>
      </c>
      <c r="G2" s="5">
        <f>SUM(G4:G100)</f>
        <v>3834432.2099999995</v>
      </c>
      <c r="H2" s="7">
        <f>C2-G2</f>
        <v>2300619.8982191863</v>
      </c>
      <c r="I2" s="6">
        <f>IFERROR(H2/G2, 0)</f>
        <v>0.59998971743959628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6">Sites[Site]</f>
        <v>10 Walpole Park South</v>
      </c>
      <c r="B4" s="29" t="str" cm="1">
        <f t="array" ref="B4:B36">Sites[State]</f>
        <v>MA</v>
      </c>
      <c r="C4" s="24">
        <v>19091.4375</v>
      </c>
      <c r="D4" s="13">
        <v>17829.29</v>
      </c>
      <c r="E4" s="13">
        <f>IF(AND(ISNUMBER(C4),ISNUMBER(D4)), C4-D4, "")</f>
        <v>1262.1474999999991</v>
      </c>
      <c r="F4" s="14">
        <f>IFERROR(E4/D4, "")</f>
        <v>7.0790676465523811E-2</v>
      </c>
      <c r="G4" s="15">
        <v>21735.09</v>
      </c>
      <c r="H4" s="15">
        <f>IF(AND(ISNUMBER(C4),ISNUMBER(G4)), C4-G4, "")</f>
        <v>-2643.6525000000001</v>
      </c>
      <c r="I4" s="16">
        <f>IFERROR(H4/G4, "")</f>
        <v>-0.12163062126726874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69736</v>
      </c>
      <c r="D5" s="18">
        <v>66155.899999999994</v>
      </c>
      <c r="E5" s="18">
        <f t="shared" ref="E5:E36" si="0">IF(AND(ISNUMBER(C5),ISNUMBER(D5)), C5-D5, "")</f>
        <v>3580.1000000000058</v>
      </c>
      <c r="F5" s="19">
        <f>IFERROR(E5/D5, "")</f>
        <v>5.4116110581218096E-2</v>
      </c>
      <c r="G5" s="20">
        <v>76574.98</v>
      </c>
      <c r="H5" s="20">
        <f t="shared" ref="H5:H36" si="1">IF(AND(ISNUMBER(C5),ISNUMBER(G5)), C5-G5, "")</f>
        <v>-6838.9799999999959</v>
      </c>
      <c r="I5" s="19">
        <f t="shared" ref="I5:I35" si="2">IFERROR(H5/G5, "")</f>
        <v>-8.9310895020801792E-2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44155.25</v>
      </c>
      <c r="D6" s="13">
        <v>40683.949999999997</v>
      </c>
      <c r="E6" s="13">
        <f t="shared" si="0"/>
        <v>3471.3000000000029</v>
      </c>
      <c r="F6" s="14">
        <f t="shared" ref="F6:F36" si="3">IFERROR(E6/D6, "")</f>
        <v>8.5323573546816453E-2</v>
      </c>
      <c r="G6" s="15">
        <v>48879.64</v>
      </c>
      <c r="H6" s="15">
        <f t="shared" si="1"/>
        <v>-4724.3899999999994</v>
      </c>
      <c r="I6" s="16">
        <f t="shared" si="2"/>
        <v>-9.6653535091502304E-2</v>
      </c>
      <c r="J6" s="40"/>
      <c r="K6" s="40"/>
    </row>
    <row r="7" spans="1:11" ht="15.75">
      <c r="A7" s="30" t="str">
        <v>23 Walpole Park South</v>
      </c>
      <c r="B7" s="31" t="str">
        <v>MA</v>
      </c>
      <c r="C7" s="11">
        <v>60236.25</v>
      </c>
      <c r="D7" s="18">
        <v>54067.47</v>
      </c>
      <c r="E7" s="18">
        <f t="shared" si="0"/>
        <v>6168.7799999999988</v>
      </c>
      <c r="F7" s="19">
        <f t="shared" si="3"/>
        <v>0.11409411241176994</v>
      </c>
      <c r="G7" s="20">
        <v>64298.42</v>
      </c>
      <c r="H7" s="20">
        <f t="shared" si="1"/>
        <v>-4062.1699999999983</v>
      </c>
      <c r="I7" s="19">
        <f t="shared" si="2"/>
        <v>-6.3176824562718628E-2</v>
      </c>
      <c r="J7" s="41"/>
      <c r="K7" s="42"/>
    </row>
    <row r="8" spans="1:11" ht="15.75">
      <c r="A8" s="28" t="str">
        <v>24 Walpole Park South</v>
      </c>
      <c r="B8" s="29" t="str">
        <v>MA</v>
      </c>
      <c r="C8" s="24">
        <v>82594.5</v>
      </c>
      <c r="D8" s="13">
        <v>76286.25</v>
      </c>
      <c r="E8" s="13">
        <f t="shared" si="0"/>
        <v>6308.25</v>
      </c>
      <c r="F8" s="14">
        <f t="shared" si="3"/>
        <v>8.2691835029248387E-2</v>
      </c>
      <c r="G8" s="15">
        <v>98729.37</v>
      </c>
      <c r="H8" s="15">
        <f t="shared" si="1"/>
        <v>-16134.869999999995</v>
      </c>
      <c r="I8" s="16">
        <f t="shared" si="2"/>
        <v>-0.1634252299999483</v>
      </c>
      <c r="J8" s="40" t="s">
        <v>171</v>
      </c>
      <c r="K8" s="40" t="s">
        <v>172</v>
      </c>
    </row>
    <row r="9" spans="1:11" ht="15.75">
      <c r="A9" s="30" t="str">
        <v>25 Walpole Park South</v>
      </c>
      <c r="B9" s="31" t="str">
        <v>MA</v>
      </c>
      <c r="C9" s="11">
        <v>85519.249999999098</v>
      </c>
      <c r="D9" s="18">
        <v>81530.64</v>
      </c>
      <c r="E9" s="18">
        <f t="shared" si="0"/>
        <v>3988.6099999990984</v>
      </c>
      <c r="F9" s="19">
        <f t="shared" si="3"/>
        <v>4.8921607876487888E-2</v>
      </c>
      <c r="G9" s="20">
        <v>99850.74</v>
      </c>
      <c r="H9" s="20">
        <f t="shared" si="1"/>
        <v>-14331.490000000907</v>
      </c>
      <c r="I9" s="19">
        <f t="shared" si="2"/>
        <v>-0.14352913158180808</v>
      </c>
      <c r="J9" s="41" t="s">
        <v>173</v>
      </c>
      <c r="K9" s="42" t="s">
        <v>174</v>
      </c>
    </row>
    <row r="10" spans="1:11" ht="28.5">
      <c r="A10" s="28" t="str">
        <v>3 Walpole Park South</v>
      </c>
      <c r="B10" s="29" t="str">
        <v>MA</v>
      </c>
      <c r="C10" s="24">
        <v>113422.5</v>
      </c>
      <c r="D10" s="13">
        <v>102295.1</v>
      </c>
      <c r="E10" s="13">
        <f t="shared" si="0"/>
        <v>11127.399999999994</v>
      </c>
      <c r="F10" s="14">
        <f t="shared" si="3"/>
        <v>0.10877744877320608</v>
      </c>
      <c r="G10" s="15">
        <v>120718</v>
      </c>
      <c r="H10" s="15">
        <f t="shared" si="1"/>
        <v>-7295.5</v>
      </c>
      <c r="I10" s="16">
        <f t="shared" si="2"/>
        <v>-6.0434235159628223E-2</v>
      </c>
      <c r="J10" s="40" t="s">
        <v>175</v>
      </c>
      <c r="K10" s="40" t="s">
        <v>176</v>
      </c>
    </row>
    <row r="11" spans="1:11" ht="15.75">
      <c r="A11" s="30" t="str">
        <v>4 Walpole Park South</v>
      </c>
      <c r="B11" s="31" t="str">
        <v>MA</v>
      </c>
      <c r="C11" s="11">
        <v>60974.5</v>
      </c>
      <c r="D11" s="18">
        <v>56227.14</v>
      </c>
      <c r="E11" s="18">
        <f t="shared" si="0"/>
        <v>4747.3600000000006</v>
      </c>
      <c r="F11" s="19">
        <f t="shared" si="3"/>
        <v>8.443182420446782E-2</v>
      </c>
      <c r="G11" s="20">
        <v>66160.87</v>
      </c>
      <c r="H11" s="20">
        <f t="shared" si="1"/>
        <v>-5186.3699999999953</v>
      </c>
      <c r="I11" s="19">
        <f t="shared" si="2"/>
        <v>-7.8390293235261199E-2</v>
      </c>
      <c r="J11" s="41"/>
      <c r="K11" s="42"/>
    </row>
    <row r="12" spans="1:11" ht="15.75">
      <c r="A12" s="28" t="str">
        <v>Brockton</v>
      </c>
      <c r="B12" s="29" t="str">
        <v>MA</v>
      </c>
      <c r="C12" s="24">
        <v>101131</v>
      </c>
      <c r="D12" s="13">
        <v>87786.84</v>
      </c>
      <c r="E12" s="13">
        <f t="shared" si="0"/>
        <v>13344.160000000003</v>
      </c>
      <c r="F12" s="14">
        <f t="shared" si="3"/>
        <v>0.15200638273344846</v>
      </c>
      <c r="G12" s="15">
        <v>110218.4</v>
      </c>
      <c r="H12" s="15">
        <f t="shared" si="1"/>
        <v>-9087.3999999999942</v>
      </c>
      <c r="I12" s="16">
        <f t="shared" si="2"/>
        <v>-8.2449028474374464E-2</v>
      </c>
      <c r="J12" s="40"/>
      <c r="K12" s="40"/>
    </row>
    <row r="13" spans="1:11" ht="28.5">
      <c r="A13" s="30" t="str">
        <v>Canton</v>
      </c>
      <c r="B13" s="31" t="str">
        <v>MA</v>
      </c>
      <c r="C13" s="11">
        <v>91329.877032519304</v>
      </c>
      <c r="D13" s="18">
        <v>83469.73</v>
      </c>
      <c r="E13" s="18">
        <f t="shared" si="0"/>
        <v>7860.1470325193077</v>
      </c>
      <c r="F13" s="19">
        <f t="shared" si="3"/>
        <v>9.4167634572668538E-2</v>
      </c>
      <c r="G13" s="20">
        <v>108826.7</v>
      </c>
      <c r="H13" s="20">
        <f t="shared" si="1"/>
        <v>-17496.822967480693</v>
      </c>
      <c r="I13" s="19">
        <f t="shared" si="2"/>
        <v>-0.16077693220028444</v>
      </c>
      <c r="J13" s="41" t="s">
        <v>177</v>
      </c>
      <c r="K13" s="42" t="s">
        <v>178</v>
      </c>
    </row>
    <row r="14" spans="1:11" ht="15.75">
      <c r="A14" s="28" t="str">
        <v>Chelsea</v>
      </c>
      <c r="B14" s="29" t="str">
        <v>MA</v>
      </c>
      <c r="C14" s="24">
        <v>165811.5</v>
      </c>
      <c r="D14" s="13">
        <v>160275.20000000001</v>
      </c>
      <c r="E14" s="13">
        <f t="shared" si="0"/>
        <v>5536.2999999999884</v>
      </c>
      <c r="F14" s="14">
        <f t="shared" si="3"/>
        <v>3.4542461965419401E-2</v>
      </c>
      <c r="G14" s="15">
        <v>174521.4</v>
      </c>
      <c r="H14" s="15">
        <f t="shared" si="1"/>
        <v>-8709.8999999999942</v>
      </c>
      <c r="I14" s="16">
        <f t="shared" si="2"/>
        <v>-4.9907346606204134E-2</v>
      </c>
      <c r="J14" s="40"/>
      <c r="K14" s="40"/>
    </row>
    <row r="15" spans="1:11" ht="15.75">
      <c r="A15" s="30" t="str">
        <v>Hamilton Landfill</v>
      </c>
      <c r="B15" s="31" t="str">
        <v>MA</v>
      </c>
      <c r="C15" s="11">
        <v>137045.28899999999</v>
      </c>
      <c r="D15" s="18">
        <v>144810.04500000001</v>
      </c>
      <c r="E15" s="18">
        <f t="shared" si="0"/>
        <v>-7764.7560000000231</v>
      </c>
      <c r="F15" s="19">
        <f t="shared" si="3"/>
        <v>-5.3620285802687392E-2</v>
      </c>
      <c r="G15" s="20">
        <v>0</v>
      </c>
      <c r="H15" s="20">
        <f t="shared" si="1"/>
        <v>137045.28899999999</v>
      </c>
      <c r="I15" s="19" t="str">
        <f t="shared" si="2"/>
        <v/>
      </c>
      <c r="J15" s="41"/>
      <c r="K15" s="42"/>
    </row>
    <row r="16" spans="1:11" ht="71.25">
      <c r="A16" s="28" t="str">
        <v>Holliston</v>
      </c>
      <c r="B16" s="29" t="str">
        <v>MA</v>
      </c>
      <c r="C16" s="24">
        <v>247839.5</v>
      </c>
      <c r="D16" s="13">
        <v>288374.2</v>
      </c>
      <c r="E16" s="13">
        <f t="shared" si="0"/>
        <v>-40534.700000000012</v>
      </c>
      <c r="F16" s="14">
        <f t="shared" si="3"/>
        <v>-0.14056285201658128</v>
      </c>
      <c r="G16" s="15">
        <v>290634.90000000002</v>
      </c>
      <c r="H16" s="15">
        <f t="shared" si="1"/>
        <v>-42795.400000000023</v>
      </c>
      <c r="I16" s="16">
        <f t="shared" si="2"/>
        <v>-0.14724797331634989</v>
      </c>
      <c r="J16" s="40" t="s">
        <v>179</v>
      </c>
      <c r="K16" s="40" t="s">
        <v>180</v>
      </c>
    </row>
    <row r="17" spans="1:11" ht="15.75">
      <c r="A17" s="30" t="str">
        <v>Natick HS - Carports</v>
      </c>
      <c r="B17" s="31" t="str">
        <v>MA</v>
      </c>
      <c r="C17" s="11">
        <v>88406.886499999993</v>
      </c>
      <c r="D17" s="18">
        <v>100367.912</v>
      </c>
      <c r="E17" s="18">
        <f t="shared" si="0"/>
        <v>-11961.025500000003</v>
      </c>
      <c r="F17" s="19">
        <f t="shared" si="3"/>
        <v>-0.11917180761915226</v>
      </c>
      <c r="G17" s="20">
        <v>0</v>
      </c>
      <c r="H17" s="20">
        <f t="shared" si="1"/>
        <v>88406.886499999993</v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0</v>
      </c>
      <c r="H18" s="15">
        <f t="shared" si="1"/>
        <v>0</v>
      </c>
      <c r="I18" s="16" t="str">
        <f t="shared" si="2"/>
        <v/>
      </c>
      <c r="J18" s="40" t="s">
        <v>92</v>
      </c>
      <c r="K18" s="40" t="s">
        <v>93</v>
      </c>
    </row>
    <row r="19" spans="1:11" ht="15.75">
      <c r="A19" s="30" t="str">
        <v>Palmer - Boston Rd.</v>
      </c>
      <c r="B19" s="31" t="str">
        <v>MA</v>
      </c>
      <c r="C19" s="11">
        <v>86465</v>
      </c>
      <c r="D19" s="18">
        <v>73107.22</v>
      </c>
      <c r="E19" s="18">
        <f t="shared" si="0"/>
        <v>13357.779999999999</v>
      </c>
      <c r="F19" s="19">
        <f t="shared" si="3"/>
        <v>0.18271492200086392</v>
      </c>
      <c r="G19" s="20">
        <v>89737</v>
      </c>
      <c r="H19" s="20">
        <f t="shared" si="1"/>
        <v>-3272</v>
      </c>
      <c r="I19" s="19">
        <f t="shared" si="2"/>
        <v>-3.646210593177842E-2</v>
      </c>
      <c r="J19" s="41" t="s">
        <v>181</v>
      </c>
      <c r="K19" s="41" t="s">
        <v>182</v>
      </c>
    </row>
    <row r="20" spans="1:11" ht="85.5">
      <c r="A20" s="28" t="str">
        <v>Shirley Bartkus</v>
      </c>
      <c r="B20" s="29" t="str">
        <v>MA</v>
      </c>
      <c r="C20" s="24">
        <v>136715</v>
      </c>
      <c r="D20" s="13">
        <v>9635.973</v>
      </c>
      <c r="E20" s="13">
        <f t="shared" si="0"/>
        <v>127079.027</v>
      </c>
      <c r="F20" s="14">
        <f t="shared" si="3"/>
        <v>13.187980808995626</v>
      </c>
      <c r="G20" s="15">
        <v>156687</v>
      </c>
      <c r="H20" s="15">
        <f t="shared" si="1"/>
        <v>-19972</v>
      </c>
      <c r="I20" s="16">
        <f t="shared" si="2"/>
        <v>-0.12746430782387819</v>
      </c>
      <c r="J20" s="40" t="s">
        <v>183</v>
      </c>
      <c r="K20" s="40" t="s">
        <v>184</v>
      </c>
    </row>
    <row r="21" spans="1:11" ht="15.75">
      <c r="A21" s="30" t="str">
        <v>Stoughton</v>
      </c>
      <c r="B21" s="31" t="str">
        <v>MA</v>
      </c>
      <c r="C21" s="11">
        <v>113672</v>
      </c>
      <c r="D21" s="18">
        <v>64863.27</v>
      </c>
      <c r="E21" s="18">
        <f t="shared" si="0"/>
        <v>48808.73</v>
      </c>
      <c r="F21" s="19">
        <f t="shared" si="3"/>
        <v>0.75248642259324894</v>
      </c>
      <c r="G21" s="20">
        <v>118688.8</v>
      </c>
      <c r="H21" s="20">
        <f t="shared" si="1"/>
        <v>-5016.8000000000029</v>
      </c>
      <c r="I21" s="19">
        <f t="shared" si="2"/>
        <v>-4.2268520702880161E-2</v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>
        <v>139921.97200000001</v>
      </c>
      <c r="D22" s="13">
        <v>158770.90299999999</v>
      </c>
      <c r="E22" s="13">
        <f t="shared" si="0"/>
        <v>-18848.930999999982</v>
      </c>
      <c r="F22" s="14">
        <f t="shared" si="3"/>
        <v>-0.11871779176062243</v>
      </c>
      <c r="G22" s="15">
        <v>0</v>
      </c>
      <c r="H22" s="15">
        <f t="shared" si="1"/>
        <v>139921.97200000001</v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>
        <v>174159</v>
      </c>
      <c r="D23" s="18">
        <v>170814.7</v>
      </c>
      <c r="E23" s="18">
        <f t="shared" si="0"/>
        <v>3344.2999999999884</v>
      </c>
      <c r="F23" s="19">
        <f t="shared" si="3"/>
        <v>1.9578525735782625E-2</v>
      </c>
      <c r="G23" s="20">
        <v>191642.4</v>
      </c>
      <c r="H23" s="20">
        <f t="shared" si="1"/>
        <v>-17483.399999999994</v>
      </c>
      <c r="I23" s="19">
        <f t="shared" si="2"/>
        <v>-9.1229289551790188E-2</v>
      </c>
      <c r="J23" s="41"/>
      <c r="K23" s="42"/>
    </row>
    <row r="24" spans="1:11" ht="15.75">
      <c r="A24" s="28" t="str">
        <v>Woburn</v>
      </c>
      <c r="B24" s="29" t="str">
        <v>MA</v>
      </c>
      <c r="C24" s="24">
        <v>245398</v>
      </c>
      <c r="D24" s="13">
        <v>232784.8</v>
      </c>
      <c r="E24" s="13">
        <f t="shared" si="0"/>
        <v>12613.200000000012</v>
      </c>
      <c r="F24" s="14">
        <f t="shared" si="3"/>
        <v>5.4183950154821157E-2</v>
      </c>
      <c r="G24" s="15">
        <v>273136.8</v>
      </c>
      <c r="H24" s="15">
        <f t="shared" si="1"/>
        <v>-27738.799999999988</v>
      </c>
      <c r="I24" s="16">
        <f t="shared" si="2"/>
        <v>-0.10155643618875226</v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>
        <v>528542</v>
      </c>
      <c r="D25" s="18">
        <v>561993.30000000005</v>
      </c>
      <c r="E25" s="18">
        <f t="shared" si="0"/>
        <v>-33451.300000000047</v>
      </c>
      <c r="F25" s="19">
        <f t="shared" si="3"/>
        <v>-5.9522595732013253E-2</v>
      </c>
      <c r="G25" s="20">
        <v>609693.30000000005</v>
      </c>
      <c r="H25" s="20">
        <f t="shared" si="1"/>
        <v>-81151.300000000047</v>
      </c>
      <c r="I25" s="19">
        <f t="shared" si="2"/>
        <v>-0.13310183989228688</v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>
        <v>531127</v>
      </c>
      <c r="D26" s="13">
        <v>560757.9</v>
      </c>
      <c r="E26" s="13">
        <f t="shared" si="0"/>
        <v>-29630.900000000023</v>
      </c>
      <c r="F26" s="14">
        <f t="shared" si="3"/>
        <v>-5.284080705773387E-2</v>
      </c>
      <c r="G26" s="15">
        <v>594201.4</v>
      </c>
      <c r="H26" s="15">
        <f>IF(AND(ISNUMBER(C26),ISNUMBER(G26)), C26-G26, "")</f>
        <v>-63074.400000000023</v>
      </c>
      <c r="I26" s="16">
        <f t="shared" si="2"/>
        <v>-0.10614986770478835</v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>
        <v>205961.17300000001</v>
      </c>
      <c r="D27" s="18">
        <v>249801</v>
      </c>
      <c r="E27" s="18">
        <f t="shared" si="0"/>
        <v>-43839.82699999999</v>
      </c>
      <c r="F27" s="19">
        <f t="shared" si="3"/>
        <v>-0.17549900520814565</v>
      </c>
      <c r="G27" s="20">
        <v>0</v>
      </c>
      <c r="H27" s="20">
        <f>IF(AND(ISNUMBER(C27),ISNUMBER(G27)), C27-G27, "")</f>
        <v>205961.17300000001</v>
      </c>
      <c r="I27" s="19" t="str">
        <f t="shared" si="2"/>
        <v/>
      </c>
      <c r="J27" s="41" t="s">
        <v>185</v>
      </c>
      <c r="K27" s="42" t="s">
        <v>186</v>
      </c>
    </row>
    <row r="28" spans="1:11" ht="15.75">
      <c r="A28" s="28" t="str">
        <v>302 Carnegie Center</v>
      </c>
      <c r="B28" s="29" t="str">
        <v>NJ</v>
      </c>
      <c r="C28" s="24">
        <v>89551.041599999997</v>
      </c>
      <c r="D28" s="13">
        <v>91839.823600000003</v>
      </c>
      <c r="E28" s="13">
        <f t="shared" si="0"/>
        <v>-2288.7820000000065</v>
      </c>
      <c r="F28" s="14">
        <f t="shared" si="3"/>
        <v>-2.4921454661853318E-2</v>
      </c>
      <c r="G28" s="15">
        <v>0</v>
      </c>
      <c r="H28" s="15">
        <f t="shared" ref="H28:H30" si="4">IF(AND(ISNUMBER(C28),ISNUMBER(G28)), C28-G28, "")</f>
        <v>89551.041599999997</v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>
        <v>231135.421</v>
      </c>
      <c r="D29" s="18">
        <v>267595.58899999998</v>
      </c>
      <c r="E29" s="18">
        <f t="shared" si="0"/>
        <v>-36460.167999999976</v>
      </c>
      <c r="F29" s="19">
        <f t="shared" si="3"/>
        <v>-0.13625100524358785</v>
      </c>
      <c r="G29" s="20">
        <v>0</v>
      </c>
      <c r="H29" s="20">
        <f t="shared" si="4"/>
        <v>231135.421</v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>
        <v>177506.875</v>
      </c>
      <c r="D30" s="13">
        <v>211282.054</v>
      </c>
      <c r="E30" s="13">
        <f t="shared" si="0"/>
        <v>-33775.179000000004</v>
      </c>
      <c r="F30" s="14">
        <f t="shared" si="3"/>
        <v>-0.15985824806493032</v>
      </c>
      <c r="G30" s="15">
        <v>0</v>
      </c>
      <c r="H30" s="15">
        <f t="shared" si="4"/>
        <v>177506.875</v>
      </c>
      <c r="I30" s="16" t="str">
        <f t="shared" si="2"/>
        <v/>
      </c>
      <c r="J30" s="40"/>
      <c r="K30" s="40"/>
    </row>
    <row r="31" spans="1:11" ht="99.75">
      <c r="A31" s="30" t="str">
        <v>Hudson County Correction</v>
      </c>
      <c r="B31" s="31" t="str">
        <v>NJ</v>
      </c>
      <c r="C31" s="11">
        <v>265275.94158666697</v>
      </c>
      <c r="D31" s="18">
        <v>230792.4</v>
      </c>
      <c r="E31" s="18">
        <f t="shared" si="0"/>
        <v>34483.541586666979</v>
      </c>
      <c r="F31" s="19">
        <f t="shared" si="3"/>
        <v>0.14941367907551106</v>
      </c>
      <c r="G31" s="20">
        <v>254490</v>
      </c>
      <c r="H31" s="20">
        <f t="shared" si="1"/>
        <v>10785.941586666973</v>
      </c>
      <c r="I31" s="19">
        <f t="shared" si="2"/>
        <v>4.2382575294380817E-2</v>
      </c>
      <c r="J31" s="41" t="s">
        <v>187</v>
      </c>
      <c r="K31" s="70" t="s">
        <v>188</v>
      </c>
    </row>
    <row r="32" spans="1:11" ht="15.75">
      <c r="A32" s="28" t="str">
        <v>ER Bison Solar</v>
      </c>
      <c r="B32" s="29" t="str">
        <v>PA</v>
      </c>
      <c r="C32" s="24">
        <v>247793</v>
      </c>
      <c r="D32" s="13">
        <v>0</v>
      </c>
      <c r="E32" s="13">
        <f t="shared" si="0"/>
        <v>247793</v>
      </c>
      <c r="F32" s="14" t="str">
        <f t="shared" si="3"/>
        <v/>
      </c>
      <c r="G32" s="15">
        <v>265007</v>
      </c>
      <c r="H32" s="15">
        <f t="shared" si="1"/>
        <v>-17214</v>
      </c>
      <c r="I32" s="16">
        <f t="shared" si="2"/>
        <v>-6.495677472670533E-2</v>
      </c>
      <c r="J32" s="40"/>
      <c r="K32" s="40"/>
    </row>
    <row r="33" spans="1:11" ht="15.75">
      <c r="A33" s="30" t="str">
        <v>Danville</v>
      </c>
      <c r="B33" s="31" t="str">
        <v>IL</v>
      </c>
      <c r="C33" s="11">
        <v>388160.24800000002</v>
      </c>
      <c r="D33" s="18">
        <v>0</v>
      </c>
      <c r="E33" s="18">
        <f t="shared" si="0"/>
        <v>388160.24800000002</v>
      </c>
      <c r="F33" s="19" t="str">
        <f t="shared" si="3"/>
        <v/>
      </c>
      <c r="G33" s="20">
        <v>0</v>
      </c>
      <c r="H33" s="20">
        <f t="shared" si="1"/>
        <v>388160.24800000002</v>
      </c>
      <c r="I33" s="19" t="str">
        <f t="shared" si="2"/>
        <v/>
      </c>
      <c r="J33" s="41"/>
      <c r="K33" s="70"/>
    </row>
    <row r="34" spans="1:11" ht="15.75">
      <c r="A34" s="28" t="str">
        <v>Oaks Landfill - ANEM</v>
      </c>
      <c r="B34" s="29" t="str">
        <v>ML</v>
      </c>
      <c r="C34" s="24">
        <v>394703.09100000001</v>
      </c>
      <c r="D34" s="13">
        <v>422685.20400000003</v>
      </c>
      <c r="E34" s="13">
        <f t="shared" si="0"/>
        <v>-27982.113000000012</v>
      </c>
      <c r="F34" s="14">
        <f t="shared" si="3"/>
        <v>-6.6200833942604745E-2</v>
      </c>
      <c r="G34" s="15">
        <v>0</v>
      </c>
      <c r="H34" s="15">
        <f t="shared" si="1"/>
        <v>394703.09100000001</v>
      </c>
      <c r="I34" s="16" t="str">
        <f t="shared" si="2"/>
        <v/>
      </c>
      <c r="J34" s="40"/>
      <c r="K34" s="40"/>
    </row>
    <row r="35" spans="1:11" ht="15.75">
      <c r="A35" s="30" t="str">
        <v>Oaks Landfill - CS1</v>
      </c>
      <c r="B35" s="31" t="str">
        <v>ML</v>
      </c>
      <c r="C35" s="11">
        <v>403846.21799999999</v>
      </c>
      <c r="D35" s="18">
        <v>435188.22700000001</v>
      </c>
      <c r="E35" s="18">
        <f t="shared" si="0"/>
        <v>-31342.00900000002</v>
      </c>
      <c r="F35" s="19">
        <f t="shared" si="3"/>
        <v>-7.2019432180089785E-2</v>
      </c>
      <c r="G35" s="20">
        <v>0</v>
      </c>
      <c r="H35" s="20">
        <f t="shared" si="1"/>
        <v>403846.21799999999</v>
      </c>
      <c r="I35" s="19" t="str">
        <f t="shared" si="2"/>
        <v/>
      </c>
      <c r="J35" s="41"/>
      <c r="K35" s="70"/>
    </row>
    <row r="36" spans="1:11" ht="15.75">
      <c r="A36" s="28" t="str">
        <v>Oaks Landfill - CS2</v>
      </c>
      <c r="B36" s="29" t="str">
        <v>ML</v>
      </c>
      <c r="C36" s="24">
        <v>407825.38699999999</v>
      </c>
      <c r="D36" s="13">
        <v>435190.34</v>
      </c>
      <c r="E36" s="13">
        <f t="shared" si="0"/>
        <v>-27364.953000000038</v>
      </c>
      <c r="F36" s="14">
        <f t="shared" si="3"/>
        <v>-6.2880423770435789E-2</v>
      </c>
      <c r="G36" s="15">
        <v>0</v>
      </c>
      <c r="H36" s="15">
        <f t="shared" si="1"/>
        <v>407825.38699999999</v>
      </c>
      <c r="I36" s="16"/>
      <c r="J36" s="40"/>
      <c r="K36" s="40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phoneticPr fontId="41" type="noConversion"/>
  <conditionalFormatting sqref="F2 I2">
    <cfRule type="cellIs" dxfId="27" priority="3" stopIfTrue="1" operator="lessThanOrEqual">
      <formula>-0.1</formula>
    </cfRule>
    <cfRule type="expression" dxfId="26" priority="4">
      <formula>AND(ISNUMBER(F2), F2&gt;=0.1)</formula>
    </cfRule>
  </conditionalFormatting>
  <conditionalFormatting sqref="I4:I100 F4:F100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70" zoomScaleNormal="70" workbookViewId="0">
      <pane xSplit="2" ySplit="3" topLeftCell="C26" activePane="bottomRight" state="frozen"/>
      <selection pane="bottomRight" activeCell="J38" sqref="J38"/>
      <selection pane="bottomLeft" activeCell="K33" sqref="K33"/>
      <selection pane="topRight" activeCell="K33" sqref="K33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Greenbacker Capital</v>
      </c>
      <c r="B1" s="99"/>
      <c r="C1" s="99"/>
      <c r="D1" s="100" t="s">
        <v>189</v>
      </c>
      <c r="E1" s="100"/>
      <c r="F1" s="100"/>
      <c r="G1" s="98" t="s">
        <v>190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5526721.5321066994</v>
      </c>
      <c r="D2" s="5">
        <f>SUM(D4:D100)</f>
        <v>5011182.0792000005</v>
      </c>
      <c r="E2" s="5">
        <f>C2-D2</f>
        <v>515539.45290669892</v>
      </c>
      <c r="F2" s="6">
        <f>IFERROR(E2/D2, 0)</f>
        <v>0.10287781301073801</v>
      </c>
      <c r="G2" s="5">
        <f>SUM(G4:G100)</f>
        <v>3469680.92</v>
      </c>
      <c r="H2" s="7">
        <f>C2-G2</f>
        <v>2057040.6121066995</v>
      </c>
      <c r="I2" s="6">
        <f>IFERROR(H2/G2, 0)</f>
        <v>0.59286160875758553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6">Sites[Site]</f>
        <v>10 Walpole Park South</v>
      </c>
      <c r="B4" s="29" t="str" cm="1">
        <f t="array" ref="B4:B36">Sites[State]</f>
        <v>MA</v>
      </c>
      <c r="C4" s="24">
        <v>17857.4375</v>
      </c>
      <c r="D4" s="13">
        <v>16787.54</v>
      </c>
      <c r="E4" s="13">
        <f>IF(AND(ISNUMBER(C4),ISNUMBER(D4)), C4-D4, "")</f>
        <v>1069.8974999999991</v>
      </c>
      <c r="F4" s="14">
        <f>IFERROR(E4/D4, "")</f>
        <v>6.3731642634954205E-2</v>
      </c>
      <c r="G4" s="15">
        <v>20029.88</v>
      </c>
      <c r="H4" s="15">
        <f>IF(AND(ISNUMBER(C4),ISNUMBER(G4)), C4-G4, "")</f>
        <v>-2172.442500000001</v>
      </c>
      <c r="I4" s="16">
        <f>IFERROR(H4/G4, "")</f>
        <v>-0.10846008563206574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65125</v>
      </c>
      <c r="D5" s="18">
        <v>61341.47</v>
      </c>
      <c r="E5" s="18">
        <f t="shared" ref="E5:E35" si="0">IF(AND(ISNUMBER(C5),ISNUMBER(D5)), C5-D5, "")</f>
        <v>3783.5299999999988</v>
      </c>
      <c r="F5" s="19">
        <f>IFERROR(E5/D5, "")</f>
        <v>6.1679806499583378E-2</v>
      </c>
      <c r="G5" s="20">
        <v>70499.34</v>
      </c>
      <c r="H5" s="20">
        <f t="shared" ref="H5:H35" si="1">IF(AND(ISNUMBER(C5),ISNUMBER(G5)), C5-G5, "")</f>
        <v>-5374.3399999999965</v>
      </c>
      <c r="I5" s="19">
        <f t="shared" ref="I5:I35" si="2">IFERROR(H5/G5, "")</f>
        <v>-7.6232486715478429E-2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41042.25</v>
      </c>
      <c r="D6" s="13">
        <v>38018.07</v>
      </c>
      <c r="E6" s="13">
        <f t="shared" si="0"/>
        <v>3024.1800000000003</v>
      </c>
      <c r="F6" s="14">
        <f t="shared" ref="F6:F35" si="3">IFERROR(E6/D6, "")</f>
        <v>7.9545858061705929E-2</v>
      </c>
      <c r="G6" s="15">
        <v>44969.24</v>
      </c>
      <c r="H6" s="15">
        <f t="shared" si="1"/>
        <v>-3926.989999999998</v>
      </c>
      <c r="I6" s="16">
        <f t="shared" si="2"/>
        <v>-8.7326136710337954E-2</v>
      </c>
      <c r="J6" s="40"/>
      <c r="K6" s="40"/>
    </row>
    <row r="7" spans="1:11" ht="15.75">
      <c r="A7" s="30" t="str">
        <v>23 Walpole Park South</v>
      </c>
      <c r="B7" s="31" t="str">
        <v>MA</v>
      </c>
      <c r="C7" s="11">
        <v>55914.5</v>
      </c>
      <c r="D7" s="18">
        <v>50585.49</v>
      </c>
      <c r="E7" s="18">
        <f t="shared" si="0"/>
        <v>5329.010000000002</v>
      </c>
      <c r="F7" s="19">
        <f t="shared" si="3"/>
        <v>0.10534661223999219</v>
      </c>
      <c r="G7" s="20">
        <v>59319.64</v>
      </c>
      <c r="H7" s="20">
        <f t="shared" si="1"/>
        <v>-3405.1399999999994</v>
      </c>
      <c r="I7" s="19">
        <f t="shared" si="2"/>
        <v>-5.7403247895637929E-2</v>
      </c>
      <c r="J7" s="41"/>
      <c r="K7" s="42"/>
    </row>
    <row r="8" spans="1:11" ht="15.75">
      <c r="A8" s="28" t="str">
        <v>24 Walpole Park South</v>
      </c>
      <c r="B8" s="29" t="str">
        <v>MA</v>
      </c>
      <c r="C8" s="24">
        <v>76628.5</v>
      </c>
      <c r="D8" s="13">
        <v>70634.44</v>
      </c>
      <c r="E8" s="13">
        <f t="shared" si="0"/>
        <v>5994.0599999999977</v>
      </c>
      <c r="F8" s="14">
        <f t="shared" si="3"/>
        <v>8.4860303274153476E-2</v>
      </c>
      <c r="G8" s="15">
        <v>91162.77</v>
      </c>
      <c r="H8" s="15">
        <f t="shared" si="1"/>
        <v>-14534.270000000004</v>
      </c>
      <c r="I8" s="16">
        <f t="shared" si="2"/>
        <v>-0.15943207956493646</v>
      </c>
      <c r="J8" s="40" t="s">
        <v>171</v>
      </c>
      <c r="K8" s="40" t="s">
        <v>172</v>
      </c>
    </row>
    <row r="9" spans="1:11" ht="31.5">
      <c r="A9" s="30" t="str">
        <v>25 Walpole Park South</v>
      </c>
      <c r="B9" s="31" t="str">
        <v>MA</v>
      </c>
      <c r="C9" s="11">
        <v>75523.500000000902</v>
      </c>
      <c r="D9" s="18">
        <v>75766.92</v>
      </c>
      <c r="E9" s="18">
        <f t="shared" si="0"/>
        <v>-243.41999999909604</v>
      </c>
      <c r="F9" s="19">
        <f t="shared" si="3"/>
        <v>-3.2127477268324494E-3</v>
      </c>
      <c r="G9" s="20">
        <v>92176.45</v>
      </c>
      <c r="H9" s="20">
        <f t="shared" si="1"/>
        <v>-16652.949999999095</v>
      </c>
      <c r="I9" s="19">
        <f t="shared" si="2"/>
        <v>-0.18066382465368427</v>
      </c>
      <c r="J9" s="41" t="s">
        <v>191</v>
      </c>
      <c r="K9" s="42" t="s">
        <v>192</v>
      </c>
    </row>
    <row r="10" spans="1:11" ht="28.5">
      <c r="A10" s="28" t="str">
        <v>3 Walpole Park South</v>
      </c>
      <c r="B10" s="29" t="str">
        <v>MA</v>
      </c>
      <c r="C10" s="24">
        <v>104716</v>
      </c>
      <c r="D10" s="13">
        <v>96742.95</v>
      </c>
      <c r="E10" s="13">
        <f>IF(AND(ISNUMBER(C10),ISNUMBER(D10)), C10-D10, "")</f>
        <v>7973.0500000000029</v>
      </c>
      <c r="F10" s="14">
        <f t="shared" si="3"/>
        <v>8.2414790948591124E-2</v>
      </c>
      <c r="G10" s="15">
        <v>109945</v>
      </c>
      <c r="H10" s="15">
        <f t="shared" si="1"/>
        <v>-5229</v>
      </c>
      <c r="I10" s="16">
        <f t="shared" si="2"/>
        <v>-4.7560143708217748E-2</v>
      </c>
      <c r="J10" s="40" t="s">
        <v>193</v>
      </c>
      <c r="K10" s="40" t="s">
        <v>194</v>
      </c>
    </row>
    <row r="11" spans="1:11" ht="15.75">
      <c r="A11" s="30" t="str">
        <v>4 Walpole Park South</v>
      </c>
      <c r="B11" s="31" t="str">
        <v>MA</v>
      </c>
      <c r="C11" s="11">
        <v>57269.5</v>
      </c>
      <c r="D11" s="18">
        <v>53014.98</v>
      </c>
      <c r="E11" s="18">
        <f t="shared" si="0"/>
        <v>4254.5199999999968</v>
      </c>
      <c r="F11" s="19">
        <f t="shared" si="3"/>
        <v>8.0251279921259924E-2</v>
      </c>
      <c r="G11" s="20">
        <v>61015.6</v>
      </c>
      <c r="H11" s="20">
        <f t="shared" si="1"/>
        <v>-3746.0999999999985</v>
      </c>
      <c r="I11" s="19">
        <f t="shared" si="2"/>
        <v>-6.1395774195451634E-2</v>
      </c>
      <c r="J11" s="71"/>
      <c r="K11" s="70"/>
    </row>
    <row r="12" spans="1:11" ht="28.5">
      <c r="A12" s="28" t="str">
        <v>Brockton</v>
      </c>
      <c r="B12" s="29" t="str">
        <v>MA</v>
      </c>
      <c r="C12" s="24">
        <v>95309</v>
      </c>
      <c r="D12" s="13">
        <v>83349.84</v>
      </c>
      <c r="E12" s="13">
        <f t="shared" si="0"/>
        <v>11959.160000000003</v>
      </c>
      <c r="F12" s="14">
        <f t="shared" si="3"/>
        <v>0.14348149918464156</v>
      </c>
      <c r="G12" s="15">
        <v>100764.3</v>
      </c>
      <c r="H12" s="15">
        <f t="shared" si="1"/>
        <v>-5455.3000000000029</v>
      </c>
      <c r="I12" s="16">
        <f t="shared" si="2"/>
        <v>-5.4139213987493613E-2</v>
      </c>
      <c r="J12" s="40" t="s">
        <v>195</v>
      </c>
      <c r="K12" s="40" t="s">
        <v>196</v>
      </c>
    </row>
    <row r="13" spans="1:11" ht="15.75">
      <c r="A13" s="30" t="str">
        <v>Canton</v>
      </c>
      <c r="B13" s="31" t="str">
        <v>MA</v>
      </c>
      <c r="C13" s="11">
        <v>91571.499999999505</v>
      </c>
      <c r="D13" s="18">
        <v>82805.97</v>
      </c>
      <c r="E13" s="18">
        <f t="shared" si="0"/>
        <v>8765.5299999995041</v>
      </c>
      <c r="F13" s="19">
        <f t="shared" si="3"/>
        <v>0.10585625649937443</v>
      </c>
      <c r="G13" s="20">
        <v>100465.4</v>
      </c>
      <c r="H13" s="20">
        <f t="shared" si="1"/>
        <v>-8893.9000000004889</v>
      </c>
      <c r="I13" s="19">
        <f t="shared" si="2"/>
        <v>-8.8526995363582786E-2</v>
      </c>
      <c r="J13" s="41"/>
      <c r="K13" s="42"/>
    </row>
    <row r="14" spans="1:11" ht="15.75">
      <c r="A14" s="28" t="str">
        <v>Chelsea</v>
      </c>
      <c r="B14" s="29" t="str">
        <v>MA</v>
      </c>
      <c r="C14" s="24">
        <v>154403.5</v>
      </c>
      <c r="D14" s="13">
        <v>150065.9</v>
      </c>
      <c r="E14" s="13">
        <f t="shared" si="0"/>
        <v>4337.6000000000058</v>
      </c>
      <c r="F14" s="14">
        <f t="shared" si="3"/>
        <v>2.8904634563881641E-2</v>
      </c>
      <c r="G14" s="15">
        <v>162292.20000000001</v>
      </c>
      <c r="H14" s="15">
        <f t="shared" si="1"/>
        <v>-7888.7000000000116</v>
      </c>
      <c r="I14" s="16">
        <f t="shared" si="2"/>
        <v>-4.8608004574465138E-2</v>
      </c>
      <c r="J14" s="40"/>
      <c r="K14" s="40"/>
    </row>
    <row r="15" spans="1:11" ht="15.75">
      <c r="A15" s="30" t="str">
        <v>Hamilton Landfill</v>
      </c>
      <c r="B15" s="31" t="str">
        <v>MA</v>
      </c>
      <c r="C15" s="11">
        <v>122906.611</v>
      </c>
      <c r="D15" s="18">
        <v>132969.01</v>
      </c>
      <c r="E15" s="18">
        <f t="shared" si="0"/>
        <v>-10062.399000000005</v>
      </c>
      <c r="F15" s="19">
        <f t="shared" si="3"/>
        <v>-7.567476812830301E-2</v>
      </c>
      <c r="G15" s="20">
        <v>0</v>
      </c>
      <c r="H15" s="20">
        <f t="shared" si="1"/>
        <v>122906.611</v>
      </c>
      <c r="I15" s="19" t="str">
        <f t="shared" si="2"/>
        <v/>
      </c>
      <c r="J15" s="41" t="s">
        <v>197</v>
      </c>
      <c r="K15" s="42" t="s">
        <v>198</v>
      </c>
    </row>
    <row r="16" spans="1:11" ht="85.5">
      <c r="A16" s="28" t="str">
        <v>Holliston</v>
      </c>
      <c r="B16" s="29" t="str">
        <v>MA</v>
      </c>
      <c r="C16" s="24">
        <v>224205.93467336599</v>
      </c>
      <c r="D16" s="13">
        <v>253866.2</v>
      </c>
      <c r="E16" s="13">
        <f t="shared" si="0"/>
        <v>-29660.26532663402</v>
      </c>
      <c r="F16" s="14">
        <f t="shared" si="3"/>
        <v>-0.11683424310378467</v>
      </c>
      <c r="G16" s="15">
        <v>266159</v>
      </c>
      <c r="H16" s="15">
        <f t="shared" si="1"/>
        <v>-41953.065326634009</v>
      </c>
      <c r="I16" s="16">
        <f t="shared" si="2"/>
        <v>-0.15762407180156976</v>
      </c>
      <c r="J16" s="40" t="s">
        <v>199</v>
      </c>
      <c r="K16" s="40" t="s">
        <v>200</v>
      </c>
    </row>
    <row r="17" spans="1:11" ht="15.75">
      <c r="A17" s="30" t="str">
        <v>Natick HS - Carports</v>
      </c>
      <c r="B17" s="31" t="str">
        <v>MA</v>
      </c>
      <c r="C17" s="11">
        <v>78591.845000000001</v>
      </c>
      <c r="D17" s="18">
        <v>89392.625499999995</v>
      </c>
      <c r="E17" s="18">
        <f t="shared" si="0"/>
        <v>-10800.780499999993</v>
      </c>
      <c r="F17" s="19">
        <f t="shared" si="3"/>
        <v>-0.12082406618653341</v>
      </c>
      <c r="G17" s="20">
        <v>0</v>
      </c>
      <c r="H17" s="20">
        <f t="shared" si="1"/>
        <v>78591.845000000001</v>
      </c>
      <c r="I17" s="19" t="str">
        <f t="shared" si="2"/>
        <v/>
      </c>
      <c r="J17" s="41"/>
      <c r="K17" s="42"/>
    </row>
    <row r="18" spans="1:11" ht="12.75" customHeight="1">
      <c r="A18" s="32" t="str">
        <v>Norton</v>
      </c>
      <c r="B18" s="29" t="str">
        <v>MA</v>
      </c>
      <c r="C18" s="24"/>
      <c r="D18" s="13"/>
      <c r="E18" s="13" t="str">
        <f t="shared" si="0"/>
        <v/>
      </c>
      <c r="F18" s="14" t="str">
        <f t="shared" si="3"/>
        <v/>
      </c>
      <c r="G18" s="15"/>
      <c r="H18" s="15" t="str">
        <f t="shared" si="1"/>
        <v/>
      </c>
      <c r="I18" s="16" t="str">
        <f t="shared" si="2"/>
        <v/>
      </c>
      <c r="J18" s="40" t="s">
        <v>92</v>
      </c>
      <c r="K18" s="40" t="s">
        <v>93</v>
      </c>
    </row>
    <row r="19" spans="1:11" ht="15.75">
      <c r="A19" s="30" t="str">
        <v>Palmer - Boston Rd.</v>
      </c>
      <c r="B19" s="31" t="str">
        <v>MA</v>
      </c>
      <c r="C19" s="11">
        <v>75293.5</v>
      </c>
      <c r="D19" s="18">
        <v>68533.02</v>
      </c>
      <c r="E19" s="18">
        <f t="shared" si="0"/>
        <v>6760.4799999999959</v>
      </c>
      <c r="F19" s="19">
        <f t="shared" si="3"/>
        <v>9.8645587192859666E-2</v>
      </c>
      <c r="G19" s="20">
        <v>80844</v>
      </c>
      <c r="H19" s="20">
        <f t="shared" si="1"/>
        <v>-5550.5</v>
      </c>
      <c r="I19" s="19">
        <f t="shared" si="2"/>
        <v>-6.865691949928257E-2</v>
      </c>
      <c r="J19" s="41"/>
      <c r="K19" s="41"/>
    </row>
    <row r="20" spans="1:11" ht="28.5">
      <c r="A20" s="28" t="str">
        <v>Shirley Bartkus</v>
      </c>
      <c r="B20" s="29" t="str">
        <v>MA</v>
      </c>
      <c r="C20" s="24">
        <v>124543</v>
      </c>
      <c r="D20" s="13"/>
      <c r="E20" s="13" t="str">
        <f t="shared" si="0"/>
        <v/>
      </c>
      <c r="F20" s="14" t="str">
        <f t="shared" si="3"/>
        <v/>
      </c>
      <c r="G20" s="15">
        <v>138832</v>
      </c>
      <c r="H20" s="15">
        <f t="shared" si="1"/>
        <v>-14289</v>
      </c>
      <c r="I20" s="16">
        <f t="shared" si="2"/>
        <v>-0.10292295724328684</v>
      </c>
      <c r="J20" s="40" t="s">
        <v>201</v>
      </c>
      <c r="K20" s="40" t="s">
        <v>202</v>
      </c>
    </row>
    <row r="21" spans="1:11" ht="15.75">
      <c r="A21" s="30" t="str">
        <v>Stoughton</v>
      </c>
      <c r="B21" s="31" t="str">
        <v>MA</v>
      </c>
      <c r="C21" s="11">
        <v>107686.5</v>
      </c>
      <c r="D21" s="18">
        <v>59376.27</v>
      </c>
      <c r="E21" s="18">
        <f t="shared" si="0"/>
        <v>48310.23</v>
      </c>
      <c r="F21" s="19">
        <f t="shared" si="3"/>
        <v>0.81362857586035642</v>
      </c>
      <c r="G21" s="20">
        <v>110489.8</v>
      </c>
      <c r="H21" s="20">
        <f t="shared" si="1"/>
        <v>-2803.3000000000029</v>
      </c>
      <c r="I21" s="19">
        <f t="shared" si="2"/>
        <v>-2.5371572760562539E-2</v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>
        <v>138314.82500000001</v>
      </c>
      <c r="D22" s="13">
        <v>158181.489</v>
      </c>
      <c r="E22" s="13">
        <f t="shared" si="0"/>
        <v>-19866.66399999999</v>
      </c>
      <c r="F22" s="14">
        <f t="shared" si="3"/>
        <v>-0.12559411423924571</v>
      </c>
      <c r="G22" s="15">
        <v>0</v>
      </c>
      <c r="H22" s="15">
        <f t="shared" si="1"/>
        <v>138314.82500000001</v>
      </c>
      <c r="I22" s="16" t="str">
        <f t="shared" si="2"/>
        <v/>
      </c>
      <c r="J22" s="40"/>
      <c r="K22" s="40"/>
    </row>
    <row r="23" spans="1:11" ht="31.5">
      <c r="A23" s="30" t="str">
        <v>Wilmington Garage &amp; Building 7</v>
      </c>
      <c r="B23" s="31" t="str">
        <v>MA</v>
      </c>
      <c r="C23" s="11">
        <v>151451.75</v>
      </c>
      <c r="D23" s="18">
        <v>148980.70000000001</v>
      </c>
      <c r="E23" s="18">
        <f t="shared" si="0"/>
        <v>2471.0499999999884</v>
      </c>
      <c r="F23" s="19">
        <f t="shared" si="3"/>
        <v>1.658637662462311E-2</v>
      </c>
      <c r="G23" s="20">
        <v>171021.8</v>
      </c>
      <c r="H23" s="20">
        <f t="shared" si="1"/>
        <v>-19570.049999999988</v>
      </c>
      <c r="I23" s="19">
        <f t="shared" si="2"/>
        <v>-0.11443014867110503</v>
      </c>
      <c r="J23" s="41" t="s">
        <v>203</v>
      </c>
      <c r="K23" s="42" t="s">
        <v>204</v>
      </c>
    </row>
    <row r="24" spans="1:11" ht="15.75">
      <c r="A24" s="28" t="str">
        <v>Woburn</v>
      </c>
      <c r="B24" s="29" t="str">
        <v>MA</v>
      </c>
      <c r="C24" s="24">
        <v>220309</v>
      </c>
      <c r="D24" s="13">
        <v>212165.6</v>
      </c>
      <c r="E24" s="13">
        <f t="shared" si="0"/>
        <v>8143.3999999999942</v>
      </c>
      <c r="F24" s="14">
        <f t="shared" si="3"/>
        <v>3.8382282518938007E-2</v>
      </c>
      <c r="G24" s="15">
        <v>249057.6</v>
      </c>
      <c r="H24" s="15">
        <f t="shared" si="1"/>
        <v>-28748.600000000006</v>
      </c>
      <c r="I24" s="16">
        <f t="shared" si="2"/>
        <v>-0.11542952313039234</v>
      </c>
      <c r="J24" s="40"/>
      <c r="K24" s="40"/>
    </row>
    <row r="25" spans="1:11" ht="31.5">
      <c r="A25" s="30" t="str">
        <v>Friendship Solar 1</v>
      </c>
      <c r="B25" s="31" t="str">
        <v>MD</v>
      </c>
      <c r="C25" s="11">
        <v>425879</v>
      </c>
      <c r="D25" s="18">
        <v>489395.6</v>
      </c>
      <c r="E25" s="18">
        <f t="shared" si="0"/>
        <v>-63516.599999999977</v>
      </c>
      <c r="F25" s="19">
        <f t="shared" si="3"/>
        <v>-0.12978580109833432</v>
      </c>
      <c r="G25" s="20">
        <v>537272.19999999995</v>
      </c>
      <c r="H25" s="20">
        <f t="shared" si="1"/>
        <v>-111393.19999999995</v>
      </c>
      <c r="I25" s="19">
        <f t="shared" si="2"/>
        <v>-0.20733103257529417</v>
      </c>
      <c r="J25" s="41" t="s">
        <v>205</v>
      </c>
      <c r="K25" s="42" t="s">
        <v>206</v>
      </c>
    </row>
    <row r="26" spans="1:11" ht="28.5">
      <c r="A26" s="28" t="str">
        <v>Friendship Solar 2</v>
      </c>
      <c r="B26" s="29" t="str">
        <v>MD</v>
      </c>
      <c r="C26" s="24">
        <v>426758</v>
      </c>
      <c r="D26" s="13">
        <v>489129.2</v>
      </c>
      <c r="E26" s="13">
        <f t="shared" si="0"/>
        <v>-62371.200000000012</v>
      </c>
      <c r="F26" s="14">
        <f t="shared" si="3"/>
        <v>-0.12751477523729929</v>
      </c>
      <c r="G26" s="15">
        <v>534863.4</v>
      </c>
      <c r="H26" s="15">
        <f t="shared" si="1"/>
        <v>-108105.40000000002</v>
      </c>
      <c r="I26" s="16">
        <f t="shared" si="2"/>
        <v>-0.20211777437005415</v>
      </c>
      <c r="J26" s="40" t="s">
        <v>205</v>
      </c>
      <c r="K26" s="40" t="s">
        <v>207</v>
      </c>
    </row>
    <row r="27" spans="1:11" ht="15.75">
      <c r="A27" s="30" t="str">
        <v>101 Carnegie Center</v>
      </c>
      <c r="B27" s="31" t="str">
        <v>NJ</v>
      </c>
      <c r="C27" s="11">
        <v>188238</v>
      </c>
      <c r="D27" s="18">
        <v>223715</v>
      </c>
      <c r="E27" s="18">
        <f t="shared" si="0"/>
        <v>-35477</v>
      </c>
      <c r="F27" s="19">
        <f t="shared" si="3"/>
        <v>-0.15858123058355497</v>
      </c>
      <c r="G27" s="20">
        <v>0</v>
      </c>
      <c r="H27" s="20">
        <v>188237.967</v>
      </c>
      <c r="I27" s="19" t="str">
        <f t="shared" si="2"/>
        <v/>
      </c>
      <c r="J27" s="41" t="s">
        <v>185</v>
      </c>
      <c r="K27" s="42" t="s">
        <v>186</v>
      </c>
    </row>
    <row r="28" spans="1:11" ht="15.75">
      <c r="A28" s="28" t="str">
        <v>302 Carnegie Center</v>
      </c>
      <c r="B28" s="29" t="str">
        <v>NJ</v>
      </c>
      <c r="C28" s="24">
        <v>81616.841799999995</v>
      </c>
      <c r="D28" s="13">
        <v>85471.837700000004</v>
      </c>
      <c r="E28" s="13">
        <f t="shared" si="0"/>
        <v>-3854.995900000009</v>
      </c>
      <c r="F28" s="14">
        <f t="shared" si="3"/>
        <v>-4.5102527379027077E-2</v>
      </c>
      <c r="G28" s="15">
        <v>0</v>
      </c>
      <c r="H28" s="15">
        <f t="shared" si="1"/>
        <v>81616.841799999995</v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>
        <v>207380.217</v>
      </c>
      <c r="D29" s="18">
        <v>234190.6</v>
      </c>
      <c r="E29" s="18">
        <f t="shared" si="0"/>
        <v>-26810.383000000002</v>
      </c>
      <c r="F29" s="19">
        <f t="shared" si="3"/>
        <v>-0.11448103809461183</v>
      </c>
      <c r="G29" s="20">
        <v>0</v>
      </c>
      <c r="H29" s="20">
        <f t="shared" si="1"/>
        <v>207380.217</v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>
        <v>160176.685</v>
      </c>
      <c r="D30" s="13">
        <v>188370.34599999999</v>
      </c>
      <c r="E30" s="13">
        <f t="shared" si="0"/>
        <v>-28193.660999999993</v>
      </c>
      <c r="F30" s="14">
        <f t="shared" si="3"/>
        <v>-0.14967144032320243</v>
      </c>
      <c r="G30" s="15">
        <v>0</v>
      </c>
      <c r="H30" s="15">
        <f t="shared" si="1"/>
        <v>160176.685</v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>
        <v>218796.21913333301</v>
      </c>
      <c r="D31" s="18">
        <v>185816.9</v>
      </c>
      <c r="E31" s="18">
        <f t="shared" si="0"/>
        <v>32979.319133333018</v>
      </c>
      <c r="F31" s="19">
        <f t="shared" si="3"/>
        <v>0.17748288306032992</v>
      </c>
      <c r="G31" s="20">
        <v>227257.3</v>
      </c>
      <c r="H31" s="20">
        <f t="shared" si="1"/>
        <v>-8461.0808666669764</v>
      </c>
      <c r="I31" s="19">
        <f t="shared" si="2"/>
        <v>-3.7231283072829684E-2</v>
      </c>
      <c r="J31" s="41"/>
      <c r="K31" s="42"/>
    </row>
    <row r="32" spans="1:11" ht="15.75">
      <c r="A32" s="28" t="str">
        <v>ER Bison Solar</v>
      </c>
      <c r="B32" s="29" t="str">
        <v>PA</v>
      </c>
      <c r="C32" s="24">
        <v>218165</v>
      </c>
      <c r="D32" s="13">
        <v>0</v>
      </c>
      <c r="E32" s="13">
        <f t="shared" si="0"/>
        <v>218165</v>
      </c>
      <c r="F32" s="14" t="str">
        <f t="shared" si="3"/>
        <v/>
      </c>
      <c r="G32" s="15">
        <v>241244</v>
      </c>
      <c r="H32" s="15">
        <f t="shared" si="1"/>
        <v>-23079</v>
      </c>
      <c r="I32" s="16">
        <f t="shared" si="2"/>
        <v>-9.5666627978312407E-2</v>
      </c>
      <c r="J32" s="40" t="s">
        <v>208</v>
      </c>
      <c r="K32" s="40" t="s">
        <v>209</v>
      </c>
    </row>
    <row r="33" spans="1:11" ht="31.5">
      <c r="A33" s="30" t="str">
        <v>Danville</v>
      </c>
      <c r="B33" s="31" t="str">
        <v>IL</v>
      </c>
      <c r="C33" s="11">
        <v>404992.53100000002</v>
      </c>
      <c r="D33" s="18">
        <v>0</v>
      </c>
      <c r="E33" s="18">
        <f t="shared" si="0"/>
        <v>404992.53100000002</v>
      </c>
      <c r="F33" s="19" t="str">
        <f t="shared" si="3"/>
        <v/>
      </c>
      <c r="G33" s="20">
        <v>0</v>
      </c>
      <c r="H33" s="20">
        <f t="shared" si="1"/>
        <v>404992.53100000002</v>
      </c>
      <c r="I33" s="19" t="str">
        <f t="shared" si="2"/>
        <v/>
      </c>
      <c r="J33" s="71" t="s">
        <v>210</v>
      </c>
      <c r="K33" s="70" t="s">
        <v>211</v>
      </c>
    </row>
    <row r="34" spans="1:11" ht="15.75">
      <c r="A34" s="28" t="str">
        <v>Oaks Landfill - ANEM</v>
      </c>
      <c r="B34" s="29" t="str">
        <v>ML</v>
      </c>
      <c r="C34" s="24">
        <v>365441.88500000001</v>
      </c>
      <c r="D34" s="13">
        <v>396463.91100000002</v>
      </c>
      <c r="E34" s="13">
        <f t="shared" si="0"/>
        <v>-31022.026000000013</v>
      </c>
      <c r="F34" s="14">
        <f t="shared" si="3"/>
        <v>-7.8246783980295276E-2</v>
      </c>
      <c r="G34" s="15">
        <v>0</v>
      </c>
      <c r="H34" s="15">
        <f t="shared" si="1"/>
        <v>365441.88500000001</v>
      </c>
      <c r="I34" s="16" t="str">
        <f t="shared" si="2"/>
        <v/>
      </c>
      <c r="J34" s="40" t="s">
        <v>212</v>
      </c>
      <c r="K34" s="40" t="s">
        <v>213</v>
      </c>
    </row>
    <row r="35" spans="1:11" ht="31.5">
      <c r="A35" s="30" t="str">
        <v>Oaks Landfill - CS1</v>
      </c>
      <c r="B35" s="31" t="str">
        <v>ML</v>
      </c>
      <c r="C35" s="11">
        <v>375001</v>
      </c>
      <c r="D35" s="18">
        <v>408023.2</v>
      </c>
      <c r="E35" s="18">
        <f t="shared" ref="E35:E36" si="4">IF(AND(ISNUMBER(C35),ISNUMBER(D35)), C35-D35, "")</f>
        <v>-33022.200000000012</v>
      </c>
      <c r="F35" s="19">
        <f t="shared" ref="F35:F36" si="5">IFERROR(E35/D35, "")</f>
        <v>-8.0932162680945621E-2</v>
      </c>
      <c r="G35" s="20">
        <v>0</v>
      </c>
      <c r="H35" s="20">
        <f t="shared" ref="H35:H36" si="6">IF(AND(ISNUMBER(C35),ISNUMBER(G35)), C35-G35, "")</f>
        <v>375001</v>
      </c>
      <c r="I35" s="19" t="str">
        <f t="shared" ref="I35:I36" si="7">IFERROR(H35/G35, "")</f>
        <v/>
      </c>
      <c r="J35" s="71" t="s">
        <v>214</v>
      </c>
      <c r="K35" s="70" t="s">
        <v>211</v>
      </c>
    </row>
    <row r="36" spans="1:11" ht="15.75">
      <c r="A36" s="28" t="str">
        <v>Oaks Landfill - CS2</v>
      </c>
      <c r="B36" s="29" t="str">
        <v>ML</v>
      </c>
      <c r="C36" s="24">
        <v>375612.5</v>
      </c>
      <c r="D36" s="13">
        <v>408027</v>
      </c>
      <c r="E36" s="13">
        <f t="shared" si="4"/>
        <v>-32414.5</v>
      </c>
      <c r="F36" s="14">
        <f t="shared" si="5"/>
        <v>-7.9442046727299903E-2</v>
      </c>
      <c r="G36" s="15">
        <v>0</v>
      </c>
      <c r="H36" s="15">
        <f t="shared" si="6"/>
        <v>375612.5</v>
      </c>
      <c r="I36" s="16" t="str">
        <f t="shared" si="7"/>
        <v/>
      </c>
      <c r="J36" s="40"/>
      <c r="K36" s="40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phoneticPr fontId="41" type="noConversion"/>
  <conditionalFormatting sqref="F2 I2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conditionalFormatting sqref="F4:F100 I4:I100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70" zoomScaleNormal="70" workbookViewId="0">
      <pane xSplit="2" ySplit="3" topLeftCell="C30" activePane="bottomRight" state="frozen"/>
      <selection pane="bottomRight" activeCell="C35" sqref="C35"/>
      <selection pane="bottomLeft" activeCell="H34" sqref="H34"/>
      <selection pane="topRight" activeCell="H34" sqref="H34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Greenbacker Capital</v>
      </c>
      <c r="B1" s="99"/>
      <c r="C1" s="99"/>
      <c r="D1" s="100" t="s">
        <v>215</v>
      </c>
      <c r="E1" s="100"/>
      <c r="F1" s="100"/>
      <c r="G1" s="98" t="s">
        <v>216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4530007.0735628745</v>
      </c>
      <c r="D2" s="5">
        <f>SUM(D4:D100)</f>
        <v>4001878.1170999999</v>
      </c>
      <c r="E2" s="5">
        <f>C2-D2</f>
        <v>528128.95646287454</v>
      </c>
      <c r="F2" s="6">
        <f>IFERROR(E2/D2, 0)</f>
        <v>0.13197027520807864</v>
      </c>
      <c r="G2" s="5">
        <f>SUM(G4:G100)</f>
        <v>2829061.9299999997</v>
      </c>
      <c r="H2" s="7">
        <f>C2-G2</f>
        <v>1700945.1435628748</v>
      </c>
      <c r="I2" s="6">
        <f>IFERROR(H2/G2, 0)</f>
        <v>0.60123998189140915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6">Sites[Site]</f>
        <v>10 Walpole Park South</v>
      </c>
      <c r="B4" s="29" t="str" cm="1">
        <f t="array" ref="B4:B36">Sites[State]</f>
        <v>MA</v>
      </c>
      <c r="C4" s="24">
        <v>14863.75</v>
      </c>
      <c r="D4" s="13">
        <v>13281.19</v>
      </c>
      <c r="E4" s="13">
        <f>IF(AND(ISNUMBER(C4),ISNUMBER(D4)), C4-D4, "")</f>
        <v>1582.5599999999995</v>
      </c>
      <c r="F4" s="14">
        <f>IFERROR(E4/D4, "")</f>
        <v>0.11915799713730467</v>
      </c>
      <c r="G4" s="15">
        <v>16932.91</v>
      </c>
      <c r="H4" s="15">
        <f>IF(AND(ISNUMBER(C4),ISNUMBER(G4)), C4-G4, "")</f>
        <v>-2069.16</v>
      </c>
      <c r="I4" s="16">
        <f>IFERROR(H4/G4, "")</f>
        <v>-0.12219754312755456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54408.5</v>
      </c>
      <c r="D5" s="18">
        <v>50967.48</v>
      </c>
      <c r="E5" s="18">
        <f t="shared" ref="E5:E36" si="0">IF(AND(ISNUMBER(C5),ISNUMBER(D5)), C5-D5, "")</f>
        <v>3441.0199999999968</v>
      </c>
      <c r="F5" s="19">
        <f>IFERROR(E5/D5, "")</f>
        <v>6.7514030515144097E-2</v>
      </c>
      <c r="G5" s="20">
        <v>59450.29</v>
      </c>
      <c r="H5" s="20">
        <f t="shared" ref="H5:H36" si="1">IF(AND(ISNUMBER(C5),ISNUMBER(G5)), C5-G5, "")</f>
        <v>-5041.7900000000009</v>
      </c>
      <c r="I5" s="19">
        <f t="shared" ref="I5:I36" si="2">IFERROR(H5/G5, "")</f>
        <v>-8.4806819277080073E-2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33685.375</v>
      </c>
      <c r="D6" s="13">
        <v>30977.279999999999</v>
      </c>
      <c r="E6" s="13">
        <f t="shared" si="0"/>
        <v>2708.0950000000012</v>
      </c>
      <c r="F6" s="14">
        <f t="shared" ref="F6:F36" si="3">IFERROR(E6/D6, "")</f>
        <v>8.7421975073344121E-2</v>
      </c>
      <c r="G6" s="15">
        <v>37895.300000000003</v>
      </c>
      <c r="H6" s="15">
        <f t="shared" si="1"/>
        <v>-4209.9250000000029</v>
      </c>
      <c r="I6" s="16">
        <f t="shared" si="2"/>
        <v>-0.11109359208133997</v>
      </c>
      <c r="J6" s="40"/>
      <c r="K6" s="40"/>
    </row>
    <row r="7" spans="1:11" ht="31.5">
      <c r="A7" s="30" t="str">
        <v>23 Walpole Park South</v>
      </c>
      <c r="B7" s="31" t="str">
        <v>MA</v>
      </c>
      <c r="C7" s="11">
        <v>46212.5</v>
      </c>
      <c r="D7" s="18">
        <v>41125.519999999997</v>
      </c>
      <c r="E7" s="18">
        <f t="shared" si="0"/>
        <v>5086.9800000000032</v>
      </c>
      <c r="F7" s="19">
        <f t="shared" si="3"/>
        <v>0.12369399827649605</v>
      </c>
      <c r="G7" s="20">
        <v>49688.05</v>
      </c>
      <c r="H7" s="20">
        <f t="shared" si="1"/>
        <v>-3475.5500000000029</v>
      </c>
      <c r="I7" s="19">
        <f t="shared" si="2"/>
        <v>-6.9947401840080317E-2</v>
      </c>
      <c r="J7" s="71" t="s">
        <v>217</v>
      </c>
      <c r="K7" s="73" t="s">
        <v>218</v>
      </c>
    </row>
    <row r="8" spans="1:11" ht="15.75">
      <c r="A8" s="28" t="str">
        <v>24 Walpole Park South</v>
      </c>
      <c r="B8" s="29" t="str">
        <v>MA</v>
      </c>
      <c r="C8" s="24">
        <v>63072.279999999802</v>
      </c>
      <c r="D8" s="13">
        <v>55740.7</v>
      </c>
      <c r="E8" s="13">
        <f t="shared" si="0"/>
        <v>7331.5799999998053</v>
      </c>
      <c r="F8" s="14">
        <f t="shared" si="3"/>
        <v>0.13153010277947363</v>
      </c>
      <c r="G8" s="15">
        <v>76431.91</v>
      </c>
      <c r="H8" s="15">
        <f t="shared" si="1"/>
        <v>-13359.630000000201</v>
      </c>
      <c r="I8" s="16">
        <f t="shared" si="2"/>
        <v>-0.1747912619218884</v>
      </c>
      <c r="J8" s="40" t="s">
        <v>171</v>
      </c>
      <c r="K8" s="40" t="s">
        <v>172</v>
      </c>
    </row>
    <row r="9" spans="1:11" ht="15.75">
      <c r="A9" s="30" t="str">
        <v>25 Walpole Park South</v>
      </c>
      <c r="B9" s="31" t="str">
        <v>MA</v>
      </c>
      <c r="C9" s="11">
        <v>64038.886250000003</v>
      </c>
      <c r="D9" s="18">
        <v>62358.55</v>
      </c>
      <c r="E9" s="18">
        <f t="shared" si="0"/>
        <v>1680.3362500000003</v>
      </c>
      <c r="F9" s="19">
        <f t="shared" si="3"/>
        <v>2.6946365013298099E-2</v>
      </c>
      <c r="G9" s="20">
        <v>77406.2</v>
      </c>
      <c r="H9" s="20">
        <f t="shared" si="1"/>
        <v>-13367.313749999994</v>
      </c>
      <c r="I9" s="19">
        <f t="shared" si="2"/>
        <v>-0.17269047892804446</v>
      </c>
      <c r="J9" s="85" t="s">
        <v>173</v>
      </c>
      <c r="K9" s="42" t="s">
        <v>174</v>
      </c>
    </row>
    <row r="10" spans="1:11" ht="15.75">
      <c r="A10" s="28" t="str">
        <v>3 Walpole Park South</v>
      </c>
      <c r="B10" s="29" t="str">
        <v>MA</v>
      </c>
      <c r="C10" s="24">
        <v>84852.140000000596</v>
      </c>
      <c r="D10" s="13">
        <v>77923.67</v>
      </c>
      <c r="E10" s="13">
        <f t="shared" si="0"/>
        <v>6928.4700000005978</v>
      </c>
      <c r="F10" s="14">
        <f t="shared" si="3"/>
        <v>8.8913548348025673E-2</v>
      </c>
      <c r="G10" s="15">
        <v>91581.91</v>
      </c>
      <c r="H10" s="15">
        <f t="shared" si="1"/>
        <v>-6729.7699999994074</v>
      </c>
      <c r="I10" s="16">
        <f t="shared" si="2"/>
        <v>-7.3483617015624669E-2</v>
      </c>
      <c r="J10" s="40" t="s">
        <v>219</v>
      </c>
      <c r="K10" s="40" t="s">
        <v>194</v>
      </c>
    </row>
    <row r="11" spans="1:11" ht="15.75">
      <c r="A11" s="30" t="str">
        <v>4 Walpole Park South</v>
      </c>
      <c r="B11" s="31" t="str">
        <v>MA</v>
      </c>
      <c r="C11" s="11">
        <v>47370</v>
      </c>
      <c r="D11" s="18">
        <v>43897.53</v>
      </c>
      <c r="E11" s="18">
        <f t="shared" si="0"/>
        <v>3472.4700000000012</v>
      </c>
      <c r="F11" s="19">
        <f t="shared" si="3"/>
        <v>7.9103995145057171E-2</v>
      </c>
      <c r="G11" s="20">
        <v>51480.72</v>
      </c>
      <c r="H11" s="20">
        <f t="shared" si="1"/>
        <v>-4110.7200000000012</v>
      </c>
      <c r="I11" s="19">
        <f t="shared" si="2"/>
        <v>-7.9849699071807875E-2</v>
      </c>
      <c r="J11" s="41"/>
      <c r="K11" s="42"/>
    </row>
    <row r="12" spans="1:11" ht="28.5">
      <c r="A12" s="28" t="str">
        <v>Brockton</v>
      </c>
      <c r="B12" s="29" t="str">
        <v>MA</v>
      </c>
      <c r="C12" s="24">
        <v>78192</v>
      </c>
      <c r="D12" s="13">
        <v>66932.960000000006</v>
      </c>
      <c r="E12" s="13">
        <f t="shared" si="0"/>
        <v>11259.039999999994</v>
      </c>
      <c r="F12" s="14">
        <f t="shared" si="3"/>
        <v>0.16821368724765784</v>
      </c>
      <c r="G12" s="15">
        <v>82302.7</v>
      </c>
      <c r="H12" s="15">
        <f t="shared" si="1"/>
        <v>-4110.6999999999971</v>
      </c>
      <c r="I12" s="16">
        <f t="shared" si="2"/>
        <v>-4.9946113553990298E-2</v>
      </c>
      <c r="J12" s="40" t="s">
        <v>195</v>
      </c>
      <c r="K12" s="40" t="s">
        <v>196</v>
      </c>
    </row>
    <row r="13" spans="1:11" ht="31.5">
      <c r="A13" s="30" t="str">
        <v>Canton</v>
      </c>
      <c r="B13" s="31" t="str">
        <v>MA</v>
      </c>
      <c r="C13" s="11">
        <v>75471.5</v>
      </c>
      <c r="D13" s="18">
        <v>68742.17</v>
      </c>
      <c r="E13" s="18">
        <f t="shared" si="0"/>
        <v>6729.3300000000017</v>
      </c>
      <c r="F13" s="19">
        <f t="shared" si="3"/>
        <v>9.7892312680847901E-2</v>
      </c>
      <c r="G13" s="20">
        <v>82235.100000000006</v>
      </c>
      <c r="H13" s="20">
        <f t="shared" si="1"/>
        <v>-6763.6000000000058</v>
      </c>
      <c r="I13" s="19">
        <f t="shared" si="2"/>
        <v>-8.2247118322954615E-2</v>
      </c>
      <c r="J13" s="41" t="s">
        <v>220</v>
      </c>
      <c r="K13" s="42" t="s">
        <v>221</v>
      </c>
    </row>
    <row r="14" spans="1:11" ht="15.75">
      <c r="A14" s="28" t="str">
        <v>Chelsea</v>
      </c>
      <c r="B14" s="29" t="str">
        <v>MA</v>
      </c>
      <c r="C14" s="24">
        <v>132514</v>
      </c>
      <c r="D14" s="13">
        <v>129038.8</v>
      </c>
      <c r="E14" s="13">
        <f t="shared" si="0"/>
        <v>3475.1999999999971</v>
      </c>
      <c r="F14" s="14">
        <f t="shared" si="3"/>
        <v>2.6931434576266958E-2</v>
      </c>
      <c r="G14" s="15">
        <v>134327.4</v>
      </c>
      <c r="H14" s="15">
        <f t="shared" si="1"/>
        <v>-1813.3999999999942</v>
      </c>
      <c r="I14" s="16">
        <f t="shared" si="2"/>
        <v>-1.3499851854498741E-2</v>
      </c>
      <c r="J14" s="40"/>
      <c r="K14" s="40"/>
    </row>
    <row r="15" spans="1:11" ht="15.75">
      <c r="A15" s="30" t="str">
        <v>Hamilton Landfill</v>
      </c>
      <c r="B15" s="31" t="str">
        <v>MA</v>
      </c>
      <c r="C15" s="11">
        <v>109243.283</v>
      </c>
      <c r="D15" s="18">
        <v>116698.85799999999</v>
      </c>
      <c r="E15" s="18">
        <f t="shared" si="0"/>
        <v>-7455.5749999999971</v>
      </c>
      <c r="F15" s="19">
        <f t="shared" si="3"/>
        <v>-6.38873004224257E-2</v>
      </c>
      <c r="G15" s="20">
        <v>0</v>
      </c>
      <c r="H15" s="20">
        <f t="shared" si="1"/>
        <v>109243.283</v>
      </c>
      <c r="I15" s="19" t="str">
        <f t="shared" si="2"/>
        <v/>
      </c>
      <c r="J15" s="41" t="s">
        <v>197</v>
      </c>
      <c r="K15" s="42" t="s">
        <v>198</v>
      </c>
    </row>
    <row r="16" spans="1:11" ht="78" customHeight="1">
      <c r="A16" s="28" t="str">
        <v>Holliston</v>
      </c>
      <c r="B16" s="29" t="str">
        <v>MA</v>
      </c>
      <c r="C16" s="24">
        <v>179111.06532663401</v>
      </c>
      <c r="D16" s="13">
        <v>200400.5</v>
      </c>
      <c r="E16" s="13">
        <f t="shared" si="0"/>
        <v>-21289.434673365991</v>
      </c>
      <c r="F16" s="14">
        <f t="shared" si="3"/>
        <v>-0.10623443890292684</v>
      </c>
      <c r="G16" s="15">
        <v>210212.1</v>
      </c>
      <c r="H16" s="15">
        <f t="shared" si="1"/>
        <v>-31101.034673365997</v>
      </c>
      <c r="I16" s="16">
        <f t="shared" si="2"/>
        <v>-0.14795073486904892</v>
      </c>
      <c r="J16" s="40" t="s">
        <v>222</v>
      </c>
      <c r="K16" s="40" t="s">
        <v>223</v>
      </c>
    </row>
    <row r="17" spans="1:11" ht="15.75">
      <c r="A17" s="30" t="str">
        <v>Natick HS - Carports</v>
      </c>
      <c r="B17" s="31" t="str">
        <v>MA</v>
      </c>
      <c r="C17" s="11">
        <v>64629.2353</v>
      </c>
      <c r="D17" s="18">
        <v>74301.646299999993</v>
      </c>
      <c r="E17" s="18">
        <f t="shared" si="0"/>
        <v>-9672.4109999999928</v>
      </c>
      <c r="F17" s="19">
        <f t="shared" si="3"/>
        <v>-0.13017761357462673</v>
      </c>
      <c r="G17" s="20">
        <v>0</v>
      </c>
      <c r="H17" s="20">
        <f t="shared" si="1"/>
        <v>64629.2353</v>
      </c>
      <c r="I17" s="19" t="str">
        <f t="shared" si="2"/>
        <v/>
      </c>
      <c r="J17" s="41"/>
      <c r="K17" s="42"/>
    </row>
    <row r="18" spans="1:11" ht="18.75" customHeight="1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0</v>
      </c>
      <c r="H18" s="15">
        <f t="shared" si="1"/>
        <v>0</v>
      </c>
      <c r="I18" s="16" t="str">
        <f t="shared" si="2"/>
        <v/>
      </c>
      <c r="J18" s="40" t="s">
        <v>92</v>
      </c>
      <c r="K18" s="40" t="s">
        <v>93</v>
      </c>
    </row>
    <row r="19" spans="1:11" ht="15.75">
      <c r="A19" s="30" t="str">
        <v>Palmer - Boston Rd.</v>
      </c>
      <c r="B19" s="31" t="str">
        <v>MA</v>
      </c>
      <c r="C19" s="11">
        <v>70383.5</v>
      </c>
      <c r="D19" s="18">
        <v>68190.97</v>
      </c>
      <c r="E19" s="18">
        <f t="shared" si="0"/>
        <v>2192.5299999999988</v>
      </c>
      <c r="F19" s="19">
        <f t="shared" si="3"/>
        <v>3.215279090471948E-2</v>
      </c>
      <c r="G19" s="20">
        <v>71143</v>
      </c>
      <c r="H19" s="20">
        <f t="shared" si="1"/>
        <v>-759.5</v>
      </c>
      <c r="I19" s="19">
        <f t="shared" si="2"/>
        <v>-1.0675681374133788E-2</v>
      </c>
      <c r="J19" s="41"/>
      <c r="K19" s="41"/>
    </row>
    <row r="20" spans="1:11" ht="28.5">
      <c r="A20" s="28" t="str">
        <v>Shirley Bartkus</v>
      </c>
      <c r="B20" s="29" t="str">
        <v>MA</v>
      </c>
      <c r="C20" s="24">
        <v>114572.386579572</v>
      </c>
      <c r="D20" s="13"/>
      <c r="E20" s="13" t="str">
        <f t="shared" si="0"/>
        <v/>
      </c>
      <c r="F20" s="14" t="str">
        <f t="shared" si="3"/>
        <v/>
      </c>
      <c r="G20" s="15">
        <v>107941</v>
      </c>
      <c r="H20" s="15">
        <f t="shared" si="1"/>
        <v>6631.3865795720048</v>
      </c>
      <c r="I20" s="16">
        <f t="shared" si="2"/>
        <v>6.1435289459723409E-2</v>
      </c>
      <c r="J20" s="40" t="s">
        <v>224</v>
      </c>
      <c r="K20" s="40" t="s">
        <v>225</v>
      </c>
    </row>
    <row r="21" spans="1:11" ht="15.75">
      <c r="A21" s="30" t="str">
        <v>Stoughton</v>
      </c>
      <c r="B21" s="31" t="str">
        <v>MA</v>
      </c>
      <c r="C21" s="11">
        <v>86346</v>
      </c>
      <c r="D21" s="18">
        <v>49438.1</v>
      </c>
      <c r="E21" s="18">
        <f t="shared" si="0"/>
        <v>36907.9</v>
      </c>
      <c r="F21" s="19">
        <f t="shared" si="3"/>
        <v>0.74654770308729512</v>
      </c>
      <c r="G21" s="20">
        <v>91922.54</v>
      </c>
      <c r="H21" s="20">
        <f t="shared" si="1"/>
        <v>-5576.5399999999936</v>
      </c>
      <c r="I21" s="19">
        <f t="shared" si="2"/>
        <v>-6.0665643051203699E-2</v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>
        <v>107157.577</v>
      </c>
      <c r="D22" s="13">
        <v>120207.977</v>
      </c>
      <c r="E22" s="13">
        <f t="shared" si="0"/>
        <v>-13050.399999999994</v>
      </c>
      <c r="F22" s="14">
        <f t="shared" si="3"/>
        <v>-0.10856517450584827</v>
      </c>
      <c r="G22" s="15">
        <v>0</v>
      </c>
      <c r="H22" s="15">
        <f t="shared" si="1"/>
        <v>107157.577</v>
      </c>
      <c r="I22" s="16" t="str">
        <f t="shared" si="2"/>
        <v/>
      </c>
      <c r="J22" s="40" t="s">
        <v>226</v>
      </c>
      <c r="K22" s="40" t="s">
        <v>227</v>
      </c>
    </row>
    <row r="23" spans="1:11" ht="15.75">
      <c r="A23" s="30" t="str">
        <v>Wilmington Garage &amp; Building 7</v>
      </c>
      <c r="B23" s="31" t="str">
        <v>MA</v>
      </c>
      <c r="C23" s="11">
        <v>128423.875</v>
      </c>
      <c r="D23" s="18">
        <v>128471.8</v>
      </c>
      <c r="E23" s="18">
        <f t="shared" si="0"/>
        <v>-47.92500000000291</v>
      </c>
      <c r="F23" s="19">
        <f t="shared" si="3"/>
        <v>-3.7303906382570268E-4</v>
      </c>
      <c r="G23" s="20">
        <v>135273.1</v>
      </c>
      <c r="H23" s="20">
        <f t="shared" si="1"/>
        <v>-6849.2250000000058</v>
      </c>
      <c r="I23" s="19">
        <f t="shared" si="2"/>
        <v>-5.0632572181756798E-2</v>
      </c>
      <c r="J23" s="41"/>
      <c r="K23" s="42"/>
    </row>
    <row r="24" spans="1:11" ht="15.75">
      <c r="A24" s="28" t="str">
        <v>Woburn</v>
      </c>
      <c r="B24" s="29" t="str">
        <v>MA</v>
      </c>
      <c r="C24" s="24">
        <v>190326</v>
      </c>
      <c r="D24" s="13">
        <v>187777.4</v>
      </c>
      <c r="E24" s="13">
        <f t="shared" si="0"/>
        <v>2548.6000000000058</v>
      </c>
      <c r="F24" s="14">
        <f t="shared" si="3"/>
        <v>1.3572453341030421E-2</v>
      </c>
      <c r="G24" s="15">
        <v>203205.8</v>
      </c>
      <c r="H24" s="15">
        <f t="shared" si="1"/>
        <v>-12879.799999999988</v>
      </c>
      <c r="I24" s="16">
        <f t="shared" si="2"/>
        <v>-6.3383033358299756E-2</v>
      </c>
      <c r="J24" s="40"/>
      <c r="K24" s="40"/>
    </row>
    <row r="25" spans="1:11" ht="15.75">
      <c r="A25" s="30" t="str">
        <v>Friendship Solar 1</v>
      </c>
      <c r="B25" s="31" t="str">
        <v>MD</v>
      </c>
      <c r="C25" s="11">
        <v>348185</v>
      </c>
      <c r="D25" s="18">
        <v>367263.5</v>
      </c>
      <c r="E25" s="18">
        <f t="shared" si="0"/>
        <v>-19078.5</v>
      </c>
      <c r="F25" s="19">
        <f t="shared" si="3"/>
        <v>-5.1947716013162212E-2</v>
      </c>
      <c r="G25" s="20">
        <v>450070.8</v>
      </c>
      <c r="H25" s="20">
        <f t="shared" si="1"/>
        <v>-101885.79999999999</v>
      </c>
      <c r="I25" s="19">
        <f t="shared" si="2"/>
        <v>-0.22637727219806303</v>
      </c>
      <c r="J25" s="71" t="s">
        <v>228</v>
      </c>
      <c r="K25" s="70" t="s">
        <v>229</v>
      </c>
    </row>
    <row r="26" spans="1:11" ht="15.75">
      <c r="A26" s="28" t="str">
        <v>Friendship Solar 2</v>
      </c>
      <c r="B26" s="29" t="str">
        <v>MD</v>
      </c>
      <c r="C26" s="24">
        <v>349504</v>
      </c>
      <c r="D26" s="13">
        <v>368615.3</v>
      </c>
      <c r="E26" s="13">
        <f t="shared" si="0"/>
        <v>-19111.299999999988</v>
      </c>
      <c r="F26" s="14">
        <f t="shared" si="3"/>
        <v>-5.1846193036480005E-2</v>
      </c>
      <c r="G26" s="15">
        <v>418145.8</v>
      </c>
      <c r="H26" s="15">
        <f t="shared" si="1"/>
        <v>-68641.799999999988</v>
      </c>
      <c r="I26" s="16">
        <f t="shared" si="2"/>
        <v>-0.16415757374580825</v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>
        <v>147023.47700000001</v>
      </c>
      <c r="D27" s="18">
        <v>170510</v>
      </c>
      <c r="E27" s="18">
        <f t="shared" si="0"/>
        <v>-23486.522999999986</v>
      </c>
      <c r="F27" s="19">
        <f t="shared" si="3"/>
        <v>-0.13774278927922107</v>
      </c>
      <c r="G27" s="20">
        <v>0</v>
      </c>
      <c r="H27" s="20">
        <v>147023.47700000001</v>
      </c>
      <c r="I27" s="19" t="str">
        <f t="shared" si="2"/>
        <v/>
      </c>
      <c r="J27" s="41" t="s">
        <v>185</v>
      </c>
      <c r="K27" s="42" t="s">
        <v>186</v>
      </c>
    </row>
    <row r="28" spans="1:11" ht="15.75">
      <c r="A28" s="28" t="str">
        <v>302 Carnegie Center</v>
      </c>
      <c r="B28" s="29" t="str">
        <v>NJ</v>
      </c>
      <c r="C28" s="24">
        <v>64135.917099999999</v>
      </c>
      <c r="D28" s="13">
        <v>67835.347800000003</v>
      </c>
      <c r="E28" s="13">
        <f t="shared" si="0"/>
        <v>-3699.4307000000044</v>
      </c>
      <c r="F28" s="14">
        <f t="shared" si="3"/>
        <v>-5.4535442361216942E-2</v>
      </c>
      <c r="G28" s="15">
        <v>0</v>
      </c>
      <c r="H28" s="15">
        <f t="shared" si="1"/>
        <v>64135.917099999999</v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>
        <v>162577.486</v>
      </c>
      <c r="D29" s="18">
        <v>185052.04</v>
      </c>
      <c r="E29" s="18">
        <f t="shared" si="0"/>
        <v>-22474.554000000004</v>
      </c>
      <c r="F29" s="19">
        <f t="shared" si="3"/>
        <v>-0.1214499121436327</v>
      </c>
      <c r="G29" s="20">
        <v>0</v>
      </c>
      <c r="H29" s="20">
        <f t="shared" si="1"/>
        <v>162577.486</v>
      </c>
      <c r="I29" s="19" t="str">
        <f t="shared" si="2"/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24">
        <v>125488.17200000001</v>
      </c>
      <c r="D30" s="13">
        <v>148684.304</v>
      </c>
      <c r="E30" s="13">
        <f t="shared" si="0"/>
        <v>-23196.131999999998</v>
      </c>
      <c r="F30" s="14">
        <f t="shared" si="3"/>
        <v>-0.1560092852840741</v>
      </c>
      <c r="G30" s="15">
        <v>0</v>
      </c>
      <c r="H30" s="15">
        <f t="shared" si="1"/>
        <v>125488.17200000001</v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>
        <v>178555.54100666699</v>
      </c>
      <c r="D31" s="18">
        <v>153657.9</v>
      </c>
      <c r="E31" s="18">
        <f t="shared" si="0"/>
        <v>24897.641006666992</v>
      </c>
      <c r="F31" s="19">
        <f t="shared" si="3"/>
        <v>0.16203293814810038</v>
      </c>
      <c r="G31" s="20">
        <v>186443.3</v>
      </c>
      <c r="H31" s="20">
        <f t="shared" si="1"/>
        <v>-7887.7589933330019</v>
      </c>
      <c r="I31" s="19">
        <f t="shared" si="2"/>
        <v>-4.2306475981346618E-2</v>
      </c>
      <c r="J31" s="41"/>
      <c r="K31" s="42"/>
    </row>
    <row r="32" spans="1:11" ht="15.75">
      <c r="A32" s="28" t="str">
        <v>ER Bison Solar</v>
      </c>
      <c r="B32" s="29" t="str">
        <v>PA</v>
      </c>
      <c r="C32" s="24">
        <v>183969</v>
      </c>
      <c r="D32" s="13">
        <v>0</v>
      </c>
      <c r="E32" s="13">
        <f t="shared" si="0"/>
        <v>183969</v>
      </c>
      <c r="F32" s="14" t="str">
        <f t="shared" si="3"/>
        <v/>
      </c>
      <c r="G32" s="15">
        <v>194972</v>
      </c>
      <c r="H32" s="15">
        <f t="shared" si="1"/>
        <v>-11003</v>
      </c>
      <c r="I32" s="16">
        <f t="shared" si="2"/>
        <v>-5.6433744332519541E-2</v>
      </c>
      <c r="J32" s="40" t="s">
        <v>230</v>
      </c>
      <c r="K32" s="40" t="s">
        <v>231</v>
      </c>
    </row>
    <row r="33" spans="1:11" ht="85.5">
      <c r="A33" s="30" t="str">
        <v>Danville</v>
      </c>
      <c r="B33" s="31" t="str">
        <v>IL</v>
      </c>
      <c r="C33" s="11">
        <v>338122.74699999997</v>
      </c>
      <c r="D33" s="18">
        <v>0</v>
      </c>
      <c r="E33" s="18">
        <f t="shared" si="0"/>
        <v>338122.74699999997</v>
      </c>
      <c r="F33" s="19" t="str">
        <f t="shared" si="3"/>
        <v/>
      </c>
      <c r="G33" s="20">
        <v>0</v>
      </c>
      <c r="H33" s="20">
        <f t="shared" si="1"/>
        <v>338122.74699999997</v>
      </c>
      <c r="I33" s="19" t="str">
        <f t="shared" si="2"/>
        <v/>
      </c>
      <c r="J33" s="72" t="s">
        <v>232</v>
      </c>
      <c r="K33" s="71" t="s">
        <v>233</v>
      </c>
    </row>
    <row r="34" spans="1:11" ht="15.75">
      <c r="A34" s="28" t="str">
        <v>Oaks Landfill - ANEM</v>
      </c>
      <c r="B34" s="29" t="str">
        <v>ML</v>
      </c>
      <c r="C34" s="24">
        <v>290599.64</v>
      </c>
      <c r="D34" s="13">
        <v>312078.32299999997</v>
      </c>
      <c r="E34" s="13">
        <f t="shared" si="0"/>
        <v>-21478.682999999961</v>
      </c>
      <c r="F34" s="14">
        <f t="shared" si="3"/>
        <v>-6.8824655277322677E-2</v>
      </c>
      <c r="G34" s="15">
        <v>0</v>
      </c>
      <c r="H34" s="15">
        <f t="shared" si="1"/>
        <v>290599.64</v>
      </c>
      <c r="I34" s="16" t="str">
        <f t="shared" si="2"/>
        <v/>
      </c>
      <c r="J34" s="40"/>
      <c r="K34" s="40"/>
    </row>
    <row r="35" spans="1:11" ht="15.75">
      <c r="A35" s="30" t="str">
        <v>Oaks Landfill - CS1</v>
      </c>
      <c r="B35" s="31" t="str">
        <v>ML</v>
      </c>
      <c r="C35" s="11">
        <v>296285.90299999999</v>
      </c>
      <c r="D35" s="18">
        <v>320852.40500000003</v>
      </c>
      <c r="E35" s="18">
        <f t="shared" si="0"/>
        <v>-24566.502000000037</v>
      </c>
      <c r="F35" s="19">
        <f t="shared" si="3"/>
        <v>-7.6566363901807238E-2</v>
      </c>
      <c r="G35" s="20">
        <v>0</v>
      </c>
      <c r="H35" s="20">
        <f t="shared" si="1"/>
        <v>296285.90299999999</v>
      </c>
      <c r="I35" s="19" t="str">
        <f t="shared" si="2"/>
        <v/>
      </c>
      <c r="J35" s="41"/>
      <c r="K35" s="42"/>
    </row>
    <row r="36" spans="1:11" ht="15.75">
      <c r="A36" s="28" t="str">
        <v>Oaks Landfill - CS2</v>
      </c>
      <c r="B36" s="29" t="str">
        <v>ML</v>
      </c>
      <c r="C36" s="24">
        <v>300686.337</v>
      </c>
      <c r="D36" s="13">
        <v>320855.89600000001</v>
      </c>
      <c r="E36" s="13">
        <f t="shared" si="0"/>
        <v>-20169.559000000008</v>
      </c>
      <c r="F36" s="14">
        <f t="shared" si="3"/>
        <v>-6.2861737158166509E-2</v>
      </c>
      <c r="G36" s="15">
        <v>0</v>
      </c>
      <c r="H36" s="15">
        <f t="shared" si="1"/>
        <v>300686.337</v>
      </c>
      <c r="I36" s="16" t="str">
        <f t="shared" si="2"/>
        <v/>
      </c>
      <c r="J36" s="40"/>
      <c r="K36" s="40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4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phoneticPr fontId="41" type="noConversion"/>
  <conditionalFormatting sqref="F2 I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conditionalFormatting sqref="F4:F100 I4:I100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zoomScale="60" zoomScaleNormal="60" workbookViewId="0">
      <pane xSplit="2" ySplit="3" topLeftCell="C25" activePane="bottomRight" state="frozen"/>
      <selection pane="bottomRight" activeCell="C36" sqref="C36"/>
      <selection pane="bottomLeft" activeCell="G30" sqref="G30"/>
      <selection pane="topRight" activeCell="G30" sqref="G3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9.5703125" customWidth="1"/>
    <col min="11" max="11" width="22" customWidth="1"/>
  </cols>
  <sheetData>
    <row r="1" spans="1:11" ht="19.5" customHeight="1">
      <c r="A1" s="99" t="str" cm="1">
        <f t="array" ref="A1">portfolio</f>
        <v>Greenbacker Capital</v>
      </c>
      <c r="B1" s="99"/>
      <c r="C1" s="99"/>
      <c r="D1" s="100" t="s">
        <v>234</v>
      </c>
      <c r="E1" s="100"/>
      <c r="F1" s="100"/>
      <c r="G1" s="98" t="s">
        <v>235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4764997.692400652</v>
      </c>
      <c r="D2" s="5">
        <f>SUM(D4:D100)</f>
        <v>4298994.8729999997</v>
      </c>
      <c r="E2" s="5">
        <f>C2-D2</f>
        <v>466002.81940065231</v>
      </c>
      <c r="F2" s="6">
        <f>IFERROR(E2/D2, 0)</f>
        <v>0.10839808680103358</v>
      </c>
      <c r="G2" s="5">
        <f>SUM(G4:G100)</f>
        <v>2216750.67</v>
      </c>
      <c r="H2" s="7">
        <f>C2-G2</f>
        <v>2548247.0224006521</v>
      </c>
      <c r="I2" s="6">
        <f>IFERROR(H2/G2, 0)</f>
        <v>1.1495415595839888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6">Sites[Site]</f>
        <v>10 Walpole Park South</v>
      </c>
      <c r="B4" s="29" t="str" cm="1">
        <f t="array" ref="B4:B36">Sites[State]</f>
        <v>MA</v>
      </c>
      <c r="C4" s="24">
        <v>14023</v>
      </c>
      <c r="D4" s="13">
        <v>12414.51</v>
      </c>
      <c r="E4" s="13">
        <f>IF(AND(ISNUMBER(C4),ISNUMBER(D4)), C4-D4, "")</f>
        <v>1608.4899999999998</v>
      </c>
      <c r="F4" s="14">
        <f>IFERROR(E4/D4, "")</f>
        <v>0.12956532315814315</v>
      </c>
      <c r="G4" s="15">
        <v>12504.55</v>
      </c>
      <c r="H4" s="15">
        <f>IF(AND(ISNUMBER(C4),ISNUMBER(G4)), C4-G4, "")</f>
        <v>1518.4500000000007</v>
      </c>
      <c r="I4" s="16">
        <f>IFERROR(H4/G4, "")</f>
        <v>0.12143179882522769</v>
      </c>
      <c r="J4" s="75"/>
      <c r="K4" s="75"/>
    </row>
    <row r="5" spans="1:11" ht="15.75">
      <c r="A5" s="30" t="str">
        <v>15 Walpole Park South</v>
      </c>
      <c r="B5" s="31" t="str">
        <v>MA</v>
      </c>
      <c r="C5" s="11">
        <v>51644.480769230999</v>
      </c>
      <c r="D5" s="18">
        <v>48913.33</v>
      </c>
      <c r="E5" s="18">
        <f t="shared" ref="E5:E36" si="0">IF(AND(ISNUMBER(C5),ISNUMBER(D5)), C5-D5, "")</f>
        <v>2731.150769230997</v>
      </c>
      <c r="F5" s="19">
        <f>IFERROR(E5/D5, "")</f>
        <v>5.5836533092942085E-2</v>
      </c>
      <c r="G5" s="20">
        <v>43473.760000000002</v>
      </c>
      <c r="H5" s="20">
        <f t="shared" ref="H5:H36" si="1">IF(AND(ISNUMBER(C5),ISNUMBER(G5)), C5-G5, "")</f>
        <v>8170.7207692309967</v>
      </c>
      <c r="I5" s="19">
        <f t="shared" ref="I5:I36" si="2">IFERROR(H5/G5, "")</f>
        <v>0.18794603386573869</v>
      </c>
      <c r="J5" s="72"/>
      <c r="K5" s="72"/>
    </row>
    <row r="6" spans="1:11" ht="15.75">
      <c r="A6" s="28" t="str">
        <v>19 Walpole Park South</v>
      </c>
      <c r="B6" s="29" t="str">
        <v>MA</v>
      </c>
      <c r="C6" s="24">
        <v>30950.625</v>
      </c>
      <c r="D6" s="13">
        <v>29759.26</v>
      </c>
      <c r="E6" s="13">
        <f t="shared" si="0"/>
        <v>1191.3650000000016</v>
      </c>
      <c r="F6" s="14">
        <f t="shared" ref="F6:F36" si="3">IFERROR(E6/D6, "")</f>
        <v>4.0033421529970893E-2</v>
      </c>
      <c r="G6" s="15">
        <v>27701.17</v>
      </c>
      <c r="H6" s="15">
        <f t="shared" si="1"/>
        <v>3249.4550000000017</v>
      </c>
      <c r="I6" s="16">
        <f t="shared" si="2"/>
        <v>0.11730389005229749</v>
      </c>
      <c r="J6" s="75"/>
      <c r="K6" s="75"/>
    </row>
    <row r="7" spans="1:11" ht="15.75">
      <c r="A7" s="30" t="str">
        <v>23 Walpole Park South</v>
      </c>
      <c r="B7" s="31" t="str">
        <v>MA</v>
      </c>
      <c r="C7" s="11">
        <v>43257.266666666597</v>
      </c>
      <c r="D7" s="18">
        <v>38990.800000000003</v>
      </c>
      <c r="E7" s="18">
        <f t="shared" si="0"/>
        <v>4266.4666666665944</v>
      </c>
      <c r="F7" s="19">
        <f t="shared" si="3"/>
        <v>0.10942239365867318</v>
      </c>
      <c r="G7" s="20">
        <v>35974.93</v>
      </c>
      <c r="H7" s="20">
        <f t="shared" si="1"/>
        <v>7282.336666666597</v>
      </c>
      <c r="I7" s="19">
        <f t="shared" si="2"/>
        <v>0.20242809830808836</v>
      </c>
      <c r="J7" s="72"/>
      <c r="K7" s="73"/>
    </row>
    <row r="8" spans="1:11" ht="15.75">
      <c r="A8" s="28" t="str">
        <v>24 Walpole Park South</v>
      </c>
      <c r="B8" s="29" t="str">
        <v>MA</v>
      </c>
      <c r="C8" s="24">
        <v>56027.970000000198</v>
      </c>
      <c r="D8" s="13">
        <v>51542.75</v>
      </c>
      <c r="E8" s="13">
        <f t="shared" si="0"/>
        <v>4485.2200000001976</v>
      </c>
      <c r="F8" s="14">
        <f t="shared" si="3"/>
        <v>8.7019415921738702E-2</v>
      </c>
      <c r="G8" s="15">
        <v>55092.08</v>
      </c>
      <c r="H8" s="15">
        <f t="shared" si="1"/>
        <v>935.89000000019587</v>
      </c>
      <c r="I8" s="16">
        <f t="shared" si="2"/>
        <v>1.6987741250651559E-2</v>
      </c>
      <c r="J8" s="80" t="s">
        <v>236</v>
      </c>
      <c r="K8" s="80" t="s">
        <v>172</v>
      </c>
    </row>
    <row r="9" spans="1:11" ht="15.75">
      <c r="A9" s="30" t="str">
        <v>25 Walpole Park South</v>
      </c>
      <c r="B9" s="31" t="str">
        <v>MA</v>
      </c>
      <c r="C9" s="11">
        <v>58890.113749999997</v>
      </c>
      <c r="D9" s="18">
        <v>59847.1</v>
      </c>
      <c r="E9" s="18">
        <f t="shared" si="0"/>
        <v>-956.98625000000175</v>
      </c>
      <c r="F9" s="19">
        <f t="shared" si="3"/>
        <v>-1.5990520008488326E-2</v>
      </c>
      <c r="G9" s="20">
        <v>56143.87</v>
      </c>
      <c r="H9" s="20">
        <f t="shared" si="1"/>
        <v>2746.2437499999942</v>
      </c>
      <c r="I9" s="19">
        <f t="shared" si="2"/>
        <v>4.891440062824301E-2</v>
      </c>
      <c r="J9" s="81" t="s">
        <v>237</v>
      </c>
      <c r="K9" s="81" t="s">
        <v>238</v>
      </c>
    </row>
    <row r="10" spans="1:11" ht="15.75">
      <c r="A10" s="28" t="str">
        <v>3 Walpole Park South</v>
      </c>
      <c r="B10" s="29" t="str">
        <v>MA</v>
      </c>
      <c r="C10" s="24">
        <v>77435.399800994404</v>
      </c>
      <c r="D10" s="13">
        <v>74933.850000000006</v>
      </c>
      <c r="E10" s="13">
        <f t="shared" si="0"/>
        <v>2501.5498009943985</v>
      </c>
      <c r="F10" s="14">
        <f t="shared" si="3"/>
        <v>3.3383441542032051E-2</v>
      </c>
      <c r="G10" s="15">
        <v>65249.59</v>
      </c>
      <c r="H10" s="15">
        <f t="shared" si="1"/>
        <v>12185.809800994408</v>
      </c>
      <c r="I10" s="16">
        <f t="shared" si="2"/>
        <v>0.18675687925386825</v>
      </c>
      <c r="J10" s="80" t="s">
        <v>239</v>
      </c>
      <c r="K10" s="80" t="s">
        <v>240</v>
      </c>
    </row>
    <row r="11" spans="1:11" ht="15.75">
      <c r="A11" s="30" t="str">
        <v>4 Walpole Park South</v>
      </c>
      <c r="B11" s="31" t="str">
        <v>MA</v>
      </c>
      <c r="C11" s="11">
        <v>44496.5</v>
      </c>
      <c r="D11" s="18">
        <v>42861.65</v>
      </c>
      <c r="E11" s="18">
        <f t="shared" si="0"/>
        <v>1634.8499999999985</v>
      </c>
      <c r="F11" s="19">
        <f t="shared" si="3"/>
        <v>3.8142488681606947E-2</v>
      </c>
      <c r="G11" s="20">
        <v>37815.550000000003</v>
      </c>
      <c r="H11" s="20">
        <f t="shared" si="1"/>
        <v>6680.9499999999971</v>
      </c>
      <c r="I11" s="19">
        <f t="shared" si="2"/>
        <v>0.17667203042134774</v>
      </c>
      <c r="J11" s="72"/>
      <c r="K11" s="73"/>
    </row>
    <row r="12" spans="1:11" ht="94.5" customHeight="1">
      <c r="A12" s="28" t="str">
        <v>Brockton</v>
      </c>
      <c r="B12" s="29" t="str">
        <v>MA</v>
      </c>
      <c r="C12" s="24">
        <v>71270.5</v>
      </c>
      <c r="D12" s="13">
        <v>62179.72</v>
      </c>
      <c r="E12" s="13">
        <f t="shared" si="0"/>
        <v>9090.7799999999988</v>
      </c>
      <c r="F12" s="14">
        <f t="shared" si="3"/>
        <v>0.14620168762419641</v>
      </c>
      <c r="G12" s="15">
        <v>61822.74</v>
      </c>
      <c r="H12" s="15">
        <f t="shared" si="1"/>
        <v>9447.760000000002</v>
      </c>
      <c r="I12" s="16">
        <f t="shared" si="2"/>
        <v>0.15282014352647588</v>
      </c>
      <c r="J12" s="75" t="s">
        <v>241</v>
      </c>
      <c r="K12" s="75" t="s">
        <v>242</v>
      </c>
    </row>
    <row r="13" spans="1:11" ht="15.75">
      <c r="A13" s="30" t="str">
        <v>Canton</v>
      </c>
      <c r="B13" s="31" t="str">
        <v>MA</v>
      </c>
      <c r="C13" s="11">
        <v>66871.750000000902</v>
      </c>
      <c r="D13" s="18">
        <v>64774.27</v>
      </c>
      <c r="E13" s="18">
        <f t="shared" si="0"/>
        <v>2097.4800000009054</v>
      </c>
      <c r="F13" s="19">
        <f t="shared" si="3"/>
        <v>3.2381376123588976E-2</v>
      </c>
      <c r="G13" s="20">
        <v>64314.41</v>
      </c>
      <c r="H13" s="20">
        <f t="shared" si="1"/>
        <v>2557.3400000008987</v>
      </c>
      <c r="I13" s="19">
        <f t="shared" si="2"/>
        <v>3.9763095082437958E-2</v>
      </c>
      <c r="J13" s="72" t="s">
        <v>243</v>
      </c>
      <c r="K13" s="73" t="s">
        <v>244</v>
      </c>
    </row>
    <row r="14" spans="1:11" ht="51.75" customHeight="1">
      <c r="A14" s="28" t="str">
        <v>Chelsea</v>
      </c>
      <c r="B14" s="29" t="str">
        <v>MA</v>
      </c>
      <c r="C14" s="24">
        <v>110221.5</v>
      </c>
      <c r="D14" s="13">
        <v>108777.2</v>
      </c>
      <c r="E14" s="13">
        <f t="shared" si="0"/>
        <v>1444.3000000000029</v>
      </c>
      <c r="F14" s="14">
        <f t="shared" si="3"/>
        <v>1.3277598614415548E-2</v>
      </c>
      <c r="G14" s="15">
        <v>96186.27</v>
      </c>
      <c r="H14" s="15">
        <f t="shared" si="1"/>
        <v>14035.229999999996</v>
      </c>
      <c r="I14" s="16">
        <f t="shared" si="2"/>
        <v>0.14591718755701821</v>
      </c>
      <c r="J14" s="75" t="s">
        <v>245</v>
      </c>
      <c r="K14" s="75" t="s">
        <v>246</v>
      </c>
    </row>
    <row r="15" spans="1:11" ht="31.5">
      <c r="A15" s="30" t="str">
        <v>Hamilton Landfill</v>
      </c>
      <c r="B15" s="31" t="str">
        <v>MA</v>
      </c>
      <c r="C15" s="11">
        <v>99744.930999999997</v>
      </c>
      <c r="D15" s="18">
        <v>109771.1</v>
      </c>
      <c r="E15" s="18">
        <f t="shared" si="0"/>
        <v>-10026.169000000009</v>
      </c>
      <c r="F15" s="19">
        <f t="shared" si="3"/>
        <v>-9.1337055017213162E-2</v>
      </c>
      <c r="G15" s="20">
        <v>0</v>
      </c>
      <c r="H15" s="20">
        <f t="shared" si="1"/>
        <v>99744.930999999997</v>
      </c>
      <c r="I15" s="19" t="str">
        <f t="shared" si="2"/>
        <v/>
      </c>
      <c r="J15" s="72" t="s">
        <v>247</v>
      </c>
      <c r="K15" s="73" t="s">
        <v>248</v>
      </c>
    </row>
    <row r="16" spans="1:11" ht="71.25">
      <c r="A16" s="28" t="str">
        <v>Holliston</v>
      </c>
      <c r="B16" s="29" t="str">
        <v>MA</v>
      </c>
      <c r="C16" s="24">
        <v>165820</v>
      </c>
      <c r="D16" s="13">
        <v>157542.39999999999</v>
      </c>
      <c r="E16" s="13">
        <f t="shared" si="0"/>
        <v>8277.6000000000058</v>
      </c>
      <c r="F16" s="14">
        <f t="shared" si="3"/>
        <v>5.2542045823854445E-2</v>
      </c>
      <c r="G16" s="15">
        <v>162647.79999999999</v>
      </c>
      <c r="H16" s="15">
        <f t="shared" si="1"/>
        <v>3172.2000000000116</v>
      </c>
      <c r="I16" s="16">
        <f t="shared" si="2"/>
        <v>1.950349159349227E-2</v>
      </c>
      <c r="J16" s="75" t="s">
        <v>249</v>
      </c>
      <c r="K16" s="75" t="s">
        <v>250</v>
      </c>
    </row>
    <row r="17" spans="1:11" ht="15.75">
      <c r="A17" s="30" t="str">
        <v>Natick HS - Carports</v>
      </c>
      <c r="B17" s="31" t="str">
        <v>MA</v>
      </c>
      <c r="C17" s="11">
        <v>52924.9</v>
      </c>
      <c r="D17" s="18">
        <v>62779.5</v>
      </c>
      <c r="E17" s="18">
        <f t="shared" si="0"/>
        <v>-9854.5999999999985</v>
      </c>
      <c r="F17" s="19">
        <f t="shared" si="3"/>
        <v>-0.15697162290238054</v>
      </c>
      <c r="G17" s="20">
        <v>0</v>
      </c>
      <c r="H17" s="20">
        <f t="shared" si="1"/>
        <v>52924.9</v>
      </c>
      <c r="I17" s="19" t="str">
        <f t="shared" si="2"/>
        <v/>
      </c>
      <c r="J17" s="72"/>
      <c r="K17" s="73"/>
    </row>
    <row r="18" spans="1:11" ht="12.75" customHeight="1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0</v>
      </c>
      <c r="H18" s="15">
        <f t="shared" si="1"/>
        <v>0</v>
      </c>
      <c r="I18" s="16" t="str">
        <f t="shared" si="2"/>
        <v/>
      </c>
      <c r="J18" s="75" t="s">
        <v>92</v>
      </c>
      <c r="K18" s="75" t="s">
        <v>93</v>
      </c>
    </row>
    <row r="19" spans="1:11" ht="15.75">
      <c r="A19" s="30" t="str">
        <v>Palmer - Boston Rd.</v>
      </c>
      <c r="B19" s="31" t="str">
        <v>MA</v>
      </c>
      <c r="C19" s="11">
        <v>68250</v>
      </c>
      <c r="D19" s="18">
        <v>73054.990000000005</v>
      </c>
      <c r="E19" s="18">
        <f t="shared" si="0"/>
        <v>-4804.9900000000052</v>
      </c>
      <c r="F19" s="19">
        <f t="shared" si="3"/>
        <v>-6.577223540787569E-2</v>
      </c>
      <c r="G19" s="20">
        <v>62250</v>
      </c>
      <c r="H19" s="20">
        <f t="shared" si="1"/>
        <v>6000</v>
      </c>
      <c r="I19" s="19">
        <f t="shared" si="2"/>
        <v>9.6385542168674704E-2</v>
      </c>
      <c r="J19" s="72"/>
      <c r="K19" s="72"/>
    </row>
    <row r="20" spans="1:11" ht="15.75">
      <c r="A20" s="28" t="str">
        <v>Shirley Bartkus</v>
      </c>
      <c r="B20" s="29" t="str">
        <v>MA</v>
      </c>
      <c r="C20" s="24">
        <v>102182.113420428</v>
      </c>
      <c r="D20" s="13">
        <v>0</v>
      </c>
      <c r="E20" s="13">
        <f t="shared" si="0"/>
        <v>102182.113420428</v>
      </c>
      <c r="F20" s="14" t="str">
        <f t="shared" si="3"/>
        <v/>
      </c>
      <c r="G20" s="15">
        <v>101613</v>
      </c>
      <c r="H20" s="15">
        <f t="shared" si="1"/>
        <v>569.11342042799515</v>
      </c>
      <c r="I20" s="16">
        <f t="shared" si="2"/>
        <v>5.6007934066309934E-3</v>
      </c>
      <c r="J20" s="75" t="s">
        <v>251</v>
      </c>
      <c r="K20" s="75" t="s">
        <v>252</v>
      </c>
    </row>
    <row r="21" spans="1:11" ht="15.75">
      <c r="A21" s="30" t="str">
        <v>Stoughton</v>
      </c>
      <c r="B21" s="31" t="str">
        <v>MA</v>
      </c>
      <c r="C21" s="11">
        <v>83199.999999999098</v>
      </c>
      <c r="D21" s="18">
        <v>48593.09</v>
      </c>
      <c r="E21" s="18">
        <f t="shared" si="0"/>
        <v>34606.909999999101</v>
      </c>
      <c r="F21" s="19">
        <f t="shared" si="3"/>
        <v>0.7121775956210874</v>
      </c>
      <c r="G21" s="20">
        <v>69398.149999999994</v>
      </c>
      <c r="H21" s="20">
        <f t="shared" si="1"/>
        <v>13801.849999999104</v>
      </c>
      <c r="I21" s="19">
        <f t="shared" si="2"/>
        <v>0.19887922084377041</v>
      </c>
      <c r="J21" s="72"/>
      <c r="K21" s="73"/>
    </row>
    <row r="22" spans="1:11" ht="15.75">
      <c r="A22" s="28" t="str">
        <v>Wellfleet Landfill</v>
      </c>
      <c r="B22" s="29" t="str">
        <v>MA</v>
      </c>
      <c r="C22" s="24">
        <v>97015.1</v>
      </c>
      <c r="D22" s="13">
        <v>114624.6</v>
      </c>
      <c r="E22" s="13">
        <f t="shared" si="0"/>
        <v>-17609.5</v>
      </c>
      <c r="F22" s="14">
        <f t="shared" si="3"/>
        <v>-0.1536275808159854</v>
      </c>
      <c r="G22" s="15">
        <v>0</v>
      </c>
      <c r="H22" s="15">
        <f t="shared" si="1"/>
        <v>97015.1</v>
      </c>
      <c r="I22" s="16" t="str">
        <f t="shared" si="2"/>
        <v/>
      </c>
      <c r="J22" s="75"/>
      <c r="K22" s="75"/>
    </row>
    <row r="23" spans="1:11" ht="15.75">
      <c r="A23" s="30" t="str">
        <v>Wilmington Garage &amp; Building 7</v>
      </c>
      <c r="B23" s="31" t="str">
        <v>MA</v>
      </c>
      <c r="C23" s="11">
        <v>104351.125</v>
      </c>
      <c r="D23" s="18">
        <v>108112.1</v>
      </c>
      <c r="E23" s="18">
        <f t="shared" si="0"/>
        <v>-3760.9750000000058</v>
      </c>
      <c r="F23" s="19">
        <f t="shared" si="3"/>
        <v>-3.4787734212914243E-2</v>
      </c>
      <c r="G23" s="20">
        <v>102511.6</v>
      </c>
      <c r="H23" s="20">
        <f t="shared" si="1"/>
        <v>1839.5249999999942</v>
      </c>
      <c r="I23" s="19">
        <f t="shared" si="2"/>
        <v>1.7944554567483038E-2</v>
      </c>
      <c r="J23" s="72"/>
      <c r="K23" s="73"/>
    </row>
    <row r="24" spans="1:11" ht="15.75">
      <c r="A24" s="28" t="str">
        <v>Woburn</v>
      </c>
      <c r="B24" s="29" t="str">
        <v>MA</v>
      </c>
      <c r="C24" s="24">
        <v>164724.5</v>
      </c>
      <c r="D24" s="13">
        <v>177345</v>
      </c>
      <c r="E24" s="13">
        <f t="shared" si="0"/>
        <v>-12620.5</v>
      </c>
      <c r="F24" s="14">
        <f t="shared" si="3"/>
        <v>-7.1163551270123207E-2</v>
      </c>
      <c r="G24" s="15">
        <v>155138.20000000001</v>
      </c>
      <c r="H24" s="15">
        <f t="shared" si="1"/>
        <v>9586.2999999999884</v>
      </c>
      <c r="I24" s="16">
        <f t="shared" si="2"/>
        <v>6.1792002227691101E-2</v>
      </c>
      <c r="J24" s="75" t="s">
        <v>253</v>
      </c>
      <c r="K24" s="75" t="s">
        <v>254</v>
      </c>
    </row>
    <row r="25" spans="1:11" ht="42.75">
      <c r="A25" s="30" t="str">
        <v>Friendship Solar 1</v>
      </c>
      <c r="B25" s="31" t="str">
        <v>MD</v>
      </c>
      <c r="C25" s="11">
        <v>420994</v>
      </c>
      <c r="D25" s="18">
        <v>438486.9</v>
      </c>
      <c r="E25" s="18">
        <f t="shared" si="0"/>
        <v>-17492.900000000023</v>
      </c>
      <c r="F25" s="19">
        <f t="shared" si="3"/>
        <v>-3.9893780179065835E-2</v>
      </c>
      <c r="G25" s="20">
        <v>337101.5</v>
      </c>
      <c r="H25" s="20">
        <f t="shared" si="1"/>
        <v>83892.5</v>
      </c>
      <c r="I25" s="19">
        <f t="shared" si="2"/>
        <v>0.24886421448732801</v>
      </c>
      <c r="J25" s="72" t="s">
        <v>255</v>
      </c>
      <c r="K25" s="73" t="s">
        <v>256</v>
      </c>
    </row>
    <row r="26" spans="1:11" ht="28.5">
      <c r="A26" s="28" t="str">
        <v>Friendship Solar 2</v>
      </c>
      <c r="B26" s="29" t="str">
        <v>MD</v>
      </c>
      <c r="C26" s="24">
        <v>419963</v>
      </c>
      <c r="D26" s="13">
        <v>448792.8</v>
      </c>
      <c r="E26" s="13">
        <f t="shared" si="0"/>
        <v>-28829.799999999988</v>
      </c>
      <c r="F26" s="14">
        <f t="shared" si="3"/>
        <v>-6.4238552846658831E-2</v>
      </c>
      <c r="G26" s="15">
        <v>370407.4</v>
      </c>
      <c r="H26" s="15">
        <f t="shared" si="1"/>
        <v>49555.599999999977</v>
      </c>
      <c r="I26" s="16">
        <f t="shared" si="2"/>
        <v>0.13378674400133467</v>
      </c>
      <c r="J26" s="75" t="s">
        <v>257</v>
      </c>
      <c r="K26" s="75" t="s">
        <v>258</v>
      </c>
    </row>
    <row r="27" spans="1:11" ht="15.75">
      <c r="A27" s="30" t="str">
        <v>101 Carnegie Center</v>
      </c>
      <c r="B27" s="31" t="str">
        <v>NJ</v>
      </c>
      <c r="C27" s="11">
        <v>143361.60000000001</v>
      </c>
      <c r="D27" s="18">
        <v>178996.42</v>
      </c>
      <c r="E27" s="18">
        <f t="shared" si="0"/>
        <v>-35634.820000000007</v>
      </c>
      <c r="F27" s="19">
        <f t="shared" si="3"/>
        <v>-0.19908118832767718</v>
      </c>
      <c r="G27" s="20">
        <v>0</v>
      </c>
      <c r="H27" s="20">
        <f t="shared" si="1"/>
        <v>143361.60000000001</v>
      </c>
      <c r="I27" s="19" t="str">
        <f t="shared" si="2"/>
        <v/>
      </c>
      <c r="J27" s="72" t="s">
        <v>259</v>
      </c>
      <c r="K27" s="82" t="s">
        <v>260</v>
      </c>
    </row>
    <row r="28" spans="1:11" ht="15.75">
      <c r="A28" s="28" t="str">
        <v>302 Carnegie Center</v>
      </c>
      <c r="B28" s="29" t="str">
        <v>NJ</v>
      </c>
      <c r="C28" s="24">
        <v>64265.4</v>
      </c>
      <c r="D28" s="13">
        <v>76063.8</v>
      </c>
      <c r="E28" s="13">
        <f t="shared" si="0"/>
        <v>-11798.400000000001</v>
      </c>
      <c r="F28" s="14">
        <f t="shared" si="3"/>
        <v>-0.15511189291095109</v>
      </c>
      <c r="G28" s="15">
        <v>0</v>
      </c>
      <c r="H28" s="15">
        <f t="shared" si="1"/>
        <v>64265.4</v>
      </c>
      <c r="I28" s="16" t="str">
        <f t="shared" si="2"/>
        <v/>
      </c>
      <c r="J28" s="75"/>
      <c r="K28" s="75"/>
    </row>
    <row r="29" spans="1:11" ht="15.75">
      <c r="A29" s="30" t="str">
        <v>510 Carnegie Center</v>
      </c>
      <c r="B29" s="31" t="str">
        <v>NJ</v>
      </c>
      <c r="C29" s="11">
        <v>160818.79999999999</v>
      </c>
      <c r="D29" s="18">
        <v>195840.8</v>
      </c>
      <c r="E29" s="18">
        <f t="shared" si="0"/>
        <v>-35022</v>
      </c>
      <c r="F29" s="19">
        <f t="shared" si="3"/>
        <v>-0.17882892635242503</v>
      </c>
      <c r="G29" s="20">
        <v>0</v>
      </c>
      <c r="H29" s="20">
        <f t="shared" si="1"/>
        <v>160818.79999999999</v>
      </c>
      <c r="I29" s="19" t="str">
        <f t="shared" si="2"/>
        <v/>
      </c>
      <c r="J29" s="72" t="s">
        <v>261</v>
      </c>
      <c r="K29" s="82" t="s">
        <v>262</v>
      </c>
    </row>
    <row r="30" spans="1:11" ht="15.75">
      <c r="A30" s="28" t="str">
        <v>701 Carnegie Center</v>
      </c>
      <c r="B30" s="29" t="str">
        <v>NJ</v>
      </c>
      <c r="C30" s="24">
        <v>121714.1</v>
      </c>
      <c r="D30" s="13">
        <v>152234.29999999999</v>
      </c>
      <c r="E30" s="13">
        <f t="shared" si="0"/>
        <v>-30520.199999999983</v>
      </c>
      <c r="F30" s="14">
        <f t="shared" si="3"/>
        <v>-0.20048175739632912</v>
      </c>
      <c r="G30" s="15">
        <v>0</v>
      </c>
      <c r="H30" s="15">
        <f t="shared" si="1"/>
        <v>121714.1</v>
      </c>
      <c r="I30" s="16" t="str">
        <f t="shared" si="2"/>
        <v/>
      </c>
      <c r="J30" s="75"/>
      <c r="K30" s="75"/>
    </row>
    <row r="31" spans="1:11" ht="15.75">
      <c r="A31" s="30" t="str">
        <v>Hudson County Correction</v>
      </c>
      <c r="B31" s="31" t="str">
        <v>NJ</v>
      </c>
      <c r="C31" s="11">
        <v>169975.89299333299</v>
      </c>
      <c r="D31" s="18">
        <v>136035.70000000001</v>
      </c>
      <c r="E31" s="18">
        <f t="shared" si="0"/>
        <v>33940.192993332981</v>
      </c>
      <c r="F31" s="19">
        <f t="shared" si="3"/>
        <v>0.24949475022610226</v>
      </c>
      <c r="G31" s="20">
        <v>141559.1</v>
      </c>
      <c r="H31" s="20">
        <f t="shared" si="1"/>
        <v>28416.792993332987</v>
      </c>
      <c r="I31" s="19">
        <f t="shared" si="2"/>
        <v>0.20074154888900103</v>
      </c>
      <c r="J31" s="72"/>
      <c r="K31" s="73"/>
    </row>
    <row r="32" spans="1:11" ht="28.5">
      <c r="A32" s="28" t="str">
        <v>ER Bison Solar</v>
      </c>
      <c r="B32" s="29" t="str">
        <v>PA</v>
      </c>
      <c r="C32" s="24">
        <v>208020</v>
      </c>
      <c r="D32" s="13">
        <v>0</v>
      </c>
      <c r="E32" s="13">
        <f t="shared" si="0"/>
        <v>208020</v>
      </c>
      <c r="F32" s="14" t="str">
        <f t="shared" si="3"/>
        <v/>
      </c>
      <c r="G32" s="15">
        <v>157845</v>
      </c>
      <c r="H32" s="15">
        <f t="shared" si="1"/>
        <v>50175</v>
      </c>
      <c r="I32" s="16">
        <f t="shared" si="2"/>
        <v>0.31787513066615986</v>
      </c>
      <c r="J32" s="75" t="s">
        <v>263</v>
      </c>
      <c r="K32" s="75" t="s">
        <v>264</v>
      </c>
    </row>
    <row r="33" spans="1:11" ht="42.75">
      <c r="A33" s="30" t="str">
        <v>Danville</v>
      </c>
      <c r="B33" s="31" t="str">
        <v>IL</v>
      </c>
      <c r="C33" s="11">
        <v>360107.8</v>
      </c>
      <c r="D33" s="18">
        <v>0</v>
      </c>
      <c r="E33" s="18">
        <f t="shared" si="0"/>
        <v>360107.8</v>
      </c>
      <c r="F33" s="19" t="str">
        <f t="shared" si="3"/>
        <v/>
      </c>
      <c r="G33" s="20">
        <v>0</v>
      </c>
      <c r="H33" s="20">
        <f t="shared" si="1"/>
        <v>360107.8</v>
      </c>
      <c r="I33" s="19" t="str">
        <f t="shared" si="2"/>
        <v/>
      </c>
      <c r="J33" s="72" t="s">
        <v>265</v>
      </c>
      <c r="K33" s="73" t="s">
        <v>266</v>
      </c>
    </row>
    <row r="34" spans="1:11" ht="28.5">
      <c r="A34" s="28" t="str">
        <v>Oaks Landfill - ANEM</v>
      </c>
      <c r="B34" s="29" t="str">
        <v>ML</v>
      </c>
      <c r="C34" s="24">
        <v>370595.76500000001</v>
      </c>
      <c r="D34" s="13">
        <v>401941.261</v>
      </c>
      <c r="E34" s="13">
        <f t="shared" si="0"/>
        <v>-31345.495999999985</v>
      </c>
      <c r="F34" s="14">
        <f t="shared" si="3"/>
        <v>-7.7985265613225968E-2</v>
      </c>
      <c r="G34" s="15">
        <v>0</v>
      </c>
      <c r="H34" s="15">
        <f t="shared" si="1"/>
        <v>370595.76500000001</v>
      </c>
      <c r="I34" s="16" t="str">
        <f t="shared" si="2"/>
        <v/>
      </c>
      <c r="J34" s="75"/>
      <c r="K34" s="75"/>
    </row>
    <row r="35" spans="1:11" ht="15.75">
      <c r="A35" s="30" t="str">
        <v>Oaks Landfill - CS1</v>
      </c>
      <c r="B35" s="31" t="str">
        <v>ML</v>
      </c>
      <c r="C35" s="11">
        <v>378016.03200000001</v>
      </c>
      <c r="D35" s="18">
        <v>411890</v>
      </c>
      <c r="E35" s="18">
        <f t="shared" si="0"/>
        <v>-33873.967999999993</v>
      </c>
      <c r="F35" s="19">
        <f t="shared" si="3"/>
        <v>-8.2240326300711333E-2</v>
      </c>
      <c r="G35" s="20">
        <v>0</v>
      </c>
      <c r="H35" s="20">
        <f t="shared" si="1"/>
        <v>378016.03200000001</v>
      </c>
      <c r="I35" s="19" t="str">
        <f t="shared" si="2"/>
        <v/>
      </c>
      <c r="J35" s="72"/>
      <c r="K35" s="73"/>
    </row>
    <row r="36" spans="1:11" ht="15.75">
      <c r="A36" s="28" t="str">
        <v>Oaks Landfill - CS2</v>
      </c>
      <c r="B36" s="29" t="str">
        <v>ML</v>
      </c>
      <c r="C36" s="24">
        <v>383863.527</v>
      </c>
      <c r="D36" s="13">
        <v>411895.67200000002</v>
      </c>
      <c r="E36" s="13">
        <f t="shared" si="0"/>
        <v>-28032.145000000019</v>
      </c>
      <c r="F36" s="14">
        <f t="shared" si="3"/>
        <v>-6.8056420364620909E-2</v>
      </c>
      <c r="G36" s="15">
        <v>0</v>
      </c>
      <c r="H36" s="15">
        <f t="shared" si="1"/>
        <v>383863.527</v>
      </c>
      <c r="I36" s="16" t="str">
        <f t="shared" si="2"/>
        <v/>
      </c>
      <c r="J36" s="75"/>
      <c r="K36" s="75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conditionalFormatting sqref="F4:F100 I4:I100">
    <cfRule type="cellIs" dxfId="13" priority="1" stopIfTrue="1" operator="lessThanOrEqual">
      <formula>-0.1</formula>
    </cfRule>
    <cfRule type="expression" dxfId="1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zoomScale="60" zoomScaleNormal="60" workbookViewId="0">
      <pane xSplit="2" ySplit="3" topLeftCell="C26" activePane="bottomRight" state="frozen"/>
      <selection pane="bottomRight" activeCell="G33" sqref="G33"/>
      <selection pane="bottomLeft" activeCell="G30" sqref="G30"/>
      <selection pane="topRight" activeCell="G30" sqref="G3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1" customWidth="1"/>
  </cols>
  <sheetData>
    <row r="1" spans="1:11" ht="19.5" customHeight="1">
      <c r="A1" s="99" t="str" cm="1">
        <f t="array" ref="A1">portfolio</f>
        <v>Greenbacker Capital</v>
      </c>
      <c r="B1" s="99"/>
      <c r="C1" s="99"/>
      <c r="D1" s="100" t="s">
        <v>267</v>
      </c>
      <c r="E1" s="100"/>
      <c r="F1" s="100"/>
      <c r="G1" s="98" t="s">
        <v>268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SUM(C4:C100)</f>
        <v>3036224.9693782474</v>
      </c>
      <c r="D2" s="5">
        <f>SUM(D4:D100)</f>
        <v>2711231.0090000001</v>
      </c>
      <c r="E2" s="5">
        <f>C2-D2</f>
        <v>324993.96037824731</v>
      </c>
      <c r="F2" s="6">
        <f>IFERROR(E2/D2, 0)</f>
        <v>0.11986952026567328</v>
      </c>
      <c r="G2" s="5">
        <f>SUM(G4:G100)</f>
        <v>1532089.8669999999</v>
      </c>
      <c r="H2" s="7">
        <f>C2-G2</f>
        <v>1504135.1023782475</v>
      </c>
      <c r="I2" s="6">
        <f>IFERROR(H2/G2, 0)</f>
        <v>0.98175383492582535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6">Sites[Site]</f>
        <v>10 Walpole Park South</v>
      </c>
      <c r="B4" s="29" t="str" cm="1">
        <f t="array" ref="B4:B36">Sites[State]</f>
        <v>MA</v>
      </c>
      <c r="C4" s="24">
        <v>9569.3125</v>
      </c>
      <c r="D4" s="13">
        <v>9245.2189999999991</v>
      </c>
      <c r="E4" s="13">
        <f>IF(AND(ISNUMBER(C4),ISNUMBER(D4)), C4-D4, "")</f>
        <v>324.09350000000086</v>
      </c>
      <c r="F4" s="14">
        <f>IFERROR(E4/D4, "")</f>
        <v>3.505525396423826E-2</v>
      </c>
      <c r="G4" s="15">
        <v>8517.777</v>
      </c>
      <c r="H4" s="15">
        <f>IF(AND(ISNUMBER(C4),ISNUMBER(G4)), C4-G4, "")</f>
        <v>1051.5355</v>
      </c>
      <c r="I4" s="16">
        <f>IFERROR(H4/G4, "")</f>
        <v>0.12345187012996466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34951.519230769001</v>
      </c>
      <c r="D5" s="18">
        <v>35438.58</v>
      </c>
      <c r="E5" s="18">
        <f t="shared" ref="E5:E36" si="0">IF(AND(ISNUMBER(C5),ISNUMBER(D5)), C5-D5, "")</f>
        <v>-487.06076923100045</v>
      </c>
      <c r="F5" s="19">
        <f>IFERROR(E5/D5, "")</f>
        <v>-1.3743800378880882E-2</v>
      </c>
      <c r="G5" s="20">
        <v>28152.47</v>
      </c>
      <c r="H5" s="20">
        <f t="shared" ref="H5:H36" si="1">IF(AND(ISNUMBER(C5),ISNUMBER(G5)), C5-G5, "")</f>
        <v>6799.0492307690001</v>
      </c>
      <c r="I5" s="19">
        <f t="shared" ref="I5:I34" si="2">IFERROR(H5/G5, "")</f>
        <v>0.2415080890155997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20245.875</v>
      </c>
      <c r="D6" s="13">
        <v>21343.67</v>
      </c>
      <c r="E6" s="13">
        <f t="shared" si="0"/>
        <v>-1097.7949999999983</v>
      </c>
      <c r="F6" s="14">
        <f t="shared" ref="F6:F36" si="3">IFERROR(E6/D6, "")</f>
        <v>-5.1434219138507965E-2</v>
      </c>
      <c r="G6" s="15">
        <v>18313.55</v>
      </c>
      <c r="H6" s="15">
        <f t="shared" si="1"/>
        <v>1932.3250000000007</v>
      </c>
      <c r="I6" s="16">
        <f t="shared" si="2"/>
        <v>0.10551340400959949</v>
      </c>
      <c r="J6" s="40"/>
      <c r="K6" s="40"/>
    </row>
    <row r="7" spans="1:11" ht="15.75">
      <c r="A7" s="30" t="str">
        <v>23 Walpole Park South</v>
      </c>
      <c r="B7" s="31" t="str">
        <v>MA</v>
      </c>
      <c r="C7" s="11">
        <v>29424.233333333399</v>
      </c>
      <c r="D7" s="18">
        <v>28537.26</v>
      </c>
      <c r="E7" s="18">
        <f t="shared" si="0"/>
        <v>886.97333333340066</v>
      </c>
      <c r="F7" s="19">
        <f t="shared" si="3"/>
        <v>3.1081236717659673E-2</v>
      </c>
      <c r="G7" s="20">
        <v>23645.35</v>
      </c>
      <c r="H7" s="20">
        <f t="shared" si="1"/>
        <v>5778.8833333334005</v>
      </c>
      <c r="I7" s="19">
        <f t="shared" si="2"/>
        <v>0.24439829959520162</v>
      </c>
      <c r="J7" s="41"/>
      <c r="K7" s="42"/>
    </row>
    <row r="8" spans="1:11" ht="39.75" customHeight="1">
      <c r="A8" s="28" t="str">
        <v>24 Walpole Park South</v>
      </c>
      <c r="B8" s="29" t="str">
        <v>MA</v>
      </c>
      <c r="C8" s="24">
        <v>36985.25</v>
      </c>
      <c r="D8" s="13">
        <v>25616.240000000002</v>
      </c>
      <c r="E8" s="13">
        <f t="shared" si="0"/>
        <v>11369.009999999998</v>
      </c>
      <c r="F8" s="14">
        <f t="shared" si="3"/>
        <v>0.4438204045558598</v>
      </c>
      <c r="G8" s="15">
        <v>36397.68</v>
      </c>
      <c r="H8" s="15">
        <f t="shared" si="1"/>
        <v>587.56999999999971</v>
      </c>
      <c r="I8" s="16">
        <f t="shared" si="2"/>
        <v>1.6143061865481527E-2</v>
      </c>
      <c r="J8" s="40" t="s">
        <v>269</v>
      </c>
      <c r="K8" s="40" t="s">
        <v>270</v>
      </c>
    </row>
    <row r="9" spans="1:11" ht="15.75">
      <c r="A9" s="30" t="str">
        <v>25 Walpole Park South</v>
      </c>
      <c r="B9" s="31" t="str">
        <v>MA</v>
      </c>
      <c r="C9" s="11">
        <v>39494.25</v>
      </c>
      <c r="D9" s="18">
        <v>43289.23</v>
      </c>
      <c r="E9" s="18">
        <f t="shared" si="0"/>
        <v>-3794.9800000000032</v>
      </c>
      <c r="F9" s="19">
        <f t="shared" si="3"/>
        <v>-8.7665684975223701E-2</v>
      </c>
      <c r="G9" s="20">
        <v>37410.080000000002</v>
      </c>
      <c r="H9" s="20">
        <f t="shared" si="1"/>
        <v>2084.1699999999983</v>
      </c>
      <c r="I9" s="19">
        <f t="shared" si="2"/>
        <v>5.5711455308301884E-2</v>
      </c>
      <c r="J9" s="71" t="s">
        <v>237</v>
      </c>
      <c r="K9" s="84" t="s">
        <v>238</v>
      </c>
    </row>
    <row r="10" spans="1:11" ht="15.75">
      <c r="A10" s="28" t="str">
        <v>3 Walpole Park South</v>
      </c>
      <c r="B10" s="29" t="str">
        <v>MA</v>
      </c>
      <c r="C10" s="24">
        <v>49096.134328358799</v>
      </c>
      <c r="D10" s="13">
        <v>52686.58</v>
      </c>
      <c r="E10" s="13">
        <f t="shared" si="0"/>
        <v>-3590.4456716412024</v>
      </c>
      <c r="F10" s="14">
        <f t="shared" si="3"/>
        <v>-6.8147252519355064E-2</v>
      </c>
      <c r="G10" s="15">
        <v>43513.68</v>
      </c>
      <c r="H10" s="15">
        <f t="shared" si="1"/>
        <v>5582.4543283587991</v>
      </c>
      <c r="I10" s="16">
        <f t="shared" si="2"/>
        <v>0.12829193780803644</v>
      </c>
      <c r="J10" s="40" t="s">
        <v>271</v>
      </c>
      <c r="K10" s="40" t="s">
        <v>240</v>
      </c>
    </row>
    <row r="11" spans="1:11" ht="15.75">
      <c r="A11" s="30" t="str">
        <v>4 Walpole Park South</v>
      </c>
      <c r="B11" s="31" t="str">
        <v>MA</v>
      </c>
      <c r="C11" s="11">
        <v>29528.75</v>
      </c>
      <c r="D11" s="18">
        <v>31439.16</v>
      </c>
      <c r="E11" s="18">
        <f t="shared" si="0"/>
        <v>-1910.4099999999999</v>
      </c>
      <c r="F11" s="19">
        <f t="shared" si="3"/>
        <v>-6.0765300345174612E-2</v>
      </c>
      <c r="G11" s="20">
        <v>24959.52</v>
      </c>
      <c r="H11" s="20">
        <f t="shared" si="1"/>
        <v>4569.2299999999996</v>
      </c>
      <c r="I11" s="19">
        <f t="shared" si="2"/>
        <v>0.18306561985166378</v>
      </c>
      <c r="J11" s="41"/>
      <c r="K11" s="42"/>
    </row>
    <row r="12" spans="1:11" ht="63.75" customHeight="1">
      <c r="A12" s="28" t="str">
        <v>Brockton</v>
      </c>
      <c r="B12" s="29" t="str">
        <v>MA</v>
      </c>
      <c r="C12" s="24">
        <v>50153.5</v>
      </c>
      <c r="D12" s="13">
        <v>44422.29</v>
      </c>
      <c r="E12" s="13">
        <f t="shared" si="0"/>
        <v>5731.2099999999991</v>
      </c>
      <c r="F12" s="14">
        <f t="shared" si="3"/>
        <v>0.12901653651804082</v>
      </c>
      <c r="G12" s="15">
        <v>43974.27</v>
      </c>
      <c r="H12" s="15">
        <f t="shared" si="1"/>
        <v>6179.2300000000032</v>
      </c>
      <c r="I12" s="16">
        <f t="shared" si="2"/>
        <v>0.14051921726045716</v>
      </c>
      <c r="J12" s="40" t="s">
        <v>272</v>
      </c>
      <c r="K12" s="40" t="s">
        <v>273</v>
      </c>
    </row>
    <row r="13" spans="1:11" ht="15.75">
      <c r="A13" s="30" t="str">
        <v>Canton</v>
      </c>
      <c r="B13" s="31" t="str">
        <v>MA</v>
      </c>
      <c r="C13" s="11">
        <v>45921.25</v>
      </c>
      <c r="D13" s="18">
        <v>48489.279999999999</v>
      </c>
      <c r="E13" s="18">
        <f t="shared" si="0"/>
        <v>-2568.0299999999988</v>
      </c>
      <c r="F13" s="19">
        <f t="shared" si="3"/>
        <v>-5.2960778134878449E-2</v>
      </c>
      <c r="G13" s="20">
        <v>40545.79</v>
      </c>
      <c r="H13" s="20">
        <f t="shared" si="1"/>
        <v>5375.4599999999991</v>
      </c>
      <c r="I13" s="19">
        <f t="shared" si="2"/>
        <v>0.13257751297976927</v>
      </c>
      <c r="J13" s="41"/>
      <c r="K13" s="42"/>
    </row>
    <row r="14" spans="1:11" ht="85.5" customHeight="1">
      <c r="A14" s="28" t="str">
        <v>Chelsea</v>
      </c>
      <c r="B14" s="29" t="str">
        <v>MA</v>
      </c>
      <c r="C14" s="24">
        <v>77336.5</v>
      </c>
      <c r="D14" s="13">
        <v>82258.34</v>
      </c>
      <c r="E14" s="13">
        <f t="shared" si="0"/>
        <v>-4921.8399999999965</v>
      </c>
      <c r="F14" s="14">
        <f t="shared" si="3"/>
        <v>-5.9833932948318638E-2</v>
      </c>
      <c r="G14" s="15">
        <v>66233.47</v>
      </c>
      <c r="H14" s="15">
        <f t="shared" si="1"/>
        <v>11103.029999999999</v>
      </c>
      <c r="I14" s="16">
        <f t="shared" si="2"/>
        <v>0.16763473210749791</v>
      </c>
      <c r="J14" s="40" t="s">
        <v>274</v>
      </c>
      <c r="K14" s="40" t="s">
        <v>275</v>
      </c>
    </row>
    <row r="15" spans="1:11" ht="15.75">
      <c r="A15" s="30" t="str">
        <v>Hamilton Landfill</v>
      </c>
      <c r="B15" s="31" t="str">
        <v>MA</v>
      </c>
      <c r="C15" s="11">
        <v>72413.399999999994</v>
      </c>
      <c r="D15" s="18">
        <v>86509.6</v>
      </c>
      <c r="E15" s="18">
        <f t="shared" si="0"/>
        <v>-14096.200000000012</v>
      </c>
      <c r="F15" s="19">
        <f t="shared" si="3"/>
        <v>-0.16294376577859579</v>
      </c>
      <c r="G15" s="20">
        <v>0</v>
      </c>
      <c r="H15" s="20">
        <f t="shared" si="1"/>
        <v>72413.399999999994</v>
      </c>
      <c r="I15" s="19" t="str">
        <f t="shared" si="2"/>
        <v/>
      </c>
      <c r="J15" s="41"/>
      <c r="K15" s="42"/>
    </row>
    <row r="16" spans="1:11" ht="28.5">
      <c r="A16" s="28" t="str">
        <v>Holliston</v>
      </c>
      <c r="B16" s="29" t="str">
        <v>MA</v>
      </c>
      <c r="C16" s="24">
        <v>112291</v>
      </c>
      <c r="D16" s="13">
        <v>97652.94</v>
      </c>
      <c r="E16" s="13">
        <f t="shared" si="0"/>
        <v>14638.059999999998</v>
      </c>
      <c r="F16" s="14">
        <f t="shared" si="3"/>
        <v>0.14989881513039952</v>
      </c>
      <c r="G16" s="15">
        <v>102832.9</v>
      </c>
      <c r="H16" s="15">
        <f t="shared" si="1"/>
        <v>9458.1000000000058</v>
      </c>
      <c r="I16" s="16">
        <f t="shared" si="2"/>
        <v>9.1975428097428022E-2</v>
      </c>
      <c r="J16" s="40" t="s">
        <v>276</v>
      </c>
      <c r="K16" s="40" t="s">
        <v>277</v>
      </c>
    </row>
    <row r="17" spans="1:11" ht="15.75">
      <c r="A17" s="30" t="str">
        <v>Natick HS - Carports</v>
      </c>
      <c r="B17" s="31" t="str">
        <v>MA</v>
      </c>
      <c r="C17" s="11">
        <v>34070.6</v>
      </c>
      <c r="D17" s="18">
        <v>42921</v>
      </c>
      <c r="E17" s="18">
        <f t="shared" si="0"/>
        <v>-8850.4000000000015</v>
      </c>
      <c r="F17" s="19">
        <f t="shared" si="3"/>
        <v>-0.20620209221593164</v>
      </c>
      <c r="G17" s="20">
        <v>0</v>
      </c>
      <c r="H17" s="20">
        <f t="shared" si="1"/>
        <v>34070.6</v>
      </c>
      <c r="I17" s="19" t="str">
        <f t="shared" si="2"/>
        <v/>
      </c>
      <c r="J17" s="41"/>
      <c r="K17" s="42"/>
    </row>
    <row r="18" spans="1:11" ht="19.5" customHeight="1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0</v>
      </c>
      <c r="H18" s="15">
        <f t="shared" si="1"/>
        <v>0</v>
      </c>
      <c r="I18" s="16" t="str">
        <f t="shared" si="2"/>
        <v/>
      </c>
      <c r="J18" s="40" t="s">
        <v>92</v>
      </c>
      <c r="K18" s="40" t="s">
        <v>93</v>
      </c>
    </row>
    <row r="19" spans="1:11" ht="15.75">
      <c r="A19" s="30" t="str">
        <v>Palmer - Boston Rd.</v>
      </c>
      <c r="B19" s="31" t="str">
        <v>MA</v>
      </c>
      <c r="C19" s="11">
        <v>50293.5</v>
      </c>
      <c r="D19" s="18">
        <v>56229.06</v>
      </c>
      <c r="E19" s="18">
        <f t="shared" si="0"/>
        <v>-5935.5599999999977</v>
      </c>
      <c r="F19" s="19">
        <f t="shared" si="3"/>
        <v>-0.10556036327123373</v>
      </c>
      <c r="G19" s="20">
        <v>38805</v>
      </c>
      <c r="H19" s="20">
        <f t="shared" si="1"/>
        <v>11488.5</v>
      </c>
      <c r="I19" s="19">
        <f t="shared" si="2"/>
        <v>0.29605720912253575</v>
      </c>
      <c r="J19" s="41"/>
      <c r="K19" s="41"/>
    </row>
    <row r="20" spans="1:11" ht="15.75">
      <c r="A20" s="28" t="str">
        <v>Shirley Bartkus</v>
      </c>
      <c r="B20" s="29" t="str">
        <v>MA</v>
      </c>
      <c r="C20" s="24">
        <v>78004.5</v>
      </c>
      <c r="D20" s="13">
        <v>0</v>
      </c>
      <c r="E20" s="13">
        <f t="shared" si="0"/>
        <v>78004.5</v>
      </c>
      <c r="F20" s="14" t="str">
        <f t="shared" si="3"/>
        <v/>
      </c>
      <c r="G20" s="15">
        <v>72691</v>
      </c>
      <c r="H20" s="15">
        <f t="shared" si="1"/>
        <v>5313.5</v>
      </c>
      <c r="I20" s="16">
        <f t="shared" si="2"/>
        <v>7.3097082169732153E-2</v>
      </c>
      <c r="J20" s="40" t="s">
        <v>278</v>
      </c>
      <c r="K20" s="40" t="s">
        <v>279</v>
      </c>
    </row>
    <row r="21" spans="1:11" ht="15.75">
      <c r="A21" s="30" t="str">
        <v>Stoughton</v>
      </c>
      <c r="B21" s="31" t="str">
        <v>MA</v>
      </c>
      <c r="C21" s="11">
        <v>59576.940000001297</v>
      </c>
      <c r="D21" s="18">
        <v>35072.6</v>
      </c>
      <c r="E21" s="18">
        <f t="shared" si="0"/>
        <v>24504.340000001299</v>
      </c>
      <c r="F21" s="19">
        <f t="shared" si="3"/>
        <v>0.69867474894935933</v>
      </c>
      <c r="G21" s="20">
        <v>46600.99</v>
      </c>
      <c r="H21" s="20">
        <f t="shared" si="1"/>
        <v>12975.950000001299</v>
      </c>
      <c r="I21" s="19">
        <f t="shared" si="2"/>
        <v>0.27844794713591492</v>
      </c>
      <c r="J21" s="41"/>
      <c r="K21" s="42"/>
    </row>
    <row r="22" spans="1:11" ht="15.75">
      <c r="A22" s="28" t="str">
        <v>Wellfleet Landfill</v>
      </c>
      <c r="B22" s="29" t="str">
        <v>MA</v>
      </c>
      <c r="C22" s="24">
        <v>67904.3</v>
      </c>
      <c r="D22" s="13">
        <v>64534.7</v>
      </c>
      <c r="E22" s="13">
        <f t="shared" si="0"/>
        <v>3369.6000000000058</v>
      </c>
      <c r="F22" s="14">
        <f t="shared" si="3"/>
        <v>5.2213770266228955E-2</v>
      </c>
      <c r="G22" s="15">
        <v>0</v>
      </c>
      <c r="H22" s="15">
        <f t="shared" si="1"/>
        <v>67904.3</v>
      </c>
      <c r="I22" s="16" t="str">
        <f t="shared" si="2"/>
        <v/>
      </c>
      <c r="J22" s="40"/>
      <c r="K22" s="40"/>
    </row>
    <row r="23" spans="1:11" ht="15.75">
      <c r="A23" s="30" t="str">
        <v>Wilmington Garage &amp; Building 7</v>
      </c>
      <c r="B23" s="31" t="str">
        <v>MA</v>
      </c>
      <c r="C23" s="11">
        <v>68019.75</v>
      </c>
      <c r="D23" s="18">
        <v>77126.070000000007</v>
      </c>
      <c r="E23" s="18">
        <f t="shared" si="0"/>
        <v>-9106.320000000007</v>
      </c>
      <c r="F23" s="19">
        <f t="shared" si="3"/>
        <v>-0.11807058235950575</v>
      </c>
      <c r="G23" s="20">
        <v>66156.639999999999</v>
      </c>
      <c r="H23" s="20">
        <f t="shared" si="1"/>
        <v>1863.1100000000006</v>
      </c>
      <c r="I23" s="19">
        <f t="shared" si="2"/>
        <v>2.8162101340092251E-2</v>
      </c>
      <c r="J23" s="41"/>
      <c r="K23" s="42"/>
    </row>
    <row r="24" spans="1:11" ht="28.5">
      <c r="A24" s="28" t="str">
        <v>Woburn</v>
      </c>
      <c r="B24" s="29" t="str">
        <v>MA</v>
      </c>
      <c r="C24" s="24">
        <v>118114.125506073</v>
      </c>
      <c r="D24" s="13">
        <v>141082.1</v>
      </c>
      <c r="E24" s="13">
        <f t="shared" si="0"/>
        <v>-22967.974493927002</v>
      </c>
      <c r="F24" s="14">
        <f t="shared" si="3"/>
        <v>-0.162798643441847</v>
      </c>
      <c r="G24" s="15">
        <v>97594.5</v>
      </c>
      <c r="H24" s="15">
        <f t="shared" si="1"/>
        <v>20519.625506073004</v>
      </c>
      <c r="I24" s="16">
        <f t="shared" si="2"/>
        <v>0.21025391293641552</v>
      </c>
      <c r="J24" s="40" t="s">
        <v>280</v>
      </c>
      <c r="K24" s="40" t="s">
        <v>281</v>
      </c>
    </row>
    <row r="25" spans="1:11" ht="15.75">
      <c r="A25" s="30" t="str">
        <v>Friendship Solar 1</v>
      </c>
      <c r="B25" s="31" t="str">
        <v>MD</v>
      </c>
      <c r="C25" s="11">
        <v>264558</v>
      </c>
      <c r="D25" s="18">
        <v>269203.59999999998</v>
      </c>
      <c r="E25" s="18">
        <f t="shared" si="0"/>
        <v>-4645.5999999999767</v>
      </c>
      <c r="F25" s="19">
        <f t="shared" si="3"/>
        <v>-1.7256827174673656E-2</v>
      </c>
      <c r="G25" s="20">
        <v>269440.59999999998</v>
      </c>
      <c r="H25" s="20">
        <f t="shared" si="1"/>
        <v>-4882.5999999999767</v>
      </c>
      <c r="I25" s="19">
        <f t="shared" si="2"/>
        <v>-1.8121248245438797E-2</v>
      </c>
      <c r="J25" s="71"/>
      <c r="K25" s="86"/>
    </row>
    <row r="26" spans="1:11" ht="71.25">
      <c r="A26" s="28" t="str">
        <v>Friendship Solar 2</v>
      </c>
      <c r="B26" s="29" t="str">
        <v>MD</v>
      </c>
      <c r="C26" s="24">
        <v>256387</v>
      </c>
      <c r="D26" s="13">
        <v>280553.8</v>
      </c>
      <c r="E26" s="13">
        <f t="shared" si="0"/>
        <v>-24166.799999999988</v>
      </c>
      <c r="F26" s="14">
        <f t="shared" si="3"/>
        <v>-8.6139628121237322E-2</v>
      </c>
      <c r="G26" s="15">
        <v>265739.7</v>
      </c>
      <c r="H26" s="15">
        <f t="shared" si="1"/>
        <v>-9352.7000000000116</v>
      </c>
      <c r="I26" s="16">
        <f t="shared" si="2"/>
        <v>-3.5194967105028008E-2</v>
      </c>
      <c r="J26" s="40" t="s">
        <v>282</v>
      </c>
      <c r="K26" s="40" t="s">
        <v>283</v>
      </c>
    </row>
    <row r="27" spans="1:11" ht="15.75">
      <c r="A27" s="30" t="str">
        <v>101 Carnegie Center</v>
      </c>
      <c r="B27" s="31" t="str">
        <v>NJ</v>
      </c>
      <c r="C27" s="11">
        <v>85991.6</v>
      </c>
      <c r="D27" s="18">
        <v>112281.60000000001</v>
      </c>
      <c r="E27" s="18">
        <f t="shared" si="0"/>
        <v>-26290</v>
      </c>
      <c r="F27" s="19">
        <f t="shared" si="3"/>
        <v>-0.23414343935248516</v>
      </c>
      <c r="G27" s="20">
        <v>0</v>
      </c>
      <c r="H27" s="20">
        <f t="shared" si="1"/>
        <v>85991.6</v>
      </c>
      <c r="I27" s="19" t="str">
        <f t="shared" si="2"/>
        <v/>
      </c>
      <c r="J27" s="41" t="s">
        <v>284</v>
      </c>
      <c r="K27" s="82" t="s">
        <v>260</v>
      </c>
    </row>
    <row r="28" spans="1:11" ht="15.75">
      <c r="A28" s="28" t="str">
        <v>302 Carnegie Center</v>
      </c>
      <c r="B28" s="29" t="str">
        <v>NJ</v>
      </c>
      <c r="C28" s="24">
        <v>38817.1</v>
      </c>
      <c r="D28" s="13">
        <v>46559.5</v>
      </c>
      <c r="E28" s="13">
        <f t="shared" si="0"/>
        <v>-7742.4000000000015</v>
      </c>
      <c r="F28" s="14">
        <f t="shared" si="3"/>
        <v>-0.16629044555890851</v>
      </c>
      <c r="G28" s="15">
        <v>0</v>
      </c>
      <c r="H28" s="15">
        <f t="shared" si="1"/>
        <v>38817.1</v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>
        <v>94643.3</v>
      </c>
      <c r="D29" s="18">
        <v>120387</v>
      </c>
      <c r="E29" s="18">
        <f t="shared" si="0"/>
        <v>-25743.699999999997</v>
      </c>
      <c r="F29" s="19">
        <f t="shared" si="3"/>
        <v>-0.21384119547791702</v>
      </c>
      <c r="G29" s="20">
        <v>0</v>
      </c>
      <c r="H29" s="20">
        <f t="shared" si="1"/>
        <v>94643.3</v>
      </c>
      <c r="I29" s="19" t="str">
        <f t="shared" si="2"/>
        <v/>
      </c>
      <c r="J29" s="41" t="s">
        <v>285</v>
      </c>
      <c r="K29" s="78" t="s">
        <v>286</v>
      </c>
    </row>
    <row r="30" spans="1:11" ht="15.75">
      <c r="A30" s="28" t="str">
        <v>701 Carnegie Center</v>
      </c>
      <c r="B30" s="29" t="str">
        <v>NJ</v>
      </c>
      <c r="C30" s="24">
        <v>73386.100000000006</v>
      </c>
      <c r="D30" s="13">
        <v>91659.22</v>
      </c>
      <c r="E30" s="13">
        <f t="shared" si="0"/>
        <v>-18273.119999999995</v>
      </c>
      <c r="F30" s="14">
        <f t="shared" si="3"/>
        <v>-0.19935932249914406</v>
      </c>
      <c r="G30" s="15">
        <v>0</v>
      </c>
      <c r="H30" s="15">
        <f t="shared" si="1"/>
        <v>73386.100000000006</v>
      </c>
      <c r="I30" s="16" t="str">
        <f t="shared" si="2"/>
        <v/>
      </c>
      <c r="J30" s="40"/>
      <c r="K30" s="40"/>
    </row>
    <row r="31" spans="1:11" ht="15.75">
      <c r="A31" s="30" t="str">
        <v>Hudson County Correction</v>
      </c>
      <c r="B31" s="31" t="str">
        <v>NJ</v>
      </c>
      <c r="C31" s="11">
        <v>99282.273479711293</v>
      </c>
      <c r="D31" s="18">
        <v>86546.1</v>
      </c>
      <c r="E31" s="18">
        <f t="shared" si="0"/>
        <v>12736.173479711288</v>
      </c>
      <c r="F31" s="19">
        <f t="shared" si="3"/>
        <v>0.14716057083694456</v>
      </c>
      <c r="G31" s="20">
        <v>97014.9</v>
      </c>
      <c r="H31" s="20">
        <f t="shared" si="1"/>
        <v>2267.3734797112993</v>
      </c>
      <c r="I31" s="19">
        <f t="shared" si="2"/>
        <v>2.3371394288004207E-2</v>
      </c>
      <c r="J31" s="41" t="s">
        <v>287</v>
      </c>
      <c r="K31" s="78" t="s">
        <v>288</v>
      </c>
    </row>
    <row r="32" spans="1:11" ht="15.75">
      <c r="A32" s="28" t="str">
        <v>ER Bison Solar</v>
      </c>
      <c r="B32" s="29" t="str">
        <v>PA</v>
      </c>
      <c r="C32" s="24">
        <v>116824</v>
      </c>
      <c r="D32" s="13">
        <v>0</v>
      </c>
      <c r="E32" s="13">
        <f t="shared" si="0"/>
        <v>116824</v>
      </c>
      <c r="F32" s="14" t="str">
        <f t="shared" si="3"/>
        <v/>
      </c>
      <c r="G32" s="15">
        <v>103550</v>
      </c>
      <c r="H32" s="15">
        <f t="shared" si="1"/>
        <v>13274</v>
      </c>
      <c r="I32" s="16">
        <f t="shared" si="2"/>
        <v>0.12818928054080156</v>
      </c>
      <c r="J32" s="40" t="s">
        <v>289</v>
      </c>
      <c r="K32" s="40" t="s">
        <v>290</v>
      </c>
    </row>
    <row r="33" spans="1:11" ht="107.25" customHeight="1">
      <c r="A33" s="30" t="str">
        <v>Danville</v>
      </c>
      <c r="B33" s="31" t="str">
        <v>IL</v>
      </c>
      <c r="C33" s="11">
        <v>165975.21400000001</v>
      </c>
      <c r="D33" s="18">
        <v>0</v>
      </c>
      <c r="E33" s="18">
        <f t="shared" si="0"/>
        <v>165975.21400000001</v>
      </c>
      <c r="F33" s="19" t="str">
        <f t="shared" si="3"/>
        <v/>
      </c>
      <c r="G33" s="20">
        <v>0</v>
      </c>
      <c r="H33" s="20">
        <f t="shared" si="1"/>
        <v>165975.21400000001</v>
      </c>
      <c r="I33" s="19" t="str">
        <f t="shared" si="2"/>
        <v/>
      </c>
      <c r="J33" s="41" t="s">
        <v>291</v>
      </c>
      <c r="K33" s="79" t="s">
        <v>292</v>
      </c>
    </row>
    <row r="34" spans="1:11" ht="15.75">
      <c r="A34" s="28" t="str">
        <v>Oaks Landfill - ANEM</v>
      </c>
      <c r="B34" s="29" t="str">
        <v>ML</v>
      </c>
      <c r="C34" s="24">
        <v>246010.552</v>
      </c>
      <c r="D34" s="13">
        <v>274667.48599999998</v>
      </c>
      <c r="E34" s="13">
        <f t="shared" si="0"/>
        <v>-28656.933999999979</v>
      </c>
      <c r="F34" s="14">
        <f t="shared" si="3"/>
        <v>-0.10433318634590766</v>
      </c>
      <c r="G34" s="15">
        <v>0</v>
      </c>
      <c r="H34" s="15">
        <f t="shared" si="1"/>
        <v>246010.552</v>
      </c>
      <c r="I34" s="16" t="str">
        <f t="shared" si="2"/>
        <v/>
      </c>
      <c r="J34" s="40"/>
      <c r="K34" s="40"/>
    </row>
    <row r="35" spans="1:11" ht="15.75">
      <c r="A35" s="30" t="str">
        <v>Oaks Landfill - CS1</v>
      </c>
      <c r="B35" s="31" t="str">
        <v>ML</v>
      </c>
      <c r="C35" s="11">
        <v>253374.10399999999</v>
      </c>
      <c r="D35" s="18">
        <v>206701.337</v>
      </c>
      <c r="E35" s="18">
        <f t="shared" si="0"/>
        <v>46672.766999999993</v>
      </c>
      <c r="F35" s="19">
        <f t="shared" si="3"/>
        <v>0.2257980895401755</v>
      </c>
      <c r="G35" s="20">
        <v>0</v>
      </c>
      <c r="H35" s="20">
        <f t="shared" si="1"/>
        <v>253374.10399999999</v>
      </c>
      <c r="I35" s="19"/>
      <c r="J35" s="41"/>
      <c r="K35" s="78"/>
    </row>
    <row r="36" spans="1:11" ht="15.75">
      <c r="A36" s="28" t="str">
        <v>Oaks Landfill - CS2</v>
      </c>
      <c r="B36" s="29" t="str">
        <v>ML</v>
      </c>
      <c r="C36" s="24">
        <v>257581.03599999999</v>
      </c>
      <c r="D36" s="13">
        <v>198777.44699999999</v>
      </c>
      <c r="E36" s="13">
        <f t="shared" si="0"/>
        <v>58803.589000000007</v>
      </c>
      <c r="F36" s="14">
        <f t="shared" si="3"/>
        <v>0.29582626141686996</v>
      </c>
      <c r="G36" s="15">
        <v>0</v>
      </c>
      <c r="H36" s="15">
        <f t="shared" si="1"/>
        <v>257581.03599999999</v>
      </c>
      <c r="I36" s="16"/>
      <c r="J36" s="40"/>
      <c r="K36" s="40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phoneticPr fontId="41" type="noConversion"/>
  <conditionalFormatting sqref="F2 I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conditionalFormatting sqref="I4:I100 F4:F10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3"/>
  <sheetViews>
    <sheetView tabSelected="1" zoomScale="80" zoomScaleNormal="80" workbookViewId="0">
      <pane xSplit="2" ySplit="3" topLeftCell="C24" activePane="bottomRight" state="frozen"/>
      <selection pane="bottomRight" activeCell="J39" sqref="J39"/>
      <selection pane="bottomLeft" activeCell="G30" sqref="G30"/>
      <selection pane="topRight" activeCell="G30" sqref="G3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9" t="str" cm="1">
        <f t="array" ref="A1">portfolio</f>
        <v>Greenbacker Capital</v>
      </c>
      <c r="B1" s="99"/>
      <c r="C1" s="99"/>
      <c r="D1" s="100" t="s">
        <v>293</v>
      </c>
      <c r="E1" s="100"/>
      <c r="F1" s="100"/>
      <c r="G1" s="98" t="s">
        <v>294</v>
      </c>
      <c r="H1" s="98"/>
      <c r="I1" s="98"/>
      <c r="J1" s="4"/>
      <c r="K1" s="4"/>
    </row>
    <row r="2" spans="1:11" ht="19.5" customHeight="1">
      <c r="A2" s="101" t="s">
        <v>2</v>
      </c>
      <c r="B2" s="101"/>
      <c r="C2" s="5">
        <f>SUM(C4:C101)</f>
        <v>1987471.8050889345</v>
      </c>
      <c r="D2" s="5">
        <f>SUM(D4:D101)</f>
        <v>2098876.3509999993</v>
      </c>
      <c r="E2" s="5">
        <f>C2-D2</f>
        <v>-111404.54591106484</v>
      </c>
      <c r="F2" s="6">
        <f>IFERROR(E2/D2, 0)</f>
        <v>-5.3078184361830885E-2</v>
      </c>
      <c r="G2" s="5">
        <f>SUM(G4:G101)</f>
        <v>1153261.1440000001</v>
      </c>
      <c r="H2" s="7">
        <f>C2-G2</f>
        <v>834210.6610889344</v>
      </c>
      <c r="I2" s="6">
        <f>IFERROR(H2/G2, 0)</f>
        <v>0.7233493172201545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6">Sites[Site]</f>
        <v>10 Walpole Park South</v>
      </c>
      <c r="B4" s="29" t="str" cm="1">
        <f t="array" ref="B4:B36">Sites[State]</f>
        <v>MA</v>
      </c>
      <c r="C4" s="24">
        <v>5096.625</v>
      </c>
      <c r="D4" s="13">
        <v>6414.9719999999998</v>
      </c>
      <c r="E4" s="13">
        <f>IF(AND(ISNUMBER(C4),ISNUMBER(D4)), C4-D4, "")</f>
        <v>-1318.3469999999998</v>
      </c>
      <c r="F4" s="14">
        <f>IFERROR(E4/D4, "")</f>
        <v>-0.20551095156767635</v>
      </c>
      <c r="G4" s="15">
        <v>5945.3940000000002</v>
      </c>
      <c r="H4" s="15">
        <f>IF(AND(ISNUMBER(C4),ISNUMBER(G4)), C4-G4, "")</f>
        <v>-848.76900000000023</v>
      </c>
      <c r="I4" s="16">
        <f>IFERROR(H4/G4, "")</f>
        <v>-0.14276076572889873</v>
      </c>
      <c r="J4" s="40"/>
      <c r="K4" s="40"/>
    </row>
    <row r="5" spans="1:11" ht="15.75">
      <c r="A5" s="30" t="str">
        <v>15 Walpole Park South</v>
      </c>
      <c r="B5" s="31" t="str">
        <v>MA</v>
      </c>
      <c r="C5" s="11">
        <v>17557</v>
      </c>
      <c r="D5" s="18">
        <v>27043.57</v>
      </c>
      <c r="E5" s="18">
        <f t="shared" ref="E5:E36" si="0">IF(AND(ISNUMBER(C5),ISNUMBER(D5)), C5-D5, "")</f>
        <v>-9486.57</v>
      </c>
      <c r="F5" s="19">
        <f>IFERROR(E5/D5, "")</f>
        <v>-0.35078837594296908</v>
      </c>
      <c r="G5" s="20">
        <v>17602.650000000001</v>
      </c>
      <c r="H5" s="20">
        <f t="shared" ref="H5:H36" si="1">IF(AND(ISNUMBER(C5),ISNUMBER(G5)), C5-G5, "")</f>
        <v>-45.650000000001455</v>
      </c>
      <c r="I5" s="19">
        <f t="shared" ref="I5:I36" si="2">IFERROR(H5/G5, "")</f>
        <v>-2.5933595225719678E-3</v>
      </c>
      <c r="J5" s="41"/>
      <c r="K5" s="41"/>
    </row>
    <row r="6" spans="1:11" ht="15.75">
      <c r="A6" s="28" t="str">
        <v>19 Walpole Park South</v>
      </c>
      <c r="B6" s="29" t="str">
        <v>MA</v>
      </c>
      <c r="C6" s="24">
        <v>9992</v>
      </c>
      <c r="D6" s="13">
        <v>14071.68</v>
      </c>
      <c r="E6" s="13">
        <f t="shared" si="0"/>
        <v>-4079.6800000000003</v>
      </c>
      <c r="F6" s="14">
        <f t="shared" ref="F6:F36" si="3">IFERROR(E6/D6, "")</f>
        <v>-0.28992131714194752</v>
      </c>
      <c r="G6" s="15">
        <v>12340.26</v>
      </c>
      <c r="H6" s="15">
        <f t="shared" si="1"/>
        <v>-2348.2600000000002</v>
      </c>
      <c r="I6" s="16">
        <f t="shared" si="2"/>
        <v>-0.19029258702815016</v>
      </c>
      <c r="J6" s="40"/>
      <c r="K6" s="40"/>
    </row>
    <row r="7" spans="1:11" ht="15.75">
      <c r="A7" s="30" t="str">
        <v>23 Walpole Park South</v>
      </c>
      <c r="B7" s="31" t="str">
        <v>MA</v>
      </c>
      <c r="C7" s="11">
        <v>15475.5</v>
      </c>
      <c r="D7" s="18">
        <v>19954.64</v>
      </c>
      <c r="E7" s="18">
        <f t="shared" si="0"/>
        <v>-4479.1399999999994</v>
      </c>
      <c r="F7" s="19">
        <f t="shared" si="3"/>
        <v>-0.22446608909005622</v>
      </c>
      <c r="G7" s="20">
        <v>15510.57</v>
      </c>
      <c r="H7" s="20">
        <f t="shared" si="1"/>
        <v>-35.069999999999709</v>
      </c>
      <c r="I7" s="19">
        <f t="shared" si="2"/>
        <v>-2.2610387625986478E-3</v>
      </c>
      <c r="J7" s="41"/>
      <c r="K7" s="42"/>
    </row>
    <row r="8" spans="1:11" ht="28.5">
      <c r="A8" s="28" t="str">
        <v>24 Walpole Park South</v>
      </c>
      <c r="B8" s="29" t="str">
        <v>MA</v>
      </c>
      <c r="C8" s="24">
        <v>19603.75</v>
      </c>
      <c r="D8" s="13">
        <v>9079.4179999999997</v>
      </c>
      <c r="E8" s="13">
        <f t="shared" si="0"/>
        <v>10524.332</v>
      </c>
      <c r="F8" s="14">
        <f t="shared" si="3"/>
        <v>1.159141698289472</v>
      </c>
      <c r="G8" s="15">
        <v>24209.72</v>
      </c>
      <c r="H8" s="15">
        <f t="shared" si="1"/>
        <v>-4605.9700000000012</v>
      </c>
      <c r="I8" s="16">
        <f t="shared" si="2"/>
        <v>-0.19025292320605117</v>
      </c>
      <c r="J8" s="40"/>
      <c r="K8" s="40" t="s">
        <v>270</v>
      </c>
    </row>
    <row r="9" spans="1:11" ht="15.75">
      <c r="A9" s="30" t="str">
        <v>25 Walpole Park South</v>
      </c>
      <c r="B9" s="31" t="str">
        <v>MA</v>
      </c>
      <c r="C9" s="11">
        <v>20653.25</v>
      </c>
      <c r="D9" s="18">
        <v>26000</v>
      </c>
      <c r="E9" s="18">
        <f t="shared" si="0"/>
        <v>-5346.75</v>
      </c>
      <c r="F9" s="19">
        <f t="shared" si="3"/>
        <v>-0.20564423076923077</v>
      </c>
      <c r="G9" s="20">
        <v>24141.61</v>
      </c>
      <c r="H9" s="20">
        <f t="shared" si="1"/>
        <v>-3488.3600000000006</v>
      </c>
      <c r="I9" s="19">
        <f t="shared" si="2"/>
        <v>-0.14449574821231892</v>
      </c>
      <c r="J9" s="41" t="s">
        <v>295</v>
      </c>
      <c r="K9" s="41" t="s">
        <v>296</v>
      </c>
    </row>
    <row r="10" spans="1:11" ht="28.5">
      <c r="A10" s="28" t="str">
        <v>3 Walpole Park South</v>
      </c>
      <c r="B10" s="29" t="str">
        <v>MA</v>
      </c>
      <c r="C10" s="24">
        <v>26900.1383706462</v>
      </c>
      <c r="D10" s="13">
        <v>39293.769999999997</v>
      </c>
      <c r="E10" s="13">
        <f t="shared" si="0"/>
        <v>-12393.631629353797</v>
      </c>
      <c r="F10" s="14">
        <f t="shared" si="3"/>
        <v>-0.31540958348750442</v>
      </c>
      <c r="G10" s="15">
        <v>30262.15</v>
      </c>
      <c r="H10" s="15">
        <f t="shared" si="1"/>
        <v>-3362.0116293538013</v>
      </c>
      <c r="I10" s="16">
        <f t="shared" si="2"/>
        <v>-0.11109625817576746</v>
      </c>
      <c r="J10" s="40" t="s">
        <v>297</v>
      </c>
      <c r="K10" s="40" t="s">
        <v>298</v>
      </c>
    </row>
    <row r="11" spans="1:11" ht="15.75">
      <c r="A11" s="30" t="str">
        <v>4 Walpole Park South</v>
      </c>
      <c r="B11" s="31" t="str">
        <v>MA</v>
      </c>
      <c r="C11" s="11">
        <v>14513.75</v>
      </c>
      <c r="D11" s="18">
        <v>24433.439999999999</v>
      </c>
      <c r="E11" s="18">
        <f t="shared" si="0"/>
        <v>-9919.6899999999987</v>
      </c>
      <c r="F11" s="19">
        <f t="shared" si="3"/>
        <v>-0.40598826853689041</v>
      </c>
      <c r="G11" s="20">
        <v>16687.97</v>
      </c>
      <c r="H11" s="20">
        <f t="shared" si="1"/>
        <v>-2174.2200000000012</v>
      </c>
      <c r="I11" s="19">
        <f t="shared" si="2"/>
        <v>-0.1302866675814974</v>
      </c>
      <c r="J11" s="41"/>
      <c r="K11" s="42"/>
    </row>
    <row r="12" spans="1:11" ht="15.75">
      <c r="A12" s="28" t="str">
        <v>Brockton</v>
      </c>
      <c r="B12" s="29" t="str">
        <v>MA</v>
      </c>
      <c r="C12" s="24">
        <v>30002.5</v>
      </c>
      <c r="D12" s="13">
        <v>34869.660000000003</v>
      </c>
      <c r="E12" s="13">
        <f t="shared" si="0"/>
        <v>-4867.1600000000035</v>
      </c>
      <c r="F12" s="14">
        <f t="shared" si="3"/>
        <v>-0.13958151585074255</v>
      </c>
      <c r="G12" s="15">
        <v>29239.57</v>
      </c>
      <c r="H12" s="15">
        <f t="shared" si="1"/>
        <v>762.93000000000029</v>
      </c>
      <c r="I12" s="16">
        <f t="shared" si="2"/>
        <v>2.6092380975506833E-2</v>
      </c>
      <c r="J12" s="40"/>
      <c r="K12" s="40"/>
    </row>
    <row r="13" spans="1:11" ht="15.75">
      <c r="A13" s="30" t="str">
        <v>Canton</v>
      </c>
      <c r="B13" s="31" t="str">
        <v>MA</v>
      </c>
      <c r="C13" s="11">
        <v>23120.25</v>
      </c>
      <c r="D13" s="18">
        <v>28218.29</v>
      </c>
      <c r="E13" s="18">
        <f t="shared" si="0"/>
        <v>-5098.0400000000009</v>
      </c>
      <c r="F13" s="19">
        <f t="shared" si="3"/>
        <v>-0.18066438469517468</v>
      </c>
      <c r="G13" s="20">
        <v>26856.63</v>
      </c>
      <c r="H13" s="20">
        <f t="shared" si="1"/>
        <v>-3736.380000000001</v>
      </c>
      <c r="I13" s="19">
        <f t="shared" si="2"/>
        <v>-0.13912318857578188</v>
      </c>
      <c r="J13" s="41"/>
      <c r="K13" s="42"/>
    </row>
    <row r="14" spans="1:11" ht="142.5">
      <c r="A14" s="28" t="str">
        <v>Chelsea</v>
      </c>
      <c r="B14" s="29" t="str">
        <v>MA</v>
      </c>
      <c r="C14" s="24">
        <v>52130</v>
      </c>
      <c r="D14" s="13">
        <v>63224.2</v>
      </c>
      <c r="E14" s="13">
        <f t="shared" si="0"/>
        <v>-11094.199999999997</v>
      </c>
      <c r="F14" s="14">
        <f t="shared" si="3"/>
        <v>-0.1754739482666447</v>
      </c>
      <c r="G14" s="15">
        <v>47470.43</v>
      </c>
      <c r="H14" s="15">
        <f t="shared" si="1"/>
        <v>4659.57</v>
      </c>
      <c r="I14" s="16">
        <f t="shared" si="2"/>
        <v>9.8157316038637102E-2</v>
      </c>
      <c r="J14" s="40" t="s">
        <v>299</v>
      </c>
      <c r="K14" s="40" t="s">
        <v>300</v>
      </c>
    </row>
    <row r="15" spans="1:11" ht="15.75">
      <c r="A15" s="30" t="str">
        <v>Hamilton Landfill</v>
      </c>
      <c r="B15" s="31" t="str">
        <v>MA</v>
      </c>
      <c r="C15" s="11">
        <v>38870.9</v>
      </c>
      <c r="D15" s="18">
        <v>69579.8</v>
      </c>
      <c r="E15" s="18">
        <f t="shared" si="0"/>
        <v>-30708.9</v>
      </c>
      <c r="F15" s="19">
        <f t="shared" si="3"/>
        <v>-0.44134791994228212</v>
      </c>
      <c r="G15" s="20">
        <v>0</v>
      </c>
      <c r="H15" s="20">
        <f t="shared" si="1"/>
        <v>38870.9</v>
      </c>
      <c r="I15" s="19" t="str">
        <f t="shared" si="2"/>
        <v/>
      </c>
      <c r="J15" s="41"/>
      <c r="K15" s="42"/>
    </row>
    <row r="16" spans="1:11" ht="42.75">
      <c r="A16" s="28" t="str">
        <v>Holliston</v>
      </c>
      <c r="B16" s="29" t="str">
        <v>MA</v>
      </c>
      <c r="C16" s="24">
        <v>67447</v>
      </c>
      <c r="D16" s="13">
        <v>68752.31</v>
      </c>
      <c r="E16" s="13">
        <f t="shared" si="0"/>
        <v>-1305.3099999999977</v>
      </c>
      <c r="F16" s="14">
        <f t="shared" si="3"/>
        <v>-1.8985689353564959E-2</v>
      </c>
      <c r="G16" s="15">
        <v>77039.05</v>
      </c>
      <c r="H16" s="15">
        <f t="shared" si="1"/>
        <v>-9592.0500000000029</v>
      </c>
      <c r="I16" s="16">
        <f>IFERROR(H16/G16, "")</f>
        <v>-0.12450893410549588</v>
      </c>
      <c r="J16" s="40" t="s">
        <v>301</v>
      </c>
      <c r="K16" s="40" t="s">
        <v>302</v>
      </c>
    </row>
    <row r="17" spans="1:11" ht="15.75">
      <c r="A17" s="30" t="str">
        <v>Natick HS - Carports</v>
      </c>
      <c r="B17" s="31" t="str">
        <v>MA</v>
      </c>
      <c r="C17" s="11">
        <v>22432.7</v>
      </c>
      <c r="D17" s="18">
        <v>33884.101000000002</v>
      </c>
      <c r="E17" s="18">
        <f t="shared" si="0"/>
        <v>-11451.401000000002</v>
      </c>
      <c r="F17" s="19">
        <f t="shared" si="3"/>
        <v>-0.33795794080533526</v>
      </c>
      <c r="G17" s="20">
        <v>0</v>
      </c>
      <c r="H17" s="20">
        <f t="shared" si="1"/>
        <v>22432.7</v>
      </c>
      <c r="I17" s="19" t="str">
        <f>IFERROR(H17/G17, "")</f>
        <v/>
      </c>
      <c r="J17" s="41"/>
      <c r="K17" s="42"/>
    </row>
    <row r="18" spans="1:11" ht="15.75">
      <c r="A18" s="32" t="str">
        <v>Norton</v>
      </c>
      <c r="B18" s="29" t="str">
        <v>MA</v>
      </c>
      <c r="C18" s="24">
        <v>0</v>
      </c>
      <c r="D18" s="13">
        <v>0</v>
      </c>
      <c r="E18" s="13">
        <f t="shared" si="0"/>
        <v>0</v>
      </c>
      <c r="F18" s="14" t="str">
        <f t="shared" si="3"/>
        <v/>
      </c>
      <c r="G18" s="15">
        <v>0</v>
      </c>
      <c r="H18" s="15">
        <f t="shared" si="1"/>
        <v>0</v>
      </c>
      <c r="I18" s="16" t="str">
        <f>IFERROR(H18/G18, "")</f>
        <v/>
      </c>
      <c r="J18" s="40" t="s">
        <v>92</v>
      </c>
      <c r="K18" s="95" t="s">
        <v>93</v>
      </c>
    </row>
    <row r="19" spans="1:11" ht="15.75">
      <c r="A19" s="30" t="str">
        <v>Palmer - Boston Rd.</v>
      </c>
      <c r="B19" s="31" t="str">
        <v>MA</v>
      </c>
      <c r="C19" s="11">
        <v>31352.5</v>
      </c>
      <c r="D19" s="18">
        <v>45910.32</v>
      </c>
      <c r="E19" s="18">
        <f t="shared" si="0"/>
        <v>-14557.82</v>
      </c>
      <c r="F19" s="19">
        <f t="shared" si="3"/>
        <v>-0.31709254041357149</v>
      </c>
      <c r="G19" s="20">
        <v>37188</v>
      </c>
      <c r="H19" s="20">
        <f t="shared" si="1"/>
        <v>-5835.5</v>
      </c>
      <c r="I19" s="19">
        <f t="shared" si="2"/>
        <v>-0.156918898569431</v>
      </c>
      <c r="J19" s="41"/>
      <c r="K19" s="72"/>
    </row>
    <row r="20" spans="1:11" ht="96.75" customHeight="1">
      <c r="A20" s="28" t="str">
        <v>Shirley Bartkus</v>
      </c>
      <c r="B20" s="29" t="str">
        <v>MA</v>
      </c>
      <c r="C20" s="24">
        <v>49525.442224361897</v>
      </c>
      <c r="D20" s="13">
        <v>0</v>
      </c>
      <c r="E20" s="13">
        <f t="shared" si="0"/>
        <v>49525.442224361897</v>
      </c>
      <c r="F20" s="14" t="str">
        <f t="shared" si="3"/>
        <v/>
      </c>
      <c r="G20" s="15">
        <v>45030</v>
      </c>
      <c r="H20" s="15">
        <f t="shared" si="1"/>
        <v>4495.4422243618974</v>
      </c>
      <c r="I20" s="16">
        <f t="shared" si="2"/>
        <v>9.9832161322715912E-2</v>
      </c>
      <c r="J20" s="40" t="s">
        <v>303</v>
      </c>
      <c r="K20" s="75" t="s">
        <v>304</v>
      </c>
    </row>
    <row r="21" spans="1:11" ht="15.75">
      <c r="A21" s="30" t="str">
        <v>Stoughton</v>
      </c>
      <c r="B21" s="31" t="str">
        <v>MA</v>
      </c>
      <c r="C21" s="11">
        <v>32854.059999999597</v>
      </c>
      <c r="D21" s="18">
        <v>33076.39</v>
      </c>
      <c r="E21" s="18">
        <f t="shared" si="0"/>
        <v>-222.33000000040192</v>
      </c>
      <c r="F21" s="19">
        <f t="shared" si="3"/>
        <v>-6.7217129801771577E-3</v>
      </c>
      <c r="G21" s="20">
        <v>32539.48</v>
      </c>
      <c r="H21" s="20">
        <f t="shared" si="1"/>
        <v>314.57999999959793</v>
      </c>
      <c r="I21" s="19">
        <f t="shared" si="2"/>
        <v>9.6676406629607452E-3</v>
      </c>
      <c r="J21" s="41"/>
      <c r="K21" s="73"/>
    </row>
    <row r="22" spans="1:11" ht="15.75">
      <c r="A22" s="28" t="str">
        <v>Wellfleet Landfill</v>
      </c>
      <c r="B22" s="29" t="str">
        <v>MA</v>
      </c>
      <c r="C22" s="24">
        <v>42731.4</v>
      </c>
      <c r="D22" s="13">
        <v>45898.6</v>
      </c>
      <c r="E22" s="13">
        <f t="shared" si="0"/>
        <v>-3167.1999999999971</v>
      </c>
      <c r="F22" s="14">
        <f t="shared" si="3"/>
        <v>-6.900428335504781E-2</v>
      </c>
      <c r="G22" s="15">
        <v>0</v>
      </c>
      <c r="H22" s="15">
        <f t="shared" si="1"/>
        <v>42731.4</v>
      </c>
      <c r="I22" s="16" t="str">
        <f t="shared" si="2"/>
        <v/>
      </c>
      <c r="J22" s="40"/>
      <c r="K22" s="75"/>
    </row>
    <row r="23" spans="1:11" ht="28.5">
      <c r="A23" s="30" t="str">
        <v>Wilmington Garage &amp; Building 7</v>
      </c>
      <c r="B23" s="31" t="str">
        <v>MA</v>
      </c>
      <c r="C23" s="11">
        <v>46886.125</v>
      </c>
      <c r="D23" s="18">
        <v>60030.79</v>
      </c>
      <c r="E23" s="18">
        <f t="shared" si="0"/>
        <v>-13144.665000000001</v>
      </c>
      <c r="F23" s="19">
        <f t="shared" si="3"/>
        <v>-0.21896538426364207</v>
      </c>
      <c r="G23" s="20">
        <v>46318.95</v>
      </c>
      <c r="H23" s="20">
        <f t="shared" si="1"/>
        <v>567.17500000000291</v>
      </c>
      <c r="I23" s="19">
        <f t="shared" si="2"/>
        <v>1.2244988282333752E-2</v>
      </c>
      <c r="J23" s="41" t="s">
        <v>305</v>
      </c>
      <c r="K23" s="74" t="s">
        <v>306</v>
      </c>
    </row>
    <row r="24" spans="1:11" ht="42.75">
      <c r="A24" s="28" t="str">
        <v>Woburn</v>
      </c>
      <c r="B24" s="29" t="str">
        <v>MA</v>
      </c>
      <c r="C24" s="24">
        <v>73809.374493926807</v>
      </c>
      <c r="D24" s="13">
        <v>113581.1</v>
      </c>
      <c r="E24" s="13">
        <f t="shared" si="0"/>
        <v>-39771.725506073199</v>
      </c>
      <c r="F24" s="14">
        <f t="shared" si="3"/>
        <v>-0.35016147498195738</v>
      </c>
      <c r="G24" s="15">
        <v>62748.51</v>
      </c>
      <c r="H24" s="15">
        <f t="shared" si="1"/>
        <v>11060.864493926805</v>
      </c>
      <c r="I24" s="16">
        <f t="shared" si="2"/>
        <v>0.17627294247985817</v>
      </c>
      <c r="J24" s="40" t="s">
        <v>307</v>
      </c>
      <c r="K24" s="40" t="s">
        <v>308</v>
      </c>
    </row>
    <row r="25" spans="1:11" ht="15.75">
      <c r="A25" s="30" t="str">
        <v>Friendship Solar 1</v>
      </c>
      <c r="B25" s="31" t="str">
        <v>MD</v>
      </c>
      <c r="C25" s="11">
        <v>194454</v>
      </c>
      <c r="D25" s="18">
        <v>192021.4</v>
      </c>
      <c r="E25" s="18">
        <f t="shared" si="0"/>
        <v>2432.6000000000058</v>
      </c>
      <c r="F25" s="19">
        <f t="shared" si="3"/>
        <v>1.2668379670182625E-2</v>
      </c>
      <c r="G25" s="20">
        <v>190976.5</v>
      </c>
      <c r="H25" s="20">
        <f t="shared" si="1"/>
        <v>3477.5</v>
      </c>
      <c r="I25" s="19">
        <f t="shared" si="2"/>
        <v>1.82090466628093E-2</v>
      </c>
      <c r="J25" s="41"/>
      <c r="K25" s="42"/>
    </row>
    <row r="26" spans="1:11" ht="15.75">
      <c r="A26" s="28" t="str">
        <v>Friendship Solar 2</v>
      </c>
      <c r="B26" s="29" t="str">
        <v>MD</v>
      </c>
      <c r="C26" s="24">
        <v>190230</v>
      </c>
      <c r="D26" s="13">
        <v>204722.8</v>
      </c>
      <c r="E26" s="13">
        <f t="shared" si="0"/>
        <v>-14492.799999999988</v>
      </c>
      <c r="F26" s="14">
        <f t="shared" si="3"/>
        <v>-7.0792310382624651E-2</v>
      </c>
      <c r="G26" s="15">
        <v>187830.7</v>
      </c>
      <c r="H26" s="15">
        <f t="shared" si="1"/>
        <v>2399.2999999999884</v>
      </c>
      <c r="I26" s="16">
        <f t="shared" si="2"/>
        <v>1.277373720057471E-2</v>
      </c>
      <c r="J26" s="40"/>
      <c r="K26" s="40"/>
    </row>
    <row r="27" spans="1:11" ht="15.75">
      <c r="A27" s="30" t="str">
        <v>101 Carnegie Center</v>
      </c>
      <c r="B27" s="31" t="str">
        <v>NJ</v>
      </c>
      <c r="C27" s="11">
        <v>59085.2</v>
      </c>
      <c r="D27" s="18">
        <v>87333.9</v>
      </c>
      <c r="E27" s="18">
        <f t="shared" si="0"/>
        <v>-28248.699999999997</v>
      </c>
      <c r="F27" s="19">
        <f t="shared" si="3"/>
        <v>-0.32345629818432475</v>
      </c>
      <c r="G27" s="20">
        <v>0</v>
      </c>
      <c r="H27" s="20">
        <f t="shared" si="1"/>
        <v>59085.2</v>
      </c>
      <c r="I27" s="19" t="str">
        <f t="shared" si="2"/>
        <v/>
      </c>
      <c r="J27" s="41"/>
      <c r="K27" s="42"/>
    </row>
    <row r="28" spans="1:11" ht="15.75">
      <c r="A28" s="28" t="str">
        <v>302 Carnegie Center</v>
      </c>
      <c r="B28" s="29" t="str">
        <v>NJ</v>
      </c>
      <c r="C28" s="24">
        <v>26838.5</v>
      </c>
      <c r="D28" s="13">
        <v>35487.9</v>
      </c>
      <c r="E28" s="13">
        <f t="shared" si="0"/>
        <v>-8649.4000000000015</v>
      </c>
      <c r="F28" s="14">
        <f t="shared" si="3"/>
        <v>-0.24372814395892686</v>
      </c>
      <c r="G28" s="15">
        <v>0</v>
      </c>
      <c r="H28" s="15">
        <f t="shared" si="1"/>
        <v>26838.5</v>
      </c>
      <c r="I28" s="16" t="str">
        <f t="shared" si="2"/>
        <v/>
      </c>
      <c r="J28" s="40"/>
      <c r="K28" s="40"/>
    </row>
    <row r="29" spans="1:11" ht="15.75">
      <c r="A29" s="30" t="str">
        <v>510 Carnegie Center</v>
      </c>
      <c r="B29" s="31" t="str">
        <v>NJ</v>
      </c>
      <c r="C29" s="11">
        <v>60614.6</v>
      </c>
      <c r="D29" s="18">
        <v>93371.199999999997</v>
      </c>
      <c r="E29" s="18">
        <f>IF(AND(ISNUMBER(C29),ISNUMBER(D29)), C29-D29, "")</f>
        <v>-32756.6</v>
      </c>
      <c r="F29" s="19">
        <f>IFERROR(E29/D29, "")</f>
        <v>-0.35082123824048528</v>
      </c>
      <c r="G29" s="20">
        <v>0</v>
      </c>
      <c r="H29" s="20">
        <f>IF(AND(ISNUMBER(C29),ISNUMBER(G29)), C29-G29, "")</f>
        <v>60614.6</v>
      </c>
      <c r="I29" s="19" t="str">
        <f>IFERROR(H29/G29, "")</f>
        <v/>
      </c>
      <c r="J29" s="41"/>
      <c r="K29" s="42"/>
    </row>
    <row r="30" spans="1:11" ht="15.75">
      <c r="A30" s="28" t="str">
        <v>701 Carnegie Center</v>
      </c>
      <c r="B30" s="29" t="str">
        <v>NJ</v>
      </c>
      <c r="C30" s="87">
        <v>53242.2</v>
      </c>
      <c r="D30" s="13">
        <v>69325.899999999994</v>
      </c>
      <c r="E30" s="13">
        <f>IF(AND(ISNUMBER(C30),ISNUMBER(D30)), C30-D30, "")</f>
        <v>-16083.699999999997</v>
      </c>
      <c r="F30" s="88">
        <f>IFERROR(E30/D30, "")</f>
        <v>-0.23200131552565489</v>
      </c>
      <c r="G30" s="89">
        <v>0</v>
      </c>
      <c r="H30" s="89">
        <f>IF(AND(ISNUMBER(C30),ISNUMBER(G30)), C30-G30, "")</f>
        <v>53242.2</v>
      </c>
      <c r="I30" s="90" t="str">
        <f>IFERROR(H30/G30, "")</f>
        <v/>
      </c>
      <c r="J30" s="91"/>
      <c r="K30" s="91"/>
    </row>
    <row r="31" spans="1:11" ht="15.75">
      <c r="A31" s="30" t="str">
        <v>Hudson County Correction</v>
      </c>
      <c r="B31" s="31" t="str">
        <v>NJ</v>
      </c>
      <c r="C31" s="92">
        <v>71263.205526956401</v>
      </c>
      <c r="D31" s="18">
        <v>65042.3</v>
      </c>
      <c r="E31" s="18">
        <f>IF(AND(ISNUMBER(C31),ISNUMBER(D31)), C31-D31, "")</f>
        <v>6220.9055269563978</v>
      </c>
      <c r="F31" s="93">
        <f>IFERROR(E31/D31, "")</f>
        <v>9.5643996706088155E-2</v>
      </c>
      <c r="G31" s="83">
        <v>72312.800000000003</v>
      </c>
      <c r="H31" s="83">
        <f>IF(AND(ISNUMBER(C31),ISNUMBER(G31)), C31-G31, "")</f>
        <v>-1049.5944730436022</v>
      </c>
      <c r="I31" s="93">
        <f>IFERROR(H31/G31, "")</f>
        <v>-1.4514642954547496E-2</v>
      </c>
      <c r="J31" s="41" t="s">
        <v>309</v>
      </c>
      <c r="K31" s="94" t="s">
        <v>310</v>
      </c>
    </row>
    <row r="32" spans="1:11" ht="15.75">
      <c r="A32" s="28" t="str">
        <v>ER Bison Solar</v>
      </c>
      <c r="B32" s="29" t="str">
        <v>PA</v>
      </c>
      <c r="C32" s="87">
        <v>61829</v>
      </c>
      <c r="D32" s="13">
        <v>0</v>
      </c>
      <c r="E32" s="13">
        <f>IF(AND(ISNUMBER(C32),ISNUMBER(D32)), C32-D32, "")</f>
        <v>61829</v>
      </c>
      <c r="F32" s="88" t="str">
        <f>IFERROR(E32/D32, "")</f>
        <v/>
      </c>
      <c r="G32" s="89">
        <v>74441</v>
      </c>
      <c r="H32" s="89">
        <f>IF(AND(ISNUMBER(C32),ISNUMBER(G32)), C32-G32, "")</f>
        <v>-12612</v>
      </c>
      <c r="I32" s="90">
        <f>IFERROR(H32/G32, "")</f>
        <v>-0.16942276433685738</v>
      </c>
      <c r="J32" s="91"/>
      <c r="K32" s="91"/>
    </row>
    <row r="33" spans="1:11" ht="15.75">
      <c r="A33" s="30" t="str">
        <v>Danville</v>
      </c>
      <c r="B33" s="31" t="str">
        <v>IL</v>
      </c>
      <c r="C33" s="92">
        <v>52394.794473043599</v>
      </c>
      <c r="D33" s="18">
        <v>-65042.3</v>
      </c>
      <c r="E33" s="18">
        <f t="shared" ref="E33:E36" si="4">IF(AND(ISNUMBER(C33),ISNUMBER(D33)), C33-D33, "")</f>
        <v>117437.0944730436</v>
      </c>
      <c r="F33" s="93">
        <f t="shared" ref="F33:F36" si="5">IFERROR(E33/D33, "")</f>
        <v>-1.8055495342729824</v>
      </c>
      <c r="G33" s="83">
        <v>76569.2</v>
      </c>
      <c r="H33" s="83">
        <f t="shared" ref="H33:H36" si="6">IF(AND(ISNUMBER(C33),ISNUMBER(G33)), C33-G33, "")</f>
        <v>-24174.405526956398</v>
      </c>
      <c r="I33" s="93">
        <f t="shared" ref="I33:I36" si="7">IFERROR(H33/G33, "")</f>
        <v>-0.31571970879879113</v>
      </c>
      <c r="J33" s="41" t="s">
        <v>309</v>
      </c>
      <c r="K33" s="94" t="s">
        <v>311</v>
      </c>
    </row>
    <row r="34" spans="1:11" ht="45.75">
      <c r="A34" s="28" t="str">
        <v>Oaks Landfill - ANEM</v>
      </c>
      <c r="B34" s="29" t="str">
        <v>ML</v>
      </c>
      <c r="C34" s="87">
        <v>186313.9</v>
      </c>
      <c r="D34" s="13">
        <v>213152.4</v>
      </c>
      <c r="E34" s="13">
        <f t="shared" si="4"/>
        <v>-26838.5</v>
      </c>
      <c r="F34" s="88">
        <f t="shared" si="5"/>
        <v>-0.1259122580838874</v>
      </c>
      <c r="G34" s="89">
        <v>0</v>
      </c>
      <c r="H34" s="89">
        <f t="shared" si="6"/>
        <v>186313.9</v>
      </c>
      <c r="I34" s="90" t="str">
        <f t="shared" si="7"/>
        <v/>
      </c>
      <c r="J34" s="91" t="s">
        <v>312</v>
      </c>
      <c r="K34" s="91" t="s">
        <v>313</v>
      </c>
    </row>
    <row r="35" spans="1:11" ht="15.75">
      <c r="A35" s="30" t="str">
        <v>Oaks Landfill - CS1</v>
      </c>
      <c r="B35" s="31" t="str">
        <v>ML</v>
      </c>
      <c r="C35" s="92">
        <v>193640</v>
      </c>
      <c r="D35" s="18">
        <v>220091.5</v>
      </c>
      <c r="E35" s="18">
        <f t="shared" si="4"/>
        <v>-26451.5</v>
      </c>
      <c r="F35" s="93">
        <f t="shared" si="5"/>
        <v>-0.12018410524713585</v>
      </c>
      <c r="G35" s="83">
        <v>0</v>
      </c>
      <c r="H35" s="83">
        <f t="shared" si="6"/>
        <v>193640</v>
      </c>
      <c r="I35" s="93" t="str">
        <f t="shared" si="7"/>
        <v/>
      </c>
      <c r="J35" s="41"/>
      <c r="K35" s="94"/>
    </row>
    <row r="36" spans="1:11" ht="15.75">
      <c r="A36" s="28" t="str">
        <v>Oaks Landfill - CS2</v>
      </c>
      <c r="B36" s="29" t="str">
        <v>ML</v>
      </c>
      <c r="C36" s="87">
        <v>196612.14</v>
      </c>
      <c r="D36" s="13">
        <v>220052.3</v>
      </c>
      <c r="E36" s="13">
        <f t="shared" si="4"/>
        <v>-23440.159999999974</v>
      </c>
      <c r="F36" s="88">
        <f t="shared" si="5"/>
        <v>-0.10652085890490567</v>
      </c>
      <c r="G36" s="89">
        <v>0</v>
      </c>
      <c r="H36" s="89">
        <f t="shared" si="6"/>
        <v>196612.14</v>
      </c>
      <c r="I36" s="90" t="str">
        <f t="shared" si="7"/>
        <v/>
      </c>
      <c r="J36" s="91"/>
      <c r="K36" s="9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25">
      <c r="A342" s="21"/>
      <c r="B342" s="33"/>
      <c r="C342" s="21"/>
      <c r="D342" s="21"/>
      <c r="E342" s="21"/>
      <c r="F342" s="22"/>
      <c r="G342" s="21"/>
      <c r="H342" s="21"/>
      <c r="I342" s="22"/>
      <c r="J342" s="21"/>
      <c r="K342" s="21"/>
    </row>
    <row r="343" spans="1:11" ht="13.9">
      <c r="C343" s="21"/>
      <c r="D343" s="21"/>
      <c r="E343" s="21"/>
      <c r="F343" s="22"/>
      <c r="G343" s="21"/>
      <c r="H343" s="21"/>
      <c r="I343" s="22"/>
      <c r="J343" s="21"/>
      <c r="K343" s="21"/>
    </row>
  </sheetData>
  <mergeCells count="4">
    <mergeCell ref="G1:I1"/>
    <mergeCell ref="A1:C1"/>
    <mergeCell ref="D1:F1"/>
    <mergeCell ref="A2:B2"/>
  </mergeCells>
  <phoneticPr fontId="41" type="noConversion"/>
  <conditionalFormatting sqref="F2 I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conditionalFormatting sqref="F4:F101 I4:I101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6"/>
  <sheetViews>
    <sheetView workbookViewId="0">
      <pane ySplit="3" topLeftCell="A15" activePane="bottomLeft" state="frozen"/>
      <selection pane="bottomLeft" activeCell="G38" sqref="G3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314</v>
      </c>
      <c r="B1" t="s">
        <v>315</v>
      </c>
    </row>
    <row r="3" spans="1:12">
      <c r="A3" t="s">
        <v>316</v>
      </c>
      <c r="B3" t="s">
        <v>3</v>
      </c>
      <c r="C3" t="s">
        <v>4</v>
      </c>
      <c r="D3" t="s">
        <v>317</v>
      </c>
      <c r="E3" s="2" t="s">
        <v>318</v>
      </c>
    </row>
    <row r="4" spans="1:12" ht="14.25">
      <c r="A4" s="3" t="s">
        <v>319</v>
      </c>
      <c r="B4" t="s">
        <v>320</v>
      </c>
      <c r="C4" s="52" t="s">
        <v>321</v>
      </c>
      <c r="D4" t="s">
        <v>322</v>
      </c>
      <c r="E4" s="52" t="s">
        <v>323</v>
      </c>
      <c r="G4" s="3"/>
    </row>
    <row r="5" spans="1:12" ht="14.25">
      <c r="A5" s="3" t="s">
        <v>324</v>
      </c>
      <c r="B5" t="s">
        <v>325</v>
      </c>
      <c r="C5" s="52" t="s">
        <v>321</v>
      </c>
      <c r="D5" t="s">
        <v>322</v>
      </c>
      <c r="E5" s="52" t="s">
        <v>323</v>
      </c>
      <c r="G5" s="3"/>
    </row>
    <row r="6" spans="1:12" ht="14.25">
      <c r="A6" s="3" t="s">
        <v>326</v>
      </c>
      <c r="B6" t="s">
        <v>327</v>
      </c>
      <c r="C6" s="52" t="s">
        <v>321</v>
      </c>
      <c r="D6" t="s">
        <v>322</v>
      </c>
      <c r="E6" s="52" t="s">
        <v>323</v>
      </c>
      <c r="G6" s="3"/>
    </row>
    <row r="7" spans="1:12" ht="12.75" customHeight="1">
      <c r="A7" s="3" t="s">
        <v>328</v>
      </c>
      <c r="B7" t="s">
        <v>329</v>
      </c>
      <c r="C7" s="52" t="s">
        <v>321</v>
      </c>
      <c r="D7" t="s">
        <v>322</v>
      </c>
      <c r="E7" s="52" t="s">
        <v>323</v>
      </c>
    </row>
    <row r="8" spans="1:12" ht="12.75" customHeight="1">
      <c r="A8" s="3" t="s">
        <v>330</v>
      </c>
      <c r="B8" t="s">
        <v>331</v>
      </c>
      <c r="C8" s="52" t="s">
        <v>321</v>
      </c>
      <c r="D8" t="s">
        <v>322</v>
      </c>
      <c r="E8" s="52" t="s">
        <v>323</v>
      </c>
    </row>
    <row r="9" spans="1:12" ht="12.75" customHeight="1">
      <c r="A9" s="3" t="s">
        <v>332</v>
      </c>
      <c r="B9" t="s">
        <v>333</v>
      </c>
      <c r="C9" s="52" t="s">
        <v>321</v>
      </c>
      <c r="D9" t="s">
        <v>322</v>
      </c>
      <c r="E9" s="52" t="s">
        <v>323</v>
      </c>
    </row>
    <row r="10" spans="1:12" ht="12.75" customHeight="1">
      <c r="A10" s="3" t="s">
        <v>334</v>
      </c>
      <c r="B10" t="s">
        <v>335</v>
      </c>
      <c r="C10" s="52" t="s">
        <v>321</v>
      </c>
      <c r="D10" t="s">
        <v>322</v>
      </c>
      <c r="E10" s="52" t="s">
        <v>323</v>
      </c>
      <c r="K10" s="43"/>
      <c r="L10" s="43"/>
    </row>
    <row r="11" spans="1:12" ht="12.75" customHeight="1">
      <c r="A11" s="3" t="s">
        <v>336</v>
      </c>
      <c r="B11" t="s">
        <v>337</v>
      </c>
      <c r="C11" s="52" t="s">
        <v>321</v>
      </c>
      <c r="D11" t="s">
        <v>322</v>
      </c>
      <c r="E11" s="52" t="s">
        <v>323</v>
      </c>
      <c r="K11" s="43"/>
      <c r="L11" s="43"/>
    </row>
    <row r="12" spans="1:12" ht="12.75" customHeight="1">
      <c r="A12" s="3" t="s">
        <v>338</v>
      </c>
      <c r="B12" t="s">
        <v>339</v>
      </c>
      <c r="C12" s="52" t="s">
        <v>321</v>
      </c>
      <c r="D12" t="s">
        <v>322</v>
      </c>
      <c r="E12" s="52" t="s">
        <v>323</v>
      </c>
      <c r="K12" s="43"/>
      <c r="L12" s="43"/>
    </row>
    <row r="13" spans="1:12" ht="12.75" customHeight="1">
      <c r="A13" s="3" t="s">
        <v>340</v>
      </c>
      <c r="B13" t="s">
        <v>341</v>
      </c>
      <c r="C13" s="52" t="s">
        <v>321</v>
      </c>
      <c r="D13" t="s">
        <v>322</v>
      </c>
      <c r="E13" s="52" t="s">
        <v>323</v>
      </c>
      <c r="K13" s="43"/>
      <c r="L13" s="43"/>
    </row>
    <row r="14" spans="1:12" ht="12.75" customHeight="1">
      <c r="A14" s="3" t="s">
        <v>342</v>
      </c>
      <c r="B14" t="s">
        <v>343</v>
      </c>
      <c r="C14" s="52" t="s">
        <v>321</v>
      </c>
      <c r="D14" t="s">
        <v>322</v>
      </c>
      <c r="E14" s="52" t="s">
        <v>323</v>
      </c>
      <c r="K14" s="43"/>
      <c r="L14" s="43"/>
    </row>
    <row r="15" spans="1:12" ht="12.75" customHeight="1">
      <c r="A15" s="52" t="s">
        <v>344</v>
      </c>
      <c r="B15" t="s">
        <v>345</v>
      </c>
      <c r="C15" t="s">
        <v>321</v>
      </c>
      <c r="E15" t="s">
        <v>346</v>
      </c>
      <c r="K15" s="43"/>
      <c r="L15" s="43"/>
    </row>
    <row r="16" spans="1:12" ht="12.75" customHeight="1">
      <c r="A16" s="3" t="s">
        <v>347</v>
      </c>
      <c r="B16" t="s">
        <v>348</v>
      </c>
      <c r="C16" s="52" t="s">
        <v>321</v>
      </c>
      <c r="D16" t="s">
        <v>322</v>
      </c>
      <c r="E16" s="52" t="s">
        <v>323</v>
      </c>
      <c r="K16" s="43"/>
      <c r="L16" s="43"/>
    </row>
    <row r="17" spans="1:12" ht="12.75" customHeight="1">
      <c r="A17" s="52" t="s">
        <v>349</v>
      </c>
      <c r="B17" t="s">
        <v>350</v>
      </c>
      <c r="C17" t="s">
        <v>321</v>
      </c>
      <c r="E17" t="s">
        <v>346</v>
      </c>
      <c r="K17" s="43"/>
      <c r="L17" s="43"/>
    </row>
    <row r="18" spans="1:12" ht="12.75" customHeight="1">
      <c r="A18" s="3" t="s">
        <v>351</v>
      </c>
      <c r="B18" t="s">
        <v>352</v>
      </c>
      <c r="C18" s="52" t="s">
        <v>321</v>
      </c>
      <c r="D18" t="s">
        <v>322</v>
      </c>
      <c r="E18" s="52" t="s">
        <v>323</v>
      </c>
      <c r="K18" s="43"/>
      <c r="L18" s="43"/>
    </row>
    <row r="19" spans="1:12" ht="12.75" customHeight="1">
      <c r="A19" s="3" t="s">
        <v>353</v>
      </c>
      <c r="B19" t="s">
        <v>354</v>
      </c>
      <c r="C19" s="52" t="s">
        <v>321</v>
      </c>
      <c r="D19" t="s">
        <v>322</v>
      </c>
      <c r="E19" s="52" t="s">
        <v>323</v>
      </c>
      <c r="K19" s="43"/>
      <c r="L19" s="43"/>
    </row>
    <row r="20" spans="1:12" ht="12.75" customHeight="1">
      <c r="A20" s="3" t="s">
        <v>355</v>
      </c>
      <c r="B20" t="s">
        <v>356</v>
      </c>
      <c r="C20" s="52" t="s">
        <v>321</v>
      </c>
      <c r="D20" t="s">
        <v>322</v>
      </c>
      <c r="E20" s="52" t="s">
        <v>323</v>
      </c>
      <c r="K20" s="43"/>
      <c r="L20" s="43"/>
    </row>
    <row r="21" spans="1:12" ht="12.75" customHeight="1">
      <c r="A21" s="3" t="s">
        <v>357</v>
      </c>
      <c r="B21" t="s">
        <v>358</v>
      </c>
      <c r="C21" s="52" t="s">
        <v>321</v>
      </c>
      <c r="D21" t="s">
        <v>322</v>
      </c>
      <c r="E21" s="52" t="s">
        <v>323</v>
      </c>
      <c r="K21" s="43"/>
      <c r="L21" s="43"/>
    </row>
    <row r="22" spans="1:12" ht="12.75" customHeight="1">
      <c r="A22" s="52" t="s">
        <v>359</v>
      </c>
      <c r="B22" t="s">
        <v>360</v>
      </c>
      <c r="C22" t="s">
        <v>321</v>
      </c>
      <c r="E22" t="s">
        <v>346</v>
      </c>
      <c r="K22" s="43"/>
      <c r="L22" s="43"/>
    </row>
    <row r="23" spans="1:12" ht="12.75" customHeight="1">
      <c r="A23" s="3" t="s">
        <v>361</v>
      </c>
      <c r="B23" t="s">
        <v>362</v>
      </c>
      <c r="C23" s="52" t="s">
        <v>321</v>
      </c>
      <c r="D23" t="s">
        <v>322</v>
      </c>
      <c r="E23" s="52" t="s">
        <v>323</v>
      </c>
      <c r="K23" s="43"/>
      <c r="L23" s="43"/>
    </row>
    <row r="24" spans="1:12" ht="12.75" customHeight="1">
      <c r="A24" s="3" t="s">
        <v>363</v>
      </c>
      <c r="B24" t="s">
        <v>364</v>
      </c>
      <c r="C24" s="52" t="s">
        <v>321</v>
      </c>
      <c r="D24" t="s">
        <v>322</v>
      </c>
      <c r="E24" s="52" t="s">
        <v>323</v>
      </c>
      <c r="K24" s="43"/>
      <c r="L24" s="43"/>
    </row>
    <row r="25" spans="1:12" ht="12.75" customHeight="1">
      <c r="A25" s="3" t="s">
        <v>365</v>
      </c>
      <c r="B25" t="s">
        <v>366</v>
      </c>
      <c r="C25" s="52" t="s">
        <v>367</v>
      </c>
      <c r="D25" t="s">
        <v>322</v>
      </c>
      <c r="E25" s="52" t="s">
        <v>323</v>
      </c>
      <c r="K25" s="43"/>
      <c r="L25" s="43"/>
    </row>
    <row r="26" spans="1:12" ht="12.75" customHeight="1">
      <c r="A26" s="3" t="s">
        <v>368</v>
      </c>
      <c r="B26" t="s">
        <v>369</v>
      </c>
      <c r="C26" s="52" t="s">
        <v>367</v>
      </c>
      <c r="D26" t="s">
        <v>322</v>
      </c>
      <c r="E26" s="52" t="s">
        <v>323</v>
      </c>
      <c r="K26" s="43"/>
      <c r="L26" s="43"/>
    </row>
    <row r="27" spans="1:12" ht="12.75" customHeight="1">
      <c r="A27" s="52" t="s">
        <v>370</v>
      </c>
      <c r="B27" t="s">
        <v>370</v>
      </c>
      <c r="C27" t="s">
        <v>371</v>
      </c>
      <c r="E27" t="s">
        <v>346</v>
      </c>
      <c r="K27" s="43"/>
      <c r="L27" s="43"/>
    </row>
    <row r="28" spans="1:12" ht="12.75" customHeight="1">
      <c r="A28" s="52" t="s">
        <v>372</v>
      </c>
      <c r="B28" t="s">
        <v>372</v>
      </c>
      <c r="C28" t="s">
        <v>371</v>
      </c>
      <c r="E28" t="s">
        <v>346</v>
      </c>
      <c r="K28" s="43"/>
      <c r="L28" s="43"/>
    </row>
    <row r="29" spans="1:12" ht="12.75" customHeight="1">
      <c r="A29" s="52" t="s">
        <v>373</v>
      </c>
      <c r="B29" t="s">
        <v>373</v>
      </c>
      <c r="C29" t="s">
        <v>371</v>
      </c>
      <c r="E29" t="s">
        <v>346</v>
      </c>
      <c r="K29" s="43"/>
      <c r="L29" s="43"/>
    </row>
    <row r="30" spans="1:12" ht="12.75" customHeight="1">
      <c r="A30" s="52" t="s">
        <v>374</v>
      </c>
      <c r="B30" t="s">
        <v>374</v>
      </c>
      <c r="C30" t="s">
        <v>371</v>
      </c>
      <c r="E30" t="s">
        <v>346</v>
      </c>
      <c r="K30" s="43"/>
      <c r="L30" s="43"/>
    </row>
    <row r="31" spans="1:12" ht="12.75" customHeight="1">
      <c r="A31" s="3" t="s">
        <v>375</v>
      </c>
      <c r="B31" t="s">
        <v>376</v>
      </c>
      <c r="C31" s="52" t="s">
        <v>371</v>
      </c>
      <c r="D31" t="s">
        <v>322</v>
      </c>
      <c r="E31" s="52" t="s">
        <v>323</v>
      </c>
      <c r="K31" s="43"/>
      <c r="L31" s="43"/>
    </row>
    <row r="32" spans="1:12" ht="12.75" customHeight="1">
      <c r="A32" s="3" t="s">
        <v>377</v>
      </c>
      <c r="B32" t="s">
        <v>378</v>
      </c>
      <c r="C32" s="52" t="s">
        <v>379</v>
      </c>
      <c r="D32" t="s">
        <v>322</v>
      </c>
      <c r="E32" s="52" t="s">
        <v>323</v>
      </c>
    </row>
    <row r="33" spans="1:5" ht="12.75" customHeight="1">
      <c r="A33" s="52" t="s">
        <v>380</v>
      </c>
      <c r="B33" s="52" t="s">
        <v>380</v>
      </c>
      <c r="C33" s="52" t="s">
        <v>381</v>
      </c>
      <c r="E33" t="s">
        <v>346</v>
      </c>
    </row>
    <row r="34" spans="1:5" ht="12.75" customHeight="1">
      <c r="A34" s="96" t="s">
        <v>382</v>
      </c>
      <c r="B34" s="52" t="s">
        <v>382</v>
      </c>
      <c r="C34" s="97" t="s">
        <v>383</v>
      </c>
      <c r="E34" s="52" t="s">
        <v>346</v>
      </c>
    </row>
    <row r="35" spans="1:5" ht="12.75" customHeight="1">
      <c r="A35" s="96" t="s">
        <v>384</v>
      </c>
      <c r="B35" s="52" t="s">
        <v>384</v>
      </c>
      <c r="C35" s="97" t="s">
        <v>383</v>
      </c>
      <c r="E35" s="52" t="s">
        <v>346</v>
      </c>
    </row>
    <row r="36" spans="1:5" ht="12.75" customHeight="1">
      <c r="A36" s="96" t="s">
        <v>385</v>
      </c>
      <c r="B36" s="52" t="s">
        <v>385</v>
      </c>
      <c r="C36" s="97" t="s">
        <v>383</v>
      </c>
      <c r="E36" s="52" t="s">
        <v>346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B967173E-F27D-4438-8C0A-38E36531D3F9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2024-10-30T16:11:49Z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717099d2-9be0-48e7-ae9d-820f670e5df6</vt:lpwstr>
  </property>
  <property fmtid="{D5CDD505-2E9C-101B-9397-08002B2CF9AE}" pid="9" name="MSIP_Label_9d817c99-0b37-4a07-8277-96aa1f96b74b_ContentBits">
    <vt:lpwstr>0</vt:lpwstr>
  </property>
</Properties>
</file>