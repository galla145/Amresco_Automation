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eepakm_amgsol_com/Documents/Microsoft Teams Chat Files/"/>
    </mc:Choice>
  </mc:AlternateContent>
  <xr:revisionPtr revIDLastSave="48" documentId="13_ncr:1_{74F49794-5B92-4F95-B6FD-A91438425E99}" xr6:coauthVersionLast="47" xr6:coauthVersionMax="47" xr10:uidLastSave="{47A7F9A5-1ED7-4DF6-8C6C-BEE6318C040E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8" l="1"/>
  <c r="G6" i="30"/>
  <c r="G7" i="30"/>
  <c r="G8" i="30"/>
  <c r="G9" i="30"/>
  <c r="G10" i="30"/>
  <c r="G11" i="30"/>
  <c r="G12" i="30"/>
  <c r="G13" i="30"/>
  <c r="G14" i="30"/>
  <c r="G15" i="30"/>
  <c r="G16" i="30"/>
  <c r="G5" i="30"/>
  <c r="G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4" i="29"/>
  <c r="G5" i="18"/>
  <c r="G6" i="18"/>
  <c r="G7" i="18"/>
  <c r="G8" i="18"/>
  <c r="G9" i="18"/>
  <c r="G10" i="18"/>
  <c r="G11" i="18"/>
  <c r="G12" i="18"/>
  <c r="G13" i="18"/>
  <c r="G14" i="18"/>
  <c r="G15" i="18"/>
  <c r="G4" i="18"/>
  <c r="G4" i="1"/>
  <c r="H10" i="4"/>
  <c r="I10" i="4" s="1"/>
  <c r="H11" i="4"/>
  <c r="I11" i="4" s="1"/>
  <c r="C16" i="30"/>
  <c r="D16" i="30"/>
  <c r="C16" i="29"/>
  <c r="D16" i="29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E13" i="30" s="1"/>
  <c r="F13" i="30" s="1"/>
  <c r="D12" i="30"/>
  <c r="C12" i="30"/>
  <c r="D11" i="30"/>
  <c r="C11" i="30"/>
  <c r="D10" i="30"/>
  <c r="C10" i="30"/>
  <c r="D9" i="30"/>
  <c r="C9" i="30"/>
  <c r="E9" i="30" s="1"/>
  <c r="F9" i="30" s="1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9" i="34" l="1"/>
  <c r="G7" i="34"/>
  <c r="G2" i="30"/>
  <c r="G6" i="34"/>
  <c r="E4" i="30"/>
  <c r="F4" i="30" s="1"/>
  <c r="E14" i="30"/>
  <c r="F14" i="30" s="1"/>
  <c r="C8" i="34"/>
  <c r="E16" i="30"/>
  <c r="F16" i="30" s="1"/>
  <c r="E15" i="30"/>
  <c r="F15" i="30" s="1"/>
  <c r="E11" i="30"/>
  <c r="F11" i="30" s="1"/>
  <c r="E10" i="30"/>
  <c r="F10" i="30" s="1"/>
  <c r="E5" i="30"/>
  <c r="F5" i="30" s="1"/>
  <c r="G15" i="34"/>
  <c r="H9" i="29"/>
  <c r="I9" i="29" s="1"/>
  <c r="G2" i="29"/>
  <c r="E16" i="29"/>
  <c r="F16" i="29" s="1"/>
  <c r="E11" i="29"/>
  <c r="F11" i="29" s="1"/>
  <c r="C14" i="34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G13" i="34"/>
  <c r="E13" i="18"/>
  <c r="F13" i="18" s="1"/>
  <c r="G12" i="34"/>
  <c r="G11" i="34"/>
  <c r="E11" i="18"/>
  <c r="F11" i="18" s="1"/>
  <c r="D10" i="34"/>
  <c r="E10" i="18"/>
  <c r="F10" i="18" s="1"/>
  <c r="D8" i="34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H16" i="34" s="1"/>
  <c r="H6" i="29"/>
  <c r="I6" i="29" s="1"/>
  <c r="H10" i="29"/>
  <c r="I10" i="29" s="1"/>
  <c r="H13" i="29"/>
  <c r="I13" i="29" s="1"/>
  <c r="H16" i="29"/>
  <c r="I16" i="29" s="1"/>
  <c r="I10" i="27"/>
  <c r="H6" i="30"/>
  <c r="H6" i="34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H14" i="34" s="1"/>
  <c r="H9" i="30"/>
  <c r="H4" i="30"/>
  <c r="I4" i="30" s="1"/>
  <c r="E7" i="30"/>
  <c r="F7" i="30" s="1"/>
  <c r="H12" i="30"/>
  <c r="H12" i="34" s="1"/>
  <c r="H7" i="30"/>
  <c r="H15" i="30"/>
  <c r="H10" i="30"/>
  <c r="H10" i="34" s="1"/>
  <c r="H5" i="30"/>
  <c r="H13" i="30"/>
  <c r="H8" i="30"/>
  <c r="H8" i="34" s="1"/>
  <c r="H11" i="30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5" i="30" l="1"/>
  <c r="H15" i="34"/>
  <c r="I15" i="34" s="1"/>
  <c r="I13" i="30"/>
  <c r="H13" i="34"/>
  <c r="I11" i="30"/>
  <c r="H11" i="34"/>
  <c r="I9" i="30"/>
  <c r="H9" i="34"/>
  <c r="I9" i="34" s="1"/>
  <c r="E8" i="34"/>
  <c r="F8" i="34" s="1"/>
  <c r="I7" i="30"/>
  <c r="H7" i="34"/>
  <c r="I7" i="34" s="1"/>
  <c r="I5" i="30"/>
  <c r="H5" i="34"/>
  <c r="I5" i="34" s="1"/>
  <c r="I16" i="30"/>
  <c r="I14" i="30"/>
  <c r="I12" i="30"/>
  <c r="I10" i="30"/>
  <c r="I8" i="30"/>
  <c r="I6" i="30"/>
  <c r="I6" i="34"/>
  <c r="E14" i="34"/>
  <c r="F14" i="34" s="1"/>
  <c r="I14" i="34"/>
  <c r="I12" i="34"/>
  <c r="I10" i="34"/>
  <c r="I8" i="34"/>
  <c r="E9" i="34"/>
  <c r="F9" i="34" s="1"/>
  <c r="E11" i="34"/>
  <c r="F11" i="34" s="1"/>
  <c r="E2" i="29"/>
  <c r="F2" i="29" s="1"/>
  <c r="I16" i="34"/>
  <c r="I13" i="34"/>
  <c r="E13" i="34"/>
  <c r="F13" i="34" s="1"/>
  <c r="E12" i="34"/>
  <c r="F12" i="34" s="1"/>
  <c r="E7" i="34"/>
  <c r="F7" i="34" s="1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<sst xmlns="http://schemas.openxmlformats.org/spreadsheetml/2006/main" count="527" uniqueCount="284">
  <si>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</si>
  <si>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</si>
  <si>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</si>
  <si>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</si>
  <si>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</si>
  <si>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</si>
  <si>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</si>
  <si>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</si>
  <si>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</si>
  <si>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</si>
  <si>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</si>
  <si>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</si>
  <si>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</si>
  <si>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</si>
  <si>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</si>
  <si>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</si>
  <si>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</si>
  <si>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</si>
  <si>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</si>
  <si>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</si>
  <si>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</si>
  <si>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</si>
  <si>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</si>
  <si>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</si>
  <si>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</si>
  <si>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</si>
  <si>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</si>
  <si>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</si>
  <si>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</si>
  <si>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</si>
  <si>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</si>
  <si>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</si>
  <si>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</si>
  <si>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</si>
  <si>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</si>
  <si>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</si>
  <si>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</si>
  <si>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</si>
  <si>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</si>
  <si>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</si>
  <si>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</si>
  <si>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</si>
  <si>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</si>
  <si>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</si>
  <si>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</si>
  <si>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</si>
  <si>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</si>
  <si>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</si>
  <si>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</si>
  <si>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</si>
  <si>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</si>
  <si>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</si>
  <si>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</si>
  <si>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</si>
  <si>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</si>
  <si>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</si>
  <si>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</si>
  <si>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</si>
  <si>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</si>
  <si>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</si>
  <si>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</si>
  <si>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</si>
  <si>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</si>
  <si>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</si>
  <si>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</si>
  <si>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</si>
  <si>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</si>
  <si>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</si>
  <si>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</si>
  <si>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</si>
  <si>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</si>
  <si>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</si>
  <si>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</si>
  <si>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</si>
  <si>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</si>
  <si>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</si>
  <si>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</si>
  <si>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</si>
  <si>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</si>
  <si>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</si>
  <si>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</si>
  <si>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</si>
  <si>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</si>
  <si>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</si>
  <si>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</si>
  <si>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</si>
  <si>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</si>
  <si>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</si>
  <si>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</si>
  <si>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</si>
  <si>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</si>
  <si>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</si>
  <si>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</si>
  <si>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</si>
  <si>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</si>
  <si>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</si>
  <si>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</si>
  <si>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</si>
  <si>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</si>
  <si>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</si>
  <si>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</si>
  <si>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</si>
  <si>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</si>
  <si>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</si>
  <si>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</si>
  <si>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</si>
  <si>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</si>
  <si>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</si>
  <si>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</si>
  <si>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</si>
  <si>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</si>
  <si>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</si>
  <si>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</si>
  <si>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</si>
  <si>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</si>
  <si>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</si>
  <si>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</si>
  <si>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</si>
  <si>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</si>
  <si>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</si>
  <si>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</si>
  <si>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</si>
  <si>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</si>
  <si>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</si>
  <si>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</si>
  <si>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</si>
  <si>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</si>
  <si>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</si>
  <si>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</si>
  <si>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</si>
  <si>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</si>
  <si>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</si>
  <si>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</si>
  <si>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</si>
  <si>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</si>
  <si>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</si>
  <si>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</si>
  <si>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</si>
  <si>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</si>
  <si>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</si>
  <si>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</si>
  <si>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</si>
  <si>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</si>
  <si>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</si>
  <si>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</si>
  <si>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</si>
  <si>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</si>
  <si>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</si>
  <si>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</si>
  <si>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</si>
  <si>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</si>
  <si>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</si>
  <si>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</si>
  <si>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</si>
  <si>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</si>
  <si>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</si>
  <si>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</si>
  <si>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</si>
  <si>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1.Inverter 2.1B is offline from 08/22.
2.Inverter 9.2B was offline from 08/01 and back online at 10:00 on 08/29.</t>
  </si>
  <si>
    <t>1.SR089416</t>
  </si>
  <si>
    <t xml:space="preserve">1.Site tripped offline at 02:45 and back online at 06:45 on 08/03.
2.Site tripped offline at 10:15 and back online at 10:50 on 08/18.
3.Inverter 6.8 tripped offline at 8:45 and back online at 09:05 on 08/19.
</t>
  </si>
  <si>
    <t>1.SR088482
2.SR089211</t>
  </si>
  <si>
    <t>1.Inverter 33 tripped offline at 13:30 on 08/04 and back online at 07:00 on 08/05.
2.Inverter 6 tripped offline at 13:30 and back online at 17:00 on 08/5.
3.Inverter 58 tripped offline at 13:30 on 08/11 and back online at 07:15 on 08/12.
4.Inverter 31 tripped offline at 12:00 on 08/22 and back online at 11:15 on 08/23.
5.Inverter 59 tripped offline at 10:45 on 08/26 and back online at 07:45 on 08/27.
6.Inverter 20 tripped offline from 08/30.
7.Inverter 26 is back online on 08/16 at 14:30</t>
  </si>
  <si>
    <t>1.SR088587
2.SR088657
3.SR088905
4.SR089417
5.SR089554
6.SR089764
7.SR088298</t>
  </si>
  <si>
    <t>1.Site tripped offline at 01:45 and back online at 09:45 on 08/10.</t>
  </si>
  <si>
    <t>1.SR088862</t>
  </si>
  <si>
    <t>1. Site stopped communicating later tripped offline, production cannot be confirmed at 12:15Pm on 08/22 and  back online at 9:00 Am on 08/23
2.Inverter 113 tripped offline at 11:45AM 08/26 and back online at 12:10Pm on 08/27</t>
  </si>
  <si>
    <t>1.SR089444
2.SR089569</t>
  </si>
  <si>
    <t>1.Inverter 132 tripped offline at 09:30 and back online 14:00 on 07/10</t>
  </si>
  <si>
    <t>1.SR087546</t>
  </si>
  <si>
    <t>1. Inverter 132 was offline for whole month.
2. Inverter 77 was offline on 08/24 and back online on 08/25 and again inverter 77 was offline on 08/26 and back online on 08/27.
3. Inverter 24 was offline from 08/01 to 08/24.
4. Inverter 184 tripped offline on 08/13 and back online on 08/29
5. Inverter 126 has late starting issue.
6. Inverter 36 has late starting issue.</t>
  </si>
  <si>
    <t>1. SR087546
2. SR089381
3. SR088457
4. SR089003
5. SR088742
6. 	SR089225</t>
  </si>
  <si>
    <t>1. Inverter 72 6A tripped offline on 08/03 and back online on 08/26
2. Inverter 83 6A was tripped offline on 08/07 and back online on 08/08 and again inverter 83 6A tripped offline on 08/19
3. Inverter 93 6B was offline for most of the days in the month
4. Inverter 49 6B was offline from 08/03 to 08/16 and again inverter was offline from 08/17 to 08/22
5. Inverter 84 6B was offline from 08/13 to End of month.
6.  Inverter 89-6B was offline on 08/22 and back online on 08/23
7. Inverter 62 6B was offline for most of the days in month.</t>
  </si>
  <si>
    <t>1. SR088830
2. SR088283
3. SR090102
4.SR089254
5. SR089000
6. 	SR089412
7. SR089673</t>
  </si>
  <si>
    <t>1. Inverter 8 2C was offline for whole month.</t>
  </si>
  <si>
    <t>1. SR088230</t>
  </si>
  <si>
    <t>1. Inverter 46 was tripped offline on 08/20 and back online on 08/27.</t>
  </si>
  <si>
    <t>1. SR089344</t>
  </si>
  <si>
    <t>1. Inverter 14 4A have been RMA'd.
2. Inverter 22 4A is underproducing 3 kW down compared to its peers for whole month.
3. Inverter 11 4B was tripped offline on 08/14 at 09:00am and back online on 08/21
4. Inverter 17 4B was offline from 08/01 at 09:00am to 08/15 16:00</t>
  </si>
  <si>
    <t>1. SR087080
2. SR083820
3. 	SR089025
4. 	SR087425</t>
  </si>
  <si>
    <t>September Actual v. Expected</t>
  </si>
  <si>
    <t>September Actual v. Forecasted</t>
  </si>
  <si>
    <t>1.Inverter 2.1B back online on 9/3
2.Inverter 9.7B tripped offline at 11:15AM to 14:45 on 9/27</t>
  </si>
  <si>
    <t>1.SR089901
2.SR091323</t>
  </si>
  <si>
    <t>1.Inverter 20 back online on 9/20 
2. Inverter 59 tripped offline at 11:45 from 9/6
3.Inverter 31 tripped offline from 13:15 on 9/8 back online on 9/9 
4.Inverter 41 offline from 07:00 to 11:00 on 9/23
5.Inverter 29 tripped offline at 15:30 on 9/26 back online on 9/27 at 11:00
6.Inverter 2 tripped offline at 11:45AM on 9/30</t>
  </si>
  <si>
    <t>1.SR089764
2.	SR090080
3.SR089417
4. SR091072
5.	SR091307
6.SR091500</t>
  </si>
  <si>
    <t>1.Inverter 28 is underperforming approximately 6kW.</t>
  </si>
  <si>
    <t>1.SR090925</t>
  </si>
  <si>
    <t>1.Inverter 132 offline whole month
2.Inverter 20 tripped offline at 15:15 on 9/5 back online on 9/9 at 15:00
3.Inverter  55 offline from 9/7
4.Inverter 126 offline multiple days
5.Inverter 184 offline multiple days
6.Inverter 10 offline  on 9/18</t>
  </si>
  <si>
    <t>1.SR087546
2.SR090025
3.SR090087
4.SR090681
5.SR090620
6.SR090726</t>
  </si>
  <si>
    <t>1.Inverter 8 2C back online on 9/24 at 14:15</t>
  </si>
  <si>
    <t>1.SR088230</t>
  </si>
  <si>
    <t>1.Inverter 46 underproducing by about 3kw since 8/27</t>
  </si>
  <si>
    <t>1.	SR090286,S089344</t>
  </si>
  <si>
    <t>1. Inverter 22 4A is underproducing 3 kW down compared to its peers for whole month.
2. Inverter 14 4A have been RMA'd.</t>
  </si>
  <si>
    <t>1.SR083820
2. SR087080</t>
  </si>
  <si>
    <t>October Actual v. Expected</t>
  </si>
  <si>
    <t>October Actual v. Forecasted</t>
  </si>
  <si>
    <t>1.Inverter 5.7B has a history of starting late (after 8am) since 10/1/24 due to isolation faults.
2.Inverter 10.2A is offline from 10/07 till end of the month</t>
  </si>
  <si>
    <t>1.SR091810
2.SR091846</t>
  </si>
  <si>
    <t>1.Inverter 5.06 tripped at 12:30 on 10/01 and back online at 11:30 on 10/02
2.Inverter 4.1 tripped at 14:30 on 10/01 and back online on 10/02
3.Inverter 3.7 started late at 13:30 on 10/07.</t>
  </si>
  <si>
    <t>1.SR091572
2.SR091573
3.SR091845</t>
  </si>
  <si>
    <t>1.Inverter 59 tripped offline at 11:45 from 9/6 till date.
2. Inverter 2 is back online at 08:30 on 10/03
3. Inverter 2 again tripped offline at 12:15 on 10/06 back online at 09:45 on 10/17
4.Inverter 51 is offline on 10/17 for whole day
5. Inverter 3 tripped offline at 12:45 on 10/18 and back at 14:15 on 10/24
6. Inverter 37 is offfline from 10/19 and back online at 10:45 on 10/24</t>
  </si>
  <si>
    <t>1.SR090080
2.SR091500
3.SR092208
4.SR092253
5.SR092318
6.SR092328</t>
  </si>
  <si>
    <t>1. Inverter 32 tripped offline 15:30 on 10/21 throught out the month</t>
  </si>
  <si>
    <t>1.SR092407</t>
  </si>
  <si>
    <t>1. Inverter 50 is being RMA'd
2.Site tripped offline at 3:40PM and auto-closed at 3:50PM on 10/06</t>
  </si>
  <si>
    <t>1.SR091600
2.SR091830</t>
  </si>
  <si>
    <t>1.Inverter 132 was offline for whole month
2.Inverter 80 is offline on 10/11 and back online at 11:00 and back online at 10/13 and has a history of late starting.
3.Inverter 10 tripped offline at 15:45 on 10/14 and back online at 16:30 on 10/15
4. Inverter 14 tripped offline at 10:15 on 10/27 through out the month</t>
  </si>
  <si>
    <t>1.SR087546
2.SR092046
3.SR092132
4.SR092631</t>
  </si>
  <si>
    <t>1.Inverter 14 4A have been RMA'd.</t>
  </si>
  <si>
    <t>1.SR087080</t>
  </si>
  <si>
    <t>November Actual v. Expected</t>
  </si>
  <si>
    <t>November Actual v. Forecasted</t>
  </si>
  <si>
    <t xml:space="preserve">1.Site tripped offline at 9:30AM on 11/21 and back online at 8:30AM on 11/22
</t>
  </si>
  <si>
    <t xml:space="preserve">1.SR093487
</t>
  </si>
  <si>
    <t>1.Inverter 51 tripped offline at 12:30 EST on 11/27 throught out the month 
2.Site stopped communicating at 18:03 on 11/23 unable to confirm production and back online at 10:30 EST on 11/24</t>
  </si>
  <si>
    <t>1.SR093683
2.SR093572</t>
  </si>
  <si>
    <t>1.Site tripped offline at 11:15AM on 11/06 and back online at 7:00AM on 11/07 
2.Site tripped offline at 03:00AM on 11/23 and back online at 9:45AM on 11/24</t>
  </si>
  <si>
    <t>1.SR093009
2.SR093553</t>
  </si>
  <si>
    <t xml:space="preserve">1.Inverter 32 tripped offline at 15:30 on 10/21 throught out the month </t>
  </si>
  <si>
    <t>1. Inverter 106 tripped offline at 14:00 PM on 11/18 and back online at 11:00 EST on 11/19</t>
  </si>
  <si>
    <t>1.SR093394</t>
  </si>
  <si>
    <t>1.Inverter 14 tripped offline at 10:15 on 10/27 and back online at 14:45 EST on 11/06
2. Inverter 78 tripping on and off at 12:30 to 12:45 on 11/10
3.Inverter 189 tripped offline at 10:15 EST on 11/20 and back online at 7:00EST on 11/22</t>
  </si>
  <si>
    <t>1.SR092631
2.SR093123
3.SR093481</t>
  </si>
  <si>
    <t xml:space="preserve">1.Inverter 61 6B tripped offline at 10:35 on 10/31 and back online at 10:00 on 11/13
2.Inverter 62 6B tripped offline at 7:00 on 11/13 and back online at 16:00 on 11/13
3.Inverter 93 6B tripped offline at 13:15 on 11/11 and back online at 15:00 on 11/11 and again tripped offline at 10:45 on 11/20 and back online at 15:45 on 11/20
4.Inverter 46 6A tripped offline at 10:00EDT on 10/29 and back online at 10:30EDT on 11/01
5.Inverter 73 6A tripped offline at 9:00 on 11/02 and back online at 6:30 on 11/03 
6. Inverter 69 6A is offline from 11/09 throught out month </t>
  </si>
  <si>
    <t>1.SR092844
2.SR093204
3.SR093149
4.SR092734
5.SR092904
6.SR093102</t>
  </si>
  <si>
    <t xml:space="preserve">1.Inverter 2C.8 tripped offline at 7:00AM on 11/23 and back onine at 11:45 on 11/24AM and again tripped offline at 7:30 AM on 11/27 and back online at 7:30AM on 11/30 </t>
  </si>
  <si>
    <t>1.SR093566, 	SR093664</t>
  </si>
  <si>
    <t xml:space="preserve">1.Inveter 17 is underperforming by 7KW from 11/15 </t>
  </si>
  <si>
    <t>1.SR093619</t>
  </si>
  <si>
    <t>December Actual v. Expected</t>
  </si>
  <si>
    <t>December Actual v. Forecasted</t>
  </si>
  <si>
    <t>1. Inverter 6.2B was offline on 12/11 and back online at 7:00AM on 12/12.
2. Inverter 10.1C was offline from12/24 and back online at 12:45PM on 12/26.
3. Inverters 6.2B and 8.5B are offline on 12/30 and back online at  07:00AM on 12/31.</t>
  </si>
  <si>
    <t>1. SR094411
2. SR095069
3. SR095171</t>
  </si>
  <si>
    <t>1. Site tripped offline at 7:45AM on 12/11 and back online at 09:00AM on 12/12.
2. Inverter 1.2 was offline since 12/24 and being RMA'd.
3. Site tripped offline at 07:45AM on 12/30 and back online at 12:00PM on same day.</t>
  </si>
  <si>
    <t>1. SR094381
2. SR095065
3. SR095155</t>
  </si>
  <si>
    <t>1. Inverter 59 was offline since 09/06.
2. Inverter 51 t back online at 10:45AM on 12/02.
3. Inverter 61 started late for production  at 2:30 PM on 12/29.
4. Inverter 31 tripped offline at 12:15PM on 12/31.</t>
  </si>
  <si>
    <t>1. SR090080
2. SR093683
3. SR095138
4. SR095187</t>
  </si>
  <si>
    <t>1. Inverter 1.7A tripped offline at 8:00AM on 12/06 and back online at 9:45AM on 12/09.
2. Inverter 2.8C offline on 12/7 and back online on 12/08.
3. Site tripped offline at 12:45PM on 12/11 and back online at 9:30AM on 12/12.
4. Inverter 3.13C was offline from 12/13 and back online at 10:30AM on 12/16.</t>
  </si>
  <si>
    <t>1. SR094223
2. SR094249
3. SR094413
4. SR094597</t>
  </si>
  <si>
    <t>1. Inverter 87 tripped offline at 15:00 on 12/17 and back online at 7:30AM on 12/18.
2.Inverters 11 and 56 tripped offline at 11:30 AM on 12/26 and back online at 7:00 AM on 12/27. Additionally, Inverter 78 tripped offline at 12:30 PM on 12/26 and  back online at 1:30 PM the same day</t>
  </si>
  <si>
    <t>1. SR094857
2. SR095098</t>
  </si>
  <si>
    <t>1. Inverter 62 6B  offline on 12/03, 12/05, and 12/13.
2. Inverter 2 6B started late for production at 14:00 on 12/17.
3. Inverter 93 tripped offline from 9:15AM to 10:45 AM on 12/19
4. Inverter 60 6B tripped offline at 10:15AM on 12/24 and back online at 7:30AM on 12/25.
5. Inverter 69 back online at 10:15AM on 12/04.
6. Inverter 73 6A was offline on 12/25 and back online at 7:00AM on 12/26.</t>
  </si>
  <si>
    <t>1. SR093893
2. SR094838
3. SR094952
4. SR095068
5. SR093102
6. SR092904</t>
  </si>
  <si>
    <t>1. Inverter 8 2C being RMA'd.
2. Inverter 3 2C has been offline since 12/17 and inverter being RMA'd.</t>
  </si>
  <si>
    <t>1. SR093664, SR094895
2. SR094858</t>
  </si>
  <si>
    <t>1.SR090286,S089344</t>
  </si>
  <si>
    <t>1. Inverter 14 4A have been RMA'd.</t>
  </si>
  <si>
    <t>1. SR087080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</si>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</sst>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</font>
    <font>
      <sz val="11"/>
      <color rgb="FF000000"/>
      <name val="Calibri"/>
      <charset val="1"/>
    </font>
    <font>
      <sz val="11"/>
      <color theme="1"/>
      <name val="Calibri"/>
    </font>
    <font>
      <sz val="11"/>
      <name val="Calibri"/>
    </font>
    <font>
      <sz val="12"/>
      <color theme="1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11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38" fillId="0" borderId="0" xfId="0" applyFont="1"/>
    <xf numFmtId="0" fontId="39" fillId="0" borderId="0" xfId="0" applyFont="1" applyAlignment="1">
      <alignment vertical="top" wrapText="1"/>
    </xf>
    <xf numFmtId="164" fontId="40" fillId="44" borderId="0" xfId="1" applyNumberFormat="1" applyFont="1" applyFill="1" applyBorder="1" applyAlignment="1">
      <alignment horizontal="center" vertical="center"/>
    </xf>
    <xf numFmtId="3" fontId="41" fillId="3" borderId="0" xfId="0" applyNumberFormat="1" applyFont="1" applyFill="1" applyAlignment="1">
      <alignment horizontal="right" vertical="center"/>
    </xf>
    <xf numFmtId="9" fontId="41" fillId="3" borderId="0" xfId="2" applyFont="1" applyFill="1" applyBorder="1" applyAlignment="1">
      <alignment horizontal="center" vertical="center"/>
    </xf>
    <xf numFmtId="3" fontId="41" fillId="4" borderId="0" xfId="1" applyNumberFormat="1" applyFont="1" applyFill="1" applyBorder="1" applyAlignment="1">
      <alignment vertical="center"/>
    </xf>
    <xf numFmtId="9" fontId="41" fillId="37" borderId="0" xfId="2" applyFont="1" applyFill="1" applyBorder="1" applyAlignment="1">
      <alignment horizontal="center" vertical="center"/>
    </xf>
    <xf numFmtId="49" fontId="41" fillId="38" borderId="0" xfId="2" applyNumberFormat="1" applyFont="1" applyFill="1" applyBorder="1" applyAlignment="1">
      <alignment vertical="top" wrapText="1"/>
    </xf>
    <xf numFmtId="164" fontId="40" fillId="0" borderId="0" xfId="1" applyNumberFormat="1" applyFont="1" applyBorder="1" applyAlignment="1">
      <alignment horizontal="center" vertical="center"/>
    </xf>
    <xf numFmtId="3" fontId="41" fillId="0" borderId="0" xfId="0" applyNumberFormat="1" applyFont="1" applyAlignment="1">
      <alignment horizontal="right" vertical="center"/>
    </xf>
    <xf numFmtId="9" fontId="41" fillId="0" borderId="0" xfId="2" applyFont="1" applyFill="1" applyBorder="1" applyAlignment="1">
      <alignment horizontal="center" vertical="center"/>
    </xf>
    <xf numFmtId="3" fontId="41" fillId="0" borderId="0" xfId="1" applyNumberFormat="1" applyFont="1" applyFill="1" applyBorder="1" applyAlignment="1">
      <alignment vertical="center"/>
    </xf>
    <xf numFmtId="49" fontId="40" fillId="0" borderId="0" xfId="0" applyNumberFormat="1" applyFont="1" applyAlignment="1">
      <alignment vertical="center" wrapText="1"/>
    </xf>
    <xf numFmtId="49" fontId="40" fillId="0" borderId="0" xfId="0" applyNumberFormat="1" applyFont="1" applyAlignment="1">
      <alignment horizontal="left" vertical="top" wrapText="1"/>
    </xf>
    <xf numFmtId="49" fontId="42" fillId="0" borderId="0" xfId="0" applyNumberFormat="1" applyFont="1" applyAlignment="1">
      <alignment vertical="center" wrapText="1"/>
    </xf>
    <xf numFmtId="49" fontId="40" fillId="0" borderId="0" xfId="0" applyNumberFormat="1" applyFont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H16" sqref="H1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9" t="str" cm="1">
        <f t="array" ref="A1">portfolio</f>
        <v>MN8 Bond</v>
      </c>
      <c r="B1" s="109"/>
      <c r="C1" s="109"/>
      <c r="D1" s="110" t="s">
        <v>0</v>
      </c>
      <c r="E1" s="110"/>
      <c r="F1" s="110"/>
      <c r="G1" s="108" t="s">
        <v>1</v>
      </c>
      <c r="H1" s="108"/>
      <c r="I1" s="108"/>
    </row>
    <row r="2" spans="1:9" ht="19.5" customHeight="1">
      <c r="A2" s="111" t="s">
        <v>2</v>
      </c>
      <c r="B2" s="111"/>
      <c r="C2" s="5">
        <f>SUM(C4:C91)</f>
        <v>28699842.097821452</v>
      </c>
      <c r="D2" s="5">
        <f>SUM(D4:D91)</f>
        <v>30693120.640000001</v>
      </c>
      <c r="E2" s="5">
        <f>C2-D2</f>
        <v>-1993278.5421785489</v>
      </c>
      <c r="F2" s="6">
        <f>IFERROR(E2/D2, 0)</f>
        <v>-6.4942192276821187E-2</v>
      </c>
      <c r="G2" s="5">
        <f>SUM(G4:G91)</f>
        <v>28384343.660000004</v>
      </c>
      <c r="H2" s="7">
        <f>C2-G2</f>
        <v>315498.43782144785</v>
      </c>
      <c r="I2" s="6">
        <f>IFERROR(H2/G2, 0)</f>
        <v>1.1115227521221739E-2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4482912.1557960194</v>
      </c>
      <c r="D4" s="56">
        <f>SUM('1st Qtr'!D4, '2nd Qtr'!D4, '3rd Qtr'!D4, '4th Qtr'!D4)</f>
        <v>4274368.2</v>
      </c>
      <c r="E4" s="56">
        <f>IF(AND(ISNUMBER(C4),ISNUMBER(D4)), C4-D4, "")</f>
        <v>208543.95579601917</v>
      </c>
      <c r="F4" s="69">
        <f>IFERROR(E4/D4, "")</f>
        <v>4.8789422445174278E-2</v>
      </c>
      <c r="G4" s="58">
        <f>SUM('1st Qtr'!G4, '2nd Qtr'!G4, '3rd Qtr'!G4, '4th Qtr'!G4)</f>
        <v>4559928</v>
      </c>
      <c r="H4" s="58">
        <f>SUM('1st Qtr'!H4, '2nd Qtr'!H4, '3rd Qtr'!H4, '4th Qtr'!H4)</f>
        <v>-77015.844203979999</v>
      </c>
      <c r="I4" s="57">
        <f>IFERROR(H4/G4, "")</f>
        <v>-1.6889706197988213E-2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1650424.9995365879</v>
      </c>
      <c r="D5" s="62">
        <f>SUM('1st Qtr'!D5, '2nd Qtr'!D5, '3rd Qtr'!D5, '4th Qtr'!D5)</f>
        <v>1702372.0500000003</v>
      </c>
      <c r="E5" s="62">
        <f t="shared" ref="E5:E15" si="0">IF(AND(ISNUMBER(C5),ISNUMBER(D5)), C5-D5, "")</f>
        <v>-51947.050463412423</v>
      </c>
      <c r="F5" s="63">
        <f>IFERROR(E5/D5, "")</f>
        <v>-3.0514510892852367E-2</v>
      </c>
      <c r="G5" s="64">
        <f>SUM('1st Qtr'!G5, '2nd Qtr'!G5, '3rd Qtr'!G5, '4th Qtr'!G5)</f>
        <v>1652882.31</v>
      </c>
      <c r="H5" s="64">
        <f>SUM('1st Qtr'!H5, '2nd Qtr'!H5, '3rd Qtr'!H5, '4th Qtr'!H5)</f>
        <v>-2457.3104634121337</v>
      </c>
      <c r="I5" s="63">
        <f>IFERROR(H5/G5, "")</f>
        <v>-1.4866820514354308E-3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1286118</v>
      </c>
      <c r="D6" s="56">
        <f>SUM('1st Qtr'!D6, '2nd Qtr'!D6, '3rd Qtr'!D6, '4th Qtr'!D6)</f>
        <v>1376159.32</v>
      </c>
      <c r="E6" s="56">
        <f t="shared" si="0"/>
        <v>-90041.320000000065</v>
      </c>
      <c r="F6" s="69">
        <f t="shared" ref="F6:F15" si="1">IFERROR(E6/D6, "")</f>
        <v>-6.5429430075000378E-2</v>
      </c>
      <c r="G6" s="58">
        <f>SUM('1st Qtr'!G6, '2nd Qtr'!G6, '3rd Qtr'!G6, '4th Qtr'!G6)</f>
        <v>1262058.5499999998</v>
      </c>
      <c r="H6" s="58">
        <f>SUM('1st Qtr'!H6, '2nd Qtr'!H6, '3rd Qtr'!H6, '4th Qtr'!H6)</f>
        <v>24059.44999999999</v>
      </c>
      <c r="I6" s="57">
        <f t="shared" ref="I6:I15" si="2">IFERROR(H6/G6, "")</f>
        <v>1.9063655961127947E-2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1711498.9950888441</v>
      </c>
      <c r="D7" s="62">
        <f>SUM('1st Qtr'!D7, '2nd Qtr'!D7, '3rd Qtr'!D7, '4th Qtr'!D7)</f>
        <v>1757206.67</v>
      </c>
      <c r="E7" s="62">
        <f t="shared" si="0"/>
        <v>-45707.674911155831</v>
      </c>
      <c r="F7" s="63">
        <f t="shared" si="1"/>
        <v>-2.6011553274581999E-2</v>
      </c>
      <c r="G7" s="64">
        <f>SUM('1st Qtr'!G7, '2nd Qtr'!G7, '3rd Qtr'!G7, '4th Qtr'!G7)</f>
        <v>1638784.3599999999</v>
      </c>
      <c r="H7" s="64">
        <f>SUM('1st Qtr'!H7, '2nd Qtr'!H7, '3rd Qtr'!H7, '4th Qtr'!H7)</f>
        <v>72714.635088844036</v>
      </c>
      <c r="I7" s="63">
        <f t="shared" si="2"/>
        <v>4.4371081921262684E-2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1698502.1099999999</v>
      </c>
      <c r="D8" s="56">
        <f>SUM('1st Qtr'!D8, '2nd Qtr'!D8, '3rd Qtr'!D8, '4th Qtr'!D8)</f>
        <v>1931142.07</v>
      </c>
      <c r="E8" s="56">
        <f t="shared" si="0"/>
        <v>-232639.9600000002</v>
      </c>
      <c r="F8" s="69">
        <f t="shared" si="1"/>
        <v>-0.1204675531717872</v>
      </c>
      <c r="G8" s="58">
        <f>SUM('1st Qtr'!G8, '2nd Qtr'!G8, '3rd Qtr'!G8, '4th Qtr'!G8)</f>
        <v>1646527</v>
      </c>
      <c r="H8" s="58">
        <f>SUM('1st Qtr'!H8, '2nd Qtr'!H8, '3rd Qtr'!H8, '4th Qtr'!H8)</f>
        <v>51975.11</v>
      </c>
      <c r="I8" s="57">
        <f t="shared" si="2"/>
        <v>3.1566509386119997E-2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3344114.12</v>
      </c>
      <c r="D9" s="62">
        <f>SUM('1st Qtr'!D9, '2nd Qtr'!D9, '3rd Qtr'!D9, '4th Qtr'!D9)</f>
        <v>3513831.4999999995</v>
      </c>
      <c r="E9" s="62">
        <f t="shared" si="0"/>
        <v>-169717.37999999942</v>
      </c>
      <c r="F9" s="63">
        <f t="shared" si="1"/>
        <v>-4.8299806066397735E-2</v>
      </c>
      <c r="G9" s="64">
        <f>SUM('1st Qtr'!G9, '2nd Qtr'!G9, '3rd Qtr'!G9, '4th Qtr'!G9)</f>
        <v>3155300.4000000004</v>
      </c>
      <c r="H9" s="64">
        <f>SUM('1st Qtr'!H9, '2nd Qtr'!H9, '3rd Qtr'!H9, '4th Qtr'!H9)</f>
        <v>188813.72</v>
      </c>
      <c r="I9" s="63">
        <f t="shared" si="2"/>
        <v>5.9840172428590313E-2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3382348.6364000011</v>
      </c>
      <c r="D10" s="56">
        <f>SUM('1st Qtr'!D10, '2nd Qtr'!D10, '3rd Qtr'!D10, '4th Qtr'!D10)</f>
        <v>3738735.4</v>
      </c>
      <c r="E10" s="56">
        <f t="shared" si="0"/>
        <v>-356386.76359999878</v>
      </c>
      <c r="F10" s="69">
        <f t="shared" si="1"/>
        <v>-9.5322809846345044E-2</v>
      </c>
      <c r="G10" s="58">
        <f>SUM('1st Qtr'!G10, '2nd Qtr'!G10, '3rd Qtr'!G10, '4th Qtr'!G10)</f>
        <v>3289235.8000000003</v>
      </c>
      <c r="H10" s="58">
        <f>SUM('1st Qtr'!H10, '2nd Qtr'!H10, '3rd Qtr'!H10, '4th Qtr'!H10)</f>
        <v>93112.836400001208</v>
      </c>
      <c r="I10" s="57">
        <f t="shared" si="2"/>
        <v>2.8308349434844775E-2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3150469.39</v>
      </c>
      <c r="D11" s="62">
        <f>SUM('1st Qtr'!D11, '2nd Qtr'!D11, '3rd Qtr'!D11, '4th Qtr'!D11)</f>
        <v>3607554</v>
      </c>
      <c r="E11" s="62">
        <f t="shared" si="0"/>
        <v>-457084.60999999987</v>
      </c>
      <c r="F11" s="63">
        <f t="shared" si="1"/>
        <v>-0.12670208401592875</v>
      </c>
      <c r="G11" s="64">
        <f>SUM('1st Qtr'!G11, '2nd Qtr'!G11, '3rd Qtr'!G11, '4th Qtr'!G11)</f>
        <v>3229314.8000000003</v>
      </c>
      <c r="H11" s="64">
        <f>SUM('1st Qtr'!H11, '2nd Qtr'!H11, '3rd Qtr'!H11, '4th Qtr'!H11)</f>
        <v>-78845.409999999945</v>
      </c>
      <c r="I11" s="63">
        <f t="shared" si="2"/>
        <v>-2.4415523070095223E-2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3052264.4299999997</v>
      </c>
      <c r="D12" s="56">
        <f>SUM('1st Qtr'!D12, '2nd Qtr'!D12, '3rd Qtr'!D12, '4th Qtr'!D12)</f>
        <v>3063255.2</v>
      </c>
      <c r="E12" s="56">
        <f t="shared" si="0"/>
        <v>-10990.770000000484</v>
      </c>
      <c r="F12" s="69">
        <f t="shared" si="1"/>
        <v>-3.5879380862555896E-3</v>
      </c>
      <c r="G12" s="58">
        <f>SUM('1st Qtr'!G12, '2nd Qtr'!G12, '3rd Qtr'!G12, '4th Qtr'!G12)</f>
        <v>3098282.4</v>
      </c>
      <c r="H12" s="58">
        <f>SUM('1st Qtr'!H12, '2nd Qtr'!H12, '3rd Qtr'!H12, '4th Qtr'!H12)</f>
        <v>-46017.97000000003</v>
      </c>
      <c r="I12" s="57">
        <f t="shared" si="2"/>
        <v>-1.4852735825501262E-2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852273.65249999997</v>
      </c>
      <c r="D13" s="62">
        <f>SUM('1st Qtr'!D13, '2nd Qtr'!D13, '3rd Qtr'!D13, '4th Qtr'!D13)</f>
        <v>876031.39000000013</v>
      </c>
      <c r="E13" s="62">
        <f t="shared" si="0"/>
        <v>-23757.737500000163</v>
      </c>
      <c r="F13" s="63">
        <f t="shared" si="1"/>
        <v>-2.7119733118239245E-2</v>
      </c>
      <c r="G13" s="64">
        <f>SUM('1st Qtr'!G13, '2nd Qtr'!G13, '3rd Qtr'!G13, '4th Qtr'!G13)</f>
        <v>795073.42999999993</v>
      </c>
      <c r="H13" s="64">
        <f>SUM('1st Qtr'!H13, '2nd Qtr'!H13, '3rd Qtr'!H13, '4th Qtr'!H13)</f>
        <v>57200.222500000025</v>
      </c>
      <c r="I13" s="63">
        <f t="shared" si="2"/>
        <v>7.1943320379854764E-2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1697557.12</v>
      </c>
      <c r="D14" s="56">
        <f>SUM('1st Qtr'!D14, '2nd Qtr'!D14, '3rd Qtr'!D14, '4th Qtr'!D14)</f>
        <v>1995948.4800000002</v>
      </c>
      <c r="E14" s="56">
        <f t="shared" si="0"/>
        <v>-298391.3600000001</v>
      </c>
      <c r="F14" s="69">
        <f t="shared" si="1"/>
        <v>-0.14949852813836159</v>
      </c>
      <c r="G14" s="58">
        <f>SUM('1st Qtr'!G14, '2nd Qtr'!G14, '3rd Qtr'!G14, '4th Qtr'!G14)</f>
        <v>1664991.08</v>
      </c>
      <c r="H14" s="58">
        <f>SUM('1st Qtr'!H14, '2nd Qtr'!H14, '3rd Qtr'!H14, '4th Qtr'!H14)</f>
        <v>32566.040000000066</v>
      </c>
      <c r="I14" s="57">
        <f t="shared" si="2"/>
        <v>1.9559287969278531E-2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1697722.4</v>
      </c>
      <c r="D15" s="62">
        <f>SUM('1st Qtr'!D15, '2nd Qtr'!D15, '3rd Qtr'!D15, '4th Qtr'!D15)</f>
        <v>1938193.36</v>
      </c>
      <c r="E15" s="62">
        <f t="shared" si="0"/>
        <v>-240470.9600000002</v>
      </c>
      <c r="F15" s="63">
        <f t="shared" si="1"/>
        <v>-0.12406964390797427</v>
      </c>
      <c r="G15" s="64">
        <f>SUM('1st Qtr'!G15, '2nd Qtr'!G15, '3rd Qtr'!G15, '4th Qtr'!G15)</f>
        <v>1639140.71</v>
      </c>
      <c r="H15" s="64">
        <f>SUM('1st Qtr'!H15, '2nd Qtr'!H15, '3rd Qtr'!H15, '4th Qtr'!H15)</f>
        <v>58581.689999999988</v>
      </c>
      <c r="I15" s="63">
        <f t="shared" si="2"/>
        <v>3.5739268534182148E-2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693636.08850000007</v>
      </c>
      <c r="D16" s="56">
        <f>SUM('1st Qtr'!D16, '2nd Qtr'!D16, '3rd Qtr'!D16, '4th Qtr'!D16)</f>
        <v>918323.00000000012</v>
      </c>
      <c r="E16" s="56">
        <f t="shared" ref="E16" si="3">IF(AND(ISNUMBER(C16),ISNUMBER(D16)), C16-D16, "")</f>
        <v>-224686.91150000005</v>
      </c>
      <c r="F16" s="69">
        <f t="shared" ref="F16" si="4">IFERROR(E16/D16, "")</f>
        <v>-0.24467089629683675</v>
      </c>
      <c r="G16" s="58">
        <f>SUM('1st Qtr'!G16, '2nd Qtr'!G16, '3rd Qtr'!G16, '4th Qtr'!G16)</f>
        <v>752824.82000000007</v>
      </c>
      <c r="H16" s="58">
        <f>SUM('1st Qtr'!H16, '2nd Qtr'!H16, '3rd Qtr'!H16, '4th Qtr'!H16)</f>
        <v>-59188.731500000016</v>
      </c>
      <c r="I16" s="57">
        <f t="shared" ref="I16" si="5">IFERROR(H16/G16, "")</f>
        <v>-7.8622183976346599E-2</v>
      </c>
    </row>
    <row r="17" spans="1:9" ht="14.2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D4" activePane="bottomRight" state="frozen"/>
      <selection pane="bottomRight" activeCell="G7" sqref="G7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9" t="str" cm="1">
        <f t="array" ref="A1">portfolio</f>
        <v>MN8 Bond</v>
      </c>
      <c r="B1" s="109"/>
      <c r="C1" s="109"/>
      <c r="D1" s="110" t="s">
        <v>10</v>
      </c>
      <c r="E1" s="110"/>
      <c r="F1" s="110"/>
      <c r="G1" s="108" t="s">
        <v>11</v>
      </c>
      <c r="H1" s="108"/>
      <c r="I1" s="108"/>
    </row>
    <row r="2" spans="1:9" ht="19.5" customHeight="1">
      <c r="A2" s="111" t="s">
        <v>2</v>
      </c>
      <c r="B2" s="111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2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G19" sqref="G1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9" t="str" cm="1">
        <f t="array" ref="A1">portfolio</f>
        <v>MN8 Bond</v>
      </c>
      <c r="B1" s="109"/>
      <c r="C1" s="109"/>
      <c r="D1" s="110" t="s">
        <v>12</v>
      </c>
      <c r="E1" s="110"/>
      <c r="F1" s="110"/>
      <c r="G1" s="108" t="s">
        <v>13</v>
      </c>
      <c r="H1" s="108"/>
      <c r="I1" s="108"/>
    </row>
    <row r="2" spans="1:9" ht="19.5" customHeight="1">
      <c r="A2" s="111" t="s">
        <v>2</v>
      </c>
      <c r="B2" s="111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75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75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1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G5" sqref="G5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9" t="str" cm="1">
        <f t="array" ref="A1">portfolio</f>
        <v>MN8 Bond</v>
      </c>
      <c r="B1" s="109"/>
      <c r="C1" s="109"/>
      <c r="D1" s="110" t="s">
        <v>14</v>
      </c>
      <c r="E1" s="110"/>
      <c r="F1" s="110"/>
      <c r="G1" s="108" t="s">
        <v>15</v>
      </c>
      <c r="H1" s="108"/>
      <c r="I1" s="108"/>
    </row>
    <row r="2" spans="1:9" ht="19.5" customHeight="1">
      <c r="A2" s="111" t="s">
        <v>2</v>
      </c>
      <c r="B2" s="111"/>
      <c r="C2" s="5">
        <f>SUM(C4:C91)</f>
        <v>8588214.1587499995</v>
      </c>
      <c r="D2" s="5">
        <f>SUM(D4:D91)</f>
        <v>8950224.2800000012</v>
      </c>
      <c r="E2" s="5">
        <f>C2-D2</f>
        <v>-362010.12125000171</v>
      </c>
      <c r="F2" s="6">
        <f>IFERROR(E2/D2, 0)</f>
        <v>-4.0447044668918804E-2</v>
      </c>
      <c r="G2" s="5">
        <f>SUM(G4:G91)</f>
        <v>8801276.6799999997</v>
      </c>
      <c r="H2" s="7">
        <f>C2-G2</f>
        <v>-213062.52125000022</v>
      </c>
      <c r="I2" s="6">
        <f>IFERROR(H2/G2, 0)</f>
        <v>-2.4208138091393376E-2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1356558.19</v>
      </c>
      <c r="D4" s="56">
        <f>SUM(Jul!D4, Aug!D4, Sep!D4)</f>
        <v>1223075.8999999999</v>
      </c>
      <c r="E4" s="56">
        <f>IF(AND(ISNUMBER(C4),ISNUMBER(D4)), C4-D4, "")</f>
        <v>133482.29000000004</v>
      </c>
      <c r="F4" s="69">
        <f>IFERROR(E4/D4, "")</f>
        <v>0.10913655481233835</v>
      </c>
      <c r="G4" s="58">
        <f>SUM(Jul!G4,Aug!G4,Sep!G4)</f>
        <v>1411019</v>
      </c>
      <c r="H4" s="58">
        <f>SUM(Jul!H4, Aug!H4, Sep!H4)</f>
        <v>-54460.81</v>
      </c>
      <c r="I4" s="57">
        <f>IFERROR(H4/G4, "")</f>
        <v>-3.8596794231686458E-2</v>
      </c>
    </row>
    <row r="5" spans="1:9" ht="15.75">
      <c r="A5" s="79" t="str">
        <v>Clara Barton</v>
      </c>
      <c r="B5" s="77" t="str">
        <v>MA</v>
      </c>
      <c r="C5" s="71">
        <f>SUM(Jul!C5, Aug!C5, Sep!C5)</f>
        <v>515040</v>
      </c>
      <c r="D5" s="62">
        <f>SUM(Jul!D5, Aug!D5, Sep!D5)</f>
        <v>514117.4</v>
      </c>
      <c r="E5" s="62">
        <f t="shared" ref="E5:E15" si="0">IF(AND(ISNUMBER(C5),ISNUMBER(D5)), C5-D5, "")</f>
        <v>922.59999999997672</v>
      </c>
      <c r="F5" s="63">
        <f>IFERROR(E5/D5, "")</f>
        <v>1.7945317548092648E-3</v>
      </c>
      <c r="G5" s="64">
        <f>SUM(Jul!G5,Aug!G5,Sep!G5)</f>
        <v>522714.3</v>
      </c>
      <c r="H5" s="64">
        <f>SUM(Jul!H5, Aug!H5, Sep!H5)</f>
        <v>-7674.3000000000175</v>
      </c>
      <c r="I5" s="63">
        <f>IFERROR(H5/G5, "")</f>
        <v>-1.4681633925071531E-2</v>
      </c>
    </row>
    <row r="6" spans="1:9" ht="15.75">
      <c r="A6" s="78" t="str">
        <v>Fairhaven Solar</v>
      </c>
      <c r="B6" s="75" t="str">
        <v>MA</v>
      </c>
      <c r="C6" s="68">
        <f>SUM(Jul!C6, Aug!C6, Sep!C6)</f>
        <v>376341.99999999994</v>
      </c>
      <c r="D6" s="56">
        <f>SUM(Jul!D6, Aug!D6, Sep!D6)</f>
        <v>399355.6</v>
      </c>
      <c r="E6" s="56">
        <f t="shared" si="0"/>
        <v>-23013.600000000035</v>
      </c>
      <c r="F6" s="69">
        <f t="shared" ref="F6:F15" si="1">IFERROR(E6/D6, "")</f>
        <v>-5.762683683413989E-2</v>
      </c>
      <c r="G6" s="58">
        <f>SUM(Jul!G6,Aug!G6,Sep!G6)</f>
        <v>390352.89999999997</v>
      </c>
      <c r="H6" s="58">
        <f>SUM(Jul!H6, Aug!H6, Sep!H6)</f>
        <v>-14010.899999999994</v>
      </c>
      <c r="I6" s="57">
        <f t="shared" ref="I6:I15" si="2">IFERROR(H6/G6, "")</f>
        <v>-3.5892906136985266E-2</v>
      </c>
    </row>
    <row r="7" spans="1:9" ht="15.75">
      <c r="A7" s="79" t="str">
        <v>Plympton-1</v>
      </c>
      <c r="B7" s="77" t="str">
        <v>MA</v>
      </c>
      <c r="C7" s="71">
        <f>SUM(Jul!C7, Aug!C7, Sep!C7)</f>
        <v>515290</v>
      </c>
      <c r="D7" s="62">
        <f>SUM(Jul!D7, Aug!D7, Sep!D7)</f>
        <v>531236.60000000009</v>
      </c>
      <c r="E7" s="62">
        <f t="shared" si="0"/>
        <v>-15946.600000000093</v>
      </c>
      <c r="F7" s="63">
        <f t="shared" si="1"/>
        <v>-3.0017886568809625E-2</v>
      </c>
      <c r="G7" s="64">
        <f>SUM(Jul!G7,Aug!G7,Sep!G7)</f>
        <v>518672.6</v>
      </c>
      <c r="H7" s="64">
        <f>SUM(Jul!H7, Aug!H7, Sep!H7)</f>
        <v>-3382.6000000000058</v>
      </c>
      <c r="I7" s="63">
        <f t="shared" si="2"/>
        <v>-6.5216477600706221E-3</v>
      </c>
    </row>
    <row r="8" spans="1:9" ht="15.75">
      <c r="A8" s="78" t="str">
        <v>French River 2</v>
      </c>
      <c r="B8" s="75" t="str">
        <v>MA</v>
      </c>
      <c r="C8" s="68">
        <f>SUM(Jul!C8, Aug!C8, Sep!C8)</f>
        <v>508684</v>
      </c>
      <c r="D8" s="56">
        <f>SUM(Jul!D8, Aug!D8, Sep!D8)</f>
        <v>556841.19999999995</v>
      </c>
      <c r="E8" s="56">
        <f t="shared" si="0"/>
        <v>-48157.199999999953</v>
      </c>
      <c r="F8" s="69">
        <f t="shared" si="1"/>
        <v>-8.6482824905915648E-2</v>
      </c>
      <c r="G8" s="58">
        <f>SUM(Jul!G8,Aug!G8,Sep!G8)</f>
        <v>513365</v>
      </c>
      <c r="H8" s="58">
        <f>SUM(Jul!H8, Aug!H8, Sep!H8)</f>
        <v>-4681</v>
      </c>
      <c r="I8" s="57">
        <f t="shared" si="2"/>
        <v>-9.1182686782308887E-3</v>
      </c>
    </row>
    <row r="9" spans="1:9" ht="15.75">
      <c r="A9" s="79" t="str">
        <v>French River 3</v>
      </c>
      <c r="B9" s="77" t="str">
        <v>MA</v>
      </c>
      <c r="C9" s="71">
        <f>SUM(Jul!C9, Aug!C9, Sep!C9)</f>
        <v>984028</v>
      </c>
      <c r="D9" s="62">
        <f>SUM(Jul!D9, Aug!D9, Sep!D9)</f>
        <v>1051929.5999999999</v>
      </c>
      <c r="E9" s="62">
        <f t="shared" si="0"/>
        <v>-67901.59999999986</v>
      </c>
      <c r="F9" s="63">
        <f t="shared" si="1"/>
        <v>-6.4549566815117546E-2</v>
      </c>
      <c r="G9" s="64">
        <f>SUM(Jul!G9,Aug!G9,Sep!G9)</f>
        <v>981465.40000000014</v>
      </c>
      <c r="H9" s="64">
        <f>SUM(Jul!H9, Aug!H9, Sep!H9)</f>
        <v>2562.5999999999767</v>
      </c>
      <c r="I9" s="63">
        <f t="shared" si="2"/>
        <v>2.6109937242820547E-3</v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1010172</v>
      </c>
      <c r="D10" s="56">
        <f>SUM(Jul!D10, Aug!D10, Sep!D10)</f>
        <v>1076143.1000000001</v>
      </c>
      <c r="E10" s="56">
        <f t="shared" si="0"/>
        <v>-65971.100000000093</v>
      </c>
      <c r="F10" s="69">
        <f t="shared" si="1"/>
        <v>-6.130327834653225E-2</v>
      </c>
      <c r="G10" s="58">
        <f>SUM(Jul!G10,Aug!G10,Sep!G10)</f>
        <v>1023076.0999999999</v>
      </c>
      <c r="H10" s="58">
        <f>SUM(Jul!H10, Aug!H10, Sep!H10)</f>
        <v>-12904.099999999977</v>
      </c>
      <c r="I10" s="57">
        <f t="shared" si="2"/>
        <v>-1.261304022252106E-2</v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939624</v>
      </c>
      <c r="D11" s="62">
        <f>SUM(Jul!D11, Aug!D11, Sep!D11)</f>
        <v>1038086.3999999999</v>
      </c>
      <c r="E11" s="62">
        <f t="shared" si="0"/>
        <v>-98462.399999999907</v>
      </c>
      <c r="F11" s="63">
        <f t="shared" si="1"/>
        <v>-9.4849908446926881E-2</v>
      </c>
      <c r="G11" s="64">
        <f>SUM(Jul!G11,Aug!G11,Sep!G11)</f>
        <v>1004629.3</v>
      </c>
      <c r="H11" s="64">
        <f>SUM(Jul!H11, Aug!H11, Sep!H11)</f>
        <v>-65005.299999999988</v>
      </c>
      <c r="I11" s="63">
        <f t="shared" si="2"/>
        <v>-6.4705757636174838E-2</v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909438</v>
      </c>
      <c r="D12" s="56">
        <f>SUM(Jul!D12, Aug!D12, Sep!D12)</f>
        <v>875594.39999999991</v>
      </c>
      <c r="E12" s="56">
        <f t="shared" si="0"/>
        <v>33843.600000000093</v>
      </c>
      <c r="F12" s="69">
        <f t="shared" si="1"/>
        <v>3.8652143047054777E-2</v>
      </c>
      <c r="G12" s="58">
        <f>SUM(Jul!G12,Aug!G12,Sep!G12)</f>
        <v>963844.2</v>
      </c>
      <c r="H12" s="58">
        <f>SUM(Jul!H12, Aug!H12, Sep!H12)</f>
        <v>-54406.200000000012</v>
      </c>
      <c r="I12" s="57">
        <f t="shared" si="2"/>
        <v>-5.6447089685241675E-2</v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251713.25</v>
      </c>
      <c r="D13" s="62">
        <f>SUM(Jul!D13, Aug!D13, Sep!D13)</f>
        <v>263614.62</v>
      </c>
      <c r="E13" s="62">
        <f t="shared" si="0"/>
        <v>-11901.369999999995</v>
      </c>
      <c r="F13" s="63">
        <f t="shared" si="1"/>
        <v>-4.5146851111672014E-2</v>
      </c>
      <c r="G13" s="64">
        <f>SUM(Jul!G13,Aug!G13,Sep!G13)</f>
        <v>247313.99</v>
      </c>
      <c r="H13" s="64">
        <f>SUM(Jul!H13, Aug!H13, Sep!H13)</f>
        <v>4399.2600000000093</v>
      </c>
      <c r="I13" s="63">
        <f t="shared" si="2"/>
        <v>1.7788156666753908E-2</v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505947</v>
      </c>
      <c r="D14" s="56">
        <f>SUM(Jul!D14, Aug!D14, Sep!D14)</f>
        <v>583075.30000000005</v>
      </c>
      <c r="E14" s="56">
        <f t="shared" si="0"/>
        <v>-77128.300000000047</v>
      </c>
      <c r="F14" s="69">
        <f t="shared" si="1"/>
        <v>-0.13227845528699303</v>
      </c>
      <c r="G14" s="58">
        <f>SUM(Jul!G14,Aug!G14,Sep!G14)</f>
        <v>517882.5</v>
      </c>
      <c r="H14" s="58">
        <f>SUM(Jul!H14, Aug!H14, Sep!H14)</f>
        <v>-11935.5</v>
      </c>
      <c r="I14" s="57">
        <f t="shared" si="2"/>
        <v>-2.3046733573735354E-2</v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508328</v>
      </c>
      <c r="D15" s="62">
        <f>SUM(Jul!D15, Aug!D15, Sep!D15)</f>
        <v>555884.9</v>
      </c>
      <c r="E15" s="62">
        <f t="shared" si="0"/>
        <v>-47556.900000000023</v>
      </c>
      <c r="F15" s="63">
        <f t="shared" si="1"/>
        <v>-8.5551703239285723E-2</v>
      </c>
      <c r="G15" s="64">
        <f>SUM(Jul!G15,Aug!G15,Sep!G15)</f>
        <v>509851.69999999995</v>
      </c>
      <c r="H15" s="64">
        <f>SUM(Jul!H15, Aug!H15, Sep!H15)</f>
        <v>-1523.6999999999825</v>
      </c>
      <c r="I15" s="63">
        <f t="shared" si="2"/>
        <v>-2.9885160724186714E-3</v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207049.71875</v>
      </c>
      <c r="D16" s="56">
        <f>SUM(Jul!D16, Aug!D16, Sep!D16)</f>
        <v>281269.26</v>
      </c>
      <c r="E16" s="56">
        <f t="shared" ref="E16" si="3">IF(AND(ISNUMBER(C16),ISNUMBER(D16)), C16-D16, "")</f>
        <v>-74219.541250000009</v>
      </c>
      <c r="F16" s="69">
        <f t="shared" ref="F16" si="4">IFERROR(E16/D16, "")</f>
        <v>-0.26387363215589221</v>
      </c>
      <c r="G16" s="58">
        <f>SUM(Jul!G16,Aug!G16,Sep!G16)</f>
        <v>197089.69</v>
      </c>
      <c r="H16" s="58">
        <f>SUM(Jul!H16, Aug!H16, Sep!H16)</f>
        <v>9960.0287499999977</v>
      </c>
      <c r="I16" s="57">
        <f t="shared" ref="I16" si="5">IFERROR(H16/G16, "")</f>
        <v>5.0535513805922562E-2</v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C16" sqref="C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9" t="str" cm="1">
        <f t="array" ref="A1">portfolio</f>
        <v>MN8 Bond</v>
      </c>
      <c r="B1" s="109"/>
      <c r="C1" s="109"/>
      <c r="D1" s="110" t="s">
        <v>16</v>
      </c>
      <c r="E1" s="110"/>
      <c r="F1" s="110"/>
      <c r="G1" s="108" t="s">
        <v>17</v>
      </c>
      <c r="H1" s="108"/>
      <c r="I1" s="108"/>
    </row>
    <row r="2" spans="1:9" ht="19.5" customHeight="1">
      <c r="A2" s="111" t="s">
        <v>2</v>
      </c>
      <c r="B2" s="111"/>
      <c r="C2" s="5">
        <f>SUM(C4:C91)</f>
        <v>6030408.3149999995</v>
      </c>
      <c r="D2" s="5">
        <f>SUM(D4:D91)</f>
        <v>6718227.8599999994</v>
      </c>
      <c r="E2" s="5">
        <f>C2-D2</f>
        <v>-687819.54499999993</v>
      </c>
      <c r="F2" s="6">
        <f>IFERROR(E2/D2, 0)</f>
        <v>-0.1023810980117605</v>
      </c>
      <c r="G2" s="5">
        <f>SUM(G4:G91)</f>
        <v>5069130.8199999994</v>
      </c>
      <c r="H2" s="7">
        <f>C2-G2</f>
        <v>961277.49500000011</v>
      </c>
      <c r="I2" s="6">
        <f>IFERROR(H2/G2, 0)</f>
        <v>0.18963359383177256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908359.31499999901</v>
      </c>
      <c r="D4" s="56">
        <f>SUM(Oct!D4, Nov!D4, Dec!D4)</f>
        <v>886212.8</v>
      </c>
      <c r="E4" s="56">
        <f>IF(AND(ISNUMBER(C4),ISNUMBER(D4)), C4-D4, "")</f>
        <v>22146.514999998966</v>
      </c>
      <c r="F4" s="69">
        <f>IFERROR(E4/D4, "")</f>
        <v>2.4990064463071358E-2</v>
      </c>
      <c r="G4" s="58">
        <f>SUM(Oct!G4,Nov!G4,Dec!G4)</f>
        <v>823265</v>
      </c>
      <c r="H4" s="58">
        <f>SUM(Oct!H4, Nov!H4, Dec!H4)</f>
        <v>85094.314999999013</v>
      </c>
      <c r="I4" s="57">
        <f>IFERROR(H4/G4, "")</f>
        <v>0.10336199765567468</v>
      </c>
    </row>
    <row r="5" spans="1:9" ht="15.75">
      <c r="A5" s="79" t="str">
        <v>Clara Barton</v>
      </c>
      <c r="B5" s="77" t="str">
        <v>MA</v>
      </c>
      <c r="C5" s="71">
        <f>SUM(Oct!C5, Nov!C5, Dec!C5)</f>
        <v>337806</v>
      </c>
      <c r="D5" s="62">
        <f>SUM(Oct!D5, Nov!D5, Dec!D5)</f>
        <v>351060.33</v>
      </c>
      <c r="E5" s="62">
        <f t="shared" ref="E5:E15" si="0">IF(AND(ISNUMBER(C5),ISNUMBER(D5)), C5-D5, "")</f>
        <v>-13254.330000000016</v>
      </c>
      <c r="F5" s="63">
        <f>IFERROR(E5/D5, "")</f>
        <v>-3.7755134566187003E-2</v>
      </c>
      <c r="G5" s="64">
        <f>SUM(Oct!G5,Nov!G5,Dec!G5)</f>
        <v>283611.02999999997</v>
      </c>
      <c r="H5" s="64">
        <f>SUM(Oct!H5, Nov!H5, Dec!H5)</f>
        <v>54194.97</v>
      </c>
      <c r="I5" s="63">
        <f>IFERROR(H5/G5, "")</f>
        <v>0.19108907717728751</v>
      </c>
    </row>
    <row r="6" spans="1:9" ht="15.75">
      <c r="A6" s="78" t="str">
        <v>Fairhaven Solar</v>
      </c>
      <c r="B6" s="75" t="str">
        <v>MA</v>
      </c>
      <c r="C6" s="68">
        <f>SUM(Oct!C6, Nov!C6, Dec!C6)</f>
        <v>274497</v>
      </c>
      <c r="D6" s="56">
        <f>SUM(Oct!D6, Nov!D6, Dec!D6)</f>
        <v>308614.68</v>
      </c>
      <c r="E6" s="56">
        <f t="shared" si="0"/>
        <v>-34117.679999999993</v>
      </c>
      <c r="F6" s="69">
        <f t="shared" ref="F6:F15" si="1">IFERROR(E6/D6, "")</f>
        <v>-0.11055105998198139</v>
      </c>
      <c r="G6" s="58">
        <f>SUM(Oct!G6,Nov!G6,Dec!G6)</f>
        <v>224971.66</v>
      </c>
      <c r="H6" s="58">
        <f>SUM(Oct!H6, Nov!H6, Dec!H6)</f>
        <v>49525.34</v>
      </c>
      <c r="I6" s="57">
        <f t="shared" ref="I6:I15" si="2">IFERROR(H6/G6, "")</f>
        <v>0.22014035012232205</v>
      </c>
    </row>
    <row r="7" spans="1:9" ht="15.75">
      <c r="A7" s="79" t="str">
        <v>Plympton-1</v>
      </c>
      <c r="B7" s="77" t="str">
        <v>MA</v>
      </c>
      <c r="C7" s="71">
        <f>SUM(Oct!C7, Nov!C7, Dec!C7)</f>
        <v>355187</v>
      </c>
      <c r="D7" s="62">
        <f>SUM(Oct!D7, Nov!D7, Dec!D7)</f>
        <v>356717.33999999997</v>
      </c>
      <c r="E7" s="62">
        <f t="shared" si="0"/>
        <v>-1530.3399999999674</v>
      </c>
      <c r="F7" s="63">
        <f t="shared" si="1"/>
        <v>-4.2900633874427508E-3</v>
      </c>
      <c r="G7" s="64">
        <f>SUM(Oct!G7,Nov!G7,Dec!G7)</f>
        <v>286506.82999999996</v>
      </c>
      <c r="H7" s="64">
        <f>SUM(Oct!H7, Nov!H7, Dec!H7)</f>
        <v>68680.17</v>
      </c>
      <c r="I7" s="63">
        <f t="shared" si="2"/>
        <v>0.23971564656940292</v>
      </c>
    </row>
    <row r="8" spans="1:9" ht="15.75">
      <c r="A8" s="78" t="str">
        <v>French River 2</v>
      </c>
      <c r="B8" s="75" t="str">
        <v>MA</v>
      </c>
      <c r="C8" s="68">
        <f>SUM(Oct!C8, Nov!C8, Dec!C8)</f>
        <v>348538</v>
      </c>
      <c r="D8" s="56">
        <f>SUM(Oct!D8, Nov!D8, Dec!D8)</f>
        <v>430715.69999999995</v>
      </c>
      <c r="E8" s="56">
        <f t="shared" si="0"/>
        <v>-82177.699999999953</v>
      </c>
      <c r="F8" s="69">
        <f t="shared" si="1"/>
        <v>-0.19079337019755713</v>
      </c>
      <c r="G8" s="58">
        <f>SUM(Oct!G8,Nov!G8,Dec!G8)</f>
        <v>289731</v>
      </c>
      <c r="H8" s="58">
        <f>SUM(Oct!H8, Nov!H8, Dec!H8)</f>
        <v>58807</v>
      </c>
      <c r="I8" s="57">
        <f t="shared" si="2"/>
        <v>0.20297103175014064</v>
      </c>
    </row>
    <row r="9" spans="1:9" ht="15.75">
      <c r="A9" s="79" t="str">
        <v>French River 3</v>
      </c>
      <c r="B9" s="77" t="str">
        <v>MA</v>
      </c>
      <c r="C9" s="71">
        <f>SUM(Oct!C9, Nov!C9, Dec!C9)</f>
        <v>705374</v>
      </c>
      <c r="D9" s="62">
        <f>SUM(Oct!D9, Nov!D9, Dec!D9)</f>
        <v>811677.10000000009</v>
      </c>
      <c r="E9" s="62">
        <f t="shared" si="0"/>
        <v>-106303.10000000009</v>
      </c>
      <c r="F9" s="63">
        <f t="shared" si="1"/>
        <v>-0.13096722822413012</v>
      </c>
      <c r="G9" s="64">
        <f>SUM(Oct!G9,Nov!G9,Dec!G9)</f>
        <v>558602.79999999993</v>
      </c>
      <c r="H9" s="64">
        <f>SUM(Oct!H9, Nov!H9, Dec!H9)</f>
        <v>146771.20000000001</v>
      </c>
      <c r="I9" s="63">
        <f t="shared" si="2"/>
        <v>0.2627469822922478</v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706847</v>
      </c>
      <c r="D10" s="56">
        <f>SUM(Oct!D10, Nov!D10, Dec!D10)</f>
        <v>831683.9</v>
      </c>
      <c r="E10" s="56">
        <f t="shared" si="0"/>
        <v>-124836.90000000002</v>
      </c>
      <c r="F10" s="69">
        <f t="shared" si="1"/>
        <v>-0.15010137866081094</v>
      </c>
      <c r="G10" s="58">
        <f>SUM(Oct!G10,Nov!G10,Dec!G10)</f>
        <v>582387.6</v>
      </c>
      <c r="H10" s="58">
        <f>SUM(Oct!H10, Nov!H10, Dec!H10)</f>
        <v>124459.39999999998</v>
      </c>
      <c r="I10" s="57">
        <f t="shared" si="2"/>
        <v>0.21370544290434754</v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682354</v>
      </c>
      <c r="D11" s="62">
        <f>SUM(Oct!D11, Nov!D11, Dec!D11)</f>
        <v>796604.5</v>
      </c>
      <c r="E11" s="62">
        <f t="shared" si="0"/>
        <v>-114250.5</v>
      </c>
      <c r="F11" s="63">
        <f t="shared" si="1"/>
        <v>-0.14342186116196934</v>
      </c>
      <c r="G11" s="64">
        <f>SUM(Oct!G11,Nov!G11,Dec!G11)</f>
        <v>571502.6</v>
      </c>
      <c r="H11" s="64">
        <f>SUM(Oct!H11, Nov!H11, Dec!H11)</f>
        <v>110851.4</v>
      </c>
      <c r="I11" s="63">
        <f t="shared" si="2"/>
        <v>0.19396482185732838</v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651064</v>
      </c>
      <c r="D12" s="56">
        <f>SUM(Oct!D12, Nov!D12, Dec!D12)</f>
        <v>667391.30000000005</v>
      </c>
      <c r="E12" s="56">
        <f t="shared" si="0"/>
        <v>-16327.300000000047</v>
      </c>
      <c r="F12" s="69">
        <f t="shared" si="1"/>
        <v>-2.4464358465565921E-2</v>
      </c>
      <c r="G12" s="58">
        <f>SUM(Oct!G12,Nov!G12,Dec!G12)</f>
        <v>548342.1</v>
      </c>
      <c r="H12" s="58">
        <f>SUM(Oct!H12, Nov!H12, Dec!H12)</f>
        <v>102721.9</v>
      </c>
      <c r="I12" s="57">
        <f t="shared" si="2"/>
        <v>0.18733177700563206</v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178405.625</v>
      </c>
      <c r="D13" s="62">
        <f>SUM(Oct!D13, Nov!D13, Dec!D13)</f>
        <v>196938.59000000003</v>
      </c>
      <c r="E13" s="62">
        <f t="shared" si="0"/>
        <v>-18532.965000000026</v>
      </c>
      <c r="F13" s="63">
        <f t="shared" si="1"/>
        <v>-9.4105299525095734E-2</v>
      </c>
      <c r="G13" s="64">
        <f>SUM(Oct!G13,Nov!G13,Dec!G13)</f>
        <v>140756.93</v>
      </c>
      <c r="H13" s="64">
        <f>SUM(Oct!H13, Nov!H13, Dec!H13)</f>
        <v>37648.695</v>
      </c>
      <c r="I13" s="63">
        <f t="shared" si="2"/>
        <v>0.26747311837505977</v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368105</v>
      </c>
      <c r="D14" s="56">
        <f>SUM(Oct!D14, Nov!D14, Dec!D14)</f>
        <v>450869.5</v>
      </c>
      <c r="E14" s="56">
        <f t="shared" si="0"/>
        <v>-82764.5</v>
      </c>
      <c r="F14" s="69">
        <f t="shared" si="1"/>
        <v>-0.18356641999514273</v>
      </c>
      <c r="G14" s="58">
        <f>SUM(Oct!G14,Nov!G14,Dec!G14)</f>
        <v>294801.59000000003</v>
      </c>
      <c r="H14" s="58">
        <f>SUM(Oct!H14, Nov!H14, Dec!H14)</f>
        <v>73303.409999999989</v>
      </c>
      <c r="I14" s="57">
        <f t="shared" si="2"/>
        <v>0.24865337395229103</v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365904</v>
      </c>
      <c r="D15" s="62">
        <f>SUM(Oct!D15, Nov!D15, Dec!D15)</f>
        <v>444648.19999999995</v>
      </c>
      <c r="E15" s="62">
        <f t="shared" si="0"/>
        <v>-78744.199999999953</v>
      </c>
      <c r="F15" s="63">
        <f t="shared" si="1"/>
        <v>-0.17709326159422203</v>
      </c>
      <c r="G15" s="64">
        <f>SUM(Oct!G15,Nov!G15,Dec!G15)</f>
        <v>290211.42000000004</v>
      </c>
      <c r="H15" s="64">
        <f>SUM(Oct!H15, Nov!H15, Dec!H15)</f>
        <v>75692.579999999987</v>
      </c>
      <c r="I15" s="63">
        <f t="shared" si="2"/>
        <v>0.26081875068872196</v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147967.375</v>
      </c>
      <c r="D16" s="56">
        <f>SUM(Oct!D16, Nov!D16, Dec!D16)</f>
        <v>185093.92</v>
      </c>
      <c r="E16" s="56">
        <f t="shared" ref="E16" si="3">IF(AND(ISNUMBER(C16),ISNUMBER(D16)), C16-D16, "")</f>
        <v>-37126.545000000013</v>
      </c>
      <c r="F16" s="69">
        <f t="shared" ref="F16" si="4">IFERROR(E16/D16, "")</f>
        <v>-0.20058219632497928</v>
      </c>
      <c r="G16" s="58">
        <f>SUM(Oct!G16,Nov!G16,Dec!G16)</f>
        <v>174440.26</v>
      </c>
      <c r="H16" s="58">
        <f>SUM(Oct!H16, Nov!H16, Dec!H16)</f>
        <v>-26472.885000000009</v>
      </c>
      <c r="I16" s="57">
        <f t="shared" ref="I16" si="5">IFERROR(H16/G16, "")</f>
        <v>-0.15175903200327728</v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2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2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2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2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">
      <c r="A1" s="109" t="str" cm="1">
        <f t="array" ref="A1">portfolio</f>
        <v>MN8 Bond</v>
      </c>
      <c r="B1" s="109"/>
      <c r="C1" s="109"/>
      <c r="D1" s="110" t="s">
        <v>18</v>
      </c>
      <c r="E1" s="110"/>
      <c r="F1" s="110"/>
      <c r="G1" s="108" t="s">
        <v>19</v>
      </c>
      <c r="H1" s="108"/>
      <c r="I1" s="108"/>
      <c r="J1" s="4"/>
      <c r="K1" s="4"/>
    </row>
    <row r="2" spans="1:11" ht="15">
      <c r="A2" s="111" t="s">
        <v>2</v>
      </c>
      <c r="B2" s="111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5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5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2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35</v>
      </c>
      <c r="E1" s="110"/>
      <c r="F1" s="110"/>
      <c r="G1" s="108" t="s">
        <v>36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5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5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53</v>
      </c>
      <c r="E1" s="110"/>
      <c r="F1" s="110"/>
      <c r="G1" s="108" t="s">
        <v>54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5.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5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99.7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5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5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5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E6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09" t="str" cm="1">
        <f t="array" ref="A1">portfolio</f>
        <v>MN8 Bond</v>
      </c>
      <c r="B1" s="109"/>
      <c r="C1" s="109"/>
      <c r="D1" s="110" t="s">
        <v>76</v>
      </c>
      <c r="E1" s="110"/>
      <c r="F1" s="110"/>
      <c r="G1" s="108" t="s">
        <v>77</v>
      </c>
      <c r="H1" s="108"/>
      <c r="I1" s="108"/>
      <c r="J1" s="4"/>
      <c r="K1" s="4"/>
    </row>
    <row r="2" spans="1:12" ht="19.5" customHeight="1">
      <c r="A2" s="111" t="s">
        <v>2</v>
      </c>
      <c r="B2" s="111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2.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7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2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85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2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E6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95</v>
      </c>
      <c r="E1" s="110"/>
      <c r="F1" s="110"/>
      <c r="G1" s="108" t="s">
        <v>96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5.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75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5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5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75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75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75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75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1.25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E8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115</v>
      </c>
      <c r="E1" s="110"/>
      <c r="F1" s="110"/>
      <c r="G1" s="108" t="s">
        <v>116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1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5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75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75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99.75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75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5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2.7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136</v>
      </c>
      <c r="E1" s="110"/>
      <c r="F1" s="110"/>
      <c r="G1" s="108" t="s">
        <v>137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1.25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8.25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75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75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75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199.5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5.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75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2.7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75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2.7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33"/>
  <sheetViews>
    <sheetView zoomScale="70" zoomScaleNormal="70" workbookViewId="0">
      <pane xSplit="2" ySplit="3" topLeftCell="C6" activePane="bottomRight" state="frozen"/>
      <selection pane="bottomRight" activeCell="J19" sqref="J19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109" t="str" cm="1">
        <f t="array" ref="A1">portfolio</f>
        <v>MN8 Bond</v>
      </c>
      <c r="B1" s="109"/>
      <c r="C1" s="109"/>
      <c r="D1" s="110" t="s">
        <v>156</v>
      </c>
      <c r="E1" s="110"/>
      <c r="F1" s="110"/>
      <c r="G1" s="108" t="s">
        <v>157</v>
      </c>
      <c r="H1" s="108"/>
      <c r="I1" s="108"/>
      <c r="J1" s="4"/>
      <c r="K1" s="4"/>
    </row>
    <row r="2" spans="1:13" ht="19.5" customHeight="1">
      <c r="A2" s="111" t="s">
        <v>2</v>
      </c>
      <c r="B2" s="111"/>
      <c r="C2" s="5">
        <f>SUM(C4:C91)</f>
        <v>2909641.2058147239</v>
      </c>
      <c r="D2" s="5">
        <f>SUM(D4:D91)</f>
        <v>3057942.0400000005</v>
      </c>
      <c r="E2" s="5">
        <f>C2-D2</f>
        <v>-148300.83418527665</v>
      </c>
      <c r="F2" s="6">
        <f>IFERROR(E2/D2, 0)</f>
        <v>-4.8496940833213639E-2</v>
      </c>
      <c r="G2" s="5">
        <f>SUM(G4:G91)</f>
        <v>2999052.19</v>
      </c>
      <c r="H2" s="7">
        <f>C2-G2</f>
        <v>-89410.984185276087</v>
      </c>
      <c r="I2" s="6">
        <f>IFERROR(H2/G2, 0)</f>
        <v>-2.9813080440349419E-2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454966.98179723701</v>
      </c>
      <c r="D4" s="11">
        <v>414521.59999999998</v>
      </c>
      <c r="E4" s="11">
        <f>IF(AND(ISNUMBER(C4),ISNUMBER(D4)), C4-D4, "")</f>
        <v>40445.381797237031</v>
      </c>
      <c r="F4" s="12">
        <f>IFERROR(E4/D4, "")</f>
        <v>9.7571228609647925E-2</v>
      </c>
      <c r="G4" s="13">
        <v>482624</v>
      </c>
      <c r="H4" s="13">
        <f>IF(AND(ISNUMBER(C4),ISNUMBER(G4)), C4-G4, "")</f>
        <v>-27657.018202762993</v>
      </c>
      <c r="I4" s="14">
        <f>IFERROR(H4/G4, "")</f>
        <v>-5.7305517758675477E-2</v>
      </c>
      <c r="J4" s="38" t="s">
        <v>158</v>
      </c>
      <c r="K4" s="38" t="s">
        <v>159</v>
      </c>
    </row>
    <row r="5" spans="1:13" ht="57">
      <c r="A5" s="28" t="str">
        <v>Clara Barton</v>
      </c>
      <c r="B5" s="29" t="str">
        <v>MA</v>
      </c>
      <c r="C5" s="10">
        <v>175048.85784313601</v>
      </c>
      <c r="D5" s="16">
        <v>173994</v>
      </c>
      <c r="E5" s="16">
        <f t="shared" ref="E5:E16" si="0">IF(AND(ISNUMBER(C5),ISNUMBER(D5)), C5-D5, "")</f>
        <v>1054.8578431360074</v>
      </c>
      <c r="F5" s="17">
        <f>IFERROR(E5/D5, "")</f>
        <v>6.0626104528662336E-3</v>
      </c>
      <c r="G5" s="18">
        <v>179739.1</v>
      </c>
      <c r="H5" s="18">
        <f t="shared" ref="H5:H16" si="1">IF(AND(ISNUMBER(C5),ISNUMBER(G5)), C5-G5, "")</f>
        <v>-4690.2421568639984</v>
      </c>
      <c r="I5" s="17">
        <f t="shared" ref="I5:I16" si="2">IFERROR(H5/G5, "")</f>
        <v>-2.6094723723797428E-2</v>
      </c>
      <c r="J5" s="39" t="s">
        <v>160</v>
      </c>
      <c r="K5" s="39" t="s">
        <v>161</v>
      </c>
    </row>
    <row r="6" spans="1:13" ht="99.75">
      <c r="A6" s="26" t="str">
        <v>Fairhaven Solar</v>
      </c>
      <c r="B6" s="27" t="str">
        <v>MA</v>
      </c>
      <c r="C6" s="22">
        <v>134803.17867435099</v>
      </c>
      <c r="D6" s="11">
        <v>145427.4</v>
      </c>
      <c r="E6" s="11">
        <f t="shared" si="0"/>
        <v>-10624.221325649007</v>
      </c>
      <c r="F6" s="12">
        <f t="shared" ref="F6:F16" si="3">IFERROR(E6/D6, "")</f>
        <v>-7.3055155532238125E-2</v>
      </c>
      <c r="G6" s="13">
        <v>134690.29999999999</v>
      </c>
      <c r="H6" s="13">
        <f t="shared" si="1"/>
        <v>112.87867435099906</v>
      </c>
      <c r="I6" s="14">
        <f t="shared" si="2"/>
        <v>8.3806090231441368E-4</v>
      </c>
      <c r="J6" s="38" t="s">
        <v>162</v>
      </c>
      <c r="K6" s="38" t="s">
        <v>163</v>
      </c>
    </row>
    <row r="7" spans="1:13" ht="15.75">
      <c r="A7" s="28" t="str">
        <v>Plympton-1</v>
      </c>
      <c r="B7" s="29" t="str">
        <v>MA</v>
      </c>
      <c r="C7" s="10">
        <v>180811</v>
      </c>
      <c r="D7" s="16">
        <v>186794.6</v>
      </c>
      <c r="E7" s="16">
        <f t="shared" si="0"/>
        <v>-5983.6000000000058</v>
      </c>
      <c r="F7" s="17">
        <f t="shared" si="3"/>
        <v>-3.2033045923169114E-2</v>
      </c>
      <c r="G7" s="18">
        <v>178084.1</v>
      </c>
      <c r="H7" s="18">
        <f t="shared" si="1"/>
        <v>2726.8999999999942</v>
      </c>
      <c r="I7" s="17">
        <f t="shared" si="2"/>
        <v>1.5312428229134404E-2</v>
      </c>
      <c r="J7" s="39" t="s">
        <v>164</v>
      </c>
      <c r="K7" s="39" t="s">
        <v>165</v>
      </c>
    </row>
    <row r="8" spans="1:13" ht="15.75">
      <c r="A8" s="26" t="str">
        <v>French River 2</v>
      </c>
      <c r="B8" s="27" t="str">
        <v>MA</v>
      </c>
      <c r="C8" s="22">
        <v>172036</v>
      </c>
      <c r="D8" s="11">
        <v>189602.3</v>
      </c>
      <c r="E8" s="11">
        <f t="shared" si="0"/>
        <v>-17566.299999999988</v>
      </c>
      <c r="F8" s="12">
        <f t="shared" si="3"/>
        <v>-9.2648137707190201E-2</v>
      </c>
      <c r="G8" s="13">
        <v>173372</v>
      </c>
      <c r="H8" s="13">
        <f t="shared" si="1"/>
        <v>-1336</v>
      </c>
      <c r="I8" s="14">
        <f t="shared" si="2"/>
        <v>-7.7059732828830491E-3</v>
      </c>
      <c r="J8" s="38"/>
      <c r="K8" s="38"/>
    </row>
    <row r="9" spans="1:13" ht="42.75">
      <c r="A9" s="28" t="str">
        <v>French River 3</v>
      </c>
      <c r="B9" s="29" t="str">
        <v>MA</v>
      </c>
      <c r="C9" s="10">
        <v>328039.25</v>
      </c>
      <c r="D9" s="16">
        <v>357655.8</v>
      </c>
      <c r="E9" s="16">
        <f t="shared" si="0"/>
        <v>-29616.549999999988</v>
      </c>
      <c r="F9" s="17">
        <f t="shared" si="3"/>
        <v>-8.2807408687346859E-2</v>
      </c>
      <c r="G9" s="18">
        <v>331443.90000000002</v>
      </c>
      <c r="H9" s="18">
        <f t="shared" si="1"/>
        <v>-3404.6500000000233</v>
      </c>
      <c r="I9" s="17">
        <f t="shared" si="2"/>
        <v>-1.027217577393949E-2</v>
      </c>
      <c r="J9" s="39" t="s">
        <v>166</v>
      </c>
      <c r="K9" s="40" t="s">
        <v>167</v>
      </c>
    </row>
    <row r="10" spans="1:13" ht="15.75">
      <c r="A10" s="26" t="str">
        <v>French River 4</v>
      </c>
      <c r="B10" s="27" t="str">
        <v>MA</v>
      </c>
      <c r="C10" s="22">
        <v>341836</v>
      </c>
      <c r="D10" s="11">
        <v>366046</v>
      </c>
      <c r="E10" s="11">
        <f t="shared" si="0"/>
        <v>-24210</v>
      </c>
      <c r="F10" s="12">
        <f t="shared" si="3"/>
        <v>-6.6139228402987596E-2</v>
      </c>
      <c r="G10" s="13">
        <v>345496.6</v>
      </c>
      <c r="H10" s="13">
        <f t="shared" si="1"/>
        <v>-3660.5999999999767</v>
      </c>
      <c r="I10" s="14">
        <f t="shared" si="2"/>
        <v>-1.059518385998582E-2</v>
      </c>
      <c r="J10" s="38" t="s">
        <v>168</v>
      </c>
      <c r="K10" s="38" t="s">
        <v>169</v>
      </c>
    </row>
    <row r="11" spans="1:13" ht="99.75">
      <c r="A11" s="28" t="str">
        <v>French River 5</v>
      </c>
      <c r="B11" s="29" t="str">
        <v>MA</v>
      </c>
      <c r="C11" s="10">
        <v>318337</v>
      </c>
      <c r="D11" s="16">
        <v>352878</v>
      </c>
      <c r="E11" s="16">
        <f t="shared" si="0"/>
        <v>-34541</v>
      </c>
      <c r="F11" s="17">
        <f t="shared" si="3"/>
        <v>-9.7883687846791245E-2</v>
      </c>
      <c r="G11" s="18">
        <v>339264.5</v>
      </c>
      <c r="H11" s="18">
        <f t="shared" si="1"/>
        <v>-20927.5</v>
      </c>
      <c r="I11" s="17">
        <f t="shared" si="2"/>
        <v>-6.1684909561713651E-2</v>
      </c>
      <c r="J11" s="39" t="s">
        <v>170</v>
      </c>
      <c r="K11" s="39" t="s">
        <v>171</v>
      </c>
      <c r="L11" s="92"/>
    </row>
    <row r="12" spans="1:13" ht="128.25">
      <c r="A12" s="26" t="str">
        <v>French River 6</v>
      </c>
      <c r="B12" s="27" t="str">
        <v>MA</v>
      </c>
      <c r="C12" s="22">
        <v>306023</v>
      </c>
      <c r="D12" s="11">
        <v>297042.59999999998</v>
      </c>
      <c r="E12" s="11">
        <f t="shared" si="0"/>
        <v>8980.4000000000233</v>
      </c>
      <c r="F12" s="12">
        <f t="shared" si="3"/>
        <v>3.0232700629472083E-2</v>
      </c>
      <c r="G12" s="13">
        <v>325491.5</v>
      </c>
      <c r="H12" s="13">
        <f t="shared" si="1"/>
        <v>-19468.5</v>
      </c>
      <c r="I12" s="14">
        <f t="shared" si="2"/>
        <v>-5.9812621834978791E-2</v>
      </c>
      <c r="J12" s="38" t="s">
        <v>172</v>
      </c>
      <c r="K12" s="38" t="s">
        <v>173</v>
      </c>
    </row>
    <row r="13" spans="1:13" ht="15.75">
      <c r="A13" s="28" t="str">
        <v>Stillwater River 1A</v>
      </c>
      <c r="B13" s="29" t="str">
        <v>MA</v>
      </c>
      <c r="C13" s="10">
        <v>85150.8125</v>
      </c>
      <c r="D13" s="16">
        <v>89643.39</v>
      </c>
      <c r="E13" s="16">
        <f t="shared" si="0"/>
        <v>-4492.5774999999994</v>
      </c>
      <c r="F13" s="17">
        <f t="shared" si="3"/>
        <v>-5.0116104489131875E-2</v>
      </c>
      <c r="G13" s="18">
        <v>83519.09</v>
      </c>
      <c r="H13" s="18">
        <f t="shared" si="1"/>
        <v>1631.7225000000035</v>
      </c>
      <c r="I13" s="17">
        <f t="shared" si="2"/>
        <v>1.953712019611329E-2</v>
      </c>
      <c r="J13" s="39"/>
      <c r="K13" s="40"/>
    </row>
    <row r="14" spans="1:13" ht="15.75">
      <c r="A14" s="26" t="str">
        <v>Stillwater River 2</v>
      </c>
      <c r="B14" s="27" t="str">
        <v>MA</v>
      </c>
      <c r="C14" s="22">
        <v>170522</v>
      </c>
      <c r="D14" s="11">
        <v>199521.3</v>
      </c>
      <c r="E14" s="11">
        <f t="shared" si="0"/>
        <v>-28999.299999999988</v>
      </c>
      <c r="F14" s="12">
        <f t="shared" si="3"/>
        <v>-0.14534438177778508</v>
      </c>
      <c r="G14" s="13">
        <v>174891.6</v>
      </c>
      <c r="H14" s="13">
        <f t="shared" si="1"/>
        <v>-4369.6000000000058</v>
      </c>
      <c r="I14" s="14">
        <f t="shared" si="2"/>
        <v>-2.4984619044025016E-2</v>
      </c>
      <c r="J14" s="38" t="s">
        <v>174</v>
      </c>
      <c r="K14" s="38" t="s">
        <v>175</v>
      </c>
    </row>
    <row r="15" spans="1:13" ht="15.75">
      <c r="A15" s="28" t="str">
        <v>Stillwater River 3</v>
      </c>
      <c r="B15" s="29" t="str">
        <v>MA</v>
      </c>
      <c r="C15" s="10">
        <v>172149</v>
      </c>
      <c r="D15" s="16">
        <v>189276.1</v>
      </c>
      <c r="E15" s="16">
        <f t="shared" si="0"/>
        <v>-17127.100000000006</v>
      </c>
      <c r="F15" s="17">
        <f t="shared" si="3"/>
        <v>-9.0487388529243817E-2</v>
      </c>
      <c r="G15" s="18">
        <v>172179.4</v>
      </c>
      <c r="H15" s="18">
        <f t="shared" si="1"/>
        <v>-30.399999999994179</v>
      </c>
      <c r="I15" s="17">
        <f t="shared" si="2"/>
        <v>-1.765600298293186E-4</v>
      </c>
      <c r="J15" s="39" t="s">
        <v>176</v>
      </c>
      <c r="K15" s="39" t="s">
        <v>177</v>
      </c>
    </row>
    <row r="16" spans="1:13" ht="57">
      <c r="A16" s="26" t="str">
        <v>Stillwater River 4</v>
      </c>
      <c r="B16" s="27" t="str">
        <v>MA</v>
      </c>
      <c r="C16" s="22">
        <v>69918.125</v>
      </c>
      <c r="D16" s="11">
        <v>95538.95</v>
      </c>
      <c r="E16" s="11">
        <f t="shared" si="0"/>
        <v>-25620.824999999997</v>
      </c>
      <c r="F16" s="12">
        <f t="shared" si="3"/>
        <v>-0.26817151538717976</v>
      </c>
      <c r="G16" s="13">
        <v>78256.100000000006</v>
      </c>
      <c r="H16" s="13">
        <f t="shared" si="1"/>
        <v>-8337.9750000000058</v>
      </c>
      <c r="I16" s="14">
        <f t="shared" si="2"/>
        <v>-0.10654728513176616</v>
      </c>
      <c r="J16" s="38" t="s">
        <v>178</v>
      </c>
      <c r="K16" s="38" t="s">
        <v>179</v>
      </c>
      <c r="M16" s="92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D4" activePane="bottomRight" state="frozen"/>
      <selection pane="bottomRight" activeCell="E18" sqref="E18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180</v>
      </c>
      <c r="E1" s="110"/>
      <c r="F1" s="110"/>
      <c r="G1" s="108" t="s">
        <v>181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2619949.5463256491</v>
      </c>
      <c r="D2" s="5">
        <f>SUM(D4:D91)</f>
        <v>2717643.56</v>
      </c>
      <c r="E2" s="5">
        <f>C2-D2</f>
        <v>-97694.013674350921</v>
      </c>
      <c r="F2" s="6">
        <f>IFERROR(E2/D2, 0)</f>
        <v>-3.5948059970878195E-2</v>
      </c>
      <c r="G2" s="5">
        <f>SUM(G4:G91)</f>
        <v>2555511.3000000003</v>
      </c>
      <c r="H2" s="7">
        <f>C2-G2</f>
        <v>64438.246325648855</v>
      </c>
      <c r="I2" s="6">
        <f>IFERROR(H2/G2, 0)</f>
        <v>2.5215402618508808E-2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414845.35</v>
      </c>
      <c r="D4" s="11">
        <v>368362.7</v>
      </c>
      <c r="E4" s="11">
        <f>IF(AND(ISNUMBER(C4),ISNUMBER(D4)), C4-D4, "")</f>
        <v>46482.649999999965</v>
      </c>
      <c r="F4" s="12">
        <f>IFERROR(E4/D4, "")</f>
        <v>0.12618717910363877</v>
      </c>
      <c r="G4" s="13">
        <v>417637</v>
      </c>
      <c r="H4" s="13">
        <f>IF(AND(ISNUMBER(C4),ISNUMBER(G4)), C4-G4, "")</f>
        <v>-2791.6500000000233</v>
      </c>
      <c r="I4" s="14">
        <f>IFERROR(H4/G4, "")</f>
        <v>-6.6843933846858E-3</v>
      </c>
      <c r="J4" s="38" t="s">
        <v>182</v>
      </c>
      <c r="K4" s="38" t="s">
        <v>183</v>
      </c>
    </row>
    <row r="5" spans="1:11" ht="15.75">
      <c r="A5" s="28" t="str">
        <v>Clara Barton</v>
      </c>
      <c r="B5" s="29" t="str">
        <v>MA</v>
      </c>
      <c r="C5" s="10">
        <v>155115</v>
      </c>
      <c r="D5" s="16">
        <v>152759.20000000001</v>
      </c>
      <c r="E5" s="16">
        <f t="shared" ref="E5:E16" si="0">IF(AND(ISNUMBER(C5),ISNUMBER(D5)), C5-D5, "")</f>
        <v>2355.7999999999884</v>
      </c>
      <c r="F5" s="17">
        <f>IFERROR(E5/D5, "")</f>
        <v>1.5421657091684089E-2</v>
      </c>
      <c r="G5" s="18">
        <v>150845.70000000001</v>
      </c>
      <c r="H5" s="18">
        <f t="shared" ref="H5:H16" si="1">IF(AND(ISNUMBER(C5),ISNUMBER(G5)), C5-G5, "")</f>
        <v>4269.2999999999884</v>
      </c>
      <c r="I5" s="17">
        <f t="shared" ref="I5:I16" si="2">IFERROR(H5/G5, "")</f>
        <v>2.8302430894616076E-2</v>
      </c>
      <c r="J5" s="39"/>
      <c r="K5" s="39"/>
    </row>
    <row r="6" spans="1:11" ht="107.25" customHeight="1">
      <c r="A6" s="26" t="str">
        <v>Fairhaven Solar</v>
      </c>
      <c r="B6" s="27" t="str">
        <v>MA</v>
      </c>
      <c r="C6" s="22">
        <v>113556.821325649</v>
      </c>
      <c r="D6" s="11">
        <v>119643.1</v>
      </c>
      <c r="E6" s="11">
        <f t="shared" si="0"/>
        <v>-6086.2786743510078</v>
      </c>
      <c r="F6" s="12">
        <f t="shared" ref="F6:F16" si="3">IFERROR(E6/D6, "")</f>
        <v>-5.0870285660861408E-2</v>
      </c>
      <c r="G6" s="13">
        <v>112946.7</v>
      </c>
      <c r="H6" s="13">
        <f t="shared" si="1"/>
        <v>610.12132564900094</v>
      </c>
      <c r="I6" s="14">
        <f t="shared" si="2"/>
        <v>5.4018517198731872E-3</v>
      </c>
      <c r="J6" s="38" t="s">
        <v>184</v>
      </c>
      <c r="K6" s="38" t="s">
        <v>185</v>
      </c>
    </row>
    <row r="7" spans="1:11" ht="15.75">
      <c r="A7" s="28" t="str">
        <v>Plympton-1</v>
      </c>
      <c r="B7" s="29" t="str">
        <v>MA</v>
      </c>
      <c r="C7" s="10">
        <v>154694</v>
      </c>
      <c r="D7" s="16">
        <v>156878.29999999999</v>
      </c>
      <c r="E7" s="16">
        <f t="shared" si="0"/>
        <v>-2184.2999999999884</v>
      </c>
      <c r="F7" s="17">
        <f t="shared" si="3"/>
        <v>-1.3923531807777037E-2</v>
      </c>
      <c r="G7" s="18">
        <v>154101</v>
      </c>
      <c r="H7" s="18">
        <f t="shared" si="1"/>
        <v>593</v>
      </c>
      <c r="I7" s="17">
        <f t="shared" si="2"/>
        <v>3.8481255799767684E-3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154957</v>
      </c>
      <c r="D8" s="11">
        <v>170341.7</v>
      </c>
      <c r="E8" s="11">
        <f t="shared" si="0"/>
        <v>-15384.700000000012</v>
      </c>
      <c r="F8" s="12">
        <f t="shared" si="3"/>
        <v>-9.0316698729671074E-2</v>
      </c>
      <c r="G8" s="13">
        <v>150359</v>
      </c>
      <c r="H8" s="13">
        <f t="shared" si="1"/>
        <v>4598</v>
      </c>
      <c r="I8" s="14">
        <f t="shared" si="2"/>
        <v>3.0580144853317726E-2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300755</v>
      </c>
      <c r="D9" s="16">
        <v>322918.2</v>
      </c>
      <c r="E9" s="16">
        <f t="shared" si="0"/>
        <v>-22163.200000000012</v>
      </c>
      <c r="F9" s="17">
        <f t="shared" si="3"/>
        <v>-6.8634099905177257E-2</v>
      </c>
      <c r="G9" s="18">
        <v>287342.3</v>
      </c>
      <c r="H9" s="18">
        <f t="shared" si="1"/>
        <v>13412.700000000012</v>
      </c>
      <c r="I9" s="17">
        <f t="shared" si="2"/>
        <v>4.6678473722803822E-2</v>
      </c>
      <c r="J9" s="39" t="s">
        <v>186</v>
      </c>
      <c r="K9" s="40" t="s">
        <v>187</v>
      </c>
    </row>
    <row r="10" spans="1:11" ht="15.75">
      <c r="A10" s="26" t="str">
        <v>French River 4</v>
      </c>
      <c r="B10" s="27" t="str">
        <v>MA</v>
      </c>
      <c r="C10" s="22">
        <v>308141</v>
      </c>
      <c r="D10" s="11">
        <v>329985.3</v>
      </c>
      <c r="E10" s="11">
        <f t="shared" si="0"/>
        <v>-21844.299999999988</v>
      </c>
      <c r="F10" s="12">
        <f t="shared" si="3"/>
        <v>-6.61977972958189E-2</v>
      </c>
      <c r="G10" s="13">
        <v>299531.7</v>
      </c>
      <c r="H10" s="13">
        <f t="shared" si="1"/>
        <v>8609.2999999999884</v>
      </c>
      <c r="I10" s="14">
        <f t="shared" si="2"/>
        <v>2.8742533761868905E-2</v>
      </c>
      <c r="J10" s="38"/>
      <c r="K10" s="38"/>
    </row>
    <row r="11" spans="1:11" ht="94.5">
      <c r="A11" s="28" t="str">
        <v>French River 5</v>
      </c>
      <c r="B11" s="29" t="str">
        <v>MA</v>
      </c>
      <c r="C11" s="10">
        <v>288665</v>
      </c>
      <c r="D11" s="16">
        <v>318641.7</v>
      </c>
      <c r="E11" s="16">
        <f t="shared" si="0"/>
        <v>-29976.700000000012</v>
      </c>
      <c r="F11" s="17">
        <f t="shared" si="3"/>
        <v>-9.407651289834322E-2</v>
      </c>
      <c r="G11" s="18">
        <v>294101.8</v>
      </c>
      <c r="H11" s="18">
        <f t="shared" si="1"/>
        <v>-5436.7999999999884</v>
      </c>
      <c r="I11" s="17">
        <f t="shared" si="2"/>
        <v>-1.8486116031931763E-2</v>
      </c>
      <c r="J11" s="39" t="s">
        <v>188</v>
      </c>
      <c r="K11" s="40" t="s">
        <v>189</v>
      </c>
    </row>
    <row r="12" spans="1:11" ht="15.75">
      <c r="A12" s="26" t="str">
        <v>French River 6</v>
      </c>
      <c r="B12" s="27" t="str">
        <v>MA</v>
      </c>
      <c r="C12" s="22">
        <v>278953</v>
      </c>
      <c r="D12" s="11">
        <v>269221.7</v>
      </c>
      <c r="E12" s="11">
        <f t="shared" si="0"/>
        <v>9731.2999999999884</v>
      </c>
      <c r="F12" s="12">
        <f t="shared" si="3"/>
        <v>3.61460461768126E-2</v>
      </c>
      <c r="G12" s="13">
        <v>282172.2</v>
      </c>
      <c r="H12" s="13">
        <f t="shared" si="1"/>
        <v>-3219.2000000000116</v>
      </c>
      <c r="I12" s="14">
        <f t="shared" si="2"/>
        <v>-1.1408636286636357E-2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76667.1875</v>
      </c>
      <c r="D13" s="16">
        <v>81611.95</v>
      </c>
      <c r="E13" s="16">
        <f t="shared" si="0"/>
        <v>-4944.7624999999971</v>
      </c>
      <c r="F13" s="17">
        <f t="shared" si="3"/>
        <v>-6.0588706678372434E-2</v>
      </c>
      <c r="G13" s="18">
        <v>72401.97</v>
      </c>
      <c r="H13" s="18">
        <f t="shared" si="1"/>
        <v>4265.2174999999988</v>
      </c>
      <c r="I13" s="17">
        <f t="shared" si="2"/>
        <v>5.8910240978249609E-2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154126</v>
      </c>
      <c r="D14" s="11">
        <v>175087.5</v>
      </c>
      <c r="E14" s="11">
        <f t="shared" si="0"/>
        <v>-20961.5</v>
      </c>
      <c r="F14" s="12">
        <f t="shared" si="3"/>
        <v>-0.11972013993003498</v>
      </c>
      <c r="G14" s="13">
        <v>151617.1</v>
      </c>
      <c r="H14" s="13">
        <f t="shared" si="1"/>
        <v>2508.8999999999942</v>
      </c>
      <c r="I14" s="14">
        <f t="shared" si="2"/>
        <v>1.654760577797619E-2</v>
      </c>
      <c r="J14" s="38" t="s">
        <v>190</v>
      </c>
      <c r="K14" s="38" t="s">
        <v>191</v>
      </c>
    </row>
    <row r="15" spans="1:11" ht="15.75">
      <c r="A15" s="28" t="str">
        <v>Stillwater River 3</v>
      </c>
      <c r="B15" s="29" t="str">
        <v>MA</v>
      </c>
      <c r="C15" s="10">
        <v>155907</v>
      </c>
      <c r="D15" s="16">
        <v>170047.2</v>
      </c>
      <c r="E15" s="16">
        <f t="shared" si="0"/>
        <v>-14140.200000000012</v>
      </c>
      <c r="F15" s="17">
        <f t="shared" si="3"/>
        <v>-8.3154559439967315E-2</v>
      </c>
      <c r="G15" s="18">
        <v>149264</v>
      </c>
      <c r="H15" s="18">
        <f t="shared" si="1"/>
        <v>6643</v>
      </c>
      <c r="I15" s="17">
        <f t="shared" si="2"/>
        <v>4.4505038053381928E-2</v>
      </c>
      <c r="J15" s="39" t="s">
        <v>192</v>
      </c>
      <c r="K15" s="40" t="s">
        <v>193</v>
      </c>
    </row>
    <row r="16" spans="1:11" ht="28.5">
      <c r="A16" s="26" t="str">
        <v>Stillwater River 4</v>
      </c>
      <c r="B16" s="27" t="str">
        <v>MA</v>
      </c>
      <c r="C16" s="22">
        <v>63567.1875</v>
      </c>
      <c r="D16" s="11">
        <v>82145.009999999995</v>
      </c>
      <c r="E16" s="11">
        <f t="shared" si="0"/>
        <v>-18577.822499999995</v>
      </c>
      <c r="F16" s="12">
        <f t="shared" si="3"/>
        <v>-0.22615886832322493</v>
      </c>
      <c r="G16" s="13">
        <v>33190.83</v>
      </c>
      <c r="H16" s="13">
        <f t="shared" si="1"/>
        <v>30376.357499999998</v>
      </c>
      <c r="I16" s="14">
        <f t="shared" si="2"/>
        <v>0.91520331067346006</v>
      </c>
      <c r="J16" s="38" t="s">
        <v>194</v>
      </c>
      <c r="K16" s="38" t="s">
        <v>195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196</v>
      </c>
      <c r="E1" s="110"/>
      <c r="F1" s="110"/>
      <c r="G1" s="108" t="s">
        <v>197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2641585.6215452272</v>
      </c>
      <c r="D2" s="5">
        <f>SUM(D4:D91)</f>
        <v>2746146.23</v>
      </c>
      <c r="E2" s="5">
        <f>C2-D2</f>
        <v>-104560.60845477274</v>
      </c>
      <c r="F2" s="6">
        <f>IFERROR(E2/D2, 0)</f>
        <v>-3.8075397192076234E-2</v>
      </c>
      <c r="G2" s="5">
        <f>SUM(G4:G91)</f>
        <v>2269991.58</v>
      </c>
      <c r="H2" s="7">
        <f>C2-G2</f>
        <v>371594.04154522717</v>
      </c>
      <c r="I2" s="6">
        <f>IFERROR(H2/G2, 0)</f>
        <v>0.16369842285724565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398176.80904522701</v>
      </c>
      <c r="D4" s="11">
        <v>361178.7</v>
      </c>
      <c r="E4" s="11">
        <f>IF(AND(ISNUMBER(C4),ISNUMBER(D4)), C4-D4, "")</f>
        <v>36998.109045227</v>
      </c>
      <c r="F4" s="12">
        <f>IFERROR(E4/D4, "")</f>
        <v>0.10243712889278077</v>
      </c>
      <c r="G4" s="13">
        <v>338716</v>
      </c>
      <c r="H4" s="13">
        <f>IF(AND(ISNUMBER(C4),ISNUMBER(G4)), C4-G4, "")</f>
        <v>59460.809045227012</v>
      </c>
      <c r="I4" s="14">
        <f>IFERROR(H4/G4, "")</f>
        <v>0.17554768314820385</v>
      </c>
      <c r="J4" s="38" t="s">
        <v>198</v>
      </c>
      <c r="K4" s="38" t="s">
        <v>199</v>
      </c>
    </row>
    <row r="5" spans="1:11" ht="42.75">
      <c r="A5" s="28" t="str">
        <v>Clara Barton</v>
      </c>
      <c r="B5" s="29" t="str">
        <v>MA</v>
      </c>
      <c r="C5" s="10">
        <v>153046</v>
      </c>
      <c r="D5" s="16">
        <v>148937</v>
      </c>
      <c r="E5" s="16">
        <f t="shared" ref="E5:E16" si="0">IF(AND(ISNUMBER(C5),ISNUMBER(D5)), C5-D5, "")</f>
        <v>4109</v>
      </c>
      <c r="F5" s="17">
        <f>IFERROR(E5/D5, "")</f>
        <v>2.7588846290713523E-2</v>
      </c>
      <c r="G5" s="18">
        <v>121992.8</v>
      </c>
      <c r="H5" s="18">
        <f t="shared" ref="H5:H16" si="1">IF(AND(ISNUMBER(C5),ISNUMBER(G5)), C5-G5, "")</f>
        <v>31053.199999999997</v>
      </c>
      <c r="I5" s="17">
        <f t="shared" ref="I5:I16" si="2">IFERROR(H5/G5, "")</f>
        <v>0.2545494488199303</v>
      </c>
      <c r="J5" s="39" t="s">
        <v>200</v>
      </c>
      <c r="K5" s="87" t="s">
        <v>201</v>
      </c>
    </row>
    <row r="6" spans="1:11" ht="85.5">
      <c r="A6" s="26" t="str">
        <v>Fairhaven Solar</v>
      </c>
      <c r="B6" s="27" t="str">
        <v>MA</v>
      </c>
      <c r="C6" s="22">
        <v>115653</v>
      </c>
      <c r="D6" s="11">
        <v>126960.1</v>
      </c>
      <c r="E6" s="11">
        <f t="shared" si="0"/>
        <v>-11307.100000000006</v>
      </c>
      <c r="F6" s="12">
        <f t="shared" ref="F6:F16" si="3">IFERROR(E6/D6, "")</f>
        <v>-8.906026381516717E-2</v>
      </c>
      <c r="G6" s="13">
        <v>95023.88</v>
      </c>
      <c r="H6" s="13">
        <f t="shared" si="1"/>
        <v>20629.119999999995</v>
      </c>
      <c r="I6" s="14">
        <f t="shared" si="2"/>
        <v>0.21709406098761694</v>
      </c>
      <c r="J6" s="38" t="s">
        <v>202</v>
      </c>
      <c r="K6" s="38" t="s">
        <v>203</v>
      </c>
    </row>
    <row r="7" spans="1:11" ht="15.75">
      <c r="A7" s="28" t="str">
        <v>Plympton-1</v>
      </c>
      <c r="B7" s="29" t="str">
        <v>MA</v>
      </c>
      <c r="C7" s="10">
        <v>151655</v>
      </c>
      <c r="D7" s="16">
        <v>155479.29999999999</v>
      </c>
      <c r="E7" s="16">
        <f t="shared" si="0"/>
        <v>-3824.2999999999884</v>
      </c>
      <c r="F7" s="17">
        <f t="shared" si="3"/>
        <v>-2.4596843438322583E-2</v>
      </c>
      <c r="G7" s="18">
        <v>123371.8</v>
      </c>
      <c r="H7" s="18">
        <f t="shared" si="1"/>
        <v>28283.199999999997</v>
      </c>
      <c r="I7" s="17">
        <f t="shared" si="2"/>
        <v>0.22925174148387231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157141.5</v>
      </c>
      <c r="D8" s="11">
        <v>173308.79999999999</v>
      </c>
      <c r="E8" s="11">
        <f t="shared" si="0"/>
        <v>-16167.299999999988</v>
      </c>
      <c r="F8" s="12">
        <f t="shared" si="3"/>
        <v>-9.3286088184789173E-2</v>
      </c>
      <c r="G8" s="13">
        <v>135875</v>
      </c>
      <c r="H8" s="13">
        <f t="shared" si="1"/>
        <v>21266.5</v>
      </c>
      <c r="I8" s="14">
        <f t="shared" si="2"/>
        <v>0.15651517939282428</v>
      </c>
      <c r="J8" s="38" t="s">
        <v>204</v>
      </c>
      <c r="K8" s="38" t="s">
        <v>205</v>
      </c>
    </row>
    <row r="9" spans="1:11" ht="28.5">
      <c r="A9" s="28" t="str">
        <v>French River 3</v>
      </c>
      <c r="B9" s="29" t="str">
        <v>MA</v>
      </c>
      <c r="C9" s="10">
        <v>309811</v>
      </c>
      <c r="D9" s="16">
        <v>328324.7</v>
      </c>
      <c r="E9" s="16">
        <f t="shared" si="0"/>
        <v>-18513.700000000012</v>
      </c>
      <c r="F9" s="17">
        <f t="shared" si="3"/>
        <v>-5.6388386252998968E-2</v>
      </c>
      <c r="G9" s="18">
        <v>259405.1</v>
      </c>
      <c r="H9" s="18">
        <f t="shared" si="1"/>
        <v>50405.899999999994</v>
      </c>
      <c r="I9" s="17">
        <f t="shared" si="2"/>
        <v>0.19431345027526442</v>
      </c>
      <c r="J9" s="39" t="s">
        <v>206</v>
      </c>
      <c r="K9" s="39" t="s">
        <v>207</v>
      </c>
    </row>
    <row r="10" spans="1:11" ht="15.75">
      <c r="A10" s="26" t="str">
        <v>French River 4</v>
      </c>
      <c r="B10" s="27" t="str">
        <v>MA</v>
      </c>
      <c r="C10" s="22">
        <v>315556</v>
      </c>
      <c r="D10" s="11">
        <v>335672.9</v>
      </c>
      <c r="E10" s="11">
        <f t="shared" si="0"/>
        <v>-20116.900000000023</v>
      </c>
      <c r="F10" s="12">
        <f t="shared" si="3"/>
        <v>-5.99300688259315E-2</v>
      </c>
      <c r="G10" s="13">
        <v>270424.90000000002</v>
      </c>
      <c r="H10" s="13">
        <f t="shared" si="1"/>
        <v>45131.099999999977</v>
      </c>
      <c r="I10" s="14">
        <f t="shared" si="2"/>
        <v>0.16688958746032623</v>
      </c>
      <c r="J10" s="38"/>
      <c r="K10" s="38"/>
    </row>
    <row r="11" spans="1:11" ht="71.25">
      <c r="A11" s="28" t="str">
        <v>French River 5</v>
      </c>
      <c r="B11" s="29" t="str">
        <v>MA</v>
      </c>
      <c r="C11" s="10">
        <v>295784</v>
      </c>
      <c r="D11" s="16">
        <v>323212.2</v>
      </c>
      <c r="E11" s="16">
        <f t="shared" si="0"/>
        <v>-27428.200000000012</v>
      </c>
      <c r="F11" s="17">
        <f t="shared" si="3"/>
        <v>-8.4861276894869719E-2</v>
      </c>
      <c r="G11" s="18">
        <v>265474.7</v>
      </c>
      <c r="H11" s="18">
        <f t="shared" si="1"/>
        <v>30309.299999999988</v>
      </c>
      <c r="I11" s="17">
        <f t="shared" si="2"/>
        <v>0.11417020152956191</v>
      </c>
      <c r="J11" s="93" t="s">
        <v>208</v>
      </c>
      <c r="K11" s="87" t="s">
        <v>209</v>
      </c>
    </row>
    <row r="12" spans="1:11" ht="15.75">
      <c r="A12" s="26" t="str">
        <v>French River 6</v>
      </c>
      <c r="B12" s="27" t="str">
        <v>MA</v>
      </c>
      <c r="C12" s="22">
        <v>284086</v>
      </c>
      <c r="D12" s="11">
        <v>271877.90000000002</v>
      </c>
      <c r="E12" s="11">
        <f t="shared" si="0"/>
        <v>12208.099999999977</v>
      </c>
      <c r="F12" s="12">
        <f t="shared" si="3"/>
        <v>4.4902877357813842E-2</v>
      </c>
      <c r="G12" s="13">
        <v>254709</v>
      </c>
      <c r="H12" s="13">
        <f t="shared" si="1"/>
        <v>29377</v>
      </c>
      <c r="I12" s="14">
        <f t="shared" si="2"/>
        <v>0.11533553977283881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78354.3125</v>
      </c>
      <c r="D13" s="16">
        <v>84865.02</v>
      </c>
      <c r="E13" s="16">
        <f t="shared" si="0"/>
        <v>-6510.7075000000041</v>
      </c>
      <c r="F13" s="17">
        <f t="shared" si="3"/>
        <v>-7.6718387623074896E-2</v>
      </c>
      <c r="G13" s="18">
        <v>65400.4</v>
      </c>
      <c r="H13" s="18">
        <f t="shared" si="1"/>
        <v>12953.912499999999</v>
      </c>
      <c r="I13" s="17">
        <f t="shared" si="2"/>
        <v>0.19807084513244563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159229</v>
      </c>
      <c r="D14" s="11">
        <v>180294</v>
      </c>
      <c r="E14" s="11">
        <f t="shared" si="0"/>
        <v>-21065</v>
      </c>
      <c r="F14" s="12">
        <f t="shared" si="3"/>
        <v>-0.11683694410241051</v>
      </c>
      <c r="G14" s="13">
        <v>136960.70000000001</v>
      </c>
      <c r="H14" s="13">
        <f t="shared" si="1"/>
        <v>22268.299999999988</v>
      </c>
      <c r="I14" s="14">
        <f t="shared" si="2"/>
        <v>0.16258897625377197</v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>
        <v>158701</v>
      </c>
      <c r="D15" s="16">
        <v>176846.4</v>
      </c>
      <c r="E15" s="16">
        <f t="shared" si="0"/>
        <v>-18145.399999999994</v>
      </c>
      <c r="F15" s="17">
        <f t="shared" si="3"/>
        <v>-0.10260542482063528</v>
      </c>
      <c r="G15" s="18">
        <v>134833.20000000001</v>
      </c>
      <c r="H15" s="18">
        <f t="shared" si="1"/>
        <v>23867.799999999988</v>
      </c>
      <c r="I15" s="17">
        <f t="shared" si="2"/>
        <v>0.17701723314435899</v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>
        <v>64392</v>
      </c>
      <c r="D16" s="11">
        <v>79189.210000000006</v>
      </c>
      <c r="E16" s="11">
        <f t="shared" si="0"/>
        <v>-14797.210000000006</v>
      </c>
      <c r="F16" s="12">
        <f t="shared" si="3"/>
        <v>-0.18685891676403901</v>
      </c>
      <c r="G16" s="13">
        <v>67804.100000000006</v>
      </c>
      <c r="H16" s="13">
        <f t="shared" si="1"/>
        <v>-3412.1000000000058</v>
      </c>
      <c r="I16" s="14">
        <f t="shared" si="2"/>
        <v>-5.0322915575901836E-2</v>
      </c>
      <c r="J16" s="38" t="s">
        <v>210</v>
      </c>
      <c r="K16" s="38" t="s">
        <v>211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zoomScale="60" zoomScaleNormal="60" workbookViewId="0">
      <pane xSplit="2" ySplit="3" topLeftCell="C4" activePane="bottomRight" state="frozen"/>
      <selection pane="bottomRight" activeCell="J15" sqref="J1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212</v>
      </c>
      <c r="E1" s="110"/>
      <c r="F1" s="110"/>
      <c r="G1" s="108" t="s">
        <v>213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2082710.815954773</v>
      </c>
      <c r="D2" s="5">
        <f>SUM(D4:D91)</f>
        <v>2185467.9300000002</v>
      </c>
      <c r="E2" s="5">
        <f>C2-D2</f>
        <v>-102757.11404522718</v>
      </c>
      <c r="F2" s="6">
        <f>IFERROR(E2/D2, 0)</f>
        <v>-4.701835823563294E-2</v>
      </c>
      <c r="G2" s="5">
        <f>SUM(G4:G91)</f>
        <v>1705062</v>
      </c>
      <c r="H2" s="7">
        <f>C2-G2</f>
        <v>377648.81595477299</v>
      </c>
      <c r="I2" s="6">
        <f>IFERROR(H2/G2, 0)</f>
        <v>0.22148685265097282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4.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318901.19095477299</v>
      </c>
      <c r="D4" s="11">
        <v>290755.90000000002</v>
      </c>
      <c r="E4" s="11">
        <f>IF(AND(ISNUMBER(C4),ISNUMBER(D4)), C4-D4, "")</f>
        <v>28145.290954772965</v>
      </c>
      <c r="F4" s="12">
        <f>IFERROR(E4/D4, "")</f>
        <v>9.6800412149067178E-2</v>
      </c>
      <c r="G4" s="13">
        <v>265962</v>
      </c>
      <c r="H4" s="13">
        <f>IF(AND(ISNUMBER(C4),ISNUMBER(G4)), C4-G4, "")</f>
        <v>52939.190954772988</v>
      </c>
      <c r="I4" s="14">
        <f>IFERROR(H4/G4, "")</f>
        <v>0.19904795028903749</v>
      </c>
      <c r="J4" s="38"/>
      <c r="K4" s="38"/>
    </row>
    <row r="5" spans="1:11" ht="31.5" customHeight="1">
      <c r="A5" s="28" t="str">
        <v>Clara Barton</v>
      </c>
      <c r="B5" s="29" t="str">
        <v>MA</v>
      </c>
      <c r="C5" s="10">
        <v>117828</v>
      </c>
      <c r="D5" s="16">
        <v>113470.5</v>
      </c>
      <c r="E5" s="16">
        <f t="shared" ref="E5:E16" si="0">IF(AND(ISNUMBER(C5),ISNUMBER(D5)), C5-D5, "")</f>
        <v>4357.5</v>
      </c>
      <c r="F5" s="17">
        <f>IFERROR(E5/D5, "")</f>
        <v>3.8402051634565809E-2</v>
      </c>
      <c r="G5" s="18">
        <v>95971</v>
      </c>
      <c r="H5" s="18">
        <f t="shared" ref="H5:H16" si="1">IF(AND(ISNUMBER(C5),ISNUMBER(G5)), C5-G5, "")</f>
        <v>21857</v>
      </c>
      <c r="I5" s="17">
        <f t="shared" ref="I5:I16" si="2">IFERROR(H5/G5, "")</f>
        <v>0.22774588156839046</v>
      </c>
      <c r="J5" s="87" t="s">
        <v>214</v>
      </c>
      <c r="K5" s="91" t="s">
        <v>215</v>
      </c>
    </row>
    <row r="6" spans="1:11" ht="50.25" customHeight="1">
      <c r="A6" s="26" t="str">
        <v>Fairhaven Solar</v>
      </c>
      <c r="B6" s="27" t="str">
        <v>MA</v>
      </c>
      <c r="C6" s="22">
        <v>91124</v>
      </c>
      <c r="D6" s="11">
        <v>101607</v>
      </c>
      <c r="E6" s="11">
        <f t="shared" si="0"/>
        <v>-10483</v>
      </c>
      <c r="F6" s="12">
        <f t="shared" ref="F6:F16" si="3">IFERROR(E6/D6, "")</f>
        <v>-0.1031720255494208</v>
      </c>
      <c r="G6" s="13">
        <v>74524</v>
      </c>
      <c r="H6" s="13">
        <f t="shared" si="1"/>
        <v>16600</v>
      </c>
      <c r="I6" s="14">
        <f t="shared" si="2"/>
        <v>0.22274703451237185</v>
      </c>
      <c r="J6" s="38" t="s">
        <v>216</v>
      </c>
      <c r="K6" s="38" t="s">
        <v>217</v>
      </c>
    </row>
    <row r="7" spans="1:11" ht="41.25" customHeight="1">
      <c r="A7" s="28" t="str">
        <v>Plympton-1</v>
      </c>
      <c r="B7" s="29" t="str">
        <v>MA</v>
      </c>
      <c r="C7" s="10">
        <v>112737</v>
      </c>
      <c r="D7" s="16">
        <v>113858.7</v>
      </c>
      <c r="E7" s="16">
        <f t="shared" si="0"/>
        <v>-1121.6999999999971</v>
      </c>
      <c r="F7" s="17">
        <f t="shared" si="3"/>
        <v>-9.8516845880024725E-3</v>
      </c>
      <c r="G7" s="18">
        <v>91181</v>
      </c>
      <c r="H7" s="18">
        <f t="shared" si="1"/>
        <v>21556</v>
      </c>
      <c r="I7" s="17">
        <f t="shared" si="2"/>
        <v>0.23640890097717726</v>
      </c>
      <c r="J7" s="91" t="s">
        <v>218</v>
      </c>
      <c r="K7" s="91" t="s">
        <v>219</v>
      </c>
    </row>
    <row r="8" spans="1:11" ht="15.75">
      <c r="A8" s="26" t="str">
        <v>French River 2</v>
      </c>
      <c r="B8" s="27" t="str">
        <v>MA</v>
      </c>
      <c r="C8" s="22">
        <v>122310.5</v>
      </c>
      <c r="D8" s="11">
        <v>140793</v>
      </c>
      <c r="E8" s="11">
        <f t="shared" si="0"/>
        <v>-18482.5</v>
      </c>
      <c r="F8" s="12">
        <f t="shared" si="3"/>
        <v>-0.13127428210209313</v>
      </c>
      <c r="G8" s="13">
        <v>96896</v>
      </c>
      <c r="H8" s="13">
        <f t="shared" si="1"/>
        <v>25414.5</v>
      </c>
      <c r="I8" s="14">
        <f t="shared" si="2"/>
        <v>0.26228636889035667</v>
      </c>
      <c r="J8" s="38" t="s">
        <v>220</v>
      </c>
      <c r="K8" s="38" t="s">
        <v>205</v>
      </c>
    </row>
    <row r="9" spans="1:11" ht="15.75">
      <c r="A9" s="28" t="str">
        <v>French River 3</v>
      </c>
      <c r="B9" s="29" t="str">
        <v>MA</v>
      </c>
      <c r="C9" s="10">
        <v>246485</v>
      </c>
      <c r="D9" s="16">
        <v>264949.40000000002</v>
      </c>
      <c r="E9" s="16">
        <f t="shared" si="0"/>
        <v>-18464.400000000023</v>
      </c>
      <c r="F9" s="17">
        <f t="shared" si="3"/>
        <v>-6.9690288032356454E-2</v>
      </c>
      <c r="G9" s="18">
        <v>190298</v>
      </c>
      <c r="H9" s="18">
        <f t="shared" si="1"/>
        <v>56187</v>
      </c>
      <c r="I9" s="17">
        <f t="shared" si="2"/>
        <v>0.29525796382515845</v>
      </c>
      <c r="J9" s="39"/>
      <c r="K9" s="40"/>
    </row>
    <row r="10" spans="1:11" ht="34.5" customHeight="1">
      <c r="A10" s="26" t="str">
        <v>French River 4</v>
      </c>
      <c r="B10" s="27" t="str">
        <v>MA</v>
      </c>
      <c r="C10" s="22">
        <v>238448</v>
      </c>
      <c r="D10" s="11">
        <v>271706.59999999998</v>
      </c>
      <c r="E10" s="11">
        <f t="shared" si="0"/>
        <v>-33258.599999999977</v>
      </c>
      <c r="F10" s="12">
        <f t="shared" si="3"/>
        <v>-0.12240630150316548</v>
      </c>
      <c r="G10" s="13">
        <v>198405</v>
      </c>
      <c r="H10" s="13">
        <f t="shared" si="1"/>
        <v>40043</v>
      </c>
      <c r="I10" s="14">
        <f t="shared" si="2"/>
        <v>0.20182455079257075</v>
      </c>
      <c r="J10" s="38" t="s">
        <v>221</v>
      </c>
      <c r="K10" s="38" t="s">
        <v>222</v>
      </c>
    </row>
    <row r="11" spans="1:11" ht="76.5" customHeight="1">
      <c r="A11" s="28" t="str">
        <v>French River 5</v>
      </c>
      <c r="B11" s="29" t="str">
        <v>MA</v>
      </c>
      <c r="C11" s="10">
        <v>237628</v>
      </c>
      <c r="D11" s="16">
        <v>259788.5</v>
      </c>
      <c r="E11" s="16">
        <f t="shared" si="0"/>
        <v>-22160.5</v>
      </c>
      <c r="F11" s="17">
        <f t="shared" si="3"/>
        <v>-8.5302082270770255E-2</v>
      </c>
      <c r="G11" s="18">
        <v>194697</v>
      </c>
      <c r="H11" s="18">
        <f t="shared" si="1"/>
        <v>42931</v>
      </c>
      <c r="I11" s="17">
        <f t="shared" si="2"/>
        <v>0.22050159992192997</v>
      </c>
      <c r="J11" s="39" t="s">
        <v>223</v>
      </c>
      <c r="K11" s="91" t="s">
        <v>224</v>
      </c>
    </row>
    <row r="12" spans="1:11" ht="134.25" customHeight="1">
      <c r="A12" s="26" t="str">
        <v>French River 6</v>
      </c>
      <c r="B12" s="27" t="str">
        <v>MA</v>
      </c>
      <c r="C12" s="22">
        <v>227608</v>
      </c>
      <c r="D12" s="11">
        <v>216962.2</v>
      </c>
      <c r="E12" s="11">
        <f t="shared" si="0"/>
        <v>10645.799999999988</v>
      </c>
      <c r="F12" s="12">
        <f t="shared" si="3"/>
        <v>4.9067533422872685E-2</v>
      </c>
      <c r="G12" s="13">
        <v>186812</v>
      </c>
      <c r="H12" s="13">
        <f t="shared" si="1"/>
        <v>40796</v>
      </c>
      <c r="I12" s="14">
        <f t="shared" si="2"/>
        <v>0.21837997559043315</v>
      </c>
      <c r="J12" s="38" t="s">
        <v>225</v>
      </c>
      <c r="K12" s="38" t="s">
        <v>226</v>
      </c>
    </row>
    <row r="13" spans="1:11" ht="15.75">
      <c r="A13" s="28" t="str">
        <v>Stillwater River 1A</v>
      </c>
      <c r="B13" s="29" t="str">
        <v>MA</v>
      </c>
      <c r="C13" s="10">
        <v>62238.3125</v>
      </c>
      <c r="D13" s="16">
        <v>56334.75</v>
      </c>
      <c r="E13" s="16">
        <f t="shared" si="0"/>
        <v>5903.5625</v>
      </c>
      <c r="F13" s="17">
        <f t="shared" si="3"/>
        <v>0.10479433209519878</v>
      </c>
      <c r="G13" s="18">
        <v>47964</v>
      </c>
      <c r="H13" s="18">
        <f t="shared" si="1"/>
        <v>14274.3125</v>
      </c>
      <c r="I13" s="17">
        <f t="shared" si="2"/>
        <v>0.29760471395213078</v>
      </c>
      <c r="J13" s="39"/>
      <c r="K13" s="40"/>
    </row>
    <row r="14" spans="1:11" ht="42.75">
      <c r="A14" s="26" t="str">
        <v>Stillwater River 2</v>
      </c>
      <c r="B14" s="27" t="str">
        <v>MA</v>
      </c>
      <c r="C14" s="22">
        <v>127980</v>
      </c>
      <c r="D14" s="11">
        <v>149004.6</v>
      </c>
      <c r="E14" s="11">
        <f t="shared" si="0"/>
        <v>-21024.600000000006</v>
      </c>
      <c r="F14" s="12">
        <f t="shared" si="3"/>
        <v>-0.14110034186864034</v>
      </c>
      <c r="G14" s="13">
        <v>100456</v>
      </c>
      <c r="H14" s="13">
        <f t="shared" si="1"/>
        <v>27524</v>
      </c>
      <c r="I14" s="14">
        <f t="shared" si="2"/>
        <v>0.27399060285099947</v>
      </c>
      <c r="J14" s="38" t="s">
        <v>227</v>
      </c>
      <c r="K14" s="38" t="s">
        <v>228</v>
      </c>
    </row>
    <row r="15" spans="1:11" ht="15.75">
      <c r="A15" s="28" t="str">
        <v>Stillwater River 3</v>
      </c>
      <c r="B15" s="29" t="str">
        <v>MA</v>
      </c>
      <c r="C15" s="10">
        <v>127339</v>
      </c>
      <c r="D15" s="16">
        <v>146537.79999999999</v>
      </c>
      <c r="E15" s="16">
        <f t="shared" si="0"/>
        <v>-19198.799999999988</v>
      </c>
      <c r="F15" s="17">
        <f t="shared" si="3"/>
        <v>-0.13101602453428393</v>
      </c>
      <c r="G15" s="18">
        <v>98892</v>
      </c>
      <c r="H15" s="18">
        <f t="shared" si="1"/>
        <v>28447</v>
      </c>
      <c r="I15" s="17">
        <f t="shared" si="2"/>
        <v>0.28765724224406425</v>
      </c>
      <c r="J15" s="39" t="s">
        <v>229</v>
      </c>
      <c r="K15" s="40" t="s">
        <v>230</v>
      </c>
    </row>
    <row r="16" spans="1:11" ht="42.75" customHeight="1">
      <c r="A16" s="26" t="str">
        <v>Stillwater River 4</v>
      </c>
      <c r="B16" s="27" t="str">
        <v>MA</v>
      </c>
      <c r="C16" s="22">
        <v>52083.8125</v>
      </c>
      <c r="D16" s="11">
        <v>59698.98</v>
      </c>
      <c r="E16" s="11">
        <f t="shared" si="0"/>
        <v>-7615.1675000000032</v>
      </c>
      <c r="F16" s="12">
        <f t="shared" si="3"/>
        <v>-0.12755942396335754</v>
      </c>
      <c r="G16" s="13">
        <v>63004</v>
      </c>
      <c r="H16" s="13">
        <f t="shared" si="1"/>
        <v>-10920.1875</v>
      </c>
      <c r="I16" s="14">
        <f t="shared" si="2"/>
        <v>-0.17332530474255603</v>
      </c>
      <c r="J16" s="38" t="s">
        <v>210</v>
      </c>
      <c r="K16" s="38" t="s">
        <v>211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tabSelected="1" zoomScale="70" zoomScaleNormal="70" workbookViewId="0">
      <pane xSplit="2" ySplit="3" topLeftCell="E4" activePane="bottomRight" state="frozen"/>
      <selection pane="bottomRight" activeCell="K5" sqref="K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09" t="str" cm="1">
        <f t="array" ref="A1">portfolio</f>
        <v>MN8 Bond</v>
      </c>
      <c r="B1" s="109"/>
      <c r="C1" s="109"/>
      <c r="D1" s="110" t="s">
        <v>231</v>
      </c>
      <c r="E1" s="110"/>
      <c r="F1" s="110"/>
      <c r="G1" s="108" t="s">
        <v>232</v>
      </c>
      <c r="H1" s="108"/>
      <c r="I1" s="108"/>
      <c r="J1" s="4"/>
      <c r="K1" s="4"/>
    </row>
    <row r="2" spans="1:11" ht="19.5" customHeight="1">
      <c r="A2" s="111" t="s">
        <v>2</v>
      </c>
      <c r="B2" s="111"/>
      <c r="C2" s="5">
        <f>SUM(C4:C91)</f>
        <v>1306111.877499999</v>
      </c>
      <c r="D2" s="5">
        <f>SUM(D4:D91)</f>
        <v>1786613.7</v>
      </c>
      <c r="E2" s="5">
        <f>C2-D2</f>
        <v>-480501.82250000094</v>
      </c>
      <c r="F2" s="6">
        <f>IFERROR(E2/D2, 0)</f>
        <v>-0.2689455602517774</v>
      </c>
      <c r="G2" s="5">
        <f>SUM(G4:G91)</f>
        <v>1094077.24</v>
      </c>
      <c r="H2" s="7">
        <f>C2-G2</f>
        <v>212034.63749999902</v>
      </c>
      <c r="I2" s="6">
        <f>IFERROR(H2/G2, 0)</f>
        <v>0.1938022561368693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6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94">
        <v>191281.31499999901</v>
      </c>
      <c r="D4" s="95">
        <v>234278.2</v>
      </c>
      <c r="E4" s="95">
        <f>IF(AND(ISNUMBER(C4),ISNUMBER(D4)), C4-D4, "")</f>
        <v>-42996.885000000999</v>
      </c>
      <c r="F4" s="96">
        <f>IFERROR(E4/D4, "")</f>
        <v>-0.18352917599674659</v>
      </c>
      <c r="G4" s="97">
        <v>218587</v>
      </c>
      <c r="H4" s="97">
        <f>IF(AND(ISNUMBER(C4),ISNUMBER(G4)), C4-G4, "")</f>
        <v>-27305.685000000987</v>
      </c>
      <c r="I4" s="98">
        <f>IFERROR(H4/G4, "")</f>
        <v>-0.12491907112500281</v>
      </c>
      <c r="J4" s="99" t="s">
        <v>233</v>
      </c>
      <c r="K4" s="99" t="s">
        <v>234</v>
      </c>
    </row>
    <row r="5" spans="1:11" ht="61.5" customHeight="1">
      <c r="A5" s="28" t="str">
        <v>Clara Barton</v>
      </c>
      <c r="B5" s="29" t="str">
        <v>MA</v>
      </c>
      <c r="C5" s="100">
        <v>66932</v>
      </c>
      <c r="D5" s="101">
        <v>88652.83</v>
      </c>
      <c r="E5" s="101">
        <f t="shared" ref="E5:E16" si="0">IF(AND(ISNUMBER(C5),ISNUMBER(D5)), C5-D5, "")</f>
        <v>-21720.83</v>
      </c>
      <c r="F5" s="102">
        <f>IFERROR(E5/D5, "")</f>
        <v>-0.24501000137277062</v>
      </c>
      <c r="G5" s="103">
        <v>65647.23</v>
      </c>
      <c r="H5" s="103">
        <f t="shared" ref="H5:H16" si="1">IF(AND(ISNUMBER(C5),ISNUMBER(G5)), C5-G5, "")</f>
        <v>1284.7700000000041</v>
      </c>
      <c r="I5" s="102">
        <f t="shared" ref="I5:I16" si="2">IFERROR(H5/G5, "")</f>
        <v>1.9570818144192894E-2</v>
      </c>
      <c r="J5" s="104" t="s">
        <v>235</v>
      </c>
      <c r="K5" s="105" t="s">
        <v>236</v>
      </c>
    </row>
    <row r="6" spans="1:11" ht="66.75" customHeight="1">
      <c r="A6" s="26" t="str">
        <v>Fairhaven Solar</v>
      </c>
      <c r="B6" s="27" t="str">
        <v>MA</v>
      </c>
      <c r="C6" s="94">
        <v>67720</v>
      </c>
      <c r="D6" s="95">
        <v>80047.58</v>
      </c>
      <c r="E6" s="95">
        <f t="shared" si="0"/>
        <v>-12327.580000000002</v>
      </c>
      <c r="F6" s="96">
        <f t="shared" ref="F6:F16" si="3">IFERROR(E6/D6, "")</f>
        <v>-0.15400315662259872</v>
      </c>
      <c r="G6" s="97">
        <v>55423.78</v>
      </c>
      <c r="H6" s="97">
        <f t="shared" si="1"/>
        <v>12296.220000000001</v>
      </c>
      <c r="I6" s="98">
        <f t="shared" si="2"/>
        <v>0.22185819877316201</v>
      </c>
      <c r="J6" s="99" t="s">
        <v>237</v>
      </c>
      <c r="K6" s="99" t="s">
        <v>238</v>
      </c>
    </row>
    <row r="7" spans="1:11" ht="76.5">
      <c r="A7" s="28" t="str">
        <v>Plympton-1</v>
      </c>
      <c r="B7" s="29" t="str">
        <v>MA</v>
      </c>
      <c r="C7" s="100">
        <v>90795</v>
      </c>
      <c r="D7" s="101">
        <v>87379.34</v>
      </c>
      <c r="E7" s="101">
        <f t="shared" si="0"/>
        <v>3415.6600000000035</v>
      </c>
      <c r="F7" s="102">
        <f t="shared" si="3"/>
        <v>3.9090018304098015E-2</v>
      </c>
      <c r="G7" s="103">
        <v>71954.03</v>
      </c>
      <c r="H7" s="103">
        <f t="shared" si="1"/>
        <v>18840.97</v>
      </c>
      <c r="I7" s="102">
        <f t="shared" si="2"/>
        <v>0.26184732112989367</v>
      </c>
      <c r="J7" s="104" t="s">
        <v>239</v>
      </c>
      <c r="K7" s="105" t="s">
        <v>240</v>
      </c>
    </row>
    <row r="8" spans="1:11" ht="15.75">
      <c r="A8" s="26" t="str">
        <v>French River 2</v>
      </c>
      <c r="B8" s="27" t="str">
        <v>MA</v>
      </c>
      <c r="C8" s="94">
        <v>69086</v>
      </c>
      <c r="D8" s="95">
        <v>116613.9</v>
      </c>
      <c r="E8" s="95">
        <f t="shared" si="0"/>
        <v>-47527.899999999994</v>
      </c>
      <c r="F8" s="96">
        <f t="shared" si="3"/>
        <v>-0.40756633643159174</v>
      </c>
      <c r="G8" s="97">
        <v>56960</v>
      </c>
      <c r="H8" s="97">
        <f t="shared" si="1"/>
        <v>12126</v>
      </c>
      <c r="I8" s="98">
        <f t="shared" si="2"/>
        <v>0.21288623595505618</v>
      </c>
      <c r="J8" s="99" t="s">
        <v>220</v>
      </c>
      <c r="K8" s="99" t="s">
        <v>205</v>
      </c>
    </row>
    <row r="9" spans="1:11" ht="15.75">
      <c r="A9" s="28" t="str">
        <v>French River 3</v>
      </c>
      <c r="B9" s="29" t="str">
        <v>MA</v>
      </c>
      <c r="C9" s="100">
        <v>149078</v>
      </c>
      <c r="D9" s="101">
        <v>218403</v>
      </c>
      <c r="E9" s="101">
        <f t="shared" si="0"/>
        <v>-69325</v>
      </c>
      <c r="F9" s="102">
        <f t="shared" si="3"/>
        <v>-0.31741780103753153</v>
      </c>
      <c r="G9" s="103">
        <v>108899.7</v>
      </c>
      <c r="H9" s="103">
        <f t="shared" si="1"/>
        <v>40178.300000000003</v>
      </c>
      <c r="I9" s="102">
        <f t="shared" si="2"/>
        <v>0.36894775651356254</v>
      </c>
      <c r="J9" s="104"/>
      <c r="K9" s="106"/>
    </row>
    <row r="10" spans="1:11" ht="15.75">
      <c r="A10" s="26" t="str">
        <v>French River 4</v>
      </c>
      <c r="B10" s="27" t="str">
        <v>MA</v>
      </c>
      <c r="C10" s="94">
        <v>152843</v>
      </c>
      <c r="D10" s="95">
        <v>224304.4</v>
      </c>
      <c r="E10" s="95">
        <f t="shared" si="0"/>
        <v>-71461.399999999994</v>
      </c>
      <c r="F10" s="96">
        <f t="shared" si="3"/>
        <v>-0.31859116450680414</v>
      </c>
      <c r="G10" s="97">
        <v>113557.7</v>
      </c>
      <c r="H10" s="97">
        <f t="shared" si="1"/>
        <v>39285.300000000003</v>
      </c>
      <c r="I10" s="98">
        <f t="shared" si="2"/>
        <v>0.34595012051142288</v>
      </c>
      <c r="J10" s="99"/>
      <c r="K10" s="99"/>
    </row>
    <row r="11" spans="1:11" ht="77.25" customHeight="1">
      <c r="A11" s="28" t="str">
        <v>French River 5</v>
      </c>
      <c r="B11" s="29" t="str">
        <v>MA</v>
      </c>
      <c r="C11" s="100">
        <v>148942</v>
      </c>
      <c r="D11" s="101">
        <v>213603.8</v>
      </c>
      <c r="E11" s="101">
        <f t="shared" si="0"/>
        <v>-64661.799999999988</v>
      </c>
      <c r="F11" s="102">
        <f t="shared" si="3"/>
        <v>-0.30271839733188266</v>
      </c>
      <c r="G11" s="103">
        <v>111330.9</v>
      </c>
      <c r="H11" s="103">
        <f t="shared" si="1"/>
        <v>37611.100000000006</v>
      </c>
      <c r="I11" s="102">
        <f t="shared" si="2"/>
        <v>0.33783163524232723</v>
      </c>
      <c r="J11" s="107" t="s">
        <v>241</v>
      </c>
      <c r="K11" s="105" t="s">
        <v>242</v>
      </c>
    </row>
    <row r="12" spans="1:11" ht="114" customHeight="1">
      <c r="A12" s="26" t="str">
        <v>French River 6</v>
      </c>
      <c r="B12" s="27" t="str">
        <v>MA</v>
      </c>
      <c r="C12" s="94">
        <v>139370</v>
      </c>
      <c r="D12" s="95">
        <v>178551.2</v>
      </c>
      <c r="E12" s="95">
        <f t="shared" si="0"/>
        <v>-39181.200000000012</v>
      </c>
      <c r="F12" s="96">
        <f t="shared" si="3"/>
        <v>-0.21943957811540896</v>
      </c>
      <c r="G12" s="97">
        <v>106821.1</v>
      </c>
      <c r="H12" s="97">
        <f t="shared" si="1"/>
        <v>32548.899999999994</v>
      </c>
      <c r="I12" s="98">
        <f t="shared" si="2"/>
        <v>0.30470478210765467</v>
      </c>
      <c r="J12" s="99" t="s">
        <v>243</v>
      </c>
      <c r="K12" s="99" t="s">
        <v>244</v>
      </c>
    </row>
    <row r="13" spans="1:11" ht="15.75">
      <c r="A13" s="28" t="str">
        <v>Stillwater River 1A</v>
      </c>
      <c r="B13" s="29" t="str">
        <v>MA</v>
      </c>
      <c r="C13" s="100">
        <v>37813</v>
      </c>
      <c r="D13" s="101">
        <v>55738.82</v>
      </c>
      <c r="E13" s="101">
        <f t="shared" si="0"/>
        <v>-17925.82</v>
      </c>
      <c r="F13" s="102">
        <f t="shared" si="3"/>
        <v>-0.32160386603089192</v>
      </c>
      <c r="G13" s="103">
        <v>27392.53</v>
      </c>
      <c r="H13" s="103">
        <f t="shared" si="1"/>
        <v>10420.470000000001</v>
      </c>
      <c r="I13" s="102">
        <f t="shared" si="2"/>
        <v>0.38041283517805774</v>
      </c>
      <c r="J13" s="104"/>
      <c r="K13" s="106"/>
    </row>
    <row r="14" spans="1:11" ht="36" customHeight="1">
      <c r="A14" s="26" t="str">
        <v>Stillwater River 2</v>
      </c>
      <c r="B14" s="27" t="str">
        <v>MA</v>
      </c>
      <c r="C14" s="94">
        <v>80896</v>
      </c>
      <c r="D14" s="95">
        <v>121570.9</v>
      </c>
      <c r="E14" s="95">
        <f t="shared" si="0"/>
        <v>-40674.899999999994</v>
      </c>
      <c r="F14" s="96">
        <f t="shared" si="3"/>
        <v>-0.33457760039614742</v>
      </c>
      <c r="G14" s="97">
        <v>57384.89</v>
      </c>
      <c r="H14" s="97">
        <f t="shared" si="1"/>
        <v>23511.11</v>
      </c>
      <c r="I14" s="98">
        <f t="shared" si="2"/>
        <v>0.4097090714994836</v>
      </c>
      <c r="J14" s="99" t="s">
        <v>245</v>
      </c>
      <c r="K14" s="99" t="s">
        <v>246</v>
      </c>
    </row>
    <row r="15" spans="1:11" ht="15.75">
      <c r="A15" s="28" t="str">
        <v>Stillwater River 3</v>
      </c>
      <c r="B15" s="29" t="str">
        <v>MA</v>
      </c>
      <c r="C15" s="100">
        <v>79864</v>
      </c>
      <c r="D15" s="101">
        <v>121264</v>
      </c>
      <c r="E15" s="101">
        <f t="shared" si="0"/>
        <v>-41400</v>
      </c>
      <c r="F15" s="102">
        <f t="shared" si="3"/>
        <v>-0.34140387913972819</v>
      </c>
      <c r="G15" s="103">
        <v>56486.22</v>
      </c>
      <c r="H15" s="103">
        <f t="shared" si="1"/>
        <v>23377.78</v>
      </c>
      <c r="I15" s="102">
        <f t="shared" si="2"/>
        <v>0.41386695728621953</v>
      </c>
      <c r="J15" s="104" t="s">
        <v>192</v>
      </c>
      <c r="K15" s="104" t="s">
        <v>247</v>
      </c>
    </row>
    <row r="16" spans="1:11" ht="15.75">
      <c r="A16" s="26" t="str">
        <v>Stillwater River 4</v>
      </c>
      <c r="B16" s="27" t="str">
        <v>MA</v>
      </c>
      <c r="C16" s="94">
        <v>31491.5625</v>
      </c>
      <c r="D16" s="95">
        <v>46205.73</v>
      </c>
      <c r="E16" s="95">
        <f t="shared" si="0"/>
        <v>-14714.167500000003</v>
      </c>
      <c r="F16" s="96">
        <f t="shared" si="3"/>
        <v>-0.31844897808128997</v>
      </c>
      <c r="G16" s="97">
        <v>43632.160000000003</v>
      </c>
      <c r="H16" s="97">
        <f t="shared" si="1"/>
        <v>-12140.597500000003</v>
      </c>
      <c r="I16" s="98">
        <f t="shared" si="2"/>
        <v>-0.27824883067902212</v>
      </c>
      <c r="J16" s="99" t="s">
        <v>248</v>
      </c>
      <c r="K16" s="99" t="s">
        <v>249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250</v>
      </c>
      <c r="B1" t="s">
        <v>251</v>
      </c>
    </row>
    <row r="3" spans="1:12">
      <c r="A3" t="s">
        <v>252</v>
      </c>
      <c r="B3" t="s">
        <v>3</v>
      </c>
      <c r="C3" t="s">
        <v>4</v>
      </c>
      <c r="D3" t="s">
        <v>253</v>
      </c>
      <c r="E3" s="2" t="s">
        <v>254</v>
      </c>
    </row>
    <row r="4" spans="1:12" ht="14.25">
      <c r="A4" s="46" t="s">
        <v>255</v>
      </c>
      <c r="B4" t="s">
        <v>256</v>
      </c>
      <c r="C4" s="45" t="s">
        <v>257</v>
      </c>
      <c r="D4" s="44" t="s">
        <v>258</v>
      </c>
      <c r="E4" t="s">
        <v>259</v>
      </c>
      <c r="G4" s="3"/>
    </row>
    <row r="5" spans="1:12" ht="14.25">
      <c r="A5" s="46" t="s">
        <v>260</v>
      </c>
      <c r="B5" t="s">
        <v>261</v>
      </c>
      <c r="C5" s="45" t="s">
        <v>257</v>
      </c>
      <c r="D5" s="44" t="s">
        <v>258</v>
      </c>
      <c r="E5" t="s">
        <v>259</v>
      </c>
      <c r="G5" s="3"/>
    </row>
    <row r="6" spans="1:12" ht="14.25">
      <c r="A6" s="46" t="s">
        <v>262</v>
      </c>
      <c r="B6" t="s">
        <v>263</v>
      </c>
      <c r="C6" s="45" t="s">
        <v>257</v>
      </c>
      <c r="D6" s="44" t="s">
        <v>258</v>
      </c>
      <c r="E6" t="s">
        <v>259</v>
      </c>
      <c r="G6" s="3"/>
    </row>
    <row r="7" spans="1:12" ht="12.75" customHeight="1">
      <c r="A7" s="46" t="s">
        <v>264</v>
      </c>
      <c r="B7" t="s">
        <v>265</v>
      </c>
      <c r="C7" s="45" t="s">
        <v>257</v>
      </c>
      <c r="D7" s="44" t="s">
        <v>258</v>
      </c>
      <c r="E7" t="s">
        <v>259</v>
      </c>
    </row>
    <row r="8" spans="1:12" ht="12.75" customHeight="1">
      <c r="A8" s="46" t="s">
        <v>266</v>
      </c>
      <c r="B8" t="s">
        <v>267</v>
      </c>
      <c r="C8" s="45" t="s">
        <v>257</v>
      </c>
      <c r="D8" s="44" t="s">
        <v>258</v>
      </c>
      <c r="E8" t="s">
        <v>259</v>
      </c>
    </row>
    <row r="9" spans="1:12" ht="12.75" customHeight="1">
      <c r="A9" s="46" t="s">
        <v>268</v>
      </c>
      <c r="B9" t="s">
        <v>269</v>
      </c>
      <c r="C9" s="45" t="s">
        <v>257</v>
      </c>
      <c r="D9" s="44" t="s">
        <v>258</v>
      </c>
      <c r="E9" t="s">
        <v>259</v>
      </c>
    </row>
    <row r="10" spans="1:12" ht="12.75" customHeight="1">
      <c r="A10" s="46" t="s">
        <v>270</v>
      </c>
      <c r="B10" t="s">
        <v>271</v>
      </c>
      <c r="C10" s="45" t="s">
        <v>257</v>
      </c>
      <c r="D10" s="44" t="s">
        <v>258</v>
      </c>
      <c r="E10" t="s">
        <v>259</v>
      </c>
      <c r="K10" s="41"/>
      <c r="L10" s="41"/>
    </row>
    <row r="11" spans="1:12" ht="12.75" customHeight="1">
      <c r="A11" s="46" t="s">
        <v>272</v>
      </c>
      <c r="B11" t="s">
        <v>273</v>
      </c>
      <c r="C11" s="45" t="s">
        <v>257</v>
      </c>
      <c r="D11" s="44" t="s">
        <v>258</v>
      </c>
      <c r="E11" t="s">
        <v>259</v>
      </c>
      <c r="K11" s="41"/>
      <c r="L11" s="41"/>
    </row>
    <row r="12" spans="1:12" ht="12.75" customHeight="1">
      <c r="A12" s="46" t="s">
        <v>274</v>
      </c>
      <c r="B12" t="s">
        <v>275</v>
      </c>
      <c r="C12" s="45" t="s">
        <v>257</v>
      </c>
      <c r="D12" s="44" t="s">
        <v>258</v>
      </c>
      <c r="E12" t="s">
        <v>259</v>
      </c>
      <c r="K12" s="41"/>
      <c r="L12" s="41"/>
    </row>
    <row r="13" spans="1:12" ht="12.75" customHeight="1">
      <c r="A13" s="46" t="s">
        <v>276</v>
      </c>
      <c r="B13" t="s">
        <v>277</v>
      </c>
      <c r="C13" s="45" t="s">
        <v>257</v>
      </c>
      <c r="D13" s="44" t="s">
        <v>258</v>
      </c>
      <c r="E13" t="s">
        <v>259</v>
      </c>
      <c r="K13" s="41"/>
      <c r="L13" s="41"/>
    </row>
    <row r="14" spans="1:12" ht="12.75" customHeight="1">
      <c r="A14" s="46" t="s">
        <v>278</v>
      </c>
      <c r="B14" t="s">
        <v>279</v>
      </c>
      <c r="C14" s="45" t="s">
        <v>257</v>
      </c>
      <c r="D14" s="44" t="s">
        <v>258</v>
      </c>
      <c r="E14" t="s">
        <v>259</v>
      </c>
      <c r="K14" s="41"/>
      <c r="L14" s="41"/>
    </row>
    <row r="15" spans="1:12" ht="12.75" customHeight="1">
      <c r="A15" s="46" t="s">
        <v>280</v>
      </c>
      <c r="B15" t="s">
        <v>281</v>
      </c>
      <c r="C15" s="45" t="s">
        <v>257</v>
      </c>
      <c r="D15" s="44" t="s">
        <v>258</v>
      </c>
      <c r="E15" t="s">
        <v>259</v>
      </c>
      <c r="K15" s="41"/>
      <c r="L15" s="41"/>
    </row>
    <row r="16" spans="1:12" ht="12.75" customHeight="1">
      <c r="A16" s="46" t="s">
        <v>282</v>
      </c>
      <c r="B16" t="s">
        <v>283</v>
      </c>
      <c r="C16" s="45" t="s">
        <v>257</v>
      </c>
      <c r="D16" s="44" t="s">
        <v>258</v>
      </c>
      <c r="E16" t="s">
        <v>259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27203ED7-8166-4FFB-8212-D84310D206F6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14c1357c-7e3f-4b4b-8508-3273848b879e</vt:lpwstr>
  </property>
  <property fmtid="{D5CDD505-2E9C-101B-9397-08002B2CF9AE}" pid="9" name="MSIP_Label_9d817c99-0b37-4a07-8277-96aa1f96b74b_ContentBits">
    <vt:lpwstr>0</vt:lpwstr>
  </property>
</Properties>
</file>