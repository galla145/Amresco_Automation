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86" documentId="13_ncr:1_{E2FB663C-7E2A-4B0E-88D3-C1DE3C05F3A8}" xr6:coauthVersionLast="47" xr6:coauthVersionMax="47" xr10:uidLastSave="{1F2C9D9E-E9EC-4AEC-A8A3-1F7644F8BFF9}"/>
  <bookViews>
    <workbookView xWindow="-98" yWindow="-98" windowWidth="21795" windowHeight="12975" tabRatio="866" firstSheet="15" activeTab="1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27" l="1"/>
  <c r="H21" i="27"/>
  <c r="I21" i="26"/>
  <c r="H20" i="26"/>
  <c r="E20" i="26"/>
  <c r="E21" i="26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4" i="30"/>
  <c r="D4" i="30"/>
  <c r="G4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D4" i="29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4" i="18"/>
  <c r="D4" i="18"/>
  <c r="E18" i="33" l="1"/>
  <c r="F18" i="33"/>
  <c r="H18" i="33"/>
  <c r="I18" i="33"/>
  <c r="E19" i="33"/>
  <c r="F19" i="33"/>
  <c r="H19" i="33"/>
  <c r="I19" i="33"/>
  <c r="E20" i="33"/>
  <c r="F20" i="33"/>
  <c r="H20" i="33"/>
  <c r="I20" i="33"/>
  <c r="E21" i="33"/>
  <c r="F21" i="33"/>
  <c r="H21" i="33"/>
  <c r="I21" i="33"/>
  <c r="E18" i="32"/>
  <c r="F18" i="32" s="1"/>
  <c r="H18" i="32"/>
  <c r="I18" i="32"/>
  <c r="E19" i="32"/>
  <c r="F19" i="32"/>
  <c r="H19" i="32"/>
  <c r="I19" i="32"/>
  <c r="E20" i="32"/>
  <c r="F20" i="32" s="1"/>
  <c r="H20" i="32"/>
  <c r="I20" i="32"/>
  <c r="E21" i="32"/>
  <c r="F21" i="32" s="1"/>
  <c r="H21" i="32"/>
  <c r="E18" i="31"/>
  <c r="F18" i="31" s="1"/>
  <c r="H18" i="31"/>
  <c r="H18" i="30" s="1"/>
  <c r="I18" i="30" s="1"/>
  <c r="I18" i="31"/>
  <c r="E19" i="31"/>
  <c r="F19" i="31" s="1"/>
  <c r="H19" i="31"/>
  <c r="H19" i="30" s="1"/>
  <c r="I19" i="30" s="1"/>
  <c r="I19" i="31"/>
  <c r="E20" i="31"/>
  <c r="F20" i="31" s="1"/>
  <c r="H20" i="31"/>
  <c r="H20" i="30" s="1"/>
  <c r="I20" i="30" s="1"/>
  <c r="I20" i="31"/>
  <c r="E21" i="31"/>
  <c r="F21" i="31"/>
  <c r="H21" i="31"/>
  <c r="I21" i="31"/>
  <c r="E18" i="28"/>
  <c r="F18" i="28" s="1"/>
  <c r="H18" i="28"/>
  <c r="I18" i="28" s="1"/>
  <c r="E19" i="28"/>
  <c r="F19" i="28" s="1"/>
  <c r="H19" i="28"/>
  <c r="I19" i="28" s="1"/>
  <c r="E20" i="28"/>
  <c r="F20" i="28" s="1"/>
  <c r="H20" i="28"/>
  <c r="I20" i="28" s="1"/>
  <c r="E21" i="28"/>
  <c r="F21" i="28"/>
  <c r="H21" i="28"/>
  <c r="I21" i="28"/>
  <c r="E18" i="27"/>
  <c r="F18" i="27"/>
  <c r="H18" i="27"/>
  <c r="I18" i="27"/>
  <c r="E19" i="27"/>
  <c r="F19" i="27"/>
  <c r="H19" i="27"/>
  <c r="I19" i="27" s="1"/>
  <c r="E20" i="27"/>
  <c r="F20" i="27" s="1"/>
  <c r="H20" i="27"/>
  <c r="I20" i="27" s="1"/>
  <c r="E21" i="27"/>
  <c r="F21" i="27"/>
  <c r="E18" i="26"/>
  <c r="F18" i="26"/>
  <c r="H18" i="26"/>
  <c r="H18" i="29" s="1"/>
  <c r="I18" i="29" s="1"/>
  <c r="I18" i="26"/>
  <c r="E19" i="26"/>
  <c r="F19" i="26" s="1"/>
  <c r="H19" i="26"/>
  <c r="I19" i="26" s="1"/>
  <c r="F20" i="26"/>
  <c r="I20" i="26"/>
  <c r="F21" i="26"/>
  <c r="H21" i="26"/>
  <c r="E18" i="19"/>
  <c r="F18" i="19"/>
  <c r="H18" i="19"/>
  <c r="I18" i="19"/>
  <c r="E19" i="19"/>
  <c r="F19" i="19"/>
  <c r="H19" i="19"/>
  <c r="I19" i="19"/>
  <c r="E20" i="19"/>
  <c r="F20" i="19"/>
  <c r="H20" i="19"/>
  <c r="I20" i="19"/>
  <c r="E21" i="19"/>
  <c r="F21" i="19"/>
  <c r="H21" i="19"/>
  <c r="I21" i="19"/>
  <c r="E18" i="20"/>
  <c r="F18" i="20"/>
  <c r="H18" i="20"/>
  <c r="I18" i="20"/>
  <c r="E19" i="20"/>
  <c r="F19" i="20"/>
  <c r="H19" i="20"/>
  <c r="I19" i="20"/>
  <c r="E20" i="20"/>
  <c r="F20" i="20"/>
  <c r="H20" i="20"/>
  <c r="I20" i="20"/>
  <c r="E21" i="20"/>
  <c r="F21" i="20"/>
  <c r="H21" i="20"/>
  <c r="I21" i="20"/>
  <c r="E18" i="21"/>
  <c r="F18" i="21"/>
  <c r="H18" i="21"/>
  <c r="I18" i="21"/>
  <c r="E19" i="21"/>
  <c r="F19" i="21"/>
  <c r="H19" i="21"/>
  <c r="I19" i="21"/>
  <c r="E20" i="21"/>
  <c r="F20" i="21"/>
  <c r="H20" i="21"/>
  <c r="I20" i="21"/>
  <c r="E21" i="21"/>
  <c r="F21" i="21"/>
  <c r="H21" i="21"/>
  <c r="I21" i="21"/>
  <c r="E18" i="4"/>
  <c r="F18" i="4"/>
  <c r="H18" i="4"/>
  <c r="I18" i="4"/>
  <c r="E19" i="4"/>
  <c r="F19" i="4"/>
  <c r="H19" i="4"/>
  <c r="I19" i="4"/>
  <c r="E20" i="4"/>
  <c r="F20" i="4"/>
  <c r="H20" i="4"/>
  <c r="I20" i="4"/>
  <c r="E21" i="4"/>
  <c r="F21" i="4"/>
  <c r="H21" i="4"/>
  <c r="I21" i="4"/>
  <c r="E18" i="3"/>
  <c r="F18" i="3"/>
  <c r="H18" i="3"/>
  <c r="I18" i="3"/>
  <c r="E19" i="3"/>
  <c r="F19" i="3"/>
  <c r="H19" i="3"/>
  <c r="I19" i="3"/>
  <c r="E20" i="3"/>
  <c r="F20" i="3"/>
  <c r="H20" i="3"/>
  <c r="I20" i="3"/>
  <c r="E21" i="3"/>
  <c r="F21" i="3"/>
  <c r="H21" i="3"/>
  <c r="I21" i="3"/>
  <c r="E18" i="72"/>
  <c r="F18" i="72"/>
  <c r="H18" i="72"/>
  <c r="I18" i="72"/>
  <c r="E19" i="72"/>
  <c r="F19" i="72"/>
  <c r="H19" i="72"/>
  <c r="I19" i="72"/>
  <c r="E20" i="72"/>
  <c r="F20" i="72"/>
  <c r="H20" i="72"/>
  <c r="I20" i="72"/>
  <c r="E21" i="72"/>
  <c r="F21" i="72"/>
  <c r="H21" i="72"/>
  <c r="I21" i="72"/>
  <c r="C18" i="30"/>
  <c r="D18" i="30"/>
  <c r="C19" i="30"/>
  <c r="D19" i="30"/>
  <c r="E19" i="30" s="1"/>
  <c r="F19" i="30" s="1"/>
  <c r="C20" i="30"/>
  <c r="D20" i="30"/>
  <c r="E20" i="30"/>
  <c r="F20" i="30"/>
  <c r="C21" i="30"/>
  <c r="D21" i="30"/>
  <c r="E21" i="30" s="1"/>
  <c r="F21" i="30" s="1"/>
  <c r="C18" i="29"/>
  <c r="D18" i="29"/>
  <c r="C19" i="29"/>
  <c r="D19" i="29"/>
  <c r="D19" i="34" s="1"/>
  <c r="C20" i="29"/>
  <c r="D20" i="29"/>
  <c r="C21" i="29"/>
  <c r="D21" i="29"/>
  <c r="E21" i="29"/>
  <c r="F21" i="29"/>
  <c r="H21" i="29"/>
  <c r="I21" i="29"/>
  <c r="C18" i="18"/>
  <c r="C18" i="34" s="1"/>
  <c r="D18" i="18"/>
  <c r="E18" i="18"/>
  <c r="F18" i="18"/>
  <c r="H18" i="18"/>
  <c r="I18" i="18"/>
  <c r="C19" i="18"/>
  <c r="D19" i="18"/>
  <c r="E19" i="18"/>
  <c r="F19" i="18"/>
  <c r="H19" i="18"/>
  <c r="I19" i="18"/>
  <c r="C20" i="18"/>
  <c r="D20" i="18"/>
  <c r="E20" i="18"/>
  <c r="F20" i="18"/>
  <c r="H20" i="18"/>
  <c r="I20" i="18"/>
  <c r="C21" i="18"/>
  <c r="C21" i="34" s="1"/>
  <c r="D21" i="18"/>
  <c r="E21" i="18"/>
  <c r="F21" i="18"/>
  <c r="H21" i="18"/>
  <c r="I21" i="18"/>
  <c r="C18" i="1"/>
  <c r="D18" i="1"/>
  <c r="E18" i="1"/>
  <c r="F18" i="1"/>
  <c r="G18" i="1"/>
  <c r="G18" i="34" s="1"/>
  <c r="I18" i="34" s="1"/>
  <c r="H18" i="1"/>
  <c r="I18" i="1"/>
  <c r="C19" i="1"/>
  <c r="D19" i="1"/>
  <c r="E19" i="1"/>
  <c r="F19" i="1"/>
  <c r="G19" i="1"/>
  <c r="G19" i="34" s="1"/>
  <c r="I19" i="34" s="1"/>
  <c r="H19" i="1"/>
  <c r="I19" i="1"/>
  <c r="C20" i="1"/>
  <c r="D20" i="1"/>
  <c r="E20" i="1"/>
  <c r="F20" i="1"/>
  <c r="G20" i="1"/>
  <c r="G20" i="34" s="1"/>
  <c r="I20" i="34" s="1"/>
  <c r="H20" i="1"/>
  <c r="I20" i="1"/>
  <c r="C21" i="1"/>
  <c r="D21" i="1"/>
  <c r="E21" i="1"/>
  <c r="F21" i="1"/>
  <c r="G21" i="1"/>
  <c r="G21" i="34" s="1"/>
  <c r="I21" i="34" s="1"/>
  <c r="H21" i="1"/>
  <c r="I21" i="1"/>
  <c r="H18" i="34"/>
  <c r="H19" i="34"/>
  <c r="H20" i="34"/>
  <c r="H21" i="34"/>
  <c r="C16" i="30"/>
  <c r="D16" i="30"/>
  <c r="C17" i="30"/>
  <c r="D17" i="30"/>
  <c r="C16" i="29"/>
  <c r="D16" i="29"/>
  <c r="C17" i="29"/>
  <c r="D17" i="29"/>
  <c r="D17" i="34" s="1"/>
  <c r="C16" i="18"/>
  <c r="D16" i="18"/>
  <c r="E16" i="18"/>
  <c r="F16" i="18"/>
  <c r="C17" i="18"/>
  <c r="D17" i="18"/>
  <c r="E17" i="18"/>
  <c r="F17" i="18"/>
  <c r="C16" i="1"/>
  <c r="D16" i="1"/>
  <c r="E16" i="1"/>
  <c r="F16" i="1"/>
  <c r="G16" i="1"/>
  <c r="G16" i="34" s="1"/>
  <c r="C17" i="1"/>
  <c r="D17" i="1"/>
  <c r="E17" i="1"/>
  <c r="F17" i="1"/>
  <c r="G17" i="1"/>
  <c r="G17" i="34" s="1"/>
  <c r="H17" i="33"/>
  <c r="E17" i="33"/>
  <c r="F17" i="33" s="1"/>
  <c r="H16" i="33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E17" i="26"/>
  <c r="F17" i="26" s="1"/>
  <c r="H16" i="26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E16" i="21"/>
  <c r="F16" i="21" s="1"/>
  <c r="H17" i="4"/>
  <c r="I17" i="4" s="1"/>
  <c r="E17" i="4"/>
  <c r="F17" i="4" s="1"/>
  <c r="H16" i="4"/>
  <c r="I16" i="4" s="1"/>
  <c r="E16" i="4"/>
  <c r="F16" i="4" s="1"/>
  <c r="E16" i="3"/>
  <c r="F16" i="3"/>
  <c r="H16" i="3"/>
  <c r="I16" i="3"/>
  <c r="E17" i="3"/>
  <c r="F17" i="3"/>
  <c r="H17" i="3"/>
  <c r="I17" i="3"/>
  <c r="E16" i="72"/>
  <c r="F16" i="72"/>
  <c r="H16" i="72"/>
  <c r="I16" i="72"/>
  <c r="E17" i="72"/>
  <c r="F17" i="72"/>
  <c r="H17" i="72"/>
  <c r="I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/>
  <c r="E9" i="3"/>
  <c r="F9" i="3" s="1"/>
  <c r="H9" i="3"/>
  <c r="I9" i="3" s="1"/>
  <c r="E10" i="3"/>
  <c r="F10" i="3" s="1"/>
  <c r="H10" i="3"/>
  <c r="I10" i="3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D11" i="30"/>
  <c r="C11" i="30"/>
  <c r="D10" i="30"/>
  <c r="C10" i="30"/>
  <c r="D9" i="30"/>
  <c r="C9" i="30"/>
  <c r="E9" i="30" s="1"/>
  <c r="F9" i="30" s="1"/>
  <c r="D8" i="30"/>
  <c r="C8" i="30"/>
  <c r="E8" i="30" s="1"/>
  <c r="F8" i="30" s="1"/>
  <c r="D7" i="30"/>
  <c r="C7" i="30"/>
  <c r="D6" i="30"/>
  <c r="C6" i="30"/>
  <c r="D5" i="30"/>
  <c r="C5" i="30"/>
  <c r="C4" i="30"/>
  <c r="E4" i="30" s="1"/>
  <c r="F4" i="30" s="1"/>
  <c r="D15" i="29"/>
  <c r="C15" i="29"/>
  <c r="D14" i="29"/>
  <c r="C14" i="29"/>
  <c r="E14" i="29" s="1"/>
  <c r="F14" i="29" s="1"/>
  <c r="D13" i="29"/>
  <c r="C13" i="29"/>
  <c r="D12" i="29"/>
  <c r="C12" i="29"/>
  <c r="D11" i="29"/>
  <c r="C11" i="29"/>
  <c r="D10" i="29"/>
  <c r="C10" i="29"/>
  <c r="E10" i="29" s="1"/>
  <c r="F10" i="29" s="1"/>
  <c r="D9" i="29"/>
  <c r="C9" i="29"/>
  <c r="D8" i="29"/>
  <c r="C8" i="29"/>
  <c r="D7" i="29"/>
  <c r="C7" i="29"/>
  <c r="D6" i="29"/>
  <c r="C6" i="29"/>
  <c r="D5" i="29"/>
  <c r="C5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C4" i="18"/>
  <c r="E11" i="30"/>
  <c r="F11" i="30" s="1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E9" i="18"/>
  <c r="F9" i="18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D4" i="34" s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16" i="30" l="1"/>
  <c r="F16" i="30" s="1"/>
  <c r="E18" i="30"/>
  <c r="F18" i="30" s="1"/>
  <c r="H21" i="30"/>
  <c r="I21" i="30" s="1"/>
  <c r="E17" i="30"/>
  <c r="F17" i="30" s="1"/>
  <c r="E15" i="30"/>
  <c r="F15" i="30" s="1"/>
  <c r="I21" i="32"/>
  <c r="D11" i="34"/>
  <c r="D21" i="34"/>
  <c r="E21" i="34" s="1"/>
  <c r="F21" i="34" s="1"/>
  <c r="D15" i="34"/>
  <c r="D18" i="34"/>
  <c r="E18" i="34" s="1"/>
  <c r="F18" i="34" s="1"/>
  <c r="D9" i="34"/>
  <c r="E13" i="30"/>
  <c r="F13" i="30" s="1"/>
  <c r="D12" i="34"/>
  <c r="D7" i="34"/>
  <c r="D13" i="34"/>
  <c r="D8" i="34"/>
  <c r="D14" i="34"/>
  <c r="E10" i="30"/>
  <c r="F10" i="30" s="1"/>
  <c r="D16" i="34"/>
  <c r="D10" i="34"/>
  <c r="E12" i="30"/>
  <c r="F12" i="30" s="1"/>
  <c r="D20" i="34"/>
  <c r="D6" i="34"/>
  <c r="D2" i="30"/>
  <c r="E6" i="30"/>
  <c r="F6" i="30" s="1"/>
  <c r="D5" i="34"/>
  <c r="E5" i="30"/>
  <c r="F5" i="30" s="1"/>
  <c r="C20" i="34"/>
  <c r="E20" i="34" s="1"/>
  <c r="F20" i="34" s="1"/>
  <c r="C16" i="34"/>
  <c r="H15" i="29"/>
  <c r="I15" i="29" s="1"/>
  <c r="H9" i="29"/>
  <c r="I9" i="29" s="1"/>
  <c r="H6" i="29"/>
  <c r="I6" i="29" s="1"/>
  <c r="E20" i="29"/>
  <c r="F20" i="29" s="1"/>
  <c r="E13" i="29"/>
  <c r="F13" i="29" s="1"/>
  <c r="E16" i="29"/>
  <c r="F16" i="29" s="1"/>
  <c r="E5" i="29"/>
  <c r="F5" i="29" s="1"/>
  <c r="C19" i="34"/>
  <c r="E19" i="34" s="1"/>
  <c r="F19" i="34" s="1"/>
  <c r="H12" i="29"/>
  <c r="I12" i="29" s="1"/>
  <c r="H7" i="29"/>
  <c r="I7" i="29" s="1"/>
  <c r="H20" i="29"/>
  <c r="I20" i="29" s="1"/>
  <c r="H19" i="29"/>
  <c r="I19" i="29" s="1"/>
  <c r="E19" i="29"/>
  <c r="F19" i="29" s="1"/>
  <c r="E18" i="29"/>
  <c r="F18" i="29" s="1"/>
  <c r="E17" i="29"/>
  <c r="F17" i="29" s="1"/>
  <c r="E12" i="29"/>
  <c r="F12" i="29" s="1"/>
  <c r="E11" i="29"/>
  <c r="F11" i="29" s="1"/>
  <c r="E9" i="29"/>
  <c r="F9" i="29" s="1"/>
  <c r="E8" i="29"/>
  <c r="F8" i="29" s="1"/>
  <c r="C17" i="34"/>
  <c r="E17" i="34" s="1"/>
  <c r="F17" i="34" s="1"/>
  <c r="C9" i="34"/>
  <c r="E9" i="34" s="1"/>
  <c r="F9" i="34" s="1"/>
  <c r="G2" i="34"/>
  <c r="E6" i="29"/>
  <c r="F6" i="29" s="1"/>
  <c r="D2" i="29"/>
  <c r="E5" i="18"/>
  <c r="F5" i="18" s="1"/>
  <c r="C5" i="34"/>
  <c r="E5" i="34" s="1"/>
  <c r="F5" i="34" s="1"/>
  <c r="E6" i="18"/>
  <c r="F6" i="18" s="1"/>
  <c r="C6" i="34"/>
  <c r="E6" i="34" s="1"/>
  <c r="F6" i="34" s="1"/>
  <c r="E7" i="18"/>
  <c r="F7" i="18" s="1"/>
  <c r="C7" i="34"/>
  <c r="E8" i="18"/>
  <c r="F8" i="18" s="1"/>
  <c r="C8" i="34"/>
  <c r="E10" i="18"/>
  <c r="F10" i="18" s="1"/>
  <c r="C10" i="34"/>
  <c r="E11" i="18"/>
  <c r="F11" i="18" s="1"/>
  <c r="C11" i="34"/>
  <c r="E11" i="34" s="1"/>
  <c r="F11" i="34" s="1"/>
  <c r="E12" i="18"/>
  <c r="F12" i="18" s="1"/>
  <c r="C12" i="34"/>
  <c r="E13" i="18"/>
  <c r="F13" i="18" s="1"/>
  <c r="C13" i="34"/>
  <c r="E14" i="18"/>
  <c r="F14" i="18" s="1"/>
  <c r="C14" i="34"/>
  <c r="E15" i="18"/>
  <c r="F15" i="18" s="1"/>
  <c r="C15" i="34"/>
  <c r="E15" i="34" s="1"/>
  <c r="F15" i="34" s="1"/>
  <c r="H10" i="29"/>
  <c r="I10" i="29" s="1"/>
  <c r="H13" i="29"/>
  <c r="I13" i="29" s="1"/>
  <c r="I16" i="26"/>
  <c r="H16" i="29"/>
  <c r="I16" i="29" s="1"/>
  <c r="I17" i="26"/>
  <c r="H17" i="29"/>
  <c r="I17" i="29" s="1"/>
  <c r="H6" i="30"/>
  <c r="I6" i="30" s="1"/>
  <c r="I6" i="33"/>
  <c r="I16" i="33"/>
  <c r="H16" i="30"/>
  <c r="I16" i="30" s="1"/>
  <c r="I17" i="33"/>
  <c r="H17" i="30"/>
  <c r="I17" i="30" s="1"/>
  <c r="I17" i="21"/>
  <c r="H17" i="18"/>
  <c r="I17" i="18" s="1"/>
  <c r="I16" i="21"/>
  <c r="H16" i="18"/>
  <c r="I16" i="18" s="1"/>
  <c r="E4" i="18"/>
  <c r="F4" i="18" s="1"/>
  <c r="C4" i="34"/>
  <c r="E4" i="34" s="1"/>
  <c r="F4" i="34" s="1"/>
  <c r="H17" i="1"/>
  <c r="I17" i="1" s="1"/>
  <c r="H17" i="34"/>
  <c r="I17" i="34" s="1"/>
  <c r="H16" i="1"/>
  <c r="I16" i="1" s="1"/>
  <c r="H16" i="34"/>
  <c r="I16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G2" i="1"/>
  <c r="E8" i="1"/>
  <c r="E11" i="1"/>
  <c r="F11" i="1" s="1"/>
  <c r="E9" i="1"/>
  <c r="F9" i="1" s="1"/>
  <c r="E10" i="1"/>
  <c r="F10" i="1" s="1"/>
  <c r="E12" i="1"/>
  <c r="F12" i="1" s="1"/>
  <c r="E5" i="1"/>
  <c r="F5" i="1" s="1"/>
  <c r="E13" i="1"/>
  <c r="F13" i="1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F8" i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14" i="34" l="1"/>
  <c r="F14" i="34" s="1"/>
  <c r="E7" i="34"/>
  <c r="F7" i="34" s="1"/>
  <c r="E13" i="34"/>
  <c r="F13" i="34" s="1"/>
  <c r="D2" i="34"/>
  <c r="E12" i="34"/>
  <c r="F12" i="34" s="1"/>
  <c r="E10" i="34"/>
  <c r="F10" i="34" s="1"/>
  <c r="E16" i="34"/>
  <c r="F16" i="34" s="1"/>
  <c r="E8" i="34"/>
  <c r="F8" i="34" s="1"/>
  <c r="E2" i="29"/>
  <c r="F2" i="29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<sst xmlns="http://schemas.openxmlformats.org/spreadsheetml/2006/main" count="401" uniqueCount="148">
  <si>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</si>
  <si>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</si>
  <si>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</si>
  <si>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</si>
  <si>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</si>
  <si>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</si>
  <si>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</si>
  <si>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</si>
  <si>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</si>
  <si>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</si>
  <si>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</si>
  <si>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</si>
  <si>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</si>
  <si>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</si>
  <si>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</si>
  <si>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</si>
  <si>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</si>
  <si>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</si>
  <si>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</si>
  <si>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</si>
  <si>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</si>
  <si>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</si>
  <si>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</si>
  <si>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</si>
  <si>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</si>
  <si>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</si>
  <si>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</si>
  <si>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</si>
  <si>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1.Site is not communicating</t>
  </si>
  <si>
    <t>1.Site is only producing 0.4kW</t>
  </si>
  <si>
    <t>1.Site is offline whole month</t>
  </si>
  <si>
    <t>May Actual v. Expected</t>
  </si>
  <si>
    <t>May Actual v. Forecasted</t>
  </si>
  <si>
    <t xml:space="preserve">1.Site is back online from 05/06 </t>
  </si>
  <si>
    <t>June Actual v. Expected</t>
  </si>
  <si>
    <t>June Actual v. Forecasted</t>
  </si>
  <si>
    <t>1. 1 Micro-inverter -202051003663 offline since 6/8/24. Micro inverter being RMA'd</t>
  </si>
  <si>
    <t>1. SR086851</t>
  </si>
  <si>
    <t>1. 25 Micro-inverters offine since 6/25/2024 at 2:05 pm. Micro-inverters being RMA'd</t>
  </si>
  <si>
    <t>1. 	SR087006</t>
  </si>
  <si>
    <t>1. 12 microinverters are offline. Enphase dashboard does not have microinverters assigned</t>
  </si>
  <si>
    <t>1. SR086370</t>
  </si>
  <si>
    <t>July Actual v. Expected</t>
  </si>
  <si>
    <t>July Actual v. Forecasted</t>
  </si>
  <si>
    <t>1. Gateway has not reported since 7/27.</t>
  </si>
  <si>
    <t>1. SR091354</t>
  </si>
  <si>
    <t>1.  The two Microinverters are not reporting on 7/12/24 possibly offline</t>
  </si>
  <si>
    <t>1. SR087721</t>
  </si>
  <si>
    <t>1. The Gateway is not reporting from 07/03.</t>
  </si>
  <si>
    <t>1. SR087352</t>
  </si>
  <si>
    <t>1. 7 Microinverters are not reporting and are offline since 07/17.</t>
  </si>
  <si>
    <t>1. SR088463, SR089660</t>
  </si>
  <si>
    <t>1. 25 Microinverters are offline since 06/25.</t>
  </si>
  <si>
    <t>1. SR087006</t>
  </si>
  <si>
    <t>1. Site is not reporting since 09/14/2023.</t>
  </si>
  <si>
    <t>1. SR086377</t>
  </si>
  <si>
    <t>1. Site is offline since 07/28/2023 and Gateway is not reporting from 05/14/2024.</t>
  </si>
  <si>
    <t>1. SR086379</t>
  </si>
  <si>
    <t>August Actual v. Expected</t>
  </si>
  <si>
    <t>August Actual v. Forecasted</t>
  </si>
  <si>
    <t>1. 44 microinverters are tripping offline on 08/02 and self-resolve the next day.</t>
  </si>
  <si>
    <t>1. SR088539</t>
  </si>
  <si>
    <t>1.  The two Microinverters are not reporting on 8/08/24 possibly offline</t>
  </si>
  <si>
    <t xml:space="preserve">1.SR087721 </t>
  </si>
  <si>
    <t>1. The Gateway is not reporting from 07/03 and back on 08/02/2024.</t>
  </si>
  <si>
    <t>1. Site is not reporting since 09/14/2023 and back on 08/29/2024.</t>
  </si>
  <si>
    <t>September Actual v. Expected</t>
  </si>
  <si>
    <t>September Actual v. Forecasted</t>
  </si>
  <si>
    <t>1. Site is reporting its production at the meter as a negative value, but inverter production is positive from 09/11.</t>
  </si>
  <si>
    <t>1. SR090283</t>
  </si>
  <si>
    <t>1.  The two Microinverters are not reporting from 7/12/24 and back on 9/12/24</t>
  </si>
  <si>
    <t>1. 90 Microinverters are offline from 09/13 and back online on 09/16.</t>
  </si>
  <si>
    <t>1. SR090374</t>
  </si>
  <si>
    <t>1. Site is offline on 09/06/2024.</t>
  </si>
  <si>
    <r>
      <rPr>
        <sz val="11"/>
        <color rgb="FF000000"/>
        <rFont val="Calibri"/>
      </rPr>
      <t>1.</t>
    </r>
    <r>
      <rPr>
        <sz val="12"/>
        <color rgb="FF000000"/>
        <rFont val="Calibri"/>
      </rPr>
      <t xml:space="preserve"> </t>
    </r>
    <r>
      <rPr>
        <sz val="11"/>
        <color rgb="FF000000"/>
        <rFont val="Calibri"/>
      </rPr>
      <t>SR090049</t>
    </r>
  </si>
  <si>
    <t>October Actual v. Expected</t>
  </si>
  <si>
    <t>October Actual v. Forecasted</t>
  </si>
  <si>
    <t xml:space="preserve"> 1. Site experienced daily power generation off by command alerts from 11/14/24. Issue resolved on 11/24
</t>
  </si>
  <si>
    <t>1. SR093471</t>
  </si>
  <si>
    <t>1. 7 micro inverters back online on 10/02</t>
  </si>
  <si>
    <t>1. SR088463</t>
  </si>
  <si>
    <t>1. Site was offline from 10/10 due to Hurricane and was back online on 10/16
2. 6 micro inverters offline from 10/22</t>
  </si>
  <si>
    <t>1. SR091979
2. SR092433</t>
  </si>
  <si>
    <t>1. Site was re-energized on 10/26, Strings 1 &amp; 5 remain offline for further troubleshooting</t>
  </si>
  <si>
    <t>1. SR092747</t>
  </si>
  <si>
    <t>November Actual v. Expected</t>
  </si>
  <si>
    <t>November Actual v. Forecasted</t>
  </si>
  <si>
    <t>1. SIte regained communication on 11/14</t>
  </si>
  <si>
    <t>1. 	SR091354</t>
  </si>
  <si>
    <t>1. 6 micro inverters offline from 10/22</t>
  </si>
  <si>
    <t>1. SR092433</t>
  </si>
  <si>
    <t>December Actual v. Expected</t>
  </si>
  <si>
    <t>December Actual v. Forecasted</t>
  </si>
  <si>
    <t>1.17 microinverters reporting 'AC Voltage &amp; Frequency Out of Range' and 'AC Voltage &amp; Frequency Low on 12/19 and back online on 12/22</t>
  </si>
  <si>
    <t>1.	SR094970</t>
  </si>
  <si>
    <t>1.	SR092433</t>
  </si>
  <si>
    <t>1.	SR087006</t>
  </si>
  <si>
    <t>1.Strings 1 &amp; 5 back online on 12/06</t>
  </si>
  <si>
    <t>1.	SR092747</t>
  </si>
  <si>
    <t>1. No data available</t>
  </si>
  <si>
    <t>Portfolio:</t>
  </si>
  <si>
    <t>JLL</t>
  </si>
  <si>
    <t>Site DAS Name</t>
  </si>
  <si>
    <t>Update</t>
  </si>
  <si>
    <t>DAS</t>
  </si>
  <si>
    <t>Bank of America - AZW-167 (Bullhead City, AZ)</t>
  </si>
  <si>
    <t>Bullhead</t>
  </si>
  <si>
    <t>AZ</t>
  </si>
  <si>
    <t>Enlighten</t>
  </si>
  <si>
    <t>Bank of America - AZW-166 (Peoria, AZ)</t>
  </si>
  <si>
    <t>Peoria</t>
  </si>
  <si>
    <t>Bank of America - AZ5-135 (Midvale Park, AZ)</t>
  </si>
  <si>
    <t>Tucson</t>
  </si>
  <si>
    <t>Bank of America - FL7-551 (Hialeah Miami Springs, FL)</t>
  </si>
  <si>
    <t>Hialeah</t>
  </si>
  <si>
    <t>FL</t>
  </si>
  <si>
    <t>Bank of America - FLW-B75 (Jacksonville, FL)</t>
  </si>
  <si>
    <t>Jacksonville</t>
  </si>
  <si>
    <t>Bank of America - FLW-B89 (Miami Gardens, FL)</t>
  </si>
  <si>
    <t>Miami Gardens</t>
  </si>
  <si>
    <t>Bank of America - FL4-199 (North Fort Myers, FL)</t>
  </si>
  <si>
    <t>Fort Myers</t>
  </si>
  <si>
    <t>Bank of America - FLW-D01 (Orlando, FL)</t>
  </si>
  <si>
    <t>Orlando</t>
  </si>
  <si>
    <t>Bank of America - FL5-644 (Port St. Lucie, FL)</t>
  </si>
  <si>
    <t>Port St. Lucie</t>
  </si>
  <si>
    <t>Bank of America - FL2-201 (Tampa, FL)</t>
  </si>
  <si>
    <t>Tampa</t>
  </si>
  <si>
    <t>Bank of America - GA7-247 (Roswell, GA)</t>
  </si>
  <si>
    <t>Roswell</t>
  </si>
  <si>
    <t>GA</t>
  </si>
  <si>
    <t>Bank of America - NC2-225 (Charlotte, NC)</t>
  </si>
  <si>
    <t>Charlotte</t>
  </si>
  <si>
    <t>NC</t>
  </si>
  <si>
    <t>Bank of America - NC7-430 (Raleigh, NC)</t>
  </si>
  <si>
    <t>Raleigh</t>
  </si>
  <si>
    <t>Bank of America - TN3-844 (Cordova, TN)</t>
  </si>
  <si>
    <t>Cordova</t>
  </si>
  <si>
    <t>TN</t>
  </si>
  <si>
    <t>Bank of America - TX9-794 (Austin, TX)</t>
  </si>
  <si>
    <t>Austin</t>
  </si>
  <si>
    <t>TX</t>
  </si>
  <si>
    <t>Bank of America - TX2-736 (Frisco, TX)</t>
  </si>
  <si>
    <t>Frisco</t>
  </si>
  <si>
    <t>Bank of America - TX5-204 (Copperfield, TX) (240 VAC High Leg Delta) (FC - Copperfield (High Leg Delta))</t>
  </si>
  <si>
    <t>Copperfield</t>
  </si>
  <si>
    <t>Bank of America - TX2-796 (Plano, TX)</t>
  </si>
  <si>
    <t>Plano Bldg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</si>
</sst>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scheme val="minor"/>
    </font>
    <font>
      <sz val="12"/>
      <color rgb="FF000000"/>
      <name val="Calibri"/>
    </font>
    <font>
      <sz val="11"/>
      <color rgb="FF000000"/>
      <name val="Calibri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22" fillId="0" borderId="12" xfId="43" applyFont="1" applyBorder="1"/>
    <xf numFmtId="0" fontId="22" fillId="0" borderId="13" xfId="43" applyFont="1" applyBorder="1"/>
    <xf numFmtId="164" fontId="0" fillId="0" borderId="0" xfId="0" applyNumberFormat="1"/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49" fontId="23" fillId="0" borderId="0" xfId="0" applyNumberFormat="1" applyFont="1" applyAlignment="1">
      <alignment horizontal="left" vertical="top" wrapText="1"/>
    </xf>
    <xf numFmtId="49" fontId="30" fillId="38" borderId="0" xfId="2" applyNumberFormat="1" applyFont="1" applyFill="1" applyBorder="1" applyAlignment="1">
      <alignment horizontal="left" vertical="top" wrapText="1"/>
    </xf>
    <xf numFmtId="0" fontId="35" fillId="0" borderId="0" xfId="0" applyFont="1" applyAlignment="1">
      <alignment horizontal="left" vertical="top"/>
    </xf>
    <xf numFmtId="49" fontId="36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vertical="top" wrapText="1"/>
    </xf>
    <xf numFmtId="49" fontId="27" fillId="0" borderId="0" xfId="0" applyNumberFormat="1" applyFont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1" totalsRowShown="0">
  <autoFilter ref="A3:E21" xr:uid="{C9C95D9E-67ED-41E0-9F41-9C3DA4ACF4CD}"/>
  <sortState xmlns:xlrd2="http://schemas.microsoft.com/office/spreadsheetml/2017/richdata2" ref="A4:E21">
    <sortCondition ref="C3:C21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0"/>
  <sheetViews>
    <sheetView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JLL</v>
      </c>
      <c r="B1" s="56"/>
      <c r="C1" s="56"/>
      <c r="D1" s="57" t="s">
        <v>0</v>
      </c>
      <c r="E1" s="57"/>
      <c r="F1" s="57"/>
      <c r="G1" s="55" t="s">
        <v>1</v>
      </c>
      <c r="H1" s="55"/>
      <c r="I1" s="55"/>
    </row>
    <row r="2" spans="1:9" ht="19.5" customHeight="1">
      <c r="A2" s="58" t="s">
        <v>2</v>
      </c>
      <c r="B2" s="58"/>
      <c r="C2" s="5">
        <f>SUM(C4:C98)</f>
        <v>334490.11699999997</v>
      </c>
      <c r="D2" s="5">
        <f>SUM(D4:D98)</f>
        <v>0</v>
      </c>
      <c r="E2" s="5">
        <f>C2-D2</f>
        <v>334490.11699999997</v>
      </c>
      <c r="F2" s="6">
        <f>IFERROR(E2/D2, 0)</f>
        <v>0</v>
      </c>
      <c r="G2" s="5">
        <f>SUM(G4:G98)</f>
        <v>0</v>
      </c>
      <c r="H2" s="7">
        <f>C2-G2</f>
        <v>334490.11699999997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21">Sites[Site]</f>
        <v>Bullhead</v>
      </c>
      <c r="B4" s="9" t="str" cm="1">
        <f t="array" ref="B4:B21">Sites[State]</f>
        <v>AZ</v>
      </c>
      <c r="C4" s="24">
        <f>SUM('1st Qtr'!C4, '2nd Qtr'!C4, '3rd Qtr'!C4, '4th Qtr'!C4)</f>
        <v>1058.008</v>
      </c>
      <c r="D4" s="13">
        <f>SUM('1st Qtr'!D4, '2nd Qtr'!D4, '3rd Qtr'!D4, '4th Qtr'!D4)</f>
        <v>0</v>
      </c>
      <c r="E4" s="13">
        <f>IF(AND(ISNUMBER(C4),ISNUMBER(D4)), C4-D4, "")</f>
        <v>1058.008</v>
      </c>
      <c r="F4" s="14" t="str">
        <f>IFERROR(E4/D4, "")</f>
        <v/>
      </c>
      <c r="G4" s="15">
        <f>SUM('1st Qtr'!G4, '2nd Qtr'!G4, '3rd Qtr'!G4, '4th Qtr'!G4)</f>
        <v>0</v>
      </c>
      <c r="H4" s="15">
        <f>SUM('1st Qtr'!H4, '2nd Qtr'!H4, '3rd Qtr'!H4, '4th Qtr'!H4)</f>
        <v>1058.008</v>
      </c>
      <c r="I4" s="16" t="str">
        <f>IFERROR(H4/G4, "")</f>
        <v/>
      </c>
    </row>
    <row r="5" spans="1:9" ht="15.75">
      <c r="A5" s="17" t="str">
        <v>Peoria</v>
      </c>
      <c r="B5" s="10" t="str">
        <v>AZ</v>
      </c>
      <c r="C5" s="11">
        <f>SUM('1st Qtr'!C5, '2nd Qtr'!C5, '3rd Qtr'!C5, '4th Qtr'!C5)</f>
        <v>0</v>
      </c>
      <c r="D5" s="18">
        <f>SUM('1st Qtr'!D5, '2nd Qtr'!D5, '3rd Qtr'!D5, '4th Qtr'!D5)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SUM('1st Qtr'!G5, '2nd Qtr'!G5, '3rd Qtr'!G5, '4th Qtr'!G5)</f>
        <v>0</v>
      </c>
      <c r="H5" s="20">
        <f>SUM(Jan!H5, Feb!H5, Mar!H5)</f>
        <v>0</v>
      </c>
      <c r="I5" s="19" t="str">
        <f>IFERROR(H5/G5, "")</f>
        <v/>
      </c>
    </row>
    <row r="6" spans="1:9" ht="15.75">
      <c r="A6" s="12" t="str">
        <v>Tucson</v>
      </c>
      <c r="B6" s="9" t="str">
        <v>AZ</v>
      </c>
      <c r="C6" s="24">
        <f>SUM('1st Qtr'!C6, '2nd Qtr'!C6, '3rd Qtr'!C6, '4th Qtr'!C6)</f>
        <v>1683.58</v>
      </c>
      <c r="D6" s="13">
        <f>SUM('1st Qtr'!D6, '2nd Qtr'!D6, '3rd Qtr'!D6, '4th Qtr'!D6)</f>
        <v>0</v>
      </c>
      <c r="E6" s="13">
        <f t="shared" si="0"/>
        <v>1683.58</v>
      </c>
      <c r="F6" s="14" t="str">
        <f t="shared" ref="F6:F15" si="1">IFERROR(E6/D6, "")</f>
        <v/>
      </c>
      <c r="G6" s="15">
        <f>SUM('1st Qtr'!G6, '2nd Qtr'!G6, '3rd Qtr'!G6, '4th Qtr'!G6)</f>
        <v>0</v>
      </c>
      <c r="H6" s="15">
        <f>SUM(Jan!H6, Feb!H6, Mar!H6)</f>
        <v>0</v>
      </c>
      <c r="I6" s="16" t="str">
        <f t="shared" ref="I6:I15" si="2">IFERROR(H6/G6, "")</f>
        <v/>
      </c>
    </row>
    <row r="7" spans="1:9" ht="15.75">
      <c r="A7" s="17" t="str">
        <v>Hialeah</v>
      </c>
      <c r="B7" s="10" t="str">
        <v>FL</v>
      </c>
      <c r="C7" s="11">
        <f>SUM('1st Qtr'!C7, '2nd Qtr'!C7, '3rd Qtr'!C7, '4th Qtr'!C7)</f>
        <v>859.02200000000005</v>
      </c>
      <c r="D7" s="18">
        <f>SUM('1st Qtr'!D7, '2nd Qtr'!D7, '3rd Qtr'!D7, '4th Qtr'!D7)</f>
        <v>0</v>
      </c>
      <c r="E7" s="18">
        <f t="shared" si="0"/>
        <v>859.02200000000005</v>
      </c>
      <c r="F7" s="19" t="str">
        <f t="shared" si="1"/>
        <v/>
      </c>
      <c r="G7" s="20">
        <f>SUM('1st Qtr'!G7, '2nd Qtr'!G7, '3rd Qtr'!G7, '4th Qtr'!G7)</f>
        <v>0</v>
      </c>
      <c r="H7" s="20">
        <f>SUM(Jan!H7, Feb!H7, Mar!H7)</f>
        <v>0</v>
      </c>
      <c r="I7" s="19" t="str">
        <f t="shared" si="2"/>
        <v/>
      </c>
    </row>
    <row r="8" spans="1:9" ht="15.75">
      <c r="A8" s="12" t="str">
        <v>Jacksonville</v>
      </c>
      <c r="B8" s="9" t="str">
        <v>FL</v>
      </c>
      <c r="C8" s="24">
        <f>SUM('1st Qtr'!C8, '2nd Qtr'!C8, '3rd Qtr'!C8, '4th Qtr'!C8)</f>
        <v>834.82400000000007</v>
      </c>
      <c r="D8" s="13">
        <f>SUM('1st Qtr'!D8, '2nd Qtr'!D8, '3rd Qtr'!D8, '4th Qtr'!D8)</f>
        <v>0</v>
      </c>
      <c r="E8" s="13">
        <f t="shared" si="0"/>
        <v>834.82400000000007</v>
      </c>
      <c r="F8" s="14" t="str">
        <f t="shared" si="1"/>
        <v/>
      </c>
      <c r="G8" s="15">
        <f>SUM('1st Qtr'!G8, '2nd Qtr'!G8, '3rd Qtr'!G8, '4th Qtr'!G8)</f>
        <v>0</v>
      </c>
      <c r="H8" s="15">
        <f>SUM(Jan!H8, Feb!H8, Mar!H8)</f>
        <v>0</v>
      </c>
      <c r="I8" s="16" t="str">
        <f t="shared" si="2"/>
        <v/>
      </c>
    </row>
    <row r="9" spans="1:9" ht="15.75">
      <c r="A9" s="17" t="str">
        <v>Miami Gardens</v>
      </c>
      <c r="B9" s="10" t="str">
        <v>FL</v>
      </c>
      <c r="C9" s="11">
        <f>SUM('1st Qtr'!C9, '2nd Qtr'!C9, '3rd Qtr'!C9, '4th Qtr'!C9)</f>
        <v>770.42499999999995</v>
      </c>
      <c r="D9" s="18">
        <f>SUM('1st Qtr'!D9, '2nd Qtr'!D9, '3rd Qtr'!D9, '4th Qtr'!D9)</f>
        <v>0</v>
      </c>
      <c r="E9" s="18">
        <f t="shared" si="0"/>
        <v>770.42499999999995</v>
      </c>
      <c r="F9" s="19" t="str">
        <f t="shared" si="1"/>
        <v/>
      </c>
      <c r="G9" s="20">
        <f>SUM('1st Qtr'!G9, '2nd Qtr'!G9, '3rd Qtr'!G9, '4th Qtr'!G9)</f>
        <v>0</v>
      </c>
      <c r="H9" s="20">
        <f>SUM(Jan!H9, Feb!H9, Mar!H9)</f>
        <v>0</v>
      </c>
      <c r="I9" s="19" t="str">
        <f t="shared" si="2"/>
        <v/>
      </c>
    </row>
    <row r="10" spans="1:9" ht="15.75">
      <c r="A10" s="12" t="str">
        <v>Fort Myers</v>
      </c>
      <c r="B10" s="9" t="str">
        <v>FL</v>
      </c>
      <c r="C10" s="24">
        <f>SUM('1st Qtr'!C10, '2nd Qtr'!C10, '3rd Qtr'!C10, '4th Qtr'!C10)</f>
        <v>45073.39</v>
      </c>
      <c r="D10" s="13">
        <f>SUM('1st Qtr'!D10, '2nd Qtr'!D10, '3rd Qtr'!D10, '4th Qtr'!D10)</f>
        <v>0</v>
      </c>
      <c r="E10" s="13">
        <f t="shared" si="0"/>
        <v>45073.39</v>
      </c>
      <c r="F10" s="14" t="str">
        <f t="shared" si="1"/>
        <v/>
      </c>
      <c r="G10" s="15">
        <f>SUM('1st Qtr'!G10, '2nd Qtr'!G10, '3rd Qtr'!G10, '4th Qtr'!G10)</f>
        <v>0</v>
      </c>
      <c r="H10" s="15">
        <f>SUM(Jan!H10, Feb!H10, Mar!H10)</f>
        <v>0</v>
      </c>
      <c r="I10" s="16" t="str">
        <f t="shared" si="2"/>
        <v/>
      </c>
    </row>
    <row r="11" spans="1:9" ht="15.75">
      <c r="A11" s="17" t="str">
        <v>Orlando</v>
      </c>
      <c r="B11" s="10" t="str">
        <v>FL</v>
      </c>
      <c r="C11" s="11">
        <f>SUM('1st Qtr'!C11, '2nd Qtr'!C11, '3rd Qtr'!C11, '4th Qtr'!C11)</f>
        <v>43240.331000000006</v>
      </c>
      <c r="D11" s="18">
        <f>SUM('1st Qtr'!D11, '2nd Qtr'!D11, '3rd Qtr'!D11, '4th Qtr'!D11)</f>
        <v>0</v>
      </c>
      <c r="E11" s="18">
        <f t="shared" si="0"/>
        <v>43240.331000000006</v>
      </c>
      <c r="F11" s="19" t="str">
        <f t="shared" si="1"/>
        <v/>
      </c>
      <c r="G11" s="20">
        <f>SUM('1st Qtr'!G11, '2nd Qtr'!G11, '3rd Qtr'!G11, '4th Qtr'!G11)</f>
        <v>0</v>
      </c>
      <c r="H11" s="20">
        <f>SUM(Jan!H11, Feb!H11, Mar!H11)</f>
        <v>0</v>
      </c>
      <c r="I11" s="19" t="str">
        <f t="shared" si="2"/>
        <v/>
      </c>
    </row>
    <row r="12" spans="1:9" ht="15.75">
      <c r="A12" s="12" t="str">
        <v>Port St. Lucie</v>
      </c>
      <c r="B12" s="9" t="str">
        <v>FL</v>
      </c>
      <c r="C12" s="24">
        <f>SUM('1st Qtr'!C12, '2nd Qtr'!C12, '3rd Qtr'!C12, '4th Qtr'!C12)</f>
        <v>60318.707000000009</v>
      </c>
      <c r="D12" s="13">
        <f>SUM('1st Qtr'!D12, '2nd Qtr'!D12, '3rd Qtr'!D12, '4th Qtr'!D12)</f>
        <v>0</v>
      </c>
      <c r="E12" s="13">
        <f t="shared" si="0"/>
        <v>60318.707000000009</v>
      </c>
      <c r="F12" s="14" t="str">
        <f t="shared" si="1"/>
        <v/>
      </c>
      <c r="G12" s="15">
        <f>SUM('1st Qtr'!G12, '2nd Qtr'!G12, '3rd Qtr'!G12, '4th Qtr'!G12)</f>
        <v>0</v>
      </c>
      <c r="H12" s="15">
        <f>SUM(Jan!H12, Feb!H12, Mar!H12)</f>
        <v>0</v>
      </c>
      <c r="I12" s="16" t="str">
        <f t="shared" si="2"/>
        <v/>
      </c>
    </row>
    <row r="13" spans="1:9" ht="15.75">
      <c r="A13" s="17" t="str">
        <v>Tampa</v>
      </c>
      <c r="B13" s="10" t="str">
        <v>FL</v>
      </c>
      <c r="C13" s="11">
        <f>SUM('1st Qtr'!C13, '2nd Qtr'!C13, '3rd Qtr'!C13, '4th Qtr'!C13)</f>
        <v>25520.013000000006</v>
      </c>
      <c r="D13" s="18">
        <f>SUM('1st Qtr'!D13, '2nd Qtr'!D13, '3rd Qtr'!D13, '4th Qtr'!D13)</f>
        <v>0</v>
      </c>
      <c r="E13" s="18">
        <f t="shared" si="0"/>
        <v>25520.013000000006</v>
      </c>
      <c r="F13" s="19" t="str">
        <f t="shared" si="1"/>
        <v/>
      </c>
      <c r="G13" s="20">
        <f>SUM('1st Qtr'!G13, '2nd Qtr'!G13, '3rd Qtr'!G13, '4th Qtr'!G13)</f>
        <v>0</v>
      </c>
      <c r="H13" s="20">
        <f>SUM(Jan!H13, Feb!H13, Mar!H13)</f>
        <v>0</v>
      </c>
      <c r="I13" s="19" t="str">
        <f t="shared" si="2"/>
        <v/>
      </c>
    </row>
    <row r="14" spans="1:9" ht="15.75">
      <c r="A14" s="12" t="str">
        <v>Roswell</v>
      </c>
      <c r="B14" s="9" t="str">
        <v>GA</v>
      </c>
      <c r="C14" s="24">
        <f>SUM('1st Qtr'!C14, '2nd Qtr'!C14, '3rd Qtr'!C14, '4th Qtr'!C14)</f>
        <v>36857.78</v>
      </c>
      <c r="D14" s="13">
        <f>SUM('1st Qtr'!D14, '2nd Qtr'!D14, '3rd Qtr'!D14, '4th Qtr'!D14)</f>
        <v>0</v>
      </c>
      <c r="E14" s="13">
        <f t="shared" si="0"/>
        <v>36857.78</v>
      </c>
      <c r="F14" s="14" t="str">
        <f t="shared" si="1"/>
        <v/>
      </c>
      <c r="G14" s="15">
        <f>SUM('1st Qtr'!G14, '2nd Qtr'!G14, '3rd Qtr'!G14, '4th Qtr'!G14)</f>
        <v>0</v>
      </c>
      <c r="H14" s="15">
        <f>SUM(Jan!H14, Feb!H14, Mar!H14)</f>
        <v>0</v>
      </c>
      <c r="I14" s="16" t="str">
        <f t="shared" si="2"/>
        <v/>
      </c>
    </row>
    <row r="15" spans="1:9" ht="15.75">
      <c r="A15" s="17" t="str">
        <v>Charlotte</v>
      </c>
      <c r="B15" s="10" t="str">
        <v>NC</v>
      </c>
      <c r="C15" s="11">
        <f>SUM('1st Qtr'!C15, '2nd Qtr'!C15, '3rd Qtr'!C15, '4th Qtr'!C15)</f>
        <v>19746.186000000002</v>
      </c>
      <c r="D15" s="18">
        <f>SUM('1st Qtr'!D15, '2nd Qtr'!D15, '3rd Qtr'!D15, '4th Qtr'!D15)</f>
        <v>0</v>
      </c>
      <c r="E15" s="18">
        <f t="shared" si="0"/>
        <v>19746.186000000002</v>
      </c>
      <c r="F15" s="19" t="str">
        <f t="shared" si="1"/>
        <v/>
      </c>
      <c r="G15" s="20">
        <f>SUM('1st Qtr'!G15, '2nd Qtr'!G15, '3rd Qtr'!G15, '4th Qtr'!G15)</f>
        <v>0</v>
      </c>
      <c r="H15" s="20">
        <f>SUM(Jan!H15, Feb!H15, Mar!H15)</f>
        <v>0</v>
      </c>
      <c r="I15" s="19" t="str">
        <f t="shared" si="2"/>
        <v/>
      </c>
    </row>
    <row r="16" spans="1:9" ht="15.75">
      <c r="A16" s="12" t="str">
        <v>Raleigh</v>
      </c>
      <c r="B16" s="9" t="str">
        <v>NC</v>
      </c>
      <c r="C16" s="24">
        <f>SUM('1st Qtr'!C16, '2nd Qtr'!C16, '3rd Qtr'!C16, '4th Qtr'!C16)</f>
        <v>26839.991000000002</v>
      </c>
      <c r="D16" s="13">
        <f>SUM('1st Qtr'!D16, '2nd Qtr'!D16, '3rd Qtr'!D16, '4th Qtr'!D16)</f>
        <v>0</v>
      </c>
      <c r="E16" s="13">
        <f t="shared" ref="E16:E19" si="3">IF(AND(ISNUMBER(C16),ISNUMBER(D16)), C16-D16, "")</f>
        <v>26839.991000000002</v>
      </c>
      <c r="F16" s="14" t="str">
        <f t="shared" ref="F16:F19" si="4">IFERROR(E16/D16, "")</f>
        <v/>
      </c>
      <c r="G16" s="15">
        <f>SUM('1st Qtr'!G16, '2nd Qtr'!G16, '3rd Qtr'!G16, '4th Qtr'!G16)</f>
        <v>0</v>
      </c>
      <c r="H16" s="15">
        <f>SUM(Jan!H16, Feb!H16, Mar!H16)</f>
        <v>0</v>
      </c>
      <c r="I16" s="16" t="str">
        <f t="shared" ref="I16:I19" si="5">IFERROR(H16/G16, "")</f>
        <v/>
      </c>
    </row>
    <row r="17" spans="1:9" ht="15.75">
      <c r="A17" s="17" t="str">
        <v>Cordova</v>
      </c>
      <c r="B17" s="10" t="str">
        <v>TN</v>
      </c>
      <c r="C17" s="11">
        <f>SUM('1st Qtr'!C17, '2nd Qtr'!C17, '3rd Qtr'!C17, '4th Qtr'!C17)</f>
        <v>22299.548999999999</v>
      </c>
      <c r="D17" s="18">
        <f>SUM('1st Qtr'!D17, '2nd Qtr'!D17, '3rd Qtr'!D17, '4th Qtr'!D17)</f>
        <v>0</v>
      </c>
      <c r="E17" s="18">
        <f t="shared" si="3"/>
        <v>22299.548999999999</v>
      </c>
      <c r="F17" s="19" t="str">
        <f t="shared" si="4"/>
        <v/>
      </c>
      <c r="G17" s="20">
        <f>SUM('1st Qtr'!G17, '2nd Qtr'!G17, '3rd Qtr'!G17, '4th Qtr'!G17)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>Austin</v>
      </c>
      <c r="B18" s="9" t="str">
        <v>TX</v>
      </c>
      <c r="C18" s="24">
        <f>SUM('1st Qtr'!C18, '2nd Qtr'!C18, '3rd Qtr'!C18, '4th Qtr'!C18)</f>
        <v>8606.6139999999996</v>
      </c>
      <c r="D18" s="13">
        <f>SUM('1st Qtr'!D18, '2nd Qtr'!D18, '3rd Qtr'!D18, '4th Qtr'!D18)</f>
        <v>0</v>
      </c>
      <c r="E18" s="13">
        <f t="shared" si="3"/>
        <v>8606.6139999999996</v>
      </c>
      <c r="F18" s="14" t="str">
        <f t="shared" si="4"/>
        <v/>
      </c>
      <c r="G18" s="15">
        <f>SUM('1st Qtr'!G18, '2nd Qtr'!G18, '3rd Qtr'!G18, '4th Qtr'!G18)</f>
        <v>0</v>
      </c>
      <c r="H18" s="15">
        <f>SUM(Jan!H18, Feb!H18, Mar!H18)</f>
        <v>0</v>
      </c>
      <c r="I18" s="16" t="str">
        <f t="shared" si="5"/>
        <v/>
      </c>
    </row>
    <row r="19" spans="1:9" ht="15.75">
      <c r="A19" s="17" t="str">
        <v>Frisco</v>
      </c>
      <c r="B19" s="10" t="str">
        <v>TX</v>
      </c>
      <c r="C19" s="11">
        <f>SUM('1st Qtr'!C19, '2nd Qtr'!C19, '3rd Qtr'!C19, '4th Qtr'!C19)</f>
        <v>18769.674999999999</v>
      </c>
      <c r="D19" s="18">
        <f>SUM('1st Qtr'!D19, '2nd Qtr'!D19, '3rd Qtr'!D19, '4th Qtr'!D19)</f>
        <v>0</v>
      </c>
      <c r="E19" s="18">
        <f t="shared" si="3"/>
        <v>18769.674999999999</v>
      </c>
      <c r="F19" s="19" t="str">
        <f t="shared" si="4"/>
        <v/>
      </c>
      <c r="G19" s="20">
        <f>SUM('1st Qtr'!G19, '2nd Qtr'!G19, '3rd Qtr'!G19, '4th Qtr'!G19)</f>
        <v>0</v>
      </c>
      <c r="H19" s="20">
        <f>SUM(Jan!H19, Feb!H19, Mar!H19)</f>
        <v>0</v>
      </c>
      <c r="I19" s="19" t="str">
        <f t="shared" si="5"/>
        <v/>
      </c>
    </row>
    <row r="20" spans="1:9" ht="15.75">
      <c r="A20" s="12" t="str">
        <v>Copperfield</v>
      </c>
      <c r="B20" s="9" t="str">
        <v>TX</v>
      </c>
      <c r="C20" s="24">
        <f>SUM('1st Qtr'!C20, '2nd Qtr'!C20, '3rd Qtr'!C20, '4th Qtr'!C20)</f>
        <v>4456.7290000000003</v>
      </c>
      <c r="D20" s="13">
        <f>SUM('1st Qtr'!D20, '2nd Qtr'!D20, '3rd Qtr'!D20, '4th Qtr'!D20)</f>
        <v>0</v>
      </c>
      <c r="E20" s="13">
        <f t="shared" ref="E20:E21" si="6">IF(AND(ISNUMBER(C20),ISNUMBER(D20)), C20-D20, "")</f>
        <v>4456.7290000000003</v>
      </c>
      <c r="F20" s="14" t="str">
        <f t="shared" ref="F20:F21" si="7">IFERROR(E20/D20, "")</f>
        <v/>
      </c>
      <c r="G20" s="15">
        <f>SUM('1st Qtr'!G20, '2nd Qtr'!G20, '3rd Qtr'!G20, '4th Qtr'!G20)</f>
        <v>0</v>
      </c>
      <c r="H20" s="15">
        <f>SUM(Jan!H20, Feb!H20, Mar!H20)</f>
        <v>0</v>
      </c>
      <c r="I20" s="16" t="str">
        <f t="shared" ref="I20:I21" si="8">IFERROR(H20/G20, "")</f>
        <v/>
      </c>
    </row>
    <row r="21" spans="1:9" ht="15.75">
      <c r="A21" s="17" t="str">
        <v>Plano Bldg A</v>
      </c>
      <c r="B21" s="10" t="str">
        <v>TX</v>
      </c>
      <c r="C21" s="11">
        <f>SUM('1st Qtr'!C21, '2nd Qtr'!C21, '3rd Qtr'!C21, '4th Qtr'!C21)</f>
        <v>17555.292999999998</v>
      </c>
      <c r="D21" s="18">
        <f>SUM('1st Qtr'!D21, '2nd Qtr'!D21, '3rd Qtr'!D21, '4th Qtr'!D21)</f>
        <v>0</v>
      </c>
      <c r="E21" s="18">
        <f t="shared" si="6"/>
        <v>17555.292999999998</v>
      </c>
      <c r="F21" s="19" t="str">
        <f t="shared" si="7"/>
        <v/>
      </c>
      <c r="G21" s="20">
        <f>SUM('1st Qtr'!G21, '2nd Qtr'!G21, '3rd Qtr'!G21, '4th Qtr'!G21)</f>
        <v>0</v>
      </c>
      <c r="H21" s="20">
        <f>SUM(Jan!H21, Feb!H21, Mar!H21)</f>
        <v>0</v>
      </c>
      <c r="I21" s="19" t="str">
        <f t="shared" si="8"/>
        <v/>
      </c>
    </row>
    <row r="22" spans="1:9" ht="13.15">
      <c r="A22" s="21"/>
      <c r="B22" s="21"/>
      <c r="C22" s="21"/>
      <c r="D22" s="21"/>
      <c r="E22" s="21"/>
      <c r="F22" s="21"/>
      <c r="G22" s="21"/>
      <c r="H22" s="21"/>
      <c r="I22" s="21"/>
    </row>
    <row r="23" spans="1:9" ht="13.15">
      <c r="A23" s="21"/>
      <c r="B23" s="21"/>
      <c r="C23" s="21"/>
      <c r="D23" s="21"/>
      <c r="E23" s="21"/>
      <c r="F23" s="21"/>
      <c r="G23" s="21"/>
      <c r="H23" s="21"/>
      <c r="I23" s="21"/>
    </row>
    <row r="24" spans="1:9" ht="13.15">
      <c r="A24" s="21"/>
      <c r="B24" s="21"/>
      <c r="C24" s="21"/>
      <c r="D24" s="21"/>
      <c r="E24" s="21"/>
      <c r="F24" s="21"/>
      <c r="G24" s="21"/>
      <c r="H24" s="21"/>
      <c r="I24" s="21"/>
    </row>
    <row r="25" spans="1:9" ht="13.15">
      <c r="A25" s="21"/>
      <c r="B25" s="21"/>
      <c r="C25" s="21"/>
      <c r="D25" s="21"/>
      <c r="E25" s="21"/>
      <c r="F25" s="21"/>
      <c r="G25" s="21"/>
      <c r="H25" s="21"/>
      <c r="I25" s="21"/>
    </row>
    <row r="26" spans="1:9" ht="13.15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3.15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3.15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3.15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3.1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8 I4:I98">
    <cfRule type="cellIs" dxfId="38" priority="3" stopIfTrue="1" operator="lessThanOrEqual">
      <formula>-0.1</formula>
    </cfRule>
    <cfRule type="expression" dxfId="37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0"/>
  <sheetViews>
    <sheetView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JLL</v>
      </c>
      <c r="B1" s="56"/>
      <c r="C1" s="56"/>
      <c r="D1" s="57" t="s">
        <v>10</v>
      </c>
      <c r="E1" s="57"/>
      <c r="F1" s="57"/>
      <c r="G1" s="55" t="s">
        <v>11</v>
      </c>
      <c r="H1" s="55"/>
      <c r="I1" s="55"/>
    </row>
    <row r="2" spans="1:9" ht="19.5" customHeight="1">
      <c r="A2" s="58" t="s">
        <v>2</v>
      </c>
      <c r="B2" s="58"/>
      <c r="C2" s="5">
        <f>SUM(C4:C98)</f>
        <v>0</v>
      </c>
      <c r="D2" s="5">
        <f>SUM(D4:D98)</f>
        <v>0</v>
      </c>
      <c r="E2" s="5">
        <f>C2-D2</f>
        <v>0</v>
      </c>
      <c r="F2" s="6">
        <f>IFERROR(E2/D2, 0)</f>
        <v>0</v>
      </c>
      <c r="G2" s="5">
        <f>SUM(G4:G98)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21">Sites[Site]</f>
        <v>Bullhead</v>
      </c>
      <c r="B4" s="9" t="str" cm="1">
        <f t="array" ref="B4:B21">Sites[State]</f>
        <v>AZ</v>
      </c>
      <c r="C4" s="24">
        <f>SUM(Jan!C4, Feb!C4, Mar!C4)</f>
        <v>0</v>
      </c>
      <c r="D4" s="13">
        <f>SUM(Jan!D4, Feb!D4, Mar!D4)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75">
      <c r="A5" s="17" t="str">
        <v>Peoria</v>
      </c>
      <c r="B5" s="10" t="str">
        <v>AZ</v>
      </c>
      <c r="C5" s="11">
        <f>SUM(Jan!C5, Feb!C5, Mar!C5)</f>
        <v>0</v>
      </c>
      <c r="D5" s="18">
        <f>SUM(Jan!D5, Feb!D5, Mar!D5)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5.75">
      <c r="A6" s="12" t="str">
        <v>Tucson</v>
      </c>
      <c r="B6" s="9" t="str">
        <v>AZ</v>
      </c>
      <c r="C6" s="24">
        <f>SUM(Jan!C6, Feb!C6, Mar!C6)</f>
        <v>0</v>
      </c>
      <c r="D6" s="13">
        <f>SUM(Jan!D6, Feb!D6, Mar!D6)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 t="shared" ref="I6:I15" si="2">IFERROR(H6/G6, "")</f>
        <v/>
      </c>
    </row>
    <row r="7" spans="1:9" ht="15.75">
      <c r="A7" s="17" t="str">
        <v>Hialeah</v>
      </c>
      <c r="B7" s="10" t="str">
        <v>FL</v>
      </c>
      <c r="C7" s="11">
        <f>SUM(Jan!C7, Feb!C7, Mar!C7)</f>
        <v>0</v>
      </c>
      <c r="D7" s="18">
        <f>SUM(Jan!D7, Feb!D7, Mar!D7)</f>
        <v>0</v>
      </c>
      <c r="E7" s="18">
        <f t="shared" si="0"/>
        <v>0</v>
      </c>
      <c r="F7" s="19" t="str">
        <f t="shared" si="1"/>
        <v/>
      </c>
      <c r="G7" s="20">
        <f>SUM(Jan!G7, Feb!G7, Mar!G7)</f>
        <v>0</v>
      </c>
      <c r="H7" s="20">
        <f>SUM(Jan!H7, Feb!H7, Mar!H7)</f>
        <v>0</v>
      </c>
      <c r="I7" s="19" t="str">
        <f t="shared" si="2"/>
        <v/>
      </c>
    </row>
    <row r="8" spans="1:9" ht="15.75">
      <c r="A8" s="12" t="str">
        <v>Jacksonville</v>
      </c>
      <c r="B8" s="9" t="str">
        <v>FL</v>
      </c>
      <c r="C8" s="24">
        <f>SUM(Jan!C8, Feb!C8, Mar!C8)</f>
        <v>0</v>
      </c>
      <c r="D8" s="13">
        <f>SUM(Jan!D8, Feb!D8, Mar!D8)</f>
        <v>0</v>
      </c>
      <c r="E8" s="13">
        <f t="shared" si="0"/>
        <v>0</v>
      </c>
      <c r="F8" s="14" t="str">
        <f t="shared" si="1"/>
        <v/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75">
      <c r="A9" s="17" t="str">
        <v>Miami Gardens</v>
      </c>
      <c r="B9" s="10" t="str">
        <v>FL</v>
      </c>
      <c r="C9" s="11">
        <f>SUM(Jan!C9, Feb!C9, Mar!C9)</f>
        <v>0</v>
      </c>
      <c r="D9" s="18">
        <f>SUM(Jan!D9, Feb!D9, Mar!D9)</f>
        <v>0</v>
      </c>
      <c r="E9" s="18">
        <f t="shared" si="0"/>
        <v>0</v>
      </c>
      <c r="F9" s="19" t="str">
        <f t="shared" si="1"/>
        <v/>
      </c>
      <c r="G9" s="20">
        <f>SUM(Jan!G9, Feb!G9, Mar!G9)</f>
        <v>0</v>
      </c>
      <c r="H9" s="20">
        <f>SUM(Jan!H9, Feb!H9, Mar!H9)</f>
        <v>0</v>
      </c>
      <c r="I9" s="19" t="str">
        <f t="shared" si="2"/>
        <v/>
      </c>
    </row>
    <row r="10" spans="1:9" ht="15.75">
      <c r="A10" s="12" t="str">
        <v>Fort Myers</v>
      </c>
      <c r="B10" s="9" t="str">
        <v>FL</v>
      </c>
      <c r="C10" s="24">
        <f>SUM(Jan!C10, Feb!C10, Mar!C10)</f>
        <v>0</v>
      </c>
      <c r="D10" s="13">
        <f>SUM(Jan!D10, Feb!D10, Mar!D10)</f>
        <v>0</v>
      </c>
      <c r="E10" s="13">
        <f t="shared" si="0"/>
        <v>0</v>
      </c>
      <c r="F10" s="14" t="str">
        <f t="shared" si="1"/>
        <v/>
      </c>
      <c r="G10" s="15">
        <f>SUM(Jan!G10, Feb!G10, Mar!G10)</f>
        <v>0</v>
      </c>
      <c r="H10" s="15">
        <f>SUM(Jan!H10, Feb!H10, Mar!H10)</f>
        <v>0</v>
      </c>
      <c r="I10" s="16" t="str">
        <f t="shared" si="2"/>
        <v/>
      </c>
    </row>
    <row r="11" spans="1:9" ht="15.75">
      <c r="A11" s="17" t="str">
        <v>Orlando</v>
      </c>
      <c r="B11" s="10" t="str">
        <v>FL</v>
      </c>
      <c r="C11" s="11">
        <f>SUM(Jan!C11, Feb!C11, Mar!C11)</f>
        <v>0</v>
      </c>
      <c r="D11" s="18">
        <f>SUM(Jan!D11, Feb!D11, Mar!D11)</f>
        <v>0</v>
      </c>
      <c r="E11" s="18">
        <f t="shared" si="0"/>
        <v>0</v>
      </c>
      <c r="F11" s="19" t="str">
        <f t="shared" si="1"/>
        <v/>
      </c>
      <c r="G11" s="20">
        <f>SUM(Jan!G11, Feb!G11, Mar!G11)</f>
        <v>0</v>
      </c>
      <c r="H11" s="20">
        <f>SUM(Jan!H11, Feb!H11, Mar!H11)</f>
        <v>0</v>
      </c>
      <c r="I11" s="19" t="str">
        <f t="shared" si="2"/>
        <v/>
      </c>
    </row>
    <row r="12" spans="1:9" ht="15.75">
      <c r="A12" s="12" t="str">
        <v>Port St. Lucie</v>
      </c>
      <c r="B12" s="9" t="str">
        <v>FL</v>
      </c>
      <c r="C12" s="24">
        <f>SUM(Jan!C12, Feb!C12, Mar!C12)</f>
        <v>0</v>
      </c>
      <c r="D12" s="13">
        <f>SUM(Jan!D12, Feb!D12, Mar!D12)</f>
        <v>0</v>
      </c>
      <c r="E12" s="13">
        <f t="shared" si="0"/>
        <v>0</v>
      </c>
      <c r="F12" s="14" t="str">
        <f t="shared" si="1"/>
        <v/>
      </c>
      <c r="G12" s="15">
        <f>SUM(Jan!G12, Feb!G12, Mar!G12)</f>
        <v>0</v>
      </c>
      <c r="H12" s="15">
        <f>SUM(Jan!H12, Feb!H12, Mar!H12)</f>
        <v>0</v>
      </c>
      <c r="I12" s="16" t="str">
        <f t="shared" si="2"/>
        <v/>
      </c>
    </row>
    <row r="13" spans="1:9" ht="15.75">
      <c r="A13" s="17" t="str">
        <v>Tampa</v>
      </c>
      <c r="B13" s="10" t="str">
        <v>FL</v>
      </c>
      <c r="C13" s="11">
        <f>SUM(Jan!C13, Feb!C13, Mar!C13)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>
        <f>SUM(Jan!G13, Feb!G13, Mar!G13)</f>
        <v>0</v>
      </c>
      <c r="H13" s="20">
        <f>SUM(Jan!H13, Feb!H13, Mar!H13)</f>
        <v>0</v>
      </c>
      <c r="I13" s="19" t="str">
        <f t="shared" si="2"/>
        <v/>
      </c>
    </row>
    <row r="14" spans="1:9" ht="15.75">
      <c r="A14" s="12" t="str">
        <v>Roswell</v>
      </c>
      <c r="B14" s="9" t="str">
        <v>GA</v>
      </c>
      <c r="C14" s="24">
        <f>SUM(Jan!C14, Feb!C14, Mar!C14)</f>
        <v>0</v>
      </c>
      <c r="D14" s="13">
        <f>SUM(Jan!D14, Feb!D14, Mar!D14)</f>
        <v>0</v>
      </c>
      <c r="E14" s="13">
        <f t="shared" si="0"/>
        <v>0</v>
      </c>
      <c r="F14" s="14" t="str">
        <f t="shared" si="1"/>
        <v/>
      </c>
      <c r="G14" s="15">
        <f>SUM(Jan!G14, Feb!G14, Mar!G14)</f>
        <v>0</v>
      </c>
      <c r="H14" s="15">
        <f>SUM(Jan!H14, Feb!H14, Mar!H14)</f>
        <v>0</v>
      </c>
      <c r="I14" s="16" t="str">
        <f t="shared" si="2"/>
        <v/>
      </c>
    </row>
    <row r="15" spans="1:9" ht="15.75">
      <c r="A15" s="17" t="str">
        <v>Charlotte</v>
      </c>
      <c r="B15" s="10" t="str">
        <v>NC</v>
      </c>
      <c r="C15" s="11">
        <f>SUM(Jan!C15, Feb!C15, Mar!C15)</f>
        <v>0</v>
      </c>
      <c r="D15" s="18">
        <f>SUM(Jan!D15, Feb!D15, Mar!D15)</f>
        <v>0</v>
      </c>
      <c r="E15" s="18">
        <f t="shared" si="0"/>
        <v>0</v>
      </c>
      <c r="F15" s="19" t="str">
        <f t="shared" si="1"/>
        <v/>
      </c>
      <c r="G15" s="20">
        <f>SUM(Jan!G15, Feb!G15, Mar!G15)</f>
        <v>0</v>
      </c>
      <c r="H15" s="20">
        <f>SUM(Jan!H15, Feb!H15, Mar!H15)</f>
        <v>0</v>
      </c>
      <c r="I15" s="19" t="str">
        <f t="shared" si="2"/>
        <v/>
      </c>
    </row>
    <row r="16" spans="1:9" ht="15.75">
      <c r="A16" s="12" t="str">
        <v>Raleigh</v>
      </c>
      <c r="B16" s="9" t="str">
        <v>NC</v>
      </c>
      <c r="C16" s="24">
        <f>SUM(Jan!C16, Feb!C16, Mar!C16)</f>
        <v>0</v>
      </c>
      <c r="D16" s="13">
        <f>SUM(Jan!D16, Feb!D16, Mar!D16)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SUM(Jan!G16, Feb!G16, Mar!G16)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75">
      <c r="A17" s="17" t="str">
        <v>Cordova</v>
      </c>
      <c r="B17" s="10" t="str">
        <v>TN</v>
      </c>
      <c r="C17" s="11">
        <f>SUM(Jan!C17, Feb!C17, Mar!C17)</f>
        <v>0</v>
      </c>
      <c r="D17" s="18">
        <f>SUM(Jan!D17, Feb!D17, Mar!D17)</f>
        <v>0</v>
      </c>
      <c r="E17" s="18">
        <f t="shared" si="3"/>
        <v>0</v>
      </c>
      <c r="F17" s="19" t="str">
        <f t="shared" si="4"/>
        <v/>
      </c>
      <c r="G17" s="20">
        <f>SUM(Jan!G17, Feb!G17, Mar!G17)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>Austin</v>
      </c>
      <c r="B18" s="9" t="str">
        <v>TX</v>
      </c>
      <c r="C18" s="24">
        <f>SUM(Jan!C18, Feb!C18, Mar!C18)</f>
        <v>0</v>
      </c>
      <c r="D18" s="13">
        <f>SUM(Jan!D18, Feb!D18, Mar!D18)</f>
        <v>0</v>
      </c>
      <c r="E18" s="13">
        <f t="shared" ref="E18:E21" si="6">IF(AND(ISNUMBER(C18),ISNUMBER(D18)), C18-D18, "")</f>
        <v>0</v>
      </c>
      <c r="F18" s="14" t="str">
        <f t="shared" ref="F18:F21" si="7">IFERROR(E18/D18, "")</f>
        <v/>
      </c>
      <c r="G18" s="15">
        <f>SUM(Jan!G18, Feb!G18, Mar!G18)</f>
        <v>0</v>
      </c>
      <c r="H18" s="15">
        <f>SUM(Jan!H18, Feb!H18, Mar!H18)</f>
        <v>0</v>
      </c>
      <c r="I18" s="16" t="str">
        <f t="shared" ref="I18:I21" si="8">IFERROR(H18/G18, "")</f>
        <v/>
      </c>
    </row>
    <row r="19" spans="1:9" ht="15.75">
      <c r="A19" s="17" t="str">
        <v>Frisco</v>
      </c>
      <c r="B19" s="10" t="str">
        <v>TX</v>
      </c>
      <c r="C19" s="11">
        <f>SUM(Jan!C19, Feb!C19, Mar!C19)</f>
        <v>0</v>
      </c>
      <c r="D19" s="18">
        <f>SUM(Jan!D19, Feb!D19, Mar!D19)</f>
        <v>0</v>
      </c>
      <c r="E19" s="18">
        <f t="shared" si="6"/>
        <v>0</v>
      </c>
      <c r="F19" s="19" t="str">
        <f t="shared" si="7"/>
        <v/>
      </c>
      <c r="G19" s="20">
        <f>SUM(Jan!G19, Feb!G19, Mar!G19)</f>
        <v>0</v>
      </c>
      <c r="H19" s="20">
        <f>SUM(Jan!H19, Feb!H19, Mar!H19)</f>
        <v>0</v>
      </c>
      <c r="I19" s="19" t="str">
        <f t="shared" si="8"/>
        <v/>
      </c>
    </row>
    <row r="20" spans="1:9" ht="15.75">
      <c r="A20" s="12" t="str">
        <v>Copperfield</v>
      </c>
      <c r="B20" s="9" t="str">
        <v>TX</v>
      </c>
      <c r="C20" s="24">
        <f>SUM(Jan!C20, Feb!C20, Mar!C20)</f>
        <v>0</v>
      </c>
      <c r="D20" s="13">
        <f>SUM(Jan!D20, Feb!D20, Mar!D20)</f>
        <v>0</v>
      </c>
      <c r="E20" s="13">
        <f t="shared" si="6"/>
        <v>0</v>
      </c>
      <c r="F20" s="14" t="str">
        <f t="shared" si="7"/>
        <v/>
      </c>
      <c r="G20" s="15">
        <f>SUM(Jan!G20, Feb!G20, Mar!G20)</f>
        <v>0</v>
      </c>
      <c r="H20" s="15">
        <f>SUM(Jan!H20, Feb!H20, Mar!H20)</f>
        <v>0</v>
      </c>
      <c r="I20" s="16" t="str">
        <f t="shared" si="8"/>
        <v/>
      </c>
    </row>
    <row r="21" spans="1:9" ht="15.75">
      <c r="A21" s="17" t="str">
        <v>Plano Bldg A</v>
      </c>
      <c r="B21" s="10" t="str">
        <v>TX</v>
      </c>
      <c r="C21" s="11">
        <f>SUM(Jan!C21, Feb!C21, Mar!C21)</f>
        <v>0</v>
      </c>
      <c r="D21" s="18">
        <f>SUM(Jan!D21, Feb!D21, Mar!D21)</f>
        <v>0</v>
      </c>
      <c r="E21" s="18">
        <f t="shared" si="6"/>
        <v>0</v>
      </c>
      <c r="F21" s="19" t="str">
        <f t="shared" si="7"/>
        <v/>
      </c>
      <c r="G21" s="20">
        <f>SUM(Jan!G21, Feb!G21, Mar!G21)</f>
        <v>0</v>
      </c>
      <c r="H21" s="20">
        <f>SUM(Jan!H21, Feb!H21, Mar!H21)</f>
        <v>0</v>
      </c>
      <c r="I21" s="19" t="str">
        <f t="shared" si="8"/>
        <v/>
      </c>
    </row>
    <row r="22" spans="1:9" ht="13.15">
      <c r="A22" s="21"/>
      <c r="B22" s="21"/>
      <c r="C22" s="21"/>
      <c r="D22" s="21"/>
      <c r="E22" s="21"/>
      <c r="F22" s="21"/>
      <c r="G22" s="21"/>
      <c r="H22" s="21"/>
      <c r="I22" s="21"/>
    </row>
    <row r="23" spans="1:9" ht="13.15">
      <c r="A23" s="21"/>
      <c r="B23" s="21"/>
      <c r="C23" s="21"/>
      <c r="D23" s="21"/>
      <c r="E23" s="21"/>
      <c r="F23" s="21"/>
      <c r="G23" s="21"/>
      <c r="H23" s="21"/>
      <c r="I23" s="21"/>
    </row>
    <row r="24" spans="1:9" ht="13.15">
      <c r="A24" s="21"/>
      <c r="B24" s="21"/>
      <c r="C24" s="21"/>
      <c r="D24" s="21"/>
      <c r="E24" s="21"/>
      <c r="F24" s="21"/>
      <c r="G24" s="21"/>
      <c r="H24" s="21"/>
      <c r="I24" s="21"/>
    </row>
    <row r="25" spans="1:9" ht="13.15">
      <c r="A25" s="21"/>
      <c r="B25" s="21"/>
      <c r="C25" s="21"/>
      <c r="D25" s="21"/>
      <c r="E25" s="21"/>
      <c r="F25" s="21"/>
      <c r="G25" s="21"/>
      <c r="H25" s="21"/>
      <c r="I25" s="21"/>
    </row>
    <row r="26" spans="1:9" ht="13.15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3.15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3.15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3.15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3.1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8 I4:I98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0"/>
  <sheetViews>
    <sheetView workbookViewId="0">
      <pane xSplit="2" ySplit="3" topLeftCell="C4" activePane="bottomRight" state="frozen"/>
      <selection pane="bottomRight" activeCell="I7" sqref="I7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JLL</v>
      </c>
      <c r="B1" s="56"/>
      <c r="C1" s="56"/>
      <c r="D1" s="57" t="s">
        <v>12</v>
      </c>
      <c r="E1" s="57"/>
      <c r="F1" s="57"/>
      <c r="G1" s="55" t="s">
        <v>13</v>
      </c>
      <c r="H1" s="55"/>
      <c r="I1" s="55"/>
    </row>
    <row r="2" spans="1:9" ht="19.5" customHeight="1">
      <c r="A2" s="58" t="s">
        <v>2</v>
      </c>
      <c r="B2" s="58"/>
      <c r="C2" s="5">
        <f>SUM(C4:C98)</f>
        <v>88649.44200000001</v>
      </c>
      <c r="D2" s="5">
        <f>SUM(D4:D98)</f>
        <v>0</v>
      </c>
      <c r="E2" s="5">
        <f>C2-D2</f>
        <v>88649.44200000001</v>
      </c>
      <c r="F2" s="6">
        <f>IFERROR(E2/D2, 0)</f>
        <v>0</v>
      </c>
      <c r="G2" s="5">
        <f>SUM(G4:G98)</f>
        <v>0</v>
      </c>
      <c r="H2" s="7">
        <f>C2-G2</f>
        <v>88649.44200000001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21">Sites[Site]</f>
        <v>Bullhead</v>
      </c>
      <c r="B4" s="9" t="str" cm="1">
        <f t="array" ref="B4:B21">Sites[State]</f>
        <v>AZ</v>
      </c>
      <c r="C4" s="24">
        <f>SUM(Apr!C4, May!C4, Jun!C4)</f>
        <v>472.64400000000001</v>
      </c>
      <c r="D4" s="13">
        <f>SUM(Apr!D4, May!D4, Jun!D4)</f>
        <v>0</v>
      </c>
      <c r="E4" s="13">
        <f>IF(AND(ISNUMBER(C4),ISNUMBER(D4)), C4-D4, "")</f>
        <v>472.64400000000001</v>
      </c>
      <c r="F4" s="14" t="str">
        <f>IFERROR(E4/D4, "")</f>
        <v/>
      </c>
      <c r="G4" s="16">
        <f>SUM(Apr!G4, May!G4, Jun!G4)</f>
        <v>0</v>
      </c>
      <c r="H4" s="15">
        <f>SUM(Apr!H4, May!H4, Jun!H4)</f>
        <v>472.64400000000001</v>
      </c>
      <c r="I4" s="16" t="str">
        <f>IFERROR(H4/G4, "")</f>
        <v/>
      </c>
    </row>
    <row r="5" spans="1:9" ht="15.75">
      <c r="A5" s="17" t="str">
        <v>Peoria</v>
      </c>
      <c r="B5" s="10" t="str">
        <v>AZ</v>
      </c>
      <c r="C5" s="11">
        <f>SUM(Apr!C5, May!C5, Jun!C5)</f>
        <v>0</v>
      </c>
      <c r="D5" s="18">
        <f>SUM(Apr!D5, May!D5, Jun!D5)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19">
        <f>SUM(Apr!G5, May!G5, Jun!G5)</f>
        <v>0</v>
      </c>
      <c r="H5" s="20">
        <f>SUM(Apr!H5, May!H5, Jun!H5)</f>
        <v>0</v>
      </c>
      <c r="I5" s="19" t="str">
        <f>IFERROR(H5/G5, "")</f>
        <v/>
      </c>
    </row>
    <row r="6" spans="1:9" ht="15.75">
      <c r="A6" s="12" t="str">
        <v>Tucson</v>
      </c>
      <c r="B6" s="9" t="str">
        <v>AZ</v>
      </c>
      <c r="C6" s="24">
        <f>SUM(Apr!C6, May!C6, Jun!C6)</f>
        <v>0</v>
      </c>
      <c r="D6" s="13">
        <f>SUM(Apr!D6, May!D6, Jun!D6)</f>
        <v>0</v>
      </c>
      <c r="E6" s="13">
        <f t="shared" si="0"/>
        <v>0</v>
      </c>
      <c r="F6" s="14" t="str">
        <f t="shared" ref="F6:F15" si="1">IFERROR(E6/D6, "")</f>
        <v/>
      </c>
      <c r="G6" s="16">
        <f>SUM(Apr!G6, May!G6, Jun!G6)</f>
        <v>0</v>
      </c>
      <c r="H6" s="15">
        <f>SUM(Apr!H6, May!H6, Jun!H6)</f>
        <v>0</v>
      </c>
      <c r="I6" s="16" t="str">
        <f t="shared" ref="I6:I15" si="2">IFERROR(H6/G6, "")</f>
        <v/>
      </c>
    </row>
    <row r="7" spans="1:9" ht="15.75">
      <c r="A7" s="17" t="str">
        <v>Hialeah</v>
      </c>
      <c r="B7" s="10" t="str">
        <v>FL</v>
      </c>
      <c r="C7" s="11">
        <f>SUM(Apr!C7, May!C7, Jun!C7)</f>
        <v>974.18300000000011</v>
      </c>
      <c r="D7" s="18">
        <f>SUM(Apr!D7, May!D7, Jun!D7)</f>
        <v>0</v>
      </c>
      <c r="E7" s="18">
        <f t="shared" si="0"/>
        <v>974.18300000000011</v>
      </c>
      <c r="F7" s="19" t="str">
        <f t="shared" si="1"/>
        <v/>
      </c>
      <c r="G7" s="19">
        <f>SUM(Apr!G7, May!G7, Jun!G7)</f>
        <v>0</v>
      </c>
      <c r="H7" s="20">
        <f>SUM(Apr!H7, May!H7, Jun!H7)</f>
        <v>974.18300000000011</v>
      </c>
      <c r="I7" s="19" t="str">
        <f t="shared" si="2"/>
        <v/>
      </c>
    </row>
    <row r="8" spans="1:9" ht="15.75">
      <c r="A8" s="12" t="str">
        <v>Jacksonville</v>
      </c>
      <c r="B8" s="9" t="str">
        <v>FL</v>
      </c>
      <c r="C8" s="24">
        <f>SUM(Apr!C8, May!C8, Jun!C8)</f>
        <v>346.05599999999998</v>
      </c>
      <c r="D8" s="13">
        <f>SUM(Apr!D8, May!D8, Jun!D8)</f>
        <v>0</v>
      </c>
      <c r="E8" s="13">
        <f t="shared" si="0"/>
        <v>346.05599999999998</v>
      </c>
      <c r="F8" s="14" t="str">
        <f t="shared" si="1"/>
        <v/>
      </c>
      <c r="G8" s="16">
        <f>SUM(Apr!G8, May!G8, Jun!G8)</f>
        <v>0</v>
      </c>
      <c r="H8" s="15">
        <f>SUM(Apr!H8, May!H8, Jun!H8)</f>
        <v>346.05599999999998</v>
      </c>
      <c r="I8" s="16" t="str">
        <f t="shared" si="2"/>
        <v/>
      </c>
    </row>
    <row r="9" spans="1:9" ht="15.75">
      <c r="A9" s="17" t="str">
        <v>Miami Gardens</v>
      </c>
      <c r="B9" s="10" t="str">
        <v>FL</v>
      </c>
      <c r="C9" s="11">
        <f>SUM(Apr!C9, May!C9, Jun!C9)</f>
        <v>351.56600000000003</v>
      </c>
      <c r="D9" s="18">
        <f>SUM(Apr!D9, May!D9, Jun!D9)</f>
        <v>0</v>
      </c>
      <c r="E9" s="18">
        <f t="shared" si="0"/>
        <v>351.56600000000003</v>
      </c>
      <c r="F9" s="19" t="str">
        <f t="shared" si="1"/>
        <v/>
      </c>
      <c r="G9" s="19">
        <f>SUM(Apr!G9, May!G9, Jun!G9)</f>
        <v>0</v>
      </c>
      <c r="H9" s="20">
        <f>SUM(Apr!H9, May!H9, Jun!H9)</f>
        <v>351.56600000000003</v>
      </c>
      <c r="I9" s="19" t="str">
        <f t="shared" si="2"/>
        <v/>
      </c>
    </row>
    <row r="10" spans="1:9" ht="15.75">
      <c r="A10" s="12" t="str">
        <v>Fort Myers</v>
      </c>
      <c r="B10" s="9" t="str">
        <v>FL</v>
      </c>
      <c r="C10" s="24">
        <f>SUM(Apr!C10, May!C10, Jun!C10)</f>
        <v>12961.553</v>
      </c>
      <c r="D10" s="13">
        <f>SUM(Apr!D10, May!D10, Jun!D10)</f>
        <v>0</v>
      </c>
      <c r="E10" s="13">
        <f t="shared" si="0"/>
        <v>12961.553</v>
      </c>
      <c r="F10" s="14" t="str">
        <f t="shared" si="1"/>
        <v/>
      </c>
      <c r="G10" s="16">
        <f>SUM(Apr!G10, May!G10, Jun!G10)</f>
        <v>0</v>
      </c>
      <c r="H10" s="15">
        <f>SUM(Apr!H10, May!H10, Jun!H10)</f>
        <v>12961.553</v>
      </c>
      <c r="I10" s="16" t="str">
        <f t="shared" si="2"/>
        <v/>
      </c>
    </row>
    <row r="11" spans="1:9" ht="15.75">
      <c r="A11" s="17" t="str">
        <v>Orlando</v>
      </c>
      <c r="B11" s="10" t="str">
        <v>FL</v>
      </c>
      <c r="C11" s="11">
        <f>SUM(Apr!C11, May!C11, Jun!C11)</f>
        <v>17304.517</v>
      </c>
      <c r="D11" s="18">
        <f>SUM(Apr!D11, May!D11, Jun!D11)</f>
        <v>0</v>
      </c>
      <c r="E11" s="18">
        <f t="shared" si="0"/>
        <v>17304.517</v>
      </c>
      <c r="F11" s="19" t="str">
        <f t="shared" si="1"/>
        <v/>
      </c>
      <c r="G11" s="19">
        <f>SUM(Apr!G11, May!G11, Jun!G11)</f>
        <v>0</v>
      </c>
      <c r="H11" s="20">
        <f>SUM(Apr!H11, May!H11, Jun!H11)</f>
        <v>17304.517</v>
      </c>
      <c r="I11" s="19" t="str">
        <f t="shared" si="2"/>
        <v/>
      </c>
    </row>
    <row r="12" spans="1:9" ht="15.75">
      <c r="A12" s="12" t="str">
        <v>Port St. Lucie</v>
      </c>
      <c r="B12" s="9" t="str">
        <v>FL</v>
      </c>
      <c r="C12" s="24">
        <f>SUM(Apr!C12, May!C12, Jun!C12)</f>
        <v>13831.498</v>
      </c>
      <c r="D12" s="13">
        <f>SUM(Apr!D12, May!D12, Jun!D12)</f>
        <v>0</v>
      </c>
      <c r="E12" s="13">
        <f t="shared" si="0"/>
        <v>13831.498</v>
      </c>
      <c r="F12" s="14" t="str">
        <f t="shared" si="1"/>
        <v/>
      </c>
      <c r="G12" s="16">
        <f>SUM(Apr!G12, May!G12, Jun!G12)</f>
        <v>0</v>
      </c>
      <c r="H12" s="15">
        <f>SUM(Apr!H12, May!H12, Jun!H12)</f>
        <v>13831.498</v>
      </c>
      <c r="I12" s="16" t="str">
        <f t="shared" si="2"/>
        <v/>
      </c>
    </row>
    <row r="13" spans="1:9" ht="15.75">
      <c r="A13" s="17" t="str">
        <v>Tampa</v>
      </c>
      <c r="B13" s="10" t="str">
        <v>FL</v>
      </c>
      <c r="C13" s="11">
        <f>SUM(Apr!C13, May!C13, Jun!C13)</f>
        <v>1221.1500000000001</v>
      </c>
      <c r="D13" s="18">
        <f>SUM(Apr!D13, May!D13, Jun!D13)</f>
        <v>0</v>
      </c>
      <c r="E13" s="18">
        <f t="shared" si="0"/>
        <v>1221.1500000000001</v>
      </c>
      <c r="F13" s="19" t="str">
        <f t="shared" si="1"/>
        <v/>
      </c>
      <c r="G13" s="19">
        <f>SUM(Apr!G13, May!G13, Jun!G13)</f>
        <v>0</v>
      </c>
      <c r="H13" s="20">
        <f>SUM(Apr!H13, May!H13, Jun!H13)</f>
        <v>1221.1500000000001</v>
      </c>
      <c r="I13" s="19" t="str">
        <f t="shared" si="2"/>
        <v/>
      </c>
    </row>
    <row r="14" spans="1:9" ht="15.75">
      <c r="A14" s="12" t="str">
        <v>Roswell</v>
      </c>
      <c r="B14" s="9" t="str">
        <v>GA</v>
      </c>
      <c r="C14" s="24">
        <f>SUM(Apr!C14, May!C14, Jun!C14)</f>
        <v>5984.7629999999999</v>
      </c>
      <c r="D14" s="13">
        <f>SUM(Apr!D14, May!D14, Jun!D14)</f>
        <v>0</v>
      </c>
      <c r="E14" s="13">
        <f t="shared" si="0"/>
        <v>5984.7629999999999</v>
      </c>
      <c r="F14" s="14" t="str">
        <f t="shared" si="1"/>
        <v/>
      </c>
      <c r="G14" s="16">
        <f>SUM(Apr!G14, May!G14, Jun!G14)</f>
        <v>0</v>
      </c>
      <c r="H14" s="15">
        <f>SUM(Apr!H14, May!H14, Jun!H14)</f>
        <v>5984.7629999999999</v>
      </c>
      <c r="I14" s="16" t="str">
        <f t="shared" si="2"/>
        <v/>
      </c>
    </row>
    <row r="15" spans="1:9" ht="15.75">
      <c r="A15" s="17" t="str">
        <v>Charlotte</v>
      </c>
      <c r="B15" s="10" t="str">
        <v>NC</v>
      </c>
      <c r="C15" s="11">
        <f>SUM(Apr!C15, May!C15, Jun!C15)</f>
        <v>7544.2309999999998</v>
      </c>
      <c r="D15" s="18">
        <f>SUM(Apr!D15, May!D15, Jun!D15)</f>
        <v>0</v>
      </c>
      <c r="E15" s="18">
        <f t="shared" si="0"/>
        <v>7544.2309999999998</v>
      </c>
      <c r="F15" s="19" t="str">
        <f t="shared" si="1"/>
        <v/>
      </c>
      <c r="G15" s="19">
        <f>SUM(Apr!G15, May!G15, Jun!G15)</f>
        <v>0</v>
      </c>
      <c r="H15" s="20">
        <f>SUM(Apr!H15, May!H15, Jun!H15)</f>
        <v>7544.2309999999998</v>
      </c>
      <c r="I15" s="19" t="str">
        <f t="shared" si="2"/>
        <v/>
      </c>
    </row>
    <row r="16" spans="1:9" ht="15.75">
      <c r="A16" s="12" t="str">
        <v>Raleigh</v>
      </c>
      <c r="B16" s="9" t="str">
        <v>NC</v>
      </c>
      <c r="C16" s="24">
        <f>SUM(Apr!C16, May!C16, Jun!C16)</f>
        <v>10733.628000000001</v>
      </c>
      <c r="D16" s="13">
        <f>SUM(Apr!D16, May!D16, Jun!D16)</f>
        <v>0</v>
      </c>
      <c r="E16" s="13">
        <f t="shared" ref="E16:E17" si="3">IF(AND(ISNUMBER(C16),ISNUMBER(D16)), C16-D16, "")</f>
        <v>10733.628000000001</v>
      </c>
      <c r="F16" s="14" t="str">
        <f t="shared" ref="F16:F17" si="4">IFERROR(E16/D16, "")</f>
        <v/>
      </c>
      <c r="G16" s="16">
        <f>SUM(Apr!G16, May!G16, Jun!G16)</f>
        <v>0</v>
      </c>
      <c r="H16" s="15">
        <f>SUM(Apr!H16, May!H16, Jun!H16)</f>
        <v>10733.628000000001</v>
      </c>
      <c r="I16" s="16" t="str">
        <f t="shared" ref="I16:I17" si="5">IFERROR(H16/G16, "")</f>
        <v/>
      </c>
    </row>
    <row r="17" spans="1:9" ht="15.75">
      <c r="A17" s="17" t="str">
        <v>Cordova</v>
      </c>
      <c r="B17" s="10" t="str">
        <v>TN</v>
      </c>
      <c r="C17" s="11">
        <f>SUM(Apr!C17, May!C17, Jun!C17)</f>
        <v>3129.145</v>
      </c>
      <c r="D17" s="18">
        <f>SUM(Apr!D17, May!D17, Jun!D17)</f>
        <v>0</v>
      </c>
      <c r="E17" s="18">
        <f t="shared" si="3"/>
        <v>3129.145</v>
      </c>
      <c r="F17" s="19" t="str">
        <f t="shared" si="4"/>
        <v/>
      </c>
      <c r="G17" s="19">
        <f>SUM(Apr!G17, May!G17, Jun!G17)</f>
        <v>0</v>
      </c>
      <c r="H17" s="20">
        <f>SUM(Apr!H17, May!H17, Jun!H17)</f>
        <v>3129.145</v>
      </c>
      <c r="I17" s="19" t="str">
        <f t="shared" si="5"/>
        <v/>
      </c>
    </row>
    <row r="18" spans="1:9" ht="12.75" customHeight="1">
      <c r="A18" s="12" t="str">
        <v>Austin</v>
      </c>
      <c r="B18" s="9" t="str">
        <v>TX</v>
      </c>
      <c r="C18" s="24">
        <f>SUM(Apr!C18, May!C18, Jun!C18)</f>
        <v>3117.6239999999998</v>
      </c>
      <c r="D18" s="13">
        <f>SUM(Apr!D18, May!D18, Jun!D18)</f>
        <v>0</v>
      </c>
      <c r="E18" s="13">
        <f t="shared" ref="E18:E21" si="6">IF(AND(ISNUMBER(C18),ISNUMBER(D18)), C18-D18, "")</f>
        <v>3117.6239999999998</v>
      </c>
      <c r="F18" s="14" t="str">
        <f t="shared" ref="F18:F21" si="7">IFERROR(E18/D18, "")</f>
        <v/>
      </c>
      <c r="G18" s="16">
        <f>SUM(Apr!G18, May!G18, Jun!G18)</f>
        <v>0</v>
      </c>
      <c r="H18" s="15">
        <f>SUM(Apr!H18, May!H18, Jun!H18)</f>
        <v>3117.6239999999998</v>
      </c>
      <c r="I18" s="16" t="str">
        <f t="shared" ref="I18:I21" si="8">IFERROR(H18/G18, "")</f>
        <v/>
      </c>
    </row>
    <row r="19" spans="1:9" ht="15.75">
      <c r="A19" s="17" t="str">
        <v>Frisco</v>
      </c>
      <c r="B19" s="10" t="str">
        <v>TX</v>
      </c>
      <c r="C19" s="11">
        <f>SUM(Apr!C19, May!C19, Jun!C19)</f>
        <v>3247.777</v>
      </c>
      <c r="D19" s="18">
        <f>SUM(Apr!D19, May!D19, Jun!D19)</f>
        <v>0</v>
      </c>
      <c r="E19" s="18">
        <f t="shared" si="6"/>
        <v>3247.777</v>
      </c>
      <c r="F19" s="19" t="str">
        <f t="shared" si="7"/>
        <v/>
      </c>
      <c r="G19" s="19">
        <f>SUM(Apr!G19, May!G19, Jun!G19)</f>
        <v>0</v>
      </c>
      <c r="H19" s="20">
        <f>SUM(Apr!H19, May!H19, Jun!H19)</f>
        <v>3247.777</v>
      </c>
      <c r="I19" s="19" t="str">
        <f t="shared" si="8"/>
        <v/>
      </c>
    </row>
    <row r="20" spans="1:9" ht="15.75">
      <c r="A20" s="12" t="str">
        <v>Copperfield</v>
      </c>
      <c r="B20" s="9" t="str">
        <v>TX</v>
      </c>
      <c r="C20" s="24">
        <f>SUM(Apr!C20, May!C20, Jun!C20)</f>
        <v>0.58400000000000007</v>
      </c>
      <c r="D20" s="13">
        <f>SUM(Apr!D20, May!D20, Jun!D20)</f>
        <v>0</v>
      </c>
      <c r="E20" s="13">
        <f t="shared" si="6"/>
        <v>0.58400000000000007</v>
      </c>
      <c r="F20" s="14" t="str">
        <f t="shared" si="7"/>
        <v/>
      </c>
      <c r="G20" s="16">
        <f>SUM(Apr!G20, May!G20, Jun!G20)</f>
        <v>0</v>
      </c>
      <c r="H20" s="15">
        <f>SUM(Apr!H20, May!H20, Jun!H20)</f>
        <v>0.58400000000000007</v>
      </c>
      <c r="I20" s="16" t="str">
        <f t="shared" si="8"/>
        <v/>
      </c>
    </row>
    <row r="21" spans="1:9" ht="15.75">
      <c r="A21" s="17" t="str">
        <v>Plano Bldg A</v>
      </c>
      <c r="B21" s="10" t="str">
        <v>TX</v>
      </c>
      <c r="C21" s="11">
        <f>SUM(Apr!C21, May!C21, Jun!C21)</f>
        <v>7428.5230000000001</v>
      </c>
      <c r="D21" s="18">
        <f>SUM(Apr!D21, May!D21, Jun!D21)</f>
        <v>0</v>
      </c>
      <c r="E21" s="18">
        <f t="shared" si="6"/>
        <v>7428.5230000000001</v>
      </c>
      <c r="F21" s="19" t="str">
        <f t="shared" si="7"/>
        <v/>
      </c>
      <c r="G21" s="19">
        <f>SUM(Apr!G21, May!G21, Jun!G21)</f>
        <v>0</v>
      </c>
      <c r="H21" s="20">
        <f>SUM(Apr!H21, May!H21, Jun!H21)</f>
        <v>7428.5230000000001</v>
      </c>
      <c r="I21" s="19" t="str">
        <f t="shared" si="8"/>
        <v/>
      </c>
    </row>
    <row r="22" spans="1:9" ht="13.15">
      <c r="A22" s="21"/>
      <c r="B22" s="21"/>
      <c r="C22" s="21"/>
      <c r="D22" s="21"/>
      <c r="E22" s="21"/>
      <c r="F22" s="21"/>
      <c r="G22" s="21"/>
      <c r="H22" s="21"/>
      <c r="I22" s="21"/>
    </row>
    <row r="23" spans="1:9" ht="13.15">
      <c r="A23" s="21"/>
      <c r="B23" s="21"/>
      <c r="C23" s="21"/>
      <c r="D23" s="21"/>
      <c r="E23" s="21"/>
      <c r="F23" s="21"/>
      <c r="G23" s="21"/>
      <c r="H23" s="21"/>
      <c r="I23" s="21"/>
    </row>
    <row r="24" spans="1:9" ht="13.15">
      <c r="A24" s="21"/>
      <c r="B24" s="21"/>
      <c r="C24" s="21"/>
      <c r="D24" s="21"/>
      <c r="E24" s="21"/>
      <c r="F24" s="21"/>
      <c r="G24" s="21"/>
      <c r="H24" s="21"/>
      <c r="I24" s="21"/>
    </row>
    <row r="25" spans="1:9" ht="13.15">
      <c r="A25" s="21"/>
      <c r="B25" s="21"/>
      <c r="C25" s="21"/>
      <c r="D25" s="21"/>
      <c r="E25" s="21"/>
      <c r="F25" s="21"/>
      <c r="G25" s="21"/>
      <c r="H25" s="21"/>
      <c r="I25" s="21"/>
    </row>
    <row r="26" spans="1:9" ht="13.15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3.15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3.15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3.15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3.1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8 I4:I98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conditionalFormatting sqref="G4:G21">
    <cfRule type="cellIs" dxfId="32" priority="1" stopIfTrue="1" operator="lessThanOrEqual">
      <formula>-0.1</formula>
    </cfRule>
    <cfRule type="expression" dxfId="31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0"/>
  <sheetViews>
    <sheetView workbookViewId="0">
      <pane xSplit="2" ySplit="3" topLeftCell="C4" activePane="bottomRight" state="frozen"/>
      <selection pane="bottomRight" activeCell="F33" sqref="F33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JLL</v>
      </c>
      <c r="B1" s="56"/>
      <c r="C1" s="56"/>
      <c r="D1" s="57" t="s">
        <v>14</v>
      </c>
      <c r="E1" s="57"/>
      <c r="F1" s="57"/>
      <c r="G1" s="55" t="s">
        <v>15</v>
      </c>
      <c r="H1" s="55"/>
      <c r="I1" s="55"/>
    </row>
    <row r="2" spans="1:9" ht="19.5" customHeight="1">
      <c r="A2" s="58" t="s">
        <v>2</v>
      </c>
      <c r="B2" s="58"/>
      <c r="C2" s="5">
        <f>SUM(C4:C98)</f>
        <v>151301.587</v>
      </c>
      <c r="D2" s="5">
        <f>SUM(D4:D98)</f>
        <v>0</v>
      </c>
      <c r="E2" s="5">
        <f>C2-D2</f>
        <v>151301.587</v>
      </c>
      <c r="F2" s="6">
        <f>IFERROR(E2/D2, 0)</f>
        <v>0</v>
      </c>
      <c r="G2" s="5">
        <f>SUM(G4:G98)</f>
        <v>0</v>
      </c>
      <c r="H2" s="7">
        <f>C2-G2</f>
        <v>151301.587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21">Sites[Site]</f>
        <v>Bullhead</v>
      </c>
      <c r="B4" s="9" t="str" cm="1">
        <f t="array" ref="B4:B21">Sites[State]</f>
        <v>AZ</v>
      </c>
      <c r="C4" s="24">
        <f>SUM(Jul!C4, Aug!C4, Sep!C4)</f>
        <v>406.81600000000003</v>
      </c>
      <c r="D4" s="13">
        <f>SUM(Jul!D4, Aug!D4, Sep!D4)</f>
        <v>0</v>
      </c>
      <c r="E4" s="13">
        <f>IF(AND(ISNUMBER(C4),ISNUMBER(D4)), C4-D4, "")</f>
        <v>406.81600000000003</v>
      </c>
      <c r="F4" s="14" t="str">
        <f>IFERROR(E4/D4, "")</f>
        <v/>
      </c>
      <c r="G4" s="15">
        <f>SUM(Jul!G4, Aug!G4, Sep!G4)</f>
        <v>0</v>
      </c>
      <c r="H4" s="15">
        <f>SUM(Jul!H4, Aug!H4, Sep!H4)</f>
        <v>406.81600000000003</v>
      </c>
      <c r="I4" s="16" t="str">
        <f>IFERROR(H4/G4, "")</f>
        <v/>
      </c>
    </row>
    <row r="5" spans="1:9" ht="15.75">
      <c r="A5" s="17" t="str">
        <v>Peoria</v>
      </c>
      <c r="B5" s="10" t="str">
        <v>AZ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SUM(Jul!G5, Aug!G5, Sep!G5)</f>
        <v>0</v>
      </c>
      <c r="H5" s="20">
        <f>SUM(Jul!H5, Aug!H5, Sep!H5)</f>
        <v>0</v>
      </c>
      <c r="I5" s="19" t="str">
        <f>IFERROR(H5/G5, "")</f>
        <v/>
      </c>
    </row>
    <row r="6" spans="1:9" ht="15.75">
      <c r="A6" s="12" t="str">
        <v>Tucson</v>
      </c>
      <c r="B6" s="9" t="str">
        <v>AZ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SUM(Jul!G6, Aug!G6, Sep!G6)</f>
        <v>0</v>
      </c>
      <c r="H6" s="15">
        <f>SUM(Jul!H6, Aug!H6, Sep!H6)</f>
        <v>0</v>
      </c>
      <c r="I6" s="16" t="str">
        <f t="shared" ref="I6:I15" si="2">IFERROR(H6/G6, "")</f>
        <v/>
      </c>
    </row>
    <row r="7" spans="1:9" ht="15.75">
      <c r="A7" s="17" t="str">
        <v>Hialeah</v>
      </c>
      <c r="B7" s="10" t="str">
        <v>FL</v>
      </c>
      <c r="C7" s="11">
        <f>SUM(Jul!C7, Aug!C7, Sep!C7)</f>
        <v>328.14100000000002</v>
      </c>
      <c r="D7" s="18">
        <f>SUM(Jul!D7, Aug!D7, Sep!D7)</f>
        <v>0</v>
      </c>
      <c r="E7" s="18">
        <f t="shared" si="0"/>
        <v>328.14100000000002</v>
      </c>
      <c r="F7" s="19" t="str">
        <f t="shared" si="1"/>
        <v/>
      </c>
      <c r="G7" s="20">
        <f>SUM(Jul!G7, Aug!G7, Sep!G7)</f>
        <v>0</v>
      </c>
      <c r="H7" s="20">
        <f>SUM(Jul!H7, Aug!H7, Sep!H7)</f>
        <v>328.14100000000002</v>
      </c>
      <c r="I7" s="19" t="str">
        <f t="shared" si="2"/>
        <v/>
      </c>
    </row>
    <row r="8" spans="1:9" ht="15.75">
      <c r="A8" s="12" t="str">
        <v>Jacksonville</v>
      </c>
      <c r="B8" s="9" t="str">
        <v>FL</v>
      </c>
      <c r="C8" s="24">
        <f>SUM(Jul!C8, Aug!C8, Sep!C8)</f>
        <v>244.15</v>
      </c>
      <c r="D8" s="13">
        <f>SUM(Jul!D8, Aug!D8, Sep!D8)</f>
        <v>0</v>
      </c>
      <c r="E8" s="13">
        <f t="shared" si="0"/>
        <v>244.15</v>
      </c>
      <c r="F8" s="14" t="str">
        <f t="shared" si="1"/>
        <v/>
      </c>
      <c r="G8" s="15">
        <f>SUM(Jul!G8, Aug!G8, Sep!G8)</f>
        <v>0</v>
      </c>
      <c r="H8" s="15">
        <f>SUM(Jul!H8, Aug!H8, Sep!H8)</f>
        <v>244.15</v>
      </c>
      <c r="I8" s="16" t="str">
        <f t="shared" si="2"/>
        <v/>
      </c>
    </row>
    <row r="9" spans="1:9" ht="15.75">
      <c r="A9" s="17" t="str">
        <v>Miami Gardens</v>
      </c>
      <c r="B9" s="10" t="str">
        <v>FL</v>
      </c>
      <c r="C9" s="11">
        <f>SUM(Jul!C9, Aug!C9, Sep!C9)</f>
        <v>172.89999999999998</v>
      </c>
      <c r="D9" s="18">
        <f>SUM(Jul!D9, Aug!D9, Sep!D9)</f>
        <v>0</v>
      </c>
      <c r="E9" s="18">
        <f t="shared" si="0"/>
        <v>172.89999999999998</v>
      </c>
      <c r="F9" s="19" t="str">
        <f t="shared" si="1"/>
        <v/>
      </c>
      <c r="G9" s="20">
        <f>SUM(Jul!G9, Aug!G9, Sep!G9)</f>
        <v>0</v>
      </c>
      <c r="H9" s="20">
        <f>SUM(Jul!H9, Aug!H9, Sep!H9)</f>
        <v>172.89999999999998</v>
      </c>
      <c r="I9" s="19" t="str">
        <f t="shared" si="2"/>
        <v/>
      </c>
    </row>
    <row r="10" spans="1:9" ht="15.75">
      <c r="A10" s="12" t="str">
        <v>Fort Myers</v>
      </c>
      <c r="B10" s="9" t="str">
        <v>FL</v>
      </c>
      <c r="C10" s="24">
        <f>SUM(Jul!C10, Aug!C10, Sep!C10)</f>
        <v>18275.881999999998</v>
      </c>
      <c r="D10" s="13">
        <f>SUM(Jul!D10, Aug!D10, Sep!D10)</f>
        <v>0</v>
      </c>
      <c r="E10" s="13">
        <f t="shared" si="0"/>
        <v>18275.881999999998</v>
      </c>
      <c r="F10" s="14" t="str">
        <f t="shared" si="1"/>
        <v/>
      </c>
      <c r="G10" s="15">
        <f>SUM(Jul!G10, Aug!G10, Sep!G10)</f>
        <v>0</v>
      </c>
      <c r="H10" s="15">
        <f>SUM(Jul!H10, Aug!H10, Sep!H10)</f>
        <v>18275.881999999998</v>
      </c>
      <c r="I10" s="16" t="str">
        <f t="shared" si="2"/>
        <v/>
      </c>
    </row>
    <row r="11" spans="1:9" ht="15.75">
      <c r="A11" s="17" t="str">
        <v>Orlando</v>
      </c>
      <c r="B11" s="10" t="str">
        <v>FL</v>
      </c>
      <c r="C11" s="11">
        <f>SUM(Jul!C11, Aug!C11, Sep!C11)</f>
        <v>15080.300000000001</v>
      </c>
      <c r="D11" s="18">
        <f>SUM(Jul!D11, Aug!D11, Sep!D11)</f>
        <v>0</v>
      </c>
      <c r="E11" s="18">
        <f t="shared" si="0"/>
        <v>15080.300000000001</v>
      </c>
      <c r="F11" s="19" t="str">
        <f t="shared" si="1"/>
        <v/>
      </c>
      <c r="G11" s="20">
        <f>SUM(Jul!G11, Aug!G11, Sep!G11)</f>
        <v>0</v>
      </c>
      <c r="H11" s="20">
        <f>SUM(Jul!H11, Aug!H11, Sep!H11)</f>
        <v>15080.300000000001</v>
      </c>
      <c r="I11" s="19" t="str">
        <f t="shared" si="2"/>
        <v/>
      </c>
    </row>
    <row r="12" spans="1:9" ht="15.75">
      <c r="A12" s="12" t="str">
        <v>Port St. Lucie</v>
      </c>
      <c r="B12" s="9" t="str">
        <v>FL</v>
      </c>
      <c r="C12" s="24">
        <f>SUM(Jul!C12, Aug!C12, Sep!C12)</f>
        <v>27259.09</v>
      </c>
      <c r="D12" s="13">
        <f>SUM(Jul!D12, Aug!D12, Sep!D12)</f>
        <v>0</v>
      </c>
      <c r="E12" s="13">
        <f t="shared" si="0"/>
        <v>27259.09</v>
      </c>
      <c r="F12" s="14" t="str">
        <f t="shared" si="1"/>
        <v/>
      </c>
      <c r="G12" s="15">
        <f>SUM(Jul!G12, Aug!G12, Sep!G12)</f>
        <v>0</v>
      </c>
      <c r="H12" s="15">
        <f>SUM(Jul!H12, Aug!H12, Sep!H12)</f>
        <v>27259.09</v>
      </c>
      <c r="I12" s="16" t="str">
        <f t="shared" si="2"/>
        <v/>
      </c>
    </row>
    <row r="13" spans="1:9" ht="15.75">
      <c r="A13" s="17" t="str">
        <v>Tampa</v>
      </c>
      <c r="B13" s="10" t="str">
        <v>FL</v>
      </c>
      <c r="C13" s="11">
        <f>SUM(Jul!C13, Aug!C13, Sep!C13)</f>
        <v>20536.572000000004</v>
      </c>
      <c r="D13" s="18">
        <f>SUM(Jul!D13, Aug!D13, Sep!D13)</f>
        <v>0</v>
      </c>
      <c r="E13" s="18">
        <f t="shared" si="0"/>
        <v>20536.572000000004</v>
      </c>
      <c r="F13" s="19" t="str">
        <f t="shared" si="1"/>
        <v/>
      </c>
      <c r="G13" s="20">
        <f>SUM(Jul!G13, Aug!G13, Sep!G13)</f>
        <v>0</v>
      </c>
      <c r="H13" s="20">
        <f>SUM(Jul!H13, Aug!H13, Sep!H13)</f>
        <v>20536.572000000004</v>
      </c>
      <c r="I13" s="19" t="str">
        <f t="shared" si="2"/>
        <v/>
      </c>
    </row>
    <row r="14" spans="1:9" ht="15.75">
      <c r="A14" s="12" t="str">
        <v>Roswell</v>
      </c>
      <c r="B14" s="9" t="str">
        <v>GA</v>
      </c>
      <c r="C14" s="24">
        <f>SUM(Jul!C14, Aug!C14, Sep!C14)</f>
        <v>19454.13</v>
      </c>
      <c r="D14" s="13">
        <f>SUM(Jul!D14, Aug!D14, Sep!D14)</f>
        <v>0</v>
      </c>
      <c r="E14" s="13">
        <f t="shared" si="0"/>
        <v>19454.13</v>
      </c>
      <c r="F14" s="14" t="str">
        <f t="shared" si="1"/>
        <v/>
      </c>
      <c r="G14" s="15">
        <f>SUM(Jul!G14, Aug!G14, Sep!G14)</f>
        <v>0</v>
      </c>
      <c r="H14" s="15">
        <f>SUM(Jul!H14, Aug!H14, Sep!H14)</f>
        <v>19454.13</v>
      </c>
      <c r="I14" s="16" t="str">
        <f t="shared" si="2"/>
        <v/>
      </c>
    </row>
    <row r="15" spans="1:9" ht="15.75">
      <c r="A15" s="17" t="str">
        <v>Charlotte</v>
      </c>
      <c r="B15" s="10" t="str">
        <v>NC</v>
      </c>
      <c r="C15" s="11">
        <f>SUM(Jul!C15, Aug!C15, Sep!C15)</f>
        <v>6958.2</v>
      </c>
      <c r="D15" s="18">
        <f>SUM(Jul!D15, Aug!D15, Sep!D15)</f>
        <v>0</v>
      </c>
      <c r="E15" s="18">
        <f t="shared" si="0"/>
        <v>6958.2</v>
      </c>
      <c r="F15" s="19" t="str">
        <f t="shared" si="1"/>
        <v/>
      </c>
      <c r="G15" s="20">
        <f>SUM(Jul!G15, Aug!G15, Sep!G15)</f>
        <v>0</v>
      </c>
      <c r="H15" s="20">
        <f>SUM(Jul!H15, Aug!H15, Sep!H15)</f>
        <v>6958.2</v>
      </c>
      <c r="I15" s="19" t="str">
        <f t="shared" si="2"/>
        <v/>
      </c>
    </row>
    <row r="16" spans="1:9" ht="15.75">
      <c r="A16" s="12" t="str">
        <v>Raleigh</v>
      </c>
      <c r="B16" s="9" t="str">
        <v>NC</v>
      </c>
      <c r="C16" s="24">
        <f>SUM(Jul!C16, Aug!C16, Sep!C16)</f>
        <v>9232.1</v>
      </c>
      <c r="D16" s="13">
        <f>SUM(Jul!D16, Aug!D16, Sep!D16)</f>
        <v>0</v>
      </c>
      <c r="E16" s="13">
        <f t="shared" ref="E16:E17" si="3">IF(AND(ISNUMBER(C16),ISNUMBER(D16)), C16-D16, "")</f>
        <v>9232.1</v>
      </c>
      <c r="F16" s="14" t="str">
        <f t="shared" ref="F16:F17" si="4">IFERROR(E16/D16, "")</f>
        <v/>
      </c>
      <c r="G16" s="15">
        <f>SUM(Jul!G16, Aug!G16, Sep!G16)</f>
        <v>0</v>
      </c>
      <c r="H16" s="15">
        <f>SUM(Jul!H16, Aug!H16, Sep!H16)</f>
        <v>9232.1</v>
      </c>
      <c r="I16" s="16" t="str">
        <f t="shared" ref="I16:I17" si="5">IFERROR(H16/G16, "")</f>
        <v/>
      </c>
    </row>
    <row r="17" spans="1:9" ht="15.75">
      <c r="A17" s="17" t="str">
        <v>Cordova</v>
      </c>
      <c r="B17" s="10" t="str">
        <v>TN</v>
      </c>
      <c r="C17" s="11">
        <f>SUM(Jul!C17, Aug!C17, Sep!C17)</f>
        <v>11804.599999999999</v>
      </c>
      <c r="D17" s="18">
        <f>SUM(Jul!D17, Aug!D17, Sep!D17)</f>
        <v>0</v>
      </c>
      <c r="E17" s="18">
        <f t="shared" si="3"/>
        <v>11804.599999999999</v>
      </c>
      <c r="F17" s="19" t="str">
        <f t="shared" si="4"/>
        <v/>
      </c>
      <c r="G17" s="20">
        <f>SUM(Jul!G17, Aug!G17, Sep!G17)</f>
        <v>0</v>
      </c>
      <c r="H17" s="20">
        <f>SUM(Jul!H17, Aug!H17, Sep!H17)</f>
        <v>11804.599999999999</v>
      </c>
      <c r="I17" s="19" t="str">
        <f t="shared" si="5"/>
        <v/>
      </c>
    </row>
    <row r="18" spans="1:9" ht="12.75" customHeight="1">
      <c r="A18" s="12" t="str">
        <v>Austin</v>
      </c>
      <c r="B18" s="9" t="str">
        <v>TX</v>
      </c>
      <c r="C18" s="24">
        <f>SUM(Jul!C18, Aug!C18, Sep!C18)</f>
        <v>3732.4</v>
      </c>
      <c r="D18" s="13">
        <f>SUM(Jul!D18, Aug!D18, Sep!D18)</f>
        <v>0</v>
      </c>
      <c r="E18" s="13">
        <f t="shared" ref="E18:E21" si="6">IF(AND(ISNUMBER(C18),ISNUMBER(D18)), C18-D18, "")</f>
        <v>3732.4</v>
      </c>
      <c r="F18" s="14" t="str">
        <f t="shared" ref="F18:F21" si="7">IFERROR(E18/D18, "")</f>
        <v/>
      </c>
      <c r="G18" s="15">
        <f>SUM(Jul!G18, Aug!G18, Sep!G18)</f>
        <v>0</v>
      </c>
      <c r="H18" s="15">
        <f>SUM(Jul!H18, Aug!H18, Sep!H18)</f>
        <v>3732.4</v>
      </c>
      <c r="I18" s="16" t="str">
        <f t="shared" ref="I18:I21" si="8">IFERROR(H18/G18, "")</f>
        <v/>
      </c>
    </row>
    <row r="19" spans="1:9" ht="15.75">
      <c r="A19" s="17" t="str">
        <v>Frisco</v>
      </c>
      <c r="B19" s="10" t="str">
        <v>TX</v>
      </c>
      <c r="C19" s="11">
        <f>SUM(Jul!C19, Aug!C19, Sep!C19)</f>
        <v>9011.2000000000007</v>
      </c>
      <c r="D19" s="18">
        <f>SUM(Jul!D19, Aug!D19, Sep!D19)</f>
        <v>0</v>
      </c>
      <c r="E19" s="18">
        <f t="shared" si="6"/>
        <v>9011.2000000000007</v>
      </c>
      <c r="F19" s="19" t="str">
        <f t="shared" si="7"/>
        <v/>
      </c>
      <c r="G19" s="20">
        <f>SUM(Jul!G19, Aug!G19, Sep!G19)</f>
        <v>0</v>
      </c>
      <c r="H19" s="20">
        <f>SUM(Jul!H19, Aug!H19, Sep!H19)</f>
        <v>9011.2000000000007</v>
      </c>
      <c r="I19" s="19" t="str">
        <f t="shared" si="8"/>
        <v/>
      </c>
    </row>
    <row r="20" spans="1:9" ht="15.75">
      <c r="A20" s="12" t="str">
        <v>Copperfield</v>
      </c>
      <c r="B20" s="9" t="str">
        <v>TX</v>
      </c>
      <c r="C20" s="24">
        <f>SUM(Jul!C20, Aug!C20, Sep!C20)</f>
        <v>595.20600000000002</v>
      </c>
      <c r="D20" s="13">
        <f>SUM(Jul!D20, Aug!D20, Sep!D20)</f>
        <v>0</v>
      </c>
      <c r="E20" s="13">
        <f t="shared" si="6"/>
        <v>595.20600000000002</v>
      </c>
      <c r="F20" s="14" t="str">
        <f t="shared" si="7"/>
        <v/>
      </c>
      <c r="G20" s="15">
        <f>SUM(Jul!G20, Aug!G20, Sep!G20)</f>
        <v>0</v>
      </c>
      <c r="H20" s="15">
        <f>SUM(Jul!H20, Aug!H20, Sep!H20)</f>
        <v>595.20600000000002</v>
      </c>
      <c r="I20" s="16" t="str">
        <f t="shared" si="8"/>
        <v/>
      </c>
    </row>
    <row r="21" spans="1:9" ht="15.75">
      <c r="A21" s="17" t="str">
        <v>Plano Bldg A</v>
      </c>
      <c r="B21" s="10" t="str">
        <v>TX</v>
      </c>
      <c r="C21" s="11">
        <f>SUM(Jul!C21, Aug!C21, Sep!C21)</f>
        <v>8209.9</v>
      </c>
      <c r="D21" s="18">
        <f>SUM(Jul!D21, Aug!D21, Sep!D21)</f>
        <v>0</v>
      </c>
      <c r="E21" s="18">
        <f t="shared" si="6"/>
        <v>8209.9</v>
      </c>
      <c r="F21" s="19" t="str">
        <f t="shared" si="7"/>
        <v/>
      </c>
      <c r="G21" s="20">
        <f>SUM(Jul!G21, Aug!G21, Sep!G21)</f>
        <v>0</v>
      </c>
      <c r="H21" s="20">
        <f>SUM(Jul!H21, Aug!H21, Sep!H21)</f>
        <v>8209.9</v>
      </c>
      <c r="I21" s="19" t="str">
        <f t="shared" si="8"/>
        <v/>
      </c>
    </row>
    <row r="22" spans="1:9" ht="13.15">
      <c r="A22" s="21"/>
      <c r="B22" s="21"/>
      <c r="C22" s="21"/>
      <c r="D22" s="21"/>
      <c r="E22" s="21"/>
      <c r="F22" s="21"/>
      <c r="G22" s="21"/>
      <c r="H22" s="21"/>
      <c r="I22" s="21"/>
    </row>
    <row r="23" spans="1:9" ht="13.15">
      <c r="A23" s="21"/>
      <c r="B23" s="21"/>
      <c r="C23" s="21"/>
      <c r="D23" s="21"/>
      <c r="E23" s="21"/>
      <c r="F23" s="21"/>
      <c r="G23" s="21"/>
      <c r="H23" s="21"/>
      <c r="I23" s="21"/>
    </row>
    <row r="24" spans="1:9" ht="13.15">
      <c r="A24" s="21"/>
      <c r="B24" s="21"/>
      <c r="C24" s="21"/>
      <c r="D24" s="21"/>
      <c r="E24" s="21"/>
      <c r="F24" s="21"/>
      <c r="G24" s="21"/>
      <c r="H24" s="21"/>
      <c r="I24" s="21"/>
    </row>
    <row r="25" spans="1:9" ht="13.15">
      <c r="A25" s="21"/>
      <c r="B25" s="21"/>
      <c r="C25" s="21"/>
      <c r="D25" s="21"/>
      <c r="E25" s="21"/>
      <c r="F25" s="21"/>
      <c r="G25" s="21"/>
      <c r="H25" s="21"/>
      <c r="I25" s="21"/>
    </row>
    <row r="26" spans="1:9" ht="13.15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3.15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3.15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3.15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3.1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</sheetData>
  <mergeCells count="4">
    <mergeCell ref="G1:I1"/>
    <mergeCell ref="A1:C1"/>
    <mergeCell ref="D1:F1"/>
    <mergeCell ref="A2:B2"/>
  </mergeCells>
  <conditionalFormatting sqref="F2 I2 F4:F98 I4:I98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0"/>
  <sheetViews>
    <sheetView workbookViewId="0">
      <pane xSplit="2" ySplit="3" topLeftCell="C8" activePane="bottomRight" state="frozen"/>
      <selection pane="bottomRight" activeCell="G23" sqref="G23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JLL</v>
      </c>
      <c r="B1" s="56"/>
      <c r="C1" s="56"/>
      <c r="D1" s="57" t="s">
        <v>16</v>
      </c>
      <c r="E1" s="57"/>
      <c r="F1" s="57"/>
      <c r="G1" s="55" t="s">
        <v>17</v>
      </c>
      <c r="H1" s="55"/>
      <c r="I1" s="55"/>
    </row>
    <row r="2" spans="1:9" ht="19.5" customHeight="1">
      <c r="A2" s="58" t="s">
        <v>2</v>
      </c>
      <c r="B2" s="58"/>
      <c r="C2" s="5">
        <f>SUM(C4:C98)</f>
        <v>94539.088000000003</v>
      </c>
      <c r="D2" s="5">
        <f>SUM(D4:D98)</f>
        <v>0</v>
      </c>
      <c r="E2" s="5">
        <f>C2-D2</f>
        <v>94539.088000000003</v>
      </c>
      <c r="F2" s="6">
        <f>IFERROR(E2/D2, 0)</f>
        <v>0</v>
      </c>
      <c r="G2" s="5">
        <f>SUM(G4:G98)</f>
        <v>0</v>
      </c>
      <c r="H2" s="7">
        <f>C2-G2</f>
        <v>94539.088000000003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21">Sites[Site]</f>
        <v>Bullhead</v>
      </c>
      <c r="B4" s="9" t="str" cm="1">
        <f t="array" ref="B4:B21">Sites[State]</f>
        <v>AZ</v>
      </c>
      <c r="C4" s="24">
        <f>SUM(Oct!C4, Nov!C4, Dec!C4)</f>
        <v>178.548</v>
      </c>
      <c r="D4" s="13">
        <f>SUM(Oct!D4, Nov!D4, Dec!D4)</f>
        <v>0</v>
      </c>
      <c r="E4" s="13">
        <f>IF(AND(ISNUMBER(C4),ISNUMBER(D4)), C4-D4, "")</f>
        <v>178.548</v>
      </c>
      <c r="F4" s="14" t="str">
        <f>IFERROR(E4/D4, "")</f>
        <v/>
      </c>
      <c r="G4" s="15">
        <f>SUM(Oct!G4, Nov!G4, Dec!G4)</f>
        <v>0</v>
      </c>
      <c r="H4" s="15">
        <f>SUM(Oct!H4, Nov!H4, Dec!H4)</f>
        <v>178.548</v>
      </c>
      <c r="I4" s="16" t="str">
        <f>IFERROR(H4/G4, "")</f>
        <v/>
      </c>
    </row>
    <row r="5" spans="1:9" ht="15.75">
      <c r="A5" s="17" t="str">
        <v>Peoria</v>
      </c>
      <c r="B5" s="10" t="str">
        <v>AZ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SUM(Oct!G5, Nov!G5, Dec!G5)</f>
        <v>0</v>
      </c>
      <c r="H5" s="20">
        <f>SUM(Oct!H5, Nov!H5, Dec!H5)</f>
        <v>0</v>
      </c>
      <c r="I5" s="19" t="str">
        <f>IFERROR(H5/G5, "")</f>
        <v/>
      </c>
    </row>
    <row r="6" spans="1:9" ht="15.75">
      <c r="A6" s="12" t="str">
        <v>Tucson</v>
      </c>
      <c r="B6" s="9" t="str">
        <v>AZ</v>
      </c>
      <c r="C6" s="24">
        <f>SUM(Oct!C6, Nov!C6, Dec!C6)</f>
        <v>1683.58</v>
      </c>
      <c r="D6" s="13">
        <f>SUM(Oct!D6, Nov!D6, Dec!D6)</f>
        <v>0</v>
      </c>
      <c r="E6" s="13">
        <f t="shared" si="0"/>
        <v>1683.58</v>
      </c>
      <c r="F6" s="14" t="str">
        <f t="shared" ref="F6:F15" si="1">IFERROR(E6/D6, "")</f>
        <v/>
      </c>
      <c r="G6" s="15">
        <f>SUM(Oct!G6, Nov!G6, Dec!G6)</f>
        <v>0</v>
      </c>
      <c r="H6" s="15">
        <f>SUM(Oct!H6, Nov!H6, Dec!H6)</f>
        <v>1683.58</v>
      </c>
      <c r="I6" s="16" t="str">
        <f t="shared" ref="I6:I15" si="2">IFERROR(H6/G6, "")</f>
        <v/>
      </c>
    </row>
    <row r="7" spans="1:9" ht="15.75">
      <c r="A7" s="17" t="str">
        <v>Hialeah</v>
      </c>
      <c r="B7" s="10" t="str">
        <v>FL</v>
      </c>
      <c r="C7" s="11">
        <f>SUM(Oct!C7, Nov!C7, Dec!C7)</f>
        <v>-443.30200000000002</v>
      </c>
      <c r="D7" s="18">
        <f>SUM(Oct!D7, Nov!D7, Dec!D7)</f>
        <v>0</v>
      </c>
      <c r="E7" s="18">
        <f t="shared" si="0"/>
        <v>-443.30200000000002</v>
      </c>
      <c r="F7" s="19" t="str">
        <f t="shared" si="1"/>
        <v/>
      </c>
      <c r="G7" s="20">
        <f>SUM(Oct!G7, Nov!G7, Dec!G7)</f>
        <v>0</v>
      </c>
      <c r="H7" s="20">
        <f>SUM(Oct!H7, Nov!H7, Dec!H7)</f>
        <v>-443.30200000000002</v>
      </c>
      <c r="I7" s="19" t="str">
        <f t="shared" si="2"/>
        <v/>
      </c>
    </row>
    <row r="8" spans="1:9" ht="15.75">
      <c r="A8" s="12" t="str">
        <v>Jacksonville</v>
      </c>
      <c r="B8" s="9" t="str">
        <v>FL</v>
      </c>
      <c r="C8" s="24">
        <f>SUM(Oct!C8, Nov!C8, Dec!C8)</f>
        <v>244.61799999999999</v>
      </c>
      <c r="D8" s="13">
        <f>SUM(Oct!D8, Nov!D8, Dec!D8)</f>
        <v>0</v>
      </c>
      <c r="E8" s="13">
        <f t="shared" si="0"/>
        <v>244.61799999999999</v>
      </c>
      <c r="F8" s="14" t="str">
        <f t="shared" si="1"/>
        <v/>
      </c>
      <c r="G8" s="15">
        <f>SUM(Oct!G8, Nov!G8, Dec!G8)</f>
        <v>0</v>
      </c>
      <c r="H8" s="15">
        <f>SUM(Oct!H8, Nov!H8, Dec!H8)</f>
        <v>244.61799999999999</v>
      </c>
      <c r="I8" s="16" t="str">
        <f t="shared" si="2"/>
        <v/>
      </c>
    </row>
    <row r="9" spans="1:9" ht="15.75">
      <c r="A9" s="17" t="str">
        <v>Miami Gardens</v>
      </c>
      <c r="B9" s="10" t="str">
        <v>FL</v>
      </c>
      <c r="C9" s="11">
        <f>SUM(Oct!C9, Nov!C9, Dec!C9)</f>
        <v>245.959</v>
      </c>
      <c r="D9" s="18">
        <f>SUM(Oct!D9, Nov!D9, Dec!D9)</f>
        <v>0</v>
      </c>
      <c r="E9" s="18">
        <f t="shared" si="0"/>
        <v>245.959</v>
      </c>
      <c r="F9" s="19" t="str">
        <f t="shared" si="1"/>
        <v/>
      </c>
      <c r="G9" s="20">
        <f>SUM(Oct!G9, Nov!G9, Dec!G9)</f>
        <v>0</v>
      </c>
      <c r="H9" s="20">
        <f>SUM(Oct!H9, Nov!H9, Dec!H9)</f>
        <v>245.959</v>
      </c>
      <c r="I9" s="19" t="str">
        <f t="shared" si="2"/>
        <v/>
      </c>
    </row>
    <row r="10" spans="1:9" ht="15.75">
      <c r="A10" s="12" t="str">
        <v>Fort Myers</v>
      </c>
      <c r="B10" s="9" t="str">
        <v>FL</v>
      </c>
      <c r="C10" s="24">
        <f>SUM(Oct!C10, Nov!C10, Dec!C10)</f>
        <v>13835.955</v>
      </c>
      <c r="D10" s="13">
        <f>SUM(Oct!D10, Nov!D10, Dec!D10)</f>
        <v>0</v>
      </c>
      <c r="E10" s="13">
        <f t="shared" si="0"/>
        <v>13835.955</v>
      </c>
      <c r="F10" s="14" t="str">
        <f t="shared" si="1"/>
        <v/>
      </c>
      <c r="G10" s="15">
        <f>SUM(Oct!G10, Nov!G10, Dec!G10)</f>
        <v>0</v>
      </c>
      <c r="H10" s="15">
        <f>SUM(Oct!H10, Nov!H10, Dec!H10)</f>
        <v>13835.955</v>
      </c>
      <c r="I10" s="16" t="str">
        <f t="shared" si="2"/>
        <v/>
      </c>
    </row>
    <row r="11" spans="1:9" ht="15.75">
      <c r="A11" s="17" t="str">
        <v>Orlando</v>
      </c>
      <c r="B11" s="10" t="str">
        <v>FL</v>
      </c>
      <c r="C11" s="11">
        <f>SUM(Oct!C11, Nov!C11, Dec!C11)</f>
        <v>10855.513999999999</v>
      </c>
      <c r="D11" s="18">
        <f>SUM(Oct!D11, Nov!D11, Dec!D11)</f>
        <v>0</v>
      </c>
      <c r="E11" s="18">
        <f t="shared" si="0"/>
        <v>10855.513999999999</v>
      </c>
      <c r="F11" s="19" t="str">
        <f t="shared" si="1"/>
        <v/>
      </c>
      <c r="G11" s="20">
        <f>SUM(Oct!G11, Nov!G11, Dec!G11)</f>
        <v>0</v>
      </c>
      <c r="H11" s="20">
        <f>SUM(Oct!H11, Nov!H11, Dec!H11)</f>
        <v>10855.513999999999</v>
      </c>
      <c r="I11" s="19" t="str">
        <f t="shared" si="2"/>
        <v/>
      </c>
    </row>
    <row r="12" spans="1:9" ht="15.75">
      <c r="A12" s="12" t="str">
        <v>Port St. Lucie</v>
      </c>
      <c r="B12" s="9" t="str">
        <v>FL</v>
      </c>
      <c r="C12" s="24">
        <f>SUM(Oct!C12, Nov!C12, Dec!C12)</f>
        <v>19228.119000000002</v>
      </c>
      <c r="D12" s="13">
        <f>SUM(Oct!D12, Nov!D12, Dec!D12)</f>
        <v>0</v>
      </c>
      <c r="E12" s="13">
        <f t="shared" si="0"/>
        <v>19228.119000000002</v>
      </c>
      <c r="F12" s="14" t="str">
        <f t="shared" si="1"/>
        <v/>
      </c>
      <c r="G12" s="15">
        <f>SUM(Oct!G12, Nov!G12, Dec!G12)</f>
        <v>0</v>
      </c>
      <c r="H12" s="15">
        <f>SUM(Oct!H12, Nov!H12, Dec!H12)</f>
        <v>19228.119000000002</v>
      </c>
      <c r="I12" s="16" t="str">
        <f t="shared" si="2"/>
        <v/>
      </c>
    </row>
    <row r="13" spans="1:9" ht="15.75">
      <c r="A13" s="17" t="str">
        <v>Tampa</v>
      </c>
      <c r="B13" s="10" t="str">
        <v>FL</v>
      </c>
      <c r="C13" s="11">
        <f>SUM(Oct!C13, Nov!C13, Dec!C13)</f>
        <v>3762.2910000000002</v>
      </c>
      <c r="D13" s="18">
        <f>SUM(Oct!D13, Nov!D13, Dec!D13)</f>
        <v>0</v>
      </c>
      <c r="E13" s="18">
        <f t="shared" si="0"/>
        <v>3762.2910000000002</v>
      </c>
      <c r="F13" s="19" t="str">
        <f t="shared" si="1"/>
        <v/>
      </c>
      <c r="G13" s="20">
        <f>SUM(Oct!G13, Nov!G13, Dec!G13)</f>
        <v>0</v>
      </c>
      <c r="H13" s="20">
        <f>SUM(Oct!H13, Nov!H13, Dec!H13)</f>
        <v>3762.2910000000002</v>
      </c>
      <c r="I13" s="19" t="str">
        <f t="shared" si="2"/>
        <v/>
      </c>
    </row>
    <row r="14" spans="1:9" ht="15.75">
      <c r="A14" s="12" t="str">
        <v>Roswell</v>
      </c>
      <c r="B14" s="9" t="str">
        <v>GA</v>
      </c>
      <c r="C14" s="24">
        <f>SUM(Oct!C14, Nov!C14, Dec!C14)</f>
        <v>11418.887000000001</v>
      </c>
      <c r="D14" s="13">
        <f>SUM(Oct!D14, Nov!D14, Dec!D14)</f>
        <v>0</v>
      </c>
      <c r="E14" s="13">
        <f t="shared" si="0"/>
        <v>11418.887000000001</v>
      </c>
      <c r="F14" s="14" t="str">
        <f t="shared" si="1"/>
        <v/>
      </c>
      <c r="G14" s="15">
        <f>SUM(Oct!G14, Nov!G14, Dec!G14)</f>
        <v>0</v>
      </c>
      <c r="H14" s="15">
        <f>SUM(Oct!H14, Nov!H14, Dec!H14)</f>
        <v>11418.887000000001</v>
      </c>
      <c r="I14" s="16" t="str">
        <f t="shared" si="2"/>
        <v/>
      </c>
    </row>
    <row r="15" spans="1:9" ht="15.75">
      <c r="A15" s="17" t="str">
        <v>Charlotte</v>
      </c>
      <c r="B15" s="10" t="str">
        <v>NC</v>
      </c>
      <c r="C15" s="11">
        <f>SUM(Oct!C15, Nov!C15, Dec!C15)</f>
        <v>5243.7550000000001</v>
      </c>
      <c r="D15" s="18">
        <f>SUM(Oct!D15, Nov!D15, Dec!D15)</f>
        <v>0</v>
      </c>
      <c r="E15" s="18">
        <f t="shared" si="0"/>
        <v>5243.7550000000001</v>
      </c>
      <c r="F15" s="19" t="str">
        <f t="shared" si="1"/>
        <v/>
      </c>
      <c r="G15" s="20">
        <f>SUM(Oct!G15, Nov!G15, Dec!G15)</f>
        <v>0</v>
      </c>
      <c r="H15" s="20">
        <f>SUM(Oct!H15, Nov!H15, Dec!H15)</f>
        <v>5243.7550000000001</v>
      </c>
      <c r="I15" s="19" t="str">
        <f t="shared" si="2"/>
        <v/>
      </c>
    </row>
    <row r="16" spans="1:9" ht="15.75">
      <c r="A16" s="12" t="str">
        <v>Raleigh</v>
      </c>
      <c r="B16" s="9" t="str">
        <v>NC</v>
      </c>
      <c r="C16" s="24">
        <f>SUM(Oct!C16, Nov!C16, Dec!C16)</f>
        <v>6874.2630000000008</v>
      </c>
      <c r="D16" s="13">
        <f>SUM(Oct!D16, Nov!D16, Dec!D16)</f>
        <v>0</v>
      </c>
      <c r="E16" s="13">
        <f t="shared" ref="E16:E17" si="3">IF(AND(ISNUMBER(C16),ISNUMBER(D16)), C16-D16, "")</f>
        <v>6874.2630000000008</v>
      </c>
      <c r="F16" s="14" t="str">
        <f t="shared" ref="F16:F17" si="4">IFERROR(E16/D16, "")</f>
        <v/>
      </c>
      <c r="G16" s="15">
        <f>SUM(Oct!G16, Nov!G16, Dec!G16)</f>
        <v>0</v>
      </c>
      <c r="H16" s="15">
        <f>SUM(Oct!H16, Nov!H16, Dec!H16)</f>
        <v>6874.2630000000008</v>
      </c>
      <c r="I16" s="16" t="str">
        <f t="shared" ref="I16:I17" si="5">IFERROR(H16/G16, "")</f>
        <v/>
      </c>
    </row>
    <row r="17" spans="1:9" ht="15.75">
      <c r="A17" s="17" t="str">
        <v>Cordova</v>
      </c>
      <c r="B17" s="10" t="str">
        <v>TN</v>
      </c>
      <c r="C17" s="11">
        <f>SUM(Oct!C17, Nov!C17, Dec!C17)</f>
        <v>7365.8040000000001</v>
      </c>
      <c r="D17" s="18">
        <f>SUM(Oct!D17, Nov!D17, Dec!D17)</f>
        <v>0</v>
      </c>
      <c r="E17" s="18">
        <f t="shared" si="3"/>
        <v>7365.8040000000001</v>
      </c>
      <c r="F17" s="19" t="str">
        <f t="shared" si="4"/>
        <v/>
      </c>
      <c r="G17" s="20">
        <f>SUM(Oct!G17, Nov!G17, Dec!G17)</f>
        <v>0</v>
      </c>
      <c r="H17" s="20">
        <f>SUM(Oct!H17, Nov!H17, Dec!H17)</f>
        <v>7365.8040000000001</v>
      </c>
      <c r="I17" s="19" t="str">
        <f t="shared" si="5"/>
        <v/>
      </c>
    </row>
    <row r="18" spans="1:9" ht="12.75" customHeight="1">
      <c r="A18" s="12" t="str">
        <v>Austin</v>
      </c>
      <c r="B18" s="9" t="str">
        <v>TX</v>
      </c>
      <c r="C18" s="24">
        <f>SUM(Oct!C18, Nov!C18, Dec!C18)</f>
        <v>1756.5900000000001</v>
      </c>
      <c r="D18" s="13">
        <f>SUM(Oct!D18, Nov!D18, Dec!D18)</f>
        <v>0</v>
      </c>
      <c r="E18" s="13">
        <f t="shared" ref="E18:E21" si="6">IF(AND(ISNUMBER(C18),ISNUMBER(D18)), C18-D18, "")</f>
        <v>1756.5900000000001</v>
      </c>
      <c r="F18" s="14" t="str">
        <f t="shared" ref="F18:F21" si="7">IFERROR(E18/D18, "")</f>
        <v/>
      </c>
      <c r="G18" s="15">
        <f>SUM(Oct!G18, Nov!G18, Dec!G18)</f>
        <v>0</v>
      </c>
      <c r="H18" s="15">
        <f>SUM(Oct!H18, Nov!H18, Dec!H18)</f>
        <v>1756.5900000000001</v>
      </c>
      <c r="I18" s="16" t="str">
        <f t="shared" ref="I18:I21" si="8">IFERROR(H18/G18, "")</f>
        <v/>
      </c>
    </row>
    <row r="19" spans="1:9" ht="15.75">
      <c r="A19" s="17" t="str">
        <v>Frisco</v>
      </c>
      <c r="B19" s="10" t="str">
        <v>TX</v>
      </c>
      <c r="C19" s="11">
        <f>SUM(Oct!C19, Nov!C19, Dec!C19)</f>
        <v>6510.6979999999994</v>
      </c>
      <c r="D19" s="18">
        <f>SUM(Oct!D19, Nov!D19, Dec!D19)</f>
        <v>0</v>
      </c>
      <c r="E19" s="18">
        <f t="shared" si="6"/>
        <v>6510.6979999999994</v>
      </c>
      <c r="F19" s="19" t="str">
        <f t="shared" si="7"/>
        <v/>
      </c>
      <c r="G19" s="20">
        <f>SUM(Oct!G19, Nov!G19, Dec!G19)</f>
        <v>0</v>
      </c>
      <c r="H19" s="20">
        <f>SUM(Oct!H19, Nov!H19, Dec!H19)</f>
        <v>6510.6979999999994</v>
      </c>
      <c r="I19" s="19" t="str">
        <f t="shared" si="8"/>
        <v/>
      </c>
    </row>
    <row r="20" spans="1:9" ht="15.75">
      <c r="A20" s="12" t="str">
        <v>Copperfield</v>
      </c>
      <c r="B20" s="9" t="str">
        <v>TX</v>
      </c>
      <c r="C20" s="24">
        <f>SUM(Oct!C20, Nov!C20, Dec!C20)</f>
        <v>3860.9390000000003</v>
      </c>
      <c r="D20" s="13">
        <f>SUM(Oct!D20, Nov!D20, Dec!D20)</f>
        <v>0</v>
      </c>
      <c r="E20" s="13">
        <f t="shared" si="6"/>
        <v>3860.9390000000003</v>
      </c>
      <c r="F20" s="14" t="str">
        <f t="shared" si="7"/>
        <v/>
      </c>
      <c r="G20" s="15">
        <f>SUM(Oct!G20, Nov!G20, Dec!G20)</f>
        <v>0</v>
      </c>
      <c r="H20" s="15">
        <f>SUM(Oct!H20, Nov!H20, Dec!H20)</f>
        <v>3860.9390000000003</v>
      </c>
      <c r="I20" s="16" t="str">
        <f t="shared" si="8"/>
        <v/>
      </c>
    </row>
    <row r="21" spans="1:9" ht="15.75">
      <c r="A21" s="17" t="str">
        <v>Plano Bldg A</v>
      </c>
      <c r="B21" s="10" t="str">
        <v>TX</v>
      </c>
      <c r="C21" s="11">
        <f>SUM(Oct!C21, Nov!C21, Dec!C21)</f>
        <v>1916.8700000000001</v>
      </c>
      <c r="D21" s="18">
        <f>SUM(Oct!D21, Nov!D21, Dec!D21)</f>
        <v>0</v>
      </c>
      <c r="E21" s="18">
        <f t="shared" si="6"/>
        <v>1916.8700000000001</v>
      </c>
      <c r="F21" s="19" t="str">
        <f t="shared" si="7"/>
        <v/>
      </c>
      <c r="G21" s="20">
        <f>SUM(Oct!G21, Nov!G21, Dec!G21)</f>
        <v>0</v>
      </c>
      <c r="H21" s="20">
        <f>SUM(Oct!H21, Nov!H21, Dec!H21)</f>
        <v>1916.8700000000001</v>
      </c>
      <c r="I21" s="19" t="str">
        <f t="shared" si="8"/>
        <v/>
      </c>
    </row>
    <row r="22" spans="1:9" ht="13.15">
      <c r="A22" s="21"/>
      <c r="B22" s="21"/>
      <c r="C22" s="21"/>
      <c r="D22" s="21"/>
      <c r="E22" s="21"/>
      <c r="F22" s="21"/>
      <c r="G22" s="21"/>
      <c r="H22" s="21"/>
      <c r="I22" s="21"/>
    </row>
    <row r="23" spans="1:9" ht="13.15">
      <c r="A23" s="21"/>
      <c r="B23" s="21"/>
      <c r="C23" s="21"/>
      <c r="D23" s="21"/>
      <c r="E23" s="21"/>
      <c r="F23" s="21"/>
      <c r="G23" s="21"/>
      <c r="H23" s="21"/>
      <c r="I23" s="21"/>
    </row>
    <row r="24" spans="1:9" ht="13.15">
      <c r="A24" s="21"/>
      <c r="B24" s="21"/>
      <c r="C24" s="21"/>
      <c r="D24" s="21"/>
      <c r="E24" s="21"/>
      <c r="F24" s="21"/>
      <c r="G24" s="21"/>
      <c r="H24" s="21"/>
      <c r="I24" s="21"/>
    </row>
    <row r="25" spans="1:9" ht="13.15">
      <c r="A25" s="21"/>
      <c r="B25" s="21"/>
      <c r="C25" s="21"/>
      <c r="D25" s="21"/>
      <c r="E25" s="21"/>
      <c r="F25" s="21"/>
      <c r="G25" s="21"/>
      <c r="H25" s="21"/>
      <c r="I25" s="21"/>
    </row>
    <row r="26" spans="1:9" ht="13.15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3.15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3.15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3.15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3.1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</sheetData>
  <mergeCells count="4">
    <mergeCell ref="G1:I1"/>
    <mergeCell ref="A1:C1"/>
    <mergeCell ref="D1:F1"/>
    <mergeCell ref="A2:B2"/>
  </mergeCells>
  <conditionalFormatting sqref="F2 I2 F4:F98 I4:I98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9"/>
  <sheetViews>
    <sheetView workbookViewId="0">
      <pane xSplit="2" ySplit="3" topLeftCell="C4" activePane="bottomRight" state="frozen"/>
      <selection pane="bottomRight" activeCell="A22" sqref="A22:XFD23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JLL</v>
      </c>
      <c r="B1" s="56"/>
      <c r="C1" s="56"/>
      <c r="D1" s="57" t="s">
        <v>18</v>
      </c>
      <c r="E1" s="57"/>
      <c r="F1" s="57"/>
      <c r="G1" s="55" t="s">
        <v>19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SUM(C4:C97)</f>
        <v>0</v>
      </c>
      <c r="D2" s="5">
        <f>SUM(D4:D97)</f>
        <v>0</v>
      </c>
      <c r="E2" s="5">
        <f>C2-D2</f>
        <v>0</v>
      </c>
      <c r="F2" s="6">
        <f>IFERROR(E2/D2, 0)</f>
        <v>0</v>
      </c>
      <c r="G2" s="5">
        <f>SUM(G4:G97)</f>
        <v>0</v>
      </c>
      <c r="H2" s="7">
        <f>C2-G2</f>
        <v>0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1">Sites[Site]</f>
        <v>Bullhead</v>
      </c>
      <c r="B4" s="29" t="str" cm="1">
        <f t="array" ref="B4:B21">Sites[State]</f>
        <v>AZ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Peoria</v>
      </c>
      <c r="B5" s="31" t="str">
        <v>AZ</v>
      </c>
      <c r="C5" s="11"/>
      <c r="D5" s="18"/>
      <c r="E5" s="18" t="str">
        <f t="shared" ref="E5:E15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75">
      <c r="A6" s="28" t="str">
        <v>Tucson</v>
      </c>
      <c r="B6" s="29" t="str">
        <v>AZ</v>
      </c>
      <c r="C6" s="24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Hialeah</v>
      </c>
      <c r="B7" s="31" t="str">
        <v>FL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ref="H7:H15" si="4">IF(AND(ISNUMBER(C7),ISNUMBER(G7)), C7-G7, "")</f>
        <v/>
      </c>
      <c r="I7" s="19" t="str">
        <f t="shared" ref="I7:I15" si="5">IFERROR(H7/G7, "")</f>
        <v/>
      </c>
      <c r="J7" s="42"/>
      <c r="K7" s="43"/>
    </row>
    <row r="8" spans="1:11" ht="15.75">
      <c r="A8" s="28" t="str">
        <v>Jacksonville</v>
      </c>
      <c r="B8" s="29" t="str">
        <v>FL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4"/>
        <v/>
      </c>
      <c r="I8" s="16" t="str">
        <f t="shared" si="5"/>
        <v/>
      </c>
      <c r="J8" s="41"/>
      <c r="K8" s="41"/>
    </row>
    <row r="9" spans="1:11" ht="15.75">
      <c r="A9" s="30" t="str">
        <v>Miami Gardens</v>
      </c>
      <c r="B9" s="31" t="str">
        <v>FL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4"/>
        <v/>
      </c>
      <c r="I9" s="19" t="str">
        <f t="shared" si="5"/>
        <v/>
      </c>
      <c r="J9" s="42"/>
      <c r="K9" s="43"/>
    </row>
    <row r="10" spans="1:11" ht="15.75">
      <c r="A10" s="28" t="str">
        <v>Fort Myers</v>
      </c>
      <c r="B10" s="29" t="str">
        <v>FL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4"/>
        <v/>
      </c>
      <c r="I10" s="16" t="str">
        <f t="shared" si="5"/>
        <v/>
      </c>
      <c r="J10" s="41"/>
      <c r="K10" s="41"/>
    </row>
    <row r="11" spans="1:11" ht="15.75">
      <c r="A11" s="30" t="str">
        <v>Orlando</v>
      </c>
      <c r="B11" s="31" t="str">
        <v>FL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4"/>
        <v/>
      </c>
      <c r="I11" s="19" t="str">
        <f t="shared" si="5"/>
        <v/>
      </c>
      <c r="J11" s="42"/>
      <c r="K11" s="43"/>
    </row>
    <row r="12" spans="1:11" ht="15.75">
      <c r="A12" s="28" t="str">
        <v>Port St. Lucie</v>
      </c>
      <c r="B12" s="29" t="str">
        <v>FL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4"/>
        <v/>
      </c>
      <c r="I12" s="16" t="str">
        <f t="shared" si="5"/>
        <v/>
      </c>
      <c r="J12" s="41"/>
      <c r="K12" s="41"/>
    </row>
    <row r="13" spans="1:11" ht="15.75">
      <c r="A13" s="30" t="str">
        <v>Tampa</v>
      </c>
      <c r="B13" s="31" t="str">
        <v>FL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4"/>
        <v/>
      </c>
      <c r="I13" s="19" t="str">
        <f t="shared" si="5"/>
        <v/>
      </c>
      <c r="J13" s="42"/>
      <c r="K13" s="43"/>
    </row>
    <row r="14" spans="1:11" ht="15.75">
      <c r="A14" s="28" t="str">
        <v>Roswell</v>
      </c>
      <c r="B14" s="29" t="str">
        <v>GA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4"/>
        <v/>
      </c>
      <c r="I14" s="16" t="str">
        <f t="shared" si="5"/>
        <v/>
      </c>
      <c r="J14" s="41"/>
      <c r="K14" s="41"/>
    </row>
    <row r="15" spans="1:11" ht="15.75">
      <c r="A15" s="30" t="str">
        <v>Charlotte</v>
      </c>
      <c r="B15" s="31" t="str">
        <v>NC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4"/>
        <v/>
      </c>
      <c r="I15" s="19" t="str">
        <f t="shared" si="5"/>
        <v/>
      </c>
      <c r="J15" s="42"/>
      <c r="K15" s="43"/>
    </row>
    <row r="16" spans="1:11" ht="15.75">
      <c r="A16" s="28" t="str">
        <v>Raleigh</v>
      </c>
      <c r="B16" s="29" t="str">
        <v>NC</v>
      </c>
      <c r="C16" s="24"/>
      <c r="D16" s="13"/>
      <c r="E16" s="13" t="str">
        <f t="shared" ref="E16:E17" si="6">IF(AND(ISNUMBER(C16),ISNUMBER(D16)), C16-D16, "")</f>
        <v/>
      </c>
      <c r="F16" s="14" t="str">
        <f t="shared" ref="F16:F17" si="7">IFERROR(E16/D16, "")</f>
        <v/>
      </c>
      <c r="G16" s="15"/>
      <c r="H16" s="15" t="str">
        <f t="shared" ref="H16:H17" si="8">IF(AND(ISNUMBER(C16),ISNUMBER(G16)), C16-G16, "")</f>
        <v/>
      </c>
      <c r="I16" s="16" t="str">
        <f t="shared" ref="I16:I17" si="9">IFERROR(H16/G16, "")</f>
        <v/>
      </c>
      <c r="J16" s="41"/>
      <c r="K16" s="41"/>
    </row>
    <row r="17" spans="1:11" ht="15.75">
      <c r="A17" s="30" t="str">
        <v>Cordova</v>
      </c>
      <c r="B17" s="31" t="str">
        <v>TN</v>
      </c>
      <c r="C17" s="11"/>
      <c r="D17" s="18"/>
      <c r="E17" s="18" t="str">
        <f t="shared" si="6"/>
        <v/>
      </c>
      <c r="F17" s="19" t="str">
        <f t="shared" si="7"/>
        <v/>
      </c>
      <c r="G17" s="20"/>
      <c r="H17" s="20" t="str">
        <f t="shared" si="8"/>
        <v/>
      </c>
      <c r="I17" s="19" t="str">
        <f t="shared" si="9"/>
        <v/>
      </c>
      <c r="J17" s="42"/>
      <c r="K17" s="43"/>
    </row>
    <row r="18" spans="1:11" ht="15.75">
      <c r="A18" s="28" t="str">
        <v>Austin</v>
      </c>
      <c r="B18" s="29" t="str">
        <v>TX</v>
      </c>
      <c r="C18" s="24"/>
      <c r="D18" s="13"/>
      <c r="E18" s="13" t="str">
        <f t="shared" ref="E18:E21" si="10">IF(AND(ISNUMBER(C18),ISNUMBER(D18)), C18-D18, "")</f>
        <v/>
      </c>
      <c r="F18" s="14" t="str">
        <f t="shared" ref="F18:F21" si="11">IFERROR(E18/D18, "")</f>
        <v/>
      </c>
      <c r="G18" s="15"/>
      <c r="H18" s="15" t="str">
        <f t="shared" ref="H18:H21" si="12">IF(AND(ISNUMBER(C18),ISNUMBER(G18)), C18-G18, "")</f>
        <v/>
      </c>
      <c r="I18" s="16" t="str">
        <f t="shared" ref="I18:I21" si="13">IFERROR(H18/G18, "")</f>
        <v/>
      </c>
      <c r="J18" s="41"/>
      <c r="K18" s="41"/>
    </row>
    <row r="19" spans="1:11" ht="15.75">
      <c r="A19" s="30" t="str">
        <v>Frisco</v>
      </c>
      <c r="B19" s="31" t="str">
        <v>TX</v>
      </c>
      <c r="C19" s="11"/>
      <c r="D19" s="18"/>
      <c r="E19" s="18" t="str">
        <f t="shared" si="10"/>
        <v/>
      </c>
      <c r="F19" s="19" t="str">
        <f t="shared" si="11"/>
        <v/>
      </c>
      <c r="G19" s="20"/>
      <c r="H19" s="20" t="str">
        <f t="shared" si="12"/>
        <v/>
      </c>
      <c r="I19" s="19" t="str">
        <f t="shared" si="13"/>
        <v/>
      </c>
      <c r="J19" s="42"/>
      <c r="K19" s="43"/>
    </row>
    <row r="20" spans="1:11" ht="15.75">
      <c r="A20" s="28" t="str">
        <v>Copperfield</v>
      </c>
      <c r="B20" s="29" t="str">
        <v>TX</v>
      </c>
      <c r="C20" s="24"/>
      <c r="D20" s="13"/>
      <c r="E20" s="13" t="str">
        <f t="shared" si="10"/>
        <v/>
      </c>
      <c r="F20" s="14" t="str">
        <f t="shared" si="11"/>
        <v/>
      </c>
      <c r="G20" s="15"/>
      <c r="H20" s="15" t="str">
        <f t="shared" si="12"/>
        <v/>
      </c>
      <c r="I20" s="16" t="str">
        <f t="shared" si="13"/>
        <v/>
      </c>
      <c r="J20" s="41"/>
      <c r="K20" s="41"/>
    </row>
    <row r="21" spans="1:11" ht="15.75">
      <c r="A21" s="30" t="str">
        <v>Plano Bldg A</v>
      </c>
      <c r="B21" s="31" t="str">
        <v>TX</v>
      </c>
      <c r="C21" s="11"/>
      <c r="D21" s="18"/>
      <c r="E21" s="18" t="str">
        <f t="shared" si="10"/>
        <v/>
      </c>
      <c r="F21" s="19" t="str">
        <f t="shared" si="11"/>
        <v/>
      </c>
      <c r="G21" s="20"/>
      <c r="H21" s="20" t="str">
        <f t="shared" si="12"/>
        <v/>
      </c>
      <c r="I21" s="19" t="str">
        <f t="shared" si="13"/>
        <v/>
      </c>
      <c r="J21" s="42"/>
      <c r="K21" s="43"/>
    </row>
    <row r="22" spans="1:11" ht="14.2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2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2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2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</sheetData>
  <mergeCells count="4">
    <mergeCell ref="D1:F1"/>
    <mergeCell ref="A1:C1"/>
    <mergeCell ref="G1:I1"/>
    <mergeCell ref="A2:B2"/>
  </mergeCells>
  <conditionalFormatting sqref="F2 I2 F4:F97 I4:I97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0"/>
  <sheetViews>
    <sheetView workbookViewId="0">
      <pane xSplit="2" ySplit="3" topLeftCell="C4" activePane="bottomRight" state="frozen"/>
      <selection pane="bottomRight" activeCell="E27" sqref="E27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JLL</v>
      </c>
      <c r="B1" s="56"/>
      <c r="C1" s="56"/>
      <c r="D1" s="57" t="s">
        <v>22</v>
      </c>
      <c r="E1" s="57"/>
      <c r="F1" s="57"/>
      <c r="G1" s="55" t="s">
        <v>23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SUM(C4:C98)</f>
        <v>0</v>
      </c>
      <c r="D2" s="5">
        <f>SUM(D4:D98)</f>
        <v>0</v>
      </c>
      <c r="E2" s="5">
        <f>C2-D2</f>
        <v>0</v>
      </c>
      <c r="F2" s="6">
        <f>IFERROR(E2/D2, 0)</f>
        <v>0</v>
      </c>
      <c r="G2" s="5">
        <f>SUM(G4:G98)</f>
        <v>0</v>
      </c>
      <c r="H2" s="7">
        <f>C2-G2</f>
        <v>0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1">Sites[Site]</f>
        <v>Bullhead</v>
      </c>
      <c r="B4" s="29" t="str" cm="1">
        <f t="array" ref="B4:B21">Sites[State]</f>
        <v>AZ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Peoria</v>
      </c>
      <c r="B5" s="31" t="str">
        <v>AZ</v>
      </c>
      <c r="C5" s="11"/>
      <c r="D5" s="18"/>
      <c r="E5" s="18" t="str">
        <f t="shared" ref="E5:E15" si="0">IF(AND(ISNUMBER(C5),ISNUMBER(D5)), C5-D5, "")</f>
        <v/>
      </c>
      <c r="F5" s="19" t="str">
        <f>IFERROR(E5/D5, "")</f>
        <v/>
      </c>
      <c r="G5" s="20"/>
      <c r="H5" s="20" t="str">
        <f t="shared" ref="H5:H15" si="1">IF(AND(ISNUMBER(C5),ISNUMBER(G5)), C5-G5, "")</f>
        <v/>
      </c>
      <c r="I5" s="19" t="str">
        <f t="shared" ref="I5:I15" si="2">IFERROR(H5/G5, "")</f>
        <v/>
      </c>
      <c r="J5" s="42"/>
      <c r="K5" s="42"/>
    </row>
    <row r="6" spans="1:11" ht="15.75">
      <c r="A6" s="28" t="str">
        <v>Tucson</v>
      </c>
      <c r="B6" s="29" t="str">
        <v>AZ</v>
      </c>
      <c r="C6" s="24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Hialeah</v>
      </c>
      <c r="B7" s="31" t="str">
        <v>FL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Jacksonville</v>
      </c>
      <c r="B8" s="29" t="str">
        <v>FL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Miami Gardens</v>
      </c>
      <c r="B9" s="31" t="str">
        <v>FL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Fort Myers</v>
      </c>
      <c r="B10" s="29" t="str">
        <v>FL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Orlando</v>
      </c>
      <c r="B11" s="31" t="str">
        <v>FL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Port St. Lucie</v>
      </c>
      <c r="B12" s="29" t="str">
        <v>FL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Tampa</v>
      </c>
      <c r="B13" s="31" t="str">
        <v>FL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Roswell</v>
      </c>
      <c r="B14" s="29" t="str">
        <v>GA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Charlotte</v>
      </c>
      <c r="B15" s="31" t="str">
        <v>NC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Raleigh</v>
      </c>
      <c r="B16" s="29" t="str">
        <v>NC</v>
      </c>
      <c r="C16" s="24"/>
      <c r="D16" s="13"/>
      <c r="E16" s="13" t="str">
        <f t="shared" ref="E16:E17" si="4">IF(AND(ISNUMBER(C16),ISNUMBER(D16)), C16-D16, "")</f>
        <v/>
      </c>
      <c r="F16" s="14" t="str">
        <f t="shared" ref="F16:F17" si="5">IFERROR(E16/D16, "")</f>
        <v/>
      </c>
      <c r="G16" s="15"/>
      <c r="H16" s="15" t="str">
        <f t="shared" ref="H16:H17" si="6">IF(AND(ISNUMBER(C16),ISNUMBER(G16)), C16-G16, "")</f>
        <v/>
      </c>
      <c r="I16" s="16" t="str">
        <f t="shared" ref="I16:I17" si="7">IFERROR(H16/G16, "")</f>
        <v/>
      </c>
      <c r="J16" s="41"/>
      <c r="K16" s="41"/>
    </row>
    <row r="17" spans="1:11" ht="15.75">
      <c r="A17" s="30" t="str">
        <v>Cordova</v>
      </c>
      <c r="B17" s="31" t="str">
        <v>TN</v>
      </c>
      <c r="C17" s="11"/>
      <c r="D17" s="18"/>
      <c r="E17" s="18" t="str">
        <f t="shared" si="4"/>
        <v/>
      </c>
      <c r="F17" s="19" t="str">
        <f t="shared" si="5"/>
        <v/>
      </c>
      <c r="G17" s="20"/>
      <c r="H17" s="20" t="str">
        <f t="shared" si="6"/>
        <v/>
      </c>
      <c r="I17" s="19" t="str">
        <f t="shared" si="7"/>
        <v/>
      </c>
      <c r="J17" s="42"/>
      <c r="K17" s="43"/>
    </row>
    <row r="18" spans="1:11" ht="12.75" customHeight="1">
      <c r="A18" s="28" t="str">
        <v>Austin</v>
      </c>
      <c r="B18" s="29" t="str">
        <v>TX</v>
      </c>
      <c r="C18" s="24"/>
      <c r="D18" s="13"/>
      <c r="E18" s="13" t="str">
        <f t="shared" ref="E18:E21" si="8">IF(AND(ISNUMBER(C18),ISNUMBER(D18)), C18-D18, "")</f>
        <v/>
      </c>
      <c r="F18" s="14" t="str">
        <f t="shared" ref="F18:F21" si="9">IFERROR(E18/D18, "")</f>
        <v/>
      </c>
      <c r="G18" s="15"/>
      <c r="H18" s="15" t="str">
        <f t="shared" ref="H18:H21" si="10">IF(AND(ISNUMBER(C18),ISNUMBER(G18)), C18-G18, "")</f>
        <v/>
      </c>
      <c r="I18" s="16" t="str">
        <f t="shared" ref="I18:I21" si="11">IFERROR(H18/G18, "")</f>
        <v/>
      </c>
      <c r="J18" s="41"/>
      <c r="K18" s="41"/>
    </row>
    <row r="19" spans="1:11" ht="15.75">
      <c r="A19" s="30" t="str">
        <v>Frisco</v>
      </c>
      <c r="B19" s="31" t="str">
        <v>TX</v>
      </c>
      <c r="C19" s="11"/>
      <c r="D19" s="18"/>
      <c r="E19" s="18" t="str">
        <f t="shared" si="8"/>
        <v/>
      </c>
      <c r="F19" s="19" t="str">
        <f t="shared" si="9"/>
        <v/>
      </c>
      <c r="G19" s="20"/>
      <c r="H19" s="20" t="str">
        <f t="shared" si="10"/>
        <v/>
      </c>
      <c r="I19" s="19" t="str">
        <f t="shared" si="11"/>
        <v/>
      </c>
      <c r="J19" s="42"/>
      <c r="K19" s="43"/>
    </row>
    <row r="20" spans="1:11" ht="15.75">
      <c r="A20" s="28" t="str">
        <v>Copperfield</v>
      </c>
      <c r="B20" s="29" t="str">
        <v>TX</v>
      </c>
      <c r="C20" s="24"/>
      <c r="D20" s="13"/>
      <c r="E20" s="13" t="str">
        <f t="shared" si="8"/>
        <v/>
      </c>
      <c r="F20" s="14" t="str">
        <f t="shared" si="9"/>
        <v/>
      </c>
      <c r="G20" s="15"/>
      <c r="H20" s="15" t="str">
        <f t="shared" si="10"/>
        <v/>
      </c>
      <c r="I20" s="16" t="str">
        <f t="shared" si="11"/>
        <v/>
      </c>
      <c r="J20" s="41"/>
      <c r="K20" s="41"/>
    </row>
    <row r="21" spans="1:11" ht="15.75">
      <c r="A21" s="30" t="str">
        <v>Plano Bldg A</v>
      </c>
      <c r="B21" s="31" t="str">
        <v>TX</v>
      </c>
      <c r="C21" s="11"/>
      <c r="D21" s="18"/>
      <c r="E21" s="18" t="str">
        <f t="shared" si="8"/>
        <v/>
      </c>
      <c r="F21" s="19" t="str">
        <f t="shared" si="9"/>
        <v/>
      </c>
      <c r="G21" s="20"/>
      <c r="H21" s="20" t="str">
        <f t="shared" si="10"/>
        <v/>
      </c>
      <c r="I21" s="19" t="str">
        <f t="shared" si="11"/>
        <v/>
      </c>
      <c r="J21" s="42"/>
      <c r="K21" s="43"/>
    </row>
    <row r="22" spans="1:11" ht="14.2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2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2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2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3.9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0"/>
  <sheetViews>
    <sheetView workbookViewId="0">
      <pane xSplit="2" ySplit="3" topLeftCell="C4" activePane="bottomRight" state="frozen"/>
      <selection pane="bottomRight" activeCell="A22" sqref="A22:XFD23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JLL</v>
      </c>
      <c r="B1" s="56"/>
      <c r="C1" s="56"/>
      <c r="D1" s="57" t="s">
        <v>24</v>
      </c>
      <c r="E1" s="57"/>
      <c r="F1" s="57"/>
      <c r="G1" s="55" t="s">
        <v>25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SUM(C4:C98)</f>
        <v>0</v>
      </c>
      <c r="D2" s="5">
        <f>SUM(D4:D98)</f>
        <v>0</v>
      </c>
      <c r="E2" s="5">
        <f>C2-D2</f>
        <v>0</v>
      </c>
      <c r="F2" s="6">
        <f>IFERROR(E2/D2, 0)</f>
        <v>0</v>
      </c>
      <c r="G2" s="5">
        <f>SUM(G4:G98)</f>
        <v>0</v>
      </c>
      <c r="H2" s="7">
        <f>C2-G2</f>
        <v>0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1">Sites[Site]</f>
        <v>Bullhead</v>
      </c>
      <c r="B4" s="29" t="str" cm="1">
        <f t="array" ref="B4:B21">Sites[State]</f>
        <v>AZ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Peoria</v>
      </c>
      <c r="B5" s="31" t="str">
        <v>AZ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Tucson</v>
      </c>
      <c r="B6" s="29" t="str">
        <v>AZ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Hialeah</v>
      </c>
      <c r="B7" s="31" t="str">
        <v>FL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Jacksonville</v>
      </c>
      <c r="B8" s="29" t="str">
        <v>FL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Miami Gardens</v>
      </c>
      <c r="B9" s="31" t="str">
        <v>FL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Fort Myers</v>
      </c>
      <c r="B10" s="29" t="str">
        <v>FL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Orlando</v>
      </c>
      <c r="B11" s="31" t="str">
        <v>FL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Port St. Lucie</v>
      </c>
      <c r="B12" s="29" t="str">
        <v>FL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Tampa</v>
      </c>
      <c r="B13" s="31" t="str">
        <v>FL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Roswell</v>
      </c>
      <c r="B14" s="29" t="str">
        <v>GA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Charlotte</v>
      </c>
      <c r="B15" s="31" t="str">
        <v>NC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Raleigh</v>
      </c>
      <c r="B16" s="29" t="str">
        <v>NC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Cordova</v>
      </c>
      <c r="B17" s="31" t="str">
        <v>TN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Austin</v>
      </c>
      <c r="B18" s="29" t="str">
        <v>TX</v>
      </c>
      <c r="C18" s="24"/>
      <c r="D18" s="13"/>
      <c r="E18" s="13" t="str">
        <f t="shared" ref="E18:E21" si="4">IF(AND(ISNUMBER(C18),ISNUMBER(D18)), C18-D18, "")</f>
        <v/>
      </c>
      <c r="F18" s="14" t="str">
        <f t="shared" ref="F18:F21" si="5">IFERROR(E18/D18, "")</f>
        <v/>
      </c>
      <c r="G18" s="15"/>
      <c r="H18" s="15" t="str">
        <f t="shared" ref="H18:H21" si="6">IF(AND(ISNUMBER(C18),ISNUMBER(G18)), C18-G18, "")</f>
        <v/>
      </c>
      <c r="I18" s="16" t="str">
        <f t="shared" ref="I18:I21" si="7">IFERROR(H18/G18, "")</f>
        <v/>
      </c>
      <c r="J18" s="41"/>
      <c r="K18" s="41"/>
    </row>
    <row r="19" spans="1:11" ht="15.75">
      <c r="A19" s="30" t="str">
        <v>Frisco</v>
      </c>
      <c r="B19" s="31" t="str">
        <v>TX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>Copperfield</v>
      </c>
      <c r="B20" s="29" t="str">
        <v>TX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>Plano Bldg A</v>
      </c>
      <c r="B21" s="31" t="str">
        <v>TX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4.2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2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2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2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3.9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40"/>
  <sheetViews>
    <sheetView zoomScale="80" zoomScaleNormal="80" workbookViewId="0">
      <pane xSplit="2" ySplit="3" topLeftCell="C4" activePane="bottomRight" state="frozen"/>
      <selection pane="bottomRight" activeCell="J27" sqref="J27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6" t="str" cm="1">
        <f t="array" ref="A1">portfolio</f>
        <v>JLL</v>
      </c>
      <c r="B1" s="56"/>
      <c r="C1" s="56"/>
      <c r="D1" s="57" t="s">
        <v>26</v>
      </c>
      <c r="E1" s="57"/>
      <c r="F1" s="57"/>
      <c r="G1" s="55" t="s">
        <v>27</v>
      </c>
      <c r="H1" s="55"/>
      <c r="I1" s="55"/>
      <c r="J1" s="4"/>
      <c r="K1" s="4"/>
    </row>
    <row r="2" spans="1:12" ht="19.5" customHeight="1">
      <c r="A2" s="58" t="s">
        <v>2</v>
      </c>
      <c r="B2" s="58"/>
      <c r="C2" s="5">
        <f>SUM(C4:C98)</f>
        <v>15684.719000000001</v>
      </c>
      <c r="D2" s="5">
        <f>SUM(D4:D98)</f>
        <v>0</v>
      </c>
      <c r="E2" s="5">
        <f>C2-D2</f>
        <v>15684.719000000001</v>
      </c>
      <c r="F2" s="6">
        <f>IFERROR(E2/D2, 0)</f>
        <v>0</v>
      </c>
      <c r="G2" s="5">
        <f>SUM(G4:G98)</f>
        <v>0</v>
      </c>
      <c r="H2" s="7">
        <f>C2-G2</f>
        <v>15684.719000000001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75">
      <c r="A4" s="32" t="str" cm="1">
        <f t="array" ref="A4:A21">Sites[Site]</f>
        <v>Bullhead</v>
      </c>
      <c r="B4" s="29" t="str" cm="1">
        <f t="array" ref="B4:B21">Sites[State]</f>
        <v>AZ</v>
      </c>
      <c r="C4" s="24">
        <v>141.108</v>
      </c>
      <c r="D4" s="13">
        <v>0</v>
      </c>
      <c r="E4" s="13">
        <f>IF(AND(ISNUMBER(C4),ISNUMBER(D4)), C4-D4, "")</f>
        <v>141.108</v>
      </c>
      <c r="F4" s="14" t="str">
        <f>IFERROR(E4/D4, "")</f>
        <v/>
      </c>
      <c r="G4" s="15">
        <v>0</v>
      </c>
      <c r="H4" s="15">
        <f>IF(AND(ISNUMBER(C4),ISNUMBER(G4)), C4-G4, "")</f>
        <v>141.108</v>
      </c>
      <c r="I4" s="16" t="str">
        <f>IFERROR(H4/G4, "")</f>
        <v/>
      </c>
      <c r="J4" s="41"/>
      <c r="K4" s="41"/>
      <c r="L4" s="46"/>
    </row>
    <row r="5" spans="1:12" ht="15.75">
      <c r="A5" s="30" t="str">
        <v>Peoria</v>
      </c>
      <c r="B5" s="31" t="str">
        <v>AZ</v>
      </c>
      <c r="C5" s="11">
        <v>0</v>
      </c>
      <c r="D5" s="18">
        <v>0</v>
      </c>
      <c r="E5" s="18">
        <f t="shared" ref="E5:E17" si="0">IF(AND(ISNUMBER(C5),ISNUMBER(D5)), C5-D5, "")</f>
        <v>0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0</v>
      </c>
      <c r="I5" s="19" t="str">
        <f t="shared" ref="I5:I17" si="2">IFERROR(H5/G5, "")</f>
        <v/>
      </c>
      <c r="J5" s="42" t="s">
        <v>28</v>
      </c>
      <c r="K5" s="42"/>
      <c r="L5" s="46"/>
    </row>
    <row r="6" spans="1:12" ht="15.75">
      <c r="A6" s="28" t="str">
        <v>Tucson</v>
      </c>
      <c r="B6" s="29" t="str">
        <v>AZ</v>
      </c>
      <c r="C6" s="24">
        <v>0</v>
      </c>
      <c r="D6" s="13">
        <v>0</v>
      </c>
      <c r="E6" s="13">
        <f t="shared" si="0"/>
        <v>0</v>
      </c>
      <c r="F6" s="14" t="str">
        <f t="shared" ref="F6:F17" si="3">IFERROR(E6/D6, "")</f>
        <v/>
      </c>
      <c r="G6" s="15">
        <v>0</v>
      </c>
      <c r="H6" s="15">
        <f t="shared" si="1"/>
        <v>0</v>
      </c>
      <c r="I6" s="16" t="str">
        <f t="shared" si="2"/>
        <v/>
      </c>
      <c r="J6" s="41" t="s">
        <v>28</v>
      </c>
      <c r="K6" s="41"/>
      <c r="L6" s="46"/>
    </row>
    <row r="7" spans="1:12" ht="15.75">
      <c r="A7" s="30" t="str">
        <v>Hialeah</v>
      </c>
      <c r="B7" s="31" t="str">
        <v>FL</v>
      </c>
      <c r="C7" s="11">
        <v>324.36900000000003</v>
      </c>
      <c r="D7" s="18">
        <v>0</v>
      </c>
      <c r="E7" s="18">
        <f t="shared" si="0"/>
        <v>324.36900000000003</v>
      </c>
      <c r="F7" s="19" t="str">
        <f t="shared" si="3"/>
        <v/>
      </c>
      <c r="G7" s="20">
        <v>0</v>
      </c>
      <c r="H7" s="20">
        <f t="shared" si="1"/>
        <v>324.36900000000003</v>
      </c>
      <c r="I7" s="19" t="str">
        <f t="shared" si="2"/>
        <v/>
      </c>
      <c r="J7" s="42" t="s">
        <v>29</v>
      </c>
      <c r="K7" s="43"/>
      <c r="L7" s="46"/>
    </row>
    <row r="8" spans="1:12" ht="15.75">
      <c r="A8" s="28" t="str">
        <v>Jacksonville</v>
      </c>
      <c r="B8" s="29" t="str">
        <v>FL</v>
      </c>
      <c r="C8" s="24">
        <v>118.379</v>
      </c>
      <c r="D8" s="13">
        <v>0</v>
      </c>
      <c r="E8" s="13">
        <f t="shared" si="0"/>
        <v>118.379</v>
      </c>
      <c r="F8" s="14" t="str">
        <f t="shared" si="3"/>
        <v/>
      </c>
      <c r="G8" s="15">
        <v>0</v>
      </c>
      <c r="H8" s="15">
        <f t="shared" si="1"/>
        <v>118.379</v>
      </c>
      <c r="I8" s="16" t="str">
        <f t="shared" si="2"/>
        <v/>
      </c>
      <c r="J8" s="41"/>
      <c r="K8" s="41"/>
      <c r="L8" s="46"/>
    </row>
    <row r="9" spans="1:12" ht="15.75">
      <c r="A9" s="30" t="str">
        <v>Miami Gardens</v>
      </c>
      <c r="B9" s="31" t="str">
        <v>FL</v>
      </c>
      <c r="C9" s="11">
        <v>125.39100000000001</v>
      </c>
      <c r="D9" s="18">
        <v>0</v>
      </c>
      <c r="E9" s="18">
        <f t="shared" si="0"/>
        <v>125.39100000000001</v>
      </c>
      <c r="F9" s="19" t="str">
        <f t="shared" si="3"/>
        <v/>
      </c>
      <c r="G9" s="20">
        <v>0</v>
      </c>
      <c r="H9" s="20">
        <f t="shared" si="1"/>
        <v>125.39100000000001</v>
      </c>
      <c r="I9" s="19" t="str">
        <f t="shared" si="2"/>
        <v/>
      </c>
      <c r="J9" s="42"/>
      <c r="K9" s="43"/>
      <c r="L9" s="46"/>
    </row>
    <row r="10" spans="1:12" ht="15.75">
      <c r="A10" s="28" t="str">
        <v>Fort Myers</v>
      </c>
      <c r="B10" s="29" t="str">
        <v>FL</v>
      </c>
      <c r="C10" s="24">
        <v>11.273999999999999</v>
      </c>
      <c r="D10" s="13">
        <v>0</v>
      </c>
      <c r="E10" s="13">
        <f t="shared" si="0"/>
        <v>11.273999999999999</v>
      </c>
      <c r="F10" s="14" t="str">
        <f t="shared" si="3"/>
        <v/>
      </c>
      <c r="G10" s="15">
        <v>0</v>
      </c>
      <c r="H10" s="15">
        <f t="shared" si="1"/>
        <v>11.273999999999999</v>
      </c>
      <c r="I10" s="16" t="str">
        <f t="shared" si="2"/>
        <v/>
      </c>
      <c r="J10" s="41" t="s">
        <v>30</v>
      </c>
      <c r="K10" s="41"/>
      <c r="L10" s="46"/>
    </row>
    <row r="11" spans="1:12" ht="15.75">
      <c r="A11" s="30" t="str">
        <v>Orlando</v>
      </c>
      <c r="B11" s="31" t="str">
        <v>FL</v>
      </c>
      <c r="C11" s="11">
        <v>5857.1670000000004</v>
      </c>
      <c r="D11" s="18">
        <v>0</v>
      </c>
      <c r="E11" s="18">
        <f t="shared" si="0"/>
        <v>5857.1670000000004</v>
      </c>
      <c r="F11" s="19" t="str">
        <f t="shared" si="3"/>
        <v/>
      </c>
      <c r="G11" s="20">
        <v>0</v>
      </c>
      <c r="H11" s="20">
        <f t="shared" si="1"/>
        <v>5857.1670000000004</v>
      </c>
      <c r="I11" s="19" t="str">
        <f t="shared" si="2"/>
        <v/>
      </c>
      <c r="J11" s="42"/>
      <c r="K11" s="43"/>
      <c r="L11" s="46"/>
    </row>
    <row r="12" spans="1:12" ht="15.75">
      <c r="A12" s="28" t="str">
        <v>Port St. Lucie</v>
      </c>
      <c r="B12" s="29" t="str">
        <v>FL</v>
      </c>
      <c r="C12" s="24">
        <v>0</v>
      </c>
      <c r="D12" s="13">
        <v>0</v>
      </c>
      <c r="E12" s="13">
        <f t="shared" si="0"/>
        <v>0</v>
      </c>
      <c r="F12" s="14" t="str">
        <f t="shared" si="3"/>
        <v/>
      </c>
      <c r="G12" s="15">
        <v>0</v>
      </c>
      <c r="H12" s="15">
        <f t="shared" si="1"/>
        <v>0</v>
      </c>
      <c r="I12" s="16" t="str">
        <f t="shared" si="2"/>
        <v/>
      </c>
      <c r="J12" s="41"/>
      <c r="K12" s="41"/>
      <c r="L12" s="46"/>
    </row>
    <row r="13" spans="1:12" ht="15.75">
      <c r="A13" s="30" t="str">
        <v>Tampa</v>
      </c>
      <c r="B13" s="31" t="str">
        <v>FL</v>
      </c>
      <c r="C13" s="11">
        <v>11.939</v>
      </c>
      <c r="D13" s="18">
        <v>0</v>
      </c>
      <c r="E13" s="18">
        <f t="shared" si="0"/>
        <v>11.939</v>
      </c>
      <c r="F13" s="19" t="str">
        <f t="shared" si="3"/>
        <v/>
      </c>
      <c r="G13" s="20">
        <v>0</v>
      </c>
      <c r="H13" s="20">
        <f t="shared" si="1"/>
        <v>11.939</v>
      </c>
      <c r="I13" s="19" t="str">
        <f t="shared" si="2"/>
        <v/>
      </c>
      <c r="J13" s="42"/>
      <c r="K13" s="43"/>
      <c r="L13" s="46"/>
    </row>
    <row r="14" spans="1:12" ht="15.75">
      <c r="A14" s="28" t="str">
        <v>Roswell</v>
      </c>
      <c r="B14" s="29" t="str">
        <v>GA</v>
      </c>
      <c r="C14" s="24">
        <v>15.507999999999999</v>
      </c>
      <c r="D14" s="13">
        <v>0</v>
      </c>
      <c r="E14" s="13">
        <f t="shared" si="0"/>
        <v>15.507999999999999</v>
      </c>
      <c r="F14" s="14" t="str">
        <f t="shared" si="3"/>
        <v/>
      </c>
      <c r="G14" s="15">
        <v>0</v>
      </c>
      <c r="H14" s="15">
        <f t="shared" si="1"/>
        <v>15.507999999999999</v>
      </c>
      <c r="I14" s="16" t="str">
        <f t="shared" si="2"/>
        <v/>
      </c>
      <c r="J14" s="41"/>
      <c r="K14" s="41"/>
      <c r="L14" s="46"/>
    </row>
    <row r="15" spans="1:12" ht="15.75">
      <c r="A15" s="30" t="str">
        <v>Charlotte</v>
      </c>
      <c r="B15" s="31" t="str">
        <v>NC</v>
      </c>
      <c r="C15" s="11">
        <v>2483.3679999999999</v>
      </c>
      <c r="D15" s="18">
        <v>0</v>
      </c>
      <c r="E15" s="18">
        <f t="shared" si="0"/>
        <v>2483.3679999999999</v>
      </c>
      <c r="F15" s="19" t="str">
        <f t="shared" si="3"/>
        <v/>
      </c>
      <c r="G15" s="20">
        <v>0</v>
      </c>
      <c r="H15" s="20">
        <f t="shared" si="1"/>
        <v>2483.3679999999999</v>
      </c>
      <c r="I15" s="19" t="str">
        <f t="shared" si="2"/>
        <v/>
      </c>
      <c r="J15" s="42"/>
      <c r="K15" s="43"/>
      <c r="L15" s="46"/>
    </row>
    <row r="16" spans="1:12" ht="15.75">
      <c r="A16" s="28" t="str">
        <v>Raleigh</v>
      </c>
      <c r="B16" s="29" t="str">
        <v>NC</v>
      </c>
      <c r="C16" s="24">
        <v>3366.3029999999999</v>
      </c>
      <c r="D16" s="13">
        <v>0</v>
      </c>
      <c r="E16" s="13">
        <f t="shared" si="0"/>
        <v>3366.3029999999999</v>
      </c>
      <c r="F16" s="14" t="str">
        <f t="shared" si="3"/>
        <v/>
      </c>
      <c r="G16" s="15">
        <v>0</v>
      </c>
      <c r="H16" s="15">
        <f t="shared" si="1"/>
        <v>3366.3029999999999</v>
      </c>
      <c r="I16" s="16" t="str">
        <f t="shared" si="2"/>
        <v/>
      </c>
      <c r="J16" s="41"/>
      <c r="K16" s="41"/>
      <c r="L16" s="46"/>
    </row>
    <row r="17" spans="1:12" ht="15.75">
      <c r="A17" s="30" t="str">
        <v>Cordova</v>
      </c>
      <c r="B17" s="31" t="str">
        <v>TN</v>
      </c>
      <c r="C17" s="11">
        <v>10.539</v>
      </c>
      <c r="D17" s="18">
        <v>0</v>
      </c>
      <c r="E17" s="18">
        <f t="shared" si="0"/>
        <v>10.539</v>
      </c>
      <c r="F17" s="19" t="str">
        <f t="shared" si="3"/>
        <v/>
      </c>
      <c r="G17" s="20">
        <v>0</v>
      </c>
      <c r="H17" s="20">
        <f t="shared" si="1"/>
        <v>10.539</v>
      </c>
      <c r="I17" s="19" t="str">
        <f t="shared" si="2"/>
        <v/>
      </c>
      <c r="J17" s="42"/>
      <c r="K17" s="43"/>
      <c r="L17" s="46"/>
    </row>
    <row r="18" spans="1:12" ht="12.75" customHeight="1">
      <c r="A18" s="28" t="str">
        <v>Austin</v>
      </c>
      <c r="B18" s="29" t="str">
        <v>TX</v>
      </c>
      <c r="C18" s="24">
        <v>970.52700000000004</v>
      </c>
      <c r="D18" s="13">
        <v>0</v>
      </c>
      <c r="E18" s="13">
        <f t="shared" ref="E18:E21" si="4">IF(AND(ISNUMBER(C18),ISNUMBER(D18)), C18-D18, "")</f>
        <v>970.52700000000004</v>
      </c>
      <c r="F18" s="14" t="str">
        <f t="shared" ref="F18:F21" si="5">IFERROR(E18/D18, "")</f>
        <v/>
      </c>
      <c r="G18" s="15">
        <v>0</v>
      </c>
      <c r="H18" s="15">
        <f t="shared" ref="H18:H21" si="6">IF(AND(ISNUMBER(C18),ISNUMBER(G18)), C18-G18, "")</f>
        <v>970.52700000000004</v>
      </c>
      <c r="I18" s="16" t="str">
        <f t="shared" ref="I18:I21" si="7">IFERROR(H18/G18, "")</f>
        <v/>
      </c>
      <c r="J18" s="41"/>
      <c r="K18" s="41"/>
      <c r="L18" s="46"/>
    </row>
    <row r="19" spans="1:12" ht="15.75">
      <c r="A19" s="30" t="str">
        <v>Frisco</v>
      </c>
      <c r="B19" s="31" t="str">
        <v>TX</v>
      </c>
      <c r="C19" s="11">
        <v>0</v>
      </c>
      <c r="D19" s="18">
        <v>0</v>
      </c>
      <c r="E19" s="18">
        <f t="shared" si="4"/>
        <v>0</v>
      </c>
      <c r="F19" s="19" t="str">
        <f t="shared" si="5"/>
        <v/>
      </c>
      <c r="G19" s="20">
        <v>0</v>
      </c>
      <c r="H19" s="20">
        <f t="shared" si="6"/>
        <v>0</v>
      </c>
      <c r="I19" s="19" t="str">
        <f t="shared" si="7"/>
        <v/>
      </c>
      <c r="J19" s="42"/>
      <c r="K19" s="43"/>
      <c r="L19" s="46"/>
    </row>
    <row r="20" spans="1:12" ht="15.75">
      <c r="A20" s="28" t="str">
        <v>Copperfield</v>
      </c>
      <c r="B20" s="29" t="str">
        <v>TX</v>
      </c>
      <c r="C20" s="24">
        <v>0.13100000000000001</v>
      </c>
      <c r="D20" s="13">
        <v>0</v>
      </c>
      <c r="E20" s="13">
        <f t="shared" si="4"/>
        <v>0.13100000000000001</v>
      </c>
      <c r="F20" s="14" t="str">
        <f t="shared" si="5"/>
        <v/>
      </c>
      <c r="G20" s="15">
        <v>0</v>
      </c>
      <c r="H20" s="15">
        <f t="shared" si="6"/>
        <v>0.13100000000000001</v>
      </c>
      <c r="I20" s="16" t="str">
        <f t="shared" si="7"/>
        <v/>
      </c>
      <c r="J20" s="41"/>
      <c r="K20" s="41"/>
      <c r="L20" s="46"/>
    </row>
    <row r="21" spans="1:12" ht="15.75">
      <c r="A21" s="30" t="str">
        <v>Plano Bldg A</v>
      </c>
      <c r="B21" s="31" t="str">
        <v>TX</v>
      </c>
      <c r="C21" s="11">
        <v>2248.7159999999999</v>
      </c>
      <c r="D21" s="18">
        <v>0</v>
      </c>
      <c r="E21" s="18">
        <f t="shared" si="4"/>
        <v>2248.7159999999999</v>
      </c>
      <c r="F21" s="19" t="str">
        <f t="shared" si="5"/>
        <v/>
      </c>
      <c r="G21" s="20">
        <v>0</v>
      </c>
      <c r="H21" s="20">
        <f t="shared" si="6"/>
        <v>2248.7159999999999</v>
      </c>
      <c r="I21" s="19" t="str">
        <f t="shared" si="7"/>
        <v/>
      </c>
      <c r="J21" s="42"/>
      <c r="K21" s="43"/>
      <c r="L21" s="46"/>
    </row>
    <row r="22" spans="1:12" ht="14.2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2" ht="14.2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2" ht="14.2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2" ht="14.2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2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2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2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2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2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2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3.9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40"/>
  <sheetViews>
    <sheetView zoomScale="80" zoomScaleNormal="80" workbookViewId="0">
      <pane xSplit="2" ySplit="3" topLeftCell="C4" activePane="bottomRight" state="frozen"/>
      <selection pane="bottomRight" activeCell="J20" sqref="J20:K20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6" t="str" cm="1">
        <f t="array" ref="A1">portfolio</f>
        <v>JLL</v>
      </c>
      <c r="B1" s="56"/>
      <c r="C1" s="56"/>
      <c r="D1" s="57" t="s">
        <v>31</v>
      </c>
      <c r="E1" s="57"/>
      <c r="F1" s="57"/>
      <c r="G1" s="55" t="s">
        <v>32</v>
      </c>
      <c r="H1" s="55"/>
      <c r="I1" s="55"/>
      <c r="J1" s="4"/>
      <c r="K1" s="4"/>
    </row>
    <row r="2" spans="1:12" ht="19.5" customHeight="1">
      <c r="A2" s="58" t="s">
        <v>2</v>
      </c>
      <c r="B2" s="58"/>
      <c r="C2" s="5">
        <f>SUM(C4:C98)</f>
        <v>26332.021999999997</v>
      </c>
      <c r="D2" s="5">
        <f>SUM(D4:D98)</f>
        <v>0</v>
      </c>
      <c r="E2" s="5">
        <f>C2-D2</f>
        <v>26332.021999999997</v>
      </c>
      <c r="F2" s="6">
        <f>IFERROR(E2/D2, 0)</f>
        <v>0</v>
      </c>
      <c r="G2" s="5">
        <f>SUM(G4:G98)</f>
        <v>0</v>
      </c>
      <c r="H2" s="7">
        <f>C2-G2</f>
        <v>26332.021999999997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75">
      <c r="A4" s="32" t="str" cm="1">
        <f t="array" ref="A4:A21">Sites[Site]</f>
        <v>Bullhead</v>
      </c>
      <c r="B4" s="29" t="str" cm="1">
        <f t="array" ref="B4:B21">Sites[State]</f>
        <v>AZ</v>
      </c>
      <c r="C4" s="24">
        <v>166.428</v>
      </c>
      <c r="D4" s="13">
        <v>0</v>
      </c>
      <c r="E4" s="13">
        <f>IF(AND(ISNUMBER(C4),ISNUMBER(D4)), C4-D4, "")</f>
        <v>166.428</v>
      </c>
      <c r="F4" s="14" t="str">
        <f>IFERROR(E4/D4, "")</f>
        <v/>
      </c>
      <c r="G4" s="15">
        <v>0</v>
      </c>
      <c r="H4" s="15">
        <f>IF(AND(ISNUMBER(C4),ISNUMBER(G4)), C4-G4, "")</f>
        <v>166.428</v>
      </c>
      <c r="I4" s="16" t="str">
        <f>IFERROR(H4/G4, "")</f>
        <v/>
      </c>
      <c r="J4" s="41"/>
      <c r="K4" s="41"/>
      <c r="L4" s="46"/>
    </row>
    <row r="5" spans="1:12" ht="15.75">
      <c r="A5" s="30" t="str">
        <v>Peoria</v>
      </c>
      <c r="B5" s="31" t="str">
        <v>AZ</v>
      </c>
      <c r="C5" s="11">
        <v>0</v>
      </c>
      <c r="D5" s="18">
        <v>0</v>
      </c>
      <c r="E5" s="18">
        <f t="shared" ref="E5:E17" si="0">IF(AND(ISNUMBER(C5),ISNUMBER(D5)), C5-D5, "")</f>
        <v>0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0</v>
      </c>
      <c r="I5" s="19" t="str">
        <f t="shared" ref="I5:I17" si="2">IFERROR(H5/G5, "")</f>
        <v/>
      </c>
      <c r="J5" s="42" t="s">
        <v>28</v>
      </c>
      <c r="K5" s="42"/>
      <c r="L5" s="46"/>
    </row>
    <row r="6" spans="1:12" ht="15.75">
      <c r="A6" s="28" t="str">
        <v>Tucson</v>
      </c>
      <c r="B6" s="29" t="str">
        <v>AZ</v>
      </c>
      <c r="C6" s="24">
        <v>0</v>
      </c>
      <c r="D6" s="13">
        <v>0</v>
      </c>
      <c r="E6" s="13">
        <f t="shared" si="0"/>
        <v>0</v>
      </c>
      <c r="F6" s="14" t="str">
        <f t="shared" ref="F6:F17" si="3">IFERROR(E6/D6, "")</f>
        <v/>
      </c>
      <c r="G6" s="15">
        <v>0</v>
      </c>
      <c r="H6" s="15">
        <f t="shared" si="1"/>
        <v>0</v>
      </c>
      <c r="I6" s="16" t="str">
        <f t="shared" si="2"/>
        <v/>
      </c>
      <c r="J6" s="41" t="s">
        <v>28</v>
      </c>
      <c r="K6" s="41"/>
      <c r="L6" s="46"/>
    </row>
    <row r="7" spans="1:12" ht="15.75">
      <c r="A7" s="30" t="str">
        <v>Hialeah</v>
      </c>
      <c r="B7" s="31" t="str">
        <v>FL</v>
      </c>
      <c r="C7" s="11">
        <v>329.81900000000002</v>
      </c>
      <c r="D7" s="18">
        <v>0</v>
      </c>
      <c r="E7" s="18">
        <f t="shared" si="0"/>
        <v>329.81900000000002</v>
      </c>
      <c r="F7" s="19" t="str">
        <f t="shared" si="3"/>
        <v/>
      </c>
      <c r="G7" s="20">
        <v>0</v>
      </c>
      <c r="H7" s="20">
        <f t="shared" si="1"/>
        <v>329.81900000000002</v>
      </c>
      <c r="I7" s="19" t="str">
        <f t="shared" si="2"/>
        <v/>
      </c>
      <c r="J7" s="42"/>
      <c r="K7" s="43"/>
      <c r="L7" s="46"/>
    </row>
    <row r="8" spans="1:12" ht="15.75">
      <c r="A8" s="28" t="str">
        <v>Jacksonville</v>
      </c>
      <c r="B8" s="29" t="str">
        <v>FL</v>
      </c>
      <c r="C8" s="24">
        <v>115.501</v>
      </c>
      <c r="D8" s="13">
        <v>0</v>
      </c>
      <c r="E8" s="13">
        <f t="shared" si="0"/>
        <v>115.501</v>
      </c>
      <c r="F8" s="14" t="str">
        <f t="shared" si="3"/>
        <v/>
      </c>
      <c r="G8" s="15">
        <v>0</v>
      </c>
      <c r="H8" s="15">
        <f t="shared" si="1"/>
        <v>115.501</v>
      </c>
      <c r="I8" s="16" t="str">
        <f t="shared" si="2"/>
        <v/>
      </c>
      <c r="J8" s="41"/>
      <c r="K8" s="41"/>
      <c r="L8" s="46"/>
    </row>
    <row r="9" spans="1:12" ht="15.75">
      <c r="A9" s="30" t="str">
        <v>Miami Gardens</v>
      </c>
      <c r="B9" s="31" t="str">
        <v>FL</v>
      </c>
      <c r="C9" s="11">
        <v>129.053</v>
      </c>
      <c r="D9" s="18">
        <v>0</v>
      </c>
      <c r="E9" s="18">
        <f t="shared" si="0"/>
        <v>129.053</v>
      </c>
      <c r="F9" s="19" t="str">
        <f t="shared" si="3"/>
        <v/>
      </c>
      <c r="G9" s="20">
        <v>0</v>
      </c>
      <c r="H9" s="20">
        <f t="shared" si="1"/>
        <v>129.053</v>
      </c>
      <c r="I9" s="19" t="str">
        <f t="shared" si="2"/>
        <v/>
      </c>
      <c r="J9" s="42"/>
      <c r="K9" s="43"/>
      <c r="L9" s="46"/>
    </row>
    <row r="10" spans="1:12" ht="15.75">
      <c r="A10" s="28" t="str">
        <v>Fort Myers</v>
      </c>
      <c r="B10" s="29" t="str">
        <v>FL</v>
      </c>
      <c r="C10" s="24">
        <v>6522.57</v>
      </c>
      <c r="D10" s="13">
        <v>0</v>
      </c>
      <c r="E10" s="13">
        <f t="shared" si="0"/>
        <v>6522.57</v>
      </c>
      <c r="F10" s="14" t="str">
        <f t="shared" si="3"/>
        <v/>
      </c>
      <c r="G10" s="15">
        <v>0</v>
      </c>
      <c r="H10" s="15">
        <f t="shared" si="1"/>
        <v>6522.57</v>
      </c>
      <c r="I10" s="16" t="str">
        <f t="shared" si="2"/>
        <v/>
      </c>
      <c r="J10" s="41" t="s">
        <v>33</v>
      </c>
      <c r="K10" s="41"/>
      <c r="L10" s="46"/>
    </row>
    <row r="11" spans="1:12" ht="15.75">
      <c r="A11" s="30" t="str">
        <v>Orlando</v>
      </c>
      <c r="B11" s="31" t="str">
        <v>FL</v>
      </c>
      <c r="C11" s="11">
        <v>6133.7049999999999</v>
      </c>
      <c r="D11" s="18">
        <v>0</v>
      </c>
      <c r="E11" s="18">
        <f t="shared" si="0"/>
        <v>6133.7049999999999</v>
      </c>
      <c r="F11" s="19" t="str">
        <f t="shared" si="3"/>
        <v/>
      </c>
      <c r="G11" s="20">
        <v>0</v>
      </c>
      <c r="H11" s="20">
        <f t="shared" si="1"/>
        <v>6133.7049999999999</v>
      </c>
      <c r="I11" s="19" t="str">
        <f t="shared" si="2"/>
        <v/>
      </c>
      <c r="J11" s="42"/>
      <c r="K11" s="43"/>
      <c r="L11" s="46"/>
    </row>
    <row r="12" spans="1:12" ht="15.75">
      <c r="A12" s="28" t="str">
        <v>Port St. Lucie</v>
      </c>
      <c r="B12" s="29" t="str">
        <v>FL</v>
      </c>
      <c r="C12" s="24">
        <v>3494.1909999999998</v>
      </c>
      <c r="D12" s="13">
        <v>0</v>
      </c>
      <c r="E12" s="13">
        <f t="shared" si="0"/>
        <v>3494.1909999999998</v>
      </c>
      <c r="F12" s="14" t="str">
        <f t="shared" si="3"/>
        <v/>
      </c>
      <c r="G12" s="15">
        <v>0</v>
      </c>
      <c r="H12" s="15">
        <f t="shared" si="1"/>
        <v>3494.1909999999998</v>
      </c>
      <c r="I12" s="16" t="str">
        <f t="shared" si="2"/>
        <v/>
      </c>
      <c r="J12" s="41"/>
      <c r="K12" s="41"/>
      <c r="L12" s="46"/>
    </row>
    <row r="13" spans="1:12" ht="15.75">
      <c r="A13" s="30" t="str">
        <v>Tampa</v>
      </c>
      <c r="B13" s="31" t="str">
        <v>FL</v>
      </c>
      <c r="C13" s="11">
        <v>12.154</v>
      </c>
      <c r="D13" s="18">
        <v>0</v>
      </c>
      <c r="E13" s="18">
        <f t="shared" si="0"/>
        <v>12.154</v>
      </c>
      <c r="F13" s="19" t="str">
        <f t="shared" si="3"/>
        <v/>
      </c>
      <c r="G13" s="20">
        <v>0</v>
      </c>
      <c r="H13" s="20">
        <f t="shared" si="1"/>
        <v>12.154</v>
      </c>
      <c r="I13" s="19" t="str">
        <f t="shared" si="2"/>
        <v/>
      </c>
      <c r="J13" s="42"/>
      <c r="K13" s="43"/>
      <c r="L13" s="46"/>
    </row>
    <row r="14" spans="1:12" ht="15.75">
      <c r="A14" s="28" t="str">
        <v>Roswell</v>
      </c>
      <c r="B14" s="29" t="str">
        <v>GA</v>
      </c>
      <c r="C14" s="24">
        <v>17.024999999999999</v>
      </c>
      <c r="D14" s="13">
        <v>0</v>
      </c>
      <c r="E14" s="13">
        <f t="shared" si="0"/>
        <v>17.024999999999999</v>
      </c>
      <c r="F14" s="14" t="str">
        <f t="shared" si="3"/>
        <v/>
      </c>
      <c r="G14" s="15">
        <v>0</v>
      </c>
      <c r="H14" s="15">
        <f t="shared" si="1"/>
        <v>17.024999999999999</v>
      </c>
      <c r="I14" s="16" t="str">
        <f t="shared" si="2"/>
        <v/>
      </c>
      <c r="J14" s="41"/>
      <c r="K14" s="41"/>
      <c r="L14" s="46"/>
    </row>
    <row r="15" spans="1:12" ht="15.75">
      <c r="A15" s="30" t="str">
        <v>Charlotte</v>
      </c>
      <c r="B15" s="31" t="str">
        <v>NC</v>
      </c>
      <c r="C15" s="11">
        <v>2474.12</v>
      </c>
      <c r="D15" s="18">
        <v>0</v>
      </c>
      <c r="E15" s="18">
        <f t="shared" si="0"/>
        <v>2474.12</v>
      </c>
      <c r="F15" s="19" t="str">
        <f t="shared" si="3"/>
        <v/>
      </c>
      <c r="G15" s="20">
        <v>0</v>
      </c>
      <c r="H15" s="20">
        <f t="shared" si="1"/>
        <v>2474.12</v>
      </c>
      <c r="I15" s="19" t="str">
        <f t="shared" si="2"/>
        <v/>
      </c>
      <c r="J15" s="42"/>
      <c r="K15" s="43"/>
      <c r="L15" s="46"/>
    </row>
    <row r="16" spans="1:12" ht="15.75">
      <c r="A16" s="28" t="str">
        <v>Raleigh</v>
      </c>
      <c r="B16" s="29" t="str">
        <v>NC</v>
      </c>
      <c r="C16" s="24">
        <v>3501.7689999999998</v>
      </c>
      <c r="D16" s="13">
        <v>0</v>
      </c>
      <c r="E16" s="13">
        <f t="shared" si="0"/>
        <v>3501.7689999999998</v>
      </c>
      <c r="F16" s="14" t="str">
        <f t="shared" si="3"/>
        <v/>
      </c>
      <c r="G16" s="15">
        <v>0</v>
      </c>
      <c r="H16" s="15">
        <f t="shared" si="1"/>
        <v>3501.7689999999998</v>
      </c>
      <c r="I16" s="16" t="str">
        <f t="shared" si="2"/>
        <v/>
      </c>
      <c r="J16" s="41"/>
      <c r="K16" s="41"/>
      <c r="L16" s="46"/>
    </row>
    <row r="17" spans="1:12" ht="15.75">
      <c r="A17" s="30" t="str">
        <v>Cordova</v>
      </c>
      <c r="B17" s="31" t="str">
        <v>TN</v>
      </c>
      <c r="C17" s="11">
        <v>9.6080000000000005</v>
      </c>
      <c r="D17" s="18">
        <v>0</v>
      </c>
      <c r="E17" s="18">
        <f t="shared" si="0"/>
        <v>9.6080000000000005</v>
      </c>
      <c r="F17" s="19" t="str">
        <f t="shared" si="3"/>
        <v/>
      </c>
      <c r="G17" s="20">
        <v>0</v>
      </c>
      <c r="H17" s="20">
        <f t="shared" si="1"/>
        <v>9.6080000000000005</v>
      </c>
      <c r="I17" s="19" t="str">
        <f t="shared" si="2"/>
        <v/>
      </c>
      <c r="J17" s="42"/>
      <c r="K17" s="43"/>
      <c r="L17" s="46"/>
    </row>
    <row r="18" spans="1:12" ht="12.75" customHeight="1">
      <c r="A18" s="28" t="str">
        <v>Austin</v>
      </c>
      <c r="B18" s="29" t="str">
        <v>TX</v>
      </c>
      <c r="C18" s="24">
        <v>978.07299999999998</v>
      </c>
      <c r="D18" s="13">
        <v>0</v>
      </c>
      <c r="E18" s="13">
        <f t="shared" ref="E18:E21" si="4">IF(AND(ISNUMBER(C18),ISNUMBER(D18)), C18-D18, "")</f>
        <v>978.07299999999998</v>
      </c>
      <c r="F18" s="14" t="str">
        <f t="shared" ref="F18:F21" si="5">IFERROR(E18/D18, "")</f>
        <v/>
      </c>
      <c r="G18" s="15">
        <v>0</v>
      </c>
      <c r="H18" s="15">
        <f t="shared" ref="H18:H21" si="6">IF(AND(ISNUMBER(C18),ISNUMBER(G18)), C18-G18, "")</f>
        <v>978.07299999999998</v>
      </c>
      <c r="I18" s="16" t="str">
        <f t="shared" ref="I18:I21" si="7">IFERROR(H18/G18, "")</f>
        <v/>
      </c>
      <c r="J18" s="41"/>
      <c r="K18" s="41"/>
      <c r="L18" s="46"/>
    </row>
    <row r="19" spans="1:12" ht="15.75">
      <c r="A19" s="30" t="str">
        <v>Frisco</v>
      </c>
      <c r="B19" s="31" t="str">
        <v>TX</v>
      </c>
      <c r="C19" s="11">
        <v>38.636000000000003</v>
      </c>
      <c r="D19" s="18">
        <v>0</v>
      </c>
      <c r="E19" s="18">
        <f t="shared" si="4"/>
        <v>38.636000000000003</v>
      </c>
      <c r="F19" s="19" t="str">
        <f t="shared" si="5"/>
        <v/>
      </c>
      <c r="G19" s="20">
        <v>0</v>
      </c>
      <c r="H19" s="20">
        <f t="shared" si="6"/>
        <v>38.636000000000003</v>
      </c>
      <c r="I19" s="19" t="str">
        <f t="shared" si="7"/>
        <v/>
      </c>
      <c r="J19" s="42"/>
      <c r="K19" s="43"/>
      <c r="L19" s="46"/>
    </row>
    <row r="20" spans="1:12" ht="15.75">
      <c r="A20" s="28" t="str">
        <v>Copperfield</v>
      </c>
      <c r="B20" s="29" t="str">
        <v>TX</v>
      </c>
      <c r="C20" s="24">
        <v>0.32600000000000001</v>
      </c>
      <c r="D20" s="13">
        <v>0</v>
      </c>
      <c r="E20" s="13">
        <f t="shared" si="4"/>
        <v>0.32600000000000001</v>
      </c>
      <c r="F20" s="14" t="str">
        <f t="shared" si="5"/>
        <v/>
      </c>
      <c r="G20" s="15">
        <v>0</v>
      </c>
      <c r="H20" s="15">
        <f t="shared" si="6"/>
        <v>0.32600000000000001</v>
      </c>
      <c r="I20" s="16" t="str">
        <f t="shared" si="7"/>
        <v/>
      </c>
      <c r="J20" s="41"/>
      <c r="K20" s="41"/>
      <c r="L20" s="46"/>
    </row>
    <row r="21" spans="1:12" ht="15.75">
      <c r="A21" s="30" t="str">
        <v>Plano Bldg A</v>
      </c>
      <c r="B21" s="31" t="str">
        <v>TX</v>
      </c>
      <c r="C21" s="11">
        <v>2409.0439999999999</v>
      </c>
      <c r="D21" s="18">
        <v>0</v>
      </c>
      <c r="E21" s="18">
        <f t="shared" si="4"/>
        <v>2409.0439999999999</v>
      </c>
      <c r="F21" s="19" t="str">
        <f t="shared" si="5"/>
        <v/>
      </c>
      <c r="G21" s="20">
        <v>0</v>
      </c>
      <c r="H21" s="20">
        <f t="shared" si="6"/>
        <v>2409.0439999999999</v>
      </c>
      <c r="I21" s="19" t="str">
        <f t="shared" si="7"/>
        <v/>
      </c>
      <c r="J21" s="42"/>
      <c r="K21" s="43"/>
      <c r="L21" s="46"/>
    </row>
    <row r="22" spans="1:12" ht="14.2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2" ht="14.2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2" ht="14.2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2" ht="14.2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2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2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2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2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2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2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3.9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40"/>
  <sheetViews>
    <sheetView zoomScale="85" zoomScaleNormal="85" workbookViewId="0">
      <pane xSplit="2" ySplit="3" topLeftCell="C14" activePane="bottomRight" state="frozen"/>
      <selection pane="bottomRight" activeCell="C21" sqref="C21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5.2851562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6" t="str" cm="1">
        <f t="array" ref="A1">portfolio</f>
        <v>JLL</v>
      </c>
      <c r="B1" s="56"/>
      <c r="C1" s="56"/>
      <c r="D1" s="57" t="s">
        <v>34</v>
      </c>
      <c r="E1" s="57"/>
      <c r="F1" s="57"/>
      <c r="G1" s="55" t="s">
        <v>35</v>
      </c>
      <c r="H1" s="55"/>
      <c r="I1" s="55"/>
      <c r="J1" s="4"/>
      <c r="K1" s="4"/>
    </row>
    <row r="2" spans="1:12" ht="19.5" customHeight="1">
      <c r="A2" s="58" t="s">
        <v>2</v>
      </c>
      <c r="B2" s="58"/>
      <c r="C2" s="5">
        <f>SUM(C4:C98)</f>
        <v>46632.701000000001</v>
      </c>
      <c r="D2" s="5">
        <f>SUM(D4:D98)</f>
        <v>0</v>
      </c>
      <c r="E2" s="5">
        <f>C2-D2</f>
        <v>46632.701000000001</v>
      </c>
      <c r="F2" s="6">
        <f>IFERROR(E2/D2, 0)</f>
        <v>0</v>
      </c>
      <c r="G2" s="5">
        <f>SUM(G4:G98)</f>
        <v>0</v>
      </c>
      <c r="H2" s="7">
        <f>C2-G2</f>
        <v>46632.701000000001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75">
      <c r="A4" s="32" t="str" cm="1">
        <f t="array" ref="A4:A21">Sites[Site]</f>
        <v>Bullhead</v>
      </c>
      <c r="B4" s="29" t="str" cm="1">
        <f t="array" ref="B4:B21">Sites[State]</f>
        <v>AZ</v>
      </c>
      <c r="C4" s="24">
        <v>165.108</v>
      </c>
      <c r="D4" s="13">
        <v>0</v>
      </c>
      <c r="E4" s="13">
        <f>IF(AND(ISNUMBER(C4),ISNUMBER(D4)), C4-D4, "")</f>
        <v>165.108</v>
      </c>
      <c r="F4" s="14" t="str">
        <f>IFERROR(E4/D4, "")</f>
        <v/>
      </c>
      <c r="G4" s="15">
        <v>0</v>
      </c>
      <c r="H4" s="15">
        <f>IF(AND(ISNUMBER(C4),ISNUMBER(G4)), C4-G4, "")</f>
        <v>165.108</v>
      </c>
      <c r="I4" s="16" t="str">
        <f>IFERROR(H4/G4, "")</f>
        <v/>
      </c>
      <c r="J4" s="41"/>
      <c r="K4" s="41"/>
      <c r="L4" s="46"/>
    </row>
    <row r="5" spans="1:12" ht="15.75">
      <c r="A5" s="30" t="str">
        <v>Peoria</v>
      </c>
      <c r="B5" s="31" t="str">
        <v>AZ</v>
      </c>
      <c r="C5" s="11">
        <v>0</v>
      </c>
      <c r="D5" s="18">
        <v>0</v>
      </c>
      <c r="E5" s="18">
        <f t="shared" ref="E5:E17" si="0">IF(AND(ISNUMBER(C5),ISNUMBER(D5)), C5-D5, "")</f>
        <v>0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0</v>
      </c>
      <c r="I5" s="19" t="str">
        <f t="shared" ref="I5:I17" si="2">IFERROR(H5/G5, "")</f>
        <v/>
      </c>
      <c r="J5" s="42" t="s">
        <v>28</v>
      </c>
      <c r="K5" s="42"/>
      <c r="L5" s="46"/>
    </row>
    <row r="6" spans="1:12" ht="15.75">
      <c r="A6" s="28" t="str">
        <v>Tucson</v>
      </c>
      <c r="B6" s="29" t="str">
        <v>AZ</v>
      </c>
      <c r="C6" s="24">
        <v>0</v>
      </c>
      <c r="D6" s="13">
        <v>0</v>
      </c>
      <c r="E6" s="13">
        <f t="shared" si="0"/>
        <v>0</v>
      </c>
      <c r="F6" s="14" t="str">
        <f t="shared" ref="F6:F17" si="3">IFERROR(E6/D6, "")</f>
        <v/>
      </c>
      <c r="G6" s="15">
        <v>0</v>
      </c>
      <c r="H6" s="15">
        <f t="shared" si="1"/>
        <v>0</v>
      </c>
      <c r="I6" s="16" t="str">
        <f t="shared" si="2"/>
        <v/>
      </c>
      <c r="J6" s="41" t="s">
        <v>28</v>
      </c>
      <c r="K6" s="41"/>
      <c r="L6" s="46"/>
    </row>
    <row r="7" spans="1:12" ht="15.75">
      <c r="A7" s="30" t="str">
        <v>Hialeah</v>
      </c>
      <c r="B7" s="31" t="str">
        <v>FL</v>
      </c>
      <c r="C7" s="11">
        <v>319.995</v>
      </c>
      <c r="D7" s="18">
        <v>0</v>
      </c>
      <c r="E7" s="18">
        <f t="shared" si="0"/>
        <v>319.995</v>
      </c>
      <c r="F7" s="19" t="str">
        <f t="shared" si="3"/>
        <v/>
      </c>
      <c r="G7" s="20">
        <v>0</v>
      </c>
      <c r="H7" s="20">
        <f t="shared" si="1"/>
        <v>319.995</v>
      </c>
      <c r="I7" s="19" t="str">
        <f t="shared" si="2"/>
        <v/>
      </c>
      <c r="J7" s="42"/>
      <c r="K7" s="43"/>
      <c r="L7" s="46"/>
    </row>
    <row r="8" spans="1:12" ht="15.75">
      <c r="A8" s="28" t="str">
        <v>Jacksonville</v>
      </c>
      <c r="B8" s="29" t="str">
        <v>FL</v>
      </c>
      <c r="C8" s="24">
        <v>112.176</v>
      </c>
      <c r="D8" s="13">
        <v>0</v>
      </c>
      <c r="E8" s="13">
        <f t="shared" si="0"/>
        <v>112.176</v>
      </c>
      <c r="F8" s="14" t="str">
        <f t="shared" si="3"/>
        <v/>
      </c>
      <c r="G8" s="15">
        <v>0</v>
      </c>
      <c r="H8" s="15">
        <f t="shared" si="1"/>
        <v>112.176</v>
      </c>
      <c r="I8" s="16" t="str">
        <f t="shared" si="2"/>
        <v/>
      </c>
      <c r="J8" s="41"/>
      <c r="K8" s="41"/>
      <c r="L8" s="46"/>
    </row>
    <row r="9" spans="1:12" ht="15.75">
      <c r="A9" s="30" t="str">
        <v>Miami Gardens</v>
      </c>
      <c r="B9" s="31" t="str">
        <v>FL</v>
      </c>
      <c r="C9" s="11">
        <v>97.122</v>
      </c>
      <c r="D9" s="18">
        <v>0</v>
      </c>
      <c r="E9" s="18">
        <f t="shared" si="0"/>
        <v>97.122</v>
      </c>
      <c r="F9" s="19" t="str">
        <f t="shared" si="3"/>
        <v/>
      </c>
      <c r="G9" s="20">
        <v>0</v>
      </c>
      <c r="H9" s="20">
        <f t="shared" si="1"/>
        <v>97.122</v>
      </c>
      <c r="I9" s="19" t="str">
        <f t="shared" si="2"/>
        <v/>
      </c>
      <c r="J9" s="42"/>
      <c r="K9" s="43"/>
      <c r="L9" s="46"/>
    </row>
    <row r="10" spans="1:12" ht="15.75">
      <c r="A10" s="28" t="str">
        <v>Fort Myers</v>
      </c>
      <c r="B10" s="29" t="str">
        <v>FL</v>
      </c>
      <c r="C10" s="24">
        <v>6427.7089999999998</v>
      </c>
      <c r="D10" s="13">
        <v>0</v>
      </c>
      <c r="E10" s="13">
        <f t="shared" si="0"/>
        <v>6427.7089999999998</v>
      </c>
      <c r="F10" s="14" t="str">
        <f t="shared" si="3"/>
        <v/>
      </c>
      <c r="G10" s="15">
        <v>0</v>
      </c>
      <c r="H10" s="15">
        <f t="shared" si="1"/>
        <v>6427.7089999999998</v>
      </c>
      <c r="I10" s="16" t="str">
        <f t="shared" si="2"/>
        <v/>
      </c>
      <c r="J10" s="41"/>
      <c r="K10" s="41"/>
      <c r="L10" s="46"/>
    </row>
    <row r="11" spans="1:12" ht="15.75">
      <c r="A11" s="30" t="str">
        <v>Orlando</v>
      </c>
      <c r="B11" s="31" t="str">
        <v>FL</v>
      </c>
      <c r="C11" s="11">
        <v>5313.6450000000004</v>
      </c>
      <c r="D11" s="18">
        <v>0</v>
      </c>
      <c r="E11" s="18">
        <f t="shared" si="0"/>
        <v>5313.6450000000004</v>
      </c>
      <c r="F11" s="19" t="str">
        <f t="shared" si="3"/>
        <v/>
      </c>
      <c r="G11" s="20">
        <v>0</v>
      </c>
      <c r="H11" s="20">
        <f t="shared" si="1"/>
        <v>5313.6450000000004</v>
      </c>
      <c r="I11" s="19" t="str">
        <f t="shared" si="2"/>
        <v/>
      </c>
      <c r="J11" s="42"/>
      <c r="K11" s="43"/>
      <c r="L11" s="46"/>
    </row>
    <row r="12" spans="1:12" ht="15.75">
      <c r="A12" s="28" t="str">
        <v>Port St. Lucie</v>
      </c>
      <c r="B12" s="29" t="str">
        <v>FL</v>
      </c>
      <c r="C12" s="24">
        <v>10337.307000000001</v>
      </c>
      <c r="D12" s="13">
        <v>0</v>
      </c>
      <c r="E12" s="13">
        <f t="shared" si="0"/>
        <v>10337.307000000001</v>
      </c>
      <c r="F12" s="14" t="str">
        <f t="shared" si="3"/>
        <v/>
      </c>
      <c r="G12" s="15">
        <v>0</v>
      </c>
      <c r="H12" s="15">
        <f t="shared" si="1"/>
        <v>10337.307000000001</v>
      </c>
      <c r="I12" s="16" t="str">
        <f t="shared" si="2"/>
        <v/>
      </c>
      <c r="J12" s="41" t="s">
        <v>36</v>
      </c>
      <c r="K12" s="41" t="s">
        <v>37</v>
      </c>
      <c r="L12" s="46"/>
    </row>
    <row r="13" spans="1:12" ht="15.75">
      <c r="A13" s="30" t="str">
        <v>Tampa</v>
      </c>
      <c r="B13" s="31" t="str">
        <v>FL</v>
      </c>
      <c r="C13" s="11">
        <v>1197.057</v>
      </c>
      <c r="D13" s="18">
        <v>0</v>
      </c>
      <c r="E13" s="18">
        <f t="shared" si="0"/>
        <v>1197.057</v>
      </c>
      <c r="F13" s="19" t="str">
        <f t="shared" si="3"/>
        <v/>
      </c>
      <c r="G13" s="20">
        <v>0</v>
      </c>
      <c r="H13" s="20">
        <f t="shared" si="1"/>
        <v>1197.057</v>
      </c>
      <c r="I13" s="19" t="str">
        <f t="shared" si="2"/>
        <v/>
      </c>
      <c r="J13" s="42"/>
      <c r="K13" s="43"/>
      <c r="L13" s="46"/>
    </row>
    <row r="14" spans="1:12" ht="15.75">
      <c r="A14" s="28" t="str">
        <v>Roswell</v>
      </c>
      <c r="B14" s="29" t="str">
        <v>GA</v>
      </c>
      <c r="C14" s="24">
        <v>5952.23</v>
      </c>
      <c r="D14" s="13">
        <v>0</v>
      </c>
      <c r="E14" s="13">
        <f t="shared" si="0"/>
        <v>5952.23</v>
      </c>
      <c r="F14" s="14" t="str">
        <f t="shared" si="3"/>
        <v/>
      </c>
      <c r="G14" s="15">
        <v>0</v>
      </c>
      <c r="H14" s="15">
        <f t="shared" si="1"/>
        <v>5952.23</v>
      </c>
      <c r="I14" s="16" t="str">
        <f t="shared" si="2"/>
        <v/>
      </c>
      <c r="J14" s="41" t="s">
        <v>38</v>
      </c>
      <c r="K14" s="41" t="s">
        <v>39</v>
      </c>
      <c r="L14" s="46"/>
    </row>
    <row r="15" spans="1:12" ht="15.75">
      <c r="A15" s="30" t="str">
        <v>Charlotte</v>
      </c>
      <c r="B15" s="31" t="str">
        <v>NC</v>
      </c>
      <c r="C15" s="11">
        <v>2586.7429999999999</v>
      </c>
      <c r="D15" s="18">
        <v>0</v>
      </c>
      <c r="E15" s="18">
        <f t="shared" si="0"/>
        <v>2586.7429999999999</v>
      </c>
      <c r="F15" s="19" t="str">
        <f t="shared" si="3"/>
        <v/>
      </c>
      <c r="G15" s="20">
        <v>0</v>
      </c>
      <c r="H15" s="20">
        <f t="shared" si="1"/>
        <v>2586.7429999999999</v>
      </c>
      <c r="I15" s="19" t="str">
        <f t="shared" si="2"/>
        <v/>
      </c>
      <c r="J15" s="42"/>
      <c r="K15" s="43"/>
      <c r="L15" s="46"/>
    </row>
    <row r="16" spans="1:12" ht="15.75">
      <c r="A16" s="28" t="str">
        <v>Raleigh</v>
      </c>
      <c r="B16" s="29" t="str">
        <v>NC</v>
      </c>
      <c r="C16" s="24">
        <v>3865.556</v>
      </c>
      <c r="D16" s="13">
        <v>0</v>
      </c>
      <c r="E16" s="13">
        <f t="shared" si="0"/>
        <v>3865.556</v>
      </c>
      <c r="F16" s="14" t="str">
        <f t="shared" si="3"/>
        <v/>
      </c>
      <c r="G16" s="15">
        <v>0</v>
      </c>
      <c r="H16" s="15">
        <f t="shared" si="1"/>
        <v>3865.556</v>
      </c>
      <c r="I16" s="16" t="str">
        <f t="shared" si="2"/>
        <v/>
      </c>
      <c r="J16" s="41"/>
      <c r="K16" s="41"/>
      <c r="L16" s="46"/>
    </row>
    <row r="17" spans="1:12" ht="15.75">
      <c r="A17" s="30" t="str">
        <v>Cordova</v>
      </c>
      <c r="B17" s="31" t="str">
        <v>TN</v>
      </c>
      <c r="C17" s="11">
        <v>3108.998</v>
      </c>
      <c r="D17" s="18">
        <v>0</v>
      </c>
      <c r="E17" s="18">
        <f t="shared" si="0"/>
        <v>3108.998</v>
      </c>
      <c r="F17" s="19" t="str">
        <f t="shared" si="3"/>
        <v/>
      </c>
      <c r="G17" s="20">
        <v>0</v>
      </c>
      <c r="H17" s="20">
        <f t="shared" si="1"/>
        <v>3108.998</v>
      </c>
      <c r="I17" s="19" t="str">
        <f t="shared" si="2"/>
        <v/>
      </c>
      <c r="J17" s="42"/>
      <c r="K17" s="43"/>
      <c r="L17" s="46"/>
    </row>
    <row r="18" spans="1:12" ht="30" customHeight="1">
      <c r="A18" s="28" t="str">
        <v>Austin</v>
      </c>
      <c r="B18" s="29" t="str">
        <v>TX</v>
      </c>
      <c r="C18" s="24">
        <v>1169.0239999999999</v>
      </c>
      <c r="D18" s="13">
        <v>0</v>
      </c>
      <c r="E18" s="13">
        <f t="shared" ref="E18:E21" si="4">IF(AND(ISNUMBER(C18),ISNUMBER(D18)), C18-D18, "")</f>
        <v>1169.0239999999999</v>
      </c>
      <c r="F18" s="14" t="str">
        <f t="shared" ref="F18:F21" si="5">IFERROR(E18/D18, "")</f>
        <v/>
      </c>
      <c r="G18" s="15">
        <v>0</v>
      </c>
      <c r="H18" s="15">
        <f t="shared" ref="H18:H21" si="6">IF(AND(ISNUMBER(C18),ISNUMBER(G18)), C18-G18, "")</f>
        <v>1169.0239999999999</v>
      </c>
      <c r="I18" s="16" t="str">
        <f t="shared" ref="I18:I21" si="7">IFERROR(H18/G18, "")</f>
        <v/>
      </c>
      <c r="J18" s="41" t="s">
        <v>40</v>
      </c>
      <c r="K18" s="41" t="s">
        <v>41</v>
      </c>
      <c r="L18" s="46"/>
    </row>
    <row r="19" spans="1:12" ht="15.75">
      <c r="A19" s="30" t="str">
        <v>Frisco</v>
      </c>
      <c r="B19" s="31" t="str">
        <v>TX</v>
      </c>
      <c r="C19" s="11">
        <v>3209.1410000000001</v>
      </c>
      <c r="D19" s="18">
        <v>0</v>
      </c>
      <c r="E19" s="18">
        <f t="shared" si="4"/>
        <v>3209.1410000000001</v>
      </c>
      <c r="F19" s="19" t="str">
        <f t="shared" si="5"/>
        <v/>
      </c>
      <c r="G19" s="20">
        <v>0</v>
      </c>
      <c r="H19" s="20">
        <f t="shared" si="6"/>
        <v>3209.1410000000001</v>
      </c>
      <c r="I19" s="19" t="str">
        <f t="shared" si="7"/>
        <v/>
      </c>
      <c r="J19" s="42"/>
      <c r="K19" s="43"/>
      <c r="L19" s="46"/>
    </row>
    <row r="20" spans="1:12" ht="15.75">
      <c r="A20" s="28" t="str">
        <v>Copperfield</v>
      </c>
      <c r="B20" s="29" t="str">
        <v>TX</v>
      </c>
      <c r="C20" s="24">
        <v>0.127</v>
      </c>
      <c r="D20" s="13">
        <v>0</v>
      </c>
      <c r="E20" s="13">
        <f t="shared" si="4"/>
        <v>0.127</v>
      </c>
      <c r="F20" s="14" t="str">
        <f t="shared" si="5"/>
        <v/>
      </c>
      <c r="G20" s="15">
        <v>0</v>
      </c>
      <c r="H20" s="15">
        <f t="shared" si="6"/>
        <v>0.127</v>
      </c>
      <c r="I20" s="16" t="str">
        <f t="shared" si="7"/>
        <v/>
      </c>
      <c r="J20" s="41"/>
      <c r="K20" s="41"/>
      <c r="L20" s="46"/>
    </row>
    <row r="21" spans="1:12" ht="15.75">
      <c r="A21" s="30" t="str">
        <v>Plano Bldg A</v>
      </c>
      <c r="B21" s="31" t="str">
        <v>TX</v>
      </c>
      <c r="C21" s="11">
        <v>2770.7629999999999</v>
      </c>
      <c r="D21" s="18">
        <v>0</v>
      </c>
      <c r="E21" s="18">
        <f t="shared" si="4"/>
        <v>2770.7629999999999</v>
      </c>
      <c r="F21" s="19" t="str">
        <f t="shared" si="5"/>
        <v/>
      </c>
      <c r="G21" s="20">
        <v>0</v>
      </c>
      <c r="H21" s="20">
        <f t="shared" si="6"/>
        <v>2770.7629999999999</v>
      </c>
      <c r="I21" s="19" t="str">
        <f t="shared" si="7"/>
        <v/>
      </c>
      <c r="J21" s="42"/>
      <c r="K21" s="43"/>
      <c r="L21" s="46"/>
    </row>
    <row r="22" spans="1:12" ht="14.2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2" ht="14.2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2" ht="14.2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2" ht="14.2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2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2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2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2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2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2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3.9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0"/>
  <sheetViews>
    <sheetView workbookViewId="0">
      <pane xSplit="2" ySplit="3" topLeftCell="C17" activePane="bottomRight" state="frozen"/>
      <selection pane="bottomRight" activeCell="J21" sqref="J21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JLL</v>
      </c>
      <c r="B1" s="56"/>
      <c r="C1" s="56"/>
      <c r="D1" s="57" t="s">
        <v>42</v>
      </c>
      <c r="E1" s="57"/>
      <c r="F1" s="57"/>
      <c r="G1" s="55" t="s">
        <v>43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SUM(C4:C98)</f>
        <v>64254.249000000003</v>
      </c>
      <c r="D2" s="5">
        <f>SUM(D4:D98)</f>
        <v>0</v>
      </c>
      <c r="E2" s="5">
        <f>C2-D2</f>
        <v>64254.249000000003</v>
      </c>
      <c r="F2" s="6">
        <f>IFERROR(E2/D2, 0)</f>
        <v>0</v>
      </c>
      <c r="G2" s="5">
        <f>SUM(G4:G98)</f>
        <v>0</v>
      </c>
      <c r="H2" s="7">
        <f>C2-G2</f>
        <v>64254.249000000003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1">Sites[Site]</f>
        <v>Bullhead</v>
      </c>
      <c r="B4" s="29" t="str" cm="1">
        <f t="array" ref="B4:B21">Sites[State]</f>
        <v>AZ</v>
      </c>
      <c r="C4" s="24">
        <v>157.786</v>
      </c>
      <c r="D4" s="13">
        <v>0</v>
      </c>
      <c r="E4" s="13">
        <f>IF(AND(ISNUMBER(C4),ISNUMBER(D4)), C4-D4, "")</f>
        <v>157.786</v>
      </c>
      <c r="F4" s="14" t="str">
        <f>IFERROR(E4/D4, "")</f>
        <v/>
      </c>
      <c r="G4" s="15">
        <v>0</v>
      </c>
      <c r="H4" s="15">
        <f>IF(AND(ISNUMBER(C4),ISNUMBER(G4)), C4-G4, "")</f>
        <v>157.786</v>
      </c>
      <c r="I4" s="16" t="str">
        <f>IFERROR(H4/G4, "")</f>
        <v/>
      </c>
      <c r="J4" s="50"/>
      <c r="K4" s="50"/>
    </row>
    <row r="5" spans="1:11" ht="15.75">
      <c r="A5" s="30" t="str">
        <v>Peoria</v>
      </c>
      <c r="B5" s="31" t="str">
        <v>AZ</v>
      </c>
      <c r="C5" s="11">
        <v>0</v>
      </c>
      <c r="D5" s="18">
        <v>0</v>
      </c>
      <c r="E5" s="18">
        <f t="shared" ref="E5:E17" si="0">IF(AND(ISNUMBER(C5),ISNUMBER(D5)), C5-D5, "")</f>
        <v>0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0</v>
      </c>
      <c r="I5" s="19" t="str">
        <f t="shared" ref="I5:I17" si="2">IFERROR(H5/G5, "")</f>
        <v/>
      </c>
      <c r="J5" s="47"/>
      <c r="K5" s="47"/>
    </row>
    <row r="6" spans="1:11" ht="15.75">
      <c r="A6" s="28" t="str">
        <v>Tucson</v>
      </c>
      <c r="B6" s="29" t="str">
        <v>AZ</v>
      </c>
      <c r="C6" s="24">
        <v>0</v>
      </c>
      <c r="D6" s="13">
        <v>0</v>
      </c>
      <c r="E6" s="13">
        <f t="shared" si="0"/>
        <v>0</v>
      </c>
      <c r="F6" s="14" t="str">
        <f t="shared" ref="F6:F17" si="3">IFERROR(E6/D6, "")</f>
        <v/>
      </c>
      <c r="G6" s="15">
        <v>0</v>
      </c>
      <c r="H6" s="15">
        <f t="shared" si="1"/>
        <v>0</v>
      </c>
      <c r="I6" s="16" t="str">
        <f t="shared" si="2"/>
        <v/>
      </c>
      <c r="J6" s="50" t="s">
        <v>44</v>
      </c>
      <c r="K6" s="50" t="s">
        <v>45</v>
      </c>
    </row>
    <row r="7" spans="1:11" ht="15.75">
      <c r="A7" s="30" t="str">
        <v>Hialeah</v>
      </c>
      <c r="B7" s="31" t="str">
        <v>FL</v>
      </c>
      <c r="C7" s="11">
        <v>328.14100000000002</v>
      </c>
      <c r="D7" s="18">
        <v>0</v>
      </c>
      <c r="E7" s="18">
        <f t="shared" si="0"/>
        <v>328.14100000000002</v>
      </c>
      <c r="F7" s="19" t="str">
        <f t="shared" si="3"/>
        <v/>
      </c>
      <c r="G7" s="20">
        <v>0</v>
      </c>
      <c r="H7" s="20">
        <f t="shared" si="1"/>
        <v>328.14100000000002</v>
      </c>
      <c r="I7" s="19" t="str">
        <f t="shared" si="2"/>
        <v/>
      </c>
      <c r="J7" s="47"/>
      <c r="K7" s="48"/>
    </row>
    <row r="8" spans="1:11" ht="15.75">
      <c r="A8" s="28" t="str">
        <v>Jacksonville</v>
      </c>
      <c r="B8" s="29" t="str">
        <v>FL</v>
      </c>
      <c r="C8" s="24">
        <v>104.75</v>
      </c>
      <c r="D8" s="13">
        <v>0</v>
      </c>
      <c r="E8" s="13">
        <f t="shared" si="0"/>
        <v>104.75</v>
      </c>
      <c r="F8" s="14" t="str">
        <f t="shared" si="3"/>
        <v/>
      </c>
      <c r="G8" s="15">
        <v>0</v>
      </c>
      <c r="H8" s="15">
        <f t="shared" si="1"/>
        <v>104.75</v>
      </c>
      <c r="I8" s="16" t="str">
        <f t="shared" si="2"/>
        <v/>
      </c>
      <c r="J8" s="50"/>
      <c r="K8" s="50"/>
    </row>
    <row r="9" spans="1:11" ht="15.75">
      <c r="A9" s="30" t="str">
        <v>Miami Gardens</v>
      </c>
      <c r="B9" s="31" t="str">
        <v>FL</v>
      </c>
      <c r="C9" s="11">
        <v>43</v>
      </c>
      <c r="D9" s="18">
        <v>0</v>
      </c>
      <c r="E9" s="18">
        <f t="shared" si="0"/>
        <v>43</v>
      </c>
      <c r="F9" s="19" t="str">
        <f t="shared" si="3"/>
        <v/>
      </c>
      <c r="G9" s="20">
        <v>0</v>
      </c>
      <c r="H9" s="20">
        <f t="shared" si="1"/>
        <v>43</v>
      </c>
      <c r="I9" s="19" t="str">
        <f t="shared" si="2"/>
        <v/>
      </c>
      <c r="J9" s="47" t="s">
        <v>46</v>
      </c>
      <c r="K9" s="47" t="s">
        <v>47</v>
      </c>
    </row>
    <row r="10" spans="1:11" ht="15.75">
      <c r="A10" s="28" t="str">
        <v>Fort Myers</v>
      </c>
      <c r="B10" s="29" t="str">
        <v>FL</v>
      </c>
      <c r="C10" s="24">
        <v>6372.1819999999998</v>
      </c>
      <c r="D10" s="13">
        <v>0</v>
      </c>
      <c r="E10" s="13">
        <f t="shared" si="0"/>
        <v>6372.1819999999998</v>
      </c>
      <c r="F10" s="14" t="str">
        <f t="shared" si="3"/>
        <v/>
      </c>
      <c r="G10" s="15">
        <v>0</v>
      </c>
      <c r="H10" s="15">
        <f t="shared" si="1"/>
        <v>6372.1819999999998</v>
      </c>
      <c r="I10" s="16" t="str">
        <f t="shared" si="2"/>
        <v/>
      </c>
      <c r="J10" s="50" t="s">
        <v>48</v>
      </c>
      <c r="K10" s="50" t="s">
        <v>49</v>
      </c>
    </row>
    <row r="11" spans="1:11" ht="15.75">
      <c r="A11" s="30" t="str">
        <v>Orlando</v>
      </c>
      <c r="B11" s="31" t="str">
        <v>FL</v>
      </c>
      <c r="C11" s="11">
        <v>5707</v>
      </c>
      <c r="D11" s="18">
        <v>0</v>
      </c>
      <c r="E11" s="18">
        <f t="shared" si="0"/>
        <v>5707</v>
      </c>
      <c r="F11" s="19" t="str">
        <f t="shared" si="3"/>
        <v/>
      </c>
      <c r="G11" s="20">
        <v>0</v>
      </c>
      <c r="H11" s="20">
        <f t="shared" si="1"/>
        <v>5707</v>
      </c>
      <c r="I11" s="19" t="str">
        <f t="shared" si="2"/>
        <v/>
      </c>
      <c r="J11" s="47"/>
      <c r="K11" s="48"/>
    </row>
    <row r="12" spans="1:11" ht="15.75">
      <c r="A12" s="28" t="str">
        <v>Port St. Lucie</v>
      </c>
      <c r="B12" s="29" t="str">
        <v>FL</v>
      </c>
      <c r="C12" s="24">
        <v>10343.09</v>
      </c>
      <c r="D12" s="13">
        <v>0</v>
      </c>
      <c r="E12" s="13">
        <f t="shared" si="0"/>
        <v>10343.09</v>
      </c>
      <c r="F12" s="14" t="str">
        <f t="shared" si="3"/>
        <v/>
      </c>
      <c r="G12" s="15">
        <v>0</v>
      </c>
      <c r="H12" s="15">
        <f t="shared" si="1"/>
        <v>10343.09</v>
      </c>
      <c r="I12" s="16" t="str">
        <f t="shared" si="2"/>
        <v/>
      </c>
      <c r="J12" s="50" t="s">
        <v>50</v>
      </c>
      <c r="K12" s="50" t="s">
        <v>51</v>
      </c>
    </row>
    <row r="13" spans="1:11" ht="15.75">
      <c r="A13" s="30" t="str">
        <v>Tampa</v>
      </c>
      <c r="B13" s="31" t="str">
        <v>FL</v>
      </c>
      <c r="C13" s="11">
        <v>17337.400000000001</v>
      </c>
      <c r="D13" s="18">
        <v>0</v>
      </c>
      <c r="E13" s="18">
        <f t="shared" si="0"/>
        <v>17337.400000000001</v>
      </c>
      <c r="F13" s="19" t="str">
        <f t="shared" si="3"/>
        <v/>
      </c>
      <c r="G13" s="20">
        <v>0</v>
      </c>
      <c r="H13" s="20">
        <f t="shared" si="1"/>
        <v>17337.400000000001</v>
      </c>
      <c r="I13" s="19" t="str">
        <f t="shared" si="2"/>
        <v/>
      </c>
      <c r="J13" s="47"/>
      <c r="K13" s="48"/>
    </row>
    <row r="14" spans="1:11" ht="15.75">
      <c r="A14" s="28" t="str">
        <v>Roswell</v>
      </c>
      <c r="B14" s="29" t="str">
        <v>GA</v>
      </c>
      <c r="C14" s="24">
        <v>6677.3</v>
      </c>
      <c r="D14" s="13">
        <v>0</v>
      </c>
      <c r="E14" s="13">
        <f t="shared" si="0"/>
        <v>6677.3</v>
      </c>
      <c r="F14" s="14" t="str">
        <f t="shared" si="3"/>
        <v/>
      </c>
      <c r="G14" s="15">
        <v>0</v>
      </c>
      <c r="H14" s="15">
        <f t="shared" si="1"/>
        <v>6677.3</v>
      </c>
      <c r="I14" s="16" t="str">
        <f t="shared" si="2"/>
        <v/>
      </c>
      <c r="J14" s="50" t="s">
        <v>52</v>
      </c>
      <c r="K14" s="50" t="s">
        <v>53</v>
      </c>
    </row>
    <row r="15" spans="1:11" ht="15.75">
      <c r="A15" s="30" t="str">
        <v>Charlotte</v>
      </c>
      <c r="B15" s="31" t="str">
        <v>NC</v>
      </c>
      <c r="C15" s="11">
        <v>2612.1999999999998</v>
      </c>
      <c r="D15" s="18">
        <v>0</v>
      </c>
      <c r="E15" s="18">
        <f t="shared" si="0"/>
        <v>2612.1999999999998</v>
      </c>
      <c r="F15" s="19" t="str">
        <f t="shared" si="3"/>
        <v/>
      </c>
      <c r="G15" s="20">
        <v>0</v>
      </c>
      <c r="H15" s="20">
        <f t="shared" si="1"/>
        <v>2612.1999999999998</v>
      </c>
      <c r="I15" s="19" t="str">
        <f t="shared" si="2"/>
        <v/>
      </c>
      <c r="J15" s="47"/>
      <c r="K15" s="48"/>
    </row>
    <row r="16" spans="1:11" ht="15.75">
      <c r="A16" s="28" t="str">
        <v>Raleigh</v>
      </c>
      <c r="B16" s="29" t="str">
        <v>NC</v>
      </c>
      <c r="C16" s="24">
        <v>3255</v>
      </c>
      <c r="D16" s="13">
        <v>0</v>
      </c>
      <c r="E16" s="13">
        <f t="shared" si="0"/>
        <v>3255</v>
      </c>
      <c r="F16" s="14" t="str">
        <f t="shared" si="3"/>
        <v/>
      </c>
      <c r="G16" s="15">
        <v>0</v>
      </c>
      <c r="H16" s="15">
        <f t="shared" si="1"/>
        <v>3255</v>
      </c>
      <c r="I16" s="16" t="str">
        <f t="shared" si="2"/>
        <v/>
      </c>
      <c r="J16" s="50"/>
      <c r="K16" s="50"/>
    </row>
    <row r="17" spans="1:11" ht="15.75">
      <c r="A17" s="30" t="str">
        <v>Cordova</v>
      </c>
      <c r="B17" s="31" t="str">
        <v>TN</v>
      </c>
      <c r="C17" s="11">
        <v>4221.3999999999996</v>
      </c>
      <c r="D17" s="18">
        <v>0</v>
      </c>
      <c r="E17" s="18">
        <f t="shared" si="0"/>
        <v>4221.3999999999996</v>
      </c>
      <c r="F17" s="19" t="str">
        <f t="shared" si="3"/>
        <v/>
      </c>
      <c r="G17" s="20">
        <v>0</v>
      </c>
      <c r="H17" s="20">
        <f t="shared" si="1"/>
        <v>4221.3999999999996</v>
      </c>
      <c r="I17" s="19" t="str">
        <f t="shared" si="2"/>
        <v/>
      </c>
      <c r="J17" s="47"/>
      <c r="K17" s="48"/>
    </row>
    <row r="18" spans="1:11" ht="12.75" customHeight="1">
      <c r="A18" s="28" t="str">
        <v>Austin</v>
      </c>
      <c r="B18" s="29" t="str">
        <v>TX</v>
      </c>
      <c r="C18" s="24">
        <v>1193.9000000000001</v>
      </c>
      <c r="D18" s="13">
        <v>0</v>
      </c>
      <c r="E18" s="13">
        <f t="shared" ref="E18:E21" si="4">IF(AND(ISNUMBER(C18),ISNUMBER(D18)), C18-D18, "")</f>
        <v>1193.9000000000001</v>
      </c>
      <c r="F18" s="14" t="str">
        <f t="shared" ref="F18:F21" si="5">IFERROR(E18/D18, "")</f>
        <v/>
      </c>
      <c r="G18" s="15">
        <v>0</v>
      </c>
      <c r="H18" s="15">
        <f t="shared" ref="H18:H21" si="6">IF(AND(ISNUMBER(C18),ISNUMBER(G18)), C18-G18, "")</f>
        <v>1193.9000000000001</v>
      </c>
      <c r="I18" s="16" t="str">
        <f t="shared" ref="I18:I21" si="7">IFERROR(H18/G18, "")</f>
        <v/>
      </c>
      <c r="J18" s="50"/>
      <c r="K18" s="50"/>
    </row>
    <row r="19" spans="1:11" ht="15.75">
      <c r="A19" s="30" t="str">
        <v>Frisco</v>
      </c>
      <c r="B19" s="31" t="str">
        <v>TX</v>
      </c>
      <c r="C19" s="11">
        <v>3114</v>
      </c>
      <c r="D19" s="18">
        <v>0</v>
      </c>
      <c r="E19" s="18">
        <f t="shared" si="4"/>
        <v>3114</v>
      </c>
      <c r="F19" s="19" t="str">
        <f t="shared" si="5"/>
        <v/>
      </c>
      <c r="G19" s="20">
        <v>0</v>
      </c>
      <c r="H19" s="20">
        <f t="shared" si="6"/>
        <v>3114</v>
      </c>
      <c r="I19" s="19" t="str">
        <f t="shared" si="7"/>
        <v/>
      </c>
      <c r="J19" s="47" t="s">
        <v>54</v>
      </c>
      <c r="K19" s="49" t="s">
        <v>55</v>
      </c>
    </row>
    <row r="20" spans="1:11" ht="15.75">
      <c r="A20" s="28" t="str">
        <v>Copperfield</v>
      </c>
      <c r="B20" s="29" t="str">
        <v>TX</v>
      </c>
      <c r="C20" s="24">
        <v>0</v>
      </c>
      <c r="D20" s="13">
        <v>0</v>
      </c>
      <c r="E20" s="13">
        <f t="shared" si="4"/>
        <v>0</v>
      </c>
      <c r="F20" s="14" t="str">
        <f t="shared" si="5"/>
        <v/>
      </c>
      <c r="G20" s="15">
        <v>0</v>
      </c>
      <c r="H20" s="15">
        <f t="shared" si="6"/>
        <v>0</v>
      </c>
      <c r="I20" s="16" t="str">
        <f t="shared" si="7"/>
        <v/>
      </c>
      <c r="J20" s="50" t="s">
        <v>56</v>
      </c>
      <c r="K20" s="50" t="s">
        <v>57</v>
      </c>
    </row>
    <row r="21" spans="1:11" ht="15.75">
      <c r="A21" s="30" t="str">
        <v>Plano Bldg A</v>
      </c>
      <c r="B21" s="31" t="str">
        <v>TX</v>
      </c>
      <c r="C21" s="11">
        <v>2787.1</v>
      </c>
      <c r="D21" s="18">
        <v>0</v>
      </c>
      <c r="E21" s="18">
        <f t="shared" si="4"/>
        <v>2787.1</v>
      </c>
      <c r="F21" s="19" t="str">
        <f t="shared" si="5"/>
        <v/>
      </c>
      <c r="G21" s="20">
        <v>0</v>
      </c>
      <c r="H21" s="20">
        <f t="shared" si="6"/>
        <v>2787.1</v>
      </c>
      <c r="I21" s="19" t="str">
        <f t="shared" si="7"/>
        <v/>
      </c>
      <c r="J21" s="42"/>
      <c r="K21" s="43"/>
    </row>
    <row r="22" spans="1:11" ht="14.2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2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2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2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3.9">
      <c r="C340" s="21"/>
      <c r="D340" s="21"/>
      <c r="E340" s="21"/>
      <c r="F340" s="22"/>
      <c r="G340" s="21"/>
      <c r="H340" s="21"/>
      <c r="I340" s="22"/>
      <c r="J340" s="21"/>
      <c r="K340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8 I4:I98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0"/>
  <sheetViews>
    <sheetView zoomScale="70" zoomScaleNormal="70" workbookViewId="0">
      <pane xSplit="2" ySplit="3" topLeftCell="C4" activePane="bottomRight" state="frozen"/>
      <selection pane="bottomRight" activeCell="C21" sqref="C21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JLL</v>
      </c>
      <c r="B1" s="56"/>
      <c r="C1" s="56"/>
      <c r="D1" s="57" t="s">
        <v>58</v>
      </c>
      <c r="E1" s="57"/>
      <c r="F1" s="57"/>
      <c r="G1" s="55" t="s">
        <v>59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SUM(C4:C98)</f>
        <v>47815.529999999992</v>
      </c>
      <c r="D2" s="5">
        <f>SUM(D4:D98)</f>
        <v>0</v>
      </c>
      <c r="E2" s="5">
        <f>C2-D2</f>
        <v>47815.529999999992</v>
      </c>
      <c r="F2" s="6">
        <f>IFERROR(E2/D2, 0)</f>
        <v>0</v>
      </c>
      <c r="G2" s="5">
        <f>SUM(G4:G98)</f>
        <v>0</v>
      </c>
      <c r="H2" s="7">
        <f>C2-G2</f>
        <v>47815.529999999992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1">Sites[Site]</f>
        <v>Bullhead</v>
      </c>
      <c r="B4" s="29" t="str" cm="1">
        <f t="array" ref="B4:B21">Sites[State]</f>
        <v>AZ</v>
      </c>
      <c r="C4" s="24">
        <v>139.30000000000001</v>
      </c>
      <c r="D4" s="13">
        <v>0</v>
      </c>
      <c r="E4" s="13">
        <f>IF(AND(ISNUMBER(C4),ISNUMBER(D4)), C4-D4, "")</f>
        <v>139.30000000000001</v>
      </c>
      <c r="F4" s="14" t="str">
        <f>IFERROR(E4/D4, "")</f>
        <v/>
      </c>
      <c r="G4" s="15">
        <v>0</v>
      </c>
      <c r="H4" s="15">
        <f>IF(AND(ISNUMBER(C4),ISNUMBER(G4)), C4-G4, "")</f>
        <v>139.30000000000001</v>
      </c>
      <c r="I4" s="16" t="str">
        <f>IFERROR(H4/G4, "")</f>
        <v/>
      </c>
      <c r="J4" s="50"/>
      <c r="K4" s="50"/>
    </row>
    <row r="5" spans="1:11" ht="15.75">
      <c r="A5" s="30" t="str">
        <v>Peoria</v>
      </c>
      <c r="B5" s="31" t="str">
        <v>AZ</v>
      </c>
      <c r="C5" s="11">
        <v>0</v>
      </c>
      <c r="D5" s="18">
        <v>0</v>
      </c>
      <c r="E5" s="18">
        <f t="shared" ref="E5:E17" si="0">IF(AND(ISNUMBER(C5),ISNUMBER(D5)), C5-D5, "")</f>
        <v>0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0</v>
      </c>
      <c r="I5" s="19" t="str">
        <f t="shared" ref="I5:I17" si="2">IFERROR(H5/G5, "")</f>
        <v/>
      </c>
      <c r="J5" s="47"/>
      <c r="K5" s="47"/>
    </row>
    <row r="6" spans="1:11" ht="15.75">
      <c r="A6" s="28" t="str">
        <v>Tucson</v>
      </c>
      <c r="B6" s="29" t="str">
        <v>AZ</v>
      </c>
      <c r="C6" s="24">
        <v>0</v>
      </c>
      <c r="D6" s="13">
        <v>0</v>
      </c>
      <c r="E6" s="13">
        <f t="shared" si="0"/>
        <v>0</v>
      </c>
      <c r="F6" s="14" t="str">
        <f t="shared" ref="F6:F17" si="3">IFERROR(E6/D6, "")</f>
        <v/>
      </c>
      <c r="G6" s="15">
        <v>0</v>
      </c>
      <c r="H6" s="15">
        <f t="shared" si="1"/>
        <v>0</v>
      </c>
      <c r="I6" s="16" t="str">
        <f t="shared" si="2"/>
        <v/>
      </c>
      <c r="J6" s="50" t="s">
        <v>44</v>
      </c>
      <c r="K6" s="50" t="s">
        <v>45</v>
      </c>
    </row>
    <row r="7" spans="1:11" ht="15.75">
      <c r="A7" s="30" t="str">
        <v>Hialeah</v>
      </c>
      <c r="B7" s="31" t="str">
        <v>FL</v>
      </c>
      <c r="C7" s="11">
        <v>0</v>
      </c>
      <c r="D7" s="18">
        <v>0</v>
      </c>
      <c r="E7" s="18">
        <f t="shared" si="0"/>
        <v>0</v>
      </c>
      <c r="F7" s="19" t="str">
        <f t="shared" si="3"/>
        <v/>
      </c>
      <c r="G7" s="20">
        <v>0</v>
      </c>
      <c r="H7" s="20">
        <f t="shared" si="1"/>
        <v>0</v>
      </c>
      <c r="I7" s="19" t="str">
        <f t="shared" si="2"/>
        <v/>
      </c>
      <c r="J7" s="47" t="s">
        <v>60</v>
      </c>
      <c r="K7" s="49" t="s">
        <v>61</v>
      </c>
    </row>
    <row r="8" spans="1:11" ht="15.75">
      <c r="A8" s="28" t="str">
        <v>Jacksonville</v>
      </c>
      <c r="B8" s="29" t="str">
        <v>FL</v>
      </c>
      <c r="C8" s="24">
        <v>59.4</v>
      </c>
      <c r="D8" s="13">
        <v>0</v>
      </c>
      <c r="E8" s="13">
        <f t="shared" si="0"/>
        <v>59.4</v>
      </c>
      <c r="F8" s="14" t="str">
        <f t="shared" si="3"/>
        <v/>
      </c>
      <c r="G8" s="15">
        <v>0</v>
      </c>
      <c r="H8" s="15">
        <f t="shared" si="1"/>
        <v>59.4</v>
      </c>
      <c r="I8" s="16" t="str">
        <f t="shared" si="2"/>
        <v/>
      </c>
      <c r="J8" s="50"/>
      <c r="K8" s="50"/>
    </row>
    <row r="9" spans="1:11" ht="15.75">
      <c r="A9" s="30" t="str">
        <v>Miami Gardens</v>
      </c>
      <c r="B9" s="31" t="str">
        <v>FL</v>
      </c>
      <c r="C9" s="11">
        <v>30.8</v>
      </c>
      <c r="D9" s="18">
        <v>0</v>
      </c>
      <c r="E9" s="18">
        <f t="shared" si="0"/>
        <v>30.8</v>
      </c>
      <c r="F9" s="19" t="str">
        <f t="shared" si="3"/>
        <v/>
      </c>
      <c r="G9" s="20">
        <v>0</v>
      </c>
      <c r="H9" s="20">
        <f t="shared" si="1"/>
        <v>30.8</v>
      </c>
      <c r="I9" s="19" t="str">
        <f t="shared" si="2"/>
        <v/>
      </c>
      <c r="J9" s="47" t="s">
        <v>62</v>
      </c>
      <c r="K9" s="47" t="s">
        <v>63</v>
      </c>
    </row>
    <row r="10" spans="1:11" ht="15.75">
      <c r="A10" s="28" t="str">
        <v>Fort Myers</v>
      </c>
      <c r="B10" s="29" t="str">
        <v>FL</v>
      </c>
      <c r="C10" s="24">
        <v>6060.4</v>
      </c>
      <c r="D10" s="13">
        <v>0</v>
      </c>
      <c r="E10" s="13">
        <f t="shared" si="0"/>
        <v>6060.4</v>
      </c>
      <c r="F10" s="14" t="str">
        <f t="shared" si="3"/>
        <v/>
      </c>
      <c r="G10" s="15">
        <v>0</v>
      </c>
      <c r="H10" s="15">
        <f t="shared" si="1"/>
        <v>6060.4</v>
      </c>
      <c r="I10" s="16" t="str">
        <f t="shared" si="2"/>
        <v/>
      </c>
      <c r="J10" s="50" t="s">
        <v>64</v>
      </c>
      <c r="K10" s="50" t="s">
        <v>49</v>
      </c>
    </row>
    <row r="11" spans="1:11" ht="15.75">
      <c r="A11" s="30" t="str">
        <v>Orlando</v>
      </c>
      <c r="B11" s="31" t="str">
        <v>FL</v>
      </c>
      <c r="C11" s="11">
        <v>4899.7</v>
      </c>
      <c r="D11" s="18">
        <v>0</v>
      </c>
      <c r="E11" s="18">
        <f t="shared" si="0"/>
        <v>4899.7</v>
      </c>
      <c r="F11" s="19" t="str">
        <f t="shared" si="3"/>
        <v/>
      </c>
      <c r="G11" s="20">
        <v>0</v>
      </c>
      <c r="H11" s="20">
        <f t="shared" si="1"/>
        <v>4899.7</v>
      </c>
      <c r="I11" s="19" t="str">
        <f t="shared" si="2"/>
        <v/>
      </c>
      <c r="J11" s="47"/>
      <c r="K11" s="48"/>
    </row>
    <row r="12" spans="1:11" ht="15.75">
      <c r="A12" s="28" t="str">
        <v>Port St. Lucie</v>
      </c>
      <c r="B12" s="29" t="str">
        <v>FL</v>
      </c>
      <c r="C12" s="24">
        <v>9156.2000000000007</v>
      </c>
      <c r="D12" s="13">
        <v>0</v>
      </c>
      <c r="E12" s="13">
        <f t="shared" si="0"/>
        <v>9156.2000000000007</v>
      </c>
      <c r="F12" s="14" t="str">
        <f t="shared" si="3"/>
        <v/>
      </c>
      <c r="G12" s="15">
        <v>0</v>
      </c>
      <c r="H12" s="15">
        <f t="shared" si="1"/>
        <v>9156.2000000000007</v>
      </c>
      <c r="I12" s="16" t="str">
        <f t="shared" si="2"/>
        <v/>
      </c>
      <c r="J12" s="50" t="s">
        <v>50</v>
      </c>
      <c r="K12" s="50" t="s">
        <v>51</v>
      </c>
    </row>
    <row r="13" spans="1:11" ht="15.75">
      <c r="A13" s="30" t="str">
        <v>Tampa</v>
      </c>
      <c r="B13" s="31" t="str">
        <v>FL</v>
      </c>
      <c r="C13" s="11">
        <v>1661.7</v>
      </c>
      <c r="D13" s="18">
        <v>0</v>
      </c>
      <c r="E13" s="18">
        <f t="shared" si="0"/>
        <v>1661.7</v>
      </c>
      <c r="F13" s="19" t="str">
        <f t="shared" si="3"/>
        <v/>
      </c>
      <c r="G13" s="20">
        <v>0</v>
      </c>
      <c r="H13" s="20">
        <f t="shared" si="1"/>
        <v>1661.7</v>
      </c>
      <c r="I13" s="19" t="str">
        <f t="shared" si="2"/>
        <v/>
      </c>
      <c r="J13" s="47"/>
      <c r="K13" s="48"/>
    </row>
    <row r="14" spans="1:11" ht="15.75">
      <c r="A14" s="28" t="str">
        <v>Roswell</v>
      </c>
      <c r="B14" s="29" t="str">
        <v>GA</v>
      </c>
      <c r="C14" s="24">
        <v>7827.83</v>
      </c>
      <c r="D14" s="13">
        <v>0</v>
      </c>
      <c r="E14" s="13">
        <f t="shared" si="0"/>
        <v>7827.83</v>
      </c>
      <c r="F14" s="14" t="str">
        <f t="shared" si="3"/>
        <v/>
      </c>
      <c r="G14" s="15">
        <v>0</v>
      </c>
      <c r="H14" s="15">
        <f t="shared" si="1"/>
        <v>7827.83</v>
      </c>
      <c r="I14" s="16" t="str">
        <f t="shared" si="2"/>
        <v/>
      </c>
      <c r="J14" s="50" t="s">
        <v>52</v>
      </c>
      <c r="K14" s="50" t="s">
        <v>53</v>
      </c>
    </row>
    <row r="15" spans="1:11" ht="15.75">
      <c r="A15" s="30" t="str">
        <v>Charlotte</v>
      </c>
      <c r="B15" s="31" t="str">
        <v>NC</v>
      </c>
      <c r="C15" s="11">
        <v>2484.3000000000002</v>
      </c>
      <c r="D15" s="18">
        <v>0</v>
      </c>
      <c r="E15" s="18">
        <f t="shared" si="0"/>
        <v>2484.3000000000002</v>
      </c>
      <c r="F15" s="19" t="str">
        <f t="shared" si="3"/>
        <v/>
      </c>
      <c r="G15" s="20">
        <v>0</v>
      </c>
      <c r="H15" s="20">
        <f t="shared" si="1"/>
        <v>2484.3000000000002</v>
      </c>
      <c r="I15" s="19" t="str">
        <f t="shared" si="2"/>
        <v/>
      </c>
      <c r="J15" s="47"/>
      <c r="K15" s="48"/>
    </row>
    <row r="16" spans="1:11" ht="15.75">
      <c r="A16" s="28" t="str">
        <v>Raleigh</v>
      </c>
      <c r="B16" s="29" t="str">
        <v>NC</v>
      </c>
      <c r="C16" s="24">
        <v>3427.3</v>
      </c>
      <c r="D16" s="13">
        <v>0</v>
      </c>
      <c r="E16" s="13">
        <f t="shared" si="0"/>
        <v>3427.3</v>
      </c>
      <c r="F16" s="14" t="str">
        <f t="shared" si="3"/>
        <v/>
      </c>
      <c r="G16" s="15">
        <v>0</v>
      </c>
      <c r="H16" s="15">
        <f t="shared" si="1"/>
        <v>3427.3</v>
      </c>
      <c r="I16" s="16" t="str">
        <f t="shared" si="2"/>
        <v/>
      </c>
      <c r="J16" s="50"/>
      <c r="K16" s="50"/>
    </row>
    <row r="17" spans="1:11" ht="15.75">
      <c r="A17" s="30" t="str">
        <v>Cordova</v>
      </c>
      <c r="B17" s="31" t="str">
        <v>TN</v>
      </c>
      <c r="C17" s="11">
        <v>4586.7</v>
      </c>
      <c r="D17" s="18">
        <v>0</v>
      </c>
      <c r="E17" s="18">
        <f t="shared" si="0"/>
        <v>4586.7</v>
      </c>
      <c r="F17" s="19" t="str">
        <f t="shared" si="3"/>
        <v/>
      </c>
      <c r="G17" s="20">
        <v>0</v>
      </c>
      <c r="H17" s="20">
        <f t="shared" si="1"/>
        <v>4586.7</v>
      </c>
      <c r="I17" s="19" t="str">
        <f t="shared" si="2"/>
        <v/>
      </c>
      <c r="J17" s="47"/>
      <c r="K17" s="48"/>
    </row>
    <row r="18" spans="1:11" ht="12.75" customHeight="1">
      <c r="A18" s="28" t="str">
        <v>Austin</v>
      </c>
      <c r="B18" s="29" t="str">
        <v>TX</v>
      </c>
      <c r="C18" s="24">
        <v>1347.1</v>
      </c>
      <c r="D18" s="13">
        <v>0</v>
      </c>
      <c r="E18" s="13">
        <f t="shared" ref="E18:E21" si="4">IF(AND(ISNUMBER(C18),ISNUMBER(D18)), C18-D18, "")</f>
        <v>1347.1</v>
      </c>
      <c r="F18" s="14" t="str">
        <f t="shared" ref="F18:F21" si="5">IFERROR(E18/D18, "")</f>
        <v/>
      </c>
      <c r="G18" s="15">
        <v>0</v>
      </c>
      <c r="H18" s="15">
        <f t="shared" ref="H18:H21" si="6">IF(AND(ISNUMBER(C18),ISNUMBER(G18)), C18-G18, "")</f>
        <v>1347.1</v>
      </c>
      <c r="I18" s="16" t="str">
        <f t="shared" ref="I18:I21" si="7">IFERROR(H18/G18, "")</f>
        <v/>
      </c>
      <c r="J18" s="50"/>
      <c r="K18" s="50"/>
    </row>
    <row r="19" spans="1:11" ht="15.75">
      <c r="A19" s="30" t="str">
        <v>Frisco</v>
      </c>
      <c r="B19" s="31" t="str">
        <v>TX</v>
      </c>
      <c r="C19" s="11">
        <v>3166.6</v>
      </c>
      <c r="D19" s="18">
        <v>0</v>
      </c>
      <c r="E19" s="18">
        <f t="shared" si="4"/>
        <v>3166.6</v>
      </c>
      <c r="F19" s="19" t="str">
        <f t="shared" si="5"/>
        <v/>
      </c>
      <c r="G19" s="20">
        <v>0</v>
      </c>
      <c r="H19" s="20">
        <f t="shared" si="6"/>
        <v>3166.6</v>
      </c>
      <c r="I19" s="19" t="str">
        <f t="shared" si="7"/>
        <v/>
      </c>
      <c r="J19" s="47" t="s">
        <v>65</v>
      </c>
      <c r="K19" s="49" t="s">
        <v>55</v>
      </c>
    </row>
    <row r="20" spans="1:11" ht="15.75">
      <c r="A20" s="28" t="str">
        <v>Copperfield</v>
      </c>
      <c r="B20" s="29" t="str">
        <v>TX</v>
      </c>
      <c r="C20" s="24">
        <v>0</v>
      </c>
      <c r="D20" s="13">
        <v>0</v>
      </c>
      <c r="E20" s="13">
        <f t="shared" si="4"/>
        <v>0</v>
      </c>
      <c r="F20" s="14" t="str">
        <f t="shared" si="5"/>
        <v/>
      </c>
      <c r="G20" s="15">
        <v>0</v>
      </c>
      <c r="H20" s="15">
        <f t="shared" si="6"/>
        <v>0</v>
      </c>
      <c r="I20" s="16" t="str">
        <f t="shared" si="7"/>
        <v/>
      </c>
      <c r="J20" s="50" t="s">
        <v>56</v>
      </c>
      <c r="K20" s="50" t="s">
        <v>57</v>
      </c>
    </row>
    <row r="21" spans="1:11" ht="15.75">
      <c r="A21" s="30" t="str">
        <v>Plano Bldg A</v>
      </c>
      <c r="B21" s="31" t="str">
        <v>TX</v>
      </c>
      <c r="C21" s="11">
        <v>2968.2</v>
      </c>
      <c r="D21" s="18">
        <v>0</v>
      </c>
      <c r="E21" s="18">
        <f t="shared" si="4"/>
        <v>2968.2</v>
      </c>
      <c r="F21" s="19" t="str">
        <f t="shared" si="5"/>
        <v/>
      </c>
      <c r="G21" s="20">
        <v>0</v>
      </c>
      <c r="H21" s="18">
        <f t="shared" si="6"/>
        <v>2968.2</v>
      </c>
      <c r="I21" s="18" t="str">
        <f t="shared" si="7"/>
        <v/>
      </c>
      <c r="J21" s="42"/>
      <c r="K21" s="48"/>
    </row>
    <row r="22" spans="1:11" ht="14.2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2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2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2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3.9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I4:I20 F4:F98 I22:I9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0"/>
  <sheetViews>
    <sheetView zoomScale="80" zoomScaleNormal="80" workbookViewId="0">
      <pane xSplit="2" ySplit="3" topLeftCell="C4" activePane="bottomRight" state="frozen"/>
      <selection pane="bottomRight" activeCell="G25" sqref="G25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JLL</v>
      </c>
      <c r="B1" s="56"/>
      <c r="C1" s="56"/>
      <c r="D1" s="57" t="s">
        <v>66</v>
      </c>
      <c r="E1" s="57"/>
      <c r="F1" s="57"/>
      <c r="G1" s="55" t="s">
        <v>67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SUM(C4:C98)</f>
        <v>39231.807999999997</v>
      </c>
      <c r="D2" s="5">
        <f>SUM(D4:D98)</f>
        <v>0</v>
      </c>
      <c r="E2" s="5">
        <f>C2-D2</f>
        <v>39231.807999999997</v>
      </c>
      <c r="F2" s="6">
        <f>IFERROR(E2/D2, 0)</f>
        <v>0</v>
      </c>
      <c r="G2" s="5">
        <f>SUM(G4:G98)</f>
        <v>0</v>
      </c>
      <c r="H2" s="7">
        <f>C2-G2</f>
        <v>39231.807999999997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1">Sites[Site]</f>
        <v>Bullhead</v>
      </c>
      <c r="B4" s="29" t="str" cm="1">
        <f t="array" ref="B4:B21">Sites[State]</f>
        <v>AZ</v>
      </c>
      <c r="C4" s="24">
        <v>109.73</v>
      </c>
      <c r="D4" s="13">
        <v>0</v>
      </c>
      <c r="E4" s="13">
        <f>IF(AND(ISNUMBER(C4),ISNUMBER(D4)), C4-D4, "")</f>
        <v>109.73</v>
      </c>
      <c r="F4" s="14" t="str">
        <f>IFERROR(E4/D4, "")</f>
        <v/>
      </c>
      <c r="G4" s="15">
        <v>0</v>
      </c>
      <c r="H4" s="15">
        <f>IF(AND(ISNUMBER(C4),ISNUMBER(G4)), C4-G4, "")</f>
        <v>109.73</v>
      </c>
      <c r="I4" s="16" t="str">
        <f>IFERROR(H4/G4, "")</f>
        <v/>
      </c>
      <c r="J4" s="50"/>
      <c r="K4" s="50"/>
    </row>
    <row r="5" spans="1:11" ht="15.75">
      <c r="A5" s="30" t="str">
        <v>Peoria</v>
      </c>
      <c r="B5" s="31" t="str">
        <v>AZ</v>
      </c>
      <c r="C5" s="11">
        <v>0</v>
      </c>
      <c r="D5" s="18">
        <v>0</v>
      </c>
      <c r="E5" s="18">
        <f t="shared" ref="E5:E17" si="0">IF(AND(ISNUMBER(C5),ISNUMBER(D5)), C5-D5, "")</f>
        <v>0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0</v>
      </c>
      <c r="I5" s="19" t="str">
        <f t="shared" ref="I5:I17" si="2">IFERROR(H5/G5, "")</f>
        <v/>
      </c>
      <c r="J5" s="47"/>
      <c r="K5" s="47"/>
    </row>
    <row r="6" spans="1:11" ht="15.75">
      <c r="A6" s="28" t="str">
        <v>Tucson</v>
      </c>
      <c r="B6" s="29" t="str">
        <v>AZ</v>
      </c>
      <c r="C6" s="24">
        <v>0</v>
      </c>
      <c r="D6" s="13">
        <v>0</v>
      </c>
      <c r="E6" s="13">
        <f t="shared" si="0"/>
        <v>0</v>
      </c>
      <c r="F6" s="14" t="str">
        <f t="shared" ref="F6:F17" si="3">IFERROR(E6/D6, "")</f>
        <v/>
      </c>
      <c r="G6" s="15">
        <v>0</v>
      </c>
      <c r="H6" s="15">
        <f t="shared" si="1"/>
        <v>0</v>
      </c>
      <c r="I6" s="16" t="str">
        <f t="shared" si="2"/>
        <v/>
      </c>
      <c r="J6" s="50" t="s">
        <v>44</v>
      </c>
      <c r="K6" s="50" t="s">
        <v>45</v>
      </c>
    </row>
    <row r="7" spans="1:11" ht="28.5">
      <c r="A7" s="30" t="str">
        <v>Hialeah</v>
      </c>
      <c r="B7" s="31" t="str">
        <v>FL</v>
      </c>
      <c r="C7" s="11">
        <v>0</v>
      </c>
      <c r="D7" s="18">
        <v>0</v>
      </c>
      <c r="E7" s="18">
        <f t="shared" si="0"/>
        <v>0</v>
      </c>
      <c r="F7" s="19" t="str">
        <f t="shared" si="3"/>
        <v/>
      </c>
      <c r="G7" s="20">
        <v>0</v>
      </c>
      <c r="H7" s="20">
        <f t="shared" si="1"/>
        <v>0</v>
      </c>
      <c r="I7" s="19" t="str">
        <f t="shared" si="2"/>
        <v/>
      </c>
      <c r="J7" s="47" t="s">
        <v>68</v>
      </c>
      <c r="K7" s="49" t="s">
        <v>69</v>
      </c>
    </row>
    <row r="8" spans="1:11" ht="15.75">
      <c r="A8" s="28" t="str">
        <v>Jacksonville</v>
      </c>
      <c r="B8" s="29" t="str">
        <v>FL</v>
      </c>
      <c r="C8" s="24">
        <v>80</v>
      </c>
      <c r="D8" s="13">
        <v>0</v>
      </c>
      <c r="E8" s="13">
        <f t="shared" si="0"/>
        <v>80</v>
      </c>
      <c r="F8" s="14" t="str">
        <f t="shared" si="3"/>
        <v/>
      </c>
      <c r="G8" s="15">
        <v>0</v>
      </c>
      <c r="H8" s="15">
        <f t="shared" si="1"/>
        <v>80</v>
      </c>
      <c r="I8" s="16" t="str">
        <f t="shared" si="2"/>
        <v/>
      </c>
      <c r="J8" s="50"/>
      <c r="K8" s="50"/>
    </row>
    <row r="9" spans="1:11" ht="15.75">
      <c r="A9" s="30" t="str">
        <v>Miami Gardens</v>
      </c>
      <c r="B9" s="31" t="str">
        <v>FL</v>
      </c>
      <c r="C9" s="11">
        <v>99.1</v>
      </c>
      <c r="D9" s="18">
        <v>0</v>
      </c>
      <c r="E9" s="18">
        <f t="shared" si="0"/>
        <v>99.1</v>
      </c>
      <c r="F9" s="19" t="str">
        <f t="shared" si="3"/>
        <v/>
      </c>
      <c r="G9" s="20">
        <v>0</v>
      </c>
      <c r="H9" s="20">
        <f t="shared" si="1"/>
        <v>99.1</v>
      </c>
      <c r="I9" s="19" t="str">
        <f t="shared" si="2"/>
        <v/>
      </c>
      <c r="J9" s="47" t="s">
        <v>70</v>
      </c>
      <c r="K9" s="47" t="s">
        <v>63</v>
      </c>
    </row>
    <row r="10" spans="1:11" ht="15.75">
      <c r="A10" s="28" t="str">
        <v>Fort Myers</v>
      </c>
      <c r="B10" s="29" t="str">
        <v>FL</v>
      </c>
      <c r="C10" s="24">
        <v>5843.3</v>
      </c>
      <c r="D10" s="13">
        <v>0</v>
      </c>
      <c r="E10" s="13">
        <f t="shared" si="0"/>
        <v>5843.3</v>
      </c>
      <c r="F10" s="14" t="str">
        <f t="shared" si="3"/>
        <v/>
      </c>
      <c r="G10" s="15">
        <v>0</v>
      </c>
      <c r="H10" s="15">
        <f t="shared" si="1"/>
        <v>5843.3</v>
      </c>
      <c r="I10" s="16" t="str">
        <f t="shared" si="2"/>
        <v/>
      </c>
      <c r="J10" s="50"/>
      <c r="K10" s="50"/>
    </row>
    <row r="11" spans="1:11" ht="15.75">
      <c r="A11" s="30" t="str">
        <v>Orlando</v>
      </c>
      <c r="B11" s="31" t="str">
        <v>FL</v>
      </c>
      <c r="C11" s="11">
        <v>4473.6000000000004</v>
      </c>
      <c r="D11" s="18">
        <v>0</v>
      </c>
      <c r="E11" s="18">
        <f t="shared" si="0"/>
        <v>4473.6000000000004</v>
      </c>
      <c r="F11" s="19" t="str">
        <f t="shared" si="3"/>
        <v/>
      </c>
      <c r="G11" s="20">
        <v>0</v>
      </c>
      <c r="H11" s="20">
        <f t="shared" si="1"/>
        <v>4473.6000000000004</v>
      </c>
      <c r="I11" s="19" t="str">
        <f t="shared" si="2"/>
        <v/>
      </c>
      <c r="J11" s="47"/>
      <c r="K11" s="48"/>
    </row>
    <row r="12" spans="1:11" ht="15.75">
      <c r="A12" s="28" t="str">
        <v>Port St. Lucie</v>
      </c>
      <c r="B12" s="29" t="str">
        <v>FL</v>
      </c>
      <c r="C12" s="24">
        <v>7759.8</v>
      </c>
      <c r="D12" s="13">
        <v>0</v>
      </c>
      <c r="E12" s="13">
        <f t="shared" si="0"/>
        <v>7759.8</v>
      </c>
      <c r="F12" s="14" t="str">
        <f t="shared" si="3"/>
        <v/>
      </c>
      <c r="G12" s="15">
        <v>0</v>
      </c>
      <c r="H12" s="15">
        <f t="shared" si="1"/>
        <v>7759.8</v>
      </c>
      <c r="I12" s="16" t="str">
        <f t="shared" si="2"/>
        <v/>
      </c>
      <c r="J12" s="50" t="s">
        <v>50</v>
      </c>
      <c r="K12" s="50" t="s">
        <v>51</v>
      </c>
    </row>
    <row r="13" spans="1:11" ht="15.75">
      <c r="A13" s="30" t="str">
        <v>Tampa</v>
      </c>
      <c r="B13" s="31" t="str">
        <v>FL</v>
      </c>
      <c r="C13" s="11">
        <v>1537.472</v>
      </c>
      <c r="D13" s="18">
        <v>0</v>
      </c>
      <c r="E13" s="18">
        <f t="shared" si="0"/>
        <v>1537.472</v>
      </c>
      <c r="F13" s="19" t="str">
        <f t="shared" si="3"/>
        <v/>
      </c>
      <c r="G13" s="20">
        <v>0</v>
      </c>
      <c r="H13" s="20">
        <f t="shared" si="1"/>
        <v>1537.472</v>
      </c>
      <c r="I13" s="19" t="str">
        <f t="shared" si="2"/>
        <v/>
      </c>
      <c r="J13" s="47"/>
      <c r="K13" s="48"/>
    </row>
    <row r="14" spans="1:11" ht="15.75">
      <c r="A14" s="28" t="str">
        <v>Roswell</v>
      </c>
      <c r="B14" s="29" t="str">
        <v>GA</v>
      </c>
      <c r="C14" s="24">
        <v>4949</v>
      </c>
      <c r="D14" s="13">
        <v>0</v>
      </c>
      <c r="E14" s="13">
        <f t="shared" si="0"/>
        <v>4949</v>
      </c>
      <c r="F14" s="14" t="str">
        <f t="shared" si="3"/>
        <v/>
      </c>
      <c r="G14" s="15">
        <v>0</v>
      </c>
      <c r="H14" s="15">
        <f t="shared" si="1"/>
        <v>4949</v>
      </c>
      <c r="I14" s="16" t="str">
        <f t="shared" si="2"/>
        <v/>
      </c>
      <c r="J14" s="50" t="s">
        <v>52</v>
      </c>
      <c r="K14" s="50" t="s">
        <v>53</v>
      </c>
    </row>
    <row r="15" spans="1:11" ht="15.75">
      <c r="A15" s="30" t="str">
        <v>Charlotte</v>
      </c>
      <c r="B15" s="31" t="str">
        <v>NC</v>
      </c>
      <c r="C15" s="11">
        <v>1861.7</v>
      </c>
      <c r="D15" s="18">
        <v>0</v>
      </c>
      <c r="E15" s="18">
        <f t="shared" si="0"/>
        <v>1861.7</v>
      </c>
      <c r="F15" s="19" t="str">
        <f t="shared" si="3"/>
        <v/>
      </c>
      <c r="G15" s="20">
        <v>0</v>
      </c>
      <c r="H15" s="20">
        <f t="shared" si="1"/>
        <v>1861.7</v>
      </c>
      <c r="I15" s="19" t="str">
        <f t="shared" si="2"/>
        <v/>
      </c>
      <c r="J15" s="47"/>
      <c r="K15" s="48"/>
    </row>
    <row r="16" spans="1:11" ht="15.75">
      <c r="A16" s="28" t="str">
        <v>Raleigh</v>
      </c>
      <c r="B16" s="29" t="str">
        <v>NC</v>
      </c>
      <c r="C16" s="24">
        <v>2549.8000000000002</v>
      </c>
      <c r="D16" s="13">
        <v>0</v>
      </c>
      <c r="E16" s="13">
        <f t="shared" si="0"/>
        <v>2549.8000000000002</v>
      </c>
      <c r="F16" s="14" t="str">
        <f t="shared" si="3"/>
        <v/>
      </c>
      <c r="G16" s="15">
        <v>0</v>
      </c>
      <c r="H16" s="15">
        <f t="shared" si="1"/>
        <v>2549.8000000000002</v>
      </c>
      <c r="I16" s="16" t="str">
        <f t="shared" si="2"/>
        <v/>
      </c>
      <c r="J16" s="50"/>
      <c r="K16" s="50"/>
    </row>
    <row r="17" spans="1:11" ht="15.75">
      <c r="A17" s="30" t="str">
        <v>Cordova</v>
      </c>
      <c r="B17" s="31" t="str">
        <v>TN</v>
      </c>
      <c r="C17" s="11">
        <v>2996.5</v>
      </c>
      <c r="D17" s="18">
        <v>0</v>
      </c>
      <c r="E17" s="18">
        <f t="shared" si="0"/>
        <v>2996.5</v>
      </c>
      <c r="F17" s="19" t="str">
        <f t="shared" si="3"/>
        <v/>
      </c>
      <c r="G17" s="20">
        <v>0</v>
      </c>
      <c r="H17" s="20">
        <f t="shared" si="1"/>
        <v>2996.5</v>
      </c>
      <c r="I17" s="19" t="str">
        <f t="shared" si="2"/>
        <v/>
      </c>
      <c r="J17" s="47" t="s">
        <v>71</v>
      </c>
      <c r="K17" s="51" t="s">
        <v>72</v>
      </c>
    </row>
    <row r="18" spans="1:11" ht="12.75" customHeight="1">
      <c r="A18" s="28" t="str">
        <v>Austin</v>
      </c>
      <c r="B18" s="29" t="str">
        <v>TX</v>
      </c>
      <c r="C18" s="24">
        <v>1191.4000000000001</v>
      </c>
      <c r="D18" s="13">
        <v>0</v>
      </c>
      <c r="E18" s="13">
        <f t="shared" ref="E18:E21" si="4">IF(AND(ISNUMBER(C18),ISNUMBER(D18)), C18-D18, "")</f>
        <v>1191.4000000000001</v>
      </c>
      <c r="F18" s="14" t="str">
        <f t="shared" ref="F18:F21" si="5">IFERROR(E18/D18, "")</f>
        <v/>
      </c>
      <c r="G18" s="15">
        <v>0</v>
      </c>
      <c r="H18" s="15">
        <f t="shared" ref="H18:H21" si="6">IF(AND(ISNUMBER(C18),ISNUMBER(G18)), C18-G18, "")</f>
        <v>1191.4000000000001</v>
      </c>
      <c r="I18" s="16" t="str">
        <f t="shared" ref="I18:I21" si="7">IFERROR(H18/G18, "")</f>
        <v/>
      </c>
      <c r="J18" s="50"/>
      <c r="K18" s="50"/>
    </row>
    <row r="19" spans="1:11" ht="15.75">
      <c r="A19" s="30" t="str">
        <v>Frisco</v>
      </c>
      <c r="B19" s="31" t="str">
        <v>TX</v>
      </c>
      <c r="C19" s="11">
        <v>2730.6</v>
      </c>
      <c r="D19" s="18">
        <v>0</v>
      </c>
      <c r="E19" s="18">
        <f t="shared" si="4"/>
        <v>2730.6</v>
      </c>
      <c r="F19" s="19" t="str">
        <f t="shared" si="5"/>
        <v/>
      </c>
      <c r="G19" s="20">
        <v>0</v>
      </c>
      <c r="H19" s="20">
        <f t="shared" si="6"/>
        <v>2730.6</v>
      </c>
      <c r="I19" s="19" t="str">
        <f t="shared" si="7"/>
        <v/>
      </c>
      <c r="J19" s="47" t="s">
        <v>73</v>
      </c>
      <c r="K19" s="52" t="s">
        <v>74</v>
      </c>
    </row>
    <row r="20" spans="1:11" ht="15.75">
      <c r="A20" s="28" t="str">
        <v>Copperfield</v>
      </c>
      <c r="B20" s="29" t="str">
        <v>TX</v>
      </c>
      <c r="C20" s="24">
        <v>595.20600000000002</v>
      </c>
      <c r="D20" s="13">
        <v>0</v>
      </c>
      <c r="E20" s="13">
        <f t="shared" si="4"/>
        <v>595.20600000000002</v>
      </c>
      <c r="F20" s="14" t="str">
        <f t="shared" si="5"/>
        <v/>
      </c>
      <c r="G20" s="15">
        <v>0</v>
      </c>
      <c r="H20" s="15">
        <f t="shared" si="6"/>
        <v>595.20600000000002</v>
      </c>
      <c r="I20" s="16" t="str">
        <f t="shared" si="7"/>
        <v/>
      </c>
      <c r="J20" s="50" t="s">
        <v>56</v>
      </c>
      <c r="K20" s="50" t="s">
        <v>57</v>
      </c>
    </row>
    <row r="21" spans="1:11" ht="15.75">
      <c r="A21" s="30" t="str">
        <v>Plano Bldg A</v>
      </c>
      <c r="B21" s="31" t="str">
        <v>TX</v>
      </c>
      <c r="C21" s="11">
        <v>2454.6</v>
      </c>
      <c r="D21" s="18">
        <v>0</v>
      </c>
      <c r="E21" s="18">
        <f t="shared" si="4"/>
        <v>2454.6</v>
      </c>
      <c r="F21" s="19" t="str">
        <f t="shared" si="5"/>
        <v/>
      </c>
      <c r="G21" s="20">
        <v>0</v>
      </c>
      <c r="H21" s="20">
        <f t="shared" si="6"/>
        <v>2454.6</v>
      </c>
      <c r="I21" s="19" t="str">
        <f t="shared" si="7"/>
        <v/>
      </c>
      <c r="J21" s="47"/>
      <c r="K21" s="43"/>
    </row>
    <row r="22" spans="1:11" ht="14.2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2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2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2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3.9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0"/>
  <sheetViews>
    <sheetView zoomScale="80" zoomScaleNormal="80" workbookViewId="0">
      <pane xSplit="2" ySplit="3" topLeftCell="D4" activePane="bottomRight" state="frozen"/>
      <selection pane="bottomRight" activeCell="J23" sqref="J23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JLL</v>
      </c>
      <c r="B1" s="56"/>
      <c r="C1" s="56"/>
      <c r="D1" s="57" t="s">
        <v>75</v>
      </c>
      <c r="E1" s="57"/>
      <c r="F1" s="57"/>
      <c r="G1" s="55" t="s">
        <v>76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SUM(C4:C98)</f>
        <v>39350.04</v>
      </c>
      <c r="D2" s="5">
        <f>SUM(D4:D98)</f>
        <v>0</v>
      </c>
      <c r="E2" s="5">
        <f>C2-D2</f>
        <v>39350.04</v>
      </c>
      <c r="F2" s="6">
        <f>IFERROR(E2/D2, 0)</f>
        <v>0</v>
      </c>
      <c r="G2" s="5">
        <f>SUM(G4:G98)</f>
        <v>0</v>
      </c>
      <c r="H2" s="7">
        <f>C2-G2</f>
        <v>39350.04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1">Sites[Site]</f>
        <v>Bullhead</v>
      </c>
      <c r="B4" s="29" t="str" cm="1">
        <f t="array" ref="B4:B21">Sites[State]</f>
        <v>AZ</v>
      </c>
      <c r="C4" s="24">
        <v>82.44</v>
      </c>
      <c r="D4" s="13">
        <v>0</v>
      </c>
      <c r="E4" s="13">
        <f>IF(AND(ISNUMBER(C4),ISNUMBER(D4)), C4-D4, "")</f>
        <v>82.44</v>
      </c>
      <c r="F4" s="14" t="str">
        <f>IFERROR(E4/D4, "")</f>
        <v/>
      </c>
      <c r="G4" s="15">
        <v>0</v>
      </c>
      <c r="H4" s="15">
        <f>IF(AND(ISNUMBER(C4),ISNUMBER(G4)), C4-G4, "")</f>
        <v>82.44</v>
      </c>
      <c r="I4" s="16" t="str">
        <f>IFERROR(H4/G4, "")</f>
        <v/>
      </c>
      <c r="J4" s="41"/>
      <c r="K4" s="41"/>
    </row>
    <row r="5" spans="1:11" ht="15.75">
      <c r="A5" s="30" t="str">
        <v>Peoria</v>
      </c>
      <c r="B5" s="31" t="str">
        <v>AZ</v>
      </c>
      <c r="C5" s="11">
        <v>0</v>
      </c>
      <c r="D5" s="18">
        <v>0</v>
      </c>
      <c r="E5" s="18">
        <f t="shared" ref="E5:E17" si="0">IF(AND(ISNUMBER(C5),ISNUMBER(D5)), C5-D5, "")</f>
        <v>0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0</v>
      </c>
      <c r="I5" s="19" t="str">
        <f t="shared" ref="I5:I17" si="2">IFERROR(H5/G5, "")</f>
        <v/>
      </c>
      <c r="J5" s="42"/>
      <c r="K5" s="42"/>
    </row>
    <row r="6" spans="1:11" ht="42.75">
      <c r="A6" s="28" t="str">
        <v>Tucson</v>
      </c>
      <c r="B6" s="29" t="str">
        <v>AZ</v>
      </c>
      <c r="C6" s="24">
        <v>0</v>
      </c>
      <c r="D6" s="13">
        <v>0</v>
      </c>
      <c r="E6" s="13">
        <f t="shared" si="0"/>
        <v>0</v>
      </c>
      <c r="F6" s="14" t="str">
        <f t="shared" ref="F6:F17" si="3">IFERROR(E6/D6, "")</f>
        <v/>
      </c>
      <c r="G6" s="15">
        <v>0</v>
      </c>
      <c r="H6" s="15">
        <f t="shared" si="1"/>
        <v>0</v>
      </c>
      <c r="I6" s="16" t="str">
        <f t="shared" si="2"/>
        <v/>
      </c>
      <c r="J6" s="41" t="s">
        <v>77</v>
      </c>
      <c r="K6" s="41" t="s">
        <v>78</v>
      </c>
    </row>
    <row r="7" spans="1:11" ht="28.5">
      <c r="A7" s="30" t="str">
        <v>Hialeah</v>
      </c>
      <c r="B7" s="31" t="str">
        <v>FL</v>
      </c>
      <c r="C7" s="11">
        <v>-120.83</v>
      </c>
      <c r="D7" s="18">
        <v>0</v>
      </c>
      <c r="E7" s="18">
        <f t="shared" si="0"/>
        <v>-120.83</v>
      </c>
      <c r="F7" s="19" t="str">
        <f t="shared" si="3"/>
        <v/>
      </c>
      <c r="G7" s="20">
        <v>0</v>
      </c>
      <c r="H7" s="20">
        <f t="shared" si="1"/>
        <v>-120.83</v>
      </c>
      <c r="I7" s="19" t="str">
        <f t="shared" si="2"/>
        <v/>
      </c>
      <c r="J7" s="42" t="s">
        <v>68</v>
      </c>
      <c r="K7" s="42" t="s">
        <v>69</v>
      </c>
    </row>
    <row r="8" spans="1:11" ht="15.75">
      <c r="A8" s="28" t="str">
        <v>Jacksonville</v>
      </c>
      <c r="B8" s="29" t="str">
        <v>FL</v>
      </c>
      <c r="C8" s="24">
        <v>88.9</v>
      </c>
      <c r="D8" s="13">
        <v>0</v>
      </c>
      <c r="E8" s="13">
        <f t="shared" si="0"/>
        <v>88.9</v>
      </c>
      <c r="F8" s="14" t="str">
        <f t="shared" si="3"/>
        <v/>
      </c>
      <c r="G8" s="15">
        <v>0</v>
      </c>
      <c r="H8" s="15">
        <f t="shared" si="1"/>
        <v>88.9</v>
      </c>
      <c r="I8" s="16" t="str">
        <f t="shared" si="2"/>
        <v/>
      </c>
      <c r="J8" s="41"/>
      <c r="K8" s="41"/>
    </row>
    <row r="9" spans="1:11" ht="15.75">
      <c r="A9" s="30" t="str">
        <v>Miami Gardens</v>
      </c>
      <c r="B9" s="31" t="str">
        <v>FL</v>
      </c>
      <c r="C9" s="11">
        <v>83.3</v>
      </c>
      <c r="D9" s="18">
        <v>0</v>
      </c>
      <c r="E9" s="18">
        <f t="shared" si="0"/>
        <v>83.3</v>
      </c>
      <c r="F9" s="19" t="str">
        <f t="shared" si="3"/>
        <v/>
      </c>
      <c r="G9" s="20">
        <v>0</v>
      </c>
      <c r="H9" s="20">
        <f t="shared" si="1"/>
        <v>83.3</v>
      </c>
      <c r="I9" s="19" t="str">
        <f t="shared" si="2"/>
        <v/>
      </c>
      <c r="J9" s="42"/>
      <c r="K9" s="42"/>
    </row>
    <row r="10" spans="1:11" ht="15.75">
      <c r="A10" s="28" t="str">
        <v>Fort Myers</v>
      </c>
      <c r="B10" s="29" t="str">
        <v>FL</v>
      </c>
      <c r="C10" s="24">
        <v>4934.7299999999996</v>
      </c>
      <c r="D10" s="13">
        <v>0</v>
      </c>
      <c r="E10" s="13">
        <f t="shared" si="0"/>
        <v>4934.7299999999996</v>
      </c>
      <c r="F10" s="14" t="str">
        <f t="shared" si="3"/>
        <v/>
      </c>
      <c r="G10" s="15">
        <v>0</v>
      </c>
      <c r="H10" s="15">
        <f t="shared" si="1"/>
        <v>4934.7299999999996</v>
      </c>
      <c r="I10" s="16" t="str">
        <f t="shared" si="2"/>
        <v/>
      </c>
      <c r="J10" s="41"/>
      <c r="K10" s="41"/>
    </row>
    <row r="11" spans="1:11" ht="15.75">
      <c r="A11" s="30" t="str">
        <v>Orlando</v>
      </c>
      <c r="B11" s="31" t="str">
        <v>FL</v>
      </c>
      <c r="C11" s="11">
        <v>4141.28</v>
      </c>
      <c r="D11" s="18">
        <v>0</v>
      </c>
      <c r="E11" s="18">
        <f t="shared" si="0"/>
        <v>4141.28</v>
      </c>
      <c r="F11" s="19" t="str">
        <f t="shared" si="3"/>
        <v/>
      </c>
      <c r="G11" s="20">
        <v>0</v>
      </c>
      <c r="H11" s="20">
        <f t="shared" si="1"/>
        <v>4141.28</v>
      </c>
      <c r="I11" s="19" t="str">
        <f t="shared" si="2"/>
        <v/>
      </c>
      <c r="J11" s="42"/>
      <c r="K11" s="42"/>
    </row>
    <row r="12" spans="1:11" ht="15.75">
      <c r="A12" s="28" t="str">
        <v>Port St. Lucie</v>
      </c>
      <c r="B12" s="29" t="str">
        <v>FL</v>
      </c>
      <c r="C12" s="24">
        <v>7080.3</v>
      </c>
      <c r="D12" s="13">
        <v>0</v>
      </c>
      <c r="E12" s="13">
        <f t="shared" si="0"/>
        <v>7080.3</v>
      </c>
      <c r="F12" s="14" t="str">
        <f t="shared" si="3"/>
        <v/>
      </c>
      <c r="G12" s="15">
        <v>0</v>
      </c>
      <c r="H12" s="15">
        <f t="shared" si="1"/>
        <v>7080.3</v>
      </c>
      <c r="I12" s="16" t="str">
        <f t="shared" si="2"/>
        <v/>
      </c>
      <c r="J12" s="41" t="s">
        <v>79</v>
      </c>
      <c r="K12" s="41" t="s">
        <v>80</v>
      </c>
    </row>
    <row r="13" spans="1:11" ht="28.5">
      <c r="A13" s="30" t="str">
        <v>Tampa</v>
      </c>
      <c r="B13" s="31" t="str">
        <v>FL</v>
      </c>
      <c r="C13" s="11">
        <v>1396</v>
      </c>
      <c r="D13" s="18">
        <v>0</v>
      </c>
      <c r="E13" s="18">
        <f t="shared" si="0"/>
        <v>1396</v>
      </c>
      <c r="F13" s="19" t="str">
        <f t="shared" si="3"/>
        <v/>
      </c>
      <c r="G13" s="20">
        <v>0</v>
      </c>
      <c r="H13" s="20">
        <f t="shared" si="1"/>
        <v>1396</v>
      </c>
      <c r="I13" s="19" t="str">
        <f t="shared" si="2"/>
        <v/>
      </c>
      <c r="J13" s="42" t="s">
        <v>81</v>
      </c>
      <c r="K13" s="42" t="s">
        <v>82</v>
      </c>
    </row>
    <row r="14" spans="1:11" ht="15.75">
      <c r="A14" s="28" t="str">
        <v>Roswell</v>
      </c>
      <c r="B14" s="29" t="str">
        <v>GA</v>
      </c>
      <c r="C14" s="24">
        <v>5468.16</v>
      </c>
      <c r="D14" s="13">
        <v>0</v>
      </c>
      <c r="E14" s="13">
        <f t="shared" si="0"/>
        <v>5468.16</v>
      </c>
      <c r="F14" s="14" t="str">
        <f t="shared" si="3"/>
        <v/>
      </c>
      <c r="G14" s="15">
        <v>0</v>
      </c>
      <c r="H14" s="15">
        <f t="shared" si="1"/>
        <v>5468.16</v>
      </c>
      <c r="I14" s="16" t="str">
        <f t="shared" si="2"/>
        <v/>
      </c>
      <c r="J14" s="41" t="s">
        <v>52</v>
      </c>
      <c r="K14" s="41" t="s">
        <v>53</v>
      </c>
    </row>
    <row r="15" spans="1:11" ht="15.75">
      <c r="A15" s="30" t="str">
        <v>Charlotte</v>
      </c>
      <c r="B15" s="31" t="str">
        <v>NC</v>
      </c>
      <c r="C15" s="11">
        <v>2260.7600000000002</v>
      </c>
      <c r="D15" s="18">
        <v>0</v>
      </c>
      <c r="E15" s="18">
        <f t="shared" si="0"/>
        <v>2260.7600000000002</v>
      </c>
      <c r="F15" s="19" t="str">
        <f t="shared" si="3"/>
        <v/>
      </c>
      <c r="G15" s="20">
        <v>0</v>
      </c>
      <c r="H15" s="20">
        <f t="shared" si="1"/>
        <v>2260.7600000000002</v>
      </c>
      <c r="I15" s="19" t="str">
        <f t="shared" si="2"/>
        <v/>
      </c>
      <c r="J15" s="42"/>
      <c r="K15" s="43"/>
    </row>
    <row r="16" spans="1:11" ht="15.75">
      <c r="A16" s="28" t="str">
        <v>Raleigh</v>
      </c>
      <c r="B16" s="29" t="str">
        <v>NC</v>
      </c>
      <c r="C16" s="24">
        <v>2967.11</v>
      </c>
      <c r="D16" s="13">
        <v>0</v>
      </c>
      <c r="E16" s="13">
        <f t="shared" si="0"/>
        <v>2967.11</v>
      </c>
      <c r="F16" s="14" t="str">
        <f t="shared" si="3"/>
        <v/>
      </c>
      <c r="G16" s="15">
        <v>0</v>
      </c>
      <c r="H16" s="15">
        <f t="shared" si="1"/>
        <v>2967.11</v>
      </c>
      <c r="I16" s="16" t="str">
        <f t="shared" si="2"/>
        <v/>
      </c>
      <c r="J16" s="41"/>
      <c r="K16" s="41"/>
    </row>
    <row r="17" spans="1:11" ht="15.75">
      <c r="A17" s="30" t="str">
        <v>Cordova</v>
      </c>
      <c r="B17" s="31" t="str">
        <v>TN</v>
      </c>
      <c r="C17" s="11">
        <v>3606</v>
      </c>
      <c r="D17" s="18">
        <v>0</v>
      </c>
      <c r="E17" s="18">
        <f t="shared" si="0"/>
        <v>3606</v>
      </c>
      <c r="F17" s="19" t="str">
        <f t="shared" si="3"/>
        <v/>
      </c>
      <c r="G17" s="20">
        <v>0</v>
      </c>
      <c r="H17" s="20">
        <f t="shared" si="1"/>
        <v>3606</v>
      </c>
      <c r="I17" s="19" t="str">
        <f t="shared" si="2"/>
        <v/>
      </c>
      <c r="J17" s="42"/>
      <c r="K17" s="43"/>
    </row>
    <row r="18" spans="1:11" ht="12.75" customHeight="1">
      <c r="A18" s="28" t="str">
        <v>Austin</v>
      </c>
      <c r="B18" s="29" t="str">
        <v>TX</v>
      </c>
      <c r="C18" s="24">
        <v>1108.22</v>
      </c>
      <c r="D18" s="13">
        <v>0</v>
      </c>
      <c r="E18" s="13">
        <f t="shared" ref="E18:E21" si="4">IF(AND(ISNUMBER(C18),ISNUMBER(D18)), C18-D18, "")</f>
        <v>1108.22</v>
      </c>
      <c r="F18" s="14" t="str">
        <f t="shared" ref="F18:F21" si="5">IFERROR(E18/D18, "")</f>
        <v/>
      </c>
      <c r="G18" s="15">
        <v>0</v>
      </c>
      <c r="H18" s="15">
        <f t="shared" ref="H18:H21" si="6">IF(AND(ISNUMBER(C18),ISNUMBER(G18)), C18-G18, "")</f>
        <v>1108.22</v>
      </c>
      <c r="I18" s="16" t="str">
        <f t="shared" ref="I18:I21" si="7">IFERROR(H18/G18, "")</f>
        <v/>
      </c>
      <c r="J18" s="41"/>
      <c r="K18" s="41"/>
    </row>
    <row r="19" spans="1:11" ht="15.75">
      <c r="A19" s="30" t="str">
        <v>Frisco</v>
      </c>
      <c r="B19" s="31" t="str">
        <v>TX</v>
      </c>
      <c r="C19" s="11">
        <v>2876.89</v>
      </c>
      <c r="D19" s="18">
        <v>0</v>
      </c>
      <c r="E19" s="18">
        <f t="shared" si="4"/>
        <v>2876.89</v>
      </c>
      <c r="F19" s="19" t="str">
        <f t="shared" si="5"/>
        <v/>
      </c>
      <c r="G19" s="20">
        <v>0</v>
      </c>
      <c r="H19" s="20">
        <f t="shared" si="6"/>
        <v>2876.89</v>
      </c>
      <c r="I19" s="19" t="str">
        <f t="shared" si="7"/>
        <v/>
      </c>
      <c r="J19" s="42"/>
      <c r="K19" s="43"/>
    </row>
    <row r="20" spans="1:11" ht="17.649999999999999" customHeight="1">
      <c r="A20" s="28" t="str">
        <v>Copperfield</v>
      </c>
      <c r="B20" s="29" t="str">
        <v>TX</v>
      </c>
      <c r="C20" s="24">
        <v>1610.65</v>
      </c>
      <c r="D20" s="13">
        <v>0</v>
      </c>
      <c r="E20" s="13">
        <f t="shared" si="4"/>
        <v>1610.65</v>
      </c>
      <c r="F20" s="14" t="str">
        <f t="shared" si="5"/>
        <v/>
      </c>
      <c r="G20" s="15">
        <v>0</v>
      </c>
      <c r="H20" s="15">
        <f t="shared" si="6"/>
        <v>1610.65</v>
      </c>
      <c r="I20" s="16" t="str">
        <f t="shared" si="7"/>
        <v/>
      </c>
      <c r="J20" s="41" t="s">
        <v>83</v>
      </c>
      <c r="K20" s="41" t="s">
        <v>84</v>
      </c>
    </row>
    <row r="21" spans="1:11" ht="15.75">
      <c r="A21" s="30" t="str">
        <v>Plano Bldg A</v>
      </c>
      <c r="B21" s="31" t="str">
        <v>TX</v>
      </c>
      <c r="C21" s="11">
        <v>1766.13</v>
      </c>
      <c r="D21" s="18">
        <v>0</v>
      </c>
      <c r="E21" s="18">
        <f t="shared" si="4"/>
        <v>1766.13</v>
      </c>
      <c r="F21" s="19" t="str">
        <f t="shared" si="5"/>
        <v/>
      </c>
      <c r="G21" s="20">
        <v>0</v>
      </c>
      <c r="H21" s="20">
        <f t="shared" si="6"/>
        <v>1766.13</v>
      </c>
      <c r="I21" s="19" t="str">
        <f t="shared" si="7"/>
        <v/>
      </c>
      <c r="J21" s="42"/>
      <c r="K21" s="43"/>
    </row>
    <row r="22" spans="1:11" ht="14.2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2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2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2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3.9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0"/>
  <sheetViews>
    <sheetView tabSelected="1" zoomScale="70" zoomScaleNormal="70" workbookViewId="0">
      <pane xSplit="2" ySplit="3" topLeftCell="I4" activePane="bottomRight" state="frozen"/>
      <selection pane="bottomRight" activeCell="Q27" sqref="Q27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JLL</v>
      </c>
      <c r="B1" s="56"/>
      <c r="C1" s="56"/>
      <c r="D1" s="57" t="s">
        <v>85</v>
      </c>
      <c r="E1" s="57"/>
      <c r="F1" s="57"/>
      <c r="G1" s="55" t="s">
        <v>86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SUM(C4:C98)</f>
        <v>28731.427</v>
      </c>
      <c r="D2" s="5">
        <f>SUM(D4:D98)</f>
        <v>0</v>
      </c>
      <c r="E2" s="5">
        <f>C2-D2</f>
        <v>28731.427</v>
      </c>
      <c r="F2" s="6">
        <f>IFERROR(E2/D2, 0)</f>
        <v>0</v>
      </c>
      <c r="G2" s="5">
        <f>SUM(G4:G98)</f>
        <v>0</v>
      </c>
      <c r="H2" s="7">
        <f>C2-G2</f>
        <v>28731.427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1">Sites[Site]</f>
        <v>Bullhead</v>
      </c>
      <c r="B4" s="29" t="str" cm="1">
        <f t="array" ref="B4:B21">Sites[State]</f>
        <v>AZ</v>
      </c>
      <c r="C4" s="24">
        <v>54.11</v>
      </c>
      <c r="D4" s="13">
        <v>0</v>
      </c>
      <c r="E4" s="13">
        <f>IF(AND(ISNUMBER(C4),ISNUMBER(D4)), C4-D4, "")</f>
        <v>54.11</v>
      </c>
      <c r="F4" s="14" t="str">
        <f>IFERROR(E4/D4, "")</f>
        <v/>
      </c>
      <c r="G4" s="15">
        <v>0</v>
      </c>
      <c r="H4" s="15">
        <f>IF(AND(ISNUMBER(C4),ISNUMBER(G4)), C4-G4, "")</f>
        <v>54.11</v>
      </c>
      <c r="I4" s="16" t="str">
        <f>IFERROR(H4/G4, "")</f>
        <v/>
      </c>
      <c r="J4" s="41"/>
      <c r="K4" s="41"/>
    </row>
    <row r="5" spans="1:11" ht="15.75">
      <c r="A5" s="30" t="str">
        <v>Peoria</v>
      </c>
      <c r="B5" s="31" t="str">
        <v>AZ</v>
      </c>
      <c r="C5" s="11">
        <v>0</v>
      </c>
      <c r="D5" s="18">
        <v>0</v>
      </c>
      <c r="E5" s="18">
        <f t="shared" ref="E5:E17" si="0">IF(AND(ISNUMBER(C5),ISNUMBER(D5)), C5-D5, "")</f>
        <v>0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0</v>
      </c>
      <c r="I5" s="19" t="str">
        <f t="shared" ref="I5:I17" si="2">IFERROR(H5/G5, "")</f>
        <v/>
      </c>
      <c r="J5" s="42"/>
      <c r="K5" s="42"/>
    </row>
    <row r="6" spans="1:11" ht="15.75">
      <c r="A6" s="28" t="str">
        <v>Tucson</v>
      </c>
      <c r="B6" s="29" t="str">
        <v>AZ</v>
      </c>
      <c r="C6" s="24">
        <v>413.5</v>
      </c>
      <c r="D6" s="13">
        <v>0</v>
      </c>
      <c r="E6" s="13">
        <f t="shared" si="0"/>
        <v>413.5</v>
      </c>
      <c r="F6" s="14" t="str">
        <f t="shared" ref="F6:F17" si="3">IFERROR(E6/D6, "")</f>
        <v/>
      </c>
      <c r="G6" s="15">
        <v>0</v>
      </c>
      <c r="H6" s="15">
        <f t="shared" si="1"/>
        <v>413.5</v>
      </c>
      <c r="I6" s="16" t="str">
        <f t="shared" si="2"/>
        <v/>
      </c>
      <c r="J6" s="41" t="s">
        <v>87</v>
      </c>
      <c r="K6" s="41" t="s">
        <v>88</v>
      </c>
    </row>
    <row r="7" spans="1:11" ht="28.5">
      <c r="A7" s="30" t="str">
        <v>Hialeah</v>
      </c>
      <c r="B7" s="31" t="str">
        <v>FL</v>
      </c>
      <c r="C7" s="11">
        <v>-177.63</v>
      </c>
      <c r="D7" s="18">
        <v>0</v>
      </c>
      <c r="E7" s="18">
        <f t="shared" si="0"/>
        <v>-177.63</v>
      </c>
      <c r="F7" s="19" t="str">
        <f t="shared" si="3"/>
        <v/>
      </c>
      <c r="G7" s="20">
        <v>0</v>
      </c>
      <c r="H7" s="20">
        <f t="shared" si="1"/>
        <v>-177.63</v>
      </c>
      <c r="I7" s="19" t="str">
        <f t="shared" si="2"/>
        <v/>
      </c>
      <c r="J7" s="42" t="s">
        <v>68</v>
      </c>
      <c r="K7" s="53" t="s">
        <v>69</v>
      </c>
    </row>
    <row r="8" spans="1:11" ht="15.75">
      <c r="A8" s="28" t="str">
        <v>Jacksonville</v>
      </c>
      <c r="B8" s="29" t="str">
        <v>FL</v>
      </c>
      <c r="C8" s="24">
        <v>81.81</v>
      </c>
      <c r="D8" s="13">
        <v>0</v>
      </c>
      <c r="E8" s="13">
        <f t="shared" si="0"/>
        <v>81.81</v>
      </c>
      <c r="F8" s="14" t="str">
        <f t="shared" si="3"/>
        <v/>
      </c>
      <c r="G8" s="15">
        <v>0</v>
      </c>
      <c r="H8" s="15">
        <f t="shared" si="1"/>
        <v>81.81</v>
      </c>
      <c r="I8" s="16" t="str">
        <f t="shared" si="2"/>
        <v/>
      </c>
      <c r="J8" s="41"/>
      <c r="K8" s="41"/>
    </row>
    <row r="9" spans="1:11" ht="15.75">
      <c r="A9" s="30" t="str">
        <v>Miami Gardens</v>
      </c>
      <c r="B9" s="31" t="str">
        <v>FL</v>
      </c>
      <c r="C9" s="11">
        <v>83.99</v>
      </c>
      <c r="D9" s="18">
        <v>0</v>
      </c>
      <c r="E9" s="18">
        <f t="shared" si="0"/>
        <v>83.99</v>
      </c>
      <c r="F9" s="19" t="str">
        <f t="shared" si="3"/>
        <v/>
      </c>
      <c r="G9" s="20">
        <v>0</v>
      </c>
      <c r="H9" s="20">
        <f t="shared" si="1"/>
        <v>83.99</v>
      </c>
      <c r="I9" s="19" t="str">
        <f t="shared" si="2"/>
        <v/>
      </c>
      <c r="J9" s="42"/>
      <c r="K9" s="42"/>
    </row>
    <row r="10" spans="1:11" ht="15.75">
      <c r="A10" s="28" t="str">
        <v>Fort Myers</v>
      </c>
      <c r="B10" s="29" t="str">
        <v>FL</v>
      </c>
      <c r="C10" s="24">
        <v>4578.58</v>
      </c>
      <c r="D10" s="13">
        <v>0</v>
      </c>
      <c r="E10" s="13">
        <f t="shared" si="0"/>
        <v>4578.58</v>
      </c>
      <c r="F10" s="14" t="str">
        <f t="shared" si="3"/>
        <v/>
      </c>
      <c r="G10" s="15">
        <v>0</v>
      </c>
      <c r="H10" s="15">
        <f t="shared" si="1"/>
        <v>4578.58</v>
      </c>
      <c r="I10" s="16" t="str">
        <f t="shared" si="2"/>
        <v/>
      </c>
      <c r="J10" s="41"/>
      <c r="K10" s="41"/>
    </row>
    <row r="11" spans="1:11" ht="15.75">
      <c r="A11" s="30" t="str">
        <v>Orlando</v>
      </c>
      <c r="B11" s="31" t="str">
        <v>FL</v>
      </c>
      <c r="C11" s="11">
        <v>3514.55</v>
      </c>
      <c r="D11" s="18">
        <v>0</v>
      </c>
      <c r="E11" s="18">
        <f t="shared" si="0"/>
        <v>3514.55</v>
      </c>
      <c r="F11" s="19" t="str">
        <f t="shared" si="3"/>
        <v/>
      </c>
      <c r="G11" s="20">
        <v>0</v>
      </c>
      <c r="H11" s="20">
        <f t="shared" si="1"/>
        <v>3514.55</v>
      </c>
      <c r="I11" s="19" t="str">
        <f t="shared" si="2"/>
        <v/>
      </c>
      <c r="J11" s="42"/>
      <c r="K11" s="42"/>
    </row>
    <row r="12" spans="1:11" ht="15.75">
      <c r="A12" s="28" t="str">
        <v>Port St. Lucie</v>
      </c>
      <c r="B12" s="29" t="str">
        <v>FL</v>
      </c>
      <c r="C12" s="24">
        <v>6318.1</v>
      </c>
      <c r="D12" s="13">
        <v>0</v>
      </c>
      <c r="E12" s="13">
        <f t="shared" si="0"/>
        <v>6318.1</v>
      </c>
      <c r="F12" s="14" t="str">
        <f t="shared" si="3"/>
        <v/>
      </c>
      <c r="G12" s="15">
        <v>0</v>
      </c>
      <c r="H12" s="15">
        <f t="shared" si="1"/>
        <v>6318.1</v>
      </c>
      <c r="I12" s="16" t="str">
        <f t="shared" si="2"/>
        <v/>
      </c>
      <c r="J12" s="41"/>
      <c r="K12" s="41"/>
    </row>
    <row r="13" spans="1:11" ht="15.75">
      <c r="A13" s="30" t="str">
        <v>Tampa</v>
      </c>
      <c r="B13" s="31" t="str">
        <v>FL</v>
      </c>
      <c r="C13" s="11">
        <v>1235</v>
      </c>
      <c r="D13" s="18">
        <v>0</v>
      </c>
      <c r="E13" s="18">
        <f t="shared" si="0"/>
        <v>1235</v>
      </c>
      <c r="F13" s="19" t="str">
        <f t="shared" si="3"/>
        <v/>
      </c>
      <c r="G13" s="20">
        <v>0</v>
      </c>
      <c r="H13" s="20">
        <f t="shared" si="1"/>
        <v>1235</v>
      </c>
      <c r="I13" s="19" t="str">
        <f t="shared" si="2"/>
        <v/>
      </c>
      <c r="J13" s="47" t="s">
        <v>89</v>
      </c>
      <c r="K13" s="42" t="s">
        <v>90</v>
      </c>
    </row>
    <row r="14" spans="1:11" ht="15.75">
      <c r="A14" s="28" t="str">
        <v>Roswell</v>
      </c>
      <c r="B14" s="29" t="str">
        <v>GA</v>
      </c>
      <c r="C14" s="24">
        <v>3022.34</v>
      </c>
      <c r="D14" s="13">
        <v>0</v>
      </c>
      <c r="E14" s="13">
        <f t="shared" si="0"/>
        <v>3022.34</v>
      </c>
      <c r="F14" s="14" t="str">
        <f t="shared" si="3"/>
        <v/>
      </c>
      <c r="G14" s="15">
        <v>0</v>
      </c>
      <c r="H14" s="15">
        <f t="shared" si="1"/>
        <v>3022.34</v>
      </c>
      <c r="I14" s="16" t="str">
        <f t="shared" si="2"/>
        <v/>
      </c>
      <c r="J14" s="41" t="s">
        <v>52</v>
      </c>
      <c r="K14" s="41" t="s">
        <v>53</v>
      </c>
    </row>
    <row r="15" spans="1:11" ht="15.75">
      <c r="A15" s="30" t="str">
        <v>Charlotte</v>
      </c>
      <c r="B15" s="31" t="str">
        <v>NC</v>
      </c>
      <c r="C15" s="11">
        <v>1520.1369999999999</v>
      </c>
      <c r="D15" s="18">
        <v>0</v>
      </c>
      <c r="E15" s="18">
        <f t="shared" si="0"/>
        <v>1520.1369999999999</v>
      </c>
      <c r="F15" s="19" t="str">
        <f t="shared" si="3"/>
        <v/>
      </c>
      <c r="G15" s="20">
        <v>0</v>
      </c>
      <c r="H15" s="20">
        <f t="shared" si="1"/>
        <v>1520.1369999999999</v>
      </c>
      <c r="I15" s="19" t="str">
        <f t="shared" si="2"/>
        <v/>
      </c>
      <c r="J15" s="42"/>
      <c r="K15" s="43"/>
    </row>
    <row r="16" spans="1:11" ht="15.75">
      <c r="A16" s="28" t="str">
        <v>Raleigh</v>
      </c>
      <c r="B16" s="29" t="str">
        <v>NC</v>
      </c>
      <c r="C16" s="24">
        <v>2024</v>
      </c>
      <c r="D16" s="13">
        <v>0</v>
      </c>
      <c r="E16" s="13">
        <f t="shared" si="0"/>
        <v>2024</v>
      </c>
      <c r="F16" s="14" t="str">
        <f t="shared" si="3"/>
        <v/>
      </c>
      <c r="G16" s="15">
        <v>0</v>
      </c>
      <c r="H16" s="15">
        <f t="shared" si="1"/>
        <v>2024</v>
      </c>
      <c r="I16" s="16" t="str">
        <f t="shared" si="2"/>
        <v/>
      </c>
      <c r="J16" s="41"/>
      <c r="K16" s="41"/>
    </row>
    <row r="17" spans="1:11" ht="15.75">
      <c r="A17" s="30" t="str">
        <v>Cordova</v>
      </c>
      <c r="B17" s="31" t="str">
        <v>TN</v>
      </c>
      <c r="C17" s="11">
        <v>2070.4899999999998</v>
      </c>
      <c r="D17" s="18">
        <v>0</v>
      </c>
      <c r="E17" s="18">
        <f t="shared" si="0"/>
        <v>2070.4899999999998</v>
      </c>
      <c r="F17" s="19" t="str">
        <f t="shared" si="3"/>
        <v/>
      </c>
      <c r="G17" s="20">
        <v>0</v>
      </c>
      <c r="H17" s="20">
        <f t="shared" si="1"/>
        <v>2070.4899999999998</v>
      </c>
      <c r="I17" s="19" t="str">
        <f t="shared" si="2"/>
        <v/>
      </c>
      <c r="J17" s="42"/>
      <c r="K17" s="43"/>
    </row>
    <row r="18" spans="1:11" ht="12.75" customHeight="1">
      <c r="A18" s="28" t="str">
        <v>Austin</v>
      </c>
      <c r="B18" s="29" t="str">
        <v>TX</v>
      </c>
      <c r="C18" s="24">
        <v>648.37</v>
      </c>
      <c r="D18" s="13">
        <v>0</v>
      </c>
      <c r="E18" s="13">
        <f t="shared" ref="E18:E21" si="4">IF(AND(ISNUMBER(C18),ISNUMBER(D18)), C18-D18, "")</f>
        <v>648.37</v>
      </c>
      <c r="F18" s="14" t="str">
        <f t="shared" ref="F18:F21" si="5">IFERROR(E18/D18, "")</f>
        <v/>
      </c>
      <c r="G18" s="15">
        <v>0</v>
      </c>
      <c r="H18" s="15">
        <f t="shared" ref="H18:H21" si="6">IF(AND(ISNUMBER(C18),ISNUMBER(G18)), C18-G18, "")</f>
        <v>648.37</v>
      </c>
      <c r="I18" s="16" t="str">
        <f t="shared" ref="I18:I21" si="7">IFERROR(H18/G18, "")</f>
        <v/>
      </c>
      <c r="J18" s="41"/>
      <c r="K18" s="41"/>
    </row>
    <row r="19" spans="1:11" ht="15.75">
      <c r="A19" s="30" t="str">
        <v>Frisco</v>
      </c>
      <c r="B19" s="31" t="str">
        <v>TX</v>
      </c>
      <c r="C19" s="11">
        <v>1993.42</v>
      </c>
      <c r="D19" s="18">
        <v>0</v>
      </c>
      <c r="E19" s="18">
        <f t="shared" si="4"/>
        <v>1993.42</v>
      </c>
      <c r="F19" s="19" t="str">
        <f t="shared" si="5"/>
        <v/>
      </c>
      <c r="G19" s="20">
        <v>0</v>
      </c>
      <c r="H19" s="20">
        <f t="shared" si="6"/>
        <v>1993.42</v>
      </c>
      <c r="I19" s="19" t="str">
        <f t="shared" si="7"/>
        <v/>
      </c>
      <c r="J19" s="42"/>
      <c r="K19" s="43"/>
    </row>
    <row r="20" spans="1:11" ht="28.5">
      <c r="A20" s="28" t="str">
        <v>Copperfield</v>
      </c>
      <c r="B20" s="29" t="str">
        <v>TX</v>
      </c>
      <c r="C20" s="24">
        <v>1199.92</v>
      </c>
      <c r="D20" s="13">
        <v>0</v>
      </c>
      <c r="E20" s="13">
        <f t="shared" si="4"/>
        <v>1199.92</v>
      </c>
      <c r="F20" s="14" t="str">
        <f t="shared" si="5"/>
        <v/>
      </c>
      <c r="G20" s="15">
        <v>0</v>
      </c>
      <c r="H20" s="15">
        <f t="shared" si="6"/>
        <v>1199.92</v>
      </c>
      <c r="I20" s="16" t="str">
        <f t="shared" si="7"/>
        <v/>
      </c>
      <c r="J20" s="41" t="s">
        <v>83</v>
      </c>
      <c r="K20" s="41" t="s">
        <v>84</v>
      </c>
    </row>
    <row r="21" spans="1:11" ht="15.75">
      <c r="A21" s="30" t="str">
        <v>Plano Bldg A</v>
      </c>
      <c r="B21" s="31" t="str">
        <v>TX</v>
      </c>
      <c r="C21" s="11">
        <v>150.74</v>
      </c>
      <c r="D21" s="18">
        <v>0</v>
      </c>
      <c r="E21" s="18">
        <f t="shared" si="4"/>
        <v>150.74</v>
      </c>
      <c r="F21" s="19" t="str">
        <f t="shared" si="5"/>
        <v/>
      </c>
      <c r="G21" s="20">
        <v>0</v>
      </c>
      <c r="H21" s="20">
        <f t="shared" si="6"/>
        <v>150.74</v>
      </c>
      <c r="I21" s="19" t="str">
        <f t="shared" si="7"/>
        <v/>
      </c>
      <c r="J21" s="42"/>
      <c r="K21" s="43"/>
    </row>
    <row r="22" spans="1:11" ht="14.2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2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2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2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3.9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0"/>
  <sheetViews>
    <sheetView zoomScale="70" zoomScaleNormal="70" workbookViewId="0">
      <pane xSplit="2" ySplit="3" topLeftCell="G4" activePane="bottomRight" state="frozen"/>
      <selection pane="bottomRight" activeCell="J21" sqref="J21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5.4257812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JLL</v>
      </c>
      <c r="B1" s="56"/>
      <c r="C1" s="56"/>
      <c r="D1" s="57" t="s">
        <v>91</v>
      </c>
      <c r="E1" s="57"/>
      <c r="F1" s="57"/>
      <c r="G1" s="55" t="s">
        <v>92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SUM(C4:C98)</f>
        <v>26457.620999999996</v>
      </c>
      <c r="D2" s="5">
        <f>SUM(D4:D98)</f>
        <v>0</v>
      </c>
      <c r="E2" s="5">
        <f>C2-D2</f>
        <v>26457.620999999996</v>
      </c>
      <c r="F2" s="6">
        <f>IFERROR(E2/D2, 0)</f>
        <v>0</v>
      </c>
      <c r="G2" s="5">
        <f>SUM(G4:G98)</f>
        <v>0</v>
      </c>
      <c r="H2" s="7">
        <f>C2-G2</f>
        <v>26457.620999999996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1">Sites[Site]</f>
        <v>Bullhead</v>
      </c>
      <c r="B4" s="29" t="str" cm="1">
        <f t="array" ref="B4:B21">Sites[State]</f>
        <v>AZ</v>
      </c>
      <c r="C4" s="24">
        <v>41.997999999999998</v>
      </c>
      <c r="D4" s="13">
        <v>0</v>
      </c>
      <c r="E4" s="13">
        <f>IF(AND(ISNUMBER(C4),ISNUMBER(D4)), C4-D4, "")</f>
        <v>41.997999999999998</v>
      </c>
      <c r="F4" s="14" t="str">
        <f>IFERROR(E4/D4, "")</f>
        <v/>
      </c>
      <c r="G4" s="15">
        <v>0</v>
      </c>
      <c r="H4" s="15">
        <f>IF(AND(ISNUMBER(C4),ISNUMBER(G4)), C4-G4, "")</f>
        <v>41.997999999999998</v>
      </c>
      <c r="I4" s="16" t="str">
        <f>IFERROR(H4/G4, "")</f>
        <v/>
      </c>
      <c r="J4" s="41"/>
      <c r="K4" s="41"/>
    </row>
    <row r="5" spans="1:11" ht="15.75">
      <c r="A5" s="30" t="str">
        <v>Peoria</v>
      </c>
      <c r="B5" s="31" t="str">
        <v>AZ</v>
      </c>
      <c r="C5" s="11">
        <v>0</v>
      </c>
      <c r="D5" s="18">
        <v>0</v>
      </c>
      <c r="E5" s="18">
        <f t="shared" ref="E5:E17" si="0">IF(AND(ISNUMBER(C5),ISNUMBER(D5)), C5-D5, "")</f>
        <v>0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0</v>
      </c>
      <c r="I5" s="19" t="str">
        <f t="shared" ref="I5:I17" si="2">IFERROR(H5/G5, "")</f>
        <v/>
      </c>
      <c r="J5" s="42"/>
      <c r="K5" s="42"/>
    </row>
    <row r="6" spans="1:11" ht="15.75">
      <c r="A6" s="28" t="str">
        <v>Tucson</v>
      </c>
      <c r="B6" s="29" t="str">
        <v>AZ</v>
      </c>
      <c r="C6" s="24">
        <v>1270.08</v>
      </c>
      <c r="D6" s="13">
        <v>0</v>
      </c>
      <c r="E6" s="13">
        <f t="shared" si="0"/>
        <v>1270.08</v>
      </c>
      <c r="F6" s="14" t="str">
        <f t="shared" ref="F6:F17" si="3">IFERROR(E6/D6, "")</f>
        <v/>
      </c>
      <c r="G6" s="15">
        <v>0</v>
      </c>
      <c r="H6" s="15">
        <f t="shared" si="1"/>
        <v>1270.08</v>
      </c>
      <c r="I6" s="16" t="str">
        <f t="shared" si="2"/>
        <v/>
      </c>
      <c r="J6" s="41"/>
      <c r="K6" s="41"/>
    </row>
    <row r="7" spans="1:11" ht="28.5">
      <c r="A7" s="30" t="str">
        <v>Hialeah</v>
      </c>
      <c r="B7" s="31" t="str">
        <v>FL</v>
      </c>
      <c r="C7" s="11">
        <v>-144.84200000000001</v>
      </c>
      <c r="D7" s="18">
        <v>0</v>
      </c>
      <c r="E7" s="18">
        <f t="shared" si="0"/>
        <v>-144.84200000000001</v>
      </c>
      <c r="F7" s="19" t="str">
        <f t="shared" si="3"/>
        <v/>
      </c>
      <c r="G7" s="20">
        <v>0</v>
      </c>
      <c r="H7" s="20">
        <f t="shared" si="1"/>
        <v>-144.84200000000001</v>
      </c>
      <c r="I7" s="19" t="str">
        <f t="shared" si="2"/>
        <v/>
      </c>
      <c r="J7" s="42" t="s">
        <v>68</v>
      </c>
      <c r="K7" s="54" t="s">
        <v>69</v>
      </c>
    </row>
    <row r="8" spans="1:11" ht="15.75">
      <c r="A8" s="28" t="str">
        <v>Jacksonville</v>
      </c>
      <c r="B8" s="29" t="str">
        <v>FL</v>
      </c>
      <c r="C8" s="24">
        <v>73.908000000000001</v>
      </c>
      <c r="D8" s="13">
        <v>0</v>
      </c>
      <c r="E8" s="13">
        <f t="shared" si="0"/>
        <v>73.908000000000001</v>
      </c>
      <c r="F8" s="14" t="str">
        <f t="shared" si="3"/>
        <v/>
      </c>
      <c r="G8" s="15">
        <v>0</v>
      </c>
      <c r="H8" s="15">
        <f t="shared" si="1"/>
        <v>73.908000000000001</v>
      </c>
      <c r="I8" s="16" t="str">
        <f t="shared" si="2"/>
        <v/>
      </c>
      <c r="J8" s="41"/>
      <c r="K8" s="41"/>
    </row>
    <row r="9" spans="1:11" ht="15.75">
      <c r="A9" s="30" t="str">
        <v>Miami Gardens</v>
      </c>
      <c r="B9" s="31" t="str">
        <v>FL</v>
      </c>
      <c r="C9" s="11">
        <v>78.668999999999997</v>
      </c>
      <c r="D9" s="18">
        <v>0</v>
      </c>
      <c r="E9" s="18">
        <f t="shared" si="0"/>
        <v>78.668999999999997</v>
      </c>
      <c r="F9" s="19" t="str">
        <f t="shared" si="3"/>
        <v/>
      </c>
      <c r="G9" s="20">
        <v>0</v>
      </c>
      <c r="H9" s="20">
        <f t="shared" si="1"/>
        <v>78.668999999999997</v>
      </c>
      <c r="I9" s="19" t="str">
        <f t="shared" si="2"/>
        <v/>
      </c>
      <c r="J9" s="42"/>
      <c r="K9" s="43"/>
    </row>
    <row r="10" spans="1:11" ht="38.25" customHeight="1">
      <c r="A10" s="28" t="str">
        <v>Fort Myers</v>
      </c>
      <c r="B10" s="29" t="str">
        <v>FL</v>
      </c>
      <c r="C10" s="24">
        <v>4322.6450000000004</v>
      </c>
      <c r="D10" s="13">
        <v>0</v>
      </c>
      <c r="E10" s="13">
        <f t="shared" si="0"/>
        <v>4322.6450000000004</v>
      </c>
      <c r="F10" s="14" t="str">
        <f t="shared" si="3"/>
        <v/>
      </c>
      <c r="G10" s="15">
        <v>0</v>
      </c>
      <c r="H10" s="15">
        <f t="shared" si="1"/>
        <v>4322.6450000000004</v>
      </c>
      <c r="I10" s="16" t="str">
        <f t="shared" si="2"/>
        <v/>
      </c>
      <c r="J10" s="41" t="s">
        <v>93</v>
      </c>
      <c r="K10" s="41" t="s">
        <v>94</v>
      </c>
    </row>
    <row r="11" spans="1:11" ht="15.75">
      <c r="A11" s="30" t="str">
        <v>Orlando</v>
      </c>
      <c r="B11" s="31" t="str">
        <v>FL</v>
      </c>
      <c r="C11" s="11">
        <v>3199.6840000000002</v>
      </c>
      <c r="D11" s="18">
        <v>0</v>
      </c>
      <c r="E11" s="18">
        <f t="shared" si="0"/>
        <v>3199.6840000000002</v>
      </c>
      <c r="F11" s="19" t="str">
        <f t="shared" si="3"/>
        <v/>
      </c>
      <c r="G11" s="20">
        <v>0</v>
      </c>
      <c r="H11" s="20">
        <f t="shared" si="1"/>
        <v>3199.6840000000002</v>
      </c>
      <c r="I11" s="19" t="str">
        <f t="shared" si="2"/>
        <v/>
      </c>
      <c r="J11" s="42"/>
      <c r="K11" s="43"/>
    </row>
    <row r="12" spans="1:11" ht="15.75">
      <c r="A12" s="28" t="str">
        <v>Port St. Lucie</v>
      </c>
      <c r="B12" s="29" t="str">
        <v>FL</v>
      </c>
      <c r="C12" s="24">
        <v>5829.7190000000001</v>
      </c>
      <c r="D12" s="13">
        <v>0</v>
      </c>
      <c r="E12" s="13">
        <f t="shared" si="0"/>
        <v>5829.7190000000001</v>
      </c>
      <c r="F12" s="14" t="str">
        <f t="shared" si="3"/>
        <v/>
      </c>
      <c r="G12" s="15">
        <v>0</v>
      </c>
      <c r="H12" s="15">
        <f t="shared" si="1"/>
        <v>5829.7190000000001</v>
      </c>
      <c r="I12" s="16" t="str">
        <f t="shared" si="2"/>
        <v/>
      </c>
      <c r="J12" s="41"/>
      <c r="K12" s="41"/>
    </row>
    <row r="13" spans="1:11" ht="16.5">
      <c r="A13" s="30" t="str">
        <v>Tampa</v>
      </c>
      <c r="B13" s="31" t="str">
        <v>FL</v>
      </c>
      <c r="C13" s="11">
        <v>1131.2909999999999</v>
      </c>
      <c r="D13" s="18">
        <v>0</v>
      </c>
      <c r="E13" s="18">
        <f t="shared" si="0"/>
        <v>1131.2909999999999</v>
      </c>
      <c r="F13" s="19" t="str">
        <f t="shared" si="3"/>
        <v/>
      </c>
      <c r="G13" s="20">
        <v>0</v>
      </c>
      <c r="H13" s="20">
        <f t="shared" si="1"/>
        <v>1131.2909999999999</v>
      </c>
      <c r="I13" s="19" t="str">
        <f t="shared" si="2"/>
        <v/>
      </c>
      <c r="J13" s="42" t="s">
        <v>89</v>
      </c>
      <c r="K13" s="43" t="s">
        <v>95</v>
      </c>
    </row>
    <row r="14" spans="1:11" ht="15.75">
      <c r="A14" s="28" t="str">
        <v>Roswell</v>
      </c>
      <c r="B14" s="29" t="str">
        <v>GA</v>
      </c>
      <c r="C14" s="24">
        <v>2928.3870000000002</v>
      </c>
      <c r="D14" s="13">
        <v>0</v>
      </c>
      <c r="E14" s="13">
        <f t="shared" si="0"/>
        <v>2928.3870000000002</v>
      </c>
      <c r="F14" s="14" t="str">
        <f t="shared" si="3"/>
        <v/>
      </c>
      <c r="G14" s="15">
        <v>0</v>
      </c>
      <c r="H14" s="15">
        <f t="shared" si="1"/>
        <v>2928.3870000000002</v>
      </c>
      <c r="I14" s="16" t="str">
        <f t="shared" si="2"/>
        <v/>
      </c>
      <c r="J14" s="41" t="s">
        <v>52</v>
      </c>
      <c r="K14" s="41" t="s">
        <v>96</v>
      </c>
    </row>
    <row r="15" spans="1:11" ht="15.75">
      <c r="A15" s="30" t="str">
        <v>Charlotte</v>
      </c>
      <c r="B15" s="31" t="str">
        <v>NC</v>
      </c>
      <c r="C15" s="11">
        <v>1462.8579999999999</v>
      </c>
      <c r="D15" s="18">
        <v>0</v>
      </c>
      <c r="E15" s="18">
        <f t="shared" si="0"/>
        <v>1462.8579999999999</v>
      </c>
      <c r="F15" s="19" t="str">
        <f t="shared" si="3"/>
        <v/>
      </c>
      <c r="G15" s="20">
        <v>0</v>
      </c>
      <c r="H15" s="20">
        <f t="shared" si="1"/>
        <v>1462.8579999999999</v>
      </c>
      <c r="I15" s="19" t="str">
        <f t="shared" si="2"/>
        <v/>
      </c>
      <c r="J15" s="42"/>
      <c r="K15" s="43"/>
    </row>
    <row r="16" spans="1:11" ht="15.75">
      <c r="A16" s="28" t="str">
        <v>Raleigh</v>
      </c>
      <c r="B16" s="29" t="str">
        <v>NC</v>
      </c>
      <c r="C16" s="24">
        <v>1883.153</v>
      </c>
      <c r="D16" s="13">
        <v>0</v>
      </c>
      <c r="E16" s="13">
        <f t="shared" si="0"/>
        <v>1883.153</v>
      </c>
      <c r="F16" s="14" t="str">
        <f t="shared" si="3"/>
        <v/>
      </c>
      <c r="G16" s="15">
        <v>0</v>
      </c>
      <c r="H16" s="15">
        <f t="shared" si="1"/>
        <v>1883.153</v>
      </c>
      <c r="I16" s="16" t="str">
        <f t="shared" si="2"/>
        <v/>
      </c>
      <c r="J16" s="41"/>
      <c r="K16" s="41"/>
    </row>
    <row r="17" spans="1:11" ht="15.75">
      <c r="A17" s="30" t="str">
        <v>Cordova</v>
      </c>
      <c r="B17" s="31" t="str">
        <v>TN</v>
      </c>
      <c r="C17" s="11">
        <v>1689.3140000000001</v>
      </c>
      <c r="D17" s="18">
        <v>0</v>
      </c>
      <c r="E17" s="18">
        <f t="shared" si="0"/>
        <v>1689.3140000000001</v>
      </c>
      <c r="F17" s="19" t="str">
        <f t="shared" si="3"/>
        <v/>
      </c>
      <c r="G17" s="20">
        <v>0</v>
      </c>
      <c r="H17" s="20">
        <f t="shared" si="1"/>
        <v>1689.3140000000001</v>
      </c>
      <c r="I17" s="19" t="str">
        <f t="shared" si="2"/>
        <v/>
      </c>
      <c r="J17" s="42"/>
      <c r="K17" s="43"/>
    </row>
    <row r="18" spans="1:11" ht="12.75" customHeight="1">
      <c r="A18" s="28" t="str">
        <v>Austin</v>
      </c>
      <c r="B18" s="29" t="str">
        <v>TX</v>
      </c>
      <c r="C18" s="24">
        <v>0</v>
      </c>
      <c r="D18" s="13">
        <v>0</v>
      </c>
      <c r="E18" s="13">
        <f t="shared" ref="E18:E21" si="4">IF(AND(ISNUMBER(C18),ISNUMBER(D18)), C18-D18, "")</f>
        <v>0</v>
      </c>
      <c r="F18" s="14" t="str">
        <f t="shared" ref="F18:F21" si="5">IFERROR(E18/D18, "")</f>
        <v/>
      </c>
      <c r="G18" s="15">
        <v>0</v>
      </c>
      <c r="H18" s="15">
        <f t="shared" ref="H18:H21" si="6">IF(AND(ISNUMBER(C18),ISNUMBER(G18)), C18-G18, "")</f>
        <v>0</v>
      </c>
      <c r="I18" s="16" t="str">
        <f t="shared" ref="I18:I21" si="7">IFERROR(H18/G18, "")</f>
        <v/>
      </c>
      <c r="J18" s="41"/>
      <c r="K18" s="41"/>
    </row>
    <row r="19" spans="1:11" ht="15.75">
      <c r="A19" s="30" t="str">
        <v>Frisco</v>
      </c>
      <c r="B19" s="31" t="str">
        <v>TX</v>
      </c>
      <c r="C19" s="11">
        <v>1640.3879999999999</v>
      </c>
      <c r="D19" s="18">
        <v>0</v>
      </c>
      <c r="E19" s="18">
        <f t="shared" si="4"/>
        <v>1640.3879999999999</v>
      </c>
      <c r="F19" s="19" t="str">
        <f t="shared" si="5"/>
        <v/>
      </c>
      <c r="G19" s="20">
        <v>0</v>
      </c>
      <c r="H19" s="20">
        <f t="shared" si="6"/>
        <v>1640.3879999999999</v>
      </c>
      <c r="I19" s="19" t="str">
        <f t="shared" si="7"/>
        <v/>
      </c>
      <c r="J19" s="42"/>
      <c r="K19" s="43"/>
    </row>
    <row r="20" spans="1:11" ht="15.75">
      <c r="A20" s="28" t="str">
        <v>Copperfield</v>
      </c>
      <c r="B20" s="29" t="str">
        <v>TX</v>
      </c>
      <c r="C20" s="24">
        <v>1050.3689999999999</v>
      </c>
      <c r="D20" s="13">
        <v>0</v>
      </c>
      <c r="E20" s="13">
        <f t="shared" si="4"/>
        <v>1050.3689999999999</v>
      </c>
      <c r="F20" s="14" t="str">
        <f t="shared" si="5"/>
        <v/>
      </c>
      <c r="G20" s="15">
        <v>0</v>
      </c>
      <c r="H20" s="15">
        <f t="shared" si="6"/>
        <v>1050.3689999999999</v>
      </c>
      <c r="I20" s="16" t="str">
        <f t="shared" si="7"/>
        <v/>
      </c>
      <c r="J20" s="41" t="s">
        <v>97</v>
      </c>
      <c r="K20" s="41" t="s">
        <v>98</v>
      </c>
    </row>
    <row r="21" spans="1:11" ht="15.75">
      <c r="A21" s="30" t="str">
        <v>Plano Bldg A</v>
      </c>
      <c r="B21" s="31" t="str">
        <v>TX</v>
      </c>
      <c r="C21" s="11">
        <v>0</v>
      </c>
      <c r="D21" s="18">
        <v>0</v>
      </c>
      <c r="E21" s="18">
        <f t="shared" si="4"/>
        <v>0</v>
      </c>
      <c r="F21" s="19" t="str">
        <f t="shared" si="5"/>
        <v/>
      </c>
      <c r="G21" s="20">
        <v>0</v>
      </c>
      <c r="H21" s="20">
        <f t="shared" si="6"/>
        <v>0</v>
      </c>
      <c r="I21" s="19" t="str">
        <f t="shared" si="7"/>
        <v/>
      </c>
      <c r="J21" s="42" t="s">
        <v>99</v>
      </c>
      <c r="K21" s="43"/>
    </row>
    <row r="22" spans="1:11" ht="14.2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2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2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2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3.9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21"/>
  <sheetViews>
    <sheetView workbookViewId="0">
      <pane ySplit="3" topLeftCell="A4" activePane="bottomLeft" state="frozen"/>
      <selection pane="bottomLeft" activeCell="C26" sqref="C26"/>
    </sheetView>
  </sheetViews>
  <sheetFormatPr defaultRowHeight="12.75" customHeight="1"/>
  <cols>
    <col min="1" max="1" width="48.5703125" customWidth="1"/>
    <col min="2" max="2" width="17.4257812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100</v>
      </c>
      <c r="B1" t="s">
        <v>101</v>
      </c>
    </row>
    <row r="3" spans="1:7">
      <c r="A3" t="s">
        <v>102</v>
      </c>
      <c r="B3" t="s">
        <v>3</v>
      </c>
      <c r="C3" t="s">
        <v>4</v>
      </c>
      <c r="D3" t="s">
        <v>103</v>
      </c>
      <c r="E3" s="2" t="s">
        <v>104</v>
      </c>
    </row>
    <row r="4" spans="1:7" ht="14.25">
      <c r="A4" s="44" t="s">
        <v>105</v>
      </c>
      <c r="B4" s="45" t="s">
        <v>106</v>
      </c>
      <c r="C4" s="45" t="s">
        <v>107</v>
      </c>
      <c r="E4" t="s">
        <v>108</v>
      </c>
      <c r="G4" s="3"/>
    </row>
    <row r="5" spans="1:7" ht="14.25">
      <c r="A5" s="44" t="s">
        <v>109</v>
      </c>
      <c r="B5" s="45" t="s">
        <v>110</v>
      </c>
      <c r="C5" s="45" t="s">
        <v>107</v>
      </c>
      <c r="E5" t="s">
        <v>108</v>
      </c>
      <c r="G5" s="3"/>
    </row>
    <row r="6" spans="1:7" ht="14.25">
      <c r="A6" s="44" t="s">
        <v>111</v>
      </c>
      <c r="B6" s="45" t="s">
        <v>112</v>
      </c>
      <c r="C6" s="45" t="s">
        <v>107</v>
      </c>
      <c r="E6" t="s">
        <v>108</v>
      </c>
      <c r="G6" s="3"/>
    </row>
    <row r="7" spans="1:7" ht="12.75" customHeight="1">
      <c r="A7" s="44" t="s">
        <v>113</v>
      </c>
      <c r="B7" s="45" t="s">
        <v>114</v>
      </c>
      <c r="C7" s="45" t="s">
        <v>115</v>
      </c>
      <c r="E7" t="s">
        <v>108</v>
      </c>
    </row>
    <row r="8" spans="1:7" ht="12.75" customHeight="1">
      <c r="A8" s="44" t="s">
        <v>116</v>
      </c>
      <c r="B8" s="45" t="s">
        <v>117</v>
      </c>
      <c r="C8" s="45" t="s">
        <v>115</v>
      </c>
      <c r="E8" t="s">
        <v>108</v>
      </c>
    </row>
    <row r="9" spans="1:7" ht="12.75" customHeight="1">
      <c r="A9" s="44" t="s">
        <v>118</v>
      </c>
      <c r="B9" s="45" t="s">
        <v>119</v>
      </c>
      <c r="C9" s="45" t="s">
        <v>115</v>
      </c>
      <c r="E9" t="s">
        <v>108</v>
      </c>
    </row>
    <row r="10" spans="1:7" ht="12.75" customHeight="1">
      <c r="A10" s="44" t="s">
        <v>120</v>
      </c>
      <c r="B10" s="45" t="s">
        <v>121</v>
      </c>
      <c r="C10" s="45" t="s">
        <v>115</v>
      </c>
      <c r="E10" t="s">
        <v>108</v>
      </c>
    </row>
    <row r="11" spans="1:7" ht="12.75" customHeight="1">
      <c r="A11" s="44" t="s">
        <v>122</v>
      </c>
      <c r="B11" s="45" t="s">
        <v>123</v>
      </c>
      <c r="C11" s="45" t="s">
        <v>115</v>
      </c>
      <c r="E11" t="s">
        <v>108</v>
      </c>
    </row>
    <row r="12" spans="1:7" ht="12.75" customHeight="1">
      <c r="A12" s="44" t="s">
        <v>124</v>
      </c>
      <c r="B12" s="45" t="s">
        <v>125</v>
      </c>
      <c r="C12" s="45" t="s">
        <v>115</v>
      </c>
      <c r="E12" t="s">
        <v>108</v>
      </c>
    </row>
    <row r="13" spans="1:7" ht="12.75" customHeight="1">
      <c r="A13" s="44" t="s">
        <v>126</v>
      </c>
      <c r="B13" s="45" t="s">
        <v>127</v>
      </c>
      <c r="C13" s="45" t="s">
        <v>115</v>
      </c>
      <c r="E13" t="s">
        <v>108</v>
      </c>
    </row>
    <row r="14" spans="1:7" ht="12.75" customHeight="1">
      <c r="A14" s="44" t="s">
        <v>128</v>
      </c>
      <c r="B14" s="45" t="s">
        <v>129</v>
      </c>
      <c r="C14" s="45" t="s">
        <v>130</v>
      </c>
      <c r="E14" t="s">
        <v>108</v>
      </c>
    </row>
    <row r="15" spans="1:7" ht="12.75" customHeight="1">
      <c r="A15" s="44" t="s">
        <v>131</v>
      </c>
      <c r="B15" s="45" t="s">
        <v>132</v>
      </c>
      <c r="C15" s="45" t="s">
        <v>133</v>
      </c>
      <c r="E15" t="s">
        <v>108</v>
      </c>
    </row>
    <row r="16" spans="1:7" ht="12.75" customHeight="1">
      <c r="A16" s="44" t="s">
        <v>134</v>
      </c>
      <c r="B16" s="45" t="s">
        <v>135</v>
      </c>
      <c r="C16" s="45" t="s">
        <v>133</v>
      </c>
      <c r="E16" t="s">
        <v>108</v>
      </c>
    </row>
    <row r="17" spans="1:5" ht="12.75" customHeight="1">
      <c r="A17" s="44" t="s">
        <v>136</v>
      </c>
      <c r="B17" s="45" t="s">
        <v>137</v>
      </c>
      <c r="C17" s="45" t="s">
        <v>138</v>
      </c>
      <c r="E17" t="s">
        <v>108</v>
      </c>
    </row>
    <row r="18" spans="1:5" ht="12.75" customHeight="1">
      <c r="A18" s="44" t="s">
        <v>139</v>
      </c>
      <c r="B18" s="45" t="s">
        <v>140</v>
      </c>
      <c r="C18" s="45" t="s">
        <v>141</v>
      </c>
      <c r="E18" t="s">
        <v>108</v>
      </c>
    </row>
    <row r="19" spans="1:5" ht="12.75" customHeight="1">
      <c r="A19" s="44" t="s">
        <v>142</v>
      </c>
      <c r="B19" s="45" t="s">
        <v>143</v>
      </c>
      <c r="C19" s="45" t="s">
        <v>141</v>
      </c>
      <c r="E19" t="s">
        <v>108</v>
      </c>
    </row>
    <row r="20" spans="1:5" ht="12.75" customHeight="1">
      <c r="A20" s="44" t="s">
        <v>144</v>
      </c>
      <c r="B20" s="45" t="s">
        <v>145</v>
      </c>
      <c r="C20" s="45" t="s">
        <v>141</v>
      </c>
      <c r="E20" t="s">
        <v>108</v>
      </c>
    </row>
    <row r="21" spans="1:5" ht="12.75" customHeight="1">
      <c r="A21" s="44" t="s">
        <v>146</v>
      </c>
      <c r="B21" s="45" t="s">
        <v>147</v>
      </c>
      <c r="C21" s="45" t="s">
        <v>141</v>
      </c>
      <c r="E21" t="s">
        <v>108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D3A7101F-9A85-4235-8B03-415370C100B2}"/>
</file>

<file path=customXml/itemProps5.xml><?xml version="1.0" encoding="utf-8"?>
<ds:datastoreItem xmlns:ds="http://schemas.openxmlformats.org/officeDocument/2006/customXml" ds:itemID="{5834DB89-74C9-4947-A2FA-7A741CEC18AB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3AEAA9D8-2182-46BA-A58E-96C72DDA1C54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2BC74AAC-D69B-4AF1-9649-B21EF3C1C463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2025-06-25T20:26:39Z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2024-10-17T19:45:42Z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940bdbbc-2637-4ce1-81c0-d59093b4d809</vt:lpwstr>
  </property>
  <property fmtid="{D5CDD505-2E9C-101B-9397-08002B2CF9AE}" pid="9" name="MSIP_Label_9d817c99-0b37-4a07-8277-96aa1f96b74b_ContentBits">
    <vt:lpwstr>0</vt:lpwstr>
  </property>
</Properties>
</file>