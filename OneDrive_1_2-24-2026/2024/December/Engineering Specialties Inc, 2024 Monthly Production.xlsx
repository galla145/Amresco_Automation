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0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3" documentId="13_ncr:1_{F9C57B75-C018-438A-A7C3-E581E1F7CF43}" xr6:coauthVersionLast="47" xr6:coauthVersionMax="47" xr10:uidLastSave="{026B4CDC-0A6C-49F8-92A1-30FF47900415}"/>
  <bookViews>
    <workbookView xWindow="1104" yWindow="1188" windowWidth="17280" windowHeight="8880" tabRatio="866" firstSheet="16" activeTab="16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30" l="1"/>
  <c r="G4" i="29"/>
  <c r="G4" i="18"/>
  <c r="E4" i="72" l="1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G4" i="1"/>
  <c r="G4" i="34" s="1"/>
  <c r="B4" i="34" a="1"/>
  <c r="B4" i="34" s="1"/>
  <c r="A4" i="34" a="1"/>
  <c r="A4" i="34" s="1"/>
  <c r="A1" i="34" a="1"/>
  <c r="A1" i="34" s="1"/>
  <c r="D4" i="30"/>
  <c r="C4" i="30"/>
  <c r="D4" i="29"/>
  <c r="D2" i="29" s="1"/>
  <c r="C4" i="29"/>
  <c r="D4" i="18"/>
  <c r="C4" i="18"/>
  <c r="E4" i="18" s="1"/>
  <c r="F4" i="18" s="1"/>
  <c r="D2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4" i="1"/>
  <c r="D4" i="1"/>
  <c r="B4" i="1" a="1"/>
  <c r="B4" i="1" s="1"/>
  <c r="A4" i="1" a="1"/>
  <c r="A4" i="1" s="1"/>
  <c r="A1" i="1" a="1"/>
  <c r="A1" i="1" s="1"/>
  <c r="H4" i="33"/>
  <c r="I4" i="33" s="1"/>
  <c r="E4" i="33"/>
  <c r="F4" i="33" s="1"/>
  <c r="G2" i="33"/>
  <c r="D2" i="33"/>
  <c r="C2" i="33"/>
  <c r="A1" i="33" a="1"/>
  <c r="A1" i="33" s="1"/>
  <c r="H4" i="32"/>
  <c r="I4" i="32" s="1"/>
  <c r="E4" i="32"/>
  <c r="F4" i="32" s="1"/>
  <c r="G2" i="32"/>
  <c r="D2" i="32"/>
  <c r="C2" i="32"/>
  <c r="A1" i="32" a="1"/>
  <c r="A1" i="32" s="1"/>
  <c r="H4" i="31"/>
  <c r="I4" i="31" s="1"/>
  <c r="E4" i="31"/>
  <c r="F4" i="31" s="1"/>
  <c r="G2" i="31"/>
  <c r="D2" i="31"/>
  <c r="C2" i="31"/>
  <c r="A1" i="31" a="1"/>
  <c r="A1" i="31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4" i="27"/>
  <c r="I4" i="27" s="1"/>
  <c r="E4" i="27"/>
  <c r="F4" i="27" s="1"/>
  <c r="G2" i="27"/>
  <c r="D2" i="27"/>
  <c r="C2" i="27"/>
  <c r="A1" i="27" a="1"/>
  <c r="A1" i="27" s="1"/>
  <c r="H4" i="26"/>
  <c r="I4" i="26" s="1"/>
  <c r="E4" i="26"/>
  <c r="F4" i="26" s="1"/>
  <c r="G2" i="26"/>
  <c r="D2" i="26"/>
  <c r="C2" i="26"/>
  <c r="A1" i="26" a="1"/>
  <c r="A1" i="26" s="1"/>
  <c r="H4" i="19"/>
  <c r="I4" i="19" s="1"/>
  <c r="E4" i="19"/>
  <c r="F4" i="19" s="1"/>
  <c r="G2" i="19"/>
  <c r="D2" i="19"/>
  <c r="C2" i="19"/>
  <c r="A1" i="19" a="1"/>
  <c r="A1" i="19" s="1"/>
  <c r="H4" i="20"/>
  <c r="I4" i="20" s="1"/>
  <c r="E4" i="20"/>
  <c r="F4" i="20" s="1"/>
  <c r="G2" i="20"/>
  <c r="D2" i="20"/>
  <c r="C2" i="20"/>
  <c r="A1" i="20" a="1"/>
  <c r="A1" i="20" s="1"/>
  <c r="H4" i="21"/>
  <c r="I4" i="21" s="1"/>
  <c r="E4" i="21"/>
  <c r="F4" i="21" s="1"/>
  <c r="G2" i="21"/>
  <c r="D2" i="21"/>
  <c r="C2" i="21"/>
  <c r="A1" i="21" a="1"/>
  <c r="A1" i="21" s="1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H4" i="72"/>
  <c r="I4" i="72" s="1"/>
  <c r="G2" i="72"/>
  <c r="D2" i="72"/>
  <c r="C2" i="72"/>
  <c r="J2" i="72" s="1"/>
  <c r="A1" i="72" a="1"/>
  <c r="A1" i="72" s="1"/>
  <c r="D4" i="34" l="1"/>
  <c r="D2" i="34" s="1"/>
  <c r="E4" i="30"/>
  <c r="F4" i="30" s="1"/>
  <c r="D2" i="30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G2" i="1"/>
  <c r="H4" i="30"/>
  <c r="I4" i="30" s="1"/>
  <c r="H4" i="29"/>
  <c r="I4" i="29" s="1"/>
  <c r="H4" i="18"/>
  <c r="I4" i="18" s="1"/>
  <c r="C4" i="34"/>
  <c r="C2" i="29"/>
  <c r="E2" i="29" s="1"/>
  <c r="F2" i="29" s="1"/>
  <c r="C2" i="30"/>
  <c r="E4" i="29"/>
  <c r="F4" i="29" s="1"/>
  <c r="C2" i="18"/>
  <c r="H4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G2" i="34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<sst xmlns="http://schemas.openxmlformats.org/spreadsheetml/2006/main" count="240" uniqueCount="53">
  <si>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</si>
  <si>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</si>
  <si>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</si>
  <si>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</si>
  <si>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</si>
  <si>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</si>
  <si>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</si>
  <si>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</si>
  <si>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</si>
  <si>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</si>
  <si>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</si>
  <si>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</si>
  <si>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</si>
  <si>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</si>
  <si>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</si>
  <si>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</si>
  <si>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</si>
  <si>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</si>
  <si>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</si>
  <si>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</si>
  <si>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</si>
  <si>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</si>
  <si>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February Actual v. Expected</t>
  </si>
  <si>
    <t>February Actual v. Forecasted</t>
  </si>
  <si>
    <t>March Actual v. Expected</t>
  </si>
  <si>
    <t>March Actual v. Forecasted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</si>
  <si>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</si>
  <si>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</si>
  <si>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</si>
  <si>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</si>
  <si>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</si>
  <si>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</si>
  <si>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</si>
  <si>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</si>
  <si>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</si>
  <si>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</si>
  <si>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</si>
  <si>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</si>
  <si>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</si>
  <si>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</si>
  <si>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</si>
  <si>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</si>
  <si>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</si>
  <si>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</si>
  <si>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</si>
  <si>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ESI</t>
  </si>
  <si>
    <t>Site DAS Name</t>
  </si>
  <si>
    <t>Update</t>
  </si>
  <si>
    <t>DAS</t>
  </si>
  <si>
    <t>CT: North Branford - Engineering Specialties</t>
  </si>
  <si>
    <t>CT</t>
  </si>
  <si>
    <t>AF</t>
  </si>
  <si>
    <t>PowerTrack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</si>
</sst>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7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9"/>
      <color rgb="FF000000"/>
      <name val="Arial"/>
      <charset val="1"/>
    </font>
    <font>
      <sz val="9"/>
      <color rgb="FF000000"/>
      <name val="Arial"/>
      <family val="2"/>
    </font>
  </fonts>
  <fills count="49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E2EFDA"/>
        <bgColor rgb="FF000000"/>
      </patternFill>
    </fill>
    <fill>
      <patternFill patternType="solid">
        <fgColor rgb="FFD9E1F2"/>
        <bgColor rgb="FF000000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49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49" fontId="30" fillId="38" borderId="0" xfId="2" applyNumberFormat="1" applyFont="1" applyFill="1" applyBorder="1" applyAlignment="1">
      <alignment vertical="top" wrapText="1"/>
    </xf>
    <xf numFmtId="0" fontId="0" fillId="0" borderId="0" xfId="0" applyAlignment="1">
      <alignment horizontal="center" wrapText="1"/>
    </xf>
    <xf numFmtId="9" fontId="30" fillId="3" borderId="0" xfId="2" applyFont="1" applyFill="1" applyAlignment="1">
      <alignment horizontal="right" vertical="center"/>
    </xf>
    <xf numFmtId="0" fontId="0" fillId="0" borderId="0" xfId="0" applyAlignment="1">
      <alignment horizontal="center" vertical="center"/>
    </xf>
    <xf numFmtId="0" fontId="22" fillId="0" borderId="0" xfId="43" applyFont="1" applyAlignment="1">
      <alignment horizontal="center" vertical="center"/>
    </xf>
    <xf numFmtId="49" fontId="27" fillId="40" borderId="0" xfId="0" applyNumberFormat="1" applyFont="1" applyFill="1" applyAlignment="1">
      <alignment horizontal="left" vertical="center"/>
    </xf>
    <xf numFmtId="0" fontId="0" fillId="0" borderId="0" xfId="0" applyAlignment="1">
      <alignment horizontal="left" wrapText="1"/>
    </xf>
    <xf numFmtId="0" fontId="34" fillId="40" borderId="0" xfId="0" applyFont="1" applyFill="1" applyAlignment="1">
      <alignment horizontal="left"/>
    </xf>
    <xf numFmtId="0" fontId="29" fillId="43" borderId="11" xfId="0" applyFont="1" applyFill="1" applyBorder="1" applyAlignment="1">
      <alignment horizontal="center" vertical="center" wrapText="1"/>
    </xf>
    <xf numFmtId="0" fontId="24" fillId="41" borderId="11" xfId="0" applyFont="1" applyFill="1" applyBorder="1" applyAlignment="1">
      <alignment horizontal="center" vertical="center" wrapText="1"/>
    </xf>
    <xf numFmtId="3" fontId="35" fillId="46" borderId="0" xfId="0" applyNumberFormat="1" applyFont="1" applyFill="1" applyAlignment="1">
      <alignment readingOrder="1"/>
    </xf>
    <xf numFmtId="0" fontId="36" fillId="47" borderId="0" xfId="0" applyFont="1" applyFill="1" applyAlignment="1">
      <alignment horizontal="right"/>
    </xf>
    <xf numFmtId="0" fontId="24" fillId="42" borderId="11" xfId="0" applyFont="1" applyFill="1" applyBorder="1" applyAlignment="1">
      <alignment horizontal="center" vertical="center"/>
    </xf>
    <xf numFmtId="3" fontId="36" fillId="48" borderId="0" xfId="0" applyNumberFormat="1" applyFont="1" applyFill="1"/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07"/>
  <sheetViews>
    <sheetView workbookViewId="0">
      <pane xSplit="2" ySplit="3" topLeftCell="C4" activePane="bottomRight" state="frozen"/>
      <selection pane="bottomRight" activeCell="A5" sqref="A5"/>
      <selection pane="bottomLeft"/>
      <selection pane="topRight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6" t="str" cm="1">
        <f t="array" ref="A1">portfolio</f>
        <v>ESI</v>
      </c>
      <c r="B1" s="46"/>
      <c r="C1" s="46"/>
      <c r="D1" s="47" t="s">
        <v>0</v>
      </c>
      <c r="E1" s="47"/>
      <c r="F1" s="47"/>
      <c r="G1" s="45" t="s">
        <v>1</v>
      </c>
      <c r="H1" s="45"/>
      <c r="I1" s="45"/>
    </row>
    <row r="2" spans="1:9" ht="19.5" customHeight="1">
      <c r="A2" s="48" t="s">
        <v>2</v>
      </c>
      <c r="B2" s="48"/>
      <c r="C2" s="5">
        <f>SUM(C4:C65)</f>
        <v>161559</v>
      </c>
      <c r="D2" s="5">
        <f>SUM(D4:D65)</f>
        <v>0</v>
      </c>
      <c r="E2" s="5">
        <f>C2-D2</f>
        <v>161559</v>
      </c>
      <c r="F2" s="6">
        <f>IFERROR(E2/D2, 0)</f>
        <v>0</v>
      </c>
      <c r="G2" s="5">
        <f>SUM(G4:G65)</f>
        <v>149573.04999999999</v>
      </c>
      <c r="H2" s="7">
        <f>C2-G2</f>
        <v>11985.950000000012</v>
      </c>
      <c r="I2" s="6">
        <f>IFERROR(H2/G2, 0)</f>
        <v>8.0134422611560119E-2</v>
      </c>
    </row>
    <row r="3" spans="1:9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>
      <c r="A4" s="10" t="str" cm="1">
        <f t="array" ref="A4">Sites[Site]</f>
        <v>CT: North Branford - Engineering Specialties</v>
      </c>
      <c r="B4" s="9" t="str" cm="1">
        <f t="array" ref="B4">Sites[State]</f>
        <v>CT</v>
      </c>
      <c r="C4" s="18">
        <f>SUM('1st Qtr'!C4, '2nd Qtr'!C4, '3rd Qtr'!C4, '4th Qtr'!C4)</f>
        <v>161559</v>
      </c>
      <c r="D4" s="11">
        <f>SUM('1st Qtr'!D4, '2nd Qtr'!D4, '3rd Qtr'!D4, '4th Qtr'!D4)</f>
        <v>0</v>
      </c>
      <c r="E4" s="11">
        <f>IF(AND(ISNUMBER(C4),ISNUMBER(D4)), C4-D4, "")</f>
        <v>161559</v>
      </c>
      <c r="F4" s="12" t="str">
        <f>IFERROR(E4/D4, "")</f>
        <v/>
      </c>
      <c r="G4" s="13">
        <f>SUM('1st Qtr'!G4, '2nd Qtr'!G4, '3rd Qtr'!G4, '4th Qtr'!G4)</f>
        <v>149573.04999999999</v>
      </c>
      <c r="H4" s="13">
        <f>SUM('1st Qtr'!H4, '2nd Qtr'!H4, '3rd Qtr'!H4, '4th Qtr'!H4)</f>
        <v>11985.950000000003</v>
      </c>
      <c r="I4" s="14">
        <f>IFERROR(H4/G4, "")</f>
        <v>8.0134422611560063E-2</v>
      </c>
    </row>
    <row r="5" spans="1:9" ht="13.9">
      <c r="A5" s="15"/>
      <c r="B5" s="15"/>
      <c r="C5" s="15"/>
      <c r="D5" s="15"/>
      <c r="E5" s="15"/>
      <c r="F5" s="16"/>
      <c r="G5" s="15"/>
      <c r="H5" s="15"/>
      <c r="I5" s="16"/>
    </row>
    <row r="6" spans="1:9" ht="13.9">
      <c r="A6" s="15"/>
      <c r="B6" s="15"/>
      <c r="C6" s="15"/>
      <c r="D6" s="15"/>
      <c r="E6" s="15"/>
      <c r="F6" s="16"/>
      <c r="G6" s="15"/>
      <c r="H6" s="15"/>
      <c r="I6" s="16"/>
    </row>
    <row r="7" spans="1:9" ht="13.9">
      <c r="A7" s="15"/>
      <c r="B7" s="15"/>
      <c r="C7" s="15"/>
      <c r="D7" s="15"/>
      <c r="E7" s="15"/>
      <c r="F7" s="16"/>
      <c r="G7" s="15"/>
      <c r="H7" s="15"/>
      <c r="I7" s="16"/>
    </row>
    <row r="8" spans="1:9" ht="13.9">
      <c r="A8" s="15"/>
      <c r="B8" s="15"/>
      <c r="C8" s="15"/>
      <c r="D8" s="15"/>
      <c r="E8" s="15"/>
      <c r="F8" s="16"/>
      <c r="G8" s="15"/>
      <c r="H8" s="15"/>
      <c r="I8" s="16"/>
    </row>
    <row r="9" spans="1:9" ht="13.9">
      <c r="A9" s="15"/>
      <c r="B9" s="15"/>
      <c r="C9" s="15"/>
      <c r="D9" s="15"/>
      <c r="E9" s="15"/>
      <c r="F9" s="16"/>
      <c r="G9" s="15"/>
      <c r="H9" s="15"/>
      <c r="I9" s="16"/>
    </row>
    <row r="10" spans="1:9" ht="13.9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9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9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9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9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9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9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9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9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9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9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9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9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9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9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9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9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9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9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9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9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9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9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9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9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9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9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9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9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9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9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9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9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9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9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9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9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9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9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9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9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9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9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9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9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9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9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9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9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9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9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9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9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9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9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9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9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9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9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9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9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9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9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9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9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9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9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9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9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9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9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9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9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9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9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9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9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9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9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9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9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9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9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9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9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9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9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9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9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9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9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9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9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9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9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9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9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9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9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9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9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9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9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9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9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9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9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9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9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9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9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9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9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9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9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9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9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9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9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9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9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9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9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9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9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9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9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9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9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9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9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9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9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9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9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9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9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9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9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9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9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9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9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9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9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9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9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9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9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9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9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9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9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9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9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9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9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9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9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9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9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9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9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9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9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9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9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9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9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9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9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9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9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9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9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9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9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9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9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9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9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9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9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9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9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9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9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9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9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9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9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9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9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9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9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9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9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9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9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9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9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9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9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9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9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9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9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9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9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9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9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9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9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9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9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9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9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9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9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9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9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9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9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9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9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9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9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9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9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9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9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9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9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9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9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9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9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9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9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9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9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9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9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9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9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9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9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9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9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9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9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9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9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9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9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9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9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9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9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9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9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9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9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9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9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9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9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9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9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9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9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9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9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9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9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9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9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9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9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9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9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9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9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9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9">
      <c r="A294" s="15"/>
      <c r="B294" s="15"/>
      <c r="C294" s="15"/>
      <c r="D294" s="15"/>
      <c r="E294" s="15"/>
      <c r="F294" s="16"/>
      <c r="G294" s="15"/>
      <c r="H294" s="15"/>
      <c r="I294" s="16"/>
    </row>
    <row r="295" spans="1:9" ht="13.9">
      <c r="A295" s="15"/>
      <c r="B295" s="15"/>
      <c r="C295" s="15"/>
      <c r="D295" s="15"/>
      <c r="E295" s="15"/>
      <c r="F295" s="16"/>
      <c r="G295" s="15"/>
      <c r="H295" s="15"/>
      <c r="I295" s="16"/>
    </row>
    <row r="296" spans="1:9" ht="13.9">
      <c r="A296" s="15"/>
      <c r="B296" s="15"/>
      <c r="C296" s="15"/>
      <c r="D296" s="15"/>
      <c r="E296" s="15"/>
      <c r="F296" s="16"/>
      <c r="G296" s="15"/>
      <c r="H296" s="15"/>
      <c r="I296" s="16"/>
    </row>
    <row r="297" spans="1:9" ht="13.9">
      <c r="A297" s="15"/>
      <c r="B297" s="15"/>
      <c r="C297" s="15"/>
      <c r="D297" s="15"/>
      <c r="E297" s="15"/>
      <c r="F297" s="16"/>
      <c r="G297" s="15"/>
      <c r="H297" s="15"/>
      <c r="I297" s="16"/>
    </row>
    <row r="298" spans="1:9" ht="13.9">
      <c r="A298" s="15"/>
      <c r="B298" s="15"/>
      <c r="C298" s="15"/>
      <c r="D298" s="15"/>
      <c r="E298" s="15"/>
      <c r="F298" s="16"/>
      <c r="G298" s="15"/>
      <c r="H298" s="15"/>
      <c r="I298" s="16"/>
    </row>
    <row r="299" spans="1:9" ht="13.9">
      <c r="A299" s="15"/>
      <c r="B299" s="15"/>
      <c r="C299" s="15"/>
      <c r="D299" s="15"/>
      <c r="E299" s="15"/>
      <c r="F299" s="16"/>
      <c r="G299" s="15"/>
      <c r="H299" s="15"/>
      <c r="I299" s="16"/>
    </row>
    <row r="300" spans="1:9" ht="13.9">
      <c r="A300" s="15"/>
      <c r="B300" s="15"/>
      <c r="C300" s="15"/>
      <c r="D300" s="15"/>
      <c r="E300" s="15"/>
      <c r="F300" s="16"/>
      <c r="G300" s="15"/>
      <c r="H300" s="15"/>
      <c r="I300" s="16"/>
    </row>
    <row r="301" spans="1:9" ht="13.9">
      <c r="A301" s="15"/>
      <c r="B301" s="15"/>
      <c r="C301" s="15"/>
      <c r="D301" s="15"/>
      <c r="E301" s="15"/>
      <c r="F301" s="16"/>
      <c r="G301" s="15"/>
      <c r="H301" s="15"/>
      <c r="I301" s="16"/>
    </row>
    <row r="302" spans="1:9" ht="13.9">
      <c r="A302" s="15"/>
      <c r="B302" s="15"/>
      <c r="C302" s="15"/>
      <c r="D302" s="15"/>
      <c r="E302" s="15"/>
      <c r="F302" s="16"/>
      <c r="G302" s="15"/>
      <c r="H302" s="15"/>
      <c r="I302" s="16"/>
    </row>
    <row r="303" spans="1:9" ht="13.9">
      <c r="A303" s="15"/>
      <c r="B303" s="15"/>
      <c r="C303" s="15"/>
      <c r="D303" s="15"/>
      <c r="E303" s="15"/>
      <c r="F303" s="16"/>
      <c r="G303" s="15"/>
      <c r="H303" s="15"/>
      <c r="I303" s="16"/>
    </row>
    <row r="304" spans="1:9" ht="13.9">
      <c r="A304" s="15"/>
      <c r="B304" s="15"/>
      <c r="C304" s="15"/>
      <c r="D304" s="15"/>
      <c r="E304" s="15"/>
      <c r="F304" s="16"/>
      <c r="G304" s="15"/>
      <c r="H304" s="15"/>
      <c r="I304" s="16"/>
    </row>
    <row r="305" spans="1:9" ht="13.9">
      <c r="A305" s="15"/>
      <c r="B305" s="15"/>
      <c r="C305" s="15"/>
      <c r="D305" s="15"/>
      <c r="E305" s="15"/>
      <c r="F305" s="16"/>
      <c r="G305" s="15"/>
      <c r="H305" s="15"/>
      <c r="I305" s="16"/>
    </row>
    <row r="306" spans="1:9" ht="13.9">
      <c r="A306" s="15"/>
      <c r="B306" s="15"/>
      <c r="C306" s="15"/>
      <c r="D306" s="15"/>
      <c r="E306" s="15"/>
      <c r="F306" s="16"/>
      <c r="G306" s="15"/>
      <c r="H306" s="15"/>
      <c r="I306" s="16"/>
    </row>
    <row r="307" spans="1:9" ht="13.9">
      <c r="A307" s="15"/>
      <c r="B307" s="15"/>
      <c r="C307" s="15"/>
      <c r="D307" s="15"/>
      <c r="E307" s="15"/>
      <c r="F307" s="16"/>
      <c r="G307" s="15"/>
      <c r="H307" s="15"/>
      <c r="I307" s="16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65 I4:I65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07"/>
  <sheetViews>
    <sheetView workbookViewId="0">
      <pane xSplit="2" ySplit="3" topLeftCell="C4" activePane="bottomRight" state="frozen"/>
      <selection pane="bottomRight" activeCell="G8" sqref="G8"/>
      <selection pane="bottomLeft" activeCell="A5" sqref="A5"/>
      <selection pane="topRight" activeCell="A5" sqref="A5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6" t="str" cm="1">
        <f t="array" ref="A1">portfolio</f>
        <v>ESI</v>
      </c>
      <c r="B1" s="46"/>
      <c r="C1" s="46"/>
      <c r="D1" s="47" t="s">
        <v>10</v>
      </c>
      <c r="E1" s="47"/>
      <c r="F1" s="47"/>
      <c r="G1" s="45" t="s">
        <v>11</v>
      </c>
      <c r="H1" s="45"/>
      <c r="I1" s="45"/>
    </row>
    <row r="2" spans="1:9" ht="19.5" customHeight="1">
      <c r="A2" s="48" t="s">
        <v>2</v>
      </c>
      <c r="B2" s="48"/>
      <c r="C2" s="5">
        <f>SUM(C4:C65)</f>
        <v>30669</v>
      </c>
      <c r="D2" s="5">
        <f>SUM(D4:D65)</f>
        <v>0</v>
      </c>
      <c r="E2" s="5">
        <f>C2-D2</f>
        <v>30669</v>
      </c>
      <c r="F2" s="6">
        <f>IFERROR(E2/D2, 0)</f>
        <v>0</v>
      </c>
      <c r="G2" s="5">
        <f>SUM(G4:G65)</f>
        <v>29661.485999999997</v>
      </c>
      <c r="H2" s="7">
        <f>C2-G2</f>
        <v>1007.5140000000029</v>
      </c>
      <c r="I2" s="6">
        <f>IFERROR(H2/G2, 0)</f>
        <v>3.3967077711480907E-2</v>
      </c>
    </row>
    <row r="3" spans="1:9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>
      <c r="A4" s="36" t="str" cm="1">
        <f t="array" ref="A4">Sites[Site]</f>
        <v>CT: North Branford - Engineering Specialties</v>
      </c>
      <c r="B4" s="9" t="str" cm="1">
        <f t="array" ref="B4">Sites[State]</f>
        <v>CT</v>
      </c>
      <c r="C4" s="18">
        <f>SUM(Jan!C4, Feb!C4, Mar!C4)</f>
        <v>30669</v>
      </c>
      <c r="D4" s="11">
        <f>SUM(Jan!D4, Feb!D4, Mar!D4)</f>
        <v>0</v>
      </c>
      <c r="E4" s="11">
        <f>IF(AND(ISNUMBER(C4),ISNUMBER(D4)), C4-D4, "")</f>
        <v>30669</v>
      </c>
      <c r="F4" s="12" t="str">
        <f>IFERROR(E4/D4, "")</f>
        <v/>
      </c>
      <c r="G4" s="13">
        <f>SUM(Jan!G4, Feb!G4, Mar!G4)</f>
        <v>29661.485999999997</v>
      </c>
      <c r="H4" s="13">
        <f>SUM(Jan!H4, Feb!H4, Mar!H4)</f>
        <v>1007.514000000001</v>
      </c>
      <c r="I4" s="14">
        <f>IFERROR(H4/G4, "")</f>
        <v>3.3967077711480845E-2</v>
      </c>
    </row>
    <row r="5" spans="1:9" ht="13.9">
      <c r="A5" s="15"/>
      <c r="B5" s="15"/>
      <c r="C5" s="15"/>
      <c r="D5" s="15"/>
      <c r="E5" s="15"/>
      <c r="F5" s="16"/>
      <c r="G5" s="15"/>
      <c r="H5" s="15"/>
      <c r="I5" s="16"/>
    </row>
    <row r="6" spans="1:9" ht="13.9">
      <c r="A6" s="15"/>
      <c r="B6" s="15"/>
      <c r="C6" s="15"/>
      <c r="D6" s="15"/>
      <c r="E6" s="15"/>
      <c r="F6" s="16"/>
      <c r="G6" s="15"/>
      <c r="H6" s="15"/>
      <c r="I6" s="16"/>
    </row>
    <row r="7" spans="1:9" ht="13.9">
      <c r="A7" s="15"/>
      <c r="B7" s="15"/>
      <c r="C7" s="15"/>
      <c r="D7" s="15"/>
      <c r="E7" s="15"/>
      <c r="F7" s="16"/>
      <c r="G7" s="15"/>
      <c r="H7" s="15"/>
      <c r="I7" s="16"/>
    </row>
    <row r="8" spans="1:9" ht="13.9">
      <c r="A8" s="15"/>
      <c r="B8" s="15"/>
      <c r="C8" s="15"/>
      <c r="D8" s="15"/>
      <c r="E8" s="15"/>
      <c r="F8" s="16"/>
      <c r="G8" s="15"/>
      <c r="H8" s="15"/>
      <c r="I8" s="16"/>
    </row>
    <row r="9" spans="1:9" ht="13.9">
      <c r="A9" s="15"/>
      <c r="B9" s="15"/>
      <c r="C9" s="15"/>
      <c r="D9" s="15"/>
      <c r="E9" s="15"/>
      <c r="F9" s="16"/>
      <c r="G9" s="15"/>
      <c r="H9" s="15"/>
      <c r="I9" s="16"/>
    </row>
    <row r="10" spans="1:9" ht="13.9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9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9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9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9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9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9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9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9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9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9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9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9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9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9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9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9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9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9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9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9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9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9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9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9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9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9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9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9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9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9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9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9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9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9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9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9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9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9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9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9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9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9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9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9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9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9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9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9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9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9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9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9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9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9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9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9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9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9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9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9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9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9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9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9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9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9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9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9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9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9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9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9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9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9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9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9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9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9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9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9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9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9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9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9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9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9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9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9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9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9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9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9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9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9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9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9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9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9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9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9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9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9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9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9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9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9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9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9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9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9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9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9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9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9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9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9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9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9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9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9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9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9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9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9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9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9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9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9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9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9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9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9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9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9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9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9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9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9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9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9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9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9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9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9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9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9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9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9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9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9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9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9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9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9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9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9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9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9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9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9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9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9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9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9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9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9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9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9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9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9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9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9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9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9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9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9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9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9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9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9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9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9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9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9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9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9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9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9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9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9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9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9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9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9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9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9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9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9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9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9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9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9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9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9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9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9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9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9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9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9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9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9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9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9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9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9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9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9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9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9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9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9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9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9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9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9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9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9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9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9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9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9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9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9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9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9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9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9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9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9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9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9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9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9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9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9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9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9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9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9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9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9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9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9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9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9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9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9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9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9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9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9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9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9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9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9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9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9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9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9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9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9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9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9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9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9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9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9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9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9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9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9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9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9">
      <c r="A294" s="15"/>
      <c r="B294" s="15"/>
      <c r="C294" s="15"/>
      <c r="D294" s="15"/>
      <c r="E294" s="15"/>
      <c r="F294" s="16"/>
      <c r="G294" s="15"/>
      <c r="H294" s="15"/>
      <c r="I294" s="16"/>
    </row>
    <row r="295" spans="1:9" ht="13.9">
      <c r="A295" s="15"/>
      <c r="B295" s="15"/>
      <c r="C295" s="15"/>
      <c r="D295" s="15"/>
      <c r="E295" s="15"/>
      <c r="F295" s="16"/>
      <c r="G295" s="15"/>
      <c r="H295" s="15"/>
      <c r="I295" s="16"/>
    </row>
    <row r="296" spans="1:9" ht="13.9">
      <c r="A296" s="15"/>
      <c r="B296" s="15"/>
      <c r="C296" s="15"/>
      <c r="D296" s="15"/>
      <c r="E296" s="15"/>
      <c r="F296" s="16"/>
      <c r="G296" s="15"/>
      <c r="H296" s="15"/>
      <c r="I296" s="16"/>
    </row>
    <row r="297" spans="1:9" ht="13.9">
      <c r="A297" s="15"/>
      <c r="B297" s="15"/>
      <c r="C297" s="15"/>
      <c r="D297" s="15"/>
      <c r="E297" s="15"/>
      <c r="F297" s="16"/>
      <c r="G297" s="15"/>
      <c r="H297" s="15"/>
      <c r="I297" s="16"/>
    </row>
    <row r="298" spans="1:9" ht="13.9">
      <c r="A298" s="15"/>
      <c r="B298" s="15"/>
      <c r="C298" s="15"/>
      <c r="D298" s="15"/>
      <c r="E298" s="15"/>
      <c r="F298" s="16"/>
      <c r="G298" s="15"/>
      <c r="H298" s="15"/>
      <c r="I298" s="16"/>
    </row>
    <row r="299" spans="1:9" ht="13.9">
      <c r="A299" s="15"/>
      <c r="B299" s="15"/>
      <c r="C299" s="15"/>
      <c r="D299" s="15"/>
      <c r="E299" s="15"/>
      <c r="F299" s="16"/>
      <c r="G299" s="15"/>
      <c r="H299" s="15"/>
      <c r="I299" s="16"/>
    </row>
    <row r="300" spans="1:9" ht="13.9">
      <c r="A300" s="15"/>
      <c r="B300" s="15"/>
      <c r="C300" s="15"/>
      <c r="D300" s="15"/>
      <c r="E300" s="15"/>
      <c r="F300" s="16"/>
      <c r="G300" s="15"/>
      <c r="H300" s="15"/>
      <c r="I300" s="16"/>
    </row>
    <row r="301" spans="1:9" ht="13.9">
      <c r="A301" s="15"/>
      <c r="B301" s="15"/>
      <c r="C301" s="15"/>
      <c r="D301" s="15"/>
      <c r="E301" s="15"/>
      <c r="F301" s="16"/>
      <c r="G301" s="15"/>
      <c r="H301" s="15"/>
      <c r="I301" s="16"/>
    </row>
    <row r="302" spans="1:9" ht="13.9">
      <c r="A302" s="15"/>
      <c r="B302" s="15"/>
      <c r="C302" s="15"/>
      <c r="D302" s="15"/>
      <c r="E302" s="15"/>
      <c r="F302" s="16"/>
      <c r="G302" s="15"/>
      <c r="H302" s="15"/>
      <c r="I302" s="16"/>
    </row>
    <row r="303" spans="1:9" ht="13.9">
      <c r="A303" s="15"/>
      <c r="B303" s="15"/>
      <c r="C303" s="15"/>
      <c r="D303" s="15"/>
      <c r="E303" s="15"/>
      <c r="F303" s="16"/>
      <c r="G303" s="15"/>
      <c r="H303" s="15"/>
      <c r="I303" s="16"/>
    </row>
    <row r="304" spans="1:9" ht="13.9">
      <c r="A304" s="15"/>
      <c r="B304" s="15"/>
      <c r="C304" s="15"/>
      <c r="D304" s="15"/>
      <c r="E304" s="15"/>
      <c r="F304" s="16"/>
      <c r="G304" s="15"/>
      <c r="H304" s="15"/>
      <c r="I304" s="16"/>
    </row>
    <row r="305" spans="1:9" ht="13.9">
      <c r="A305" s="15"/>
      <c r="B305" s="15"/>
      <c r="C305" s="15"/>
      <c r="D305" s="15"/>
      <c r="E305" s="15"/>
      <c r="F305" s="16"/>
      <c r="G305" s="15"/>
      <c r="H305" s="15"/>
      <c r="I305" s="16"/>
    </row>
    <row r="306" spans="1:9" ht="13.9">
      <c r="A306" s="15"/>
      <c r="B306" s="15"/>
      <c r="C306" s="15"/>
      <c r="D306" s="15"/>
      <c r="E306" s="15"/>
      <c r="F306" s="16"/>
      <c r="G306" s="15"/>
      <c r="H306" s="15"/>
      <c r="I306" s="16"/>
    </row>
    <row r="307" spans="1:9" ht="13.9">
      <c r="A307" s="15"/>
      <c r="B307" s="15"/>
      <c r="C307" s="15"/>
      <c r="D307" s="15"/>
      <c r="E307" s="15"/>
      <c r="F307" s="16"/>
      <c r="G307" s="15"/>
      <c r="H307" s="15"/>
      <c r="I307" s="16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65 I4:I65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07"/>
  <sheetViews>
    <sheetView workbookViewId="0">
      <pane xSplit="2" ySplit="3" topLeftCell="C4" activePane="bottomRight" state="frozen"/>
      <selection pane="bottomRight" activeCell="G4" sqref="G4"/>
      <selection pane="bottomLeft" activeCell="A5" sqref="A5"/>
      <selection pane="topRight" activeCell="A5" sqref="A5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6" t="str" cm="1">
        <f t="array" ref="A1">portfolio</f>
        <v>ESI</v>
      </c>
      <c r="B1" s="46"/>
      <c r="C1" s="46"/>
      <c r="D1" s="47" t="s">
        <v>12</v>
      </c>
      <c r="E1" s="47"/>
      <c r="F1" s="47"/>
      <c r="G1" s="45" t="s">
        <v>13</v>
      </c>
      <c r="H1" s="45"/>
      <c r="I1" s="45"/>
    </row>
    <row r="2" spans="1:9" ht="19.5" customHeight="1">
      <c r="A2" s="48" t="s">
        <v>2</v>
      </c>
      <c r="B2" s="48"/>
      <c r="C2" s="5">
        <f>SUM(C4:C65)</f>
        <v>50479</v>
      </c>
      <c r="D2" s="5">
        <f>SUM(D4:D65)</f>
        <v>0</v>
      </c>
      <c r="E2" s="5">
        <f>C2-D2</f>
        <v>50479</v>
      </c>
      <c r="F2" s="6">
        <f>IFERROR(E2/D2, 0)</f>
        <v>0</v>
      </c>
      <c r="G2" s="5">
        <f>SUM(G4:G65)</f>
        <v>49526.021999999997</v>
      </c>
      <c r="H2" s="7">
        <f>C2-G2</f>
        <v>952.97800000000279</v>
      </c>
      <c r="I2" s="6">
        <f>IFERROR(H2/G2, 0)</f>
        <v>1.9241965365197369E-2</v>
      </c>
    </row>
    <row r="3" spans="1:9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>
      <c r="A4" s="36" t="str" cm="1">
        <f t="array" ref="A4">Sites[Site]</f>
        <v>CT: North Branford - Engineering Specialties</v>
      </c>
      <c r="B4" s="9" t="str" cm="1">
        <f t="array" ref="B4">Sites[State]</f>
        <v>CT</v>
      </c>
      <c r="C4" s="18">
        <f>SUM(Apr!C4, May!C4, Jun!C4)</f>
        <v>50479</v>
      </c>
      <c r="D4" s="11">
        <f>SUM(Apr!D4, May!D4, Jun!D4)</f>
        <v>0</v>
      </c>
      <c r="E4" s="11">
        <f>IF(AND(ISNUMBER(C4),ISNUMBER(D4)), C4-D4, "")</f>
        <v>50479</v>
      </c>
      <c r="F4" s="12" t="str">
        <f>IFERROR(E4/D4, "")</f>
        <v/>
      </c>
      <c r="G4" s="13">
        <f>SUM(Apr!G4,May!G4,Jun!G4)</f>
        <v>49526.021999999997</v>
      </c>
      <c r="H4" s="13">
        <f>SUM(Apr!H4, May!H4, Jun!H4)</f>
        <v>952.97800000000097</v>
      </c>
      <c r="I4" s="14">
        <f>IFERROR(H4/G4, "")</f>
        <v>1.924196536519733E-2</v>
      </c>
    </row>
    <row r="5" spans="1:9" ht="13.9">
      <c r="A5" s="15"/>
      <c r="B5" s="15"/>
      <c r="C5" s="15"/>
      <c r="D5" s="15"/>
      <c r="E5" s="15"/>
      <c r="F5" s="16"/>
      <c r="G5" s="15"/>
      <c r="H5" s="15"/>
      <c r="I5" s="16"/>
    </row>
    <row r="6" spans="1:9" ht="13.9">
      <c r="A6" s="15"/>
      <c r="B6" s="15"/>
      <c r="C6" s="15"/>
      <c r="D6" s="15"/>
      <c r="E6" s="15"/>
      <c r="F6" s="16"/>
      <c r="G6" s="15"/>
      <c r="H6" s="15"/>
      <c r="I6" s="16"/>
    </row>
    <row r="7" spans="1:9" ht="13.9">
      <c r="A7" s="15"/>
      <c r="B7" s="15"/>
      <c r="C7" s="15"/>
      <c r="D7" s="15"/>
      <c r="E7" s="15"/>
      <c r="F7" s="16"/>
      <c r="G7" s="15"/>
      <c r="H7" s="15"/>
      <c r="I7" s="16"/>
    </row>
    <row r="8" spans="1:9" ht="13.9">
      <c r="A8" s="15"/>
      <c r="B8" s="15"/>
      <c r="C8" s="15"/>
      <c r="D8" s="15"/>
      <c r="E8" s="15"/>
      <c r="F8" s="16"/>
      <c r="G8" s="15"/>
      <c r="H8" s="15"/>
      <c r="I8" s="16"/>
    </row>
    <row r="9" spans="1:9" ht="13.9">
      <c r="A9" s="15"/>
      <c r="B9" s="15"/>
      <c r="C9" s="15"/>
      <c r="D9" s="15"/>
      <c r="E9" s="15"/>
      <c r="F9" s="16"/>
      <c r="G9" s="15"/>
      <c r="H9" s="15"/>
      <c r="I9" s="16"/>
    </row>
    <row r="10" spans="1:9" ht="13.9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9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9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9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9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9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9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9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9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9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9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9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9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9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9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9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9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9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9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9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9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9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9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9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9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9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9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9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9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9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9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9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9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9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9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9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9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9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9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9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9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9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9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9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9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9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9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9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9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9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9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9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9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9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9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9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9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9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9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9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9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9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9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9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9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9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9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9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9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9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9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9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9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9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9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9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9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9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9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9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9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9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9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9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9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9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9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9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9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9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9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9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9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9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9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9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9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9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9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9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9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9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9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9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9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9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9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9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9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9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9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9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9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9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9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9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9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9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9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9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9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9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9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9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9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9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9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9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9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9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9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9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9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9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9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9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9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9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9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9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9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9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9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9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9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9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9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9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9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9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9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9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9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9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9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9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9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9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9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9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9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9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9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9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9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9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9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9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9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9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9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9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9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9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9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9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9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9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9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9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9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9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9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9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9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9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9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9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9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9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9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9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9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9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9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9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9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9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9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9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9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9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9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9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9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9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9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9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9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9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9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9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9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9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9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9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9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9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9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9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9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9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9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9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9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9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9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9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9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9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9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9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9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9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9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9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9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9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9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9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9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9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9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9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9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9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9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9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9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9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9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9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9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9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9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9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9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9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9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9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9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9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9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9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9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9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9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9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9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9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9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9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9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9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9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9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9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9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9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9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9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9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9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9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9">
      <c r="A294" s="15"/>
      <c r="B294" s="15"/>
      <c r="C294" s="15"/>
      <c r="D294" s="15"/>
      <c r="E294" s="15"/>
      <c r="F294" s="16"/>
      <c r="G294" s="15"/>
      <c r="H294" s="15"/>
      <c r="I294" s="16"/>
    </row>
    <row r="295" spans="1:9" ht="13.9">
      <c r="A295" s="15"/>
      <c r="B295" s="15"/>
      <c r="C295" s="15"/>
      <c r="D295" s="15"/>
      <c r="E295" s="15"/>
      <c r="F295" s="16"/>
      <c r="G295" s="15"/>
      <c r="H295" s="15"/>
      <c r="I295" s="16"/>
    </row>
    <row r="296" spans="1:9" ht="13.9">
      <c r="A296" s="15"/>
      <c r="B296" s="15"/>
      <c r="C296" s="15"/>
      <c r="D296" s="15"/>
      <c r="E296" s="15"/>
      <c r="F296" s="16"/>
      <c r="G296" s="15"/>
      <c r="H296" s="15"/>
      <c r="I296" s="16"/>
    </row>
    <row r="297" spans="1:9" ht="13.9">
      <c r="A297" s="15"/>
      <c r="B297" s="15"/>
      <c r="C297" s="15"/>
      <c r="D297" s="15"/>
      <c r="E297" s="15"/>
      <c r="F297" s="16"/>
      <c r="G297" s="15"/>
      <c r="H297" s="15"/>
      <c r="I297" s="16"/>
    </row>
    <row r="298" spans="1:9" ht="13.9">
      <c r="A298" s="15"/>
      <c r="B298" s="15"/>
      <c r="C298" s="15"/>
      <c r="D298" s="15"/>
      <c r="E298" s="15"/>
      <c r="F298" s="16"/>
      <c r="G298" s="15"/>
      <c r="H298" s="15"/>
      <c r="I298" s="16"/>
    </row>
    <row r="299" spans="1:9" ht="13.9">
      <c r="A299" s="15"/>
      <c r="B299" s="15"/>
      <c r="C299" s="15"/>
      <c r="D299" s="15"/>
      <c r="E299" s="15"/>
      <c r="F299" s="16"/>
      <c r="G299" s="15"/>
      <c r="H299" s="15"/>
      <c r="I299" s="16"/>
    </row>
    <row r="300" spans="1:9" ht="13.9">
      <c r="A300" s="15"/>
      <c r="B300" s="15"/>
      <c r="C300" s="15"/>
      <c r="D300" s="15"/>
      <c r="E300" s="15"/>
      <c r="F300" s="16"/>
      <c r="G300" s="15"/>
      <c r="H300" s="15"/>
      <c r="I300" s="16"/>
    </row>
    <row r="301" spans="1:9" ht="13.9">
      <c r="A301" s="15"/>
      <c r="B301" s="15"/>
      <c r="C301" s="15"/>
      <c r="D301" s="15"/>
      <c r="E301" s="15"/>
      <c r="F301" s="16"/>
      <c r="G301" s="15"/>
      <c r="H301" s="15"/>
      <c r="I301" s="16"/>
    </row>
    <row r="302" spans="1:9" ht="13.9">
      <c r="A302" s="15"/>
      <c r="B302" s="15"/>
      <c r="C302" s="15"/>
      <c r="D302" s="15"/>
      <c r="E302" s="15"/>
      <c r="F302" s="16"/>
      <c r="G302" s="15"/>
      <c r="H302" s="15"/>
      <c r="I302" s="16"/>
    </row>
    <row r="303" spans="1:9" ht="13.9">
      <c r="A303" s="15"/>
      <c r="B303" s="15"/>
      <c r="C303" s="15"/>
      <c r="D303" s="15"/>
      <c r="E303" s="15"/>
      <c r="F303" s="16"/>
      <c r="G303" s="15"/>
      <c r="H303" s="15"/>
      <c r="I303" s="16"/>
    </row>
    <row r="304" spans="1:9" ht="13.9">
      <c r="A304" s="15"/>
      <c r="B304" s="15"/>
      <c r="C304" s="15"/>
      <c r="D304" s="15"/>
      <c r="E304" s="15"/>
      <c r="F304" s="16"/>
      <c r="G304" s="15"/>
      <c r="H304" s="15"/>
      <c r="I304" s="16"/>
    </row>
    <row r="305" spans="1:9" ht="13.9">
      <c r="A305" s="15"/>
      <c r="B305" s="15"/>
      <c r="C305" s="15"/>
      <c r="D305" s="15"/>
      <c r="E305" s="15"/>
      <c r="F305" s="16"/>
      <c r="G305" s="15"/>
      <c r="H305" s="15"/>
      <c r="I305" s="16"/>
    </row>
    <row r="306" spans="1:9" ht="13.9">
      <c r="A306" s="15"/>
      <c r="B306" s="15"/>
      <c r="C306" s="15"/>
      <c r="D306" s="15"/>
      <c r="E306" s="15"/>
      <c r="F306" s="16"/>
      <c r="G306" s="15"/>
      <c r="H306" s="15"/>
      <c r="I306" s="16"/>
    </row>
    <row r="307" spans="1:9" ht="13.9">
      <c r="A307" s="15"/>
      <c r="B307" s="15"/>
      <c r="C307" s="15"/>
      <c r="D307" s="15"/>
      <c r="E307" s="15"/>
      <c r="F307" s="16"/>
      <c r="G307" s="15"/>
      <c r="H307" s="15"/>
      <c r="I307" s="16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65 I4:I65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07"/>
  <sheetViews>
    <sheetView workbookViewId="0">
      <pane xSplit="2" ySplit="3" topLeftCell="C4" activePane="bottomRight" state="frozen"/>
      <selection pane="bottomRight" activeCell="G4" sqref="G4"/>
      <selection pane="bottomLeft" activeCell="A5" sqref="A5"/>
      <selection pane="topRight" activeCell="A5" sqref="A5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6" t="str" cm="1">
        <f t="array" ref="A1">portfolio</f>
        <v>ESI</v>
      </c>
      <c r="B1" s="46"/>
      <c r="C1" s="46"/>
      <c r="D1" s="47" t="s">
        <v>14</v>
      </c>
      <c r="E1" s="47"/>
      <c r="F1" s="47"/>
      <c r="G1" s="45" t="s">
        <v>15</v>
      </c>
      <c r="H1" s="45"/>
      <c r="I1" s="45"/>
    </row>
    <row r="2" spans="1:9" ht="19.5" customHeight="1">
      <c r="A2" s="48" t="s">
        <v>2</v>
      </c>
      <c r="B2" s="48"/>
      <c r="C2" s="5">
        <f>SUM(C4:C65)</f>
        <v>47347</v>
      </c>
      <c r="D2" s="5">
        <f>SUM(D4:D65)</f>
        <v>0</v>
      </c>
      <c r="E2" s="5">
        <f>C2-D2</f>
        <v>47347</v>
      </c>
      <c r="F2" s="6">
        <f>IFERROR(E2/D2, 0)</f>
        <v>0</v>
      </c>
      <c r="G2" s="5">
        <f>SUM(G4:G65)</f>
        <v>45726.778999999995</v>
      </c>
      <c r="H2" s="7">
        <f>C2-G2</f>
        <v>1620.221000000005</v>
      </c>
      <c r="I2" s="6">
        <f>IFERROR(H2/G2, 0)</f>
        <v>3.5432650963672846E-2</v>
      </c>
    </row>
    <row r="3" spans="1:9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>
      <c r="A4" s="36" t="str" cm="1">
        <f t="array" ref="A4">Sites[Site]</f>
        <v>CT: North Branford - Engineering Specialties</v>
      </c>
      <c r="B4" s="9" t="str" cm="1">
        <f t="array" ref="B4">Sites[State]</f>
        <v>CT</v>
      </c>
      <c r="C4" s="18">
        <f>SUM(Jul!C4, Aug!C4, Sep!C4)</f>
        <v>47347</v>
      </c>
      <c r="D4" s="11">
        <f>SUM(Jul!D4, Aug!D4, Sep!D4)</f>
        <v>0</v>
      </c>
      <c r="E4" s="11">
        <f>IF(AND(ISNUMBER(C4),ISNUMBER(D4)), C4-D4, "")</f>
        <v>47347</v>
      </c>
      <c r="F4" s="12" t="str">
        <f>IFERROR(E4/D4, "")</f>
        <v/>
      </c>
      <c r="G4" s="13">
        <f>SUM(Jul!G4,Aug!G4,Sep!G4)</f>
        <v>45726.778999999995</v>
      </c>
      <c r="H4" s="13">
        <f>SUM(Jul!H4, Aug!H4, Sep!H4)</f>
        <v>1620.2209999999995</v>
      </c>
      <c r="I4" s="14">
        <f>IFERROR(H4/G4, "")</f>
        <v>3.5432650963672728E-2</v>
      </c>
    </row>
    <row r="5" spans="1:9" ht="13.9">
      <c r="A5" s="15"/>
      <c r="B5" s="15"/>
      <c r="C5" s="15"/>
      <c r="D5" s="15"/>
      <c r="E5" s="15"/>
      <c r="F5" s="16"/>
      <c r="G5" s="15"/>
      <c r="H5" s="15"/>
      <c r="I5" s="16"/>
    </row>
    <row r="6" spans="1:9" ht="13.9">
      <c r="A6" s="15"/>
      <c r="B6" s="15"/>
      <c r="C6" s="15"/>
      <c r="D6" s="15"/>
      <c r="E6" s="15"/>
      <c r="F6" s="16"/>
      <c r="G6" s="15"/>
      <c r="H6" s="15"/>
      <c r="I6" s="16"/>
    </row>
    <row r="7" spans="1:9" ht="13.9">
      <c r="A7" s="15"/>
      <c r="B7" s="15"/>
      <c r="C7" s="15"/>
      <c r="D7" s="15"/>
      <c r="E7" s="15"/>
      <c r="F7" s="16"/>
      <c r="G7" s="15"/>
      <c r="H7" s="15"/>
      <c r="I7" s="16"/>
    </row>
    <row r="8" spans="1:9" ht="13.9">
      <c r="A8" s="15"/>
      <c r="B8" s="15"/>
      <c r="C8" s="15"/>
      <c r="D8" s="15"/>
      <c r="E8" s="15"/>
      <c r="F8" s="16"/>
      <c r="G8" s="15"/>
      <c r="H8" s="15"/>
      <c r="I8" s="16"/>
    </row>
    <row r="9" spans="1:9" ht="13.9">
      <c r="A9" s="15"/>
      <c r="B9" s="15"/>
      <c r="C9" s="15"/>
      <c r="D9" s="15"/>
      <c r="E9" s="15"/>
      <c r="F9" s="16"/>
      <c r="G9" s="15"/>
      <c r="H9" s="15"/>
      <c r="I9" s="16"/>
    </row>
    <row r="10" spans="1:9" ht="13.9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9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9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9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9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9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9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9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9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9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9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9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9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9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9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9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9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9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9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9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9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9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9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9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9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9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9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9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9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9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9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9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9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9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9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9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9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9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9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9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9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9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9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9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9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9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9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9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9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9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9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9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9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9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9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9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9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9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9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9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9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9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9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9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9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9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9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9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9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9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9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9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9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9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9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9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9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9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9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9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9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9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9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9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9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9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9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9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9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9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9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9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9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9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9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9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9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9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9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9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9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9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9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9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9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9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9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9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9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9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9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9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9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9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9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9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9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9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9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9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9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9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9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9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9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9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9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9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9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9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9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9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9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9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9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9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9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9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9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9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9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9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9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9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9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9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9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9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9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9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9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9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9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9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9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9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9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9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9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9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9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9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9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9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9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9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9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9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9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9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9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9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9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9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9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9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9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9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9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9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9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9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9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9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9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9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9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9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9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9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9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9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9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9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9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9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9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9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9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9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9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9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9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9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9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9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9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9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9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9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9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9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9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9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9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9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9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9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9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9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9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9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9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9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9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9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9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9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9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9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9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9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9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9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9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9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9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9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9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9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9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9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9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9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9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9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9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9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9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9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9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9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9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9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9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9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9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9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9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9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9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9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9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9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9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9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9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9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9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9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9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9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9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9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9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9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9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9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9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9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9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9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9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9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9">
      <c r="A294" s="15"/>
      <c r="B294" s="15"/>
      <c r="C294" s="15"/>
      <c r="D294" s="15"/>
      <c r="E294" s="15"/>
      <c r="F294" s="16"/>
      <c r="G294" s="15"/>
      <c r="H294" s="15"/>
      <c r="I294" s="16"/>
    </row>
    <row r="295" spans="1:9" ht="13.9">
      <c r="A295" s="15"/>
      <c r="B295" s="15"/>
      <c r="C295" s="15"/>
      <c r="D295" s="15"/>
      <c r="E295" s="15"/>
      <c r="F295" s="16"/>
      <c r="G295" s="15"/>
      <c r="H295" s="15"/>
      <c r="I295" s="16"/>
    </row>
    <row r="296" spans="1:9" ht="13.9">
      <c r="A296" s="15"/>
      <c r="B296" s="15"/>
      <c r="C296" s="15"/>
      <c r="D296" s="15"/>
      <c r="E296" s="15"/>
      <c r="F296" s="16"/>
      <c r="G296" s="15"/>
      <c r="H296" s="15"/>
      <c r="I296" s="16"/>
    </row>
    <row r="297" spans="1:9" ht="13.9">
      <c r="A297" s="15"/>
      <c r="B297" s="15"/>
      <c r="C297" s="15"/>
      <c r="D297" s="15"/>
      <c r="E297" s="15"/>
      <c r="F297" s="16"/>
      <c r="G297" s="15"/>
      <c r="H297" s="15"/>
      <c r="I297" s="16"/>
    </row>
    <row r="298" spans="1:9" ht="13.9">
      <c r="A298" s="15"/>
      <c r="B298" s="15"/>
      <c r="C298" s="15"/>
      <c r="D298" s="15"/>
      <c r="E298" s="15"/>
      <c r="F298" s="16"/>
      <c r="G298" s="15"/>
      <c r="H298" s="15"/>
      <c r="I298" s="16"/>
    </row>
    <row r="299" spans="1:9" ht="13.9">
      <c r="A299" s="15"/>
      <c r="B299" s="15"/>
      <c r="C299" s="15"/>
      <c r="D299" s="15"/>
      <c r="E299" s="15"/>
      <c r="F299" s="16"/>
      <c r="G299" s="15"/>
      <c r="H299" s="15"/>
      <c r="I299" s="16"/>
    </row>
    <row r="300" spans="1:9" ht="13.9">
      <c r="A300" s="15"/>
      <c r="B300" s="15"/>
      <c r="C300" s="15"/>
      <c r="D300" s="15"/>
      <c r="E300" s="15"/>
      <c r="F300" s="16"/>
      <c r="G300" s="15"/>
      <c r="H300" s="15"/>
      <c r="I300" s="16"/>
    </row>
    <row r="301" spans="1:9" ht="13.9">
      <c r="A301" s="15"/>
      <c r="B301" s="15"/>
      <c r="C301" s="15"/>
      <c r="D301" s="15"/>
      <c r="E301" s="15"/>
      <c r="F301" s="16"/>
      <c r="G301" s="15"/>
      <c r="H301" s="15"/>
      <c r="I301" s="16"/>
    </row>
    <row r="302" spans="1:9" ht="13.9">
      <c r="A302" s="15"/>
      <c r="B302" s="15"/>
      <c r="C302" s="15"/>
      <c r="D302" s="15"/>
      <c r="E302" s="15"/>
      <c r="F302" s="16"/>
      <c r="G302" s="15"/>
      <c r="H302" s="15"/>
      <c r="I302" s="16"/>
    </row>
    <row r="303" spans="1:9" ht="13.9">
      <c r="A303" s="15"/>
      <c r="B303" s="15"/>
      <c r="C303" s="15"/>
      <c r="D303" s="15"/>
      <c r="E303" s="15"/>
      <c r="F303" s="16"/>
      <c r="G303" s="15"/>
      <c r="H303" s="15"/>
      <c r="I303" s="16"/>
    </row>
    <row r="304" spans="1:9" ht="13.9">
      <c r="A304" s="15"/>
      <c r="B304" s="15"/>
      <c r="C304" s="15"/>
      <c r="D304" s="15"/>
      <c r="E304" s="15"/>
      <c r="F304" s="16"/>
      <c r="G304" s="15"/>
      <c r="H304" s="15"/>
      <c r="I304" s="16"/>
    </row>
    <row r="305" spans="1:9" ht="13.9">
      <c r="A305" s="15"/>
      <c r="B305" s="15"/>
      <c r="C305" s="15"/>
      <c r="D305" s="15"/>
      <c r="E305" s="15"/>
      <c r="F305" s="16"/>
      <c r="G305" s="15"/>
      <c r="H305" s="15"/>
      <c r="I305" s="16"/>
    </row>
    <row r="306" spans="1:9" ht="13.9">
      <c r="A306" s="15"/>
      <c r="B306" s="15"/>
      <c r="C306" s="15"/>
      <c r="D306" s="15"/>
      <c r="E306" s="15"/>
      <c r="F306" s="16"/>
      <c r="G306" s="15"/>
      <c r="H306" s="15"/>
      <c r="I306" s="16"/>
    </row>
    <row r="307" spans="1:9" ht="13.9">
      <c r="A307" s="15"/>
      <c r="B307" s="15"/>
      <c r="C307" s="15"/>
      <c r="D307" s="15"/>
      <c r="E307" s="15"/>
      <c r="F307" s="16"/>
      <c r="G307" s="15"/>
      <c r="H307" s="15"/>
      <c r="I307" s="16"/>
    </row>
  </sheetData>
  <mergeCells count="4">
    <mergeCell ref="G1:I1"/>
    <mergeCell ref="A1:C1"/>
    <mergeCell ref="D1:F1"/>
    <mergeCell ref="A2:B2"/>
  </mergeCells>
  <conditionalFormatting sqref="F2 I2 F4:F65 I4:I65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07"/>
  <sheetViews>
    <sheetView workbookViewId="0">
      <pane xSplit="2" ySplit="3" topLeftCell="C4" activePane="bottomRight" state="frozen"/>
      <selection pane="bottomRight" activeCell="E7" sqref="E7"/>
      <selection pane="bottomLeft" activeCell="A5" sqref="A5"/>
      <selection pane="topRight" activeCell="A5" sqref="A5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6" t="str" cm="1">
        <f t="array" ref="A1">portfolio</f>
        <v>ESI</v>
      </c>
      <c r="B1" s="46"/>
      <c r="C1" s="46"/>
      <c r="D1" s="47" t="s">
        <v>16</v>
      </c>
      <c r="E1" s="47"/>
      <c r="F1" s="47"/>
      <c r="G1" s="45" t="s">
        <v>17</v>
      </c>
      <c r="H1" s="45"/>
      <c r="I1" s="45"/>
    </row>
    <row r="2" spans="1:9" ht="19.5" customHeight="1">
      <c r="A2" s="48" t="s">
        <v>2</v>
      </c>
      <c r="B2" s="48"/>
      <c r="C2" s="5">
        <f>SUM(C4:C65)</f>
        <v>33064</v>
      </c>
      <c r="D2" s="5">
        <f>SUM(D4:D65)</f>
        <v>0</v>
      </c>
      <c r="E2" s="5">
        <f>C2-D2</f>
        <v>33064</v>
      </c>
      <c r="F2" s="6">
        <f>IFERROR(E2/D2, 0)</f>
        <v>0</v>
      </c>
      <c r="G2" s="5">
        <f>SUM(G4:G65)</f>
        <v>24658.762999999999</v>
      </c>
      <c r="H2" s="7">
        <f>C2-G2</f>
        <v>8405.237000000001</v>
      </c>
      <c r="I2" s="6">
        <f>IFERROR(H2/G2, 0)</f>
        <v>0.3408620700073236</v>
      </c>
    </row>
    <row r="3" spans="1:9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>
      <c r="A4" s="36" t="str" cm="1">
        <f t="array" ref="A4">Sites[Site]</f>
        <v>CT: North Branford - Engineering Specialties</v>
      </c>
      <c r="B4" s="9" t="str" cm="1">
        <f t="array" ref="B4">Sites[State]</f>
        <v>CT</v>
      </c>
      <c r="C4" s="18">
        <f>SUM(Oct!C4, Nov!C4, Dec!C4)</f>
        <v>33064</v>
      </c>
      <c r="D4" s="11">
        <f>SUM(Oct!D4, Nov!D4, Dec!D4)</f>
        <v>0</v>
      </c>
      <c r="E4" s="11">
        <f>IF(AND(ISNUMBER(C4),ISNUMBER(D4)), C4-D4, "")</f>
        <v>33064</v>
      </c>
      <c r="F4" s="12" t="str">
        <f>IFERROR(E4/D4, "")</f>
        <v/>
      </c>
      <c r="G4" s="13">
        <f>SUM(Oct!G4,Nov!G4,Dec!G4)</f>
        <v>24658.762999999999</v>
      </c>
      <c r="H4" s="13">
        <f>SUM(Oct!H4, Nov!H4, Dec!H4)</f>
        <v>8405.237000000001</v>
      </c>
      <c r="I4" s="14">
        <f>IFERROR(H4/G4, "")</f>
        <v>0.3408620700073236</v>
      </c>
    </row>
    <row r="5" spans="1:9" ht="13.9">
      <c r="A5" s="15"/>
      <c r="B5" s="15"/>
      <c r="C5" s="15"/>
      <c r="D5" s="15"/>
      <c r="E5" s="15"/>
      <c r="F5" s="16"/>
      <c r="G5" s="15"/>
      <c r="H5" s="15"/>
      <c r="I5" s="16"/>
    </row>
    <row r="6" spans="1:9" ht="13.9">
      <c r="A6" s="15"/>
      <c r="B6" s="15"/>
      <c r="C6" s="15"/>
      <c r="D6" s="15"/>
      <c r="E6" s="15"/>
      <c r="F6" s="16"/>
      <c r="G6" s="15"/>
      <c r="H6" s="15"/>
      <c r="I6" s="16"/>
    </row>
    <row r="7" spans="1:9" ht="13.9">
      <c r="A7" s="15"/>
      <c r="B7" s="15"/>
      <c r="C7" s="15"/>
      <c r="D7" s="15"/>
      <c r="E7" s="15"/>
      <c r="F7" s="16"/>
      <c r="G7" s="15"/>
      <c r="H7" s="15"/>
      <c r="I7" s="16"/>
    </row>
    <row r="8" spans="1:9" ht="13.9">
      <c r="A8" s="15"/>
      <c r="B8" s="15"/>
      <c r="C8" s="15"/>
      <c r="D8" s="15"/>
      <c r="E8" s="15"/>
      <c r="F8" s="16"/>
      <c r="G8" s="15"/>
      <c r="H8" s="15"/>
      <c r="I8" s="16"/>
    </row>
    <row r="9" spans="1:9" ht="13.9">
      <c r="A9" s="15"/>
      <c r="B9" s="15"/>
      <c r="C9" s="15"/>
      <c r="D9" s="15"/>
      <c r="E9" s="15"/>
      <c r="F9" s="16"/>
      <c r="G9" s="15"/>
      <c r="H9" s="15"/>
      <c r="I9" s="16"/>
    </row>
    <row r="10" spans="1:9" ht="13.9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9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9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9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9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9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9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9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9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9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9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9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9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9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9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9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9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9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9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9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9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9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9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9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9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9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9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9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9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9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9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9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9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9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9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9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9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9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9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9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9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9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9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9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9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9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9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9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9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9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9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9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9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9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9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9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9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9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9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9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9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9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9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9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9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9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9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9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9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9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9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9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9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9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9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9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9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9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9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9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9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9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9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9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9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9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9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9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9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9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9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9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9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9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9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9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9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9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9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9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9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9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9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9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9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9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9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9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9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9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9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9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9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9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9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9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9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9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9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9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9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9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9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9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9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9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9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9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9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9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9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9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9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9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9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9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9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9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9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9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9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9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9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9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9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9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9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9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9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9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9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9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9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9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9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9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9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9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9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9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9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9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9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9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9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9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9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9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9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9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9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9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9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9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9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9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9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9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9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9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9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9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9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9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9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9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9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9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9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9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9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9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9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9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9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9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9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9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9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9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9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9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9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9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9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9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9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9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9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9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9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9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9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9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9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9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9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9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9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9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9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9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9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9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9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9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9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9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9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9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9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9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9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9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9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9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9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9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9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9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9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9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9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9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9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9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9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9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9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9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9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9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9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9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9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9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9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9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9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9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9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9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9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9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9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9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9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9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9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9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9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9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9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9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9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9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9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9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9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9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9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9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9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9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9">
      <c r="A294" s="15"/>
      <c r="B294" s="15"/>
      <c r="C294" s="15"/>
      <c r="D294" s="15"/>
      <c r="E294" s="15"/>
      <c r="F294" s="16"/>
      <c r="G294" s="15"/>
      <c r="H294" s="15"/>
      <c r="I294" s="16"/>
    </row>
    <row r="295" spans="1:9" ht="13.9">
      <c r="A295" s="15"/>
      <c r="B295" s="15"/>
      <c r="C295" s="15"/>
      <c r="D295" s="15"/>
      <c r="E295" s="15"/>
      <c r="F295" s="16"/>
      <c r="G295" s="15"/>
      <c r="H295" s="15"/>
      <c r="I295" s="16"/>
    </row>
    <row r="296" spans="1:9" ht="13.9">
      <c r="A296" s="15"/>
      <c r="B296" s="15"/>
      <c r="C296" s="15"/>
      <c r="D296" s="15"/>
      <c r="E296" s="15"/>
      <c r="F296" s="16"/>
      <c r="G296" s="15"/>
      <c r="H296" s="15"/>
      <c r="I296" s="16"/>
    </row>
    <row r="297" spans="1:9" ht="13.9">
      <c r="A297" s="15"/>
      <c r="B297" s="15"/>
      <c r="C297" s="15"/>
      <c r="D297" s="15"/>
      <c r="E297" s="15"/>
      <c r="F297" s="16"/>
      <c r="G297" s="15"/>
      <c r="H297" s="15"/>
      <c r="I297" s="16"/>
    </row>
    <row r="298" spans="1:9" ht="13.9">
      <c r="A298" s="15"/>
      <c r="B298" s="15"/>
      <c r="C298" s="15"/>
      <c r="D298" s="15"/>
      <c r="E298" s="15"/>
      <c r="F298" s="16"/>
      <c r="G298" s="15"/>
      <c r="H298" s="15"/>
      <c r="I298" s="16"/>
    </row>
    <row r="299" spans="1:9" ht="13.9">
      <c r="A299" s="15"/>
      <c r="B299" s="15"/>
      <c r="C299" s="15"/>
      <c r="D299" s="15"/>
      <c r="E299" s="15"/>
      <c r="F299" s="16"/>
      <c r="G299" s="15"/>
      <c r="H299" s="15"/>
      <c r="I299" s="16"/>
    </row>
    <row r="300" spans="1:9" ht="13.9">
      <c r="A300" s="15"/>
      <c r="B300" s="15"/>
      <c r="C300" s="15"/>
      <c r="D300" s="15"/>
      <c r="E300" s="15"/>
      <c r="F300" s="16"/>
      <c r="G300" s="15"/>
      <c r="H300" s="15"/>
      <c r="I300" s="16"/>
    </row>
    <row r="301" spans="1:9" ht="13.9">
      <c r="A301" s="15"/>
      <c r="B301" s="15"/>
      <c r="C301" s="15"/>
      <c r="D301" s="15"/>
      <c r="E301" s="15"/>
      <c r="F301" s="16"/>
      <c r="G301" s="15"/>
      <c r="H301" s="15"/>
      <c r="I301" s="16"/>
    </row>
    <row r="302" spans="1:9" ht="13.9">
      <c r="A302" s="15"/>
      <c r="B302" s="15"/>
      <c r="C302" s="15"/>
      <c r="D302" s="15"/>
      <c r="E302" s="15"/>
      <c r="F302" s="16"/>
      <c r="G302" s="15"/>
      <c r="H302" s="15"/>
      <c r="I302" s="16"/>
    </row>
    <row r="303" spans="1:9" ht="13.9">
      <c r="A303" s="15"/>
      <c r="B303" s="15"/>
      <c r="C303" s="15"/>
      <c r="D303" s="15"/>
      <c r="E303" s="15"/>
      <c r="F303" s="16"/>
      <c r="G303" s="15"/>
      <c r="H303" s="15"/>
      <c r="I303" s="16"/>
    </row>
    <row r="304" spans="1:9" ht="13.9">
      <c r="A304" s="15"/>
      <c r="B304" s="15"/>
      <c r="C304" s="15"/>
      <c r="D304" s="15"/>
      <c r="E304" s="15"/>
      <c r="F304" s="16"/>
      <c r="G304" s="15"/>
      <c r="H304" s="15"/>
      <c r="I304" s="16"/>
    </row>
    <row r="305" spans="1:9" ht="13.9">
      <c r="A305" s="15"/>
      <c r="B305" s="15"/>
      <c r="C305" s="15"/>
      <c r="D305" s="15"/>
      <c r="E305" s="15"/>
      <c r="F305" s="16"/>
      <c r="G305" s="15"/>
      <c r="H305" s="15"/>
      <c r="I305" s="16"/>
    </row>
    <row r="306" spans="1:9" ht="13.9">
      <c r="A306" s="15"/>
      <c r="B306" s="15"/>
      <c r="C306" s="15"/>
      <c r="D306" s="15"/>
      <c r="E306" s="15"/>
      <c r="F306" s="16"/>
      <c r="G306" s="15"/>
      <c r="H306" s="15"/>
      <c r="I306" s="16"/>
    </row>
    <row r="307" spans="1:9" ht="13.9">
      <c r="A307" s="15"/>
      <c r="B307" s="15"/>
      <c r="C307" s="15"/>
      <c r="D307" s="15"/>
      <c r="E307" s="15"/>
      <c r="F307" s="16"/>
      <c r="G307" s="15"/>
      <c r="H307" s="15"/>
      <c r="I307" s="16"/>
    </row>
  </sheetData>
  <mergeCells count="4">
    <mergeCell ref="G1:I1"/>
    <mergeCell ref="A1:C1"/>
    <mergeCell ref="D1:F1"/>
    <mergeCell ref="A2:B2"/>
  </mergeCells>
  <conditionalFormatting sqref="F2 I2 F4:F65 I4:I65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06"/>
  <sheetViews>
    <sheetView workbookViewId="0">
      <pane xSplit="2" ySplit="3" topLeftCell="C4" activePane="bottomRight" state="frozen"/>
      <selection pane="bottomRight" activeCell="I7" sqref="I7"/>
      <selection pane="bottomLeft" activeCell="A5" sqref="A5"/>
      <selection pane="topRight" activeCell="A5" sqref="A5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ESI</v>
      </c>
      <c r="B1" s="46"/>
      <c r="C1" s="46"/>
      <c r="D1" s="47" t="s">
        <v>18</v>
      </c>
      <c r="E1" s="47"/>
      <c r="F1" s="47"/>
      <c r="G1" s="45" t="s">
        <v>19</v>
      </c>
      <c r="H1" s="45"/>
      <c r="I1" s="45"/>
      <c r="J1" s="4"/>
      <c r="K1" s="4"/>
    </row>
    <row r="2" spans="1:11" ht="19.5" customHeight="1">
      <c r="A2" s="48" t="s">
        <v>2</v>
      </c>
      <c r="B2" s="48"/>
      <c r="C2" s="5">
        <f>SUM(C4:C64)</f>
        <v>5671</v>
      </c>
      <c r="D2" s="5">
        <f>SUM(D4:D64)</f>
        <v>0</v>
      </c>
      <c r="E2" s="5">
        <f>C2-D2</f>
        <v>5671</v>
      </c>
      <c r="F2" s="6">
        <f>IFERROR(E2/D2, 0)</f>
        <v>0</v>
      </c>
      <c r="G2" s="5">
        <f>SUM(G4:G64)</f>
        <v>7695</v>
      </c>
      <c r="H2" s="7">
        <f>C2-G2</f>
        <v>-2024</v>
      </c>
      <c r="I2" s="6">
        <f>IFERROR(H2/G2, 0)</f>
        <v>-0.26302794022092268</v>
      </c>
      <c r="J2" s="20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21" t="s">
        <v>3</v>
      </c>
      <c r="B3" s="8" t="s">
        <v>4</v>
      </c>
      <c r="C3" s="39" t="s">
        <v>5</v>
      </c>
      <c r="D3" s="40" t="s">
        <v>6</v>
      </c>
      <c r="E3" s="26" t="s">
        <v>7</v>
      </c>
      <c r="F3" s="27" t="s">
        <v>8</v>
      </c>
      <c r="G3" s="43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38" t="str" cm="1">
        <f t="array" ref="A4">Sites[Site]</f>
        <v>CT: North Branford - Engineering Specialties</v>
      </c>
      <c r="B4" s="22" t="str" cm="1">
        <f t="array" ref="B4">Sites[State]</f>
        <v>CT</v>
      </c>
      <c r="C4" s="41">
        <v>5671</v>
      </c>
      <c r="D4" s="42">
        <v>0</v>
      </c>
      <c r="E4" s="11">
        <f>IF(AND(ISNUMBER(C4),ISNUMBER(D4)), C4-D4, "")</f>
        <v>5671</v>
      </c>
      <c r="F4" s="33" t="str">
        <f>IFERROR(E4/D4, "")</f>
        <v/>
      </c>
      <c r="G4" s="44">
        <v>7695</v>
      </c>
      <c r="H4" s="13">
        <f>IF(AND(ISNUMBER(C4),ISNUMBER(G4)), C4-G4, "")</f>
        <v>-2024</v>
      </c>
      <c r="I4" s="14">
        <f>IFERROR(H4/G4, "")</f>
        <v>-0.26302794022092268</v>
      </c>
      <c r="J4" s="31"/>
      <c r="K4" s="31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</sheetData>
  <mergeCells count="4">
    <mergeCell ref="D1:F1"/>
    <mergeCell ref="A1:C1"/>
    <mergeCell ref="G1:I1"/>
    <mergeCell ref="A2:B2"/>
  </mergeCells>
  <conditionalFormatting sqref="F2 I2 I4:I64 F5:F64">
    <cfRule type="cellIs" dxfId="26" priority="4" stopIfTrue="1" operator="lessThanOrEqual">
      <formula>-0.1</formula>
    </cfRule>
    <cfRule type="expression" dxfId="25" priority="5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07"/>
  <sheetViews>
    <sheetView workbookViewId="0">
      <pane xSplit="2" ySplit="3" topLeftCell="F4" activePane="bottomRight" state="frozen"/>
      <selection pane="bottomRight" activeCell="F12" sqref="F12"/>
      <selection pane="bottomLeft" activeCell="A5" sqref="A5"/>
      <selection pane="topRight" activeCell="A5" sqref="A5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ESI</v>
      </c>
      <c r="B1" s="46"/>
      <c r="C1" s="46"/>
      <c r="D1" s="47" t="s">
        <v>22</v>
      </c>
      <c r="E1" s="47"/>
      <c r="F1" s="47"/>
      <c r="G1" s="45" t="s">
        <v>23</v>
      </c>
      <c r="H1" s="45"/>
      <c r="I1" s="45"/>
      <c r="J1" s="4"/>
      <c r="K1" s="4"/>
    </row>
    <row r="2" spans="1:11" ht="19.5" customHeight="1">
      <c r="A2" s="48" t="s">
        <v>2</v>
      </c>
      <c r="B2" s="48"/>
      <c r="C2" s="5">
        <f>SUM(C4:C65)</f>
        <v>10281</v>
      </c>
      <c r="D2" s="5">
        <f>SUM(D4:D65)</f>
        <v>0</v>
      </c>
      <c r="E2" s="5">
        <f>C2-D2</f>
        <v>10281</v>
      </c>
      <c r="F2" s="6">
        <f>IFERROR(E2/D2, 0)</f>
        <v>0</v>
      </c>
      <c r="G2" s="5">
        <f>SUM(G4:G65)</f>
        <v>9347.6569999999992</v>
      </c>
      <c r="H2" s="7">
        <f>C2-G2</f>
        <v>933.34300000000076</v>
      </c>
      <c r="I2" s="6">
        <f>IFERROR(H2/G2, 0)</f>
        <v>9.9847801433022285E-2</v>
      </c>
      <c r="J2" s="20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38" t="str" cm="1">
        <f t="array" ref="A4">Sites[Site]</f>
        <v>CT: North Branford - Engineering Specialties</v>
      </c>
      <c r="B4" s="22" t="str" cm="1">
        <f t="array" ref="B4">Sites[State]</f>
        <v>CT</v>
      </c>
      <c r="C4" s="18">
        <v>10281</v>
      </c>
      <c r="D4" s="11">
        <v>0</v>
      </c>
      <c r="E4" s="11">
        <f>IF(AND(ISNUMBER(C4),ISNUMBER(D4)), C4-D4, "")</f>
        <v>10281</v>
      </c>
      <c r="F4" s="12" t="str">
        <f>IFERROR(E4/D4, "")</f>
        <v/>
      </c>
      <c r="G4" s="13">
        <v>9347.6569999999992</v>
      </c>
      <c r="H4" s="13">
        <f>IF(AND(ISNUMBER(C4),ISNUMBER(G4)), C4-G4, "")</f>
        <v>933.34300000000076</v>
      </c>
      <c r="I4" s="14">
        <f>IFERROR(H4/G4, "")</f>
        <v>9.9847801433022285E-2</v>
      </c>
      <c r="J4" s="31"/>
      <c r="K4" s="31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C307" s="15"/>
      <c r="D307" s="15"/>
      <c r="E307" s="15"/>
      <c r="F307" s="16"/>
      <c r="G307" s="15"/>
      <c r="H307" s="15"/>
      <c r="I307" s="16"/>
      <c r="J307" s="15"/>
      <c r="K307" s="15"/>
    </row>
  </sheetData>
  <mergeCells count="4">
    <mergeCell ref="G1:I1"/>
    <mergeCell ref="A1:C1"/>
    <mergeCell ref="D1:F1"/>
    <mergeCell ref="A2:B2"/>
  </mergeCells>
  <conditionalFormatting sqref="F2 I2 F4:F65 I4:I65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07"/>
  <sheetViews>
    <sheetView workbookViewId="0">
      <pane xSplit="2" ySplit="3" topLeftCell="C4" activePane="bottomRight" state="frozen"/>
      <selection pane="bottomRight" activeCell="G4" sqref="G4"/>
      <selection pane="bottomLeft" activeCell="A5" sqref="A5"/>
      <selection pane="topRight" activeCell="A5" sqref="A5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ESI</v>
      </c>
      <c r="B1" s="46"/>
      <c r="C1" s="46"/>
      <c r="D1" s="47" t="s">
        <v>24</v>
      </c>
      <c r="E1" s="47"/>
      <c r="F1" s="47"/>
      <c r="G1" s="45" t="s">
        <v>25</v>
      </c>
      <c r="H1" s="45"/>
      <c r="I1" s="45"/>
      <c r="J1" s="4"/>
      <c r="K1" s="4"/>
    </row>
    <row r="2" spans="1:11" ht="19.5" customHeight="1">
      <c r="A2" s="48" t="s">
        <v>2</v>
      </c>
      <c r="B2" s="48"/>
      <c r="C2" s="5">
        <f>SUM(C4:C65)</f>
        <v>14717</v>
      </c>
      <c r="D2" s="5">
        <f>SUM(D4:D65)</f>
        <v>0</v>
      </c>
      <c r="E2" s="5">
        <f>C2-D2</f>
        <v>14717</v>
      </c>
      <c r="F2" s="6">
        <f>IFERROR(E2/D2, 0)</f>
        <v>0</v>
      </c>
      <c r="G2" s="5">
        <f>SUM(G4:G65)</f>
        <v>12618.829</v>
      </c>
      <c r="H2" s="7">
        <f>C2-G2</f>
        <v>2098.1710000000003</v>
      </c>
      <c r="I2" s="6">
        <f>IFERROR(H2/G2, 0)</f>
        <v>0.16627303531888737</v>
      </c>
      <c r="J2" s="20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CT: North Branford - Engineering Specialties</v>
      </c>
      <c r="B4" s="22" t="str" cm="1">
        <f t="array" ref="B4">Sites[State]</f>
        <v>CT</v>
      </c>
      <c r="C4" s="18">
        <v>14717</v>
      </c>
      <c r="D4" s="11">
        <v>0</v>
      </c>
      <c r="E4" s="11">
        <f>IF(AND(ISNUMBER(C4),ISNUMBER(D4)), C4-D4, "")</f>
        <v>14717</v>
      </c>
      <c r="F4" s="12" t="str">
        <f>IFERROR(E4/D4, "")</f>
        <v/>
      </c>
      <c r="G4" s="13">
        <v>12618.829</v>
      </c>
      <c r="H4" s="13">
        <f>IF(AND(ISNUMBER(C4),ISNUMBER(G4)), C4-G4, "")</f>
        <v>2098.1710000000003</v>
      </c>
      <c r="I4" s="14">
        <f>IFERROR(H4/G4, "")</f>
        <v>0.16627303531888737</v>
      </c>
      <c r="J4" s="31"/>
      <c r="K4" s="31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C307" s="15"/>
      <c r="D307" s="15"/>
      <c r="E307" s="15"/>
      <c r="F307" s="16"/>
      <c r="G307" s="15"/>
      <c r="H307" s="15"/>
      <c r="I307" s="16"/>
      <c r="J307" s="15"/>
      <c r="K307" s="15"/>
    </row>
  </sheetData>
  <mergeCells count="4">
    <mergeCell ref="G1:I1"/>
    <mergeCell ref="A1:C1"/>
    <mergeCell ref="D1:F1"/>
    <mergeCell ref="A2:B2"/>
  </mergeCells>
  <conditionalFormatting sqref="F2 I2 F4:F65 I4:I65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07"/>
  <sheetViews>
    <sheetView workbookViewId="0">
      <pane xSplit="2" ySplit="3" topLeftCell="C4" activePane="bottomRight" state="frozen"/>
      <selection pane="bottomRight" activeCell="G5" sqref="G5"/>
      <selection pane="bottomLeft" activeCell="A5" sqref="A5"/>
      <selection pane="topRight" activeCell="A5" sqref="A5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ESI</v>
      </c>
      <c r="B1" s="46"/>
      <c r="C1" s="46"/>
      <c r="D1" s="47" t="s">
        <v>26</v>
      </c>
      <c r="E1" s="47"/>
      <c r="F1" s="47"/>
      <c r="G1" s="45" t="s">
        <v>27</v>
      </c>
      <c r="H1" s="45"/>
      <c r="I1" s="45"/>
      <c r="J1" s="4"/>
      <c r="K1" s="4"/>
    </row>
    <row r="2" spans="1:11" ht="19.5" customHeight="1">
      <c r="A2" s="48" t="s">
        <v>2</v>
      </c>
      <c r="B2" s="48"/>
      <c r="C2" s="5">
        <f>SUM(C4:C65)</f>
        <v>14386</v>
      </c>
      <c r="D2" s="5">
        <f>SUM(D4:D65)</f>
        <v>0</v>
      </c>
      <c r="E2" s="5">
        <f>C2-D2</f>
        <v>14386</v>
      </c>
      <c r="F2" s="6">
        <f>IFERROR(E2/D2, 0)</f>
        <v>0</v>
      </c>
      <c r="G2" s="5">
        <f>SUM(G4:G65)</f>
        <v>15234.4</v>
      </c>
      <c r="H2" s="7">
        <f>C2-G2</f>
        <v>-848.39999999999964</v>
      </c>
      <c r="I2" s="6">
        <f>IFERROR(H2/G2, 0)</f>
        <v>-5.5689754765530619E-2</v>
      </c>
      <c r="J2" s="20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CT: North Branford - Engineering Specialties</v>
      </c>
      <c r="B4" s="22" t="str" cm="1">
        <f t="array" ref="B4">Sites[State]</f>
        <v>CT</v>
      </c>
      <c r="C4" s="18">
        <v>14386</v>
      </c>
      <c r="D4" s="11">
        <v>0</v>
      </c>
      <c r="E4" s="11">
        <f>IF(AND(ISNUMBER(C4),ISNUMBER(D4)), C4-D4, "")</f>
        <v>14386</v>
      </c>
      <c r="F4" s="12" t="str">
        <f>IFERROR(E4/D4, "")</f>
        <v/>
      </c>
      <c r="G4" s="13">
        <v>15234.4</v>
      </c>
      <c r="H4" s="13">
        <f>IF(AND(ISNUMBER(C4),ISNUMBER(G4)), C4-G4, "")</f>
        <v>-848.39999999999964</v>
      </c>
      <c r="I4" s="14">
        <f>IFERROR(H4/G4, "")</f>
        <v>-5.5689754765530619E-2</v>
      </c>
      <c r="J4" s="31"/>
      <c r="K4" s="31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C307" s="15"/>
      <c r="D307" s="15"/>
      <c r="E307" s="15"/>
      <c r="F307" s="16"/>
      <c r="G307" s="15"/>
      <c r="H307" s="15"/>
      <c r="I307" s="16"/>
      <c r="J307" s="15"/>
      <c r="K307" s="15"/>
    </row>
  </sheetData>
  <mergeCells count="4">
    <mergeCell ref="G1:I1"/>
    <mergeCell ref="A1:C1"/>
    <mergeCell ref="D1:F1"/>
    <mergeCell ref="A2:B2"/>
  </mergeCells>
  <conditionalFormatting sqref="F2 I2 F4:F65 I4:I65">
    <cfRule type="cellIs" dxfId="20" priority="3" stopIfTrue="1" operator="lessThanOrEqual">
      <formula>-0.1</formula>
    </cfRule>
    <cfRule type="expression" dxfId="1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07"/>
  <sheetViews>
    <sheetView workbookViewId="0">
      <pane xSplit="2" ySplit="3" topLeftCell="C4" activePane="bottomRight" state="frozen"/>
      <selection pane="bottomRight" activeCell="I4" sqref="I4"/>
      <selection pane="bottomLeft" activeCell="A5" sqref="A5"/>
      <selection pane="topRight" activeCell="A5" sqref="A5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ESI</v>
      </c>
      <c r="B1" s="46"/>
      <c r="C1" s="46"/>
      <c r="D1" s="47" t="s">
        <v>28</v>
      </c>
      <c r="E1" s="47"/>
      <c r="F1" s="47"/>
      <c r="G1" s="45" t="s">
        <v>29</v>
      </c>
      <c r="H1" s="45"/>
      <c r="I1" s="45"/>
      <c r="J1" s="4"/>
      <c r="K1" s="4"/>
    </row>
    <row r="2" spans="1:11" ht="19.5" customHeight="1">
      <c r="A2" s="48" t="s">
        <v>2</v>
      </c>
      <c r="B2" s="48"/>
      <c r="C2" s="5">
        <f>SUM(C4:C65)</f>
        <v>17308</v>
      </c>
      <c r="D2" s="5">
        <f>SUM(D4:D65)</f>
        <v>0</v>
      </c>
      <c r="E2" s="5">
        <f>C2-D2</f>
        <v>17308</v>
      </c>
      <c r="F2" s="6">
        <f>IFERROR(E2/D2, 0)</f>
        <v>0</v>
      </c>
      <c r="G2" s="5">
        <f>SUM(G4:G65)</f>
        <v>17175.689999999999</v>
      </c>
      <c r="H2" s="7">
        <f>C2-G2</f>
        <v>132.31000000000131</v>
      </c>
      <c r="I2" s="6">
        <f>IFERROR(H2/G2, 0)</f>
        <v>7.7033295314483038E-3</v>
      </c>
      <c r="J2" s="20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CT: North Branford - Engineering Specialties</v>
      </c>
      <c r="B4" s="22" t="str" cm="1">
        <f t="array" ref="B4">Sites[State]</f>
        <v>CT</v>
      </c>
      <c r="C4" s="18">
        <v>17308</v>
      </c>
      <c r="D4" s="11">
        <v>0</v>
      </c>
      <c r="E4" s="11">
        <f>IF(AND(ISNUMBER(C4),ISNUMBER(D4)), C4-D4, "")</f>
        <v>17308</v>
      </c>
      <c r="F4" s="12" t="str">
        <f>IFERROR(E4/D4, "")</f>
        <v/>
      </c>
      <c r="G4" s="13">
        <v>17175.689999999999</v>
      </c>
      <c r="H4" s="13">
        <f>IF(AND(ISNUMBER(C4),ISNUMBER(G4)), C4-G4, "")</f>
        <v>132.31000000000131</v>
      </c>
      <c r="I4" s="14">
        <f>IFERROR(H4/G4, "")</f>
        <v>7.7033295314483038E-3</v>
      </c>
      <c r="J4" s="31"/>
      <c r="K4" s="31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C307" s="15"/>
      <c r="D307" s="15"/>
      <c r="E307" s="15"/>
      <c r="F307" s="16"/>
      <c r="G307" s="15"/>
      <c r="H307" s="15"/>
      <c r="I307" s="16"/>
      <c r="J307" s="15"/>
      <c r="K307" s="15"/>
    </row>
  </sheetData>
  <mergeCells count="4">
    <mergeCell ref="G1:I1"/>
    <mergeCell ref="A1:C1"/>
    <mergeCell ref="D1:F1"/>
    <mergeCell ref="A2:B2"/>
  </mergeCells>
  <conditionalFormatting sqref="F2 I2 F4:F65 I4:I65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07"/>
  <sheetViews>
    <sheetView workbookViewId="0">
      <pane xSplit="2" ySplit="3" topLeftCell="C4" activePane="bottomRight" state="frozen"/>
      <selection pane="bottomRight" activeCell="H4" sqref="H4"/>
      <selection pane="bottomLeft" activeCell="A5" sqref="A5"/>
      <selection pane="topRight" activeCell="A5" sqref="A5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ESI</v>
      </c>
      <c r="B1" s="46"/>
      <c r="C1" s="46"/>
      <c r="D1" s="47" t="s">
        <v>30</v>
      </c>
      <c r="E1" s="47"/>
      <c r="F1" s="47"/>
      <c r="G1" s="45" t="s">
        <v>31</v>
      </c>
      <c r="H1" s="45"/>
      <c r="I1" s="45"/>
      <c r="J1" s="4"/>
      <c r="K1" s="4"/>
    </row>
    <row r="2" spans="1:11" ht="19.5" customHeight="1">
      <c r="A2" s="48" t="s">
        <v>2</v>
      </c>
      <c r="B2" s="48"/>
      <c r="C2" s="5">
        <f>SUM(C4:C65)</f>
        <v>18785</v>
      </c>
      <c r="D2" s="5">
        <f>SUM(D4:D65)</f>
        <v>0</v>
      </c>
      <c r="E2" s="5">
        <f>C2-D2</f>
        <v>18785</v>
      </c>
      <c r="F2" s="6">
        <f>IFERROR(E2/D2, 0)</f>
        <v>0</v>
      </c>
      <c r="G2" s="5">
        <f>SUM(G4:G65)</f>
        <v>17115.932000000001</v>
      </c>
      <c r="H2" s="7">
        <f>C2-G2</f>
        <v>1669.0679999999993</v>
      </c>
      <c r="I2" s="6">
        <f>IFERROR(H2/G2, 0)</f>
        <v>9.751546103361472E-2</v>
      </c>
      <c r="J2" s="20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CT: North Branford - Engineering Specialties</v>
      </c>
      <c r="B4" s="22" t="str" cm="1">
        <f t="array" ref="B4">Sites[State]</f>
        <v>CT</v>
      </c>
      <c r="C4" s="18">
        <v>18785</v>
      </c>
      <c r="D4" s="11">
        <v>0</v>
      </c>
      <c r="E4" s="11">
        <f>IF(AND(ISNUMBER(C4),ISNUMBER(D4)), C4-D4, "")</f>
        <v>18785</v>
      </c>
      <c r="F4" s="12" t="str">
        <f>IFERROR(E4/D4, "")</f>
        <v/>
      </c>
      <c r="G4" s="13">
        <v>17115.932000000001</v>
      </c>
      <c r="H4" s="13">
        <f>IF(AND(ISNUMBER(C4),ISNUMBER(G4)), C4-G4, "")</f>
        <v>1669.0679999999993</v>
      </c>
      <c r="I4" s="14">
        <f>IFERROR(H4/G4, "")</f>
        <v>9.751546103361472E-2</v>
      </c>
      <c r="J4" s="31"/>
      <c r="K4" s="31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C307" s="15"/>
      <c r="D307" s="15"/>
      <c r="E307" s="15"/>
      <c r="F307" s="16"/>
      <c r="G307" s="15"/>
      <c r="H307" s="15"/>
      <c r="I307" s="16"/>
      <c r="J307" s="15"/>
      <c r="K307" s="15"/>
    </row>
  </sheetData>
  <mergeCells count="4">
    <mergeCell ref="G1:I1"/>
    <mergeCell ref="A1:C1"/>
    <mergeCell ref="D1:F1"/>
    <mergeCell ref="A2:B2"/>
  </mergeCells>
  <conditionalFormatting sqref="F2 I2 F4:F65 I4:I65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07"/>
  <sheetViews>
    <sheetView workbookViewId="0">
      <pane xSplit="2" ySplit="3" topLeftCell="C4" activePane="bottomRight" state="frozen"/>
      <selection pane="bottomRight" activeCell="G6" sqref="G6"/>
      <selection pane="bottomLeft" activeCell="A5" sqref="A5"/>
      <selection pane="topRight" activeCell="A5" sqref="A5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ESI</v>
      </c>
      <c r="B1" s="46"/>
      <c r="C1" s="46"/>
      <c r="D1" s="47" t="s">
        <v>32</v>
      </c>
      <c r="E1" s="47"/>
      <c r="F1" s="47"/>
      <c r="G1" s="45" t="s">
        <v>33</v>
      </c>
      <c r="H1" s="45"/>
      <c r="I1" s="45"/>
      <c r="J1" s="4"/>
      <c r="K1" s="4"/>
    </row>
    <row r="2" spans="1:11" ht="19.5" customHeight="1">
      <c r="A2" s="48" t="s">
        <v>2</v>
      </c>
      <c r="B2" s="48"/>
      <c r="C2" s="5">
        <f>SUM(C4:C65)</f>
        <v>17125</v>
      </c>
      <c r="D2" s="5">
        <f>SUM(D4:D65)</f>
        <v>0</v>
      </c>
      <c r="E2" s="5">
        <f>C2-D2</f>
        <v>17125</v>
      </c>
      <c r="F2" s="6">
        <f>IFERROR(E2/D2, 0)</f>
        <v>0</v>
      </c>
      <c r="G2" s="5">
        <f>SUM(G4:G65)</f>
        <v>17167.757000000001</v>
      </c>
      <c r="H2" s="7">
        <f>C2-G2</f>
        <v>-42.757000000001426</v>
      </c>
      <c r="I2" s="6">
        <f>IFERROR(H2/G2, 0)</f>
        <v>-2.4905408435127213E-3</v>
      </c>
      <c r="J2" s="20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CT: North Branford - Engineering Specialties</v>
      </c>
      <c r="B4" s="22" t="str" cm="1">
        <f t="array" ref="B4">Sites[State]</f>
        <v>CT</v>
      </c>
      <c r="C4" s="18">
        <v>17125</v>
      </c>
      <c r="D4" s="11">
        <v>0</v>
      </c>
      <c r="E4" s="11">
        <f>IF(AND(ISNUMBER(C4),ISNUMBER(D4)), C4-D4, "")</f>
        <v>17125</v>
      </c>
      <c r="F4" s="12" t="str">
        <f>IFERROR(E4/D4, "")</f>
        <v/>
      </c>
      <c r="G4" s="13">
        <v>17167.757000000001</v>
      </c>
      <c r="H4" s="13">
        <f>IF(AND(ISNUMBER(C4),ISNUMBER(G4)), C4-G4, "")</f>
        <v>-42.757000000001426</v>
      </c>
      <c r="I4" s="14">
        <f>IFERROR(H4/G4, "")</f>
        <v>-2.4905408435127213E-3</v>
      </c>
      <c r="J4" s="31"/>
      <c r="K4" s="31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C307" s="15"/>
      <c r="D307" s="15"/>
      <c r="E307" s="15"/>
      <c r="F307" s="16"/>
      <c r="G307" s="15"/>
      <c r="H307" s="15"/>
      <c r="I307" s="16"/>
      <c r="J307" s="15"/>
      <c r="K307" s="15"/>
    </row>
  </sheetData>
  <sortState xmlns:xlrd2="http://schemas.microsoft.com/office/spreadsheetml/2017/richdata2" ref="A3:K4">
    <sortCondition ref="A3:A4"/>
  </sortState>
  <mergeCells count="4">
    <mergeCell ref="G1:I1"/>
    <mergeCell ref="A1:C1"/>
    <mergeCell ref="D1:F1"/>
    <mergeCell ref="A2:B2"/>
  </mergeCells>
  <conditionalFormatting sqref="F2 I2 F4:F65 I4:I65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07"/>
  <sheetViews>
    <sheetView workbookViewId="0">
      <pane xSplit="2" ySplit="3" topLeftCell="C4" activePane="bottomRight" state="frozen"/>
      <selection pane="bottomRight" activeCell="G9" sqref="G9"/>
      <selection pane="bottomLeft" activeCell="A5" sqref="A5"/>
      <selection pane="topRight" activeCell="A5" sqref="A5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ESI</v>
      </c>
      <c r="B1" s="46"/>
      <c r="C1" s="46"/>
      <c r="D1" s="47" t="s">
        <v>34</v>
      </c>
      <c r="E1" s="47"/>
      <c r="F1" s="47"/>
      <c r="G1" s="45" t="s">
        <v>35</v>
      </c>
      <c r="H1" s="45"/>
      <c r="I1" s="45"/>
      <c r="J1" s="4"/>
      <c r="K1" s="4"/>
    </row>
    <row r="2" spans="1:11" ht="19.5" customHeight="1">
      <c r="A2" s="48" t="s">
        <v>2</v>
      </c>
      <c r="B2" s="48"/>
      <c r="C2" s="5">
        <f>SUM(C4:C65)</f>
        <v>16176</v>
      </c>
      <c r="D2" s="5">
        <f>SUM(D4:D65)</f>
        <v>0</v>
      </c>
      <c r="E2" s="5">
        <f>C2-D2</f>
        <v>16176</v>
      </c>
      <c r="F2" s="6">
        <f>IFERROR(E2/D2, 0)</f>
        <v>0</v>
      </c>
      <c r="G2" s="5">
        <f>SUM(G4:G65)</f>
        <v>15716.9</v>
      </c>
      <c r="H2" s="7">
        <f>C2-G2</f>
        <v>459.10000000000036</v>
      </c>
      <c r="I2" s="6">
        <f>IFERROR(H2/G2, 0)</f>
        <v>2.9210594964655903E-2</v>
      </c>
      <c r="J2" s="20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CT: North Branford - Engineering Specialties</v>
      </c>
      <c r="B4" s="22" t="str" cm="1">
        <f t="array" ref="B4">Sites[State]</f>
        <v>CT</v>
      </c>
      <c r="C4" s="18">
        <v>16176</v>
      </c>
      <c r="D4" s="11">
        <v>0</v>
      </c>
      <c r="E4" s="11">
        <f>IF(AND(ISNUMBER(C4),ISNUMBER(D4)), C4-D4, "")</f>
        <v>16176</v>
      </c>
      <c r="F4" s="12" t="str">
        <f>IFERROR(E4/D4, "")</f>
        <v/>
      </c>
      <c r="G4" s="13">
        <v>15716.9</v>
      </c>
      <c r="H4" s="13">
        <f>IF(AND(ISNUMBER(C4),ISNUMBER(G4)), C4-G4, "")</f>
        <v>459.10000000000036</v>
      </c>
      <c r="I4" s="14">
        <f>IFERROR(H4/G4, "")</f>
        <v>2.9210594964655903E-2</v>
      </c>
      <c r="J4" s="31"/>
      <c r="K4" s="31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C307" s="15"/>
      <c r="D307" s="15"/>
      <c r="E307" s="15"/>
      <c r="F307" s="16"/>
      <c r="G307" s="15"/>
      <c r="H307" s="15"/>
      <c r="I307" s="16"/>
      <c r="J307" s="15"/>
      <c r="K307" s="15"/>
    </row>
  </sheetData>
  <mergeCells count="4">
    <mergeCell ref="G1:I1"/>
    <mergeCell ref="A1:C1"/>
    <mergeCell ref="D1:F1"/>
    <mergeCell ref="A2:B2"/>
  </mergeCells>
  <conditionalFormatting sqref="F2 I2 F4:F65 I4:I65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07"/>
  <sheetViews>
    <sheetView workbookViewId="0">
      <pane xSplit="2" ySplit="3" topLeftCell="C4" activePane="bottomRight" state="frozen"/>
      <selection pane="bottomRight" activeCell="G6" sqref="G6"/>
      <selection pane="bottomLeft" activeCell="A5" sqref="A5"/>
      <selection pane="topRight" activeCell="A5" sqref="A5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ESI</v>
      </c>
      <c r="B1" s="46"/>
      <c r="C1" s="46"/>
      <c r="D1" s="47" t="s">
        <v>36</v>
      </c>
      <c r="E1" s="47"/>
      <c r="F1" s="47"/>
      <c r="G1" s="45" t="s">
        <v>37</v>
      </c>
      <c r="H1" s="45"/>
      <c r="I1" s="45"/>
      <c r="J1" s="4"/>
      <c r="K1" s="4"/>
    </row>
    <row r="2" spans="1:11" ht="19.5" customHeight="1">
      <c r="A2" s="48" t="s">
        <v>2</v>
      </c>
      <c r="B2" s="48"/>
      <c r="C2" s="5">
        <f>SUM(C4:C65)</f>
        <v>14046</v>
      </c>
      <c r="D2" s="5">
        <f>SUM(D4:D65)</f>
        <v>0</v>
      </c>
      <c r="E2" s="5">
        <f>C2-D2</f>
        <v>14046</v>
      </c>
      <c r="F2" s="6">
        <f>IFERROR(E2/D2, 0)</f>
        <v>0</v>
      </c>
      <c r="G2" s="5">
        <f>SUM(G4:G65)</f>
        <v>12842.121999999999</v>
      </c>
      <c r="H2" s="7">
        <f>C2-G2</f>
        <v>1203.8780000000006</v>
      </c>
      <c r="I2" s="6">
        <f>IFERROR(H2/G2, 0)</f>
        <v>9.3744476185477807E-2</v>
      </c>
      <c r="J2" s="20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CT: North Branford - Engineering Specialties</v>
      </c>
      <c r="B4" s="22" t="str" cm="1">
        <f t="array" ref="B4">Sites[State]</f>
        <v>CT</v>
      </c>
      <c r="C4" s="18">
        <v>14046</v>
      </c>
      <c r="D4" s="11">
        <v>0</v>
      </c>
      <c r="E4" s="11">
        <f>IF(AND(ISNUMBER(C4),ISNUMBER(D4)), C4-D4, "")</f>
        <v>14046</v>
      </c>
      <c r="F4" s="12" t="str">
        <f>IFERROR(E4/D4, "")</f>
        <v/>
      </c>
      <c r="G4" s="13">
        <v>12842.121999999999</v>
      </c>
      <c r="H4" s="13">
        <f>IF(AND(ISNUMBER(C4),ISNUMBER(G4)), C4-G4, "")</f>
        <v>1203.8780000000006</v>
      </c>
      <c r="I4" s="14">
        <f>IFERROR(H4/G4, "")</f>
        <v>9.3744476185477807E-2</v>
      </c>
      <c r="J4" s="31"/>
      <c r="K4" s="31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C307" s="15"/>
      <c r="D307" s="15"/>
      <c r="E307" s="15"/>
      <c r="F307" s="16"/>
      <c r="G307" s="15"/>
      <c r="H307" s="15"/>
      <c r="I307" s="16"/>
      <c r="J307" s="15"/>
      <c r="K307" s="15"/>
    </row>
  </sheetData>
  <mergeCells count="4">
    <mergeCell ref="G1:I1"/>
    <mergeCell ref="A1:C1"/>
    <mergeCell ref="D1:F1"/>
    <mergeCell ref="A2:B2"/>
  </mergeCells>
  <conditionalFormatting sqref="F2 I2 F4:F65 I4:I65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07"/>
  <sheetViews>
    <sheetView workbookViewId="0">
      <pane xSplit="2" ySplit="3" topLeftCell="C4" activePane="bottomRight" state="frozen"/>
      <selection pane="bottomRight" activeCell="G7" sqref="G7"/>
      <selection pane="bottomLeft" activeCell="A5" sqref="A5"/>
      <selection pane="topRight" activeCell="A5" sqref="A5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ESI</v>
      </c>
      <c r="B1" s="46"/>
      <c r="C1" s="46"/>
      <c r="D1" s="47" t="s">
        <v>38</v>
      </c>
      <c r="E1" s="47"/>
      <c r="F1" s="47"/>
      <c r="G1" s="45" t="s">
        <v>39</v>
      </c>
      <c r="H1" s="45"/>
      <c r="I1" s="45"/>
      <c r="J1" s="4"/>
      <c r="K1" s="4"/>
    </row>
    <row r="2" spans="1:11" ht="19.5" customHeight="1">
      <c r="A2" s="48" t="s">
        <v>2</v>
      </c>
      <c r="B2" s="48"/>
      <c r="C2" s="5">
        <f>SUM(C4:C65)</f>
        <v>14480</v>
      </c>
      <c r="D2" s="5">
        <f>SUM(D4:D65)</f>
        <v>0</v>
      </c>
      <c r="E2" s="5">
        <f>C2-D2</f>
        <v>14480</v>
      </c>
      <c r="F2" s="6">
        <f>IFERROR(E2/D2, 0)</f>
        <v>0</v>
      </c>
      <c r="G2" s="5">
        <f>SUM(G4:G65)</f>
        <v>10670.093999999999</v>
      </c>
      <c r="H2" s="7">
        <f>C2-G2</f>
        <v>3809.9060000000009</v>
      </c>
      <c r="I2" s="6">
        <f>IFERROR(H2/G2, 0)</f>
        <v>0.35706395838687094</v>
      </c>
      <c r="J2" s="20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CT: North Branford - Engineering Specialties</v>
      </c>
      <c r="B4" s="22" t="str" cm="1">
        <f t="array" ref="B4">Sites[State]</f>
        <v>CT</v>
      </c>
      <c r="C4" s="18">
        <v>14480</v>
      </c>
      <c r="D4" s="11">
        <v>0</v>
      </c>
      <c r="E4" s="11">
        <f>IF(AND(ISNUMBER(C4),ISNUMBER(D4)), C4-D4, "")</f>
        <v>14480</v>
      </c>
      <c r="F4" s="12" t="str">
        <f>IFERROR(E4/D4, "")</f>
        <v/>
      </c>
      <c r="G4" s="13">
        <v>10670.093999999999</v>
      </c>
      <c r="H4" s="13">
        <f>IF(AND(ISNUMBER(C4),ISNUMBER(G4)), C4-G4, "")</f>
        <v>3809.9060000000009</v>
      </c>
      <c r="I4" s="14">
        <f>IFERROR(H4/G4, "")</f>
        <v>0.35706395838687094</v>
      </c>
      <c r="J4" s="31"/>
      <c r="K4" s="31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C307" s="15"/>
      <c r="D307" s="15"/>
      <c r="E307" s="15"/>
      <c r="F307" s="16"/>
      <c r="G307" s="15"/>
      <c r="H307" s="15"/>
      <c r="I307" s="16"/>
      <c r="J307" s="15"/>
      <c r="K307" s="15"/>
    </row>
  </sheetData>
  <mergeCells count="4">
    <mergeCell ref="G1:I1"/>
    <mergeCell ref="A1:C1"/>
    <mergeCell ref="D1:F1"/>
    <mergeCell ref="A2:B2"/>
  </mergeCells>
  <conditionalFormatting sqref="F2 I2 F4:F65 I4:I65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07"/>
  <sheetViews>
    <sheetView workbookViewId="0">
      <pane xSplit="2" ySplit="3" topLeftCell="C4" activePane="bottomRight" state="frozen"/>
      <selection pane="bottomRight" activeCell="F7" sqref="F7"/>
      <selection pane="bottomLeft" activeCell="A5" sqref="A5"/>
      <selection pane="topRight" activeCell="A5" sqref="A5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ESI</v>
      </c>
      <c r="B1" s="46"/>
      <c r="C1" s="46"/>
      <c r="D1" s="47" t="s">
        <v>40</v>
      </c>
      <c r="E1" s="47"/>
      <c r="F1" s="47"/>
      <c r="G1" s="45" t="s">
        <v>41</v>
      </c>
      <c r="H1" s="45"/>
      <c r="I1" s="45"/>
      <c r="J1" s="4"/>
      <c r="K1" s="4"/>
    </row>
    <row r="2" spans="1:11" ht="19.5" customHeight="1">
      <c r="A2" s="48" t="s">
        <v>2</v>
      </c>
      <c r="B2" s="48"/>
      <c r="C2" s="5">
        <f>SUM(C4:C65)</f>
        <v>10285</v>
      </c>
      <c r="D2" s="5">
        <f>SUM(D4:D65)</f>
        <v>0</v>
      </c>
      <c r="E2" s="5">
        <f>C2-D2</f>
        <v>10285</v>
      </c>
      <c r="F2" s="6">
        <f>IFERROR(E2/D2, 0)</f>
        <v>0</v>
      </c>
      <c r="G2" s="5">
        <f>SUM(G4:G65)</f>
        <v>7276.6689999999999</v>
      </c>
      <c r="H2" s="7">
        <f>C2-G2</f>
        <v>3008.3310000000001</v>
      </c>
      <c r="I2" s="6">
        <f>IFERROR(H2/G2, 0)</f>
        <v>0.41342144324552899</v>
      </c>
      <c r="J2" s="20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CT: North Branford - Engineering Specialties</v>
      </c>
      <c r="B4" s="22" t="str" cm="1">
        <f t="array" ref="B4">Sites[State]</f>
        <v>CT</v>
      </c>
      <c r="C4" s="18">
        <v>10285</v>
      </c>
      <c r="D4" s="11">
        <v>0</v>
      </c>
      <c r="E4" s="11">
        <f>IF(AND(ISNUMBER(C4),ISNUMBER(D4)), C4-D4, "")</f>
        <v>10285</v>
      </c>
      <c r="F4" s="12" t="str">
        <f>IFERROR(E4/D4, "")</f>
        <v/>
      </c>
      <c r="G4" s="13">
        <v>7276.6689999999999</v>
      </c>
      <c r="H4" s="13">
        <f>IF(AND(ISNUMBER(C4),ISNUMBER(G4)), C4-G4, "")</f>
        <v>3008.3310000000001</v>
      </c>
      <c r="I4" s="14">
        <f>IFERROR(H4/G4, "")</f>
        <v>0.41342144324552899</v>
      </c>
      <c r="J4" s="31"/>
      <c r="K4" s="31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C307" s="15"/>
      <c r="D307" s="15"/>
      <c r="E307" s="15"/>
      <c r="F307" s="16"/>
      <c r="G307" s="15"/>
      <c r="H307" s="15"/>
      <c r="I307" s="16"/>
      <c r="J307" s="15"/>
      <c r="K307" s="15"/>
    </row>
  </sheetData>
  <mergeCells count="4">
    <mergeCell ref="G1:I1"/>
    <mergeCell ref="A1:C1"/>
    <mergeCell ref="D1:F1"/>
    <mergeCell ref="A2:B2"/>
  </mergeCells>
  <conditionalFormatting sqref="F2 I2 F4:F65 I4:I65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07"/>
  <sheetViews>
    <sheetView tabSelected="1" workbookViewId="0">
      <pane xSplit="2" ySplit="3" topLeftCell="C4" activePane="bottomRight" state="frozen"/>
      <selection pane="bottomRight" activeCell="G9" sqref="G9"/>
      <selection pane="bottomLeft" activeCell="A5" sqref="A5"/>
      <selection pane="topRight" activeCell="A5" sqref="A5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ESI</v>
      </c>
      <c r="B1" s="46"/>
      <c r="C1" s="46"/>
      <c r="D1" s="47" t="s">
        <v>42</v>
      </c>
      <c r="E1" s="47"/>
      <c r="F1" s="47"/>
      <c r="G1" s="45" t="s">
        <v>43</v>
      </c>
      <c r="H1" s="45"/>
      <c r="I1" s="45"/>
      <c r="J1" s="4"/>
      <c r="K1" s="4"/>
    </row>
    <row r="2" spans="1:11" ht="19.5" customHeight="1">
      <c r="A2" s="48" t="s">
        <v>2</v>
      </c>
      <c r="B2" s="48"/>
      <c r="C2" s="5">
        <f>SUM(C4:C65)</f>
        <v>8299</v>
      </c>
      <c r="D2" s="5">
        <f>SUM(D4:D65)</f>
        <v>0</v>
      </c>
      <c r="E2" s="5">
        <f>C2-D2</f>
        <v>8299</v>
      </c>
      <c r="F2" s="6">
        <f>IFERROR(E2/D2, 0)</f>
        <v>0</v>
      </c>
      <c r="G2" s="5">
        <f>SUM(G4:G65)</f>
        <v>6712</v>
      </c>
      <c r="H2" s="7">
        <f>C2-G2</f>
        <v>1587</v>
      </c>
      <c r="I2" s="6">
        <f>IFERROR(H2/G2, 0)</f>
        <v>0.23644219308700834</v>
      </c>
      <c r="J2" s="20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CT: North Branford - Engineering Specialties</v>
      </c>
      <c r="B4" s="22" t="str" cm="1">
        <f t="array" ref="B4">Sites[State]</f>
        <v>CT</v>
      </c>
      <c r="C4" s="18">
        <v>8299</v>
      </c>
      <c r="D4" s="11">
        <v>0</v>
      </c>
      <c r="E4" s="11">
        <f>IF(AND(ISNUMBER(C4),ISNUMBER(D4)), C4-D4, "")</f>
        <v>8299</v>
      </c>
      <c r="F4" s="12" t="str">
        <f>IFERROR(E4/D4, "")</f>
        <v/>
      </c>
      <c r="G4" s="13">
        <v>6712</v>
      </c>
      <c r="H4" s="13">
        <f>IF(AND(ISNUMBER(C4),ISNUMBER(G4)), C4-G4, "")</f>
        <v>1587</v>
      </c>
      <c r="I4" s="14">
        <f>IFERROR(H4/G4, "")</f>
        <v>0.23644219308700834</v>
      </c>
      <c r="J4" s="31"/>
      <c r="K4" s="31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C307" s="15"/>
      <c r="D307" s="15"/>
      <c r="E307" s="15"/>
      <c r="F307" s="16"/>
      <c r="G307" s="15"/>
      <c r="H307" s="15"/>
      <c r="I307" s="16"/>
      <c r="J307" s="15"/>
      <c r="K307" s="15"/>
    </row>
  </sheetData>
  <mergeCells count="4">
    <mergeCell ref="G1:I1"/>
    <mergeCell ref="A1:C1"/>
    <mergeCell ref="D1:F1"/>
    <mergeCell ref="A2:B2"/>
  </mergeCells>
  <conditionalFormatting sqref="F2 I2 F4:F65 I4:I65">
    <cfRule type="cellIs" dxfId="4" priority="3" stopIfTrue="1" operator="lessThanOrEqual">
      <formula>-0.1</formula>
    </cfRule>
    <cfRule type="expression" dxfId="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31"/>
  <sheetViews>
    <sheetView workbookViewId="0">
      <pane ySplit="3" topLeftCell="A4" activePane="bottomLeft" state="frozen"/>
      <selection pane="bottomLeft" activeCell="D8" sqref="D8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44</v>
      </c>
      <c r="B1" t="s">
        <v>45</v>
      </c>
    </row>
    <row r="3" spans="1:12" ht="13.15">
      <c r="A3" t="s">
        <v>46</v>
      </c>
      <c r="B3" t="s">
        <v>3</v>
      </c>
      <c r="C3" t="s">
        <v>4</v>
      </c>
      <c r="D3" t="s">
        <v>47</v>
      </c>
      <c r="E3" s="2" t="s">
        <v>48</v>
      </c>
    </row>
    <row r="4" spans="1:12" ht="14.45">
      <c r="A4" s="37" t="s">
        <v>45</v>
      </c>
      <c r="B4" t="s">
        <v>49</v>
      </c>
      <c r="C4" s="35" t="s">
        <v>50</v>
      </c>
      <c r="D4" s="34" t="s">
        <v>51</v>
      </c>
      <c r="E4" t="s">
        <v>52</v>
      </c>
      <c r="G4" s="3"/>
    </row>
    <row r="5" spans="1:12" ht="14.45">
      <c r="A5" s="37"/>
      <c r="C5" s="35"/>
      <c r="D5" s="34"/>
      <c r="G5" s="3"/>
    </row>
    <row r="6" spans="1:12" ht="14.45">
      <c r="A6" s="37"/>
      <c r="C6" s="35"/>
      <c r="D6" s="34"/>
      <c r="G6" s="3"/>
    </row>
    <row r="7" spans="1:12" ht="12.75" customHeight="1">
      <c r="A7" s="37"/>
      <c r="C7" s="35"/>
      <c r="D7" s="34"/>
    </row>
    <row r="8" spans="1:12" ht="12.75" customHeight="1">
      <c r="A8" s="37"/>
      <c r="C8" s="35"/>
      <c r="D8" s="34"/>
    </row>
    <row r="9" spans="1:12" ht="12.75" customHeight="1">
      <c r="A9" s="37"/>
      <c r="C9" s="35"/>
      <c r="D9" s="34"/>
    </row>
    <row r="10" spans="1:12" ht="12.75" customHeight="1">
      <c r="A10" s="37"/>
      <c r="C10" s="35"/>
      <c r="D10" s="34"/>
      <c r="K10" s="32"/>
      <c r="L10" s="32"/>
    </row>
    <row r="11" spans="1:12" ht="12.75" customHeight="1">
      <c r="A11" s="37"/>
      <c r="C11" s="35"/>
      <c r="D11" s="34"/>
      <c r="K11" s="32"/>
      <c r="L11" s="32"/>
    </row>
    <row r="12" spans="1:12" ht="12.75" customHeight="1">
      <c r="A12" s="37"/>
      <c r="C12" s="35"/>
      <c r="D12" s="34"/>
      <c r="K12" s="32"/>
      <c r="L12" s="32"/>
    </row>
    <row r="13" spans="1:12" ht="12.75" customHeight="1">
      <c r="A13" s="37"/>
      <c r="C13" s="35"/>
      <c r="D13" s="34"/>
      <c r="K13" s="32"/>
      <c r="L13" s="32"/>
    </row>
    <row r="14" spans="1:12" ht="12.75" customHeight="1">
      <c r="A14" s="37"/>
      <c r="C14" s="35"/>
      <c r="D14" s="34"/>
      <c r="K14" s="32"/>
      <c r="L14" s="32"/>
    </row>
    <row r="15" spans="1:12" ht="12.75" customHeight="1">
      <c r="A15" s="37"/>
      <c r="C15" s="35"/>
      <c r="D15" s="34"/>
      <c r="K15" s="32"/>
      <c r="L15" s="32"/>
    </row>
    <row r="16" spans="1:12" ht="12.75" customHeight="1">
      <c r="A16" s="37"/>
      <c r="C16" s="35"/>
      <c r="D16" s="34"/>
      <c r="K16" s="32"/>
      <c r="L16" s="32"/>
    </row>
    <row r="17" spans="1:12" ht="12.75" customHeight="1">
      <c r="A17" s="37"/>
      <c r="C17" s="35"/>
      <c r="D17" s="34"/>
      <c r="K17" s="32"/>
      <c r="L17" s="32"/>
    </row>
    <row r="18" spans="1:12" ht="12.75" customHeight="1">
      <c r="A18" s="37"/>
      <c r="C18" s="35"/>
      <c r="D18" s="34"/>
      <c r="K18" s="32"/>
      <c r="L18" s="32"/>
    </row>
    <row r="19" spans="1:12" ht="12.75" customHeight="1">
      <c r="A19" s="37"/>
      <c r="C19" s="35"/>
      <c r="D19" s="34"/>
      <c r="K19" s="32"/>
      <c r="L19" s="32"/>
    </row>
    <row r="20" spans="1:12" ht="12.75" customHeight="1">
      <c r="A20" s="37"/>
      <c r="C20" s="35"/>
      <c r="D20" s="34"/>
      <c r="K20" s="32"/>
      <c r="L20" s="32"/>
    </row>
    <row r="21" spans="1:12" ht="12.75" customHeight="1">
      <c r="A21" s="37"/>
      <c r="C21" s="35"/>
      <c r="D21" s="34"/>
      <c r="K21" s="32"/>
      <c r="L21" s="32"/>
    </row>
    <row r="22" spans="1:12" ht="12.75" customHeight="1">
      <c r="A22" s="37"/>
      <c r="C22" s="35"/>
      <c r="D22" s="34"/>
      <c r="K22" s="32"/>
      <c r="L22" s="32"/>
    </row>
    <row r="23" spans="1:12" ht="12.75" customHeight="1">
      <c r="A23" s="37"/>
      <c r="C23" s="35"/>
      <c r="D23" s="34"/>
      <c r="K23" s="32"/>
      <c r="L23" s="32"/>
    </row>
    <row r="24" spans="1:12" ht="12.75" customHeight="1">
      <c r="A24" s="37"/>
      <c r="C24" s="35"/>
      <c r="D24" s="34"/>
      <c r="K24" s="32"/>
      <c r="L24" s="32"/>
    </row>
    <row r="25" spans="1:12" ht="12.75" customHeight="1">
      <c r="A25" s="37"/>
      <c r="C25" s="35"/>
      <c r="D25" s="34"/>
      <c r="K25" s="32"/>
      <c r="L25" s="32"/>
    </row>
    <row r="26" spans="1:12" ht="12.75" customHeight="1">
      <c r="K26" s="32"/>
      <c r="L26" s="32"/>
    </row>
    <row r="27" spans="1:12" ht="12.75" customHeight="1">
      <c r="K27" s="32"/>
      <c r="L27" s="32"/>
    </row>
    <row r="28" spans="1:12" ht="12.75" customHeight="1">
      <c r="K28" s="32"/>
      <c r="L28" s="32"/>
    </row>
    <row r="29" spans="1:12" ht="12.75" customHeight="1">
      <c r="K29" s="32"/>
      <c r="L29" s="32"/>
    </row>
    <row r="30" spans="1:12" ht="12.75" customHeight="1">
      <c r="K30" s="32"/>
      <c r="L30" s="32"/>
    </row>
    <row r="31" spans="1:12" ht="12.75" customHeight="1">
      <c r="K31" s="32"/>
      <c r="L31" s="32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8.xml>��
</file>

<file path=customXml/item19.xml>��
</file>

<file path=customXml/item20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0BCDC1E-6052-4E48-9BAF-94A40814E7C2}"/>
</file>

<file path=customXml/itemProps2.xml><?xml version="1.0" encoding="utf-8"?>
<ds:datastoreItem xmlns:ds="http://schemas.openxmlformats.org/officeDocument/2006/customXml" ds:itemID="{E3716282-BFD2-4ED2-BA47-BFA1123827F0}"/>
</file>

<file path=customXml/itemProps3.xml><?xml version="1.0" encoding="utf-8"?>
<ds:datastoreItem xmlns:ds="http://schemas.openxmlformats.org/officeDocument/2006/customXml" ds:itemID="{66B09F59-6532-46F8-924A-9A02417E070D}"/>
</file>

<file path=customXml/itemProps4.xml><?xml version="1.0" encoding="utf-8"?>
<ds:datastoreItem xmlns:ds="http://schemas.openxmlformats.org/officeDocument/2006/customXml" ds:itemID="{078388C9-06F9-42F4-B857-EF76B5CAF1FD}"/>
</file>

<file path=customXml/itemProps5.xml><?xml version="1.0" encoding="utf-8"?>
<ds:datastoreItem xmlns:ds="http://schemas.openxmlformats.org/officeDocument/2006/customXml" ds:itemID="{98A113BB-8B7A-453C-8BD4-8EFC67FC2D3F}"/>
</file>

<file path=customXml/itemProps6.xml><?xml version="1.0" encoding="utf-8"?>
<ds:datastoreItem xmlns:ds="http://schemas.openxmlformats.org/officeDocument/2006/customXml" ds:itemID="{0389C43E-394D-44C0-87DC-4780FCFCFB40}"/>
</file>

<file path=customXml/itemProps7.xml><?xml version="1.0" encoding="utf-8"?>
<ds:datastoreItem xmlns:ds="http://schemas.openxmlformats.org/officeDocument/2006/customXml" ds:itemID="{3AEAA9D8-2182-46BA-A58E-96C72DDA1C54}"/>
</file>

<file path=customXml/itemProps8.xml><?xml version="1.0" encoding="utf-8"?>
<ds:datastoreItem xmlns:ds="http://schemas.openxmlformats.org/officeDocument/2006/customXml" ds:itemID="{BE26B669-A686-459C-A5E9-FEC3409C4C81}"/>
</file>

<file path=customXml/itemProps9.xml><?xml version="1.0" encoding="utf-8"?>
<ds:datastoreItem xmlns:ds="http://schemas.openxmlformats.org/officeDocument/2006/customXml" ds:itemID="{E20E8303-6A67-485C-B6F4-303542CC295C}"/>
</file>

<file path=customXml/itemProps10.xml><?xml version="1.0" encoding="utf-8"?>
<ds:datastoreItem xmlns:ds="http://schemas.openxmlformats.org/officeDocument/2006/customXml" ds:itemID="{F12EFA50-0068-4A8C-85A0-F1B26389EBC3}"/>
</file>

<file path=customXml/itemProps11.xml><?xml version="1.0" encoding="utf-8"?>
<ds:datastoreItem xmlns:ds="http://schemas.openxmlformats.org/officeDocument/2006/customXml" ds:itemID="{D3A7101F-9A85-4235-8B03-415370C100B2}"/>
</file>

<file path=customXml/itemProps12.xml><?xml version="1.0" encoding="utf-8"?>
<ds:datastoreItem xmlns:ds="http://schemas.openxmlformats.org/officeDocument/2006/customXml" ds:itemID="{CB52044A-5C0B-44A2-99D0-C1C315EC302D}"/>
</file>

<file path=customXml/itemProps13.xml><?xml version="1.0" encoding="utf-8"?>
<ds:datastoreItem xmlns:ds="http://schemas.openxmlformats.org/officeDocument/2006/customXml" ds:itemID="{2BC74AAC-D69B-4AF1-9649-B21EF3C1C463}"/>
</file>

<file path=customXml/itemProps14.xml><?xml version="1.0" encoding="utf-8"?>
<ds:datastoreItem xmlns:ds="http://schemas.openxmlformats.org/officeDocument/2006/customXml" ds:itemID="{F6B2B1A1-1C4B-4AC9-9A7D-7A102DD1C942}"/>
</file>

<file path=customXml/itemProps15.xml><?xml version="1.0" encoding="utf-8"?>
<ds:datastoreItem xmlns:ds="http://schemas.openxmlformats.org/officeDocument/2006/customXml" ds:itemID="{89CF5C07-45EB-4100-9AFB-2C6AF77FA787}"/>
</file>

<file path=customXml/itemProps16.xml><?xml version="1.0" encoding="utf-8"?>
<ds:datastoreItem xmlns:ds="http://schemas.openxmlformats.org/officeDocument/2006/customXml" ds:itemID="{BF5C6359-7763-4C37-8EAF-2BC4698CB285}"/>
</file>

<file path=customXml/itemProps17.xml><?xml version="1.0" encoding="utf-8"?>
<ds:datastoreItem xmlns:ds="http://schemas.openxmlformats.org/officeDocument/2006/customXml" ds:itemID="{8D732231-4216-4543-A665-18A2886B0EB7}"/>
</file>

<file path=customXml/itemProps18.xml><?xml version="1.0" encoding="utf-8"?>
<ds:datastoreItem xmlns:ds="http://schemas.openxmlformats.org/officeDocument/2006/customXml" ds:itemID="{14966E4F-347B-477B-B74C-9DAC05405806}"/>
</file>

<file path=customXml/itemProps19.xml><?xml version="1.0" encoding="utf-8"?>
<ds:datastoreItem xmlns:ds="http://schemas.openxmlformats.org/officeDocument/2006/customXml" ds:itemID="{1954BBA4-0359-438C-B0EC-A756015F7C02}"/>
</file>

<file path=customXml/itemProps20.xml><?xml version="1.0" encoding="utf-8"?>
<ds:datastoreItem xmlns:ds="http://schemas.openxmlformats.org/officeDocument/2006/customXml" ds:itemID="{7946C510-7D04-49D8-9B25-EEC04582A1C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Sai Teja Puram [AGS]</cp:lastModifiedBy>
  <cp:revision/>
  <dcterms:created xsi:type="dcterms:W3CDTF">2021-01-01T16:39:53Z</dcterms:created>
  <dcterms:modified xsi:type="dcterms:W3CDTF">2025-01-13T05:56:10Z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