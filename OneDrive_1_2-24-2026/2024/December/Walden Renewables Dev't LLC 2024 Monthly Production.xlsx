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96" documentId="13_ncr:1_{9DE3B82E-9EE4-4D81-A868-B324B49B8F20}" xr6:coauthVersionLast="47" xr6:coauthVersionMax="47" xr10:uidLastSave="{F5C7408C-3F58-4FF2-87F9-06C61607978A}"/>
  <bookViews>
    <workbookView xWindow="1152" yWindow="1152" windowWidth="21600" windowHeight="11232" tabRatio="866" firstSheet="2" activeTab="2" xr2:uid="{00000000-000D-0000-FFFF-FFFF00000000}"/>
  </bookViews>
  <sheets>
    <sheet name="Littlefield Solar" sheetId="73" r:id="rId1"/>
    <sheet name="Year to Date" sheetId="34" state="hidden" r:id="rId2"/>
    <sheet name="1st Qtr" sheetId="1" r:id="rId3"/>
    <sheet name="2nd Qtr" sheetId="18" r:id="rId4"/>
    <sheet name="3rd Qtr" sheetId="29" r:id="rId5"/>
    <sheet name="4th Qtr" sheetId="30" r:id="rId6"/>
    <sheet name="Jan" sheetId="72" r:id="rId7"/>
    <sheet name="Feb" sheetId="3" r:id="rId8"/>
    <sheet name="Mar" sheetId="4" r:id="rId9"/>
    <sheet name="Apr" sheetId="21" r:id="rId10"/>
    <sheet name="May" sheetId="20" r:id="rId11"/>
    <sheet name="Jun" sheetId="19" r:id="rId12"/>
    <sheet name="Jul" sheetId="26" r:id="rId13"/>
    <sheet name="Aug" sheetId="27" r:id="rId14"/>
    <sheet name="Sep" sheetId="28" r:id="rId15"/>
    <sheet name="Oct" sheetId="31" r:id="rId16"/>
    <sheet name="Nov" sheetId="32" r:id="rId17"/>
    <sheet name="Dec" sheetId="33" r:id="rId18"/>
    <sheet name="Sites" sheetId="68" r:id="rId19"/>
  </sheets>
  <definedNames>
    <definedName name="_xlnm._FilterDatabase" localSheetId="2" hidden="1">'1st Qtr'!$A$2:$I$2</definedName>
    <definedName name="_xlnm._FilterDatabase" localSheetId="3" hidden="1">'2nd Qtr'!$A$2:$I$2</definedName>
    <definedName name="_xlnm._FilterDatabase" localSheetId="4" hidden="1">'3rd Qtr'!$A$2:$I$2</definedName>
    <definedName name="_xlnm._FilterDatabase" localSheetId="5" hidden="1">'4th Qtr'!$A$2:$I$2</definedName>
    <definedName name="_xlnm._FilterDatabase" localSheetId="9" hidden="1">Apr!$A$2:$I$2</definedName>
    <definedName name="_xlnm._FilterDatabase" localSheetId="13" hidden="1">Aug!$A$2:$I$2</definedName>
    <definedName name="_xlnm._FilterDatabase" localSheetId="17" hidden="1">Dec!$A$2:$I$2</definedName>
    <definedName name="_xlnm._FilterDatabase" localSheetId="7" hidden="1">Feb!$A$2:$I$2</definedName>
    <definedName name="_xlnm._FilterDatabase" localSheetId="6" hidden="1">Jan!$A$3:$K$3</definedName>
    <definedName name="_xlnm._FilterDatabase" localSheetId="12" hidden="1">Jul!$A$2:$I$2</definedName>
    <definedName name="_xlnm._FilterDatabase" localSheetId="11" hidden="1">Jun!$A$2:$I$2</definedName>
    <definedName name="_xlnm._FilterDatabase" localSheetId="8" hidden="1">Mar!$A$2:$I$2</definedName>
    <definedName name="_xlnm._FilterDatabase" localSheetId="10" hidden="1">May!$A$2:$I$2</definedName>
    <definedName name="_xlnm._FilterDatabase" localSheetId="16" hidden="1">Nov!$A$2:$I$2</definedName>
    <definedName name="_xlnm._FilterDatabase" localSheetId="15" hidden="1">Oct!$A$2:$I$2</definedName>
    <definedName name="_xlnm._FilterDatabase" localSheetId="14" hidden="1">Sep!$A$2:$I$2</definedName>
    <definedName name="_xlnm._FilterDatabase" localSheetId="1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3" l="1"/>
  <c r="G4" i="73"/>
  <c r="D4" i="73"/>
  <c r="C4" i="73"/>
  <c r="E4" i="73" s="1"/>
  <c r="F4" i="73" s="1"/>
  <c r="B4" i="73" a="1"/>
  <c r="B4" i="73"/>
  <c r="A4" i="73" a="1"/>
  <c r="A4" i="73"/>
  <c r="A1" i="73" a="1"/>
  <c r="A1" i="73"/>
  <c r="E8" i="73"/>
  <c r="F8" i="73"/>
  <c r="H8" i="73"/>
  <c r="I8" i="73"/>
  <c r="H19" i="73"/>
  <c r="I19" i="73" s="1"/>
  <c r="E19" i="73"/>
  <c r="F19" i="73" s="1"/>
  <c r="H18" i="73"/>
  <c r="I18" i="73" s="1"/>
  <c r="E18" i="73"/>
  <c r="F18" i="73" s="1"/>
  <c r="H17" i="73"/>
  <c r="I17" i="73" s="1"/>
  <c r="E17" i="73"/>
  <c r="F17" i="73" s="1"/>
  <c r="H16" i="73"/>
  <c r="I16" i="73" s="1"/>
  <c r="E16" i="73"/>
  <c r="F16" i="73" s="1"/>
  <c r="H15" i="73"/>
  <c r="I15" i="73" s="1"/>
  <c r="E15" i="73"/>
  <c r="F15" i="73" s="1"/>
  <c r="H14" i="73"/>
  <c r="I14" i="73" s="1"/>
  <c r="E14" i="73"/>
  <c r="F14" i="73" s="1"/>
  <c r="H13" i="73"/>
  <c r="I13" i="73" s="1"/>
  <c r="E13" i="73"/>
  <c r="F13" i="73" s="1"/>
  <c r="H12" i="73"/>
  <c r="I12" i="73" s="1"/>
  <c r="E12" i="73"/>
  <c r="F12" i="73" s="1"/>
  <c r="H11" i="73"/>
  <c r="I11" i="73" s="1"/>
  <c r="E11" i="73"/>
  <c r="F11" i="73" s="1"/>
  <c r="H10" i="73"/>
  <c r="I10" i="73" s="1"/>
  <c r="E10" i="73"/>
  <c r="F10" i="73" s="1"/>
  <c r="H9" i="73"/>
  <c r="I9" i="73" s="1"/>
  <c r="E9" i="73"/>
  <c r="F9" i="73" s="1"/>
  <c r="G4" i="30"/>
  <c r="G2" i="30" s="1"/>
  <c r="G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I4" i="73" l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<sst xmlns="http://schemas.openxmlformats.org/spreadsheetml/2006/main" count="319" uniqueCount="90">
  <si>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</si>
  <si>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</si>
  <si>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</si>
  <si>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</si>
  <si>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</si>
  <si>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</si>
  <si>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</si>
  <si>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</si>
  <si>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</si>
  <si>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</si>
  <si>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Month</t>
  </si>
  <si>
    <t>Notes</t>
  </si>
  <si>
    <t>Service Requests</t>
  </si>
  <si>
    <t>January</t>
  </si>
  <si>
    <t>1. Inverter 22 was offline on 01/10, 01/25 to 01/27, 01/29, 01/31</t>
  </si>
  <si>
    <t>1. SR079744</t>
  </si>
  <si>
    <t>Fabruary</t>
  </si>
  <si>
    <t>1.Inverter 22 was offline on 02/02. The technician reset it on the same day, and it is back online.</t>
  </si>
  <si>
    <t>1.SR079744</t>
  </si>
  <si>
    <t>March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</si>
  <si>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</si>
  <si>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</si>
  <si>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</si>
  <si>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</si>
  <si>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</si>
  <si>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</si>
  <si>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</si>
  <si>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</si>
  <si>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</t>
  </si>
  <si>
    <t>1. Site was offline from 6pm of 06/23 and back online at 2pm of 06/24, it was offline due to the recloser being open from the customer's end
2. Inverters 21, 22 &amp; 31 have started late i.e., at 10am on 06/27</t>
  </si>
  <si>
    <t>1. SR086772
2. SR086893</t>
  </si>
  <si>
    <t>July</t>
  </si>
  <si>
    <t>1.The main breaker on pad 1 had tripped, pad 2 was still running at 15:30pm on 07/01 and back online at 10:15 on 07/02.
2.Inverter 20 is underproducing 30kW compared to its peers</t>
  </si>
  <si>
    <t>1.SR087219
2.SR089524</t>
  </si>
  <si>
    <t>August</t>
  </si>
  <si>
    <t>1.Inverter 21 didn't start production on 08/05 &amp; 08/06 until 13:00pm.
2. Inverter 20 is underproducing 30kW compared to its peers</t>
  </si>
  <si>
    <t>1.SR088651
2.SR089524</t>
  </si>
  <si>
    <t>September</t>
  </si>
  <si>
    <t>October</t>
  </si>
  <si>
    <t>1.Site tripped offline at 09:00 on 10/18 and back online at 08:00 on 10/23 and again site tripped offline at 15:00 on 10/23 throught out the month</t>
  </si>
  <si>
    <t>1.SR092197,SR092330</t>
  </si>
  <si>
    <t>November</t>
  </si>
  <si>
    <t xml:space="preserve">1. Site offline from 10/23 and back online at 12:30PM on 11/04.
</t>
  </si>
  <si>
    <t xml:space="preserve">1. SR092197
</t>
  </si>
  <si>
    <t>December</t>
  </si>
  <si>
    <t>1. Inverter 20 tripped offline at 13:45 on 12/13 and back online at 09:45 on 12/16
2. Inverter 22 was offline on 12/31 due to isolation fault and was back online the next day</t>
  </si>
  <si>
    <t>1. SR094612
2. SR095180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</si>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</sst>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24" fillId="39" borderId="12" xfId="0" applyFont="1" applyFill="1" applyBorder="1" applyAlignment="1">
      <alignment horizontal="center" vertical="center"/>
    </xf>
    <xf numFmtId="0" fontId="24" fillId="39" borderId="1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7CC7-FE21-4BC6-B0CC-7DA62D7D7F77}">
  <sheetPr>
    <tabColor rgb="FFFFFF00"/>
  </sheetPr>
  <dimension ref="A1:K19"/>
  <sheetViews>
    <sheetView workbookViewId="0">
      <selection activeCell="J2" sqref="J2"/>
    </sheetView>
  </sheetViews>
  <sheetFormatPr defaultRowHeight="12.75"/>
  <cols>
    <col min="1" max="1" width="35.85546875" bestFit="1" customWidth="1"/>
    <col min="2" max="2" width="35.85546875" customWidth="1"/>
    <col min="3" max="3" width="11.7109375" customWidth="1"/>
    <col min="4" max="9" width="13.28515625" customWidth="1"/>
    <col min="10" max="10" width="71.5703125" customWidth="1"/>
    <col min="11" max="11" width="20.5703125" bestFit="1" customWidth="1"/>
  </cols>
  <sheetData>
    <row r="1" spans="1:11" ht="15.75">
      <c r="A1" s="55" t="str" cm="1">
        <f t="array" ref="A1">portfolio</f>
        <v>Walden Renewables Dev't LLC</v>
      </c>
      <c r="B1" s="56"/>
      <c r="C1" s="57"/>
      <c r="D1" s="52" t="s">
        <v>0</v>
      </c>
      <c r="E1" s="53"/>
      <c r="F1" s="54"/>
      <c r="G1" s="49" t="s">
        <v>1</v>
      </c>
      <c r="H1" s="50"/>
      <c r="I1" s="51"/>
    </row>
    <row r="2" spans="1:11" ht="14.25">
      <c r="A2" s="47" t="s">
        <v>2</v>
      </c>
      <c r="B2" s="48"/>
      <c r="C2" s="6"/>
      <c r="D2" s="6"/>
      <c r="E2" s="6"/>
      <c r="F2" s="7"/>
      <c r="G2" s="6"/>
      <c r="H2" s="8"/>
      <c r="I2" s="7"/>
    </row>
    <row r="3" spans="1:1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7557850.0049999999</v>
      </c>
      <c r="D4" s="14">
        <f>SUM('1st Qtr'!D4, '2nd Qtr'!D4, '3rd Qtr'!D4, '4th Qtr'!D4)</f>
        <v>7995642.9110000003</v>
      </c>
      <c r="E4" s="14">
        <f>IF(AND(ISNUMBER(C4),ISNUMBER(D4)), C4-D4, "")</f>
        <v>-437792.90600000042</v>
      </c>
      <c r="F4" s="15">
        <f>IFERROR(E4/D4, "")</f>
        <v>-5.475393422056244E-2</v>
      </c>
      <c r="G4" s="16">
        <f>SUM('1st Qtr'!G4,'2nd Qtr'!G4,'3rd Qtr'!G4,'4th Qtr'!G4)</f>
        <v>8153367.2699999996</v>
      </c>
      <c r="H4" s="16">
        <f>SUM('1st Qtr'!H4, '2nd Qtr'!H4, '3rd Qtr'!H4, '4th Qtr'!H4)</f>
        <v>-595517.26499999978</v>
      </c>
      <c r="I4" s="17">
        <f>IFERROR(H4/G4, "")</f>
        <v>-7.3039425954866843E-2</v>
      </c>
    </row>
    <row r="7" spans="1:11" ht="15.75">
      <c r="A7" s="9" t="s">
        <v>10</v>
      </c>
      <c r="B7" s="9"/>
      <c r="C7" s="25" t="s">
        <v>5</v>
      </c>
      <c r="D7" s="36" t="s">
        <v>6</v>
      </c>
      <c r="E7" s="36" t="s">
        <v>7</v>
      </c>
      <c r="F7" s="37" t="s">
        <v>8</v>
      </c>
      <c r="G7" s="38" t="s">
        <v>9</v>
      </c>
      <c r="H7" s="39" t="s">
        <v>7</v>
      </c>
      <c r="I7" s="40" t="s">
        <v>8</v>
      </c>
      <c r="J7" s="27" t="s">
        <v>11</v>
      </c>
      <c r="K7" s="27" t="s">
        <v>12</v>
      </c>
    </row>
    <row r="8" spans="1:11" ht="15.75">
      <c r="A8" s="33" t="s">
        <v>13</v>
      </c>
      <c r="B8" s="33"/>
      <c r="C8" s="26">
        <v>213608</v>
      </c>
      <c r="D8" s="14">
        <v>396501.9</v>
      </c>
      <c r="E8" s="14">
        <f>IF(AND(ISNUMBER(C8),ISNUMBER(D8)), C8-D8, "")</f>
        <v>-182893.90000000002</v>
      </c>
      <c r="F8" s="15">
        <f>IFERROR(E8/D8, "")</f>
        <v>-0.46126865974664943</v>
      </c>
      <c r="G8" s="16">
        <v>419715.6</v>
      </c>
      <c r="H8" s="16">
        <f>IF(AND(ISNUMBER(C8),ISNUMBER(G8)), C8-G8, "")</f>
        <v>-206107.59999999998</v>
      </c>
      <c r="I8" s="17">
        <f>IFERROR(H8/G8, "")</f>
        <v>-0.49106490204319303</v>
      </c>
      <c r="J8" s="18" t="s">
        <v>14</v>
      </c>
      <c r="K8" s="18" t="s">
        <v>15</v>
      </c>
    </row>
    <row r="9" spans="1:11" ht="30.75">
      <c r="A9" s="42" t="s">
        <v>16</v>
      </c>
      <c r="B9" s="42"/>
      <c r="C9" s="26">
        <v>623639</v>
      </c>
      <c r="D9" s="14">
        <v>682847</v>
      </c>
      <c r="E9" s="14">
        <f>IF(AND(ISNUMBER(C9),ISNUMBER(D9)), C9-D9, "")</f>
        <v>-59208</v>
      </c>
      <c r="F9" s="15">
        <f>IFERROR(E9/D9, "")</f>
        <v>-8.670756406632818E-2</v>
      </c>
      <c r="G9" s="16">
        <v>571610.69999999995</v>
      </c>
      <c r="H9" s="16">
        <f>IF(AND(ISNUMBER(C9),ISNUMBER(G9)), C9-G9, "")</f>
        <v>52028.300000000047</v>
      </c>
      <c r="I9" s="17">
        <f>IFERROR(H9/G9, "")</f>
        <v>9.1020514486520376E-2</v>
      </c>
      <c r="J9" s="18" t="s">
        <v>17</v>
      </c>
      <c r="K9" s="18" t="s">
        <v>18</v>
      </c>
    </row>
    <row r="10" spans="1:11" ht="45.75">
      <c r="A10" s="42" t="s">
        <v>19</v>
      </c>
      <c r="B10" s="42"/>
      <c r="C10" s="26">
        <v>608153.005</v>
      </c>
      <c r="D10" s="14">
        <v>622451.054</v>
      </c>
      <c r="E10" s="14">
        <f>IF(AND(ISNUMBER(C10),ISNUMBER(D10)), C10-D10, "")</f>
        <v>-14298.048999999999</v>
      </c>
      <c r="F10" s="15">
        <f>IFERROR(E10/D10, "")</f>
        <v>-2.2970559545393586E-2</v>
      </c>
      <c r="G10" s="16">
        <v>759786.62</v>
      </c>
      <c r="H10" s="16">
        <f>IF(AND(ISNUMBER(C10),ISNUMBER(G10)), C10-G10, "")</f>
        <v>-151633.61499999999</v>
      </c>
      <c r="I10" s="17">
        <f>IFERROR(H10/G10, "")</f>
        <v>-0.19957394748541371</v>
      </c>
      <c r="J10" s="18" t="s">
        <v>20</v>
      </c>
      <c r="K10" s="18" t="s">
        <v>21</v>
      </c>
    </row>
    <row r="11" spans="1:11" ht="152.25">
      <c r="A11" s="42" t="s">
        <v>22</v>
      </c>
      <c r="B11" s="42"/>
      <c r="C11" s="26">
        <v>698240</v>
      </c>
      <c r="D11" s="14">
        <v>705102</v>
      </c>
      <c r="E11" s="14">
        <f>IF(AND(ISNUMBER(C11),ISNUMBER(D11)), C11-D11, "")</f>
        <v>-6862</v>
      </c>
      <c r="F11" s="15">
        <f>IFERROR(E11/D11, "")</f>
        <v>-9.7319253100969783E-3</v>
      </c>
      <c r="G11" s="16">
        <v>788000</v>
      </c>
      <c r="H11" s="16">
        <f>IF(AND(ISNUMBER(C11),ISNUMBER(G11)), C11-G11, "")</f>
        <v>-89760</v>
      </c>
      <c r="I11" s="17">
        <f>IFERROR(H11/G11, "")</f>
        <v>-0.11390862944162436</v>
      </c>
      <c r="J11" s="18" t="s">
        <v>23</v>
      </c>
      <c r="K11" s="18" t="s">
        <v>24</v>
      </c>
    </row>
    <row r="12" spans="1:11" ht="106.5">
      <c r="A12" s="42" t="s">
        <v>25</v>
      </c>
      <c r="B12" s="42"/>
      <c r="C12" s="26">
        <v>872100</v>
      </c>
      <c r="D12" s="14">
        <v>680511</v>
      </c>
      <c r="E12" s="14">
        <f>IF(AND(ISNUMBER(C12),ISNUMBER(D12)), C12-D12, "")</f>
        <v>191589</v>
      </c>
      <c r="F12" s="15">
        <f>IFERROR(E12/D12, "")</f>
        <v>0.28153696266482098</v>
      </c>
      <c r="G12" s="16">
        <v>917000</v>
      </c>
      <c r="H12" s="16">
        <f>IF(AND(ISNUMBER(C12),ISNUMBER(G12)), C12-G12, "")</f>
        <v>-44900</v>
      </c>
      <c r="I12" s="17">
        <f>IFERROR(H12/G12, "")</f>
        <v>-4.896401308615049E-2</v>
      </c>
      <c r="J12" s="18" t="s">
        <v>26</v>
      </c>
      <c r="K12" s="18" t="s">
        <v>27</v>
      </c>
    </row>
    <row r="13" spans="1:11" ht="45.75">
      <c r="A13" s="42" t="s">
        <v>28</v>
      </c>
      <c r="B13" s="42"/>
      <c r="C13" s="26">
        <v>894535</v>
      </c>
      <c r="D13" s="14">
        <v>903324.7</v>
      </c>
      <c r="E13" s="14">
        <f>IF(AND(ISNUMBER(C13),ISNUMBER(D13)), C13-D13, "")</f>
        <v>-8789.6999999999534</v>
      </c>
      <c r="F13" s="15">
        <f>IFERROR(E13/D13, "")</f>
        <v>-9.7303881981749794E-3</v>
      </c>
      <c r="G13" s="16">
        <v>880592.6</v>
      </c>
      <c r="H13" s="16">
        <f>IF(AND(ISNUMBER(C13),ISNUMBER(G13)), C13-G13, "")</f>
        <v>13942.400000000023</v>
      </c>
      <c r="I13" s="17">
        <f>IFERROR(H13/G13, "")</f>
        <v>1.5832974294810134E-2</v>
      </c>
      <c r="J13" s="18" t="s">
        <v>29</v>
      </c>
      <c r="K13" s="18" t="s">
        <v>30</v>
      </c>
    </row>
    <row r="14" spans="1:11" ht="45.75">
      <c r="A14" s="42" t="s">
        <v>31</v>
      </c>
      <c r="B14" s="42"/>
      <c r="C14" s="26">
        <v>916545</v>
      </c>
      <c r="D14" s="14">
        <v>922407.79</v>
      </c>
      <c r="E14" s="14">
        <f>IF(AND(ISNUMBER(C14),ISNUMBER(D14)), C14-D14, "")</f>
        <v>-5862.7900000000373</v>
      </c>
      <c r="F14" s="15">
        <f>IFERROR(E14/D14, "")</f>
        <v>-6.3559632340052519E-3</v>
      </c>
      <c r="G14" s="16">
        <v>935829.2</v>
      </c>
      <c r="H14" s="16">
        <f>IF(AND(ISNUMBER(C14),ISNUMBER(G14)), C14-G14, "")</f>
        <v>-19284.199999999953</v>
      </c>
      <c r="I14" s="17">
        <f>IFERROR(H14/G14, "")</f>
        <v>-2.0606538030657682E-2</v>
      </c>
      <c r="J14" s="18" t="s">
        <v>32</v>
      </c>
      <c r="K14" s="18" t="s">
        <v>33</v>
      </c>
    </row>
    <row r="15" spans="1:11" ht="30.75">
      <c r="A15" s="42" t="s">
        <v>34</v>
      </c>
      <c r="B15" s="42"/>
      <c r="C15" s="26">
        <v>849701</v>
      </c>
      <c r="D15" s="14">
        <v>861890.23499999999</v>
      </c>
      <c r="E15" s="14">
        <f>IF(AND(ISNUMBER(C15),ISNUMBER(D15)), C15-D15, "")</f>
        <v>-12189.234999999986</v>
      </c>
      <c r="F15" s="15">
        <f>IFERROR(E15/D15, "")</f>
        <v>-1.4142444716292656E-2</v>
      </c>
      <c r="G15" s="16">
        <v>890773.33</v>
      </c>
      <c r="H15" s="16">
        <f>IF(AND(ISNUMBER(C15),ISNUMBER(G15)), C15-G15, "")</f>
        <v>-41072.329999999958</v>
      </c>
      <c r="I15" s="17">
        <f>IFERROR(H15/G15, "")</f>
        <v>-4.6108621146077597E-2</v>
      </c>
      <c r="J15" s="18" t="s">
        <v>35</v>
      </c>
      <c r="K15" s="18" t="s">
        <v>36</v>
      </c>
    </row>
    <row r="16" spans="1:11" ht="15.75">
      <c r="A16" s="42" t="s">
        <v>37</v>
      </c>
      <c r="B16" s="42"/>
      <c r="C16" s="26">
        <v>849139</v>
      </c>
      <c r="D16" s="14">
        <v>862028.83200000005</v>
      </c>
      <c r="E16" s="14">
        <f>IF(AND(ISNUMBER(C16),ISNUMBER(D16)), C16-D16, "")</f>
        <v>-12889.832000000053</v>
      </c>
      <c r="F16" s="15">
        <f>IFERROR(E16/D16, "")</f>
        <v>-1.4952901250523431E-2</v>
      </c>
      <c r="G16" s="16">
        <v>741173.82</v>
      </c>
      <c r="H16" s="16">
        <f>IF(AND(ISNUMBER(C16),ISNUMBER(G16)), C16-G16, "")</f>
        <v>107965.18000000005</v>
      </c>
      <c r="I16" s="17">
        <f>IFERROR(H16/G16, "")</f>
        <v>0.14566782728510305</v>
      </c>
      <c r="J16" s="18"/>
      <c r="K16" s="18"/>
    </row>
    <row r="17" spans="1:11" ht="30.75">
      <c r="A17" s="42" t="s">
        <v>38</v>
      </c>
      <c r="B17" s="42"/>
      <c r="C17" s="26">
        <v>410147.07428571401</v>
      </c>
      <c r="D17" s="14">
        <v>439864.9</v>
      </c>
      <c r="E17" s="14">
        <f>IF(AND(ISNUMBER(C17),ISNUMBER(D17)), C17-D17, "")</f>
        <v>-29717.825714286009</v>
      </c>
      <c r="F17" s="15">
        <f>IFERROR(E17/D17, "")</f>
        <v>-6.7561257363990643E-2</v>
      </c>
      <c r="G17" s="16">
        <v>551121.9</v>
      </c>
      <c r="H17" s="16">
        <f>IF(AND(ISNUMBER(C17),ISNUMBER(G17)), C17-G17, "")</f>
        <v>-140974.82571428601</v>
      </c>
      <c r="I17" s="17">
        <f>IFERROR(H17/G17, "")</f>
        <v>-0.2557960874250978</v>
      </c>
      <c r="J17" s="18" t="s">
        <v>39</v>
      </c>
      <c r="K17" s="18" t="s">
        <v>40</v>
      </c>
    </row>
    <row r="18" spans="1:11" ht="30.75">
      <c r="A18" s="42" t="s">
        <v>41</v>
      </c>
      <c r="B18" s="42"/>
      <c r="C18" s="26">
        <v>357413.92571428599</v>
      </c>
      <c r="D18" s="14">
        <v>496853</v>
      </c>
      <c r="E18" s="14">
        <f>IF(AND(ISNUMBER(C18),ISNUMBER(D18)), C18-D18, "")</f>
        <v>-139439.07428571401</v>
      </c>
      <c r="F18" s="15">
        <f>IFERROR(E18/D18, "")</f>
        <v>-0.28064452521311939</v>
      </c>
      <c r="G18" s="16">
        <v>433798.9</v>
      </c>
      <c r="H18" s="16">
        <f>IF(AND(ISNUMBER(C18),ISNUMBER(G18)), C18-G18, "")</f>
        <v>-76384.974285714037</v>
      </c>
      <c r="I18" s="17">
        <f>IFERROR(H18/G18, "")</f>
        <v>-0.17608383581819603</v>
      </c>
      <c r="J18" s="18" t="s">
        <v>42</v>
      </c>
      <c r="K18" s="18" t="s">
        <v>43</v>
      </c>
    </row>
    <row r="19" spans="1:11" ht="45.75">
      <c r="A19" s="42" t="s">
        <v>44</v>
      </c>
      <c r="B19" s="42"/>
      <c r="C19" s="26">
        <v>264629</v>
      </c>
      <c r="D19" s="14">
        <v>421860.5</v>
      </c>
      <c r="E19" s="14">
        <f>IF(AND(ISNUMBER(C19),ISNUMBER(D19)), C19-D19, "")</f>
        <v>-157231.5</v>
      </c>
      <c r="F19" s="15">
        <f>IFERROR(E19/D19, "")</f>
        <v>-0.37270969905928619</v>
      </c>
      <c r="G19" s="16">
        <v>263964.59999999998</v>
      </c>
      <c r="H19" s="16">
        <f>IF(AND(ISNUMBER(C19),ISNUMBER(G19)), C19-G19, "")</f>
        <v>664.40000000002328</v>
      </c>
      <c r="I19" s="17">
        <f>IFERROR(H19/G19, "")</f>
        <v>2.5170041740446383E-3</v>
      </c>
      <c r="J19" s="18" t="s">
        <v>45</v>
      </c>
      <c r="K19" s="18" t="s">
        <v>46</v>
      </c>
    </row>
  </sheetData>
  <mergeCells count="4">
    <mergeCell ref="A1:C1"/>
    <mergeCell ref="D1:F1"/>
    <mergeCell ref="G1:I1"/>
    <mergeCell ref="A2:B2"/>
  </mergeCells>
  <conditionalFormatting sqref="F8 I8">
    <cfRule type="cellIs" dxfId="62" priority="25" stopIfTrue="1" operator="lessThanOrEqual">
      <formula>-0.1</formula>
    </cfRule>
    <cfRule type="expression" dxfId="61" priority="26">
      <formula>AND(ISNUMBER(F8), F8&gt;=0.1)</formula>
    </cfRule>
  </conditionalFormatting>
  <conditionalFormatting sqref="F9 I9">
    <cfRule type="cellIs" dxfId="60" priority="23" stopIfTrue="1" operator="lessThanOrEqual">
      <formula>-0.1</formula>
    </cfRule>
    <cfRule type="expression" dxfId="59" priority="24">
      <formula>AND(ISNUMBER(F9), F9&gt;=0.1)</formula>
    </cfRule>
  </conditionalFormatting>
  <conditionalFormatting sqref="F10 I10">
    <cfRule type="cellIs" dxfId="58" priority="21" stopIfTrue="1" operator="lessThanOrEqual">
      <formula>-0.1</formula>
    </cfRule>
    <cfRule type="expression" dxfId="57" priority="22">
      <formula>AND(ISNUMBER(F10), F10&gt;=0.1)</formula>
    </cfRule>
  </conditionalFormatting>
  <conditionalFormatting sqref="F11 I11">
    <cfRule type="cellIs" dxfId="56" priority="19" stopIfTrue="1" operator="lessThanOrEqual">
      <formula>-0.1</formula>
    </cfRule>
    <cfRule type="expression" dxfId="55" priority="20">
      <formula>AND(ISNUMBER(F11), F11&gt;=0.1)</formula>
    </cfRule>
  </conditionalFormatting>
  <conditionalFormatting sqref="F12 I12">
    <cfRule type="cellIs" dxfId="54" priority="17" stopIfTrue="1" operator="lessThanOrEqual">
      <formula>-0.1</formula>
    </cfRule>
    <cfRule type="expression" dxfId="53" priority="18">
      <formula>AND(ISNUMBER(F12), F12&gt;=0.1)</formula>
    </cfRule>
  </conditionalFormatting>
  <conditionalFormatting sqref="F13 I13">
    <cfRule type="cellIs" dxfId="52" priority="15" stopIfTrue="1" operator="lessThanOrEqual">
      <formula>-0.1</formula>
    </cfRule>
    <cfRule type="expression" dxfId="51" priority="16">
      <formula>AND(ISNUMBER(F13), F13&gt;=0.1)</formula>
    </cfRule>
  </conditionalFormatting>
  <conditionalFormatting sqref="F14 I14">
    <cfRule type="cellIs" dxfId="50" priority="13" stopIfTrue="1" operator="lessThanOrEqual">
      <formula>-0.1</formula>
    </cfRule>
    <cfRule type="expression" dxfId="49" priority="14">
      <formula>AND(ISNUMBER(F14), F14&gt;=0.1)</formula>
    </cfRule>
  </conditionalFormatting>
  <conditionalFormatting sqref="F15 I15">
    <cfRule type="cellIs" dxfId="48" priority="11" stopIfTrue="1" operator="lessThanOrEqual">
      <formula>-0.1</formula>
    </cfRule>
    <cfRule type="expression" dxfId="47" priority="12">
      <formula>AND(ISNUMBER(F15), F15&gt;=0.1)</formula>
    </cfRule>
  </conditionalFormatting>
  <conditionalFormatting sqref="F16 I16">
    <cfRule type="cellIs" dxfId="46" priority="9" stopIfTrue="1" operator="lessThanOrEqual">
      <formula>-0.1</formula>
    </cfRule>
    <cfRule type="expression" dxfId="45" priority="10">
      <formula>AND(ISNUMBER(F16), F16&gt;=0.1)</formula>
    </cfRule>
  </conditionalFormatting>
  <conditionalFormatting sqref="F17 I17">
    <cfRule type="cellIs" dxfId="44" priority="7" stopIfTrue="1" operator="lessThanOrEqual">
      <formula>-0.1</formula>
    </cfRule>
    <cfRule type="expression" dxfId="43" priority="8">
      <formula>AND(ISNUMBER(F17), F17&gt;=0.1)</formula>
    </cfRule>
  </conditionalFormatting>
  <conditionalFormatting sqref="F18 I18">
    <cfRule type="cellIs" dxfId="42" priority="5" stopIfTrue="1" operator="lessThanOrEqual">
      <formula>-0.1</formula>
    </cfRule>
    <cfRule type="expression" dxfId="41" priority="6">
      <formula>AND(ISNUMBER(F18), F18&gt;=0.1)</formula>
    </cfRule>
  </conditionalFormatting>
  <conditionalFormatting sqref="F19 I19">
    <cfRule type="cellIs" dxfId="40" priority="3" stopIfTrue="1" operator="lessThanOrEqual">
      <formula>-0.1</formula>
    </cfRule>
    <cfRule type="expression" dxfId="39" priority="4">
      <formula>AND(ISNUMBER(F19), F19&gt;=0.1)</formula>
    </cfRule>
  </conditionalFormatting>
  <conditionalFormatting sqref="F2 I2 F4 I4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302"/>
  <sheetViews>
    <sheetView workbookViewId="0">
      <pane ySplit="2" topLeftCell="A3" activePane="bottomLeft" state="frozen"/>
      <selection pane="bottomLeft" sqref="A1:I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7557850.0049999999</v>
      </c>
      <c r="D2" s="6">
        <f>SUM(D4:D60)</f>
        <v>7995642.9110000003</v>
      </c>
      <c r="E2" s="6">
        <f>C2-D2</f>
        <v>-437792.90600000042</v>
      </c>
      <c r="F2" s="7">
        <f>IFERROR(E2/D2, 0)</f>
        <v>-5.475393422056244E-2</v>
      </c>
      <c r="G2" s="6">
        <f>SUM(G4:G60)</f>
        <v>8153367.2699999996</v>
      </c>
      <c r="H2" s="8">
        <f>C2-G2</f>
        <v>-595517.26499999966</v>
      </c>
      <c r="I2" s="7">
        <f>IFERROR(H2/G2, 0)</f>
        <v>-7.303942595486683E-2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7557850.0049999999</v>
      </c>
      <c r="D4" s="14">
        <f>SUM('1st Qtr'!D4, '2nd Qtr'!D4, '3rd Qtr'!D4, '4th Qtr'!D4)</f>
        <v>7995642.9110000003</v>
      </c>
      <c r="E4" s="14">
        <f>IF(AND(ISNUMBER(C4),ISNUMBER(D4)), C4-D4, "")</f>
        <v>-437792.90600000042</v>
      </c>
      <c r="F4" s="15">
        <f>IFERROR(E4/D4, "")</f>
        <v>-5.475393422056244E-2</v>
      </c>
      <c r="G4" s="16">
        <f>SUM('1st Qtr'!G4,'2nd Qtr'!G4,'3rd Qtr'!G4,'4th Qtr'!G4)</f>
        <v>8153367.2699999996</v>
      </c>
      <c r="H4" s="16">
        <f>SUM('1st Qtr'!H4, '2nd Qtr'!H4, '3rd Qtr'!H4, '4th Qtr'!H4)</f>
        <v>-595517.26499999978</v>
      </c>
      <c r="I4" s="17">
        <f>IFERROR(H4/G4, "")</f>
        <v>-7.3039425954866843E-2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tabSelected="1" workbookViewId="0">
      <pane ySplit="2" topLeftCell="A3" activePane="bottomLeft" state="frozen"/>
      <selection pane="bottomLeft" activeCell="S30" sqref="S30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</row>
    <row r="2" spans="1:9" ht="19.5" customHeight="1">
      <c r="A2" s="46" t="s">
        <v>2</v>
      </c>
      <c r="B2" s="46"/>
      <c r="C2" s="6">
        <f>SUM(C4:C90)</f>
        <v>2464875</v>
      </c>
      <c r="D2" s="6">
        <f>SUM(D4:D90)</f>
        <v>2288937.7000000002</v>
      </c>
      <c r="E2" s="6">
        <f>C2-D2</f>
        <v>175937.29999999981</v>
      </c>
      <c r="F2" s="7">
        <f>IFERROR(E2/D2, 0)</f>
        <v>7.6864171532497277E-2</v>
      </c>
      <c r="G2" s="6">
        <f>SUM(G4:G90)</f>
        <v>2585592.6</v>
      </c>
      <c r="H2" s="8">
        <f>C2-G2</f>
        <v>-120717.60000000009</v>
      </c>
      <c r="I2" s="7">
        <f>IFERROR(H2/G2, 0)</f>
        <v>-4.6688561840716937E-2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2464875</v>
      </c>
      <c r="D4" s="14">
        <f>SUM(Apr!D4, May!D4, Jun!D4)</f>
        <v>2288937.7000000002</v>
      </c>
      <c r="E4" s="14">
        <f>IF(AND(ISNUMBER(C4),ISNUMBER(D4)), C4-D4, "")</f>
        <v>175937.29999999981</v>
      </c>
      <c r="F4" s="15">
        <f>IFERROR(E4/D4, "")</f>
        <v>7.6864171532497277E-2</v>
      </c>
      <c r="G4" s="16">
        <f>SUM(Apr!G4,May!G4,Jun!G4)</f>
        <v>2585592.6</v>
      </c>
      <c r="H4" s="16">
        <f>SUM(Apr!H4, May!H4, Jun!H4)</f>
        <v>-120717.59999999998</v>
      </c>
      <c r="I4" s="17">
        <f>IFERROR(H4/G4, "")</f>
        <v>-4.6688561840716888E-2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51</v>
      </c>
      <c r="E1" s="45"/>
      <c r="F1" s="45"/>
      <c r="G1" s="43" t="s">
        <v>52</v>
      </c>
      <c r="H1" s="43"/>
      <c r="I1" s="43"/>
    </row>
    <row r="2" spans="1:9" ht="19.5" customHeight="1">
      <c r="A2" s="46" t="s">
        <v>2</v>
      </c>
      <c r="B2" s="46"/>
      <c r="C2" s="6">
        <f>SUM(C4:C89)</f>
        <v>2615385</v>
      </c>
      <c r="D2" s="6">
        <f>SUM(D4:D89)</f>
        <v>2646326.8569999998</v>
      </c>
      <c r="E2" s="6">
        <f>C2-D2</f>
        <v>-30941.856999999844</v>
      </c>
      <c r="F2" s="7">
        <f>IFERROR(E2/D2, 0)</f>
        <v>-1.1692379162518489E-2</v>
      </c>
      <c r="G2" s="6">
        <f>SUM(G4:G89)</f>
        <v>2567776.3499999996</v>
      </c>
      <c r="H2" s="8">
        <f>C2-G2</f>
        <v>47608.650000000373</v>
      </c>
      <c r="I2" s="7">
        <f>IFERROR(H2/G2, 0)</f>
        <v>1.8540808665053862E-2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2615385</v>
      </c>
      <c r="D4" s="14">
        <f>SUM(Jul!D4, Aug!D4, Sep!D4)</f>
        <v>2646326.8569999998</v>
      </c>
      <c r="E4" s="14">
        <f>IF(AND(ISNUMBER(C4),ISNUMBER(D4)), C4-D4, "")</f>
        <v>-30941.856999999844</v>
      </c>
      <c r="F4" s="15">
        <f>IFERROR(E4/D4, "")</f>
        <v>-1.1692379162518489E-2</v>
      </c>
      <c r="G4" s="16">
        <f>SUM(Jul!G4,Aug!G4,Sep!G4)</f>
        <v>2567776.3499999996</v>
      </c>
      <c r="H4" s="16">
        <f>SUM(Jul!H4, Aug!H4, Sep!H4)</f>
        <v>47608.65000000014</v>
      </c>
      <c r="I4" s="17">
        <f>IFERROR(H4/G4, "")</f>
        <v>1.8540808665053771E-2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</row>
    <row r="2" spans="1:9" ht="19.5" customHeight="1">
      <c r="A2" s="46" t="s">
        <v>2</v>
      </c>
      <c r="B2" s="46"/>
      <c r="C2" s="6">
        <f>SUM(C4:C89)</f>
        <v>1032190</v>
      </c>
      <c r="D2" s="6">
        <f>SUM(D4:D89)</f>
        <v>1358578.4</v>
      </c>
      <c r="E2" s="6">
        <f>C2-D2</f>
        <v>-326388.39999999991</v>
      </c>
      <c r="F2" s="7">
        <f>IFERROR(E2/D2, 0)</f>
        <v>-0.24024259475934545</v>
      </c>
      <c r="G2" s="6">
        <f>SUM(G4:G89)</f>
        <v>1248885.3999999999</v>
      </c>
      <c r="H2" s="8">
        <f>C2-G2</f>
        <v>-216695.39999999991</v>
      </c>
      <c r="I2" s="7">
        <f>IFERROR(H2/G2, 0)</f>
        <v>-0.17351103632086654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1032190</v>
      </c>
      <c r="D4" s="14">
        <f>SUM(Oct!D4, Nov!D4, Dec!D4)</f>
        <v>1358578.4</v>
      </c>
      <c r="E4" s="14">
        <f>IF(AND(ISNUMBER(C4),ISNUMBER(D4)), C4-D4, "")</f>
        <v>-326388.39999999991</v>
      </c>
      <c r="F4" s="15">
        <f>IFERROR(E4/D4, "")</f>
        <v>-0.24024259475934545</v>
      </c>
      <c r="G4" s="16">
        <f>SUM(Oct!G4,Nov!G4,Dec!G4)</f>
        <v>1248885.3999999999</v>
      </c>
      <c r="H4" s="16">
        <f>SUM(Oct!H4, Nov!H4, Dec!H4)</f>
        <v>-216695.40000000002</v>
      </c>
      <c r="I4" s="17">
        <f>IFERROR(H4/G4, "")</f>
        <v>-0.17351103632086662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57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14</v>
      </c>
      <c r="K4" s="18" t="s">
        <v>15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58</v>
      </c>
      <c r="E1" s="45"/>
      <c r="F1" s="45"/>
      <c r="G1" s="43" t="s">
        <v>59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30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17</v>
      </c>
      <c r="K4" s="18" t="s">
        <v>18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3" sqref="A3:K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60</v>
      </c>
      <c r="E1" s="45"/>
      <c r="F1" s="45"/>
      <c r="G1" s="43" t="s">
        <v>61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20</v>
      </c>
      <c r="K4" s="18" t="s">
        <v>21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62</v>
      </c>
      <c r="E1" s="45"/>
      <c r="F1" s="45"/>
      <c r="G1" s="43" t="s">
        <v>63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129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23</v>
      </c>
      <c r="K4" s="18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3" sqref="A3:K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64</v>
      </c>
      <c r="E1" s="45"/>
      <c r="F1" s="45"/>
      <c r="G1" s="43" t="s">
        <v>65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7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26</v>
      </c>
      <c r="K4" s="18" t="s">
        <v>27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4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66</v>
      </c>
      <c r="E1" s="45"/>
      <c r="F1" s="45"/>
      <c r="G1" s="43" t="s">
        <v>67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894535</v>
      </c>
      <c r="D2" s="6">
        <f>SUM(D4:D90)</f>
        <v>903324.7</v>
      </c>
      <c r="E2" s="6">
        <f>C2-D2</f>
        <v>-8789.6999999999534</v>
      </c>
      <c r="F2" s="7">
        <f>IFERROR(E2/D2, 0)</f>
        <v>-9.7303881981749794E-3</v>
      </c>
      <c r="G2" s="6">
        <f>SUM(G4:G90)</f>
        <v>880592.6</v>
      </c>
      <c r="H2" s="8">
        <f>C2-G2</f>
        <v>13942.400000000023</v>
      </c>
      <c r="I2" s="7">
        <f>IFERROR(H2/G2, 0)</f>
        <v>1.5832974294810134E-2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894535</v>
      </c>
      <c r="D4" s="14">
        <v>903324.7</v>
      </c>
      <c r="E4" s="14">
        <f>IF(AND(ISNUMBER(C4),ISNUMBER(D4)), C4-D4, "")</f>
        <v>-8789.6999999999534</v>
      </c>
      <c r="F4" s="15">
        <f>IFERROR(E4/D4, "")</f>
        <v>-9.7303881981749794E-3</v>
      </c>
      <c r="G4" s="16">
        <v>880592.6</v>
      </c>
      <c r="H4" s="16">
        <f>IF(AND(ISNUMBER(C4),ISNUMBER(G4)), C4-G4, "")</f>
        <v>13942.400000000023</v>
      </c>
      <c r="I4" s="17">
        <f>IFERROR(H4/G4, "")</f>
        <v>1.5832974294810134E-2</v>
      </c>
      <c r="J4" s="18" t="s">
        <v>29</v>
      </c>
      <c r="K4" s="18" t="s">
        <v>30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K4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68</v>
      </c>
      <c r="E1" s="45"/>
      <c r="F1" s="45"/>
      <c r="G1" s="43" t="s">
        <v>69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916545</v>
      </c>
      <c r="D2" s="6">
        <f>SUM(D4:D90)</f>
        <v>922407.79</v>
      </c>
      <c r="E2" s="6">
        <f>C2-D2</f>
        <v>-5862.7900000000373</v>
      </c>
      <c r="F2" s="7">
        <f>IFERROR(E2/D2, 0)</f>
        <v>-6.3559632340052519E-3</v>
      </c>
      <c r="G2" s="6">
        <f>SUM(G4:G90)</f>
        <v>935829.2</v>
      </c>
      <c r="H2" s="8">
        <f>C2-G2</f>
        <v>-19284.199999999953</v>
      </c>
      <c r="I2" s="7">
        <f>IFERROR(H2/G2, 0)</f>
        <v>-2.0606538030657682E-2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916545</v>
      </c>
      <c r="D4" s="14">
        <v>922407.79</v>
      </c>
      <c r="E4" s="14">
        <f>IF(AND(ISNUMBER(C4),ISNUMBER(D4)), C4-D4, "")</f>
        <v>-5862.7900000000373</v>
      </c>
      <c r="F4" s="15">
        <f>IFERROR(E4/D4, "")</f>
        <v>-6.3559632340052519E-3</v>
      </c>
      <c r="G4" s="16">
        <v>935829.2</v>
      </c>
      <c r="H4" s="16">
        <f>IF(AND(ISNUMBER(C4),ISNUMBER(G4)), C4-G4, "")</f>
        <v>-19284.199999999953</v>
      </c>
      <c r="I4" s="17">
        <f>IFERROR(H4/G4, "")</f>
        <v>-2.0606538030657682E-2</v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D3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70</v>
      </c>
      <c r="E1" s="45"/>
      <c r="F1" s="45"/>
      <c r="G1" s="43" t="s">
        <v>71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849701</v>
      </c>
      <c r="D2" s="6">
        <f>SUM(D4:D30)</f>
        <v>861890.23499999999</v>
      </c>
      <c r="E2" s="6">
        <f>C2-D2</f>
        <v>-12189.234999999986</v>
      </c>
      <c r="F2" s="7">
        <f>IFERROR(E2/D2, 0)</f>
        <v>-1.4142444716292656E-2</v>
      </c>
      <c r="G2" s="6">
        <f>SUM(G4:G30)</f>
        <v>890773.33</v>
      </c>
      <c r="H2" s="8">
        <f>C2-G2</f>
        <v>-41072.329999999958</v>
      </c>
      <c r="I2" s="7">
        <f>IFERROR(H2/G2, 0)</f>
        <v>-4.6108621146077597E-2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849701</v>
      </c>
      <c r="D4" s="14">
        <v>861890.23499999999</v>
      </c>
      <c r="E4" s="14">
        <f>IF(AND(ISNUMBER(C4),ISNUMBER(D4)), C4-D4, "")</f>
        <v>-12189.234999999986</v>
      </c>
      <c r="F4" s="15">
        <f>IFERROR(E4/D4, "")</f>
        <v>-1.4142444716292656E-2</v>
      </c>
      <c r="G4" s="16">
        <v>890773.33</v>
      </c>
      <c r="H4" s="16">
        <f>IF(AND(ISNUMBER(C4),ISNUMBER(G4)), C4-G4, "")</f>
        <v>-41072.329999999958</v>
      </c>
      <c r="I4" s="17">
        <f>IFERROR(H4/G4, "")</f>
        <v>-4.6108621146077597E-2</v>
      </c>
      <c r="J4" s="18" t="s">
        <v>35</v>
      </c>
      <c r="K4" s="18" t="s">
        <v>36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72</v>
      </c>
      <c r="E1" s="45"/>
      <c r="F1" s="45"/>
      <c r="G1" s="43" t="s">
        <v>73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849139</v>
      </c>
      <c r="D2" s="6">
        <f>SUM(D4:D90)</f>
        <v>862028.83200000005</v>
      </c>
      <c r="E2" s="6">
        <f>C2-D2</f>
        <v>-12889.832000000053</v>
      </c>
      <c r="F2" s="7">
        <f>IFERROR(E2/D2, 0)</f>
        <v>-1.4952901250523431E-2</v>
      </c>
      <c r="G2" s="6">
        <f>SUM(G4:G90)</f>
        <v>741173.82</v>
      </c>
      <c r="H2" s="8">
        <f>C2-G2</f>
        <v>107965.18000000005</v>
      </c>
      <c r="I2" s="7">
        <f>IFERROR(H2/G2, 0)</f>
        <v>0.14566782728510305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849139</v>
      </c>
      <c r="D4" s="14">
        <v>862028.83200000005</v>
      </c>
      <c r="E4" s="14">
        <f>IF(AND(ISNUMBER(C4),ISNUMBER(D4)), C4-D4, "")</f>
        <v>-12889.832000000053</v>
      </c>
      <c r="F4" s="15">
        <f>IFERROR(E4/D4, "")</f>
        <v>-1.4952901250523431E-2</v>
      </c>
      <c r="G4" s="16">
        <v>741173.82</v>
      </c>
      <c r="H4" s="16">
        <f>IF(AND(ISNUMBER(C4),ISNUMBER(G4)), C4-G4, "")</f>
        <v>107965.18000000005</v>
      </c>
      <c r="I4" s="17">
        <f>IFERROR(H4/G4, "")</f>
        <v>0.14566782728510305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74</v>
      </c>
      <c r="E1" s="45"/>
      <c r="F1" s="45"/>
      <c r="G1" s="43" t="s">
        <v>75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410147.07428571401</v>
      </c>
      <c r="D2" s="6">
        <f>SUM(D4:D90)</f>
        <v>439864.9</v>
      </c>
      <c r="E2" s="6">
        <f>C2-D2</f>
        <v>-29717.825714286009</v>
      </c>
      <c r="F2" s="7">
        <f>IFERROR(E2/D2, 0)</f>
        <v>-6.7561257363990643E-2</v>
      </c>
      <c r="G2" s="6">
        <f>SUM(G4:G90)</f>
        <v>551121.9</v>
      </c>
      <c r="H2" s="8">
        <f>C2-G2</f>
        <v>-140974.82571428601</v>
      </c>
      <c r="I2" s="7">
        <f>IFERROR(H2/G2, 0)</f>
        <v>-0.2557960874250978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410147.07428571401</v>
      </c>
      <c r="D4" s="14">
        <v>439864.9</v>
      </c>
      <c r="E4" s="14">
        <f>IF(AND(ISNUMBER(C4),ISNUMBER(D4)), C4-D4, "")</f>
        <v>-29717.825714286009</v>
      </c>
      <c r="F4" s="15">
        <f>IFERROR(E4/D4, "")</f>
        <v>-6.7561257363990643E-2</v>
      </c>
      <c r="G4" s="16">
        <v>551121.9</v>
      </c>
      <c r="H4" s="16">
        <f>IF(AND(ISNUMBER(C4),ISNUMBER(G4)), C4-G4, "")</f>
        <v>-140974.82571428601</v>
      </c>
      <c r="I4" s="17">
        <f>IFERROR(H4/G4, "")</f>
        <v>-0.2557960874250978</v>
      </c>
      <c r="J4" s="18" t="s">
        <v>39</v>
      </c>
      <c r="K4" s="18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76</v>
      </c>
      <c r="E1" s="45"/>
      <c r="F1" s="45"/>
      <c r="G1" s="43" t="s">
        <v>77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357413.92571428599</v>
      </c>
      <c r="D2" s="6">
        <f>SUM(D4:D90)</f>
        <v>496853</v>
      </c>
      <c r="E2" s="6">
        <f>C2-D2</f>
        <v>-139439.07428571401</v>
      </c>
      <c r="F2" s="7">
        <f>IFERROR(E2/D2, 0)</f>
        <v>-0.28064452521311939</v>
      </c>
      <c r="G2" s="6">
        <f>SUM(G4:G90)</f>
        <v>433798.9</v>
      </c>
      <c r="H2" s="8">
        <f>C2-G2</f>
        <v>-76384.974285714037</v>
      </c>
      <c r="I2" s="7">
        <f>IFERROR(H2/G2, 0)</f>
        <v>-0.17608383581819603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357413.92571428599</v>
      </c>
      <c r="D4" s="14">
        <v>496853</v>
      </c>
      <c r="E4" s="14">
        <f>IF(AND(ISNUMBER(C4),ISNUMBER(D4)), C4-D4, "")</f>
        <v>-139439.07428571401</v>
      </c>
      <c r="F4" s="15">
        <f>IFERROR(E4/D4, "")</f>
        <v>-0.28064452521311939</v>
      </c>
      <c r="G4" s="16">
        <v>433798.9</v>
      </c>
      <c r="H4" s="16">
        <f>IF(AND(ISNUMBER(C4),ISNUMBER(G4)), C4-G4, "")</f>
        <v>-76384.974285714037</v>
      </c>
      <c r="I4" s="17">
        <f>IFERROR(H4/G4, "")</f>
        <v>-0.17608383581819603</v>
      </c>
      <c r="J4" s="18" t="s">
        <v>42</v>
      </c>
      <c r="K4" s="18" t="s">
        <v>43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4" sqref="A4:XF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78</v>
      </c>
      <c r="E1" s="45"/>
      <c r="F1" s="45"/>
      <c r="G1" s="43" t="s">
        <v>79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264629</v>
      </c>
      <c r="D2" s="6">
        <f>SUM(D4:D90)</f>
        <v>421860.5</v>
      </c>
      <c r="E2" s="6">
        <f>C2-D2</f>
        <v>-157231.5</v>
      </c>
      <c r="F2" s="7">
        <f>IFERROR(E2/D2, 0)</f>
        <v>-0.37270969905928619</v>
      </c>
      <c r="G2" s="6">
        <f>SUM(G4:G90)</f>
        <v>263964.59999999998</v>
      </c>
      <c r="H2" s="8">
        <f>C2-G2</f>
        <v>664.40000000002328</v>
      </c>
      <c r="I2" s="7">
        <f>IFERROR(H2/G2, 0)</f>
        <v>2.5170041740446383E-3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11</v>
      </c>
      <c r="K3" s="27" t="s">
        <v>12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264629</v>
      </c>
      <c r="D4" s="14">
        <v>421860.5</v>
      </c>
      <c r="E4" s="14">
        <f>IF(AND(ISNUMBER(C4),ISNUMBER(D4)), C4-D4, "")</f>
        <v>-157231.5</v>
      </c>
      <c r="F4" s="15">
        <f>IFERROR(E4/D4, "")</f>
        <v>-0.37270969905928619</v>
      </c>
      <c r="G4" s="16">
        <v>263964.59999999998</v>
      </c>
      <c r="H4" s="16">
        <f>IF(AND(ISNUMBER(C4),ISNUMBER(G4)), C4-G4, "")</f>
        <v>664.40000000002328</v>
      </c>
      <c r="I4" s="17">
        <f>IFERROR(H4/G4, "")</f>
        <v>2.5170041740446383E-3</v>
      </c>
      <c r="J4" s="18" t="s">
        <v>45</v>
      </c>
      <c r="K4" s="18" t="s">
        <v>46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S39" sqref="S3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80</v>
      </c>
      <c r="B1" t="s">
        <v>81</v>
      </c>
    </row>
    <row r="3" spans="1:7" ht="13.15">
      <c r="A3" t="s">
        <v>82</v>
      </c>
      <c r="B3" t="s">
        <v>3</v>
      </c>
      <c r="C3" t="s">
        <v>4</v>
      </c>
      <c r="D3" t="s">
        <v>83</v>
      </c>
      <c r="E3" s="2" t="s">
        <v>84</v>
      </c>
    </row>
    <row r="4" spans="1:7" ht="14.45">
      <c r="A4" t="s">
        <v>85</v>
      </c>
      <c r="B4" t="s">
        <v>86</v>
      </c>
      <c r="C4" s="4" t="s">
        <v>87</v>
      </c>
      <c r="D4" t="s">
        <v>88</v>
      </c>
      <c r="E4" t="s">
        <v>89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D9B2453B-942D-4C55-93E1-14B1305391F6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Grammenos, Alexander</cp:lastModifiedBy>
  <cp:revision/>
  <dcterms:created xsi:type="dcterms:W3CDTF">2021-01-01T16:39:53Z</dcterms:created>
  <dcterms:modified xsi:type="dcterms:W3CDTF">2025-11-19T05:12:41Z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2025-11-19T02:59:20Z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87a5a14d-09ce-4e01-8266-f43651f0e41b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