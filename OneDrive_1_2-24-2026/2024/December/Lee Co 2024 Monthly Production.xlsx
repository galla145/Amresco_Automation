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4" documentId="13_ncr:1_{F92995BD-B723-4E7E-9950-F1435C1095C7}" xr6:coauthVersionLast="47" xr6:coauthVersionMax="47" xr10:uidLastSave="{64DD9371-435F-42E3-ADCB-EA7FEED9D6FF}"/>
  <bookViews>
    <workbookView xWindow="1428" yWindow="1236" windowWidth="17280" windowHeight="8880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2" i="29" s="1"/>
  <c r="G4" i="30"/>
  <c r="G2" i="30" s="1"/>
  <c r="A4" i="26" a="1"/>
  <c r="A4" i="26"/>
  <c r="G4" i="18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C4" i="18"/>
  <c r="E4" i="18" s="1"/>
  <c r="F4" i="18" s="1"/>
  <c r="D2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<sst xmlns="http://schemas.openxmlformats.org/spreadsheetml/2006/main" count="240" uniqueCount="54">
  <si>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</si>
  <si>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</si>
  <si>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</si>
  <si>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</si>
  <si>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</si>
  <si>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</si>
  <si>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</si>
  <si>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</si>
  <si>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</si>
  <si>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</si>
  <si>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</si>
  <si>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</si>
  <si>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</si>
  <si>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</si>
  <si>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</si>
  <si>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</si>
  <si>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</si>
  <si>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</si>
  <si>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</si>
  <si>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</si>
  <si>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</si>
  <si>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</si>
  <si>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</si>
  <si>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</si>
  <si>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</si>
  <si>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</si>
  <si>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</si>
  <si>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</si>
  <si>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</si>
  <si>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</si>
  <si>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</si>
  <si>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</si>
  <si>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</si>
  <si>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</si>
  <si>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</si>
  <si>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</si>
  <si>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</si>
  <si>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</si>
  <si>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</si>
  <si>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</si>
  <si>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</si>
  <si>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</si>
  <si>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</si>
  <si>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</si>
  <si>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</si>
  <si>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Lee Company</t>
  </si>
  <si>
    <t>Site DAS Name</t>
  </si>
  <si>
    <t>Update</t>
  </si>
  <si>
    <t>DAS</t>
  </si>
  <si>
    <t>Lee Building 41</t>
  </si>
  <si>
    <t>CT: Westbrook - Building #41</t>
  </si>
  <si>
    <t>CT</t>
  </si>
  <si>
    <t>A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</si>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</sst>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4"/>
  <sheetViews>
    <sheetView workbookViewId="0">
      <pane xSplit="2" ySplit="3" topLeftCell="C4" activePane="bottomRight" state="frozen"/>
      <selection pane="bottomRight" activeCell="G8" sqref="G8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Lee Company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5">
        <f>SUM(C4:C72)</f>
        <v>216989.17199999999</v>
      </c>
      <c r="D2" s="5">
        <f>SUM(D4:D72)</f>
        <v>0</v>
      </c>
      <c r="E2" s="5">
        <f>C2-D2</f>
        <v>216989.17199999999</v>
      </c>
      <c r="F2" s="6">
        <f>IFERROR(E2/D2, 0)</f>
        <v>0</v>
      </c>
      <c r="G2" s="5">
        <f>SUM(G4:G72)</f>
        <v>0</v>
      </c>
      <c r="H2" s="7">
        <f>C2-G2</f>
        <v>216989.17199999999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CT: Westbrook - Building #41</v>
      </c>
      <c r="B4" s="9" t="str" cm="1">
        <f t="array" ref="B4">Sites[State]</f>
        <v>CT</v>
      </c>
      <c r="C4" s="18">
        <f>SUM('1st Qtr'!C4, '2nd Qtr'!C4, '3rd Qtr'!C4, '4th Qtr'!C4)</f>
        <v>216989.17199999999</v>
      </c>
      <c r="D4" s="11">
        <f>SUM('1st Qtr'!D4, '2nd Qtr'!D4, '3rd Qtr'!D4, '4th Qtr'!D4)</f>
        <v>0</v>
      </c>
      <c r="E4" s="11">
        <f>IF(AND(ISNUMBER(C4),ISNUMBER(D4)), C4-D4, "")</f>
        <v>216989.17199999999</v>
      </c>
      <c r="F4" s="12" t="str">
        <f>IFERROR(E4/D4, "")</f>
        <v/>
      </c>
      <c r="G4" s="13">
        <f>SUM('1st Qtr'!G4, '2nd Qtr'!G4, '3rd Qtr'!G4, '4th Qtr'!G4)</f>
        <v>0</v>
      </c>
      <c r="H4" s="13">
        <f>SUM('1st Qtr'!H4, '2nd Qtr'!H4, '3rd Qtr'!H4, '4th Qtr'!H4)</f>
        <v>216989.17199999999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2 I4:I7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4"/>
  <sheetViews>
    <sheetView workbookViewId="0">
      <pane xSplit="2" ySplit="3" topLeftCell="C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Lee Company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5">
        <f>SUM(C4:C72)</f>
        <v>37694.215250000001</v>
      </c>
      <c r="D2" s="5">
        <f>SUM(D4:D72)</f>
        <v>0</v>
      </c>
      <c r="E2" s="5">
        <f>C2-D2</f>
        <v>37694.215250000001</v>
      </c>
      <c r="F2" s="6">
        <f>IFERROR(E2/D2, 0)</f>
        <v>0</v>
      </c>
      <c r="G2" s="5">
        <f>SUM(G4:G72)</f>
        <v>0</v>
      </c>
      <c r="H2" s="7">
        <f>C2-G2</f>
        <v>37694.215250000001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Westbrook - Building #41</v>
      </c>
      <c r="B4" s="9" t="str" cm="1">
        <f t="array" ref="B4">Sites[State]</f>
        <v>CT</v>
      </c>
      <c r="C4" s="18">
        <f>SUM(Jan!C4, Feb!C4, Mar!C4)</f>
        <v>37694.215250000001</v>
      </c>
      <c r="D4" s="11">
        <f>SUM(Jan!D4, Feb!D4, Mar!D4)</f>
        <v>0</v>
      </c>
      <c r="E4" s="11">
        <f>IF(AND(ISNUMBER(C4),ISNUMBER(D4)), C4-D4, "")</f>
        <v>37694.215250000001</v>
      </c>
      <c r="F4" s="12" t="str">
        <f>IFERROR(E4/D4, "")</f>
        <v/>
      </c>
      <c r="G4" s="13">
        <f>SUM(Jan!G4, Feb!G4, Mar!G4)</f>
        <v>0</v>
      </c>
      <c r="H4" s="13">
        <f>SUM(Jan!H4, Feb!H4, Mar!H4)</f>
        <v>37694.215250000001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2 I4:I7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4"/>
  <sheetViews>
    <sheetView workbookViewId="0">
      <pane xSplit="2" ySplit="3" topLeftCell="C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Lee Company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5">
        <f>SUM(C4:C72)</f>
        <v>78802.675000000003</v>
      </c>
      <c r="D2" s="5">
        <f>SUM(D4:D72)</f>
        <v>0</v>
      </c>
      <c r="E2" s="5">
        <f>C2-D2</f>
        <v>78802.675000000003</v>
      </c>
      <c r="F2" s="6">
        <f>IFERROR(E2/D2, 0)</f>
        <v>0</v>
      </c>
      <c r="G2" s="5">
        <f>SUM(G4:G72)</f>
        <v>0</v>
      </c>
      <c r="H2" s="7">
        <f>C2-G2</f>
        <v>78802.675000000003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Westbrook - Building #41</v>
      </c>
      <c r="B4" s="9" t="str" cm="1">
        <f t="array" ref="B4">Sites[State]</f>
        <v>CT</v>
      </c>
      <c r="C4" s="18">
        <f>SUM(Apr!C4, May!C4, Jun!C4)</f>
        <v>78802.675000000003</v>
      </c>
      <c r="D4" s="11">
        <f>SUM(Apr!D4, May!D4, Jun!D4)</f>
        <v>0</v>
      </c>
      <c r="E4" s="11">
        <f>IF(AND(ISNUMBER(C4),ISNUMBER(D4)), C4-D4, "")</f>
        <v>78802.675000000003</v>
      </c>
      <c r="F4" s="12" t="str">
        <f>IFERROR(E4/D4, "")</f>
        <v/>
      </c>
      <c r="G4" s="13">
        <f>SUM(Apr!G4,May!G4,Jun!G4)</f>
        <v>0</v>
      </c>
      <c r="H4" s="13">
        <f>SUM(Apr!H4, May!H4, Jun!H4)</f>
        <v>78802.675000000003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2 I4:I72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4"/>
  <sheetViews>
    <sheetView workbookViewId="0">
      <pane xSplit="2" ySplit="3" topLeftCell="C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Lee Company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5">
        <f>SUM(C4:C72)</f>
        <v>67980.96875</v>
      </c>
      <c r="D2" s="5">
        <f>SUM(D4:D72)</f>
        <v>0</v>
      </c>
      <c r="E2" s="5">
        <f>C2-D2</f>
        <v>67980.96875</v>
      </c>
      <c r="F2" s="6">
        <f>IFERROR(E2/D2, 0)</f>
        <v>0</v>
      </c>
      <c r="G2" s="5">
        <f>SUM(G4:G72)</f>
        <v>0</v>
      </c>
      <c r="H2" s="7">
        <f>C2-G2</f>
        <v>67980.96875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Westbrook - Building #41</v>
      </c>
      <c r="B4" s="9" t="str" cm="1">
        <f t="array" ref="B4">Sites[State]</f>
        <v>CT</v>
      </c>
      <c r="C4" s="18">
        <f>SUM(Jul!C4, Aug!C4, Sep!C4)</f>
        <v>67980.96875</v>
      </c>
      <c r="D4" s="11">
        <f>SUM(Jul!D4, Aug!D4, Sep!D4)</f>
        <v>0</v>
      </c>
      <c r="E4" s="11">
        <f>IF(AND(ISNUMBER(C4),ISNUMBER(D4)), C4-D4, "")</f>
        <v>67980.96875</v>
      </c>
      <c r="F4" s="12" t="str">
        <f>IFERROR(E4/D4, "")</f>
        <v/>
      </c>
      <c r="G4" s="13">
        <f>SUM(Jul!G4,Aug!G4,Sep!G4)</f>
        <v>0</v>
      </c>
      <c r="H4" s="13">
        <f>SUM(Jul!H4, Aug!H4, Sep!H4)</f>
        <v>67980.96875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mergeCells count="4">
    <mergeCell ref="G1:I1"/>
    <mergeCell ref="A1:C1"/>
    <mergeCell ref="D1:F1"/>
    <mergeCell ref="A2:B2"/>
  </mergeCells>
  <conditionalFormatting sqref="F2 I2 F4:F72 I4:I72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4"/>
  <sheetViews>
    <sheetView workbookViewId="0">
      <pane xSplit="2" ySplit="3" topLeftCell="C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Lee Company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5">
        <f>SUM(C4:C72)</f>
        <v>32511.313000000002</v>
      </c>
      <c r="D2" s="5">
        <f>SUM(D4:D72)</f>
        <v>0</v>
      </c>
      <c r="E2" s="5">
        <f>C2-D2</f>
        <v>32511.313000000002</v>
      </c>
      <c r="F2" s="6">
        <f>IFERROR(E2/D2, 0)</f>
        <v>0</v>
      </c>
      <c r="G2" s="5">
        <f>SUM(G4:G72)</f>
        <v>0</v>
      </c>
      <c r="H2" s="7">
        <f>C2-G2</f>
        <v>32511.313000000002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Westbrook - Building #41</v>
      </c>
      <c r="B4" s="9" t="str" cm="1">
        <f t="array" ref="B4">Sites[State]</f>
        <v>CT</v>
      </c>
      <c r="C4" s="18">
        <f>SUM(Oct!C4, Nov!C4, Dec!C4)</f>
        <v>32511.313000000002</v>
      </c>
      <c r="D4" s="11">
        <f>SUM(Oct!D4, Nov!D4, Dec!D4)</f>
        <v>0</v>
      </c>
      <c r="E4" s="11">
        <f>IF(AND(ISNUMBER(C4),ISNUMBER(D4)), C4-D4, "")</f>
        <v>32511.313000000002</v>
      </c>
      <c r="F4" s="12" t="str">
        <f>IFERROR(E4/D4, "")</f>
        <v/>
      </c>
      <c r="G4" s="13">
        <f>SUM(Oct!G4,Nov!G4,Dec!G4)</f>
        <v>0</v>
      </c>
      <c r="H4" s="13">
        <f>SUM(Oct!H4, Nov!H4, Dec!H4)</f>
        <v>32511.313000000002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mergeCells count="4">
    <mergeCell ref="G1:I1"/>
    <mergeCell ref="A1:C1"/>
    <mergeCell ref="D1:F1"/>
    <mergeCell ref="A2:B2"/>
  </mergeCells>
  <conditionalFormatting sqref="F2 I2 F4:F72 I4:I72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3"/>
  <sheetViews>
    <sheetView workbookViewId="0">
      <pane xSplit="2" ySplit="3" topLeftCell="C4" activePane="bottomRight" state="frozen"/>
      <selection pane="bottomRight" activeCell="F13" sqref="F13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SUM(C4:C71)</f>
        <v>6337.03125</v>
      </c>
      <c r="D2" s="5">
        <f>SUM(D4:D71)</f>
        <v>0</v>
      </c>
      <c r="E2" s="5">
        <f>C2-D2</f>
        <v>6337.03125</v>
      </c>
      <c r="F2" s="6">
        <f>IFERROR(E2/D2, 0)</f>
        <v>0</v>
      </c>
      <c r="G2" s="5">
        <f>SUM(G4:G71)</f>
        <v>0</v>
      </c>
      <c r="H2" s="7">
        <f>C2-G2</f>
        <v>6337.03125</v>
      </c>
      <c r="I2" s="6">
        <f>IFERROR(H2/G2, 0)</f>
        <v>0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CT: Westbrook - Building #41</v>
      </c>
      <c r="B4" s="22" t="str" cm="1">
        <f t="array" ref="B4">Sites[State]</f>
        <v>CT</v>
      </c>
      <c r="C4" s="11">
        <v>6337.03125</v>
      </c>
      <c r="D4" s="11">
        <v>0</v>
      </c>
      <c r="E4" s="11">
        <f>IF(AND(ISNUMBER(C4),ISNUMBER(D4)), C4-D4, "")</f>
        <v>6337.03125</v>
      </c>
      <c r="F4" s="34" t="str">
        <f>IFERROR(E4/D4, "")</f>
        <v/>
      </c>
      <c r="G4" s="13">
        <v>0</v>
      </c>
      <c r="H4" s="13">
        <f>IF(AND(ISNUMBER(C4),ISNUMBER(G4)), C4-G4, "")</f>
        <v>6337.03125</v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D1:F1"/>
    <mergeCell ref="A1:C1"/>
    <mergeCell ref="G1:I1"/>
    <mergeCell ref="A2:B2"/>
  </mergeCells>
  <conditionalFormatting sqref="F2 I2 I4:I71 F5:F71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4"/>
  <sheetViews>
    <sheetView workbookViewId="0">
      <pane xSplit="2" ySplit="3" topLeftCell="C4" activePane="bottomRight" state="frozen"/>
      <selection pane="bottomRight" activeCell="G11" sqref="G11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12435.183999999999</v>
      </c>
      <c r="D2" s="5">
        <f>SUM(D4:D72)</f>
        <v>0</v>
      </c>
      <c r="E2" s="5">
        <f>C2-D2</f>
        <v>12435.183999999999</v>
      </c>
      <c r="F2" s="6">
        <f>IFERROR(E2/D2, 0)</f>
        <v>0</v>
      </c>
      <c r="G2" s="5">
        <f>SUM(G4:G72)</f>
        <v>0</v>
      </c>
      <c r="H2" s="7">
        <f>C2-G2</f>
        <v>12435.183999999999</v>
      </c>
      <c r="I2" s="6">
        <f>IFERROR(H2/G2, 0)</f>
        <v>0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CT: Westbrook - Building #41</v>
      </c>
      <c r="B4" s="22" t="str" cm="1">
        <f t="array" ref="B4">Sites[State]</f>
        <v>CT</v>
      </c>
      <c r="C4" s="18">
        <v>12435.183999999999</v>
      </c>
      <c r="D4" s="11">
        <v>0</v>
      </c>
      <c r="E4" s="11">
        <f>IF(AND(ISNUMBER(C4),ISNUMBER(D4)), C4-D4, "")</f>
        <v>12435.183999999999</v>
      </c>
      <c r="F4" s="12" t="str">
        <f>IFERROR(E4/D4, "")</f>
        <v/>
      </c>
      <c r="G4" s="13">
        <v>0</v>
      </c>
      <c r="H4" s="13">
        <f>IF(AND(ISNUMBER(C4),ISNUMBER(G4)), C4-G4, "")</f>
        <v>12435.183999999999</v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4"/>
  <sheetViews>
    <sheetView workbookViewId="0">
      <pane xSplit="2" ySplit="3" topLeftCell="F4" activePane="bottomRight" state="frozen"/>
      <selection pane="bottomRight" activeCell="E13" sqref="E13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18922</v>
      </c>
      <c r="D2" s="5">
        <f>SUM(D4:D72)</f>
        <v>0</v>
      </c>
      <c r="E2" s="5">
        <f>C2-D2</f>
        <v>18922</v>
      </c>
      <c r="F2" s="6">
        <f>IFERROR(E2/D2, 0)</f>
        <v>0</v>
      </c>
      <c r="G2" s="5">
        <f>SUM(G4:G72)</f>
        <v>0</v>
      </c>
      <c r="H2" s="7">
        <f>C2-G2</f>
        <v>18922</v>
      </c>
      <c r="I2" s="6">
        <f>IFERROR(H2/G2, 0)</f>
        <v>0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>
        <v>18922</v>
      </c>
      <c r="D4" s="11">
        <v>0</v>
      </c>
      <c r="E4" s="11">
        <f>IF(AND(ISNUMBER(C4),ISNUMBER(D4)), C4-D4, "")</f>
        <v>18922</v>
      </c>
      <c r="F4" s="12" t="str">
        <f>IFERROR(E4/D4, "")</f>
        <v/>
      </c>
      <c r="G4" s="13">
        <v>0</v>
      </c>
      <c r="H4" s="13">
        <f>IF(AND(ISNUMBER(C4),ISNUMBER(G4)), C4-G4, "")</f>
        <v>18922</v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4"/>
  <sheetViews>
    <sheetView workbookViewId="0">
      <pane xSplit="2" ySplit="3" topLeftCell="D4" activePane="bottomRight" state="frozen"/>
      <selection pane="bottomRight" activeCell="G5" sqref="G5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21921.305</v>
      </c>
      <c r="D2" s="5">
        <f>SUM(D4:D72)</f>
        <v>0</v>
      </c>
      <c r="E2" s="5">
        <f>C2-D2</f>
        <v>21921.305</v>
      </c>
      <c r="F2" s="6">
        <f>IFERROR(E2/D2, 0)</f>
        <v>0</v>
      </c>
      <c r="G2" s="5">
        <f>SUM(G4:G72)</f>
        <v>0</v>
      </c>
      <c r="H2" s="7">
        <f>C2-G2</f>
        <v>21921.305</v>
      </c>
      <c r="I2" s="6">
        <f>IFERROR(H2/G2, 0)</f>
        <v>0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>
        <v>21921.305</v>
      </c>
      <c r="D4" s="11">
        <v>0</v>
      </c>
      <c r="E4" s="11">
        <f>IF(AND(ISNUMBER(C4),ISNUMBER(D4)), C4-D4, "")</f>
        <v>21921.305</v>
      </c>
      <c r="F4" s="12" t="str">
        <f>IFERROR(E4/D4, "")</f>
        <v/>
      </c>
      <c r="G4" s="13">
        <v>0</v>
      </c>
      <c r="H4" s="13">
        <f>IF(AND(ISNUMBER(C4),ISNUMBER(G4)), C4-G4, "")</f>
        <v>21921.305</v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4"/>
  <sheetViews>
    <sheetView workbookViewId="0">
      <pane xSplit="2" ySplit="3" topLeftCell="C4" activePane="bottomRight" state="frozen"/>
      <selection pane="bottomRight" activeCell="H4" sqref="H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26753.35</v>
      </c>
      <c r="D2" s="5">
        <f>SUM(D4:D72)</f>
        <v>0</v>
      </c>
      <c r="E2" s="5">
        <f>C2-D2</f>
        <v>26753.35</v>
      </c>
      <c r="F2" s="6">
        <f>IFERROR(E2/D2, 0)</f>
        <v>0</v>
      </c>
      <c r="G2" s="5">
        <f>SUM(G4:G72)</f>
        <v>0</v>
      </c>
      <c r="H2" s="7">
        <f>C2-G2</f>
        <v>26753.35</v>
      </c>
      <c r="I2" s="6">
        <f>IFERROR(H2/G2, 0)</f>
        <v>0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>
        <v>26753.35</v>
      </c>
      <c r="D4" s="11">
        <v>0</v>
      </c>
      <c r="E4" s="11">
        <f>IF(AND(ISNUMBER(C4),ISNUMBER(D4)), C4-D4, "")</f>
        <v>26753.35</v>
      </c>
      <c r="F4" s="12" t="str">
        <f>IFERROR(E4/D4, "")</f>
        <v/>
      </c>
      <c r="G4" s="13">
        <v>0</v>
      </c>
      <c r="H4" s="13">
        <f>IF(AND(ISNUMBER(C4),ISNUMBER(G4)), C4-G4, "")</f>
        <v>26753.35</v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4"/>
  <sheetViews>
    <sheetView workbookViewId="0">
      <pane xSplit="2" ySplit="3" topLeftCell="C4" activePane="bottomRight" state="frozen"/>
      <selection pane="bottomRight" activeCell="G5" sqref="G5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30128.02</v>
      </c>
      <c r="D2" s="5">
        <f>SUM(D4:D72)</f>
        <v>0</v>
      </c>
      <c r="E2" s="5">
        <f>C2-D2</f>
        <v>30128.02</v>
      </c>
      <c r="F2" s="6">
        <f>IFERROR(E2/D2, 0)</f>
        <v>0</v>
      </c>
      <c r="G2" s="5">
        <f>SUM(G4:G72)</f>
        <v>0</v>
      </c>
      <c r="H2" s="7">
        <f>C2-G2</f>
        <v>30128.02</v>
      </c>
      <c r="I2" s="6">
        <f>IFERROR(H2/G2, 0)</f>
        <v>0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>
        <v>30128.02</v>
      </c>
      <c r="D4" s="11">
        <v>0</v>
      </c>
      <c r="E4" s="11">
        <f>IF(AND(ISNUMBER(C4),ISNUMBER(D4)), C4-D4, "")</f>
        <v>30128.02</v>
      </c>
      <c r="F4" s="12" t="str">
        <f>IFERROR(E4/D4, "")</f>
        <v/>
      </c>
      <c r="G4" s="13">
        <v>0</v>
      </c>
      <c r="H4" s="13">
        <f>IF(AND(ISNUMBER(C4),ISNUMBER(G4)), C4-G4, "")</f>
        <v>30128.02</v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4"/>
  <sheetViews>
    <sheetView workbookViewId="0">
      <pane xSplit="2" ySplit="3" topLeftCell="C4" activePane="bottomRight" state="frozen"/>
      <selection pane="bottomRight" activeCell="A10" sqref="A1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25503.484375</v>
      </c>
      <c r="D2" s="5">
        <f>SUM(D4:D72)</f>
        <v>0</v>
      </c>
      <c r="E2" s="5">
        <f>C2-D2</f>
        <v>25503.484375</v>
      </c>
      <c r="F2" s="6">
        <f>IFERROR(E2/D2, 0)</f>
        <v>0</v>
      </c>
      <c r="G2" s="5">
        <f>SUM(G4:G72)</f>
        <v>0</v>
      </c>
      <c r="H2" s="7">
        <f>C2-G2</f>
        <v>25503.484375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>
        <v>25503.484375</v>
      </c>
      <c r="D4" s="11">
        <v>0</v>
      </c>
      <c r="E4" s="11">
        <f>IF(AND(ISNUMBER(C4),ISNUMBER(D4)), C4-D4, "")</f>
        <v>25503.484375</v>
      </c>
      <c r="F4" s="12" t="str">
        <f>IFERROR(E4/D4, "")</f>
        <v/>
      </c>
      <c r="G4" s="13">
        <v>0</v>
      </c>
      <c r="H4" s="13">
        <f>IF(AND(ISNUMBER(C4),ISNUMBER(G4)), C4-G4, "")</f>
        <v>25503.484375</v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2 I4:I7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4"/>
  <sheetViews>
    <sheetView workbookViewId="0">
      <pane xSplit="2" ySplit="3" topLeftCell="C4" activePane="bottomRight" state="frozen"/>
      <selection pane="bottomRight" activeCell="E9" sqref="E9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23962.78125</v>
      </c>
      <c r="D2" s="5">
        <f>SUM(D4:D72)</f>
        <v>0</v>
      </c>
      <c r="E2" s="5">
        <f>C2-D2</f>
        <v>23962.78125</v>
      </c>
      <c r="F2" s="6">
        <f>IFERROR(E2/D2, 0)</f>
        <v>0</v>
      </c>
      <c r="G2" s="5">
        <f>SUM(G4:G72)</f>
        <v>0</v>
      </c>
      <c r="H2" s="7">
        <f>C2-G2</f>
        <v>23962.78125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>
        <v>23962.78125</v>
      </c>
      <c r="D4" s="11">
        <v>0</v>
      </c>
      <c r="E4" s="11">
        <f>IF(AND(ISNUMBER(C4),ISNUMBER(D4)), C4-D4, "")</f>
        <v>23962.78125</v>
      </c>
      <c r="F4" s="12" t="str">
        <f>IFERROR(E4/D4, "")</f>
        <v/>
      </c>
      <c r="G4" s="13">
        <v>0</v>
      </c>
      <c r="H4" s="13">
        <f>IF(AND(ISNUMBER(C4),ISNUMBER(G4)), C4-G4, "")</f>
        <v>23962.78125</v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4"/>
  <sheetViews>
    <sheetView workbookViewId="0">
      <pane xSplit="2" ySplit="3" topLeftCell="C4" activePane="bottomRight" state="frozen"/>
      <selection pane="bottomRight" activeCell="H19" sqref="H19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18514.703125</v>
      </c>
      <c r="D2" s="5">
        <f>SUM(D4:D72)</f>
        <v>0</v>
      </c>
      <c r="E2" s="5">
        <f>C2-D2</f>
        <v>18514.703125</v>
      </c>
      <c r="F2" s="6">
        <f>IFERROR(E2/D2, 0)</f>
        <v>0</v>
      </c>
      <c r="G2" s="5">
        <f>SUM(G4:G72)</f>
        <v>0</v>
      </c>
      <c r="H2" s="7">
        <f>C2-G2</f>
        <v>18514.703125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>
        <v>18514.703125</v>
      </c>
      <c r="D4" s="11">
        <v>0</v>
      </c>
      <c r="E4" s="11">
        <f>IF(AND(ISNUMBER(C4),ISNUMBER(D4)), C4-D4, "")</f>
        <v>18514.703125</v>
      </c>
      <c r="F4" s="12" t="str">
        <f>IFERROR(E4/D4, "")</f>
        <v/>
      </c>
      <c r="G4" s="13">
        <v>0</v>
      </c>
      <c r="H4" s="13">
        <f>IF(AND(ISNUMBER(C4),ISNUMBER(G4)), C4-G4, "")</f>
        <v>18514.703125</v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4"/>
  <sheetViews>
    <sheetView workbookViewId="0">
      <pane xSplit="2" ySplit="3" topLeftCell="C4" activePane="bottomRight" state="frozen"/>
      <selection pane="bottomRight" activeCell="F11" sqref="F11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16077.140625</v>
      </c>
      <c r="D2" s="5">
        <f>SUM(D4:D72)</f>
        <v>0</v>
      </c>
      <c r="E2" s="5">
        <f>C2-D2</f>
        <v>16077.140625</v>
      </c>
      <c r="F2" s="6">
        <f>IFERROR(E2/D2, 0)</f>
        <v>0</v>
      </c>
      <c r="G2" s="5">
        <f>SUM(G4:G72)</f>
        <v>0</v>
      </c>
      <c r="H2" s="7">
        <f>C2-G2</f>
        <v>16077.140625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>
        <v>16077.140625</v>
      </c>
      <c r="D4" s="11">
        <v>0</v>
      </c>
      <c r="E4" s="11">
        <f>IF(AND(ISNUMBER(C4),ISNUMBER(D4)), C4-D4, "")</f>
        <v>16077.140625</v>
      </c>
      <c r="F4" s="12" t="str">
        <f>IFERROR(E4/D4, "")</f>
        <v/>
      </c>
      <c r="G4" s="13">
        <v>0</v>
      </c>
      <c r="H4" s="13">
        <f>IF(AND(ISNUMBER(C4),ISNUMBER(G4)), C4-G4, "")</f>
        <v>16077.140625</v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4"/>
  <sheetViews>
    <sheetView workbookViewId="0">
      <pane xSplit="2" ySplit="3" topLeftCell="C4" activePane="bottomRight" state="frozen"/>
      <selection pane="bottomRight" activeCell="G12" sqref="G12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9574.734375</v>
      </c>
      <c r="D2" s="5">
        <f>SUM(D4:D72)</f>
        <v>0</v>
      </c>
      <c r="E2" s="5">
        <f>C2-D2</f>
        <v>9574.734375</v>
      </c>
      <c r="F2" s="6">
        <f>IFERROR(E2/D2, 0)</f>
        <v>0</v>
      </c>
      <c r="G2" s="5">
        <f>SUM(G4:G72)</f>
        <v>0</v>
      </c>
      <c r="H2" s="7">
        <f>C2-G2</f>
        <v>9574.734375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>
        <v>9574.734375</v>
      </c>
      <c r="D4" s="11">
        <v>0</v>
      </c>
      <c r="E4" s="11">
        <f>IF(AND(ISNUMBER(C4),ISNUMBER(D4)), C4-D4, "")</f>
        <v>9574.734375</v>
      </c>
      <c r="F4" s="12" t="str">
        <f>IFERROR(E4/D4, "")</f>
        <v/>
      </c>
      <c r="G4" s="13">
        <v>0</v>
      </c>
      <c r="H4" s="13">
        <f>IF(AND(ISNUMBER(C4),ISNUMBER(G4)), C4-G4, "")</f>
        <v>9574.734375</v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4"/>
  <sheetViews>
    <sheetView tabSelected="1" workbookViewId="0">
      <pane xSplit="2" ySplit="3" topLeftCell="C4" activePane="bottomRight" state="frozen"/>
      <selection pane="bottomRight" activeCell="B7" sqref="B7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6859.4380000000001</v>
      </c>
      <c r="D2" s="5">
        <f>SUM(D4:D72)</f>
        <v>0</v>
      </c>
      <c r="E2" s="5">
        <f>C2-D2</f>
        <v>6859.4380000000001</v>
      </c>
      <c r="F2" s="6">
        <f>IFERROR(E2/D2, 0)</f>
        <v>0</v>
      </c>
      <c r="G2" s="5">
        <f>SUM(G4:G72)</f>
        <v>0</v>
      </c>
      <c r="H2" s="7">
        <f>C2-G2</f>
        <v>6859.4380000000001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>
        <v>6859.4380000000001</v>
      </c>
      <c r="D4" s="11">
        <v>0</v>
      </c>
      <c r="E4" s="11">
        <f>IF(AND(ISNUMBER(C4),ISNUMBER(D4)), C4-D4, "")</f>
        <v>6859.4380000000001</v>
      </c>
      <c r="F4" s="12" t="str">
        <f>IFERROR(E4/D4, "")</f>
        <v/>
      </c>
      <c r="G4" s="13">
        <v>0</v>
      </c>
      <c r="H4" s="13">
        <f>IF(AND(ISNUMBER(C4),ISNUMBER(G4)), C4-G4, "")</f>
        <v>6859.4380000000001</v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C16" sqref="C16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44</v>
      </c>
      <c r="B1" s="40" t="s">
        <v>45</v>
      </c>
    </row>
    <row r="3" spans="1:12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12" ht="14.45">
      <c r="A4" s="38" t="s">
        <v>49</v>
      </c>
      <c r="B4" t="s">
        <v>50</v>
      </c>
      <c r="C4" s="36" t="s">
        <v>51</v>
      </c>
      <c r="D4" s="41" t="s">
        <v>52</v>
      </c>
      <c r="E4" s="40" t="s">
        <v>53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66B09F59-6532-46F8-924A-9A02417E070D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98A113BB-8B7A-453C-8BD4-8EFC67FC2D3F}"/>
</file>

<file path=customXml/itemProps4.xml><?xml version="1.0" encoding="utf-8"?>
<ds:datastoreItem xmlns:ds="http://schemas.openxmlformats.org/officeDocument/2006/customXml" ds:itemID="{0389C43E-394D-44C0-87DC-4780FCFCFB40}"/>
</file>

<file path=customXml/itemProps5.xml><?xml version="1.0" encoding="utf-8"?>
<ds:datastoreItem xmlns:ds="http://schemas.openxmlformats.org/officeDocument/2006/customXml" ds:itemID="{2BC74AAC-D69B-4AF1-9649-B21EF3C1C463}"/>
</file>

<file path=customXml/itemProps6.xml><?xml version="1.0" encoding="utf-8"?>
<ds:datastoreItem xmlns:ds="http://schemas.openxmlformats.org/officeDocument/2006/customXml" ds:itemID="{E20E8303-6A67-485C-B6F4-303542CC295C}"/>
</file>

<file path=customXml/itemProps7.xml><?xml version="1.0" encoding="utf-8"?>
<ds:datastoreItem xmlns:ds="http://schemas.openxmlformats.org/officeDocument/2006/customXml" ds:itemID="{26248485-6AED-450F-BAF1-A3B973381B4B}"/>
</file>

<file path=customXml/itemProps8.xml><?xml version="1.0" encoding="utf-8"?>
<ds:datastoreItem xmlns:ds="http://schemas.openxmlformats.org/officeDocument/2006/customXml" ds:itemID="{14966E4F-347B-477B-B74C-9DAC05405806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8D732231-4216-4543-A665-18A2886B0EB7}"/>
</file>

<file path=customXml/itemProps11.xml><?xml version="1.0" encoding="utf-8"?>
<ds:datastoreItem xmlns:ds="http://schemas.openxmlformats.org/officeDocument/2006/customXml" ds:itemID="{1954BBA4-0359-438C-B0EC-A756015F7C02}"/>
</file>

<file path=customXml/itemProps12.xml><?xml version="1.0" encoding="utf-8"?>
<ds:datastoreItem xmlns:ds="http://schemas.openxmlformats.org/officeDocument/2006/customXml" ds:itemID="{F12EFA50-0068-4A8C-85A0-F1B26389EBC3}"/>
</file>

<file path=customXml/itemProps13.xml><?xml version="1.0" encoding="utf-8"?>
<ds:datastoreItem xmlns:ds="http://schemas.openxmlformats.org/officeDocument/2006/customXml" ds:itemID="{BF5C6359-7763-4C37-8EAF-2BC4698CB285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E3716282-BFD2-4ED2-BA47-BFA1123827F0}"/>
</file>

<file path=customXml/itemProps16.xml><?xml version="1.0" encoding="utf-8"?>
<ds:datastoreItem xmlns:ds="http://schemas.openxmlformats.org/officeDocument/2006/customXml" ds:itemID="{CB52044A-5C0B-44A2-99D0-C1C315EC302D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F6B2B1A1-1C4B-4AC9-9A7D-7A102DD1C942}"/>
</file>

<file path=customXml/itemProps19.xml><?xml version="1.0" encoding="utf-8"?>
<ds:datastoreItem xmlns:ds="http://schemas.openxmlformats.org/officeDocument/2006/customXml" ds:itemID="{3AEAA9D8-2182-46BA-A58E-96C72DDA1C54}"/>
</file>

<file path=customXml/itemProps20.xml><?xml version="1.0" encoding="utf-8"?>
<ds:datastoreItem xmlns:ds="http://schemas.openxmlformats.org/officeDocument/2006/customXml" ds:itemID="{D3A7101F-9A85-4235-8B03-415370C10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2025-09-22T07:50:52Z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2025-03-11T16:26:23Z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16a3144c-a4b1-4d24-a8f3-ed598bd96e10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