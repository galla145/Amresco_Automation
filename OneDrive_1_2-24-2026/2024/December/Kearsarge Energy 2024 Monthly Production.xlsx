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DE79D6C-0E0D-440B-997A-175D616C1101}" xr6:coauthVersionLast="47" xr6:coauthVersionMax="47" xr10:uidLastSave="{00000000-0000-0000-0000-000000000000}"/>
  <bookViews>
    <workbookView xWindow="3204" yWindow="3204" windowWidth="17316" windowHeight="8892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E4" i="31"/>
  <c r="G4" i="29"/>
  <c r="G4" i="18"/>
  <c r="H5" i="33"/>
  <c r="I5" i="33" s="1"/>
  <c r="E5" i="33"/>
  <c r="F5" i="33" s="1"/>
  <c r="H5" i="32"/>
  <c r="I5" i="32" s="1"/>
  <c r="E5" i="32"/>
  <c r="F5" i="32" s="1"/>
  <c r="H5" i="31"/>
  <c r="I5" i="31" s="1"/>
  <c r="E5" i="31"/>
  <c r="F5" i="31" s="1"/>
  <c r="H5" i="27"/>
  <c r="I5" i="27" s="1"/>
  <c r="E5" i="27"/>
  <c r="F5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<sst xmlns="http://schemas.openxmlformats.org/spreadsheetml/2006/main" count="239" uniqueCount="51">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</sst>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E8" sqref="E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SUM(C4:C87)</f>
        <v>2937926</v>
      </c>
      <c r="D2" s="6">
        <f>SUM(D4:D87)</f>
        <v>0</v>
      </c>
      <c r="E2" s="6">
        <f>C2-D2</f>
        <v>2937926</v>
      </c>
      <c r="F2" s="7">
        <f>IFERROR(E2/D2, 0)</f>
        <v>0</v>
      </c>
      <c r="G2" s="6">
        <f>SUM(G4:G87)</f>
        <v>0</v>
      </c>
      <c r="H2" s="8">
        <f>C2-G2</f>
        <v>2937926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2937926</v>
      </c>
      <c r="D4" s="13">
        <f>SUM('1st Qtr'!D4, '2nd Qtr'!D4, '3rd Qtr'!D4, '4th Qtr'!D4)</f>
        <v>0</v>
      </c>
      <c r="E4" s="13">
        <f>IF(AND(ISNUMBER(C4),ISNUMBER(D4)), C4-D4, "")</f>
        <v>2937926</v>
      </c>
      <c r="F4" s="14" t="str">
        <f>IFERROR(E4/D4, "")</f>
        <v/>
      </c>
      <c r="G4" s="15">
        <v>0</v>
      </c>
      <c r="H4" s="15">
        <f>SUM('1st Qtr'!H4, '2nd Qtr'!H4, '3rd Qtr'!H4, '4th Qtr'!H4)</f>
        <v>2937926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H37" sqref="H3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SUM(C4:C87)</f>
        <v>551683</v>
      </c>
      <c r="D2" s="6">
        <f>SUM(D4:D87)</f>
        <v>0</v>
      </c>
      <c r="E2" s="6">
        <f>C2-D2</f>
        <v>551683</v>
      </c>
      <c r="F2" s="7">
        <f>IFERROR(E2/D2, 0)</f>
        <v>0</v>
      </c>
      <c r="G2" s="6">
        <f>SUM(G4:G87)</f>
        <v>0</v>
      </c>
      <c r="H2" s="8">
        <f>C2-G2</f>
        <v>551683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551683</v>
      </c>
      <c r="D4" s="13">
        <f>SUM(Jan!D4, Feb!D4, Mar!D4)</f>
        <v>0</v>
      </c>
      <c r="E4" s="13">
        <f>IF(AND(ISNUMBER(C4),ISNUMBER(D4)), C4-D4, "")</f>
        <v>551683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551683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SUM(C4:C87)</f>
        <v>952659</v>
      </c>
      <c r="D2" s="6">
        <f>SUM(D4:D87)</f>
        <v>0</v>
      </c>
      <c r="E2" s="6">
        <f>C2-D2</f>
        <v>952659</v>
      </c>
      <c r="F2" s="7">
        <f>IFERROR(E2/D2, 0)</f>
        <v>0</v>
      </c>
      <c r="G2" s="6">
        <f>SUM(G4:G87)</f>
        <v>0</v>
      </c>
      <c r="H2" s="8">
        <f>C2-G2</f>
        <v>952659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952659</v>
      </c>
      <c r="D4" s="13">
        <f>SUM(Apr!D4, May!D4, Jun!D4)</f>
        <v>0</v>
      </c>
      <c r="E4" s="13">
        <f>IF(AND(ISNUMBER(C4),ISNUMBER(D4)), C4-D4, "")</f>
        <v>952659</v>
      </c>
      <c r="F4" s="14" t="str">
        <f>IFERROR(E4/D4, "")</f>
        <v/>
      </c>
      <c r="G4" s="15">
        <f>SUM(Apr!G4,May!G4,Jun!G4)</f>
        <v>0</v>
      </c>
      <c r="H4" s="15">
        <f>SUM(Apr!H4, May!H4, Jun!H4)</f>
        <v>952659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SUM(C4:C87)</f>
        <v>855885</v>
      </c>
      <c r="D2" s="6">
        <f>SUM(D4:D87)</f>
        <v>0</v>
      </c>
      <c r="E2" s="6">
        <f>C2-D2</f>
        <v>855885</v>
      </c>
      <c r="F2" s="7">
        <f>IFERROR(E2/D2, 0)</f>
        <v>0</v>
      </c>
      <c r="G2" s="6">
        <f>SUM(G4:G87)</f>
        <v>0</v>
      </c>
      <c r="H2" s="8">
        <f>C2-G2</f>
        <v>855885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855885</v>
      </c>
      <c r="D4" s="13">
        <f>SUM(Jul!D4, Aug!D4, Sep!D4)</f>
        <v>0</v>
      </c>
      <c r="E4" s="13">
        <f>IF(AND(ISNUMBER(C4),ISNUMBER(D4)), C4-D4, "")</f>
        <v>855885</v>
      </c>
      <c r="F4" s="14" t="str">
        <f>IFERROR(E4/D4, "")</f>
        <v/>
      </c>
      <c r="G4" s="15">
        <f>SUM(Jul!G4, Aug!G4, Sep!G4)</f>
        <v>0</v>
      </c>
      <c r="H4" s="15">
        <f>SUM(Jul!H4, Aug!H4, Sep!H4)</f>
        <v>855885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SUM(C4:C87)</f>
        <v>577699</v>
      </c>
      <c r="D2" s="6">
        <f>SUM(D4:D87)</f>
        <v>0</v>
      </c>
      <c r="E2" s="6">
        <f>C2-D2</f>
        <v>577699</v>
      </c>
      <c r="F2" s="7">
        <f>IFERROR(E2/D2, 0)</f>
        <v>0</v>
      </c>
      <c r="G2" s="6">
        <f>SUM(G4:G87)</f>
        <v>0</v>
      </c>
      <c r="H2" s="8">
        <f>C2-G2</f>
        <v>577699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577699</v>
      </c>
      <c r="D4" s="13">
        <f>SUM(Oct!D4, Nov!D4, Dec!D4)</f>
        <v>0</v>
      </c>
      <c r="E4" s="13">
        <f>IF(AND(ISNUMBER(C4),ISNUMBER(D4)), C4-D4, "")</f>
        <v>577699</v>
      </c>
      <c r="F4" s="14" t="str">
        <f>IFERROR(E4/D4, "")</f>
        <v/>
      </c>
      <c r="G4" s="15">
        <f>SUM(Oct!G4,Nov!G4,Dec!G4)</f>
        <v>0</v>
      </c>
      <c r="H4" s="15">
        <f>SUM(Oct!H4, Nov!H4, Dec!H4)</f>
        <v>577699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F22" sqref="F22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SUM(C4:C60)</f>
        <v>62995</v>
      </c>
      <c r="D2" s="6">
        <f>SUM(D4:D60)</f>
        <v>0</v>
      </c>
      <c r="E2" s="6">
        <f>C2-D2</f>
        <v>62995</v>
      </c>
      <c r="F2" s="7">
        <f>IFERROR(E2/D2, 0)</f>
        <v>0</v>
      </c>
      <c r="G2" s="6">
        <f>SUM(G4:G60)</f>
        <v>0</v>
      </c>
      <c r="H2" s="8">
        <f>C2-G2</f>
        <v>62995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62995</v>
      </c>
      <c r="D4" s="13">
        <v>0</v>
      </c>
      <c r="E4" s="13">
        <f>IF(AND(ISNUMBER(C4),ISNUMBER(D4)), C4-D4, "")</f>
        <v>62995</v>
      </c>
      <c r="F4" s="14" t="str">
        <f>IFERROR(E4/D4, "")</f>
        <v/>
      </c>
      <c r="G4" s="15">
        <v>0</v>
      </c>
      <c r="H4" s="15">
        <f>IF(AND(ISNUMBER(C4),ISNUMBER(G4)), C4-G4, "")</f>
        <v>62995</v>
      </c>
      <c r="I4" s="16" t="str">
        <f>IFERROR(H4/G4, "")</f>
        <v/>
      </c>
      <c r="J4" s="39"/>
      <c r="K4" s="39"/>
    </row>
    <row r="5" spans="1:11" ht="14.45">
      <c r="A5" s="20"/>
      <c r="B5" s="31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1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1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1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F21" sqref="F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227414</v>
      </c>
      <c r="D2" s="6">
        <f>SUM(D4:D88)</f>
        <v>0</v>
      </c>
      <c r="E2" s="6">
        <f>C2-D2</f>
        <v>227414</v>
      </c>
      <c r="F2" s="7">
        <f>IFERROR(E2/D2, 0)</f>
        <v>0</v>
      </c>
      <c r="G2" s="6">
        <f>SUM(G4:G88)</f>
        <v>0</v>
      </c>
      <c r="H2" s="8">
        <f>C2-G2</f>
        <v>227414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227414</v>
      </c>
      <c r="D4" s="13">
        <v>0</v>
      </c>
      <c r="E4" s="13">
        <f>IF(AND(ISNUMBER(C4),ISNUMBER(D4)), C4-D4, "")</f>
        <v>227414</v>
      </c>
      <c r="F4" s="14" t="str">
        <f>IFERROR(E4/D4, "")</f>
        <v/>
      </c>
      <c r="G4" s="15">
        <v>0</v>
      </c>
      <c r="H4" s="15">
        <f>IF(AND(ISNUMBER(C4),ISNUMBER(G4)), C4-G4, "")</f>
        <v>227414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E24" sqref="E2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261274</v>
      </c>
      <c r="D2" s="6">
        <f>SUM(D4:D88)</f>
        <v>0</v>
      </c>
      <c r="E2" s="6">
        <f>C2-D2</f>
        <v>261274</v>
      </c>
      <c r="F2" s="7">
        <f>IFERROR(E2/D2, 0)</f>
        <v>0</v>
      </c>
      <c r="G2" s="6">
        <f>SUM(G4:G88)</f>
        <v>0</v>
      </c>
      <c r="H2" s="8">
        <f>C2-G2</f>
        <v>261274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261274</v>
      </c>
      <c r="D4" s="13">
        <v>0</v>
      </c>
      <c r="E4" s="13">
        <f>IF(AND(ISNUMBER(C4),ISNUMBER(D4)), C4-D4, "")</f>
        <v>261274</v>
      </c>
      <c r="F4" s="14" t="str">
        <f>IFERROR(E4/D4, "")</f>
        <v/>
      </c>
      <c r="G4" s="15">
        <v>0</v>
      </c>
      <c r="H4" s="15">
        <f>IF(AND(ISNUMBER(C4),ISNUMBER(G4)), C4-G4, "")</f>
        <v>261274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D23" sqref="D2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272331</v>
      </c>
      <c r="D2" s="6">
        <f>SUM(D4:D88)</f>
        <v>0</v>
      </c>
      <c r="E2" s="6">
        <f>C2-D2</f>
        <v>272331</v>
      </c>
      <c r="F2" s="7">
        <f>IFERROR(E2/D2, 0)</f>
        <v>0</v>
      </c>
      <c r="G2" s="6">
        <f>SUM(G4:G88)</f>
        <v>0</v>
      </c>
      <c r="H2" s="8">
        <f>C2-G2</f>
        <v>272331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272331</v>
      </c>
      <c r="D4" s="13">
        <v>0</v>
      </c>
      <c r="E4" s="13">
        <f>IF(AND(ISNUMBER(C4),ISNUMBER(D4)), C4-D4, "")</f>
        <v>272331</v>
      </c>
      <c r="F4" s="14" t="str">
        <f>IFERROR(E4/D4, "")</f>
        <v/>
      </c>
      <c r="G4" s="15">
        <v>0</v>
      </c>
      <c r="H4" s="15">
        <f>IF(AND(ISNUMBER(C4),ISNUMBER(G4)), C4-G4, "")</f>
        <v>272331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D20" sqref="D2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329768</v>
      </c>
      <c r="D2" s="6">
        <f>SUM(D4:D88)</f>
        <v>0</v>
      </c>
      <c r="E2" s="6">
        <f>C2-D2</f>
        <v>329768</v>
      </c>
      <c r="F2" s="7">
        <f>IFERROR(E2/D2, 0)</f>
        <v>0</v>
      </c>
      <c r="G2" s="6">
        <f>SUM(G4:G88)</f>
        <v>0</v>
      </c>
      <c r="H2" s="8">
        <f>C2-G2</f>
        <v>329768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329768</v>
      </c>
      <c r="D4" s="13">
        <v>0</v>
      </c>
      <c r="E4" s="13">
        <f>IF(AND(ISNUMBER(C4),ISNUMBER(D4)), C4-D4, "")</f>
        <v>329768</v>
      </c>
      <c r="F4" s="14" t="str">
        <f>IFERROR(E4/D4, "")</f>
        <v/>
      </c>
      <c r="G4" s="15">
        <v>0</v>
      </c>
      <c r="H4" s="15">
        <f>IF(AND(ISNUMBER(C4),ISNUMBER(G4)), C4-G4, "")</f>
        <v>329768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G5" sqref="G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350560</v>
      </c>
      <c r="D2" s="6">
        <f>SUM(D4:D88)</f>
        <v>0</v>
      </c>
      <c r="E2" s="6">
        <f>C2-D2</f>
        <v>350560</v>
      </c>
      <c r="F2" s="7">
        <f>IFERROR(E2/D2, 0)</f>
        <v>0</v>
      </c>
      <c r="G2" s="6">
        <f>SUM(G4:G88)</f>
        <v>0</v>
      </c>
      <c r="H2" s="8">
        <f>C2-G2</f>
        <v>350560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350560</v>
      </c>
      <c r="D4" s="13">
        <v>0</v>
      </c>
      <c r="E4" s="13">
        <f>IF(AND(ISNUMBER(C4),ISNUMBER(D4)), C4-D4, "")</f>
        <v>350560</v>
      </c>
      <c r="F4" s="14" t="str">
        <f>IFERROR(E4/D4, "")</f>
        <v/>
      </c>
      <c r="G4" s="15">
        <v>0</v>
      </c>
      <c r="H4" s="15">
        <f>IF(AND(ISNUMBER(C4),ISNUMBER(G4)), C4-G4, "")</f>
        <v>350560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273414</v>
      </c>
      <c r="D2" s="6">
        <f>SUM(D4:D88)</f>
        <v>0</v>
      </c>
      <c r="E2" s="6">
        <f>C2-D2</f>
        <v>273414</v>
      </c>
      <c r="F2" s="7">
        <f>IFERROR(E2/D2, 0)</f>
        <v>0</v>
      </c>
      <c r="G2" s="6">
        <f>SUM(G4:G88)</f>
        <v>0</v>
      </c>
      <c r="H2" s="8">
        <f>C2-G2</f>
        <v>273414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273414</v>
      </c>
      <c r="D4" s="13">
        <v>0</v>
      </c>
      <c r="E4" s="13">
        <f>IF(AND(ISNUMBER(C4),ISNUMBER(D4)), C4-D4, "")</f>
        <v>273414</v>
      </c>
      <c r="F4" s="14" t="str">
        <f>IFERROR(E4/D4, "")</f>
        <v/>
      </c>
      <c r="G4" s="15">
        <v>0</v>
      </c>
      <c r="H4" s="15">
        <f>IF(AND(ISNUMBER(C4),ISNUMBER(G4)), C4-G4, "")</f>
        <v>273414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xSplit="2" ySplit="3" topLeftCell="G11" activePane="bottomRight" state="frozen"/>
      <selection pane="bottomRight" activeCell="G11" sqref="G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302194</v>
      </c>
      <c r="D2" s="6">
        <f>SUM(D4:D88)</f>
        <v>0</v>
      </c>
      <c r="E2" s="6">
        <f>C2-D2</f>
        <v>302194</v>
      </c>
      <c r="F2" s="7">
        <f>IFERROR(E2/D2, 0)</f>
        <v>0</v>
      </c>
      <c r="G2" s="6">
        <f>SUM(G4:G88)</f>
        <v>0</v>
      </c>
      <c r="H2" s="8">
        <f>C2-G2</f>
        <v>302194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302194</v>
      </c>
      <c r="D4" s="13">
        <v>0</v>
      </c>
      <c r="E4" s="13">
        <f>IF(AND(ISNUMBER(C4),ISNUMBER(D4)), C4-D4, "")</f>
        <v>302194</v>
      </c>
      <c r="F4" s="14" t="str">
        <f>IFERROR(E4/D4, "")</f>
        <v/>
      </c>
      <c r="G4" s="15">
        <v>0</v>
      </c>
      <c r="H4" s="15">
        <f>IF(AND(ISNUMBER(C4),ISNUMBER(G4)), C4-G4, "")</f>
        <v>302194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J28" sqref="F25:J2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SUM(C4:C87)</f>
        <v>280277</v>
      </c>
      <c r="D2" s="6">
        <f>SUM(D4:D87)</f>
        <v>0</v>
      </c>
      <c r="E2" s="6">
        <f>C2-D2</f>
        <v>280277</v>
      </c>
      <c r="F2" s="7">
        <f>IFERROR(E2/D2, 0)</f>
        <v>0</v>
      </c>
      <c r="G2" s="6">
        <f>SUM(G4:G87)</f>
        <v>0</v>
      </c>
      <c r="H2" s="8">
        <f>C2-G2</f>
        <v>280277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280277</v>
      </c>
      <c r="D4" s="13">
        <v>0</v>
      </c>
      <c r="E4" s="13">
        <f>IF(AND(ISNUMBER(C4),ISNUMBER(D4)), C4-D4, "")</f>
        <v>280277</v>
      </c>
      <c r="F4" s="14" t="str">
        <f>IFERROR(E4/D4, "")</f>
        <v/>
      </c>
      <c r="G4" s="15">
        <v>0</v>
      </c>
      <c r="H4" s="15">
        <f>IF(AND(ISNUMBER(C4),ISNUMBER(G4)), C4-G4, "")</f>
        <v>280277</v>
      </c>
      <c r="I4" s="16" t="str">
        <f>IFERROR(H4/G4, "")</f>
        <v/>
      </c>
      <c r="J4" s="39"/>
      <c r="K4" s="39"/>
    </row>
    <row r="5" spans="1:11" ht="12.75" customHeight="1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xSplit="2" ySplit="3" topLeftCell="C4" activePane="bottomRight" state="frozen"/>
      <selection pane="bottomRight" activeCell="F21" sqref="A15:F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262280</v>
      </c>
      <c r="D2" s="6">
        <f>SUM(D4:D88)</f>
        <v>0</v>
      </c>
      <c r="E2" s="6">
        <f>C2-D2</f>
        <v>262280</v>
      </c>
      <c r="F2" s="7">
        <f>IFERROR(E2/D2, 0)</f>
        <v>0</v>
      </c>
      <c r="G2" s="6">
        <f>SUM(G4:G88)</f>
        <v>0</v>
      </c>
      <c r="H2" s="8">
        <f>C2-G2</f>
        <v>262280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262280</v>
      </c>
      <c r="D4" s="13">
        <v>0</v>
      </c>
      <c r="E4" s="13">
        <f>IF(AND(ISNUMBER(C4),ISNUMBER(D4)), C4-D4, "")</f>
        <v>262280</v>
      </c>
      <c r="F4" s="14"/>
      <c r="G4" s="15">
        <v>0</v>
      </c>
      <c r="H4" s="15">
        <f>IF(AND(ISNUMBER(C4),ISNUMBER(G4)), C4-G4, "")</f>
        <v>262280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xSplit="2" ySplit="3" topLeftCell="C4" activePane="bottomRight" state="frozen"/>
      <selection pane="bottomRight" activeCell="E9" sqref="E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196504</v>
      </c>
      <c r="D2" s="6">
        <f>SUM(D4:D88)</f>
        <v>0</v>
      </c>
      <c r="E2" s="6">
        <f>C2-D2</f>
        <v>196504</v>
      </c>
      <c r="F2" s="7">
        <f>IFERROR(E2/D2, 0)</f>
        <v>0</v>
      </c>
      <c r="G2" s="6">
        <f>SUM(G4:G88)</f>
        <v>0</v>
      </c>
      <c r="H2" s="8">
        <f>C2-G2</f>
        <v>196504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196504</v>
      </c>
      <c r="D4" s="13">
        <v>0</v>
      </c>
      <c r="E4" s="13">
        <f>IF(AND(ISNUMBER(C4),ISNUMBER(D4)), C4-D4, "")</f>
        <v>196504</v>
      </c>
      <c r="F4" s="14" t="str">
        <f>IFERROR(E4/D4, "")</f>
        <v/>
      </c>
      <c r="G4" s="15">
        <v>0</v>
      </c>
      <c r="H4" s="15">
        <f>IF(AND(ISNUMBER(C4),ISNUMBER(G4)), C4-G4, "")</f>
        <v>196504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tabSelected="1" workbookViewId="0">
      <pane xSplit="2" ySplit="3" topLeftCell="C4" activePane="bottomRight" state="frozen"/>
      <selection pane="bottomRight" activeCell="E10" sqref="E1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118915</v>
      </c>
      <c r="D2" s="6">
        <f>SUM(D4:D88)</f>
        <v>0</v>
      </c>
      <c r="E2" s="6">
        <f>C2-D2</f>
        <v>118915</v>
      </c>
      <c r="F2" s="7">
        <f>IFERROR(E2/D2, 0)</f>
        <v>0</v>
      </c>
      <c r="G2" s="6">
        <f>SUM(G4:G88)</f>
        <v>0</v>
      </c>
      <c r="H2" s="8">
        <f>C2-G2</f>
        <v>118915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118915</v>
      </c>
      <c r="D4" s="13">
        <v>0</v>
      </c>
      <c r="E4" s="13">
        <f>IF(AND(ISNUMBER(C4),ISNUMBER(D4)), C4-D4, "")</f>
        <v>118915</v>
      </c>
      <c r="F4" s="14" t="str">
        <f>IFERROR(E4/D4, "")</f>
        <v/>
      </c>
      <c r="G4" s="15">
        <v>0</v>
      </c>
      <c r="H4" s="15">
        <f>IF(AND(ISNUMBER(C4),ISNUMBER(G4)), C4-G4, "")</f>
        <v>118915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" t="s">
        <v>45</v>
      </c>
      <c r="B4" t="s">
        <v>45</v>
      </c>
      <c r="C4" s="4" t="s">
        <v>49</v>
      </c>
      <c r="E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2025-02-10T04:21:35Z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2024-11-13T16:23:06Z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26934559-437f-48b2-b2fa-7eef60175897</vt:lpwstr>
  </property>
  <property fmtid="{D5CDD505-2E9C-101B-9397-08002B2CF9AE}" pid="9" name="MSIP_Label_9d817c99-0b37-4a07-8277-96aa1f96b74b_ContentBits">
    <vt:lpwstr>0</vt:lpwstr>
  </property>
</Properties>
</file>