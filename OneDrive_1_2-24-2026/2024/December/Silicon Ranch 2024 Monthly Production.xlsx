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3" documentId="13_ncr:1_{548D2527-80AD-4810-B49D-3A4B45A465A3}" xr6:coauthVersionLast="47" xr6:coauthVersionMax="47" xr10:uidLastSave="{2DA67533-2892-4BB1-AD80-E6A7DFF7724C}"/>
  <bookViews>
    <workbookView xWindow="-98" yWindow="-98" windowWidth="21795" windowHeight="12975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33" l="1"/>
  <c r="I25" i="33"/>
  <c r="I32" i="33"/>
  <c r="I33" i="33"/>
  <c r="I40" i="33"/>
  <c r="I41" i="33"/>
  <c r="I48" i="33"/>
  <c r="I49" i="33"/>
  <c r="I56" i="33"/>
  <c r="I57" i="33"/>
  <c r="I64" i="33"/>
  <c r="I65" i="33"/>
  <c r="H17" i="33"/>
  <c r="H18" i="33"/>
  <c r="I18" i="33" s="1"/>
  <c r="H19" i="33"/>
  <c r="H19" i="30" s="1"/>
  <c r="H19" i="34" s="1"/>
  <c r="H20" i="33"/>
  <c r="I20" i="33" s="1"/>
  <c r="H21" i="33"/>
  <c r="I21" i="33" s="1"/>
  <c r="H22" i="33"/>
  <c r="I22" i="33" s="1"/>
  <c r="H23" i="33"/>
  <c r="I23" i="33" s="1"/>
  <c r="H24" i="33"/>
  <c r="H24" i="30" s="1"/>
  <c r="H25" i="33"/>
  <c r="H25" i="30" s="1"/>
  <c r="H25" i="34" s="1"/>
  <c r="H26" i="33"/>
  <c r="I26" i="33" s="1"/>
  <c r="H27" i="33"/>
  <c r="H27" i="30" s="1"/>
  <c r="H27" i="34" s="1"/>
  <c r="H28" i="33"/>
  <c r="H28" i="30" s="1"/>
  <c r="H29" i="33"/>
  <c r="H29" i="30" s="1"/>
  <c r="H29" i="34" s="1"/>
  <c r="H30" i="33"/>
  <c r="I30" i="33" s="1"/>
  <c r="H31" i="33"/>
  <c r="H31" i="30" s="1"/>
  <c r="H32" i="33"/>
  <c r="H33" i="33"/>
  <c r="H34" i="33"/>
  <c r="I34" i="33" s="1"/>
  <c r="H35" i="33"/>
  <c r="I35" i="33" s="1"/>
  <c r="H36" i="33"/>
  <c r="H36" i="30" s="1"/>
  <c r="H37" i="33"/>
  <c r="H37" i="30" s="1"/>
  <c r="H38" i="33"/>
  <c r="I38" i="33" s="1"/>
  <c r="H39" i="33"/>
  <c r="H39" i="30" s="1"/>
  <c r="H39" i="34" s="1"/>
  <c r="H40" i="33"/>
  <c r="H40" i="30" s="1"/>
  <c r="H41" i="33"/>
  <c r="H42" i="33"/>
  <c r="I42" i="33" s="1"/>
  <c r="H43" i="33"/>
  <c r="H43" i="30" s="1"/>
  <c r="H44" i="33"/>
  <c r="H44" i="30" s="1"/>
  <c r="H45" i="33"/>
  <c r="I45" i="33" s="1"/>
  <c r="H46" i="33"/>
  <c r="I46" i="33" s="1"/>
  <c r="H47" i="33"/>
  <c r="I47" i="33" s="1"/>
  <c r="H48" i="33"/>
  <c r="H48" i="30" s="1"/>
  <c r="H48" i="34" s="1"/>
  <c r="H49" i="33"/>
  <c r="H49" i="30" s="1"/>
  <c r="H49" i="34" s="1"/>
  <c r="H50" i="33"/>
  <c r="I50" i="33" s="1"/>
  <c r="H51" i="33"/>
  <c r="H51" i="30" s="1"/>
  <c r="H51" i="34" s="1"/>
  <c r="H52" i="33"/>
  <c r="H52" i="30" s="1"/>
  <c r="H53" i="33"/>
  <c r="I53" i="33" s="1"/>
  <c r="H54" i="33"/>
  <c r="I54" i="33" s="1"/>
  <c r="H55" i="33"/>
  <c r="H55" i="30" s="1"/>
  <c r="H56" i="33"/>
  <c r="H56" i="30" s="1"/>
  <c r="H56" i="34" s="1"/>
  <c r="H57" i="33"/>
  <c r="H58" i="33"/>
  <c r="I58" i="33" s="1"/>
  <c r="H59" i="33"/>
  <c r="I59" i="33" s="1"/>
  <c r="H60" i="33"/>
  <c r="H60" i="30" s="1"/>
  <c r="H61" i="33"/>
  <c r="H61" i="30" s="1"/>
  <c r="H62" i="33"/>
  <c r="I62" i="33" s="1"/>
  <c r="H63" i="33"/>
  <c r="H63" i="30" s="1"/>
  <c r="H63" i="34" s="1"/>
  <c r="H64" i="33"/>
  <c r="H64" i="30" s="1"/>
  <c r="H65" i="33"/>
  <c r="H66" i="33"/>
  <c r="I66" i="33" s="1"/>
  <c r="H67" i="33"/>
  <c r="H67" i="30" s="1"/>
  <c r="H67" i="34" s="1"/>
  <c r="H68" i="33"/>
  <c r="I68" i="33" s="1"/>
  <c r="E17" i="33"/>
  <c r="F17" i="33" s="1"/>
  <c r="E18" i="33"/>
  <c r="E19" i="33"/>
  <c r="E20" i="33"/>
  <c r="E21" i="33"/>
  <c r="E22" i="33"/>
  <c r="E23" i="33"/>
  <c r="E24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E37" i="33"/>
  <c r="E38" i="33"/>
  <c r="E39" i="33"/>
  <c r="E40" i="33"/>
  <c r="E41" i="33"/>
  <c r="E42" i="33"/>
  <c r="E43" i="33"/>
  <c r="E44" i="33"/>
  <c r="E45" i="33"/>
  <c r="E46" i="33"/>
  <c r="E47" i="33"/>
  <c r="E48" i="33"/>
  <c r="E49" i="33"/>
  <c r="E50" i="33"/>
  <c r="E51" i="33"/>
  <c r="E52" i="33"/>
  <c r="E53" i="33"/>
  <c r="E54" i="33"/>
  <c r="E55" i="33"/>
  <c r="E56" i="33"/>
  <c r="E57" i="33"/>
  <c r="E58" i="33"/>
  <c r="E59" i="33"/>
  <c r="E60" i="33"/>
  <c r="E61" i="33"/>
  <c r="E62" i="33"/>
  <c r="E63" i="33"/>
  <c r="E64" i="33"/>
  <c r="E65" i="33"/>
  <c r="E66" i="33"/>
  <c r="E67" i="33"/>
  <c r="E68" i="33"/>
  <c r="G42" i="30"/>
  <c r="G43" i="30"/>
  <c r="G26" i="29"/>
  <c r="G27" i="29"/>
  <c r="H67" i="29"/>
  <c r="H68" i="29"/>
  <c r="H65" i="29"/>
  <c r="D67" i="29"/>
  <c r="D68" i="29"/>
  <c r="C67" i="29"/>
  <c r="C68" i="29"/>
  <c r="G61" i="29"/>
  <c r="G62" i="29"/>
  <c r="G63" i="29"/>
  <c r="G64" i="29"/>
  <c r="G65" i="29"/>
  <c r="G66" i="29"/>
  <c r="G67" i="29"/>
  <c r="G68" i="29"/>
  <c r="G55" i="29"/>
  <c r="G56" i="29"/>
  <c r="G57" i="29"/>
  <c r="G46" i="29"/>
  <c r="G47" i="29"/>
  <c r="G40" i="29"/>
  <c r="I18" i="32"/>
  <c r="I19" i="32"/>
  <c r="I20" i="32"/>
  <c r="I21" i="32"/>
  <c r="I22" i="32"/>
  <c r="I24" i="32"/>
  <c r="I25" i="32"/>
  <c r="I26" i="32"/>
  <c r="I27" i="32"/>
  <c r="I29" i="32"/>
  <c r="I30" i="32"/>
  <c r="I31" i="32"/>
  <c r="I34" i="32"/>
  <c r="I35" i="32"/>
  <c r="I36" i="32"/>
  <c r="I38" i="32"/>
  <c r="I39" i="32"/>
  <c r="I40" i="32"/>
  <c r="I41" i="32"/>
  <c r="I42" i="32"/>
  <c r="I43" i="32"/>
  <c r="I44" i="32"/>
  <c r="I45" i="32"/>
  <c r="I46" i="32"/>
  <c r="I47" i="32"/>
  <c r="I48" i="32"/>
  <c r="I49" i="32"/>
  <c r="I50" i="32"/>
  <c r="I51" i="32"/>
  <c r="I52" i="32"/>
  <c r="I53" i="32"/>
  <c r="I54" i="32"/>
  <c r="I55" i="32"/>
  <c r="I56" i="32"/>
  <c r="I57" i="32"/>
  <c r="I58" i="32"/>
  <c r="I59" i="32"/>
  <c r="I60" i="32"/>
  <c r="I61" i="32"/>
  <c r="I62" i="32"/>
  <c r="I63" i="32"/>
  <c r="I64" i="32"/>
  <c r="I65" i="32"/>
  <c r="I66" i="32"/>
  <c r="I67" i="32"/>
  <c r="I68" i="32"/>
  <c r="H18" i="32"/>
  <c r="H19" i="32"/>
  <c r="H20" i="32"/>
  <c r="H21" i="32"/>
  <c r="H22" i="32"/>
  <c r="H23" i="32"/>
  <c r="I23" i="32" s="1"/>
  <c r="H24" i="32"/>
  <c r="H25" i="32"/>
  <c r="H26" i="32"/>
  <c r="H27" i="32"/>
  <c r="H28" i="32"/>
  <c r="I28" i="32" s="1"/>
  <c r="H29" i="32"/>
  <c r="H30" i="32"/>
  <c r="H31" i="32"/>
  <c r="H32" i="32"/>
  <c r="I32" i="32" s="1"/>
  <c r="H33" i="32"/>
  <c r="I33" i="32" s="1"/>
  <c r="H34" i="32"/>
  <c r="H35" i="32"/>
  <c r="H36" i="32"/>
  <c r="H37" i="32"/>
  <c r="I37" i="32" s="1"/>
  <c r="H38" i="32"/>
  <c r="H39" i="32"/>
  <c r="H40" i="32"/>
  <c r="H41" i="32"/>
  <c r="H42" i="32"/>
  <c r="H43" i="32"/>
  <c r="H44" i="32"/>
  <c r="H45" i="32"/>
  <c r="H46" i="32"/>
  <c r="H47" i="32"/>
  <c r="H48" i="32"/>
  <c r="H49" i="32"/>
  <c r="H50" i="32"/>
  <c r="H51" i="32"/>
  <c r="H52" i="32"/>
  <c r="H53" i="32"/>
  <c r="H54" i="32"/>
  <c r="H55" i="32"/>
  <c r="H56" i="32"/>
  <c r="H57" i="32"/>
  <c r="H58" i="32"/>
  <c r="H59" i="32"/>
  <c r="H60" i="32"/>
  <c r="H61" i="32"/>
  <c r="H62" i="32"/>
  <c r="H63" i="32"/>
  <c r="H64" i="32"/>
  <c r="H65" i="32"/>
  <c r="H66" i="32"/>
  <c r="H67" i="32"/>
  <c r="H68" i="32"/>
  <c r="E18" i="32"/>
  <c r="E19" i="32"/>
  <c r="E20" i="32"/>
  <c r="E21" i="32"/>
  <c r="E22" i="32"/>
  <c r="E23" i="32"/>
  <c r="E24" i="32"/>
  <c r="E25" i="32"/>
  <c r="E26" i="32"/>
  <c r="E27" i="32"/>
  <c r="E28" i="32"/>
  <c r="E29" i="32"/>
  <c r="E30" i="32"/>
  <c r="E31" i="32"/>
  <c r="E32" i="32"/>
  <c r="E33" i="32"/>
  <c r="E34" i="32"/>
  <c r="E35" i="32"/>
  <c r="E36" i="32"/>
  <c r="E37" i="32"/>
  <c r="E38" i="32"/>
  <c r="E39" i="32"/>
  <c r="E40" i="32"/>
  <c r="E41" i="32"/>
  <c r="E42" i="32"/>
  <c r="E43" i="32"/>
  <c r="E44" i="32"/>
  <c r="E45" i="32"/>
  <c r="E46" i="32"/>
  <c r="E47" i="32"/>
  <c r="E48" i="32"/>
  <c r="E49" i="32"/>
  <c r="E50" i="32"/>
  <c r="E51" i="32"/>
  <c r="E52" i="32"/>
  <c r="E53" i="32"/>
  <c r="E54" i="32"/>
  <c r="E55" i="32"/>
  <c r="E56" i="32"/>
  <c r="E57" i="32"/>
  <c r="E58" i="32"/>
  <c r="E59" i="32"/>
  <c r="E60" i="32"/>
  <c r="E61" i="32"/>
  <c r="E62" i="32"/>
  <c r="E63" i="32"/>
  <c r="E64" i="32"/>
  <c r="E65" i="32"/>
  <c r="E66" i="32"/>
  <c r="E67" i="32"/>
  <c r="E68" i="32"/>
  <c r="I21" i="28"/>
  <c r="I22" i="28"/>
  <c r="I19" i="28"/>
  <c r="I20" i="28"/>
  <c r="I35" i="28"/>
  <c r="I36" i="28"/>
  <c r="I37" i="28"/>
  <c r="I38" i="28"/>
  <c r="I59" i="28"/>
  <c r="I61" i="28"/>
  <c r="I62" i="28"/>
  <c r="I63" i="28"/>
  <c r="I64" i="28"/>
  <c r="I65" i="28"/>
  <c r="I66" i="28"/>
  <c r="I67" i="28"/>
  <c r="I68" i="28"/>
  <c r="I58" i="28"/>
  <c r="I55" i="28"/>
  <c r="I56" i="28"/>
  <c r="I54" i="28"/>
  <c r="I52" i="28"/>
  <c r="G6" i="30"/>
  <c r="G7" i="30"/>
  <c r="G8" i="30"/>
  <c r="G8" i="34" s="1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26" i="30"/>
  <c r="G26" i="34" s="1"/>
  <c r="G27" i="30"/>
  <c r="G27" i="34" s="1"/>
  <c r="G28" i="30"/>
  <c r="G29" i="30"/>
  <c r="G30" i="30"/>
  <c r="G31" i="30"/>
  <c r="G32" i="30"/>
  <c r="G33" i="30"/>
  <c r="G34" i="30"/>
  <c r="G35" i="30"/>
  <c r="G36" i="30"/>
  <c r="G37" i="30"/>
  <c r="G38" i="30"/>
  <c r="G39" i="30"/>
  <c r="G40" i="30"/>
  <c r="G40" i="34" s="1"/>
  <c r="G41" i="30"/>
  <c r="G44" i="30"/>
  <c r="G45" i="30"/>
  <c r="G46" i="30"/>
  <c r="G47" i="30"/>
  <c r="G48" i="30"/>
  <c r="G49" i="30"/>
  <c r="G50" i="30"/>
  <c r="G51" i="30"/>
  <c r="G52" i="30"/>
  <c r="G53" i="30"/>
  <c r="G54" i="30"/>
  <c r="G55" i="30"/>
  <c r="G55" i="34" s="1"/>
  <c r="G56" i="30"/>
  <c r="G56" i="34" s="1"/>
  <c r="G57" i="30"/>
  <c r="G58" i="30"/>
  <c r="G59" i="30"/>
  <c r="G60" i="30"/>
  <c r="G61" i="30"/>
  <c r="G61" i="34" s="1"/>
  <c r="G62" i="30"/>
  <c r="G62" i="34" s="1"/>
  <c r="G63" i="30"/>
  <c r="G63" i="34" s="1"/>
  <c r="G64" i="30"/>
  <c r="G64" i="34" s="1"/>
  <c r="G65" i="30"/>
  <c r="G65" i="34" s="1"/>
  <c r="G66" i="30"/>
  <c r="G66" i="34" s="1"/>
  <c r="G67" i="30"/>
  <c r="G67" i="34" s="1"/>
  <c r="G68" i="30"/>
  <c r="G5" i="30"/>
  <c r="G4" i="30"/>
  <c r="A4" i="31" a="1"/>
  <c r="A4" i="31"/>
  <c r="I26" i="31"/>
  <c r="I27" i="31"/>
  <c r="I28" i="31"/>
  <c r="I29" i="31"/>
  <c r="I31" i="31"/>
  <c r="I32" i="31"/>
  <c r="I33" i="31"/>
  <c r="I34" i="31"/>
  <c r="I35" i="31"/>
  <c r="I36" i="31"/>
  <c r="I38" i="31"/>
  <c r="I39" i="31"/>
  <c r="I40" i="31"/>
  <c r="I41" i="31"/>
  <c r="I42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E26" i="31"/>
  <c r="E27" i="31"/>
  <c r="E28" i="31"/>
  <c r="E29" i="31"/>
  <c r="E30" i="31"/>
  <c r="E31" i="31"/>
  <c r="E32" i="31"/>
  <c r="E33" i="31"/>
  <c r="E34" i="31"/>
  <c r="E35" i="31"/>
  <c r="E36" i="31"/>
  <c r="E37" i="31"/>
  <c r="E38" i="31"/>
  <c r="E39" i="31"/>
  <c r="E40" i="31"/>
  <c r="E41" i="31"/>
  <c r="E42" i="31"/>
  <c r="E43" i="31"/>
  <c r="E44" i="31"/>
  <c r="E45" i="31"/>
  <c r="E46" i="31"/>
  <c r="E47" i="31"/>
  <c r="E48" i="31"/>
  <c r="E49" i="31"/>
  <c r="E50" i="31"/>
  <c r="E51" i="31"/>
  <c r="E52" i="31"/>
  <c r="E53" i="31"/>
  <c r="E54" i="31"/>
  <c r="E55" i="31"/>
  <c r="E56" i="31"/>
  <c r="E57" i="31"/>
  <c r="E58" i="31"/>
  <c r="E59" i="31"/>
  <c r="E60" i="31"/>
  <c r="E61" i="31"/>
  <c r="E62" i="31"/>
  <c r="E63" i="31"/>
  <c r="E64" i="31"/>
  <c r="E65" i="31"/>
  <c r="E66" i="31"/>
  <c r="E67" i="31"/>
  <c r="E68" i="31"/>
  <c r="I18" i="31"/>
  <c r="I19" i="31"/>
  <c r="I20" i="31"/>
  <c r="I21" i="31"/>
  <c r="I22" i="31"/>
  <c r="I24" i="31"/>
  <c r="I25" i="31"/>
  <c r="H17" i="31"/>
  <c r="H18" i="31"/>
  <c r="H19" i="31"/>
  <c r="H20" i="31"/>
  <c r="H21" i="31"/>
  <c r="H22" i="31"/>
  <c r="H23" i="31"/>
  <c r="I23" i="31" s="1"/>
  <c r="H24" i="31"/>
  <c r="H25" i="31"/>
  <c r="H26" i="31"/>
  <c r="H27" i="31"/>
  <c r="H28" i="31"/>
  <c r="H29" i="31"/>
  <c r="H30" i="31"/>
  <c r="I30" i="31" s="1"/>
  <c r="H31" i="31"/>
  <c r="H32" i="31"/>
  <c r="H33" i="31"/>
  <c r="H34" i="31"/>
  <c r="H35" i="31"/>
  <c r="H36" i="31"/>
  <c r="H37" i="31"/>
  <c r="I37" i="31" s="1"/>
  <c r="H38" i="31"/>
  <c r="H39" i="31"/>
  <c r="H40" i="31"/>
  <c r="H41" i="31"/>
  <c r="H42" i="31"/>
  <c r="H43" i="31"/>
  <c r="I43" i="31" s="1"/>
  <c r="H44" i="31"/>
  <c r="H45" i="31"/>
  <c r="H46" i="31"/>
  <c r="H47" i="31"/>
  <c r="H48" i="31"/>
  <c r="H49" i="31"/>
  <c r="H50" i="31"/>
  <c r="H51" i="31"/>
  <c r="H52" i="31"/>
  <c r="H53" i="31"/>
  <c r="H54" i="31"/>
  <c r="H55" i="31"/>
  <c r="H56" i="31"/>
  <c r="H57" i="31"/>
  <c r="H58" i="31"/>
  <c r="H59" i="31"/>
  <c r="H60" i="31"/>
  <c r="H61" i="31"/>
  <c r="H62" i="31"/>
  <c r="H63" i="31"/>
  <c r="H64" i="31"/>
  <c r="H65" i="31"/>
  <c r="H66" i="31"/>
  <c r="H67" i="31"/>
  <c r="H68" i="31"/>
  <c r="E18" i="31"/>
  <c r="E19" i="31"/>
  <c r="E20" i="31"/>
  <c r="E21" i="31"/>
  <c r="E22" i="31"/>
  <c r="E23" i="31"/>
  <c r="E24" i="31"/>
  <c r="E25" i="31"/>
  <c r="H65" i="28"/>
  <c r="H60" i="28"/>
  <c r="I60" i="28" s="1"/>
  <c r="H64" i="28"/>
  <c r="H63" i="28"/>
  <c r="H62" i="28"/>
  <c r="H59" i="28"/>
  <c r="H38" i="28"/>
  <c r="H37" i="28"/>
  <c r="H36" i="28"/>
  <c r="H35" i="28"/>
  <c r="H34" i="28"/>
  <c r="H33" i="28"/>
  <c r="H39" i="28"/>
  <c r="H44" i="28"/>
  <c r="H32" i="28"/>
  <c r="H25" i="28"/>
  <c r="H24" i="28"/>
  <c r="H23" i="28"/>
  <c r="H22" i="28"/>
  <c r="H21" i="28"/>
  <c r="H19" i="28"/>
  <c r="H20" i="28"/>
  <c r="H26" i="28"/>
  <c r="H31" i="28"/>
  <c r="H30" i="28"/>
  <c r="H50" i="28"/>
  <c r="I44" i="28"/>
  <c r="I34" i="28"/>
  <c r="I33" i="28"/>
  <c r="I32" i="28"/>
  <c r="I50" i="28"/>
  <c r="I26" i="28"/>
  <c r="I25" i="28"/>
  <c r="I24" i="28"/>
  <c r="I23" i="28"/>
  <c r="H48" i="28"/>
  <c r="I48" i="28"/>
  <c r="I30" i="28"/>
  <c r="I31" i="28"/>
  <c r="I39" i="28"/>
  <c r="E19" i="28"/>
  <c r="E20" i="28"/>
  <c r="I57" i="28"/>
  <c r="H57" i="28"/>
  <c r="H58" i="28"/>
  <c r="H28" i="28"/>
  <c r="H29" i="28"/>
  <c r="I29" i="28" s="1"/>
  <c r="I28" i="28"/>
  <c r="H42" i="28"/>
  <c r="I42" i="28" s="1"/>
  <c r="A3" i="27" a="1"/>
  <c r="A3" i="27" s="1"/>
  <c r="H18" i="28"/>
  <c r="I18" i="28" s="1"/>
  <c r="H24" i="29"/>
  <c r="H27" i="28"/>
  <c r="H25" i="29" s="1"/>
  <c r="H27" i="29"/>
  <c r="H32" i="29"/>
  <c r="H33" i="29"/>
  <c r="H40" i="28"/>
  <c r="I40" i="28" s="1"/>
  <c r="H41" i="28"/>
  <c r="I41" i="28" s="1"/>
  <c r="H40" i="29"/>
  <c r="H43" i="28"/>
  <c r="I43" i="28" s="1"/>
  <c r="H45" i="28"/>
  <c r="I45" i="28" s="1"/>
  <c r="H46" i="28"/>
  <c r="I46" i="28" s="1"/>
  <c r="H47" i="28"/>
  <c r="I47" i="28" s="1"/>
  <c r="H49" i="28"/>
  <c r="I49" i="28" s="1"/>
  <c r="H48" i="29"/>
  <c r="H51" i="28"/>
  <c r="I51" i="28" s="1"/>
  <c r="H52" i="28"/>
  <c r="H53" i="28"/>
  <c r="I53" i="28" s="1"/>
  <c r="H54" i="28"/>
  <c r="H55" i="28"/>
  <c r="H56" i="28"/>
  <c r="H54" i="29" s="1"/>
  <c r="H55" i="29"/>
  <c r="H56" i="29"/>
  <c r="H61" i="28"/>
  <c r="H60" i="29"/>
  <c r="H62" i="29"/>
  <c r="H66" i="28"/>
  <c r="H64" i="29" s="1"/>
  <c r="H67" i="28"/>
  <c r="H68" i="28"/>
  <c r="E18" i="28"/>
  <c r="F18" i="28" s="1"/>
  <c r="E21" i="28"/>
  <c r="F21" i="28" s="1"/>
  <c r="E22" i="28"/>
  <c r="F22" i="28" s="1"/>
  <c r="E23" i="28"/>
  <c r="F23" i="28" s="1"/>
  <c r="E24" i="28"/>
  <c r="F24" i="28" s="1"/>
  <c r="E25" i="28"/>
  <c r="F25" i="28" s="1"/>
  <c r="E26" i="28"/>
  <c r="F26" i="28" s="1"/>
  <c r="E27" i="28"/>
  <c r="F27" i="28" s="1"/>
  <c r="E28" i="28"/>
  <c r="F28" i="28" s="1"/>
  <c r="E29" i="28"/>
  <c r="F29" i="28" s="1"/>
  <c r="E30" i="28"/>
  <c r="F30" i="28" s="1"/>
  <c r="E31" i="28"/>
  <c r="F31" i="28" s="1"/>
  <c r="E32" i="28"/>
  <c r="F32" i="28" s="1"/>
  <c r="E33" i="28"/>
  <c r="F33" i="28" s="1"/>
  <c r="E34" i="28"/>
  <c r="F34" i="28" s="1"/>
  <c r="E35" i="28"/>
  <c r="F35" i="28" s="1"/>
  <c r="E36" i="28"/>
  <c r="F36" i="28" s="1"/>
  <c r="E37" i="28"/>
  <c r="F37" i="28" s="1"/>
  <c r="E38" i="28"/>
  <c r="F38" i="28" s="1"/>
  <c r="E39" i="28"/>
  <c r="F39" i="28" s="1"/>
  <c r="E40" i="28"/>
  <c r="F40" i="28" s="1"/>
  <c r="E41" i="28"/>
  <c r="F41" i="28" s="1"/>
  <c r="E42" i="28"/>
  <c r="F42" i="28" s="1"/>
  <c r="E43" i="28"/>
  <c r="F43" i="28" s="1"/>
  <c r="E44" i="28"/>
  <c r="F44" i="28" s="1"/>
  <c r="E45" i="28"/>
  <c r="F45" i="28" s="1"/>
  <c r="E46" i="28"/>
  <c r="F46" i="28" s="1"/>
  <c r="E47" i="28"/>
  <c r="F47" i="28" s="1"/>
  <c r="E48" i="28"/>
  <c r="F48" i="28" s="1"/>
  <c r="E49" i="28"/>
  <c r="F49" i="28" s="1"/>
  <c r="E50" i="28"/>
  <c r="F50" i="28" s="1"/>
  <c r="E51" i="28"/>
  <c r="F51" i="28" s="1"/>
  <c r="E52" i="28"/>
  <c r="F52" i="28" s="1"/>
  <c r="E53" i="28"/>
  <c r="F53" i="28" s="1"/>
  <c r="E54" i="28"/>
  <c r="F54" i="28" s="1"/>
  <c r="E55" i="28"/>
  <c r="F55" i="28" s="1"/>
  <c r="E56" i="28"/>
  <c r="F56" i="28" s="1"/>
  <c r="E57" i="28"/>
  <c r="F57" i="28" s="1"/>
  <c r="E58" i="28"/>
  <c r="F58" i="28" s="1"/>
  <c r="E59" i="28"/>
  <c r="F59" i="28" s="1"/>
  <c r="E60" i="28"/>
  <c r="F60" i="28" s="1"/>
  <c r="E61" i="28"/>
  <c r="F61" i="28" s="1"/>
  <c r="E62" i="28"/>
  <c r="F62" i="28" s="1"/>
  <c r="E63" i="28"/>
  <c r="F63" i="28" s="1"/>
  <c r="E64" i="28"/>
  <c r="F64" i="28" s="1"/>
  <c r="E65" i="28"/>
  <c r="F65" i="28" s="1"/>
  <c r="E66" i="28"/>
  <c r="F66" i="28" s="1"/>
  <c r="E67" i="28"/>
  <c r="F67" i="28" s="1"/>
  <c r="E68" i="28"/>
  <c r="F68" i="28" s="1"/>
  <c r="H18" i="27"/>
  <c r="I18" i="27" s="1"/>
  <c r="H19" i="27"/>
  <c r="I19" i="27" s="1"/>
  <c r="H20" i="27"/>
  <c r="I20" i="27" s="1"/>
  <c r="H21" i="27"/>
  <c r="I21" i="27"/>
  <c r="H22" i="27"/>
  <c r="I22" i="27" s="1"/>
  <c r="H23" i="27"/>
  <c r="I23" i="27" s="1"/>
  <c r="H24" i="27"/>
  <c r="I24" i="27" s="1"/>
  <c r="H25" i="27"/>
  <c r="I25" i="27"/>
  <c r="H26" i="27"/>
  <c r="I26" i="27" s="1"/>
  <c r="H27" i="27"/>
  <c r="I27" i="27" s="1"/>
  <c r="H28" i="27"/>
  <c r="I28" i="27" s="1"/>
  <c r="H29" i="27"/>
  <c r="I29" i="27"/>
  <c r="H30" i="27"/>
  <c r="I30" i="27" s="1"/>
  <c r="H31" i="27"/>
  <c r="I31" i="27" s="1"/>
  <c r="H32" i="27"/>
  <c r="I32" i="27" s="1"/>
  <c r="H33" i="27"/>
  <c r="I33" i="27"/>
  <c r="H34" i="27"/>
  <c r="I34" i="27" s="1"/>
  <c r="H35" i="27"/>
  <c r="I35" i="27" s="1"/>
  <c r="H36" i="27"/>
  <c r="I36" i="27" s="1"/>
  <c r="H37" i="27"/>
  <c r="I37" i="27"/>
  <c r="H38" i="27"/>
  <c r="I38" i="27" s="1"/>
  <c r="H39" i="27"/>
  <c r="I39" i="27" s="1"/>
  <c r="H40" i="27"/>
  <c r="I40" i="27" s="1"/>
  <c r="H41" i="27"/>
  <c r="I41" i="27"/>
  <c r="H42" i="27"/>
  <c r="I42" i="27" s="1"/>
  <c r="H43" i="27"/>
  <c r="I43" i="27" s="1"/>
  <c r="H44" i="27"/>
  <c r="I44" i="27" s="1"/>
  <c r="H45" i="27"/>
  <c r="I45" i="27"/>
  <c r="H46" i="27"/>
  <c r="I46" i="27" s="1"/>
  <c r="H47" i="27"/>
  <c r="I47" i="27" s="1"/>
  <c r="H48" i="27"/>
  <c r="I48" i="27" s="1"/>
  <c r="H49" i="27"/>
  <c r="I49" i="27"/>
  <c r="H50" i="27"/>
  <c r="I50" i="27" s="1"/>
  <c r="H51" i="27"/>
  <c r="I51" i="27" s="1"/>
  <c r="H52" i="27"/>
  <c r="I52" i="27" s="1"/>
  <c r="H53" i="27"/>
  <c r="I53" i="27"/>
  <c r="H54" i="27"/>
  <c r="I54" i="27" s="1"/>
  <c r="H55" i="27"/>
  <c r="I55" i="27" s="1"/>
  <c r="H56" i="27"/>
  <c r="I56" i="27" s="1"/>
  <c r="H57" i="27"/>
  <c r="I57" i="27"/>
  <c r="H58" i="27"/>
  <c r="I58" i="27" s="1"/>
  <c r="H59" i="27"/>
  <c r="I59" i="27" s="1"/>
  <c r="H60" i="27"/>
  <c r="I60" i="27" s="1"/>
  <c r="H61" i="27"/>
  <c r="I61" i="27"/>
  <c r="H62" i="27"/>
  <c r="I62" i="27" s="1"/>
  <c r="H63" i="27"/>
  <c r="I63" i="27" s="1"/>
  <c r="H64" i="27"/>
  <c r="I64" i="27" s="1"/>
  <c r="H65" i="27"/>
  <c r="I65" i="27"/>
  <c r="H66" i="27"/>
  <c r="I66" i="27" s="1"/>
  <c r="H67" i="27"/>
  <c r="I67" i="27" s="1"/>
  <c r="H68" i="27"/>
  <c r="I68" i="27" s="1"/>
  <c r="I4" i="27"/>
  <c r="I5" i="27"/>
  <c r="I6" i="27"/>
  <c r="I7" i="27"/>
  <c r="I8" i="27"/>
  <c r="I9" i="27"/>
  <c r="I10" i="27"/>
  <c r="H4" i="27"/>
  <c r="H5" i="27"/>
  <c r="H6" i="27"/>
  <c r="H7" i="27"/>
  <c r="H8" i="27"/>
  <c r="H9" i="27"/>
  <c r="H10" i="27"/>
  <c r="E18" i="27"/>
  <c r="F18" i="27" s="1"/>
  <c r="E19" i="27"/>
  <c r="F19" i="27" s="1"/>
  <c r="E20" i="27"/>
  <c r="F20" i="27" s="1"/>
  <c r="E21" i="27"/>
  <c r="F21" i="27" s="1"/>
  <c r="E22" i="27"/>
  <c r="F22" i="27" s="1"/>
  <c r="E23" i="27"/>
  <c r="F23" i="27" s="1"/>
  <c r="E24" i="27"/>
  <c r="F24" i="27" s="1"/>
  <c r="E25" i="27"/>
  <c r="F25" i="27" s="1"/>
  <c r="E26" i="27"/>
  <c r="F26" i="27" s="1"/>
  <c r="E27" i="27"/>
  <c r="F27" i="27" s="1"/>
  <c r="E28" i="27"/>
  <c r="F28" i="27"/>
  <c r="E29" i="27"/>
  <c r="F29" i="27" s="1"/>
  <c r="E30" i="27"/>
  <c r="F30" i="27" s="1"/>
  <c r="E31" i="27"/>
  <c r="F31" i="27" s="1"/>
  <c r="E32" i="27"/>
  <c r="F32" i="27" s="1"/>
  <c r="E33" i="27"/>
  <c r="F33" i="27"/>
  <c r="E34" i="27"/>
  <c r="F34" i="27" s="1"/>
  <c r="E35" i="27"/>
  <c r="F35" i="27" s="1"/>
  <c r="E36" i="27"/>
  <c r="F36" i="27" s="1"/>
  <c r="E37" i="27"/>
  <c r="F37" i="27" s="1"/>
  <c r="E38" i="27"/>
  <c r="F38" i="27" s="1"/>
  <c r="E39" i="27"/>
  <c r="F39" i="27" s="1"/>
  <c r="E40" i="27"/>
  <c r="F40" i="27" s="1"/>
  <c r="E41" i="27"/>
  <c r="F41" i="27" s="1"/>
  <c r="E42" i="27"/>
  <c r="F42" i="27" s="1"/>
  <c r="E43" i="27"/>
  <c r="F43" i="27" s="1"/>
  <c r="E44" i="27"/>
  <c r="F44" i="27"/>
  <c r="E45" i="27"/>
  <c r="F45" i="27" s="1"/>
  <c r="E46" i="27"/>
  <c r="F46" i="27" s="1"/>
  <c r="E47" i="27"/>
  <c r="F47" i="27" s="1"/>
  <c r="E48" i="27"/>
  <c r="F48" i="27" s="1"/>
  <c r="E49" i="27"/>
  <c r="F49" i="27"/>
  <c r="E50" i="27"/>
  <c r="F50" i="27" s="1"/>
  <c r="E51" i="27"/>
  <c r="F51" i="27" s="1"/>
  <c r="E52" i="27"/>
  <c r="F52" i="27" s="1"/>
  <c r="E53" i="27"/>
  <c r="F53" i="27" s="1"/>
  <c r="E54" i="27"/>
  <c r="F54" i="27" s="1"/>
  <c r="E55" i="27"/>
  <c r="F55" i="27" s="1"/>
  <c r="E56" i="27"/>
  <c r="F56" i="27" s="1"/>
  <c r="E57" i="27"/>
  <c r="F57" i="27" s="1"/>
  <c r="E58" i="27"/>
  <c r="F58" i="27" s="1"/>
  <c r="E59" i="27"/>
  <c r="F59" i="27" s="1"/>
  <c r="E60" i="27"/>
  <c r="F60" i="27"/>
  <c r="E61" i="27"/>
  <c r="F61" i="27" s="1"/>
  <c r="E62" i="27"/>
  <c r="F62" i="27" s="1"/>
  <c r="E63" i="27"/>
  <c r="F63" i="27" s="1"/>
  <c r="E64" i="27"/>
  <c r="F64" i="27"/>
  <c r="E65" i="27"/>
  <c r="F65" i="27"/>
  <c r="E66" i="27"/>
  <c r="F66" i="27" s="1"/>
  <c r="E67" i="27"/>
  <c r="F67" i="27" s="1"/>
  <c r="E68" i="27"/>
  <c r="F68" i="27" s="1"/>
  <c r="E4" i="27"/>
  <c r="F4" i="27" s="1"/>
  <c r="E5" i="27"/>
  <c r="F5" i="27" s="1"/>
  <c r="E6" i="27"/>
  <c r="F6" i="27" s="1"/>
  <c r="E7" i="27"/>
  <c r="F7" i="27" s="1"/>
  <c r="E8" i="27"/>
  <c r="F8" i="27" s="1"/>
  <c r="E9" i="27"/>
  <c r="F9" i="27" s="1"/>
  <c r="E10" i="27"/>
  <c r="F10" i="27" s="1"/>
  <c r="C21" i="30"/>
  <c r="D21" i="30"/>
  <c r="C22" i="30"/>
  <c r="D22" i="30"/>
  <c r="H22" i="30"/>
  <c r="H22" i="34" s="1"/>
  <c r="C23" i="30"/>
  <c r="D23" i="30"/>
  <c r="H23" i="30"/>
  <c r="C24" i="30"/>
  <c r="D24" i="30"/>
  <c r="C25" i="30"/>
  <c r="D25" i="30"/>
  <c r="C26" i="30"/>
  <c r="D26" i="30"/>
  <c r="H26" i="30"/>
  <c r="H26" i="34" s="1"/>
  <c r="C27" i="30"/>
  <c r="D27" i="30"/>
  <c r="C28" i="30"/>
  <c r="D28" i="30"/>
  <c r="C29" i="30"/>
  <c r="D29" i="30"/>
  <c r="C30" i="30"/>
  <c r="D30" i="30"/>
  <c r="H30" i="30"/>
  <c r="C31" i="30"/>
  <c r="D31" i="30"/>
  <c r="C32" i="30"/>
  <c r="D32" i="30"/>
  <c r="H32" i="30"/>
  <c r="H32" i="34" s="1"/>
  <c r="C33" i="30"/>
  <c r="D33" i="30"/>
  <c r="H33" i="30"/>
  <c r="H33" i="34" s="1"/>
  <c r="C34" i="30"/>
  <c r="D34" i="30"/>
  <c r="H34" i="30"/>
  <c r="C35" i="30"/>
  <c r="D35" i="30"/>
  <c r="E35" i="30" s="1"/>
  <c r="F35" i="30" s="1"/>
  <c r="H35" i="30"/>
  <c r="H35" i="34" s="1"/>
  <c r="C36" i="30"/>
  <c r="D36" i="30"/>
  <c r="C37" i="30"/>
  <c r="D37" i="30"/>
  <c r="C38" i="30"/>
  <c r="D38" i="30"/>
  <c r="H38" i="30"/>
  <c r="C39" i="30"/>
  <c r="D39" i="30"/>
  <c r="C40" i="30"/>
  <c r="D40" i="30"/>
  <c r="C41" i="30"/>
  <c r="D41" i="30"/>
  <c r="H41" i="30"/>
  <c r="H41" i="34" s="1"/>
  <c r="C42" i="30"/>
  <c r="D42" i="30"/>
  <c r="H42" i="30"/>
  <c r="C43" i="30"/>
  <c r="D43" i="30"/>
  <c r="C44" i="30"/>
  <c r="D44" i="30"/>
  <c r="C45" i="30"/>
  <c r="D45" i="30"/>
  <c r="C46" i="30"/>
  <c r="D46" i="30"/>
  <c r="H46" i="30"/>
  <c r="H46" i="34" s="1"/>
  <c r="C47" i="30"/>
  <c r="D47" i="30"/>
  <c r="H47" i="30"/>
  <c r="H47" i="34" s="1"/>
  <c r="C48" i="30"/>
  <c r="D48" i="30"/>
  <c r="C49" i="30"/>
  <c r="D49" i="30"/>
  <c r="C50" i="30"/>
  <c r="D50" i="30"/>
  <c r="H50" i="30"/>
  <c r="C51" i="30"/>
  <c r="D51" i="30"/>
  <c r="C52" i="30"/>
  <c r="D52" i="30"/>
  <c r="C53" i="30"/>
  <c r="D53" i="30"/>
  <c r="H53" i="30"/>
  <c r="H53" i="34" s="1"/>
  <c r="C54" i="30"/>
  <c r="D54" i="30"/>
  <c r="H54" i="30"/>
  <c r="H54" i="34" s="1"/>
  <c r="C55" i="30"/>
  <c r="D55" i="30"/>
  <c r="C56" i="30"/>
  <c r="D56" i="30"/>
  <c r="C57" i="30"/>
  <c r="D57" i="30"/>
  <c r="H57" i="30"/>
  <c r="C58" i="30"/>
  <c r="D58" i="30"/>
  <c r="H58" i="30"/>
  <c r="C59" i="30"/>
  <c r="D59" i="30"/>
  <c r="H59" i="30"/>
  <c r="H59" i="34" s="1"/>
  <c r="C60" i="30"/>
  <c r="D60" i="30"/>
  <c r="C61" i="30"/>
  <c r="D61" i="30"/>
  <c r="C62" i="30"/>
  <c r="D62" i="30"/>
  <c r="H62" i="30"/>
  <c r="C63" i="30"/>
  <c r="D63" i="30"/>
  <c r="C64" i="30"/>
  <c r="D64" i="30"/>
  <c r="C65" i="30"/>
  <c r="D65" i="30"/>
  <c r="H65" i="30"/>
  <c r="H65" i="34" s="1"/>
  <c r="C66" i="30"/>
  <c r="D66" i="30"/>
  <c r="H66" i="30"/>
  <c r="I66" i="30" s="1"/>
  <c r="C67" i="30"/>
  <c r="D67" i="30"/>
  <c r="C68" i="30"/>
  <c r="D68" i="30"/>
  <c r="D68" i="34" s="1"/>
  <c r="C26" i="1"/>
  <c r="D26" i="1"/>
  <c r="E26" i="1"/>
  <c r="F26" i="1"/>
  <c r="G26" i="1"/>
  <c r="H26" i="1"/>
  <c r="I26" i="1"/>
  <c r="C27" i="1"/>
  <c r="D27" i="1"/>
  <c r="E27" i="1"/>
  <c r="F27" i="1"/>
  <c r="G27" i="1"/>
  <c r="H27" i="1"/>
  <c r="I27" i="1"/>
  <c r="C28" i="1"/>
  <c r="D28" i="1"/>
  <c r="E28" i="1"/>
  <c r="F28" i="1"/>
  <c r="G28" i="1"/>
  <c r="H28" i="1"/>
  <c r="I28" i="1"/>
  <c r="C29" i="1"/>
  <c r="D29" i="1"/>
  <c r="E29" i="1"/>
  <c r="F29" i="1"/>
  <c r="G29" i="1"/>
  <c r="H29" i="1"/>
  <c r="I29" i="1"/>
  <c r="C30" i="1"/>
  <c r="D30" i="1"/>
  <c r="E30" i="1"/>
  <c r="F30" i="1"/>
  <c r="G30" i="1"/>
  <c r="H30" i="1"/>
  <c r="I30" i="1"/>
  <c r="C31" i="1"/>
  <c r="D31" i="1"/>
  <c r="E31" i="1"/>
  <c r="F31" i="1"/>
  <c r="G31" i="1"/>
  <c r="H31" i="1"/>
  <c r="I31" i="1"/>
  <c r="C32" i="1"/>
  <c r="D32" i="1"/>
  <c r="E32" i="1"/>
  <c r="F32" i="1"/>
  <c r="G32" i="1"/>
  <c r="H32" i="1"/>
  <c r="I32" i="1"/>
  <c r="C33" i="1"/>
  <c r="D33" i="1"/>
  <c r="E33" i="1"/>
  <c r="F33" i="1"/>
  <c r="G33" i="1"/>
  <c r="H33" i="1"/>
  <c r="I33" i="1"/>
  <c r="C34" i="1"/>
  <c r="D34" i="1"/>
  <c r="E34" i="1"/>
  <c r="F34" i="1"/>
  <c r="G34" i="1"/>
  <c r="H34" i="1"/>
  <c r="I34" i="1"/>
  <c r="C35" i="1"/>
  <c r="D35" i="1"/>
  <c r="E35" i="1"/>
  <c r="F35" i="1"/>
  <c r="G35" i="1"/>
  <c r="H35" i="1"/>
  <c r="I35" i="1"/>
  <c r="C36" i="1"/>
  <c r="D36" i="1"/>
  <c r="E36" i="1"/>
  <c r="F36" i="1"/>
  <c r="G36" i="1"/>
  <c r="H36" i="1"/>
  <c r="I36" i="1"/>
  <c r="C37" i="1"/>
  <c r="D37" i="1"/>
  <c r="E37" i="1"/>
  <c r="F37" i="1"/>
  <c r="G37" i="1"/>
  <c r="H37" i="1"/>
  <c r="I37" i="1"/>
  <c r="C38" i="1"/>
  <c r="D38" i="1"/>
  <c r="E38" i="1"/>
  <c r="F38" i="1"/>
  <c r="G38" i="1"/>
  <c r="H38" i="1"/>
  <c r="I38" i="1"/>
  <c r="C39" i="1"/>
  <c r="D39" i="1"/>
  <c r="E39" i="1"/>
  <c r="F39" i="1"/>
  <c r="G39" i="1"/>
  <c r="H39" i="1"/>
  <c r="I39" i="1"/>
  <c r="C40" i="1"/>
  <c r="D40" i="1"/>
  <c r="E40" i="1"/>
  <c r="F40" i="1"/>
  <c r="G40" i="1"/>
  <c r="H40" i="1"/>
  <c r="I40" i="1"/>
  <c r="C41" i="1"/>
  <c r="D41" i="1"/>
  <c r="E41" i="1"/>
  <c r="F41" i="1"/>
  <c r="G41" i="1"/>
  <c r="H41" i="1"/>
  <c r="I41" i="1"/>
  <c r="C42" i="1"/>
  <c r="D42" i="1"/>
  <c r="E42" i="1"/>
  <c r="F42" i="1"/>
  <c r="G42" i="1"/>
  <c r="H42" i="1"/>
  <c r="I42" i="1"/>
  <c r="C43" i="1"/>
  <c r="D43" i="1"/>
  <c r="E43" i="1"/>
  <c r="F43" i="1"/>
  <c r="G43" i="1"/>
  <c r="H43" i="1"/>
  <c r="I43" i="1"/>
  <c r="C44" i="1"/>
  <c r="D44" i="1"/>
  <c r="E44" i="1"/>
  <c r="F44" i="1"/>
  <c r="G44" i="1"/>
  <c r="H44" i="1"/>
  <c r="I44" i="1"/>
  <c r="C45" i="1"/>
  <c r="D45" i="1"/>
  <c r="E45" i="1"/>
  <c r="F45" i="1"/>
  <c r="G45" i="1"/>
  <c r="H45" i="1"/>
  <c r="I45" i="1"/>
  <c r="C46" i="1"/>
  <c r="D46" i="1"/>
  <c r="E46" i="1"/>
  <c r="F46" i="1"/>
  <c r="G46" i="1"/>
  <c r="H46" i="1"/>
  <c r="I46" i="1"/>
  <c r="C47" i="1"/>
  <c r="D47" i="1"/>
  <c r="E47" i="1"/>
  <c r="F47" i="1"/>
  <c r="G47" i="1"/>
  <c r="H47" i="1"/>
  <c r="I47" i="1"/>
  <c r="C48" i="1"/>
  <c r="D48" i="1"/>
  <c r="E48" i="1"/>
  <c r="F48" i="1"/>
  <c r="G48" i="1"/>
  <c r="H48" i="1"/>
  <c r="I48" i="1"/>
  <c r="C49" i="1"/>
  <c r="D49" i="1"/>
  <c r="E49" i="1"/>
  <c r="F49" i="1"/>
  <c r="G49" i="1"/>
  <c r="H49" i="1"/>
  <c r="I49" i="1"/>
  <c r="C50" i="1"/>
  <c r="D50" i="1"/>
  <c r="E50" i="1"/>
  <c r="F50" i="1"/>
  <c r="G50" i="1"/>
  <c r="H50" i="1"/>
  <c r="I50" i="1"/>
  <c r="C51" i="1"/>
  <c r="D51" i="1"/>
  <c r="E51" i="1"/>
  <c r="F51" i="1"/>
  <c r="G51" i="1"/>
  <c r="H51" i="1"/>
  <c r="I51" i="1"/>
  <c r="C52" i="1"/>
  <c r="D52" i="1"/>
  <c r="E52" i="1"/>
  <c r="F52" i="1"/>
  <c r="G52" i="1"/>
  <c r="H52" i="1"/>
  <c r="I52" i="1"/>
  <c r="C53" i="1"/>
  <c r="D53" i="1"/>
  <c r="E53" i="1"/>
  <c r="F53" i="1"/>
  <c r="G53" i="1"/>
  <c r="H53" i="1"/>
  <c r="I53" i="1"/>
  <c r="C54" i="1"/>
  <c r="D54" i="1"/>
  <c r="E54" i="1"/>
  <c r="F54" i="1"/>
  <c r="G54" i="1"/>
  <c r="H54" i="1"/>
  <c r="I54" i="1"/>
  <c r="C55" i="1"/>
  <c r="D55" i="1"/>
  <c r="E55" i="1"/>
  <c r="F55" i="1"/>
  <c r="G55" i="1"/>
  <c r="H55" i="1"/>
  <c r="I55" i="1"/>
  <c r="C56" i="1"/>
  <c r="D56" i="1"/>
  <c r="E56" i="1"/>
  <c r="F56" i="1"/>
  <c r="G56" i="1"/>
  <c r="H56" i="1"/>
  <c r="I56" i="1"/>
  <c r="C57" i="1"/>
  <c r="D57" i="1"/>
  <c r="E57" i="1"/>
  <c r="F57" i="1"/>
  <c r="G57" i="1"/>
  <c r="H57" i="1"/>
  <c r="I57" i="1"/>
  <c r="C58" i="1"/>
  <c r="D58" i="1"/>
  <c r="E58" i="1"/>
  <c r="F58" i="1"/>
  <c r="G58" i="1"/>
  <c r="H58" i="1"/>
  <c r="I58" i="1"/>
  <c r="C59" i="1"/>
  <c r="D59" i="1"/>
  <c r="E59" i="1"/>
  <c r="F59" i="1"/>
  <c r="G59" i="1"/>
  <c r="H59" i="1"/>
  <c r="I59" i="1"/>
  <c r="C60" i="1"/>
  <c r="D60" i="1"/>
  <c r="E60" i="1"/>
  <c r="F60" i="1"/>
  <c r="G60" i="1"/>
  <c r="H60" i="1"/>
  <c r="I60" i="1"/>
  <c r="C61" i="1"/>
  <c r="D61" i="1"/>
  <c r="E61" i="1"/>
  <c r="F61" i="1"/>
  <c r="G61" i="1"/>
  <c r="H61" i="1"/>
  <c r="I61" i="1"/>
  <c r="C62" i="1"/>
  <c r="D62" i="1"/>
  <c r="E62" i="1"/>
  <c r="F62" i="1"/>
  <c r="G62" i="1"/>
  <c r="H62" i="1"/>
  <c r="I62" i="1"/>
  <c r="C63" i="1"/>
  <c r="D63" i="1"/>
  <c r="E63" i="1"/>
  <c r="F63" i="1"/>
  <c r="G63" i="1"/>
  <c r="H63" i="1"/>
  <c r="I63" i="1"/>
  <c r="C64" i="1"/>
  <c r="D64" i="1"/>
  <c r="E64" i="1"/>
  <c r="F64" i="1"/>
  <c r="G64" i="1"/>
  <c r="H64" i="1"/>
  <c r="I64" i="1"/>
  <c r="C65" i="1"/>
  <c r="D65" i="1"/>
  <c r="E65" i="1"/>
  <c r="F65" i="1"/>
  <c r="G65" i="1"/>
  <c r="H65" i="1"/>
  <c r="I65" i="1"/>
  <c r="C66" i="1"/>
  <c r="D66" i="1"/>
  <c r="E66" i="1"/>
  <c r="F66" i="1"/>
  <c r="G66" i="1"/>
  <c r="H66" i="1"/>
  <c r="I66" i="1"/>
  <c r="C67" i="1"/>
  <c r="D67" i="1"/>
  <c r="E67" i="1"/>
  <c r="F67" i="1"/>
  <c r="G67" i="1"/>
  <c r="H67" i="1"/>
  <c r="I67" i="1"/>
  <c r="C68" i="1"/>
  <c r="D68" i="1"/>
  <c r="E68" i="1"/>
  <c r="F68" i="1"/>
  <c r="G68" i="1"/>
  <c r="H68" i="1"/>
  <c r="I68" i="1"/>
  <c r="C26" i="18"/>
  <c r="D26" i="18"/>
  <c r="E26" i="18"/>
  <c r="F26" i="18"/>
  <c r="G26" i="18"/>
  <c r="H26" i="18"/>
  <c r="I26" i="18"/>
  <c r="C27" i="18"/>
  <c r="D27" i="18"/>
  <c r="E27" i="18"/>
  <c r="F27" i="18"/>
  <c r="G27" i="18"/>
  <c r="H27" i="18"/>
  <c r="I27" i="18"/>
  <c r="C28" i="18"/>
  <c r="D28" i="18"/>
  <c r="E28" i="18"/>
  <c r="F28" i="18"/>
  <c r="G28" i="18"/>
  <c r="H28" i="18"/>
  <c r="I28" i="18"/>
  <c r="C29" i="18"/>
  <c r="D29" i="18"/>
  <c r="E29" i="18"/>
  <c r="F29" i="18"/>
  <c r="G29" i="18"/>
  <c r="H29" i="18"/>
  <c r="I29" i="18"/>
  <c r="C30" i="18"/>
  <c r="D30" i="18"/>
  <c r="E30" i="18"/>
  <c r="F30" i="18"/>
  <c r="G30" i="18"/>
  <c r="H30" i="18"/>
  <c r="I30" i="18"/>
  <c r="C31" i="18"/>
  <c r="D31" i="18"/>
  <c r="E31" i="18"/>
  <c r="F31" i="18"/>
  <c r="G31" i="18"/>
  <c r="H31" i="18"/>
  <c r="I31" i="18"/>
  <c r="C32" i="18"/>
  <c r="D32" i="18"/>
  <c r="E32" i="18"/>
  <c r="F32" i="18"/>
  <c r="G32" i="18"/>
  <c r="H32" i="18"/>
  <c r="I32" i="18"/>
  <c r="C33" i="18"/>
  <c r="D33" i="18"/>
  <c r="E33" i="18"/>
  <c r="F33" i="18"/>
  <c r="G33" i="18"/>
  <c r="H33" i="18"/>
  <c r="I33" i="18"/>
  <c r="C34" i="18"/>
  <c r="D34" i="18"/>
  <c r="E34" i="18"/>
  <c r="F34" i="18"/>
  <c r="G34" i="18"/>
  <c r="H34" i="18"/>
  <c r="I34" i="18"/>
  <c r="C35" i="18"/>
  <c r="D35" i="18"/>
  <c r="E35" i="18"/>
  <c r="F35" i="18"/>
  <c r="G35" i="18"/>
  <c r="H35" i="18"/>
  <c r="I35" i="18"/>
  <c r="C36" i="18"/>
  <c r="D36" i="18"/>
  <c r="E36" i="18"/>
  <c r="F36" i="18"/>
  <c r="G36" i="18"/>
  <c r="H36" i="18"/>
  <c r="I36" i="18"/>
  <c r="C37" i="18"/>
  <c r="D37" i="18"/>
  <c r="E37" i="18"/>
  <c r="F37" i="18"/>
  <c r="G37" i="18"/>
  <c r="H37" i="18"/>
  <c r="I37" i="18"/>
  <c r="C38" i="18"/>
  <c r="D38" i="18"/>
  <c r="E38" i="18"/>
  <c r="F38" i="18"/>
  <c r="G38" i="18"/>
  <c r="H38" i="18"/>
  <c r="I38" i="18"/>
  <c r="C39" i="18"/>
  <c r="D39" i="18"/>
  <c r="E39" i="18"/>
  <c r="F39" i="18"/>
  <c r="G39" i="18"/>
  <c r="H39" i="18"/>
  <c r="I39" i="18"/>
  <c r="C40" i="18"/>
  <c r="D40" i="18"/>
  <c r="E40" i="18"/>
  <c r="F40" i="18"/>
  <c r="G40" i="18"/>
  <c r="H40" i="18"/>
  <c r="I40" i="18"/>
  <c r="C41" i="18"/>
  <c r="D41" i="18"/>
  <c r="E41" i="18"/>
  <c r="F41" i="18"/>
  <c r="G41" i="18"/>
  <c r="H41" i="18"/>
  <c r="I41" i="18"/>
  <c r="C42" i="18"/>
  <c r="D42" i="18"/>
  <c r="E42" i="18"/>
  <c r="F42" i="18"/>
  <c r="G42" i="18"/>
  <c r="H42" i="18"/>
  <c r="I42" i="18"/>
  <c r="C43" i="18"/>
  <c r="D43" i="18"/>
  <c r="E43" i="18"/>
  <c r="F43" i="18"/>
  <c r="G43" i="18"/>
  <c r="H43" i="18"/>
  <c r="I43" i="18"/>
  <c r="C44" i="18"/>
  <c r="D44" i="18"/>
  <c r="E44" i="18"/>
  <c r="F44" i="18"/>
  <c r="G44" i="18"/>
  <c r="H44" i="18"/>
  <c r="I44" i="18"/>
  <c r="C45" i="18"/>
  <c r="D45" i="18"/>
  <c r="E45" i="18"/>
  <c r="F45" i="18"/>
  <c r="G45" i="18"/>
  <c r="H45" i="18"/>
  <c r="I45" i="18"/>
  <c r="C46" i="18"/>
  <c r="D46" i="18"/>
  <c r="E46" i="18"/>
  <c r="F46" i="18"/>
  <c r="G46" i="18"/>
  <c r="H46" i="18"/>
  <c r="I46" i="18"/>
  <c r="C47" i="18"/>
  <c r="D47" i="18"/>
  <c r="E47" i="18"/>
  <c r="F47" i="18"/>
  <c r="G47" i="18"/>
  <c r="H47" i="18"/>
  <c r="I47" i="18"/>
  <c r="C48" i="18"/>
  <c r="D48" i="18"/>
  <c r="E48" i="18"/>
  <c r="F48" i="18"/>
  <c r="G48" i="18"/>
  <c r="H48" i="18"/>
  <c r="I48" i="18"/>
  <c r="C49" i="18"/>
  <c r="D49" i="18"/>
  <c r="E49" i="18"/>
  <c r="F49" i="18"/>
  <c r="G49" i="18"/>
  <c r="H49" i="18"/>
  <c r="I49" i="18"/>
  <c r="C50" i="18"/>
  <c r="D50" i="18"/>
  <c r="E50" i="18"/>
  <c r="F50" i="18"/>
  <c r="G50" i="18"/>
  <c r="H50" i="18"/>
  <c r="I50" i="18"/>
  <c r="C51" i="18"/>
  <c r="D51" i="18"/>
  <c r="E51" i="18"/>
  <c r="F51" i="18"/>
  <c r="G51" i="18"/>
  <c r="H51" i="18"/>
  <c r="I51" i="18"/>
  <c r="C52" i="18"/>
  <c r="D52" i="18"/>
  <c r="E52" i="18"/>
  <c r="F52" i="18"/>
  <c r="G52" i="18"/>
  <c r="H52" i="18"/>
  <c r="I52" i="18"/>
  <c r="C53" i="18"/>
  <c r="D53" i="18"/>
  <c r="E53" i="18"/>
  <c r="F53" i="18"/>
  <c r="G53" i="18"/>
  <c r="H53" i="18"/>
  <c r="I53" i="18"/>
  <c r="C54" i="18"/>
  <c r="D54" i="18"/>
  <c r="E54" i="18"/>
  <c r="F54" i="18"/>
  <c r="G54" i="18"/>
  <c r="H54" i="18"/>
  <c r="I54" i="18"/>
  <c r="C55" i="18"/>
  <c r="D55" i="18"/>
  <c r="E55" i="18"/>
  <c r="F55" i="18"/>
  <c r="G55" i="18"/>
  <c r="H55" i="18"/>
  <c r="I55" i="18"/>
  <c r="C56" i="18"/>
  <c r="D56" i="18"/>
  <c r="E56" i="18"/>
  <c r="F56" i="18"/>
  <c r="G56" i="18"/>
  <c r="H56" i="18"/>
  <c r="I56" i="18"/>
  <c r="C57" i="18"/>
  <c r="D57" i="18"/>
  <c r="E57" i="18"/>
  <c r="F57" i="18"/>
  <c r="G57" i="18"/>
  <c r="H57" i="18"/>
  <c r="I57" i="18"/>
  <c r="C58" i="18"/>
  <c r="D58" i="18"/>
  <c r="E58" i="18"/>
  <c r="F58" i="18"/>
  <c r="G58" i="18"/>
  <c r="H58" i="18"/>
  <c r="I58" i="18"/>
  <c r="C59" i="18"/>
  <c r="D59" i="18"/>
  <c r="E59" i="18"/>
  <c r="F59" i="18"/>
  <c r="G59" i="18"/>
  <c r="H59" i="18"/>
  <c r="I59" i="18"/>
  <c r="C60" i="18"/>
  <c r="D60" i="18"/>
  <c r="E60" i="18"/>
  <c r="F60" i="18"/>
  <c r="G60" i="18"/>
  <c r="H60" i="18"/>
  <c r="I60" i="18"/>
  <c r="C61" i="18"/>
  <c r="D61" i="18"/>
  <c r="E61" i="18"/>
  <c r="F61" i="18"/>
  <c r="G61" i="18"/>
  <c r="H61" i="18"/>
  <c r="I61" i="18"/>
  <c r="C62" i="18"/>
  <c r="D62" i="18"/>
  <c r="E62" i="18"/>
  <c r="F62" i="18"/>
  <c r="G62" i="18"/>
  <c r="H62" i="18"/>
  <c r="I62" i="18"/>
  <c r="C63" i="18"/>
  <c r="D63" i="18"/>
  <c r="E63" i="18"/>
  <c r="F63" i="18"/>
  <c r="G63" i="18"/>
  <c r="H63" i="18"/>
  <c r="I63" i="18"/>
  <c r="C64" i="18"/>
  <c r="D64" i="18"/>
  <c r="E64" i="18"/>
  <c r="F64" i="18"/>
  <c r="G64" i="18"/>
  <c r="H64" i="18"/>
  <c r="I64" i="18"/>
  <c r="C65" i="18"/>
  <c r="D65" i="18"/>
  <c r="E65" i="18"/>
  <c r="F65" i="18"/>
  <c r="G65" i="18"/>
  <c r="H65" i="18"/>
  <c r="I65" i="18"/>
  <c r="C66" i="18"/>
  <c r="D66" i="18"/>
  <c r="E66" i="18"/>
  <c r="F66" i="18"/>
  <c r="G66" i="18"/>
  <c r="H66" i="18"/>
  <c r="I66" i="18"/>
  <c r="C67" i="18"/>
  <c r="D67" i="18"/>
  <c r="E67" i="18"/>
  <c r="F67" i="18"/>
  <c r="G67" i="18"/>
  <c r="H67" i="18"/>
  <c r="I67" i="18"/>
  <c r="C68" i="18"/>
  <c r="D68" i="18"/>
  <c r="E68" i="18"/>
  <c r="F68" i="18"/>
  <c r="G68" i="18"/>
  <c r="H68" i="18"/>
  <c r="I68" i="18"/>
  <c r="C26" i="29"/>
  <c r="D26" i="29"/>
  <c r="H26" i="29"/>
  <c r="C27" i="29"/>
  <c r="D27" i="29"/>
  <c r="C28" i="29"/>
  <c r="D28" i="29"/>
  <c r="G28" i="29"/>
  <c r="C29" i="29"/>
  <c r="D29" i="29"/>
  <c r="G29" i="29"/>
  <c r="C30" i="29"/>
  <c r="D30" i="29"/>
  <c r="G30" i="29"/>
  <c r="H30" i="29"/>
  <c r="C31" i="29"/>
  <c r="D31" i="29"/>
  <c r="G31" i="29"/>
  <c r="C32" i="29"/>
  <c r="D32" i="29"/>
  <c r="G32" i="29"/>
  <c r="C33" i="29"/>
  <c r="D33" i="29"/>
  <c r="G33" i="29"/>
  <c r="C34" i="29"/>
  <c r="D34" i="29"/>
  <c r="G34" i="29"/>
  <c r="H34" i="29"/>
  <c r="C35" i="29"/>
  <c r="D35" i="29"/>
  <c r="G35" i="29"/>
  <c r="C36" i="29"/>
  <c r="D36" i="29"/>
  <c r="G36" i="29"/>
  <c r="C37" i="29"/>
  <c r="D37" i="29"/>
  <c r="G37" i="29"/>
  <c r="C38" i="29"/>
  <c r="D38" i="29"/>
  <c r="G38" i="29"/>
  <c r="H38" i="29"/>
  <c r="C39" i="29"/>
  <c r="D39" i="29"/>
  <c r="G39" i="29"/>
  <c r="H39" i="29"/>
  <c r="I39" i="29" s="1"/>
  <c r="C40" i="29"/>
  <c r="D40" i="29"/>
  <c r="C41" i="29"/>
  <c r="D41" i="29"/>
  <c r="G41" i="29"/>
  <c r="C42" i="29"/>
  <c r="D42" i="29"/>
  <c r="G42" i="29"/>
  <c r="H42" i="29"/>
  <c r="C43" i="29"/>
  <c r="D43" i="29"/>
  <c r="G43" i="29"/>
  <c r="H43" i="29"/>
  <c r="C44" i="29"/>
  <c r="D44" i="29"/>
  <c r="G44" i="29"/>
  <c r="C45" i="29"/>
  <c r="D45" i="29"/>
  <c r="G45" i="29"/>
  <c r="C46" i="29"/>
  <c r="D46" i="29"/>
  <c r="H46" i="29"/>
  <c r="C47" i="29"/>
  <c r="D47" i="29"/>
  <c r="D47" i="34" s="1"/>
  <c r="G47" i="34"/>
  <c r="C48" i="29"/>
  <c r="D48" i="29"/>
  <c r="G48" i="29"/>
  <c r="C49" i="29"/>
  <c r="D49" i="29"/>
  <c r="G49" i="29"/>
  <c r="C50" i="29"/>
  <c r="D50" i="29"/>
  <c r="G50" i="29"/>
  <c r="H50" i="29"/>
  <c r="C51" i="29"/>
  <c r="D51" i="29"/>
  <c r="G51" i="29"/>
  <c r="H51" i="29"/>
  <c r="C52" i="29"/>
  <c r="D52" i="29"/>
  <c r="G52" i="29"/>
  <c r="C53" i="29"/>
  <c r="D53" i="29"/>
  <c r="G53" i="29"/>
  <c r="C54" i="29"/>
  <c r="D54" i="29"/>
  <c r="G54" i="29"/>
  <c r="C55" i="29"/>
  <c r="D55" i="29"/>
  <c r="C56" i="29"/>
  <c r="D56" i="29"/>
  <c r="C57" i="29"/>
  <c r="D57" i="29"/>
  <c r="C58" i="29"/>
  <c r="D58" i="29"/>
  <c r="G58" i="29"/>
  <c r="H58" i="29"/>
  <c r="C59" i="29"/>
  <c r="D59" i="29"/>
  <c r="G59" i="29"/>
  <c r="H59" i="29"/>
  <c r="C60" i="29"/>
  <c r="D60" i="29"/>
  <c r="G60" i="29"/>
  <c r="C61" i="29"/>
  <c r="D61" i="29"/>
  <c r="C62" i="29"/>
  <c r="D62" i="29"/>
  <c r="C63" i="29"/>
  <c r="D63" i="29"/>
  <c r="C64" i="29"/>
  <c r="D64" i="29"/>
  <c r="C65" i="29"/>
  <c r="D65" i="29"/>
  <c r="C66" i="29"/>
  <c r="D66" i="29"/>
  <c r="H66" i="29"/>
  <c r="E26" i="26"/>
  <c r="F26" i="26"/>
  <c r="H26" i="26"/>
  <c r="I26" i="26"/>
  <c r="E27" i="26"/>
  <c r="F27" i="26"/>
  <c r="H27" i="26"/>
  <c r="I27" i="26"/>
  <c r="E28" i="26"/>
  <c r="F28" i="26"/>
  <c r="H28" i="26"/>
  <c r="I28" i="26"/>
  <c r="E29" i="26"/>
  <c r="F29" i="26"/>
  <c r="H29" i="26"/>
  <c r="I29" i="26"/>
  <c r="E30" i="26"/>
  <c r="F30" i="26"/>
  <c r="H30" i="26"/>
  <c r="I30" i="26"/>
  <c r="E31" i="26"/>
  <c r="F31" i="26"/>
  <c r="H31" i="26"/>
  <c r="I31" i="26"/>
  <c r="E32" i="26"/>
  <c r="F32" i="26"/>
  <c r="H32" i="26"/>
  <c r="I32" i="26"/>
  <c r="E33" i="26"/>
  <c r="F33" i="26"/>
  <c r="H33" i="26"/>
  <c r="I33" i="26"/>
  <c r="E34" i="26"/>
  <c r="F34" i="26"/>
  <c r="H34" i="26"/>
  <c r="I34" i="26"/>
  <c r="E35" i="26"/>
  <c r="F35" i="26"/>
  <c r="H35" i="26"/>
  <c r="I35" i="26"/>
  <c r="E36" i="26"/>
  <c r="F36" i="26"/>
  <c r="H36" i="26"/>
  <c r="I36" i="26"/>
  <c r="E37" i="26"/>
  <c r="F37" i="26"/>
  <c r="H37" i="26"/>
  <c r="I37" i="26"/>
  <c r="E38" i="26"/>
  <c r="F38" i="26"/>
  <c r="H38" i="26"/>
  <c r="I38" i="26"/>
  <c r="E39" i="26"/>
  <c r="F39" i="26"/>
  <c r="H39" i="26"/>
  <c r="I39" i="26"/>
  <c r="E40" i="26"/>
  <c r="F40" i="26"/>
  <c r="H40" i="26"/>
  <c r="I40" i="26"/>
  <c r="E41" i="26"/>
  <c r="F41" i="26"/>
  <c r="H41" i="26"/>
  <c r="I41" i="26"/>
  <c r="E42" i="26"/>
  <c r="F42" i="26"/>
  <c r="H42" i="26"/>
  <c r="I42" i="26"/>
  <c r="E43" i="26"/>
  <c r="F43" i="26"/>
  <c r="H43" i="26"/>
  <c r="I43" i="26"/>
  <c r="E44" i="26"/>
  <c r="F44" i="26"/>
  <c r="H44" i="26"/>
  <c r="I44" i="26"/>
  <c r="E45" i="26"/>
  <c r="F45" i="26"/>
  <c r="H45" i="26"/>
  <c r="I45" i="26"/>
  <c r="E46" i="26"/>
  <c r="F46" i="26"/>
  <c r="H46" i="26"/>
  <c r="I46" i="26"/>
  <c r="E47" i="26"/>
  <c r="F47" i="26"/>
  <c r="H47" i="26"/>
  <c r="I47" i="26"/>
  <c r="E48" i="26"/>
  <c r="F48" i="26"/>
  <c r="H48" i="26"/>
  <c r="I48" i="26"/>
  <c r="E49" i="26"/>
  <c r="F49" i="26"/>
  <c r="H49" i="26"/>
  <c r="I49" i="26"/>
  <c r="E50" i="26"/>
  <c r="F50" i="26"/>
  <c r="H50" i="26"/>
  <c r="I50" i="26"/>
  <c r="E51" i="26"/>
  <c r="F51" i="26"/>
  <c r="H51" i="26"/>
  <c r="I51" i="26"/>
  <c r="E52" i="26"/>
  <c r="F52" i="26"/>
  <c r="H52" i="26"/>
  <c r="I52" i="26"/>
  <c r="E53" i="26"/>
  <c r="F53" i="26"/>
  <c r="H53" i="26"/>
  <c r="I53" i="26"/>
  <c r="E54" i="26"/>
  <c r="F54" i="26"/>
  <c r="H54" i="26"/>
  <c r="I54" i="26"/>
  <c r="E55" i="26"/>
  <c r="F55" i="26"/>
  <c r="H55" i="26"/>
  <c r="I55" i="26"/>
  <c r="E56" i="26"/>
  <c r="F56" i="26"/>
  <c r="H56" i="26"/>
  <c r="I56" i="26"/>
  <c r="E57" i="26"/>
  <c r="F57" i="26"/>
  <c r="H57" i="26"/>
  <c r="I57" i="26"/>
  <c r="E58" i="26"/>
  <c r="F58" i="26"/>
  <c r="H58" i="26"/>
  <c r="I58" i="26"/>
  <c r="E59" i="26"/>
  <c r="F59" i="26"/>
  <c r="H59" i="26"/>
  <c r="I59" i="26"/>
  <c r="E60" i="26"/>
  <c r="F60" i="26"/>
  <c r="H60" i="26"/>
  <c r="I60" i="26"/>
  <c r="E61" i="26"/>
  <c r="F61" i="26"/>
  <c r="H61" i="26"/>
  <c r="I61" i="26"/>
  <c r="E62" i="26"/>
  <c r="F62" i="26"/>
  <c r="H62" i="26"/>
  <c r="I62" i="26"/>
  <c r="E63" i="26"/>
  <c r="F63" i="26"/>
  <c r="H63" i="26"/>
  <c r="I63" i="26"/>
  <c r="E64" i="26"/>
  <c r="F64" i="26"/>
  <c r="H64" i="26"/>
  <c r="I64" i="26"/>
  <c r="E65" i="26"/>
  <c r="F65" i="26"/>
  <c r="H65" i="26"/>
  <c r="I65" i="26"/>
  <c r="E66" i="26"/>
  <c r="F66" i="26"/>
  <c r="H66" i="26"/>
  <c r="I66" i="26"/>
  <c r="E67" i="26"/>
  <c r="F67" i="26"/>
  <c r="H67" i="26"/>
  <c r="I67" i="26"/>
  <c r="E68" i="26"/>
  <c r="F68" i="26"/>
  <c r="H68" i="26"/>
  <c r="I68" i="26"/>
  <c r="E26" i="19"/>
  <c r="H26" i="19"/>
  <c r="I26" i="19"/>
  <c r="E27" i="19"/>
  <c r="H27" i="19"/>
  <c r="I27" i="19"/>
  <c r="E28" i="19"/>
  <c r="H28" i="19"/>
  <c r="I28" i="19"/>
  <c r="E29" i="19"/>
  <c r="H29" i="19"/>
  <c r="I29" i="19"/>
  <c r="E30" i="19"/>
  <c r="H30" i="19"/>
  <c r="I30" i="19"/>
  <c r="E31" i="19"/>
  <c r="H31" i="19"/>
  <c r="I31" i="19"/>
  <c r="E32" i="19"/>
  <c r="H32" i="19"/>
  <c r="I32" i="19"/>
  <c r="E33" i="19"/>
  <c r="H33" i="19"/>
  <c r="I33" i="19"/>
  <c r="E34" i="19"/>
  <c r="H34" i="19"/>
  <c r="I34" i="19"/>
  <c r="E35" i="19"/>
  <c r="H35" i="19"/>
  <c r="I35" i="19"/>
  <c r="E36" i="19"/>
  <c r="H36" i="19"/>
  <c r="I36" i="19"/>
  <c r="E37" i="19"/>
  <c r="H37" i="19"/>
  <c r="I37" i="19"/>
  <c r="E38" i="19"/>
  <c r="H38" i="19"/>
  <c r="I38" i="19"/>
  <c r="E39" i="19"/>
  <c r="H39" i="19"/>
  <c r="I39" i="19"/>
  <c r="E40" i="19"/>
  <c r="H40" i="19"/>
  <c r="I40" i="19"/>
  <c r="E41" i="19"/>
  <c r="H41" i="19"/>
  <c r="I41" i="19"/>
  <c r="E42" i="19"/>
  <c r="H42" i="19"/>
  <c r="I42" i="19"/>
  <c r="E43" i="19"/>
  <c r="H43" i="19"/>
  <c r="I43" i="19"/>
  <c r="E44" i="19"/>
  <c r="H44" i="19"/>
  <c r="I44" i="19"/>
  <c r="E45" i="19"/>
  <c r="H45" i="19"/>
  <c r="I45" i="19"/>
  <c r="E46" i="19"/>
  <c r="H46" i="19"/>
  <c r="I46" i="19"/>
  <c r="E47" i="19"/>
  <c r="H47" i="19"/>
  <c r="I47" i="19"/>
  <c r="E48" i="19"/>
  <c r="H48" i="19"/>
  <c r="I48" i="19"/>
  <c r="E49" i="19"/>
  <c r="H49" i="19"/>
  <c r="I49" i="19"/>
  <c r="E50" i="19"/>
  <c r="H50" i="19"/>
  <c r="I50" i="19"/>
  <c r="E51" i="19"/>
  <c r="H51" i="19"/>
  <c r="I51" i="19"/>
  <c r="E52" i="19"/>
  <c r="H52" i="19"/>
  <c r="I52" i="19"/>
  <c r="E53" i="19"/>
  <c r="H53" i="19"/>
  <c r="I53" i="19"/>
  <c r="E54" i="19"/>
  <c r="H54" i="19"/>
  <c r="I54" i="19"/>
  <c r="E55" i="19"/>
  <c r="H55" i="19"/>
  <c r="I55" i="19"/>
  <c r="E56" i="19"/>
  <c r="H56" i="19"/>
  <c r="I56" i="19"/>
  <c r="E57" i="19"/>
  <c r="H57" i="19"/>
  <c r="I57" i="19"/>
  <c r="E58" i="19"/>
  <c r="H58" i="19"/>
  <c r="I58" i="19"/>
  <c r="E59" i="19"/>
  <c r="H59" i="19"/>
  <c r="I59" i="19"/>
  <c r="E60" i="19"/>
  <c r="H60" i="19"/>
  <c r="I60" i="19"/>
  <c r="E61" i="19"/>
  <c r="H61" i="19"/>
  <c r="I61" i="19"/>
  <c r="E62" i="19"/>
  <c r="H62" i="19"/>
  <c r="I62" i="19"/>
  <c r="E63" i="19"/>
  <c r="H63" i="19"/>
  <c r="I63" i="19"/>
  <c r="E64" i="19"/>
  <c r="H64" i="19"/>
  <c r="I64" i="19"/>
  <c r="E65" i="19"/>
  <c r="H65" i="19"/>
  <c r="I65" i="19"/>
  <c r="E66" i="19"/>
  <c r="H66" i="19"/>
  <c r="I66" i="19"/>
  <c r="E67" i="19"/>
  <c r="H67" i="19"/>
  <c r="I67" i="19"/>
  <c r="E68" i="19"/>
  <c r="H68" i="19"/>
  <c r="I68" i="19"/>
  <c r="E26" i="20"/>
  <c r="H26" i="20"/>
  <c r="I26" i="20"/>
  <c r="E27" i="20"/>
  <c r="H27" i="20"/>
  <c r="I27" i="20"/>
  <c r="E28" i="20"/>
  <c r="H28" i="20"/>
  <c r="I28" i="20"/>
  <c r="E29" i="20"/>
  <c r="H29" i="20"/>
  <c r="I29" i="20"/>
  <c r="E30" i="20"/>
  <c r="H30" i="20"/>
  <c r="I30" i="20"/>
  <c r="E31" i="20"/>
  <c r="H31" i="20"/>
  <c r="I31" i="20"/>
  <c r="E32" i="20"/>
  <c r="H32" i="20"/>
  <c r="I32" i="20"/>
  <c r="E33" i="20"/>
  <c r="H33" i="20"/>
  <c r="I33" i="20"/>
  <c r="E34" i="20"/>
  <c r="H34" i="20"/>
  <c r="I34" i="20"/>
  <c r="E35" i="20"/>
  <c r="H35" i="20"/>
  <c r="I35" i="20"/>
  <c r="E36" i="20"/>
  <c r="H36" i="20"/>
  <c r="I36" i="20"/>
  <c r="E37" i="20"/>
  <c r="H37" i="20"/>
  <c r="I37" i="20"/>
  <c r="E38" i="20"/>
  <c r="H38" i="20"/>
  <c r="I38" i="20"/>
  <c r="E39" i="20"/>
  <c r="H39" i="20"/>
  <c r="I39" i="20"/>
  <c r="E40" i="20"/>
  <c r="H40" i="20"/>
  <c r="I40" i="20"/>
  <c r="E41" i="20"/>
  <c r="H41" i="20"/>
  <c r="I41" i="20"/>
  <c r="E42" i="20"/>
  <c r="H42" i="20"/>
  <c r="I42" i="20"/>
  <c r="E43" i="20"/>
  <c r="H43" i="20"/>
  <c r="I43" i="20"/>
  <c r="E44" i="20"/>
  <c r="H44" i="20"/>
  <c r="I44" i="20"/>
  <c r="E45" i="20"/>
  <c r="H45" i="20"/>
  <c r="I45" i="20"/>
  <c r="E46" i="20"/>
  <c r="H46" i="20"/>
  <c r="I46" i="20"/>
  <c r="E47" i="20"/>
  <c r="H47" i="20"/>
  <c r="I47" i="20"/>
  <c r="E48" i="20"/>
  <c r="H48" i="20"/>
  <c r="I48" i="20"/>
  <c r="E49" i="20"/>
  <c r="H49" i="20"/>
  <c r="I49" i="20"/>
  <c r="E50" i="20"/>
  <c r="H50" i="20"/>
  <c r="I50" i="20"/>
  <c r="E51" i="20"/>
  <c r="H51" i="20"/>
  <c r="I51" i="20"/>
  <c r="E52" i="20"/>
  <c r="H52" i="20"/>
  <c r="I52" i="20"/>
  <c r="E53" i="20"/>
  <c r="H53" i="20"/>
  <c r="I53" i="20"/>
  <c r="E54" i="20"/>
  <c r="H54" i="20"/>
  <c r="I54" i="20"/>
  <c r="E55" i="20"/>
  <c r="H55" i="20"/>
  <c r="I55" i="20"/>
  <c r="E56" i="20"/>
  <c r="H56" i="20"/>
  <c r="I56" i="20"/>
  <c r="E57" i="20"/>
  <c r="H57" i="20"/>
  <c r="I57" i="20"/>
  <c r="E58" i="20"/>
  <c r="H58" i="20"/>
  <c r="I58" i="20"/>
  <c r="E59" i="20"/>
  <c r="H59" i="20"/>
  <c r="I59" i="20"/>
  <c r="E60" i="20"/>
  <c r="H60" i="20"/>
  <c r="I60" i="20"/>
  <c r="E61" i="20"/>
  <c r="H61" i="20"/>
  <c r="I61" i="20"/>
  <c r="E62" i="20"/>
  <c r="H62" i="20"/>
  <c r="I62" i="20"/>
  <c r="E63" i="20"/>
  <c r="H63" i="20"/>
  <c r="I63" i="20"/>
  <c r="E64" i="20"/>
  <c r="H64" i="20"/>
  <c r="I64" i="20"/>
  <c r="E65" i="20"/>
  <c r="H65" i="20"/>
  <c r="I65" i="20"/>
  <c r="E66" i="20"/>
  <c r="H66" i="20"/>
  <c r="I66" i="20"/>
  <c r="E67" i="20"/>
  <c r="H67" i="20"/>
  <c r="I67" i="20"/>
  <c r="E68" i="20"/>
  <c r="H68" i="20"/>
  <c r="I68" i="20"/>
  <c r="E26" i="21"/>
  <c r="F26" i="21"/>
  <c r="H26" i="21"/>
  <c r="I26" i="21"/>
  <c r="E27" i="21"/>
  <c r="F27" i="21"/>
  <c r="H27" i="21"/>
  <c r="I27" i="21"/>
  <c r="E28" i="21"/>
  <c r="F28" i="21"/>
  <c r="H28" i="21"/>
  <c r="I28" i="21"/>
  <c r="E29" i="21"/>
  <c r="F29" i="21"/>
  <c r="H29" i="21"/>
  <c r="I29" i="21"/>
  <c r="E30" i="21"/>
  <c r="F30" i="21"/>
  <c r="H30" i="21"/>
  <c r="I30" i="21"/>
  <c r="E31" i="21"/>
  <c r="F31" i="21"/>
  <c r="H31" i="21"/>
  <c r="I31" i="21"/>
  <c r="E32" i="21"/>
  <c r="F32" i="21"/>
  <c r="H32" i="21"/>
  <c r="I32" i="21"/>
  <c r="E33" i="21"/>
  <c r="F33" i="21"/>
  <c r="H33" i="21"/>
  <c r="I33" i="21"/>
  <c r="E34" i="21"/>
  <c r="F34" i="21"/>
  <c r="H34" i="21"/>
  <c r="I34" i="21"/>
  <c r="E35" i="21"/>
  <c r="F35" i="21"/>
  <c r="H35" i="21"/>
  <c r="I35" i="21"/>
  <c r="E36" i="21"/>
  <c r="F36" i="21"/>
  <c r="H36" i="21"/>
  <c r="I36" i="21"/>
  <c r="E37" i="21"/>
  <c r="F37" i="21"/>
  <c r="H37" i="21"/>
  <c r="I37" i="21"/>
  <c r="E38" i="21"/>
  <c r="F38" i="21"/>
  <c r="H38" i="21"/>
  <c r="I38" i="21"/>
  <c r="E39" i="21"/>
  <c r="F39" i="21"/>
  <c r="H39" i="21"/>
  <c r="I39" i="21"/>
  <c r="E40" i="21"/>
  <c r="F40" i="21"/>
  <c r="H40" i="21"/>
  <c r="I40" i="21"/>
  <c r="E41" i="21"/>
  <c r="F41" i="21"/>
  <c r="H41" i="21"/>
  <c r="I41" i="21"/>
  <c r="E42" i="21"/>
  <c r="F42" i="21"/>
  <c r="H42" i="21"/>
  <c r="I42" i="21"/>
  <c r="E43" i="21"/>
  <c r="F43" i="21"/>
  <c r="H43" i="21"/>
  <c r="I43" i="21"/>
  <c r="E44" i="21"/>
  <c r="F44" i="21"/>
  <c r="H44" i="21"/>
  <c r="I44" i="21"/>
  <c r="E45" i="21"/>
  <c r="F45" i="21"/>
  <c r="H45" i="21"/>
  <c r="I45" i="21"/>
  <c r="E46" i="21"/>
  <c r="F46" i="21"/>
  <c r="H46" i="21"/>
  <c r="I46" i="21"/>
  <c r="E47" i="21"/>
  <c r="F47" i="21"/>
  <c r="H47" i="21"/>
  <c r="I47" i="21"/>
  <c r="E48" i="21"/>
  <c r="F48" i="21"/>
  <c r="H48" i="21"/>
  <c r="I48" i="21"/>
  <c r="E49" i="21"/>
  <c r="F49" i="21"/>
  <c r="H49" i="21"/>
  <c r="I49" i="21"/>
  <c r="E50" i="21"/>
  <c r="F50" i="21"/>
  <c r="H50" i="21"/>
  <c r="I50" i="21"/>
  <c r="E51" i="21"/>
  <c r="F51" i="21"/>
  <c r="H51" i="21"/>
  <c r="I51" i="21"/>
  <c r="E52" i="21"/>
  <c r="F52" i="21"/>
  <c r="H52" i="21"/>
  <c r="I52" i="21"/>
  <c r="E53" i="21"/>
  <c r="F53" i="21"/>
  <c r="H53" i="21"/>
  <c r="I53" i="21"/>
  <c r="E54" i="21"/>
  <c r="F54" i="21"/>
  <c r="H54" i="21"/>
  <c r="I54" i="21"/>
  <c r="E55" i="21"/>
  <c r="F55" i="21"/>
  <c r="H55" i="21"/>
  <c r="I55" i="21"/>
  <c r="E56" i="21"/>
  <c r="F56" i="21"/>
  <c r="H56" i="21"/>
  <c r="I56" i="21"/>
  <c r="E57" i="21"/>
  <c r="F57" i="21"/>
  <c r="H57" i="21"/>
  <c r="I57" i="21"/>
  <c r="E58" i="21"/>
  <c r="F58" i="21"/>
  <c r="H58" i="21"/>
  <c r="I58" i="21"/>
  <c r="E59" i="21"/>
  <c r="F59" i="21"/>
  <c r="H59" i="21"/>
  <c r="I59" i="21"/>
  <c r="E60" i="21"/>
  <c r="F60" i="21"/>
  <c r="H60" i="21"/>
  <c r="I60" i="21"/>
  <c r="E61" i="21"/>
  <c r="F61" i="21"/>
  <c r="H61" i="21"/>
  <c r="I61" i="21"/>
  <c r="E62" i="21"/>
  <c r="F62" i="21"/>
  <c r="H62" i="21"/>
  <c r="I62" i="21"/>
  <c r="E63" i="21"/>
  <c r="F63" i="21"/>
  <c r="H63" i="21"/>
  <c r="I63" i="21"/>
  <c r="E64" i="21"/>
  <c r="F64" i="21"/>
  <c r="H64" i="21"/>
  <c r="I64" i="21"/>
  <c r="E65" i="21"/>
  <c r="F65" i="21"/>
  <c r="H65" i="21"/>
  <c r="I65" i="21"/>
  <c r="E66" i="21"/>
  <c r="F66" i="21"/>
  <c r="H66" i="21"/>
  <c r="I66" i="21"/>
  <c r="E67" i="21"/>
  <c r="F67" i="21"/>
  <c r="H67" i="21"/>
  <c r="I67" i="21"/>
  <c r="E68" i="21"/>
  <c r="F68" i="21"/>
  <c r="H68" i="21"/>
  <c r="I68" i="21"/>
  <c r="E26" i="4"/>
  <c r="F26" i="4"/>
  <c r="H26" i="4"/>
  <c r="I26" i="4"/>
  <c r="E27" i="4"/>
  <c r="F27" i="4"/>
  <c r="H27" i="4"/>
  <c r="I27" i="4"/>
  <c r="E28" i="4"/>
  <c r="F28" i="4"/>
  <c r="H28" i="4"/>
  <c r="I28" i="4"/>
  <c r="E29" i="4"/>
  <c r="F29" i="4"/>
  <c r="H29" i="4"/>
  <c r="I29" i="4"/>
  <c r="E30" i="4"/>
  <c r="F30" i="4"/>
  <c r="H30" i="4"/>
  <c r="I30" i="4"/>
  <c r="E31" i="4"/>
  <c r="F31" i="4"/>
  <c r="H31" i="4"/>
  <c r="I31" i="4"/>
  <c r="E32" i="4"/>
  <c r="F32" i="4"/>
  <c r="H32" i="4"/>
  <c r="I32" i="4"/>
  <c r="E33" i="4"/>
  <c r="F33" i="4"/>
  <c r="H33" i="4"/>
  <c r="I33" i="4"/>
  <c r="E34" i="4"/>
  <c r="F34" i="4"/>
  <c r="H34" i="4"/>
  <c r="I34" i="4"/>
  <c r="E35" i="4"/>
  <c r="F35" i="4"/>
  <c r="H35" i="4"/>
  <c r="I35" i="4"/>
  <c r="E36" i="4"/>
  <c r="F36" i="4"/>
  <c r="H36" i="4"/>
  <c r="I36" i="4"/>
  <c r="E37" i="4"/>
  <c r="F37" i="4"/>
  <c r="H37" i="4"/>
  <c r="I37" i="4"/>
  <c r="E38" i="4"/>
  <c r="F38" i="4"/>
  <c r="H38" i="4"/>
  <c r="I38" i="4"/>
  <c r="E39" i="4"/>
  <c r="F39" i="4"/>
  <c r="H39" i="4"/>
  <c r="I39" i="4"/>
  <c r="E40" i="4"/>
  <c r="F40" i="4"/>
  <c r="H40" i="4"/>
  <c r="I40" i="4"/>
  <c r="E41" i="4"/>
  <c r="F41" i="4"/>
  <c r="H41" i="4"/>
  <c r="I41" i="4"/>
  <c r="E42" i="4"/>
  <c r="F42" i="4"/>
  <c r="H42" i="4"/>
  <c r="I42" i="4"/>
  <c r="E43" i="4"/>
  <c r="F43" i="4"/>
  <c r="H43" i="4"/>
  <c r="I43" i="4"/>
  <c r="E44" i="4"/>
  <c r="F44" i="4"/>
  <c r="H44" i="4"/>
  <c r="I44" i="4"/>
  <c r="E45" i="4"/>
  <c r="F45" i="4"/>
  <c r="H45" i="4"/>
  <c r="I45" i="4"/>
  <c r="E46" i="4"/>
  <c r="F46" i="4"/>
  <c r="H46" i="4"/>
  <c r="I46" i="4"/>
  <c r="E47" i="4"/>
  <c r="F47" i="4"/>
  <c r="H47" i="4"/>
  <c r="I47" i="4"/>
  <c r="E48" i="4"/>
  <c r="F48" i="4"/>
  <c r="H48" i="4"/>
  <c r="I48" i="4"/>
  <c r="E49" i="4"/>
  <c r="F49" i="4"/>
  <c r="H49" i="4"/>
  <c r="I49" i="4"/>
  <c r="E50" i="4"/>
  <c r="F50" i="4"/>
  <c r="H50" i="4"/>
  <c r="I50" i="4"/>
  <c r="E51" i="4"/>
  <c r="F51" i="4"/>
  <c r="H51" i="4"/>
  <c r="I51" i="4"/>
  <c r="E52" i="4"/>
  <c r="F52" i="4"/>
  <c r="H52" i="4"/>
  <c r="I52" i="4"/>
  <c r="E53" i="4"/>
  <c r="F53" i="4"/>
  <c r="H53" i="4"/>
  <c r="I53" i="4"/>
  <c r="E54" i="4"/>
  <c r="F54" i="4"/>
  <c r="H54" i="4"/>
  <c r="I54" i="4"/>
  <c r="E55" i="4"/>
  <c r="F55" i="4"/>
  <c r="H55" i="4"/>
  <c r="I55" i="4"/>
  <c r="E56" i="4"/>
  <c r="F56" i="4"/>
  <c r="H56" i="4"/>
  <c r="I56" i="4"/>
  <c r="E57" i="4"/>
  <c r="F57" i="4"/>
  <c r="H57" i="4"/>
  <c r="I57" i="4"/>
  <c r="E58" i="4"/>
  <c r="F58" i="4"/>
  <c r="H58" i="4"/>
  <c r="I58" i="4"/>
  <c r="E59" i="4"/>
  <c r="F59" i="4"/>
  <c r="H59" i="4"/>
  <c r="I59" i="4"/>
  <c r="E60" i="4"/>
  <c r="F60" i="4"/>
  <c r="H60" i="4"/>
  <c r="I60" i="4"/>
  <c r="E61" i="4"/>
  <c r="F61" i="4"/>
  <c r="H61" i="4"/>
  <c r="I61" i="4"/>
  <c r="E62" i="4"/>
  <c r="F62" i="4"/>
  <c r="H62" i="4"/>
  <c r="I62" i="4"/>
  <c r="E63" i="4"/>
  <c r="F63" i="4"/>
  <c r="H63" i="4"/>
  <c r="I63" i="4"/>
  <c r="E64" i="4"/>
  <c r="F64" i="4"/>
  <c r="H64" i="4"/>
  <c r="I64" i="4"/>
  <c r="E65" i="4"/>
  <c r="F65" i="4"/>
  <c r="H65" i="4"/>
  <c r="I65" i="4"/>
  <c r="E66" i="4"/>
  <c r="F66" i="4"/>
  <c r="H66" i="4"/>
  <c r="I66" i="4"/>
  <c r="E67" i="4"/>
  <c r="F67" i="4"/>
  <c r="H67" i="4"/>
  <c r="I67" i="4"/>
  <c r="E68" i="4"/>
  <c r="F68" i="4"/>
  <c r="H68" i="4"/>
  <c r="I68" i="4"/>
  <c r="E26" i="3"/>
  <c r="F26" i="3"/>
  <c r="H26" i="3"/>
  <c r="I26" i="3"/>
  <c r="E27" i="3"/>
  <c r="F27" i="3"/>
  <c r="H27" i="3"/>
  <c r="I27" i="3"/>
  <c r="E28" i="3"/>
  <c r="F28" i="3"/>
  <c r="H28" i="3"/>
  <c r="I28" i="3"/>
  <c r="E29" i="3"/>
  <c r="F29" i="3"/>
  <c r="H29" i="3"/>
  <c r="I29" i="3"/>
  <c r="E30" i="3"/>
  <c r="F30" i="3"/>
  <c r="H30" i="3"/>
  <c r="I30" i="3"/>
  <c r="E31" i="3"/>
  <c r="F31" i="3"/>
  <c r="H31" i="3"/>
  <c r="I31" i="3"/>
  <c r="E32" i="3"/>
  <c r="F32" i="3"/>
  <c r="H32" i="3"/>
  <c r="I32" i="3"/>
  <c r="E33" i="3"/>
  <c r="F33" i="3"/>
  <c r="H33" i="3"/>
  <c r="I33" i="3"/>
  <c r="E34" i="3"/>
  <c r="F34" i="3"/>
  <c r="H34" i="3"/>
  <c r="I34" i="3"/>
  <c r="E35" i="3"/>
  <c r="F35" i="3"/>
  <c r="H35" i="3"/>
  <c r="I35" i="3"/>
  <c r="E36" i="3"/>
  <c r="F36" i="3"/>
  <c r="H36" i="3"/>
  <c r="I36" i="3"/>
  <c r="E37" i="3"/>
  <c r="F37" i="3"/>
  <c r="H37" i="3"/>
  <c r="I37" i="3"/>
  <c r="E38" i="3"/>
  <c r="F38" i="3"/>
  <c r="H38" i="3"/>
  <c r="I38" i="3"/>
  <c r="E39" i="3"/>
  <c r="F39" i="3"/>
  <c r="H39" i="3"/>
  <c r="I39" i="3"/>
  <c r="E40" i="3"/>
  <c r="F40" i="3"/>
  <c r="H40" i="3"/>
  <c r="I40" i="3"/>
  <c r="E41" i="3"/>
  <c r="F41" i="3"/>
  <c r="H41" i="3"/>
  <c r="I41" i="3"/>
  <c r="E42" i="3"/>
  <c r="F42" i="3"/>
  <c r="H42" i="3"/>
  <c r="I42" i="3"/>
  <c r="E43" i="3"/>
  <c r="F43" i="3"/>
  <c r="H43" i="3"/>
  <c r="I43" i="3"/>
  <c r="E44" i="3"/>
  <c r="F44" i="3"/>
  <c r="H44" i="3"/>
  <c r="I44" i="3"/>
  <c r="E45" i="3"/>
  <c r="F45" i="3"/>
  <c r="H45" i="3"/>
  <c r="I45" i="3"/>
  <c r="E46" i="3"/>
  <c r="F46" i="3"/>
  <c r="H46" i="3"/>
  <c r="I46" i="3"/>
  <c r="E47" i="3"/>
  <c r="F47" i="3"/>
  <c r="H47" i="3"/>
  <c r="I47" i="3"/>
  <c r="E48" i="3"/>
  <c r="F48" i="3"/>
  <c r="H48" i="3"/>
  <c r="I48" i="3"/>
  <c r="E49" i="3"/>
  <c r="F49" i="3"/>
  <c r="H49" i="3"/>
  <c r="I49" i="3"/>
  <c r="E50" i="3"/>
  <c r="F50" i="3"/>
  <c r="H50" i="3"/>
  <c r="I50" i="3"/>
  <c r="E51" i="3"/>
  <c r="F51" i="3"/>
  <c r="H51" i="3"/>
  <c r="I51" i="3"/>
  <c r="E52" i="3"/>
  <c r="F52" i="3"/>
  <c r="H52" i="3"/>
  <c r="I52" i="3"/>
  <c r="E53" i="3"/>
  <c r="F53" i="3"/>
  <c r="H53" i="3"/>
  <c r="I53" i="3"/>
  <c r="E54" i="3"/>
  <c r="F54" i="3"/>
  <c r="H54" i="3"/>
  <c r="I54" i="3"/>
  <c r="E55" i="3"/>
  <c r="F55" i="3"/>
  <c r="H55" i="3"/>
  <c r="I55" i="3"/>
  <c r="E56" i="3"/>
  <c r="F56" i="3"/>
  <c r="H56" i="3"/>
  <c r="I56" i="3"/>
  <c r="E57" i="3"/>
  <c r="F57" i="3"/>
  <c r="H57" i="3"/>
  <c r="I57" i="3"/>
  <c r="E58" i="3"/>
  <c r="F58" i="3"/>
  <c r="H58" i="3"/>
  <c r="I58" i="3"/>
  <c r="E59" i="3"/>
  <c r="F59" i="3"/>
  <c r="H59" i="3"/>
  <c r="I59" i="3"/>
  <c r="E60" i="3"/>
  <c r="F60" i="3"/>
  <c r="H60" i="3"/>
  <c r="I60" i="3"/>
  <c r="E61" i="3"/>
  <c r="F61" i="3"/>
  <c r="H61" i="3"/>
  <c r="I61" i="3"/>
  <c r="E62" i="3"/>
  <c r="F62" i="3"/>
  <c r="H62" i="3"/>
  <c r="I62" i="3"/>
  <c r="E63" i="3"/>
  <c r="F63" i="3"/>
  <c r="H63" i="3"/>
  <c r="I63" i="3"/>
  <c r="E64" i="3"/>
  <c r="F64" i="3"/>
  <c r="H64" i="3"/>
  <c r="I64" i="3"/>
  <c r="E65" i="3"/>
  <c r="F65" i="3"/>
  <c r="H65" i="3"/>
  <c r="I65" i="3"/>
  <c r="E66" i="3"/>
  <c r="F66" i="3"/>
  <c r="H66" i="3"/>
  <c r="I66" i="3"/>
  <c r="E67" i="3"/>
  <c r="F67" i="3"/>
  <c r="H67" i="3"/>
  <c r="I67" i="3"/>
  <c r="E68" i="3"/>
  <c r="F68" i="3"/>
  <c r="H68" i="3"/>
  <c r="I68" i="3"/>
  <c r="E26" i="72"/>
  <c r="F26" i="72"/>
  <c r="H26" i="72"/>
  <c r="I26" i="72"/>
  <c r="E27" i="72"/>
  <c r="F27" i="72"/>
  <c r="H27" i="72"/>
  <c r="I27" i="72"/>
  <c r="E28" i="72"/>
  <c r="F28" i="72"/>
  <c r="H28" i="72"/>
  <c r="I28" i="72"/>
  <c r="E29" i="72"/>
  <c r="F29" i="72"/>
  <c r="H29" i="72"/>
  <c r="I29" i="72"/>
  <c r="E30" i="72"/>
  <c r="F30" i="72"/>
  <c r="H30" i="72"/>
  <c r="I30" i="72"/>
  <c r="E31" i="72"/>
  <c r="F31" i="72"/>
  <c r="H31" i="72"/>
  <c r="I31" i="72"/>
  <c r="E32" i="72"/>
  <c r="F32" i="72"/>
  <c r="H32" i="72"/>
  <c r="I32" i="72"/>
  <c r="E33" i="72"/>
  <c r="F33" i="72"/>
  <c r="H33" i="72"/>
  <c r="I33" i="72"/>
  <c r="E34" i="72"/>
  <c r="F34" i="72"/>
  <c r="H34" i="72"/>
  <c r="I34" i="72"/>
  <c r="E35" i="72"/>
  <c r="F35" i="72"/>
  <c r="H35" i="72"/>
  <c r="I35" i="72"/>
  <c r="E36" i="72"/>
  <c r="F36" i="72"/>
  <c r="H36" i="72"/>
  <c r="I36" i="72"/>
  <c r="E37" i="72"/>
  <c r="F37" i="72"/>
  <c r="H37" i="72"/>
  <c r="I37" i="72"/>
  <c r="E38" i="72"/>
  <c r="F38" i="72"/>
  <c r="H38" i="72"/>
  <c r="I38" i="72"/>
  <c r="E39" i="72"/>
  <c r="F39" i="72"/>
  <c r="H39" i="72"/>
  <c r="I39" i="72"/>
  <c r="E40" i="72"/>
  <c r="F40" i="72"/>
  <c r="H40" i="72"/>
  <c r="I40" i="72"/>
  <c r="E41" i="72"/>
  <c r="F41" i="72"/>
  <c r="H41" i="72"/>
  <c r="I41" i="72"/>
  <c r="E42" i="72"/>
  <c r="F42" i="72"/>
  <c r="H42" i="72"/>
  <c r="I42" i="72"/>
  <c r="E43" i="72"/>
  <c r="F43" i="72"/>
  <c r="H43" i="72"/>
  <c r="I43" i="72"/>
  <c r="E44" i="72"/>
  <c r="F44" i="72"/>
  <c r="H44" i="72"/>
  <c r="I44" i="72"/>
  <c r="E45" i="72"/>
  <c r="F45" i="72"/>
  <c r="H45" i="72"/>
  <c r="I45" i="72"/>
  <c r="E46" i="72"/>
  <c r="F46" i="72"/>
  <c r="H46" i="72"/>
  <c r="I46" i="72"/>
  <c r="E47" i="72"/>
  <c r="F47" i="72"/>
  <c r="H47" i="72"/>
  <c r="I47" i="72"/>
  <c r="E48" i="72"/>
  <c r="F48" i="72"/>
  <c r="H48" i="72"/>
  <c r="I48" i="72"/>
  <c r="E49" i="72"/>
  <c r="F49" i="72"/>
  <c r="H49" i="72"/>
  <c r="I49" i="72"/>
  <c r="E50" i="72"/>
  <c r="F50" i="72"/>
  <c r="H50" i="72"/>
  <c r="I50" i="72"/>
  <c r="E51" i="72"/>
  <c r="F51" i="72"/>
  <c r="H51" i="72"/>
  <c r="I51" i="72"/>
  <c r="E52" i="72"/>
  <c r="F52" i="72"/>
  <c r="H52" i="72"/>
  <c r="I52" i="72"/>
  <c r="E53" i="72"/>
  <c r="F53" i="72"/>
  <c r="H53" i="72"/>
  <c r="I53" i="72"/>
  <c r="E54" i="72"/>
  <c r="F54" i="72"/>
  <c r="H54" i="72"/>
  <c r="I54" i="72"/>
  <c r="E55" i="72"/>
  <c r="F55" i="72"/>
  <c r="H55" i="72"/>
  <c r="I55" i="72"/>
  <c r="E56" i="72"/>
  <c r="F56" i="72"/>
  <c r="H56" i="72"/>
  <c r="I56" i="72"/>
  <c r="E57" i="72"/>
  <c r="F57" i="72"/>
  <c r="H57" i="72"/>
  <c r="I57" i="72"/>
  <c r="E58" i="72"/>
  <c r="F58" i="72"/>
  <c r="H58" i="72"/>
  <c r="I58" i="72"/>
  <c r="E59" i="72"/>
  <c r="F59" i="72"/>
  <c r="H59" i="72"/>
  <c r="I59" i="72"/>
  <c r="E60" i="72"/>
  <c r="F60" i="72"/>
  <c r="H60" i="72"/>
  <c r="I60" i="72"/>
  <c r="E61" i="72"/>
  <c r="F61" i="72"/>
  <c r="H61" i="72"/>
  <c r="I61" i="72"/>
  <c r="E62" i="72"/>
  <c r="F62" i="72"/>
  <c r="H62" i="72"/>
  <c r="I62" i="72"/>
  <c r="E63" i="72"/>
  <c r="F63" i="72"/>
  <c r="H63" i="72"/>
  <c r="I63" i="72"/>
  <c r="E64" i="72"/>
  <c r="F64" i="72"/>
  <c r="H64" i="72"/>
  <c r="I64" i="72"/>
  <c r="E65" i="72"/>
  <c r="F65" i="72"/>
  <c r="H65" i="72"/>
  <c r="I65" i="72"/>
  <c r="E66" i="72"/>
  <c r="F66" i="72"/>
  <c r="H66" i="72"/>
  <c r="I66" i="72"/>
  <c r="E67" i="72"/>
  <c r="F67" i="72"/>
  <c r="H67" i="72"/>
  <c r="I67" i="72"/>
  <c r="E68" i="72"/>
  <c r="F68" i="72"/>
  <c r="H68" i="72"/>
  <c r="I68" i="72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4" i="29"/>
  <c r="D4" i="29"/>
  <c r="H25" i="26"/>
  <c r="I25" i="26"/>
  <c r="E25" i="26"/>
  <c r="F25" i="26"/>
  <c r="H24" i="26"/>
  <c r="I24" i="26"/>
  <c r="E24" i="26"/>
  <c r="F24" i="26"/>
  <c r="H23" i="26"/>
  <c r="I23" i="26"/>
  <c r="E23" i="26"/>
  <c r="F23" i="26"/>
  <c r="H22" i="26"/>
  <c r="I22" i="26"/>
  <c r="E22" i="26"/>
  <c r="F22" i="26"/>
  <c r="H21" i="26"/>
  <c r="I21" i="26"/>
  <c r="E21" i="26"/>
  <c r="F21" i="26"/>
  <c r="H20" i="26"/>
  <c r="I20" i="26"/>
  <c r="E20" i="26"/>
  <c r="F20" i="26"/>
  <c r="H19" i="26"/>
  <c r="I19" i="26"/>
  <c r="E19" i="26"/>
  <c r="F19" i="26"/>
  <c r="H18" i="26"/>
  <c r="I18" i="26"/>
  <c r="E18" i="26"/>
  <c r="F18" i="26"/>
  <c r="G25" i="1"/>
  <c r="I18" i="19"/>
  <c r="I19" i="19"/>
  <c r="I20" i="19"/>
  <c r="I21" i="19"/>
  <c r="I22" i="19"/>
  <c r="I23" i="19"/>
  <c r="I24" i="19"/>
  <c r="I25" i="19"/>
  <c r="H18" i="19"/>
  <c r="H19" i="19"/>
  <c r="H20" i="19"/>
  <c r="H21" i="19"/>
  <c r="H22" i="19"/>
  <c r="H23" i="19"/>
  <c r="H24" i="19"/>
  <c r="H25" i="19"/>
  <c r="E18" i="19"/>
  <c r="E19" i="19"/>
  <c r="E20" i="19"/>
  <c r="E21" i="19"/>
  <c r="E22" i="19"/>
  <c r="E23" i="19"/>
  <c r="E24" i="19"/>
  <c r="E25" i="19"/>
  <c r="E18" i="20"/>
  <c r="E19" i="20"/>
  <c r="E20" i="20"/>
  <c r="E21" i="20"/>
  <c r="E22" i="20"/>
  <c r="E23" i="20"/>
  <c r="E24" i="20"/>
  <c r="E25" i="20"/>
  <c r="H18" i="20"/>
  <c r="I18" i="20"/>
  <c r="H19" i="20"/>
  <c r="I19" i="20"/>
  <c r="H20" i="20"/>
  <c r="I20" i="20"/>
  <c r="H21" i="20"/>
  <c r="I21" i="20"/>
  <c r="H22" i="20"/>
  <c r="I22" i="20"/>
  <c r="H23" i="20"/>
  <c r="I23" i="20"/>
  <c r="H24" i="20"/>
  <c r="I24" i="20"/>
  <c r="H25" i="20"/>
  <c r="I25" i="20"/>
  <c r="G4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5" i="18"/>
  <c r="G4" i="1"/>
  <c r="H18" i="21"/>
  <c r="I18" i="21"/>
  <c r="H19" i="21"/>
  <c r="I19" i="21"/>
  <c r="H20" i="21"/>
  <c r="I20" i="21"/>
  <c r="H21" i="21"/>
  <c r="I21" i="21"/>
  <c r="H22" i="21"/>
  <c r="I22" i="21"/>
  <c r="H23" i="21"/>
  <c r="I23" i="21"/>
  <c r="H24" i="21"/>
  <c r="I24" i="21"/>
  <c r="H25" i="21"/>
  <c r="I25" i="21"/>
  <c r="E25" i="21"/>
  <c r="F25" i="21"/>
  <c r="E24" i="21"/>
  <c r="F24" i="21"/>
  <c r="E23" i="21"/>
  <c r="F23" i="21"/>
  <c r="E22" i="21"/>
  <c r="F22" i="21"/>
  <c r="E21" i="21"/>
  <c r="F21" i="21"/>
  <c r="E20" i="21"/>
  <c r="F20" i="21"/>
  <c r="E19" i="21"/>
  <c r="F19" i="21"/>
  <c r="E18" i="21"/>
  <c r="F18" i="21"/>
  <c r="H23" i="4"/>
  <c r="I23" i="4"/>
  <c r="H24" i="4"/>
  <c r="I24" i="4"/>
  <c r="H25" i="4"/>
  <c r="I25" i="4"/>
  <c r="I22" i="4"/>
  <c r="E25" i="4"/>
  <c r="F25" i="4"/>
  <c r="E24" i="4"/>
  <c r="F24" i="4"/>
  <c r="E23" i="4"/>
  <c r="F23" i="4"/>
  <c r="E22" i="4"/>
  <c r="F22" i="4"/>
  <c r="E21" i="4"/>
  <c r="F21" i="4"/>
  <c r="E20" i="4"/>
  <c r="F20" i="4"/>
  <c r="E19" i="4"/>
  <c r="F19" i="4"/>
  <c r="E18" i="4"/>
  <c r="F18" i="4"/>
  <c r="I18" i="4"/>
  <c r="I19" i="4"/>
  <c r="H18" i="4"/>
  <c r="H19" i="4"/>
  <c r="H20" i="4"/>
  <c r="I20" i="4"/>
  <c r="H21" i="4"/>
  <c r="I21" i="4"/>
  <c r="H22" i="4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E24" i="3"/>
  <c r="F24" i="3"/>
  <c r="E25" i="3"/>
  <c r="F25" i="3"/>
  <c r="E18" i="3"/>
  <c r="E19" i="3"/>
  <c r="E20" i="3"/>
  <c r="E21" i="3"/>
  <c r="E22" i="3"/>
  <c r="E23" i="3"/>
  <c r="H18" i="3"/>
  <c r="I18" i="3"/>
  <c r="H19" i="3"/>
  <c r="I19" i="3"/>
  <c r="H20" i="3"/>
  <c r="I20" i="3"/>
  <c r="H21" i="3"/>
  <c r="I21" i="3"/>
  <c r="H22" i="3"/>
  <c r="I22" i="3"/>
  <c r="H23" i="3"/>
  <c r="I23" i="3"/>
  <c r="H24" i="3"/>
  <c r="I24" i="3"/>
  <c r="H25" i="3"/>
  <c r="I25" i="3"/>
  <c r="C2" i="3"/>
  <c r="C18" i="29"/>
  <c r="D18" i="29"/>
  <c r="H18" i="29"/>
  <c r="C19" i="29"/>
  <c r="D19" i="29"/>
  <c r="H19" i="29"/>
  <c r="C20" i="29"/>
  <c r="D20" i="29"/>
  <c r="C21" i="29"/>
  <c r="D21" i="29"/>
  <c r="H21" i="29"/>
  <c r="C22" i="29"/>
  <c r="D22" i="29"/>
  <c r="H22" i="29"/>
  <c r="C23" i="29"/>
  <c r="D23" i="29"/>
  <c r="C24" i="29"/>
  <c r="C24" i="1"/>
  <c r="D24" i="29"/>
  <c r="D24" i="1"/>
  <c r="C25" i="29"/>
  <c r="C25" i="1"/>
  <c r="D25" i="29"/>
  <c r="D25" i="1"/>
  <c r="C17" i="18"/>
  <c r="D17" i="18"/>
  <c r="C18" i="18"/>
  <c r="D18" i="18"/>
  <c r="H18" i="18"/>
  <c r="I18" i="18"/>
  <c r="C19" i="18"/>
  <c r="D19" i="18"/>
  <c r="H19" i="18"/>
  <c r="I19" i="18"/>
  <c r="C20" i="18"/>
  <c r="D20" i="18"/>
  <c r="H20" i="18"/>
  <c r="I20" i="18"/>
  <c r="C21" i="18"/>
  <c r="D21" i="18"/>
  <c r="H21" i="18"/>
  <c r="I21" i="18"/>
  <c r="C22" i="18"/>
  <c r="D22" i="18"/>
  <c r="H22" i="18"/>
  <c r="I22" i="18"/>
  <c r="C23" i="18"/>
  <c r="D23" i="18"/>
  <c r="H23" i="18"/>
  <c r="I23" i="18"/>
  <c r="C24" i="18"/>
  <c r="D24" i="18"/>
  <c r="H24" i="18"/>
  <c r="I24" i="18"/>
  <c r="C25" i="18"/>
  <c r="D25" i="18"/>
  <c r="H25" i="18"/>
  <c r="I25" i="18"/>
  <c r="E20" i="18"/>
  <c r="F20" i="18"/>
  <c r="E17" i="18"/>
  <c r="F17" i="18"/>
  <c r="E24" i="18"/>
  <c r="F24" i="18"/>
  <c r="E22" i="18"/>
  <c r="F22" i="18"/>
  <c r="E19" i="18"/>
  <c r="F19" i="18"/>
  <c r="E18" i="18"/>
  <c r="F18" i="18"/>
  <c r="E25" i="18"/>
  <c r="F25" i="18"/>
  <c r="E23" i="18"/>
  <c r="F23" i="18"/>
  <c r="E21" i="18"/>
  <c r="F21" i="18"/>
  <c r="C18" i="1"/>
  <c r="D18" i="1"/>
  <c r="G18" i="1"/>
  <c r="C19" i="1"/>
  <c r="D19" i="1"/>
  <c r="G19" i="1"/>
  <c r="C20" i="1"/>
  <c r="D20" i="1"/>
  <c r="G20" i="1"/>
  <c r="C21" i="1"/>
  <c r="D21" i="1"/>
  <c r="G21" i="1"/>
  <c r="C22" i="1"/>
  <c r="D22" i="1"/>
  <c r="G22" i="1"/>
  <c r="C23" i="1"/>
  <c r="D23" i="1"/>
  <c r="G23" i="1"/>
  <c r="G24" i="1"/>
  <c r="C18" i="30"/>
  <c r="D18" i="30"/>
  <c r="H18" i="30"/>
  <c r="I18" i="30" s="1"/>
  <c r="C19" i="30"/>
  <c r="D19" i="30"/>
  <c r="C20" i="30"/>
  <c r="D20" i="30"/>
  <c r="E18" i="72"/>
  <c r="F18" i="72"/>
  <c r="E19" i="72"/>
  <c r="F19" i="72"/>
  <c r="E20" i="72"/>
  <c r="F20" i="72"/>
  <c r="E21" i="72"/>
  <c r="F21" i="72"/>
  <c r="E22" i="72"/>
  <c r="F22" i="72"/>
  <c r="E23" i="72"/>
  <c r="F23" i="72"/>
  <c r="E24" i="72"/>
  <c r="F24" i="72"/>
  <c r="E25" i="72"/>
  <c r="F25" i="72"/>
  <c r="H18" i="72"/>
  <c r="H18" i="1"/>
  <c r="H19" i="72"/>
  <c r="H19" i="1"/>
  <c r="H20" i="72"/>
  <c r="H20" i="1"/>
  <c r="H21" i="72"/>
  <c r="H22" i="72"/>
  <c r="H22" i="1"/>
  <c r="H23" i="72"/>
  <c r="H24" i="72"/>
  <c r="H25" i="72"/>
  <c r="C16" i="30"/>
  <c r="D16" i="30"/>
  <c r="C17" i="30"/>
  <c r="D17" i="30"/>
  <c r="C16" i="29"/>
  <c r="D16" i="29"/>
  <c r="C17" i="29"/>
  <c r="D17" i="29"/>
  <c r="C16" i="18"/>
  <c r="D16" i="18"/>
  <c r="C16" i="1"/>
  <c r="D16" i="1"/>
  <c r="G16" i="1"/>
  <c r="C17" i="1"/>
  <c r="D17" i="1"/>
  <c r="G17" i="1"/>
  <c r="G17" i="34"/>
  <c r="I17" i="33"/>
  <c r="H16" i="33"/>
  <c r="I16" i="33" s="1"/>
  <c r="E16" i="33"/>
  <c r="F16" i="33" s="1"/>
  <c r="H17" i="32"/>
  <c r="I17" i="32"/>
  <c r="E17" i="32"/>
  <c r="F17" i="32"/>
  <c r="H16" i="32"/>
  <c r="I16" i="32"/>
  <c r="E16" i="32"/>
  <c r="F16" i="32"/>
  <c r="H17" i="30"/>
  <c r="H17" i="34" s="1"/>
  <c r="I17" i="31"/>
  <c r="E17" i="31"/>
  <c r="F17" i="31"/>
  <c r="H16" i="31"/>
  <c r="I16" i="31"/>
  <c r="E16" i="31"/>
  <c r="F16" i="3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/>
  <c r="E17" i="26"/>
  <c r="F17" i="26"/>
  <c r="H16" i="26"/>
  <c r="I16" i="26"/>
  <c r="E16" i="26"/>
  <c r="F16" i="26"/>
  <c r="H17" i="19"/>
  <c r="I17" i="19"/>
  <c r="E17" i="19"/>
  <c r="F17" i="19"/>
  <c r="H16" i="19"/>
  <c r="I16" i="19"/>
  <c r="E16" i="19"/>
  <c r="F16" i="19"/>
  <c r="H17" i="20"/>
  <c r="I17" i="20"/>
  <c r="E17" i="20"/>
  <c r="F17" i="20"/>
  <c r="H16" i="20"/>
  <c r="I16" i="20"/>
  <c r="E16" i="20"/>
  <c r="F16" i="20"/>
  <c r="H17" i="21"/>
  <c r="E17" i="21"/>
  <c r="F17" i="21"/>
  <c r="H16" i="21"/>
  <c r="E16" i="21"/>
  <c r="F16" i="21"/>
  <c r="H17" i="4"/>
  <c r="I17" i="4"/>
  <c r="E17" i="4"/>
  <c r="F17" i="4"/>
  <c r="H16" i="4"/>
  <c r="I16" i="4"/>
  <c r="E16" i="4"/>
  <c r="F16" i="4"/>
  <c r="E16" i="3"/>
  <c r="H16" i="3"/>
  <c r="I16" i="3"/>
  <c r="E17" i="3"/>
  <c r="H17" i="3"/>
  <c r="I17" i="3"/>
  <c r="E16" i="72"/>
  <c r="F16" i="72"/>
  <c r="H16" i="72"/>
  <c r="E17" i="72"/>
  <c r="F17" i="72"/>
  <c r="H17" i="72"/>
  <c r="E15" i="72"/>
  <c r="F15" i="72"/>
  <c r="E14" i="72"/>
  <c r="F14" i="72"/>
  <c r="E13" i="72"/>
  <c r="F13" i="72"/>
  <c r="E12" i="72"/>
  <c r="F12" i="72"/>
  <c r="E11" i="72"/>
  <c r="F11" i="72"/>
  <c r="E10" i="72"/>
  <c r="F10" i="72"/>
  <c r="E9" i="72"/>
  <c r="F9" i="72"/>
  <c r="E8" i="72"/>
  <c r="F8" i="72"/>
  <c r="E7" i="72"/>
  <c r="F7" i="72"/>
  <c r="E6" i="72"/>
  <c r="F6" i="72"/>
  <c r="E5" i="72"/>
  <c r="F5" i="72"/>
  <c r="E4" i="72"/>
  <c r="F4" i="72"/>
  <c r="B4" i="33" a="1"/>
  <c r="B4" i="33" s="1"/>
  <c r="A4" i="33" a="1"/>
  <c r="A4" i="33" s="1"/>
  <c r="B4" i="32" a="1"/>
  <c r="B4" i="32"/>
  <c r="A4" i="32" a="1"/>
  <c r="A4" i="32"/>
  <c r="B4" i="31" a="1"/>
  <c r="B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B4" i="26" a="1"/>
  <c r="B4" i="26"/>
  <c r="A4" i="26" a="1"/>
  <c r="A4" i="26"/>
  <c r="A4" i="72" a="1"/>
  <c r="A4" i="72"/>
  <c r="A4" i="30" a="1"/>
  <c r="A4" i="30"/>
  <c r="B4" i="72" a="1"/>
  <c r="B4" i="72"/>
  <c r="E4" i="3"/>
  <c r="F4" i="3"/>
  <c r="H4" i="3"/>
  <c r="I4" i="3"/>
  <c r="E5" i="3"/>
  <c r="H5" i="3"/>
  <c r="I5" i="3"/>
  <c r="E6" i="3"/>
  <c r="H6" i="3"/>
  <c r="I6" i="3"/>
  <c r="E7" i="3"/>
  <c r="H7" i="3"/>
  <c r="I7" i="3"/>
  <c r="E8" i="3"/>
  <c r="H8" i="3"/>
  <c r="I8" i="3"/>
  <c r="E9" i="3"/>
  <c r="H9" i="3"/>
  <c r="I9" i="3"/>
  <c r="E10" i="3"/>
  <c r="H10" i="3"/>
  <c r="I10" i="3"/>
  <c r="E11" i="3"/>
  <c r="H11" i="3"/>
  <c r="I11" i="3"/>
  <c r="E12" i="3"/>
  <c r="H12" i="3"/>
  <c r="I12" i="3"/>
  <c r="E13" i="3"/>
  <c r="H13" i="3"/>
  <c r="I13" i="3"/>
  <c r="E14" i="3"/>
  <c r="H14" i="3"/>
  <c r="I14" i="3"/>
  <c r="E15" i="3"/>
  <c r="H15" i="3"/>
  <c r="I15" i="3"/>
  <c r="G6" i="1"/>
  <c r="G7" i="1"/>
  <c r="G8" i="1"/>
  <c r="G9" i="1"/>
  <c r="G10" i="1"/>
  <c r="G11" i="1"/>
  <c r="G12" i="1"/>
  <c r="G13" i="1"/>
  <c r="G14" i="1"/>
  <c r="G15" i="1"/>
  <c r="G5" i="1"/>
  <c r="B4" i="34" a="1"/>
  <c r="B4" i="34"/>
  <c r="A4" i="34" a="1"/>
  <c r="A4" i="34"/>
  <c r="A1" i="34" a="1"/>
  <c r="A1" i="34"/>
  <c r="D15" i="30"/>
  <c r="C15" i="30"/>
  <c r="D14" i="30"/>
  <c r="C14" i="30"/>
  <c r="D13" i="30"/>
  <c r="C13" i="30"/>
  <c r="D12" i="30"/>
  <c r="C12" i="30"/>
  <c r="D11" i="30"/>
  <c r="C11" i="30"/>
  <c r="D10" i="30"/>
  <c r="C10" i="30"/>
  <c r="D9" i="30"/>
  <c r="C9" i="30"/>
  <c r="D8" i="30"/>
  <c r="C8" i="30"/>
  <c r="D7" i="30"/>
  <c r="C7" i="30"/>
  <c r="D6" i="30"/>
  <c r="C6" i="30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D7" i="29"/>
  <c r="C7" i="29"/>
  <c r="D6" i="29"/>
  <c r="C6" i="29"/>
  <c r="D5" i="29"/>
  <c r="C5" i="29"/>
  <c r="C4" i="29"/>
  <c r="D15" i="18"/>
  <c r="C15" i="18"/>
  <c r="D14" i="18"/>
  <c r="C14" i="18"/>
  <c r="D13" i="18"/>
  <c r="C13" i="18"/>
  <c r="D12" i="18"/>
  <c r="C12" i="18"/>
  <c r="D11" i="18"/>
  <c r="C11" i="18"/>
  <c r="E11" i="18"/>
  <c r="F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B4" i="30" a="1"/>
  <c r="B4" i="30"/>
  <c r="A1" i="30" a="1"/>
  <c r="A1" i="30"/>
  <c r="B4" i="29" a="1"/>
  <c r="B4" i="29"/>
  <c r="A4" i="29" a="1"/>
  <c r="A4" i="29"/>
  <c r="A1" i="29" a="1"/>
  <c r="A1" i="29"/>
  <c r="B4" i="18" a="1"/>
  <c r="B4" i="18"/>
  <c r="A4" i="18" a="1"/>
  <c r="A4" i="18"/>
  <c r="G2" i="18"/>
  <c r="A1" i="18" a="1"/>
  <c r="A1" i="18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/>
  <c r="A4" i="1" a="1"/>
  <c r="A4" i="1"/>
  <c r="A1" i="1" a="1"/>
  <c r="A1" i="1"/>
  <c r="H15" i="33"/>
  <c r="H15" i="30" s="1"/>
  <c r="H15" i="34" s="1"/>
  <c r="I15" i="33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H12" i="30" s="1"/>
  <c r="E12" i="33"/>
  <c r="F12" i="33" s="1"/>
  <c r="H11" i="33"/>
  <c r="H11" i="30" s="1"/>
  <c r="E11" i="33"/>
  <c r="F11" i="33"/>
  <c r="H10" i="33"/>
  <c r="H10" i="30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H7" i="30" s="1"/>
  <c r="H7" i="34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/>
  <c r="G2" i="33"/>
  <c r="D2" i="33"/>
  <c r="C2" i="33"/>
  <c r="E2" i="33" s="1"/>
  <c r="F2" i="33" s="1"/>
  <c r="A1" i="33" a="1"/>
  <c r="A1" i="33" s="1"/>
  <c r="H15" i="32"/>
  <c r="I15" i="32"/>
  <c r="E15" i="32"/>
  <c r="F15" i="32" s="1"/>
  <c r="H14" i="32"/>
  <c r="I14" i="32"/>
  <c r="E14" i="32"/>
  <c r="F14" i="32"/>
  <c r="H13" i="32"/>
  <c r="I13" i="32"/>
  <c r="E13" i="32"/>
  <c r="F13" i="32"/>
  <c r="H12" i="32"/>
  <c r="I12" i="32"/>
  <c r="E12" i="32"/>
  <c r="F12" i="32" s="1"/>
  <c r="H11" i="32"/>
  <c r="I11" i="32"/>
  <c r="E11" i="32"/>
  <c r="F11" i="32"/>
  <c r="H10" i="32"/>
  <c r="I10" i="32"/>
  <c r="E10" i="32"/>
  <c r="F10" i="32"/>
  <c r="H9" i="32"/>
  <c r="I9" i="32"/>
  <c r="E9" i="32"/>
  <c r="F9" i="32" s="1"/>
  <c r="H8" i="32"/>
  <c r="I8" i="32"/>
  <c r="E8" i="32"/>
  <c r="F8" i="32"/>
  <c r="H7" i="32"/>
  <c r="I7" i="32"/>
  <c r="E7" i="32"/>
  <c r="F7" i="32"/>
  <c r="H6" i="32"/>
  <c r="I6" i="32"/>
  <c r="E6" i="32"/>
  <c r="F6" i="32" s="1"/>
  <c r="H5" i="32"/>
  <c r="I5" i="32"/>
  <c r="E5" i="32"/>
  <c r="F5" i="32"/>
  <c r="H4" i="32"/>
  <c r="I4" i="32"/>
  <c r="E4" i="32"/>
  <c r="F4" i="32"/>
  <c r="G2" i="32"/>
  <c r="D2" i="32"/>
  <c r="C2" i="32"/>
  <c r="A1" i="32" a="1"/>
  <c r="A1" i="32"/>
  <c r="H15" i="31"/>
  <c r="I15" i="31"/>
  <c r="E15" i="31"/>
  <c r="F15" i="31"/>
  <c r="H14" i="31"/>
  <c r="I14" i="31"/>
  <c r="E14" i="31"/>
  <c r="F14" i="31"/>
  <c r="H13" i="31"/>
  <c r="I13" i="31"/>
  <c r="E13" i="31"/>
  <c r="F13" i="31"/>
  <c r="H12" i="31"/>
  <c r="I12" i="31"/>
  <c r="E12" i="31"/>
  <c r="F12" i="31"/>
  <c r="H11" i="31"/>
  <c r="I11" i="31"/>
  <c r="E11" i="31"/>
  <c r="F11" i="31"/>
  <c r="H10" i="31"/>
  <c r="I10" i="31"/>
  <c r="E10" i="31"/>
  <c r="F10" i="31"/>
  <c r="H9" i="31"/>
  <c r="I9" i="31"/>
  <c r="E9" i="31"/>
  <c r="F9" i="31"/>
  <c r="H8" i="31"/>
  <c r="I8" i="31"/>
  <c r="E8" i="31"/>
  <c r="F8" i="31"/>
  <c r="H7" i="31"/>
  <c r="I7" i="31"/>
  <c r="E7" i="31"/>
  <c r="F7" i="31"/>
  <c r="H6" i="31"/>
  <c r="I6" i="31"/>
  <c r="E6" i="31"/>
  <c r="F6" i="31"/>
  <c r="H5" i="31"/>
  <c r="I5" i="31"/>
  <c r="E5" i="31"/>
  <c r="F5" i="31"/>
  <c r="H4" i="31"/>
  <c r="I4" i="31"/>
  <c r="E4" i="31"/>
  <c r="F4" i="31"/>
  <c r="G2" i="31"/>
  <c r="D2" i="31"/>
  <c r="C2" i="31"/>
  <c r="A1" i="31" a="1"/>
  <c r="A1" i="31"/>
  <c r="H15" i="28"/>
  <c r="H15" i="29" s="1"/>
  <c r="E15" i="28"/>
  <c r="F15" i="28" s="1"/>
  <c r="H14" i="28"/>
  <c r="I14" i="28" s="1"/>
  <c r="E14" i="28"/>
  <c r="F14" i="28"/>
  <c r="H13" i="28"/>
  <c r="I13" i="28" s="1"/>
  <c r="E13" i="28"/>
  <c r="F13" i="28" s="1"/>
  <c r="H12" i="28"/>
  <c r="I12" i="28" s="1"/>
  <c r="E12" i="28"/>
  <c r="F12" i="28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H8" i="29" s="1"/>
  <c r="I8" i="29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/>
  <c r="E5" i="28"/>
  <c r="F5" i="28" s="1"/>
  <c r="H4" i="28"/>
  <c r="H4" i="29" s="1"/>
  <c r="I4" i="28"/>
  <c r="E4" i="28"/>
  <c r="F4" i="28" s="1"/>
  <c r="B4" i="28" a="1"/>
  <c r="B4" i="28" s="1"/>
  <c r="A4" i="28" a="1"/>
  <c r="A4" i="28" s="1"/>
  <c r="G2" i="28"/>
  <c r="D2" i="28"/>
  <c r="C2" i="28"/>
  <c r="J2" i="28" s="1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G2" i="27"/>
  <c r="D2" i="27"/>
  <c r="C2" i="27"/>
  <c r="A1" i="27" a="1"/>
  <c r="A1" i="27"/>
  <c r="H15" i="26"/>
  <c r="E15" i="26"/>
  <c r="F15" i="26"/>
  <c r="H14" i="26"/>
  <c r="I14" i="26"/>
  <c r="E14" i="26"/>
  <c r="F14" i="26"/>
  <c r="H13" i="26"/>
  <c r="I13" i="26"/>
  <c r="E13" i="26"/>
  <c r="F13" i="26"/>
  <c r="H12" i="26"/>
  <c r="E12" i="26"/>
  <c r="F12" i="26"/>
  <c r="H11" i="26"/>
  <c r="I11" i="26"/>
  <c r="E11" i="26"/>
  <c r="F11" i="26"/>
  <c r="H10" i="26"/>
  <c r="I10" i="26"/>
  <c r="E10" i="26"/>
  <c r="F10" i="26"/>
  <c r="H9" i="26"/>
  <c r="E9" i="26"/>
  <c r="F9" i="26"/>
  <c r="H8" i="26"/>
  <c r="I8" i="26"/>
  <c r="E8" i="26"/>
  <c r="F8" i="26"/>
  <c r="H7" i="26"/>
  <c r="E7" i="26"/>
  <c r="F7" i="26"/>
  <c r="H6" i="26"/>
  <c r="E6" i="26"/>
  <c r="F6" i="26"/>
  <c r="H5" i="26"/>
  <c r="I5" i="26"/>
  <c r="E5" i="26"/>
  <c r="F5" i="26"/>
  <c r="H4" i="26"/>
  <c r="I4" i="26"/>
  <c r="E4" i="26"/>
  <c r="F4" i="26"/>
  <c r="G2" i="26"/>
  <c r="D2" i="26"/>
  <c r="C2" i="26"/>
  <c r="A1" i="26" a="1"/>
  <c r="A1" i="26"/>
  <c r="H15" i="19"/>
  <c r="I15" i="19"/>
  <c r="E15" i="19"/>
  <c r="F15" i="19"/>
  <c r="H14" i="19"/>
  <c r="I14" i="19"/>
  <c r="E14" i="19"/>
  <c r="F14" i="19"/>
  <c r="H13" i="19"/>
  <c r="I13" i="19"/>
  <c r="E13" i="19"/>
  <c r="F13" i="19"/>
  <c r="H12" i="19"/>
  <c r="I12" i="19"/>
  <c r="E12" i="19"/>
  <c r="F12" i="19"/>
  <c r="H11" i="19"/>
  <c r="I11" i="19"/>
  <c r="E11" i="19"/>
  <c r="F11" i="19"/>
  <c r="H10" i="19"/>
  <c r="I10" i="19"/>
  <c r="E10" i="19"/>
  <c r="F10" i="19"/>
  <c r="H9" i="19"/>
  <c r="I9" i="19"/>
  <c r="E9" i="19"/>
  <c r="F9" i="19"/>
  <c r="H8" i="19"/>
  <c r="I8" i="19"/>
  <c r="E8" i="19"/>
  <c r="F8" i="19"/>
  <c r="H7" i="19"/>
  <c r="I7" i="19"/>
  <c r="E7" i="19"/>
  <c r="F7" i="19"/>
  <c r="H6" i="19"/>
  <c r="I6" i="19"/>
  <c r="E6" i="19"/>
  <c r="F6" i="19"/>
  <c r="H5" i="19"/>
  <c r="I5" i="19"/>
  <c r="E5" i="19"/>
  <c r="F5" i="19"/>
  <c r="H4" i="19"/>
  <c r="I4" i="19"/>
  <c r="E4" i="19"/>
  <c r="F4" i="19"/>
  <c r="G2" i="19"/>
  <c r="D2" i="19"/>
  <c r="C2" i="19"/>
  <c r="A1" i="19" a="1"/>
  <c r="A1" i="19"/>
  <c r="H15" i="20"/>
  <c r="I15" i="20"/>
  <c r="E15" i="20"/>
  <c r="F15" i="20"/>
  <c r="H14" i="20"/>
  <c r="I14" i="20"/>
  <c r="E14" i="20"/>
  <c r="F14" i="20"/>
  <c r="H13" i="20"/>
  <c r="I13" i="20"/>
  <c r="E13" i="20"/>
  <c r="F13" i="20"/>
  <c r="H12" i="20"/>
  <c r="I12" i="20"/>
  <c r="E12" i="20"/>
  <c r="F12" i="20"/>
  <c r="H11" i="20"/>
  <c r="I11" i="20"/>
  <c r="E11" i="20"/>
  <c r="F11" i="20"/>
  <c r="H10" i="20"/>
  <c r="I10" i="20"/>
  <c r="E10" i="20"/>
  <c r="F10" i="20"/>
  <c r="H9" i="20"/>
  <c r="I9" i="20"/>
  <c r="E9" i="20"/>
  <c r="F9" i="20"/>
  <c r="H8" i="20"/>
  <c r="I8" i="20"/>
  <c r="E8" i="20"/>
  <c r="F8" i="20"/>
  <c r="H7" i="20"/>
  <c r="I7" i="20"/>
  <c r="E7" i="20"/>
  <c r="F7" i="20"/>
  <c r="H6" i="20"/>
  <c r="I6" i="20"/>
  <c r="E6" i="20"/>
  <c r="F6" i="20"/>
  <c r="H5" i="20"/>
  <c r="I5" i="20"/>
  <c r="E5" i="20"/>
  <c r="F5" i="20"/>
  <c r="H4" i="20"/>
  <c r="I4" i="20"/>
  <c r="E4" i="20"/>
  <c r="F4" i="20"/>
  <c r="G2" i="20"/>
  <c r="D2" i="20"/>
  <c r="C2" i="20"/>
  <c r="A1" i="20" a="1"/>
  <c r="A1" i="20"/>
  <c r="H15" i="21"/>
  <c r="I15" i="21"/>
  <c r="E15" i="21"/>
  <c r="F15" i="21"/>
  <c r="H14" i="21"/>
  <c r="I14" i="21"/>
  <c r="E14" i="21"/>
  <c r="F14" i="21"/>
  <c r="H13" i="21"/>
  <c r="I13" i="21"/>
  <c r="E13" i="21"/>
  <c r="F13" i="21"/>
  <c r="H12" i="21"/>
  <c r="I12" i="21"/>
  <c r="E12" i="21"/>
  <c r="F12" i="21"/>
  <c r="H11" i="21"/>
  <c r="I11" i="21"/>
  <c r="E11" i="21"/>
  <c r="F11" i="21"/>
  <c r="H10" i="21"/>
  <c r="I10" i="21"/>
  <c r="E10" i="21"/>
  <c r="F10" i="21"/>
  <c r="H9" i="21"/>
  <c r="I9" i="21"/>
  <c r="E9" i="21"/>
  <c r="F9" i="21"/>
  <c r="H8" i="21"/>
  <c r="I8" i="21"/>
  <c r="E8" i="21"/>
  <c r="F8" i="21"/>
  <c r="H7" i="21"/>
  <c r="I7" i="21"/>
  <c r="E7" i="21"/>
  <c r="F7" i="21"/>
  <c r="H6" i="21"/>
  <c r="I6" i="21"/>
  <c r="E6" i="21"/>
  <c r="F6" i="21"/>
  <c r="H5" i="21"/>
  <c r="I5" i="21"/>
  <c r="E5" i="21"/>
  <c r="F5" i="21"/>
  <c r="H4" i="21"/>
  <c r="I4" i="21"/>
  <c r="E4" i="21"/>
  <c r="F4" i="21"/>
  <c r="G2" i="21"/>
  <c r="D2" i="21"/>
  <c r="C2" i="21"/>
  <c r="A1" i="21" a="1"/>
  <c r="A1" i="21"/>
  <c r="H15" i="4"/>
  <c r="I15" i="4"/>
  <c r="E15" i="4"/>
  <c r="F15" i="4"/>
  <c r="H14" i="4"/>
  <c r="I14" i="4"/>
  <c r="E14" i="4"/>
  <c r="F14" i="4"/>
  <c r="H13" i="4"/>
  <c r="I13" i="4"/>
  <c r="E13" i="4"/>
  <c r="F13" i="4"/>
  <c r="H12" i="4"/>
  <c r="I12" i="4"/>
  <c r="E12" i="4"/>
  <c r="F12" i="4"/>
  <c r="H11" i="4"/>
  <c r="I11" i="4"/>
  <c r="E11" i="4"/>
  <c r="F11" i="4"/>
  <c r="H10" i="4"/>
  <c r="I10" i="4"/>
  <c r="E10" i="4"/>
  <c r="F10" i="4"/>
  <c r="H9" i="4"/>
  <c r="I9" i="4"/>
  <c r="E9" i="4"/>
  <c r="F9" i="4"/>
  <c r="H8" i="4"/>
  <c r="I8" i="4"/>
  <c r="E8" i="4"/>
  <c r="F8" i="4"/>
  <c r="H7" i="4"/>
  <c r="I7" i="4"/>
  <c r="E7" i="4"/>
  <c r="F7" i="4"/>
  <c r="H6" i="4"/>
  <c r="I6" i="4"/>
  <c r="E6" i="4"/>
  <c r="F6" i="4"/>
  <c r="H5" i="4"/>
  <c r="I5" i="4"/>
  <c r="E5" i="4"/>
  <c r="F5" i="4"/>
  <c r="H4" i="4"/>
  <c r="I4" i="4"/>
  <c r="E4" i="4"/>
  <c r="F4" i="4"/>
  <c r="G2" i="4"/>
  <c r="D2" i="4"/>
  <c r="C2" i="4"/>
  <c r="A1" i="4" a="1"/>
  <c r="A1" i="4"/>
  <c r="G2" i="3"/>
  <c r="H2" i="3"/>
  <c r="D2" i="3"/>
  <c r="J2" i="3"/>
  <c r="A1" i="3" a="1"/>
  <c r="A1" i="3"/>
  <c r="H6" i="72"/>
  <c r="I6" i="72"/>
  <c r="H7" i="72"/>
  <c r="I7" i="72"/>
  <c r="H8" i="72"/>
  <c r="I8" i="72"/>
  <c r="H9" i="72"/>
  <c r="I9" i="72"/>
  <c r="H10" i="72"/>
  <c r="I10" i="72"/>
  <c r="H11" i="72"/>
  <c r="I11" i="72"/>
  <c r="H12" i="72"/>
  <c r="I12" i="72"/>
  <c r="H13" i="72"/>
  <c r="I13" i="72"/>
  <c r="H14" i="72"/>
  <c r="I14" i="72"/>
  <c r="H15" i="72"/>
  <c r="I15" i="72"/>
  <c r="H5" i="72"/>
  <c r="I5" i="72"/>
  <c r="H4" i="72"/>
  <c r="I4" i="72"/>
  <c r="G2" i="72"/>
  <c r="D2" i="72"/>
  <c r="C2" i="72"/>
  <c r="J2" i="72"/>
  <c r="A1" i="72" a="1"/>
  <c r="A1" i="72"/>
  <c r="H17" i="29"/>
  <c r="I17" i="29" s="1"/>
  <c r="E13" i="18"/>
  <c r="F13" i="18"/>
  <c r="E10" i="18"/>
  <c r="F10" i="18"/>
  <c r="E14" i="18"/>
  <c r="F14" i="18"/>
  <c r="E7" i="18"/>
  <c r="F7" i="18"/>
  <c r="E5" i="18"/>
  <c r="F5" i="18"/>
  <c r="I16" i="21"/>
  <c r="H16" i="18"/>
  <c r="I16" i="18"/>
  <c r="E16" i="18"/>
  <c r="F16" i="18"/>
  <c r="E15" i="18"/>
  <c r="F15" i="18"/>
  <c r="E12" i="18"/>
  <c r="F12" i="18"/>
  <c r="E9" i="18"/>
  <c r="F9" i="18"/>
  <c r="D2" i="18"/>
  <c r="E8" i="18"/>
  <c r="F8" i="18"/>
  <c r="E6" i="18"/>
  <c r="F6" i="18"/>
  <c r="E4" i="18"/>
  <c r="F4" i="18"/>
  <c r="I17" i="21"/>
  <c r="H17" i="18"/>
  <c r="I17" i="18"/>
  <c r="E24" i="1"/>
  <c r="F24" i="1"/>
  <c r="E23" i="1"/>
  <c r="F23" i="1"/>
  <c r="H17" i="1"/>
  <c r="I17" i="1"/>
  <c r="H16" i="1"/>
  <c r="I16" i="1"/>
  <c r="E21" i="1"/>
  <c r="F21" i="1"/>
  <c r="I25" i="72"/>
  <c r="I24" i="72"/>
  <c r="H24" i="1"/>
  <c r="I24" i="1"/>
  <c r="I23" i="72"/>
  <c r="I22" i="72"/>
  <c r="I21" i="72"/>
  <c r="I20" i="72"/>
  <c r="H25" i="1"/>
  <c r="I25" i="1"/>
  <c r="H23" i="1"/>
  <c r="I23" i="1"/>
  <c r="H21" i="1"/>
  <c r="I21" i="1"/>
  <c r="I19" i="72"/>
  <c r="I18" i="72"/>
  <c r="I22" i="1"/>
  <c r="E19" i="1"/>
  <c r="F19" i="1"/>
  <c r="I18" i="1"/>
  <c r="E18" i="1"/>
  <c r="F18" i="1"/>
  <c r="I20" i="1"/>
  <c r="E22" i="1"/>
  <c r="F22" i="1"/>
  <c r="E20" i="1"/>
  <c r="F20" i="1"/>
  <c r="E25" i="1"/>
  <c r="F25" i="1"/>
  <c r="I19" i="1"/>
  <c r="E17" i="1"/>
  <c r="F17" i="1"/>
  <c r="E16" i="1"/>
  <c r="F16" i="1"/>
  <c r="I17" i="72"/>
  <c r="I16" i="72"/>
  <c r="H2" i="32"/>
  <c r="I2" i="32"/>
  <c r="J2" i="32"/>
  <c r="H2" i="31"/>
  <c r="I2" i="31"/>
  <c r="J2" i="31"/>
  <c r="H2" i="26"/>
  <c r="I2" i="26"/>
  <c r="J2" i="26"/>
  <c r="H2" i="19"/>
  <c r="I2" i="19"/>
  <c r="J2" i="19"/>
  <c r="E2" i="20"/>
  <c r="F2" i="20"/>
  <c r="J2" i="20"/>
  <c r="H2" i="20"/>
  <c r="I2" i="20"/>
  <c r="H2" i="21"/>
  <c r="I2" i="21"/>
  <c r="J2" i="21"/>
  <c r="H2" i="4"/>
  <c r="I2" i="4"/>
  <c r="J2" i="4"/>
  <c r="I2" i="3"/>
  <c r="E7" i="1"/>
  <c r="F7" i="1"/>
  <c r="E15" i="1"/>
  <c r="F15" i="1"/>
  <c r="G2" i="1"/>
  <c r="E8" i="1"/>
  <c r="F8" i="1"/>
  <c r="E11" i="1"/>
  <c r="F11" i="1"/>
  <c r="E9" i="1"/>
  <c r="F9" i="1"/>
  <c r="E10" i="1"/>
  <c r="F10" i="1"/>
  <c r="E12" i="1"/>
  <c r="F12" i="1"/>
  <c r="E5" i="1"/>
  <c r="F5" i="1"/>
  <c r="E13" i="1"/>
  <c r="F13" i="1"/>
  <c r="E6" i="1"/>
  <c r="F6" i="1"/>
  <c r="E14" i="1"/>
  <c r="F14" i="1"/>
  <c r="I6" i="26"/>
  <c r="I9" i="26"/>
  <c r="I12" i="26"/>
  <c r="I15" i="26"/>
  <c r="H5" i="29"/>
  <c r="I7" i="26"/>
  <c r="H14" i="18"/>
  <c r="I14" i="18"/>
  <c r="H9" i="18"/>
  <c r="I9" i="18"/>
  <c r="H6" i="18"/>
  <c r="I6" i="18"/>
  <c r="H4" i="18"/>
  <c r="I4" i="18"/>
  <c r="H12" i="18"/>
  <c r="I12" i="18"/>
  <c r="H7" i="18"/>
  <c r="I7" i="18"/>
  <c r="H15" i="18"/>
  <c r="I15" i="18"/>
  <c r="H10" i="18"/>
  <c r="I10" i="18"/>
  <c r="H5" i="18"/>
  <c r="I5" i="18"/>
  <c r="H13" i="18"/>
  <c r="I13" i="18"/>
  <c r="H8" i="18"/>
  <c r="I8" i="18"/>
  <c r="H11" i="18"/>
  <c r="I11" i="18"/>
  <c r="C2" i="18"/>
  <c r="H7" i="1"/>
  <c r="I7" i="1"/>
  <c r="H4" i="1"/>
  <c r="H5" i="1"/>
  <c r="I5" i="1"/>
  <c r="H15" i="1"/>
  <c r="I15" i="1"/>
  <c r="H12" i="1"/>
  <c r="I12" i="1"/>
  <c r="H11" i="1"/>
  <c r="I11" i="1"/>
  <c r="H10" i="1"/>
  <c r="I10" i="1"/>
  <c r="H6" i="1"/>
  <c r="I6" i="1"/>
  <c r="C2" i="1"/>
  <c r="E2" i="3"/>
  <c r="F2" i="3"/>
  <c r="E4" i="1"/>
  <c r="F4" i="1"/>
  <c r="H14" i="1"/>
  <c r="I14" i="1"/>
  <c r="H13" i="1"/>
  <c r="I13" i="1"/>
  <c r="H9" i="1"/>
  <c r="I9" i="1"/>
  <c r="H8" i="1"/>
  <c r="I8" i="1"/>
  <c r="D2" i="1"/>
  <c r="E2" i="32"/>
  <c r="F2" i="32"/>
  <c r="E2" i="31"/>
  <c r="F2" i="31"/>
  <c r="E2" i="26"/>
  <c r="F2" i="26"/>
  <c r="E2" i="19"/>
  <c r="F2" i="19"/>
  <c r="E2" i="21"/>
  <c r="F2" i="21"/>
  <c r="E2" i="4"/>
  <c r="F2" i="4"/>
  <c r="H2" i="72"/>
  <c r="H2" i="1"/>
  <c r="I2" i="1"/>
  <c r="I4" i="1"/>
  <c r="H2" i="18"/>
  <c r="I2" i="18"/>
  <c r="E2" i="18"/>
  <c r="F2" i="18"/>
  <c r="E2" i="1"/>
  <c r="F2" i="1"/>
  <c r="I2" i="72"/>
  <c r="E2" i="72"/>
  <c r="F2" i="72"/>
  <c r="H68" i="30" l="1"/>
  <c r="H21" i="30"/>
  <c r="H21" i="34" s="1"/>
  <c r="I63" i="33"/>
  <c r="I55" i="33"/>
  <c r="I39" i="33"/>
  <c r="I31" i="33"/>
  <c r="I11" i="33"/>
  <c r="H20" i="30"/>
  <c r="H20" i="34" s="1"/>
  <c r="G15" i="34"/>
  <c r="C47" i="34"/>
  <c r="D44" i="34"/>
  <c r="E61" i="30"/>
  <c r="F61" i="30" s="1"/>
  <c r="H45" i="30"/>
  <c r="I61" i="33"/>
  <c r="I37" i="33"/>
  <c r="I29" i="33"/>
  <c r="I60" i="33"/>
  <c r="I52" i="33"/>
  <c r="I44" i="33"/>
  <c r="I36" i="33"/>
  <c r="I28" i="33"/>
  <c r="I67" i="33"/>
  <c r="I51" i="33"/>
  <c r="I43" i="33"/>
  <c r="I27" i="33"/>
  <c r="I19" i="33"/>
  <c r="I10" i="33"/>
  <c r="E22" i="30"/>
  <c r="F22" i="30" s="1"/>
  <c r="I47" i="30"/>
  <c r="E55" i="30"/>
  <c r="F55" i="30" s="1"/>
  <c r="E39" i="30"/>
  <c r="F39" i="30" s="1"/>
  <c r="E11" i="30"/>
  <c r="F11" i="30" s="1"/>
  <c r="D22" i="34"/>
  <c r="E8" i="30"/>
  <c r="F8" i="30" s="1"/>
  <c r="E47" i="30"/>
  <c r="F47" i="30" s="1"/>
  <c r="E29" i="30"/>
  <c r="F29" i="30" s="1"/>
  <c r="I22" i="30"/>
  <c r="I55" i="30"/>
  <c r="H16" i="30"/>
  <c r="H16" i="34" s="1"/>
  <c r="G34" i="34"/>
  <c r="I34" i="30"/>
  <c r="G50" i="34"/>
  <c r="I50" i="30"/>
  <c r="E49" i="30"/>
  <c r="F49" i="30" s="1"/>
  <c r="H2" i="33"/>
  <c r="I2" i="33" s="1"/>
  <c r="G44" i="34"/>
  <c r="G13" i="34"/>
  <c r="D35" i="34"/>
  <c r="I11" i="30"/>
  <c r="C54" i="34"/>
  <c r="I10" i="30"/>
  <c r="I64" i="30"/>
  <c r="E58" i="30"/>
  <c r="F58" i="30" s="1"/>
  <c r="I21" i="30"/>
  <c r="H8" i="30"/>
  <c r="H8" i="34" s="1"/>
  <c r="I8" i="34" s="1"/>
  <c r="H5" i="30"/>
  <c r="H5" i="34" s="1"/>
  <c r="H4" i="30"/>
  <c r="H4" i="34" s="1"/>
  <c r="I7" i="33"/>
  <c r="I56" i="34"/>
  <c r="H13" i="30"/>
  <c r="I13" i="30" s="1"/>
  <c r="H9" i="30"/>
  <c r="I9" i="30" s="1"/>
  <c r="J2" i="33"/>
  <c r="E7" i="30"/>
  <c r="F7" i="30" s="1"/>
  <c r="C39" i="34"/>
  <c r="D34" i="34"/>
  <c r="E59" i="30"/>
  <c r="F59" i="30" s="1"/>
  <c r="G19" i="34"/>
  <c r="I19" i="34" s="1"/>
  <c r="G52" i="34"/>
  <c r="D38" i="34"/>
  <c r="C38" i="34"/>
  <c r="I68" i="30"/>
  <c r="I52" i="30"/>
  <c r="C30" i="34"/>
  <c r="I63" i="34"/>
  <c r="G42" i="34"/>
  <c r="G32" i="34"/>
  <c r="I32" i="34" s="1"/>
  <c r="E37" i="30"/>
  <c r="F37" i="30" s="1"/>
  <c r="E57" i="30"/>
  <c r="F57" i="30" s="1"/>
  <c r="I27" i="34"/>
  <c r="D30" i="34"/>
  <c r="D66" i="34"/>
  <c r="G43" i="34"/>
  <c r="D6" i="34"/>
  <c r="C17" i="34"/>
  <c r="G39" i="34"/>
  <c r="I39" i="34" s="1"/>
  <c r="E14" i="30"/>
  <c r="F14" i="30" s="1"/>
  <c r="G33" i="34"/>
  <c r="I33" i="34" s="1"/>
  <c r="C15" i="34"/>
  <c r="C62" i="34"/>
  <c r="E67" i="30"/>
  <c r="F67" i="30" s="1"/>
  <c r="I61" i="30"/>
  <c r="I35" i="30"/>
  <c r="H12" i="34"/>
  <c r="I12" i="30"/>
  <c r="I46" i="30"/>
  <c r="H14" i="30"/>
  <c r="H14" i="34" s="1"/>
  <c r="G4" i="34"/>
  <c r="G10" i="34"/>
  <c r="I58" i="30"/>
  <c r="I43" i="30"/>
  <c r="I28" i="30"/>
  <c r="I12" i="33"/>
  <c r="E5" i="30"/>
  <c r="F5" i="30" s="1"/>
  <c r="I20" i="30"/>
  <c r="D62" i="34"/>
  <c r="G51" i="34"/>
  <c r="I51" i="34" s="1"/>
  <c r="C42" i="34"/>
  <c r="D8" i="34"/>
  <c r="C57" i="34"/>
  <c r="I67" i="34"/>
  <c r="H6" i="30"/>
  <c r="H6" i="34" s="1"/>
  <c r="E20" i="30"/>
  <c r="F20" i="30" s="1"/>
  <c r="C51" i="34"/>
  <c r="E68" i="30"/>
  <c r="F68" i="30" s="1"/>
  <c r="I57" i="30"/>
  <c r="I42" i="30"/>
  <c r="I27" i="30"/>
  <c r="E16" i="30"/>
  <c r="F16" i="30" s="1"/>
  <c r="I19" i="30"/>
  <c r="I62" i="30"/>
  <c r="I65" i="34"/>
  <c r="H58" i="34"/>
  <c r="G5" i="34"/>
  <c r="C67" i="34"/>
  <c r="C61" i="34"/>
  <c r="D26" i="34"/>
  <c r="I60" i="30"/>
  <c r="E50" i="30"/>
  <c r="F50" i="30" s="1"/>
  <c r="I45" i="30"/>
  <c r="E9" i="30"/>
  <c r="F9" i="30" s="1"/>
  <c r="I24" i="30"/>
  <c r="I39" i="30"/>
  <c r="G28" i="34"/>
  <c r="I44" i="30"/>
  <c r="G12" i="34"/>
  <c r="G11" i="34"/>
  <c r="I38" i="30"/>
  <c r="C11" i="34"/>
  <c r="G21" i="34"/>
  <c r="I21" i="34" s="1"/>
  <c r="G20" i="34"/>
  <c r="G60" i="34"/>
  <c r="C55" i="34"/>
  <c r="G35" i="34"/>
  <c r="C26" i="34"/>
  <c r="E15" i="30"/>
  <c r="F15" i="30" s="1"/>
  <c r="I47" i="34"/>
  <c r="E65" i="30"/>
  <c r="F65" i="30" s="1"/>
  <c r="I59" i="30"/>
  <c r="E46" i="30"/>
  <c r="F46" i="30" s="1"/>
  <c r="I40" i="30"/>
  <c r="E36" i="30"/>
  <c r="F36" i="30" s="1"/>
  <c r="I31" i="30"/>
  <c r="I26" i="30"/>
  <c r="H66" i="34"/>
  <c r="I66" i="34" s="1"/>
  <c r="H50" i="34"/>
  <c r="I50" i="34" s="1"/>
  <c r="H34" i="34"/>
  <c r="H18" i="34"/>
  <c r="I30" i="30"/>
  <c r="H31" i="34"/>
  <c r="D13" i="34"/>
  <c r="C24" i="34"/>
  <c r="D51" i="34"/>
  <c r="E51" i="34" s="1"/>
  <c r="F51" i="34" s="1"/>
  <c r="D46" i="34"/>
  <c r="G41" i="34"/>
  <c r="I41" i="34" s="1"/>
  <c r="C37" i="34"/>
  <c r="C27" i="34"/>
  <c r="I63" i="30"/>
  <c r="I25" i="30"/>
  <c r="E21" i="30"/>
  <c r="F21" i="30" s="1"/>
  <c r="H62" i="34"/>
  <c r="I62" i="34" s="1"/>
  <c r="H30" i="34"/>
  <c r="H61" i="34"/>
  <c r="I61" i="34" s="1"/>
  <c r="H45" i="34"/>
  <c r="I49" i="30"/>
  <c r="E31" i="30"/>
  <c r="F31" i="30" s="1"/>
  <c r="H64" i="34"/>
  <c r="I64" i="34" s="1"/>
  <c r="E45" i="30"/>
  <c r="F45" i="30" s="1"/>
  <c r="E26" i="30"/>
  <c r="F26" i="30" s="1"/>
  <c r="C6" i="34"/>
  <c r="E6" i="34" s="1"/>
  <c r="F6" i="34" s="1"/>
  <c r="D23" i="34"/>
  <c r="G31" i="34"/>
  <c r="E10" i="30"/>
  <c r="F10" i="30" s="1"/>
  <c r="G16" i="34"/>
  <c r="I16" i="34" s="1"/>
  <c r="C66" i="34"/>
  <c r="E66" i="34" s="1"/>
  <c r="F66" i="34" s="1"/>
  <c r="G45" i="34"/>
  <c r="I26" i="34"/>
  <c r="I67" i="30"/>
  <c r="E63" i="30"/>
  <c r="F63" i="30" s="1"/>
  <c r="I53" i="30"/>
  <c r="I48" i="30"/>
  <c r="E44" i="30"/>
  <c r="F44" i="30" s="1"/>
  <c r="I29" i="30"/>
  <c r="H60" i="34"/>
  <c r="H44" i="34"/>
  <c r="I44" i="34" s="1"/>
  <c r="H28" i="34"/>
  <c r="H43" i="34"/>
  <c r="H11" i="34"/>
  <c r="H42" i="34"/>
  <c r="H10" i="34"/>
  <c r="H57" i="34"/>
  <c r="I15" i="34"/>
  <c r="D7" i="34"/>
  <c r="D15" i="34"/>
  <c r="I35" i="34"/>
  <c r="E53" i="30"/>
  <c r="F53" i="30" s="1"/>
  <c r="E48" i="30"/>
  <c r="F48" i="30" s="1"/>
  <c r="C22" i="34"/>
  <c r="E22" i="34" s="1"/>
  <c r="F22" i="34" s="1"/>
  <c r="C50" i="34"/>
  <c r="E62" i="30"/>
  <c r="F62" i="30" s="1"/>
  <c r="E43" i="30"/>
  <c r="F43" i="30" s="1"/>
  <c r="E38" i="30"/>
  <c r="F38" i="30" s="1"/>
  <c r="D16" i="34"/>
  <c r="G59" i="34"/>
  <c r="I59" i="34" s="1"/>
  <c r="G49" i="34"/>
  <c r="I49" i="34" s="1"/>
  <c r="I37" i="30"/>
  <c r="I33" i="30"/>
  <c r="I23" i="30"/>
  <c r="H40" i="34"/>
  <c r="I40" i="34" s="1"/>
  <c r="H24" i="34"/>
  <c r="I17" i="34"/>
  <c r="G7" i="34"/>
  <c r="I7" i="34" s="1"/>
  <c r="H55" i="34"/>
  <c r="I55" i="34" s="1"/>
  <c r="H23" i="34"/>
  <c r="E13" i="30"/>
  <c r="F13" i="30" s="1"/>
  <c r="C64" i="34"/>
  <c r="C59" i="34"/>
  <c r="G53" i="34"/>
  <c r="I53" i="34" s="1"/>
  <c r="C49" i="34"/>
  <c r="G29" i="34"/>
  <c r="I29" i="34" s="1"/>
  <c r="I56" i="30"/>
  <c r="I51" i="30"/>
  <c r="G2" i="30"/>
  <c r="I54" i="30"/>
  <c r="H38" i="34"/>
  <c r="I15" i="30"/>
  <c r="G25" i="34"/>
  <c r="I25" i="34" s="1"/>
  <c r="G9" i="34"/>
  <c r="D53" i="34"/>
  <c r="G48" i="34"/>
  <c r="I48" i="34" s="1"/>
  <c r="I41" i="30"/>
  <c r="I32" i="30"/>
  <c r="H37" i="34"/>
  <c r="I7" i="30"/>
  <c r="E6" i="30"/>
  <c r="F6" i="30" s="1"/>
  <c r="I17" i="30"/>
  <c r="G24" i="34"/>
  <c r="D63" i="34"/>
  <c r="G58" i="34"/>
  <c r="I65" i="30"/>
  <c r="E56" i="30"/>
  <c r="F56" i="30" s="1"/>
  <c r="E51" i="30"/>
  <c r="F51" i="30" s="1"/>
  <c r="E41" i="30"/>
  <c r="F41" i="30" s="1"/>
  <c r="I36" i="30"/>
  <c r="E27" i="30"/>
  <c r="F27" i="30" s="1"/>
  <c r="H68" i="34"/>
  <c r="H52" i="34"/>
  <c r="H36" i="34"/>
  <c r="E33" i="30"/>
  <c r="F33" i="30" s="1"/>
  <c r="C2" i="30"/>
  <c r="D17" i="34"/>
  <c r="E18" i="30"/>
  <c r="F18" i="30" s="1"/>
  <c r="C65" i="34"/>
  <c r="G38" i="34"/>
  <c r="C31" i="34"/>
  <c r="E42" i="30"/>
  <c r="F42" i="30" s="1"/>
  <c r="E40" i="30"/>
  <c r="F40" i="30" s="1"/>
  <c r="G54" i="34"/>
  <c r="I54" i="34" s="1"/>
  <c r="C45" i="34"/>
  <c r="D2" i="30"/>
  <c r="E12" i="30"/>
  <c r="F12" i="30" s="1"/>
  <c r="D54" i="34"/>
  <c r="G30" i="34"/>
  <c r="E66" i="30"/>
  <c r="F66" i="30" s="1"/>
  <c r="E64" i="30"/>
  <c r="F64" i="30" s="1"/>
  <c r="E34" i="30"/>
  <c r="F34" i="30" s="1"/>
  <c r="E32" i="30"/>
  <c r="F32" i="30" s="1"/>
  <c r="E24" i="30"/>
  <c r="F24" i="30" s="1"/>
  <c r="D10" i="34"/>
  <c r="D14" i="34"/>
  <c r="C16" i="34"/>
  <c r="E19" i="30"/>
  <c r="F19" i="30" s="1"/>
  <c r="G22" i="34"/>
  <c r="I22" i="34" s="1"/>
  <c r="G14" i="34"/>
  <c r="G6" i="34"/>
  <c r="D61" i="34"/>
  <c r="E60" i="30"/>
  <c r="F60" i="30" s="1"/>
  <c r="E30" i="30"/>
  <c r="F30" i="30" s="1"/>
  <c r="E28" i="30"/>
  <c r="F28" i="30" s="1"/>
  <c r="C44" i="34"/>
  <c r="E44" i="34" s="1"/>
  <c r="F44" i="34" s="1"/>
  <c r="D27" i="34"/>
  <c r="E17" i="30"/>
  <c r="F17" i="30" s="1"/>
  <c r="D39" i="34"/>
  <c r="E54" i="30"/>
  <c r="F54" i="30" s="1"/>
  <c r="E52" i="30"/>
  <c r="F52" i="30" s="1"/>
  <c r="E23" i="30"/>
  <c r="F23" i="30" s="1"/>
  <c r="C8" i="34"/>
  <c r="E8" i="34" s="1"/>
  <c r="F8" i="34" s="1"/>
  <c r="D21" i="34"/>
  <c r="C63" i="34"/>
  <c r="E25" i="30"/>
  <c r="F25" i="30" s="1"/>
  <c r="C12" i="34"/>
  <c r="D12" i="34"/>
  <c r="E4" i="30"/>
  <c r="F4" i="30" s="1"/>
  <c r="D60" i="34"/>
  <c r="D41" i="34"/>
  <c r="D29" i="34"/>
  <c r="C56" i="34"/>
  <c r="C32" i="34"/>
  <c r="C5" i="34"/>
  <c r="C9" i="34"/>
  <c r="C13" i="34"/>
  <c r="D65" i="34"/>
  <c r="C60" i="34"/>
  <c r="C58" i="34"/>
  <c r="D55" i="34"/>
  <c r="C48" i="34"/>
  <c r="D43" i="34"/>
  <c r="C41" i="34"/>
  <c r="D36" i="34"/>
  <c r="C29" i="34"/>
  <c r="D32" i="34"/>
  <c r="D9" i="34"/>
  <c r="D52" i="34"/>
  <c r="D45" i="34"/>
  <c r="D56" i="34"/>
  <c r="C10" i="34"/>
  <c r="D25" i="34"/>
  <c r="D57" i="34"/>
  <c r="C52" i="34"/>
  <c r="D40" i="34"/>
  <c r="D33" i="34"/>
  <c r="D28" i="34"/>
  <c r="D64" i="34"/>
  <c r="C40" i="34"/>
  <c r="C28" i="34"/>
  <c r="D20" i="34"/>
  <c r="D19" i="34"/>
  <c r="D18" i="34"/>
  <c r="D4" i="34"/>
  <c r="H52" i="29"/>
  <c r="H36" i="29"/>
  <c r="H35" i="29"/>
  <c r="H61" i="29"/>
  <c r="H9" i="29"/>
  <c r="I9" i="29" s="1"/>
  <c r="H44" i="29"/>
  <c r="H28" i="29"/>
  <c r="H53" i="29"/>
  <c r="E7" i="29"/>
  <c r="F7" i="29" s="1"/>
  <c r="H20" i="29"/>
  <c r="H10" i="29"/>
  <c r="H45" i="29"/>
  <c r="H37" i="29"/>
  <c r="I15" i="28"/>
  <c r="H29" i="29"/>
  <c r="I29" i="29" s="1"/>
  <c r="H23" i="29"/>
  <c r="H63" i="29"/>
  <c r="I27" i="28"/>
  <c r="E50" i="29"/>
  <c r="F50" i="29" s="1"/>
  <c r="H47" i="29"/>
  <c r="H31" i="29"/>
  <c r="I31" i="29" s="1"/>
  <c r="I8" i="28"/>
  <c r="E24" i="29"/>
  <c r="F24" i="29" s="1"/>
  <c r="H6" i="29"/>
  <c r="C7" i="34"/>
  <c r="E58" i="29"/>
  <c r="F58" i="29" s="1"/>
  <c r="I35" i="29"/>
  <c r="I10" i="29"/>
  <c r="E52" i="29"/>
  <c r="F52" i="29" s="1"/>
  <c r="I43" i="29"/>
  <c r="E43" i="29"/>
  <c r="F43" i="29" s="1"/>
  <c r="E66" i="29"/>
  <c r="F66" i="29" s="1"/>
  <c r="D50" i="34"/>
  <c r="H41" i="29"/>
  <c r="I41" i="29" s="1"/>
  <c r="H57" i="29"/>
  <c r="I57" i="29" s="1"/>
  <c r="H49" i="29"/>
  <c r="I49" i="29" s="1"/>
  <c r="E8" i="29"/>
  <c r="F8" i="29" s="1"/>
  <c r="E14" i="29"/>
  <c r="F14" i="29" s="1"/>
  <c r="E21" i="29"/>
  <c r="F21" i="29" s="1"/>
  <c r="E20" i="29"/>
  <c r="F20" i="29" s="1"/>
  <c r="E4" i="29"/>
  <c r="F4" i="29" s="1"/>
  <c r="I25" i="29"/>
  <c r="I24" i="29"/>
  <c r="I19" i="29"/>
  <c r="H16" i="29"/>
  <c r="I16" i="29" s="1"/>
  <c r="E13" i="29"/>
  <c r="F13" i="29" s="1"/>
  <c r="H12" i="29"/>
  <c r="I12" i="29" s="1"/>
  <c r="H7" i="29"/>
  <c r="I7" i="29" s="1"/>
  <c r="E5" i="29"/>
  <c r="F5" i="29" s="1"/>
  <c r="C4" i="34"/>
  <c r="H2" i="28"/>
  <c r="I2" i="28" s="1"/>
  <c r="E2" i="28"/>
  <c r="F2" i="28" s="1"/>
  <c r="E48" i="29"/>
  <c r="F48" i="29" s="1"/>
  <c r="I65" i="29"/>
  <c r="I5" i="29"/>
  <c r="I6" i="29"/>
  <c r="C20" i="34"/>
  <c r="E55" i="29"/>
  <c r="F55" i="29" s="1"/>
  <c r="E49" i="29"/>
  <c r="F49" i="29" s="1"/>
  <c r="I40" i="29"/>
  <c r="I34" i="29"/>
  <c r="E9" i="29"/>
  <c r="F9" i="29" s="1"/>
  <c r="E67" i="29"/>
  <c r="F67" i="29" s="1"/>
  <c r="E59" i="29"/>
  <c r="F59" i="29" s="1"/>
  <c r="I38" i="29"/>
  <c r="I56" i="29"/>
  <c r="I52" i="29"/>
  <c r="E40" i="29"/>
  <c r="F40" i="29" s="1"/>
  <c r="I27" i="29"/>
  <c r="C21" i="34"/>
  <c r="I66" i="29"/>
  <c r="I62" i="29"/>
  <c r="I60" i="29"/>
  <c r="I54" i="29"/>
  <c r="I50" i="29"/>
  <c r="E42" i="29"/>
  <c r="F42" i="29" s="1"/>
  <c r="I15" i="29"/>
  <c r="C14" i="34"/>
  <c r="E56" i="29"/>
  <c r="F56" i="29" s="1"/>
  <c r="E46" i="29"/>
  <c r="F46" i="29" s="1"/>
  <c r="E31" i="29"/>
  <c r="F31" i="29" s="1"/>
  <c r="I55" i="29"/>
  <c r="I47" i="29"/>
  <c r="E37" i="29"/>
  <c r="F37" i="29" s="1"/>
  <c r="I26" i="29"/>
  <c r="I67" i="29"/>
  <c r="I59" i="29"/>
  <c r="I51" i="29"/>
  <c r="I32" i="29"/>
  <c r="I33" i="29"/>
  <c r="I21" i="29"/>
  <c r="I68" i="29"/>
  <c r="I20" i="29"/>
  <c r="I46" i="29"/>
  <c r="I18" i="29"/>
  <c r="I37" i="29"/>
  <c r="I64" i="29"/>
  <c r="I23" i="29"/>
  <c r="I36" i="29"/>
  <c r="I4" i="29"/>
  <c r="E17" i="29"/>
  <c r="F17" i="29" s="1"/>
  <c r="D24" i="34"/>
  <c r="E30" i="29"/>
  <c r="F30" i="29" s="1"/>
  <c r="E10" i="29"/>
  <c r="F10" i="29" s="1"/>
  <c r="E35" i="29"/>
  <c r="F35" i="29" s="1"/>
  <c r="E15" i="29"/>
  <c r="F15" i="29" s="1"/>
  <c r="E68" i="29"/>
  <c r="F68" i="29" s="1"/>
  <c r="D5" i="34"/>
  <c r="E6" i="29"/>
  <c r="F6" i="29" s="1"/>
  <c r="D2" i="29"/>
  <c r="E11" i="29"/>
  <c r="F11" i="29" s="1"/>
  <c r="E22" i="29"/>
  <c r="F22" i="29" s="1"/>
  <c r="E63" i="29"/>
  <c r="F63" i="29" s="1"/>
  <c r="E41" i="29"/>
  <c r="F41" i="29" s="1"/>
  <c r="E32" i="29"/>
  <c r="F32" i="29" s="1"/>
  <c r="D58" i="34"/>
  <c r="D42" i="34"/>
  <c r="D11" i="34"/>
  <c r="E54" i="29"/>
  <c r="F54" i="29" s="1"/>
  <c r="E38" i="29"/>
  <c r="F38" i="29" s="1"/>
  <c r="D67" i="34"/>
  <c r="D49" i="34"/>
  <c r="E12" i="29"/>
  <c r="F12" i="29" s="1"/>
  <c r="E23" i="29"/>
  <c r="F23" i="29" s="1"/>
  <c r="E18" i="29"/>
  <c r="F18" i="29" s="1"/>
  <c r="E64" i="29"/>
  <c r="F64" i="29" s="1"/>
  <c r="E47" i="29"/>
  <c r="F47" i="29" s="1"/>
  <c r="D59" i="34"/>
  <c r="D31" i="34"/>
  <c r="E33" i="29"/>
  <c r="F33" i="29" s="1"/>
  <c r="D48" i="34"/>
  <c r="E65" i="29"/>
  <c r="F65" i="29" s="1"/>
  <c r="E47" i="34"/>
  <c r="F47" i="34" s="1"/>
  <c r="E36" i="29"/>
  <c r="F36" i="29" s="1"/>
  <c r="E28" i="29"/>
  <c r="F28" i="29" s="1"/>
  <c r="D37" i="34"/>
  <c r="E25" i="29"/>
  <c r="F25" i="29" s="1"/>
  <c r="E19" i="29"/>
  <c r="F19" i="29" s="1"/>
  <c r="E53" i="29"/>
  <c r="F53" i="29" s="1"/>
  <c r="E34" i="29"/>
  <c r="F34" i="29" s="1"/>
  <c r="C43" i="34"/>
  <c r="I63" i="29"/>
  <c r="E62" i="29"/>
  <c r="F62" i="29" s="1"/>
  <c r="G68" i="34"/>
  <c r="C68" i="34"/>
  <c r="E68" i="34" s="1"/>
  <c r="F68" i="34" s="1"/>
  <c r="I53" i="29"/>
  <c r="C53" i="34"/>
  <c r="G46" i="34"/>
  <c r="I46" i="34" s="1"/>
  <c r="C46" i="34"/>
  <c r="I45" i="29"/>
  <c r="E45" i="29"/>
  <c r="F45" i="29" s="1"/>
  <c r="I44" i="29"/>
  <c r="E44" i="29"/>
  <c r="F44" i="29" s="1"/>
  <c r="E39" i="29"/>
  <c r="F39" i="29" s="1"/>
  <c r="I42" i="29"/>
  <c r="E26" i="29"/>
  <c r="F26" i="29" s="1"/>
  <c r="C25" i="34"/>
  <c r="G23" i="34"/>
  <c r="C23" i="34"/>
  <c r="E60" i="29"/>
  <c r="F60" i="29" s="1"/>
  <c r="I58" i="29"/>
  <c r="G57" i="34"/>
  <c r="E57" i="29"/>
  <c r="F57" i="29" s="1"/>
  <c r="I22" i="29"/>
  <c r="C19" i="34"/>
  <c r="G18" i="34"/>
  <c r="I18" i="34" s="1"/>
  <c r="C18" i="34"/>
  <c r="E16" i="29"/>
  <c r="F16" i="29" s="1"/>
  <c r="H14" i="29"/>
  <c r="I14" i="29" s="1"/>
  <c r="H13" i="29"/>
  <c r="I13" i="29" s="1"/>
  <c r="H11" i="29"/>
  <c r="I11" i="29" s="1"/>
  <c r="G37" i="34"/>
  <c r="G36" i="34"/>
  <c r="C36" i="34"/>
  <c r="C2" i="29"/>
  <c r="C35" i="34"/>
  <c r="C34" i="34"/>
  <c r="E34" i="34" s="1"/>
  <c r="F34" i="34" s="1"/>
  <c r="C33" i="34"/>
  <c r="G2" i="29"/>
  <c r="I30" i="29"/>
  <c r="E29" i="29"/>
  <c r="F29" i="29" s="1"/>
  <c r="I28" i="29"/>
  <c r="I61" i="29"/>
  <c r="E61" i="29"/>
  <c r="F61" i="29" s="1"/>
  <c r="E51" i="29"/>
  <c r="F51" i="29" s="1"/>
  <c r="E27" i="29"/>
  <c r="F27" i="29" s="1"/>
  <c r="H2" i="27"/>
  <c r="I2" i="27" s="1"/>
  <c r="I48" i="29"/>
  <c r="J2" i="27"/>
  <c r="E2" i="27"/>
  <c r="F2" i="27" s="1"/>
  <c r="E35" i="34" l="1"/>
  <c r="F35" i="34" s="1"/>
  <c r="I5" i="30"/>
  <c r="I34" i="34"/>
  <c r="I42" i="34"/>
  <c r="E54" i="34"/>
  <c r="F54" i="34" s="1"/>
  <c r="E21" i="34"/>
  <c r="F21" i="34" s="1"/>
  <c r="E38" i="34"/>
  <c r="F38" i="34" s="1"/>
  <c r="E55" i="34"/>
  <c r="F55" i="34" s="1"/>
  <c r="E39" i="34"/>
  <c r="F39" i="34" s="1"/>
  <c r="I5" i="34"/>
  <c r="I43" i="34"/>
  <c r="I52" i="34"/>
  <c r="I14" i="34"/>
  <c r="I16" i="30"/>
  <c r="I14" i="30"/>
  <c r="I11" i="34"/>
  <c r="I6" i="34"/>
  <c r="H9" i="34"/>
  <c r="I9" i="34" s="1"/>
  <c r="I6" i="30"/>
  <c r="I10" i="34"/>
  <c r="I4" i="34"/>
  <c r="E30" i="34"/>
  <c r="F30" i="34" s="1"/>
  <c r="E26" i="34"/>
  <c r="F26" i="34" s="1"/>
  <c r="E17" i="34"/>
  <c r="F17" i="34" s="1"/>
  <c r="E52" i="34"/>
  <c r="F52" i="34" s="1"/>
  <c r="E27" i="34"/>
  <c r="F27" i="34" s="1"/>
  <c r="E18" i="34"/>
  <c r="F18" i="34" s="1"/>
  <c r="E62" i="34"/>
  <c r="F62" i="34" s="1"/>
  <c r="E16" i="34"/>
  <c r="F16" i="34" s="1"/>
  <c r="I4" i="30"/>
  <c r="H2" i="30"/>
  <c r="I2" i="30" s="1"/>
  <c r="I37" i="34"/>
  <c r="E32" i="34"/>
  <c r="F32" i="34" s="1"/>
  <c r="I8" i="30"/>
  <c r="H13" i="34"/>
  <c r="I13" i="34" s="1"/>
  <c r="E67" i="34"/>
  <c r="F67" i="34" s="1"/>
  <c r="I20" i="34"/>
  <c r="E57" i="34"/>
  <c r="F57" i="34" s="1"/>
  <c r="I12" i="34"/>
  <c r="I28" i="34"/>
  <c r="I30" i="34"/>
  <c r="E11" i="34"/>
  <c r="F11" i="34" s="1"/>
  <c r="E41" i="34"/>
  <c r="F41" i="34" s="1"/>
  <c r="E12" i="34"/>
  <c r="F12" i="34" s="1"/>
  <c r="E61" i="34"/>
  <c r="F61" i="34" s="1"/>
  <c r="I45" i="34"/>
  <c r="E5" i="34"/>
  <c r="F5" i="34" s="1"/>
  <c r="I60" i="34"/>
  <c r="E50" i="34"/>
  <c r="F50" i="34" s="1"/>
  <c r="I24" i="34"/>
  <c r="E15" i="34"/>
  <c r="F15" i="34" s="1"/>
  <c r="E42" i="34"/>
  <c r="F42" i="34" s="1"/>
  <c r="E7" i="34"/>
  <c r="F7" i="34" s="1"/>
  <c r="E2" i="30"/>
  <c r="F2" i="30" s="1"/>
  <c r="E23" i="34"/>
  <c r="F23" i="34" s="1"/>
  <c r="E45" i="34"/>
  <c r="F45" i="34" s="1"/>
  <c r="E63" i="34"/>
  <c r="F63" i="34" s="1"/>
  <c r="E20" i="34"/>
  <c r="F20" i="34" s="1"/>
  <c r="E64" i="34"/>
  <c r="F64" i="34" s="1"/>
  <c r="E46" i="34"/>
  <c r="F46" i="34" s="1"/>
  <c r="E13" i="34"/>
  <c r="F13" i="34" s="1"/>
  <c r="E4" i="34"/>
  <c r="F4" i="34" s="1"/>
  <c r="E10" i="34"/>
  <c r="F10" i="34" s="1"/>
  <c r="I38" i="34"/>
  <c r="E40" i="34"/>
  <c r="F40" i="34" s="1"/>
  <c r="I58" i="34"/>
  <c r="E36" i="34"/>
  <c r="F36" i="34" s="1"/>
  <c r="E31" i="34"/>
  <c r="F31" i="34" s="1"/>
  <c r="E65" i="34"/>
  <c r="F65" i="34" s="1"/>
  <c r="E33" i="34"/>
  <c r="F33" i="34" s="1"/>
  <c r="E9" i="34"/>
  <c r="F9" i="34" s="1"/>
  <c r="E53" i="34"/>
  <c r="F53" i="34" s="1"/>
  <c r="E49" i="34"/>
  <c r="F49" i="34" s="1"/>
  <c r="I57" i="34"/>
  <c r="E24" i="34"/>
  <c r="F24" i="34" s="1"/>
  <c r="I31" i="34"/>
  <c r="E48" i="34"/>
  <c r="F48" i="34" s="1"/>
  <c r="E59" i="34"/>
  <c r="F59" i="34" s="1"/>
  <c r="I68" i="34"/>
  <c r="E28" i="34"/>
  <c r="F28" i="34" s="1"/>
  <c r="E60" i="34"/>
  <c r="F60" i="34" s="1"/>
  <c r="I23" i="34"/>
  <c r="I36" i="34"/>
  <c r="E43" i="34"/>
  <c r="F43" i="34" s="1"/>
  <c r="E14" i="34"/>
  <c r="F14" i="34" s="1"/>
  <c r="E25" i="34"/>
  <c r="F25" i="34" s="1"/>
  <c r="E56" i="34"/>
  <c r="F56" i="34" s="1"/>
  <c r="E29" i="34"/>
  <c r="F29" i="34" s="1"/>
  <c r="E19" i="34"/>
  <c r="F19" i="34" s="1"/>
  <c r="E58" i="34"/>
  <c r="F58" i="34" s="1"/>
  <c r="C2" i="34"/>
  <c r="D2" i="34"/>
  <c r="E37" i="34"/>
  <c r="F37" i="34" s="1"/>
  <c r="E2" i="29"/>
  <c r="F2" i="29" s="1"/>
  <c r="G2" i="34"/>
  <c r="H2" i="29"/>
  <c r="I2" i="29" s="1"/>
  <c r="E2" i="34" l="1"/>
  <c r="F2" i="34" s="1"/>
  <c r="H2" i="34"/>
  <c r="I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<sst xmlns="http://schemas.openxmlformats.org/spreadsheetml/2006/main" count="896" uniqueCount="448">
  <si>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</si>
  <si>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</si>
  <si>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</si>
  <si>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</si>
  <si>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</si>
  <si>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</si>
  <si>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</si>
  <si>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</si>
  <si>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</si>
  <si>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</si>
  <si>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</si>
  <si>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</si>
  <si>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</si>
  <si>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</si>
  <si>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</si>
  <si>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</si>
  <si>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</si>
  <si>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</si>
  <si>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</si>
  <si>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</si>
  <si>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</si>
  <si>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</si>
  <si>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Site tripped offline due to a utility outage at 10pm on 01/09 and came back online at 3pm on 01/10.</t>
  </si>
  <si>
    <t>1. SR080112</t>
  </si>
  <si>
    <t>1. Inverter 3 is offline from 01/01 to 01/03</t>
  </si>
  <si>
    <t>1. SR079771</t>
  </si>
  <si>
    <t>1. Site offline for module replacement work</t>
  </si>
  <si>
    <t>1. SR078556</t>
  </si>
  <si>
    <t>1. Inverter is offline from 01/07 to 01/26</t>
  </si>
  <si>
    <t>1. SR080006</t>
  </si>
  <si>
    <t>1. Inverter is offline from 12/17 to 01/19.</t>
  </si>
  <si>
    <t>1. SR079528</t>
  </si>
  <si>
    <t>1. Inverter 1 multiple times tripped offline</t>
  </si>
  <si>
    <t>1. SR079062</t>
  </si>
  <si>
    <t>1.  Inverter is frequentley offline &amp; reporting "AC current Imbalance".</t>
  </si>
  <si>
    <t>1. SR078291</t>
  </si>
  <si>
    <t>February Actual v. Expected</t>
  </si>
  <si>
    <t>February Actual v. Forecasted</t>
  </si>
  <si>
    <t xml:space="preserve">1. Inverter 7 offline due to "Grid Contactor Open from 02/19 to 02/29
</t>
  </si>
  <si>
    <t xml:space="preserve">1. SR081105
</t>
  </si>
  <si>
    <t>1.  Inverter tripping offline  and reporting "Coolant temperature" for multiple days</t>
  </si>
  <si>
    <t>1. SR080696</t>
  </si>
  <si>
    <t>March Actual v. Expected</t>
  </si>
  <si>
    <t>March Actual v. Forecasted</t>
  </si>
  <si>
    <t xml:space="preserve">1. Inverter is offline throughout the month. </t>
  </si>
  <si>
    <t xml:space="preserve">1. Inverter was offline for multiple days. </t>
  </si>
  <si>
    <t>1.SR078291</t>
  </si>
  <si>
    <t>April Actual v. Expected</t>
  </si>
  <si>
    <t>April Actual v. Forecasted</t>
  </si>
  <si>
    <t xml:space="preserve">1.Inverter was offline from 04/01 to 04/03 &amp; back online at 04/04. 
2.Inverter is offline on 04/21 &amp; continued throught the month. </t>
  </si>
  <si>
    <t>1.SR083032
2.SR083661</t>
  </si>
  <si>
    <t>1.Site stopped comms &amp; modem is offline from 04/27 no visibility to monitor equipment or inverter.</t>
  </si>
  <si>
    <t>1.SR083320</t>
  </si>
  <si>
    <t xml:space="preserve">1.inverter is offline from  04/01 &amp; back online on 04/05 at 10:20. </t>
  </si>
  <si>
    <t>1.SR081552</t>
  </si>
  <si>
    <t>May Actual v. Expected</t>
  </si>
  <si>
    <t>May Actual v. Forecasted</t>
  </si>
  <si>
    <t>1. Inverter is offline from 04/21 and is back online on 05/20 at 10:00am.</t>
  </si>
  <si>
    <t>1. SR083661</t>
  </si>
  <si>
    <t>1. Site is communicating from 05/03 at 9:25am and no visibility to monitor equipment or inverter.</t>
  </si>
  <si>
    <t>1. SR083320</t>
  </si>
  <si>
    <t>1. The inverter tripped offline at 11:45am and back online at 3:45pm on 05/21 and having multiple tripping events.</t>
  </si>
  <si>
    <t>1. 	SR084948</t>
  </si>
  <si>
    <t>June Actual v. Expected</t>
  </si>
  <si>
    <t>June Actual v. Forecasted</t>
  </si>
  <si>
    <t>1. Meter was stopped reporting from 6/17 at 7:00 AM and still no communication, due to that the actual generation values were low</t>
  </si>
  <si>
    <t>1. SR086338</t>
  </si>
  <si>
    <t>1. Site tripped offline at 01:05PM on 06/15 and back online at 2:20PM on 06/15</t>
  </si>
  <si>
    <t>1. 	SR086266</t>
  </si>
  <si>
    <t>1. Inverter 3 offline from 07:30AM on 06/08 and back online at 07:30AM on 06/11
Inverter again offline from 07:30AM on 06/18 and back online at 07:35AM on 06/22 and also Inverter again offline from 06/23 
2. Inverter 1 tripped offline at 07:00AM on 06/28 and back online at 07:00AM on 06/30. and also Inverter 1 again tripped offline at on 06/30 and back online at on 07/03.</t>
  </si>
  <si>
    <t>1. 	SR087100
2. SR087100</t>
  </si>
  <si>
    <t>1. Meter was stopped reporting from 12:05PM on 06/04 and again started reporting from 11:30AM on 06/19</t>
  </si>
  <si>
    <t>1. SR085729</t>
  </si>
  <si>
    <t>1. Inverter was offline from 10:25AM to 12:10PM on 06/20.
2. Inverter was offline from 13:35 to 16:45 on 06/21.
3. Inverter tripped offline at 16:10 on 06/22 and back online at 08:15AM on 06/23</t>
  </si>
  <si>
    <t>1. SR086482
2. SR086612
3. SR086720</t>
  </si>
  <si>
    <t>1. Inverter 10 was offline on 06/17 and is being RMA'd 
2. Inverter 20 was offline from 06/27</t>
  </si>
  <si>
    <t>1. SR086339,SR086973
2. SR087029</t>
  </si>
  <si>
    <t>July Actual v. Expected</t>
  </si>
  <si>
    <t>July Actual v. Forecasted</t>
  </si>
  <si>
    <t>1.Inverter 5 tripped offline at 10:40am on 07/12 and back online at 3:30pm on 07/22. 
2.Meter has not communicated from 06/17 and regained its communication on 07/13. Again meter stopped communicating on 07/23 and regained communication on 07/30.</t>
  </si>
  <si>
    <t>1.SR087625
2.SR086338</t>
  </si>
  <si>
    <t>1.Inverter was taken offline from 12:20 on 07/15 to 14:50 on 07/15.</t>
  </si>
  <si>
    <t>1.PM8439</t>
  </si>
  <si>
    <t>1.Inverter 3 offline from 07/01 and back online at 07:35AM on 07/02.
2.Inverter 1 offline from 07/01 and back online at 02:40PM on 07/03.
3.Inverter 2 is offline on 07/16 and back online on 07/17 and also again offline on 07/19 and back online on 07/20.</t>
  </si>
  <si>
    <t>1.SR087100
2.SR087100
3.SR087740</t>
  </si>
  <si>
    <t>1.Inverter have multiple tripping events through out the month.</t>
  </si>
  <si>
    <t>1.SR087422</t>
  </si>
  <si>
    <t>1.Inverter tripped offline at 03:20PM on 07/17 and back online at 4:25PM on same day.</t>
  </si>
  <si>
    <t>1.SR087851</t>
  </si>
  <si>
    <t>1.site is underperforming compared to previous year by about 2.5%, and peak power is about 9% low</t>
  </si>
  <si>
    <t>1.SR087900</t>
  </si>
  <si>
    <t xml:space="preserve">1.Inverter 20 offline from 07/01 and back online on 07/19 at 10:15AM and also again offline from 07/22.
2.Inverter 10 offline from 07/01 and is being RMA'd </t>
  </si>
  <si>
    <t>1.SR087994
2.SR086339,SR086973</t>
  </si>
  <si>
    <t>1.Inverter tripped offline at 2:40 on 07/10 and back online at 04:20PM.</t>
  </si>
  <si>
    <t>1.SR087560</t>
  </si>
  <si>
    <t>1.Site tripped offline on 07/09 at 06:20AM and back online at 12:45PM on 07/10.</t>
  </si>
  <si>
    <t>1.SR087539</t>
  </si>
  <si>
    <t>August Actual v. Expected</t>
  </si>
  <si>
    <t>August Actual v. Forecasted</t>
  </si>
  <si>
    <t>1.Inverter 5 underperforming ~10kW, possibly 2 strings down.</t>
  </si>
  <si>
    <t>1.SR089711</t>
  </si>
  <si>
    <t>1.Inverter frequently tripping on and off and reporting Erroneous values  from 08/08</t>
  </si>
  <si>
    <t>1.Site stopped communicating at 01:05 PM on 08/30, thermal damage to A and C phase blades and conductors in the AC Disconnect. The disconnect has been left in the off position.</t>
  </si>
  <si>
    <t>1.SR089765</t>
  </si>
  <si>
    <t xml:space="preserve">1.Site tripped offline at 09:30 Am On 08/12 , inverter voltages are dropped to zero but meter voltages are available </t>
  </si>
  <si>
    <t>1.SR088924</t>
  </si>
  <si>
    <t>1.site tripped offline at 9:05am on 08/17 till date</t>
  </si>
  <si>
    <t>1.SR089189</t>
  </si>
  <si>
    <t>1.Inverter 1 Pad 1 is back online at 14:40 on 08/02
2.Inverter 1 pad 1 and inverter 2 pad 1 were offline from 16:25 on 08/07 and back online at 15:30 on 08/19</t>
  </si>
  <si>
    <t>1.SR088545
2.SR088546</t>
  </si>
  <si>
    <t xml:space="preserve">1.Inverter Pad 2 Offline is offline from 08/01 and back online from 13:35 on 08/14
2.Inverter Pad 1 is offline from 08/25 and back online on 08/27 at 09:30
</t>
  </si>
  <si>
    <t xml:space="preserve">1.SR089022
2.SR089518
</t>
  </si>
  <si>
    <t>1.Inverter 2 Pad b is offline from 08/01 and inverter 1 pad b has tripped offline on 08/14 at 16:00 and inverter 1 pad b is back online on 08/23 at 14:05 &amp; inverter 2 pad A is offline on 08/25 through out the month</t>
  </si>
  <si>
    <t>1.SR088247, SR089669</t>
  </si>
  <si>
    <t>1.Site is online from 08/15 at 08:50</t>
  </si>
  <si>
    <t>1.SR089051</t>
  </si>
  <si>
    <t>1.Site is back online on 08/28</t>
  </si>
  <si>
    <t>1.SR089027</t>
  </si>
  <si>
    <t>1.Site back online on 08/15 at 13:05</t>
  </si>
  <si>
    <t>1.SR089028</t>
  </si>
  <si>
    <t>1.No communication to DAS, need a replacement needed for meter and modem</t>
  </si>
  <si>
    <t>1.SR089464</t>
  </si>
  <si>
    <t>1.Inverter 3 is offline throughout the month</t>
  </si>
  <si>
    <t>1.SR089460</t>
  </si>
  <si>
    <t>1.Site is back online on 08/15 at 13:15</t>
  </si>
  <si>
    <t>1.SR089031</t>
  </si>
  <si>
    <t>1.Inverters 3 &amp; 8 are offline through out the month</t>
  </si>
  <si>
    <t>1.SR089461</t>
  </si>
  <si>
    <t>1.Weather station is not communicating through out the month</t>
  </si>
  <si>
    <t>1.SR085968</t>
  </si>
  <si>
    <t xml:space="preserve">1.Weather station is not communicating through out the month
2.Inverter 2 offline through out the month
</t>
  </si>
  <si>
    <t>1.SR089470
2.SR089470</t>
  </si>
  <si>
    <t>1.Inverters A and B are offline through out the month, Pad C inverters 2 and 3 trip offline frequently</t>
  </si>
  <si>
    <t>1.SR089612</t>
  </si>
  <si>
    <t>1. Inverter 3 is being RMA'd (inverter 3 is offline from 08/19)</t>
  </si>
  <si>
    <t>1. SR086220</t>
  </si>
  <si>
    <t>1. Inverter 1 was not communicatig and inverter 3, 4 were offline.</t>
  </si>
  <si>
    <t>1. 	SR082817</t>
  </si>
  <si>
    <t>1. Weather station is reporting 0w/m2</t>
  </si>
  <si>
    <t>No SR</t>
  </si>
  <si>
    <t>1. Inverter 1 and 2 were offline from 08/01 and back online on 08/02 at 12:05pm</t>
  </si>
  <si>
    <t>1. SR089555</t>
  </si>
  <si>
    <t>1. Site offline through out the month</t>
  </si>
  <si>
    <t>1.SR080516</t>
  </si>
  <si>
    <t>1.Site is offline since 8/4</t>
  </si>
  <si>
    <t>1.SR089473</t>
  </si>
  <si>
    <t>1. Inverters 3, 7, 10, 11, 14, and 21 are offline for whole month.</t>
  </si>
  <si>
    <t>1. SR089474</t>
  </si>
  <si>
    <t>1. Inverters 3, 7 and 2 were offline for whole month</t>
  </si>
  <si>
    <t>1.Inverter 1 is back online on 09/04 at 15:00 inverter 2 offline for whole month</t>
  </si>
  <si>
    <t>1.SR089732</t>
  </si>
  <si>
    <t xml:space="preserve">1. Site was offline from 08/01 to 08/02 and again site tripped offline on 08/07 and back online on 08/08 site tripped offline on 08/16 and backonline on 08/20 and site tripped offline on 08/23. </t>
  </si>
  <si>
    <t>1. SR088795</t>
  </si>
  <si>
    <t xml:space="preserve">1. Inverter 1 being replaced and inverter 2 logic board being replaced. </t>
  </si>
  <si>
    <t>1. 	SR089732</t>
  </si>
  <si>
    <t>1. Site was not communicated from 08/01 to 08/15 and again site stopped communicating on 08/17.</t>
  </si>
  <si>
    <t>1. SR087889, SR088675</t>
  </si>
  <si>
    <t>1. Site is offline since 08/17. 
2. Inverter 1 was offline for whole month.</t>
  </si>
  <si>
    <t>1. SR089260
2. 	SR082867</t>
  </si>
  <si>
    <t>September Actual v. Expected</t>
  </si>
  <si>
    <t>September Actual v. Forecasted</t>
  </si>
  <si>
    <t>1.Site is back online on 09/27/2024</t>
  </si>
  <si>
    <t xml:space="preserve">1.Site tripped offline from 10:35 to 11:45 on 09/26/2024 </t>
  </si>
  <si>
    <t xml:space="preserve">1.SR090362	</t>
  </si>
  <si>
    <t>1.Inverter 2 pad (A&amp;B) and inverter 1 pad B offline whole month</t>
  </si>
  <si>
    <t>1. Inverter 2 pad A is offline from 08/25 and also Inverter 1 pad B offline from 9/10 through out the month</t>
  </si>
  <si>
    <t>1.SR089669</t>
  </si>
  <si>
    <t>1.SR089461,SR090375</t>
  </si>
  <si>
    <t>1.SR089470</t>
  </si>
  <si>
    <t>1.Inverters A and B are offline through out the month, Pad C inverters 2 and 3 trip offline frequently
2.Weather station stopped communicating since 9/11 through out the month.</t>
  </si>
  <si>
    <t>1.	SR089612
2.SR090298</t>
  </si>
  <si>
    <t>1.Inverter 3 is being RMA'd (inverter 3 is offline from 08/19)
2.Pyranometer has been giving bad readings. Prior to 9/25, the pyranometer read at most 450 W/m2. Since then, readings are between 950 and 400 W/m2
3.weather station 1 is offline</t>
  </si>
  <si>
    <t>1.SR086220
2.SR091312
3.SR090659</t>
  </si>
  <si>
    <t>1.Inverter 1 was not communicatig and inverter 3, 4 were offline.</t>
  </si>
  <si>
    <t>1.	SR090378</t>
  </si>
  <si>
    <t>1.Weather station is reporting 0w/m2</t>
  </si>
  <si>
    <t>1.Inverter trips on and offline frequently</t>
  </si>
  <si>
    <t>1.SR090965</t>
  </si>
  <si>
    <t>1.Site back online on 9/5 at 02:00pm</t>
  </si>
  <si>
    <t>1.Inverters 1 &amp; 2 were left offline due to AC surge warnings</t>
  </si>
  <si>
    <t>1.SR090053</t>
  </si>
  <si>
    <t>1. Weather station does not report irradiance during the day. Likely a faulty pyranometer through out the month.</t>
  </si>
  <si>
    <t>1.	SR090293</t>
  </si>
  <si>
    <t>1.Inverters 3, 7, 10, 11, 14, and 21 are offline. Inverter 2 may have a string down through out the month</t>
  </si>
  <si>
    <t>1.	SR090381,SR090380
SR089474</t>
  </si>
  <si>
    <t>1.Inverters 3, 7, and 12 are offline through out month</t>
  </si>
  <si>
    <t>1.SR089477</t>
  </si>
  <si>
    <t>1.Inverter 1 offline from 9/14 back online on 9/19</t>
  </si>
  <si>
    <t>1.	SR090519</t>
  </si>
  <si>
    <t>1.Site back online on 9/21</t>
  </si>
  <si>
    <t>1.SR088795</t>
  </si>
  <si>
    <t>1.Site back online on 9/4
2.Inverter 3 offline from 9/6 back online on 9/12 at 13:40
3.Site offline from 9/24</t>
  </si>
  <si>
    <t>1. SR087889, SR088675
2.SR090295
3.	SR091141</t>
  </si>
  <si>
    <t xml:space="preserve">1.Site back online on 9/4
2.Inverter 1 offline from 9/4 through out the month
</t>
  </si>
  <si>
    <t>1.	SR089260
2.SR090296</t>
  </si>
  <si>
    <t>October Actual v. Expected</t>
  </si>
  <si>
    <t>October Actual v. Forecasted</t>
  </si>
  <si>
    <t>1. Inverter tripped offline at 17:45 on 10/03 and back online at 07:00AM on 10/04.</t>
  </si>
  <si>
    <t>1. SR091028</t>
  </si>
  <si>
    <t>1. Weather station reporting erroneous values from 10/11.
2. Site was not communicating from 10/25.</t>
  </si>
  <si>
    <t>1. SR092099
2. SR091792</t>
  </si>
  <si>
    <t>1. Inverter tripped offline  10/14, 10/15,10/16,10/25,10/26,10/27 and 10/28.</t>
  </si>
  <si>
    <t>1. SR092131, SR092936</t>
  </si>
  <si>
    <t>1. Meter production dropped at 11:00 10/11/24 and back online on 10/15/24.</t>
  </si>
  <si>
    <t>1. SR092067</t>
  </si>
  <si>
    <t xml:space="preserve">1.Site tripped offline at 09:30 AM on 08/12 , inverter voltages are dropped to zero but meter voltages are available </t>
  </si>
  <si>
    <t>1.Site tripped offline at 9:05am on 08/17 till date</t>
  </si>
  <si>
    <t>1.Inverter 1 offline from 10/19 through out the month.</t>
  </si>
  <si>
    <t>1.SR092376</t>
  </si>
  <si>
    <t>1.Inverter 2 pad (A&amp;B) and inverter 1 pad B back online on 10/28</t>
  </si>
  <si>
    <t>1. Meter is not capturing production. But we can confirm production at inverter level through out the month</t>
  </si>
  <si>
    <t>1.	SR091550</t>
  </si>
  <si>
    <t>1. Inverter tripped offline at 09:25AM on 10/20/2024 and back online at 08:25AM on 10/21/2024.</t>
  </si>
  <si>
    <t>1. SR092375</t>
  </si>
  <si>
    <t>1. SR092023, SR089707</t>
  </si>
  <si>
    <t>1. Inverter 3 tripped offline at 07:05PM on 03/31/2024 and back online at 2:00PM on 10/25/2024.</t>
  </si>
  <si>
    <t>1. Weather station is not communicating through out the month.</t>
  </si>
  <si>
    <t>1. SR092276</t>
  </si>
  <si>
    <t>1.Weather station is not communicating through out the month.
2. Pad 1 inverter 1 and 2 have no communication nor its respective meter and pad 2 the inverter 1 is not communicating but production is at the meter.</t>
  </si>
  <si>
    <t xml:space="preserve">1.SR085968
2. SR092256, SR090090 </t>
  </si>
  <si>
    <t>1. SR089470</t>
  </si>
  <si>
    <t xml:space="preserve">1.Inverters A and B are offline through out the month, Pad C inverters 2 and 3 trip offline frequently
2.Weather station stopped communicating since 9/11 through out the month.
</t>
  </si>
  <si>
    <t>1.SR089612
2.SR090298</t>
  </si>
  <si>
    <t xml:space="preserve">1.Inverter 3 is being RMA'd (inverter 3 is offline from 08/19)
2.Pyranometer has been giving bad readings. Prior to 9/25, the pyranometer read at most 450 W/m2. Since then, readings are between 950 and 400 W/m2
</t>
  </si>
  <si>
    <t>1.SR086220
2.SR091312</t>
  </si>
  <si>
    <t xml:space="preserve">1. Inverter 2 tripped offline at 7 AM and back online at 02:15PM on 10/29/2024.
2. The Site is underperforming by approximately 50kW, when comparing similar irradiance days from this year to last year around the same time period.
</t>
  </si>
  <si>
    <t>1. SR092737
2. SR092045</t>
  </si>
  <si>
    <t>1.Inverter trips on and offline frequently.</t>
  </si>
  <si>
    <t>1. 23 Modules need to be replace.</t>
  </si>
  <si>
    <t>1. SR090734</t>
  </si>
  <si>
    <t>1. Inverter 1 is offline through out the month and inverter 2 tripped offine at 12:15PM on 09/13/24 and back online at 8:45AM on 10/18/24.</t>
  </si>
  <si>
    <t>1. SR090053</t>
  </si>
  <si>
    <t>1. SR089474, SR090381, SR090380</t>
  </si>
  <si>
    <t>1. SR089477</t>
  </si>
  <si>
    <t>1. Due to technician dispacth site tripped offline on 10/30 from 09:50AM to 10:20AM.</t>
  </si>
  <si>
    <t xml:space="preserve">1. SR089732
</t>
  </si>
  <si>
    <t>1. Site tripped offline at 7:35 AM on 09/24 and back online at 1:00PM on 10/02/24.
2. Site tripped offline at 8:35PM on 10/04 and back online at 08:50AM on 10/09/24.
3. Inverter 1 is underperforming 130KW compared to its peers.</t>
  </si>
  <si>
    <t>1. SR091141
2. SR091814
3. SR092170</t>
  </si>
  <si>
    <t>1. Inverter 1 is offline from 9/06 and back online 10/10, again tripped offline at 11:55AM on 10/15 and back online on 10/16.
2. Site is offline from 6:45AM to 12:45PM on 10/02/24
3. Site tripped offline at 11:55AM on 10/15/24 and back online at 9:25AM on 10/16/24.
4. Inverter 2 is underperforming  130KW compared to its peers.</t>
  </si>
  <si>
    <t>1. SR090296
2. SR091672
3. SR092177
4. SR092171, SR092170</t>
  </si>
  <si>
    <t>November Actual v. Expected</t>
  </si>
  <si>
    <t>November Actual v. Forecasted</t>
  </si>
  <si>
    <t>1. Weather station is reporting accurate values from 11/20/24
2. Site started communicating at 10:25 from 11/20/24</t>
  </si>
  <si>
    <t xml:space="preserve">1. Inverter is tripping on and off through out the month </t>
  </si>
  <si>
    <t>1. SR093122, SR092936,  SR092131</t>
  </si>
  <si>
    <t xml:space="preserve">1. Site tripped offline at 09:30 AM on 08/12 , inverter voltages are dropped to zero but meter voltages are available </t>
  </si>
  <si>
    <t>1. SR088924,SR093861</t>
  </si>
  <si>
    <t>1. Site tripped offline at 9:05am on 08/17 till date</t>
  </si>
  <si>
    <t>1. SR089189</t>
  </si>
  <si>
    <t>1. Inverter 1 back online at 12:45PM on 11/13/24.</t>
  </si>
  <si>
    <r>
      <t>1.</t>
    </r>
    <r>
      <rPr>
        <sz val="11"/>
        <color rgb="FF000000"/>
        <rFont val="Calibri"/>
        <scheme val="minor"/>
      </rPr>
      <t xml:space="preserve"> SR092376</t>
    </r>
  </si>
  <si>
    <t>1. Inverter 2 Pad B tripped offline at 9:35AM from 11/02/24 through out the month
2. Inverter 1 is offline from 11/28/24 through out the month.</t>
  </si>
  <si>
    <t>1. SR089669
2. SR093710</t>
  </si>
  <si>
    <t>1. No communication to DAS, need a replacement needed for meter and modem
2. Weather station reporting zero value through out the month.</t>
  </si>
  <si>
    <t>1. SR092023, SR089707
2. SR093065</t>
  </si>
  <si>
    <t>1.No communication to DAS, need a replacement needed for meter and modem.</t>
  </si>
  <si>
    <t>1.SR089464, SR093180, SR093174</t>
  </si>
  <si>
    <t>1. Inverter 3 is offline from 11/27/24 through out the month.</t>
  </si>
  <si>
    <t>1. SR093680</t>
  </si>
  <si>
    <t>1. SR089461, SR090375</t>
  </si>
  <si>
    <t xml:space="preserve">1. SR085968
2. SR092256, SR090090 </t>
  </si>
  <si>
    <t>1. SR089470, SR092603</t>
  </si>
  <si>
    <t>1. No communication to DAS from 10/14.
2.Inverter 3 was back online on 11/15/2024 but we cannot confirm through SCADA since site is not communicating
3.Pyranometer has been giving bad readings. Prior to 9/25, the pyranometer read at most 450 W/m2. Since then, readings are between 950 and 400 W/m2</t>
  </si>
  <si>
    <t>1. SR092166
2. SR086220
3. SR091312</t>
  </si>
  <si>
    <t>1. Inverter 1 tripped offline at 01:50 PST on 11/21.</t>
  </si>
  <si>
    <t>1. SR093510</t>
  </si>
  <si>
    <t>1. Inverter 2 tripped offline at 4:30PM on 11/15/24 and back online at 02:05PM on 11/22/24.</t>
  </si>
  <si>
    <t>1. SR093369, SR093695</t>
  </si>
  <si>
    <t>1. Inverter 1 is offline through out the month.</t>
  </si>
  <si>
    <t>1. SR090053, SR092987</t>
  </si>
  <si>
    <t>1. SR090293</t>
  </si>
  <si>
    <t>1. Inverter 1 &amp;2 are offline and parts needed to bring these two  inverters back online</t>
  </si>
  <si>
    <t>1. SR089732</t>
  </si>
  <si>
    <t>1.Planned outage from10:45AM on 11/17/24 and back online at 10:35AM on 11/18/24.</t>
  </si>
  <si>
    <t>1. SR093359, SR092562</t>
  </si>
  <si>
    <t xml:space="preserve">1. Inverter 2's production being affected in the afternoon hours possibly due to stuck trackers.
2. Planned outage from 10:40AM on 11/17/24 and back online at 10:10AM on 11/18/24.
3. Inverter 1 is underperforming and needs to have its surge protectors replaced.
</t>
  </si>
  <si>
    <t>1. SR092171, SR092455
2. SR093360
3. SR090296</t>
  </si>
  <si>
    <t>December Actual v. Expected</t>
  </si>
  <si>
    <t>December Actual v. Forecasted</t>
  </si>
  <si>
    <t>1. Inverter is tripped offline at 8:25AM on 12/06/24 and back online at 8:00AM on 12/07.</t>
  </si>
  <si>
    <t>1. SR094211</t>
  </si>
  <si>
    <t>1. Inverter 7 and 8 tripped offline at 8:30AM on 12/03/2024 through the month.
2. Inverter 4 is  tripped offline at 13:35 on 12/30/2024 through the month.</t>
  </si>
  <si>
    <t>1. SR093917
2. SR095177</t>
  </si>
  <si>
    <t>1. Inverter is tripping on and off from 10/14/24 and issue resolved on 12/18</t>
  </si>
  <si>
    <t>1. Inverter 1 is tripped offline at 10:35AM on 12/12 and back online at 7:15AM on 12/13.</t>
  </si>
  <si>
    <t>1. SR094529</t>
  </si>
  <si>
    <t xml:space="preserve">1. Site tripped offline at 09:30 AM from 08/12 , inverter voltages are dropped to zero but meter voltages are available </t>
  </si>
  <si>
    <t xml:space="preserve">1. Inverter 2 Pad B tripped offline at 9:35AM from 11/02/24 through out the month.
2. Inverter 1 Pad  A is back online at 11:10AM  on  12/11/24.
</t>
  </si>
  <si>
    <t>1. Site back communication at  9:15AM on 12/30/2024 and Inverter remains offline. 
2. Weather station started repoerting values from 12/30/2024.</t>
  </si>
  <si>
    <t>1.Inverter 3 came back online at 11:00 AM on 12/2/2024, then tripped offline again on 12/25 and came back online on 12/27. It went offline again on 12/29 and back  online on 12/30.</t>
  </si>
  <si>
    <t>1. SR093680, SR095083</t>
  </si>
  <si>
    <t>1.Inverters 3 &amp; 8 are offline through out the month.</t>
  </si>
  <si>
    <t>1. Inverters A is offline through out the month and Inverter B is trip offline frequently.</t>
  </si>
  <si>
    <t>1. Weather station is reporting 0w/m2
Meter showing negative values from 12/04 at 12:00 and meter issue resolved on 12/28</t>
  </si>
  <si>
    <t>1.	SR090370</t>
  </si>
  <si>
    <t>1. Inverter 1 is  back online at 11:45 on 12/11/2024.
2. Inverter 1 is tripped offline at 16:05 on 12/30/2024 through out the month.</t>
  </si>
  <si>
    <t>1. SR093510
2. SR095191</t>
  </si>
  <si>
    <t>1. Inverter 2 is offline from 12/18/2024 and back online on 12/25/2024.</t>
  </si>
  <si>
    <t>1.SR090965, SR094547
&amp; SR094545</t>
  </si>
  <si>
    <t>1. Site tripped offline at 18:00 on 12/09/2024 and back online at  12:30 on 12/11/2024.
2. Inverter 1 is back online at 12:40 on 12/26/2024.</t>
  </si>
  <si>
    <t>1. SR094379
2. SR090053, SR092987</t>
  </si>
  <si>
    <t>1. Inverter 2 is offline and parts needed to bring these inverter back online.</t>
  </si>
  <si>
    <t>1. SR089732, SR094323</t>
  </si>
  <si>
    <t>1. Due to technician dispatch site tripped tripped offline from 7:55AM to 11:25AM on 12/24/2024.</t>
  </si>
  <si>
    <t>1. SR092562</t>
  </si>
  <si>
    <t>1. Inverter 2's production being affected in the afternoon hours possibly due to stuck trackers.
2. Inverter 1 is underperforming and needs to have its surge protectors replaced.</t>
  </si>
  <si>
    <t xml:space="preserve">1. SR092171, SR092455
2. SR090296  </t>
  </si>
  <si>
    <t>Portfolio:</t>
  </si>
  <si>
    <t>Silicon Ranch</t>
  </si>
  <si>
    <t>Site DAS Name</t>
  </si>
  <si>
    <t>Column1</t>
  </si>
  <si>
    <t>DAS</t>
  </si>
  <si>
    <t>zz.Iron Mountain - Windsor</t>
  </si>
  <si>
    <t>Iron Mountain - Windsor</t>
  </si>
  <si>
    <t>CT</t>
  </si>
  <si>
    <t>AF</t>
  </si>
  <si>
    <t>Green Power Monitor</t>
  </si>
  <si>
    <t>zz.Kohls - Auburn</t>
  </si>
  <si>
    <t>Kohls - Auburn</t>
  </si>
  <si>
    <t>NY</t>
  </si>
  <si>
    <t>zz.Kohls - Bensalem</t>
  </si>
  <si>
    <t>Kohls - Bensalem</t>
  </si>
  <si>
    <t>PA</t>
  </si>
  <si>
    <t>zz.Kohls - Brick</t>
  </si>
  <si>
    <t>Kohls - Brick</t>
  </si>
  <si>
    <t>NJ</t>
  </si>
  <si>
    <t>zz.Kohls - Buffalo</t>
  </si>
  <si>
    <t>Kohls - Buffalo</t>
  </si>
  <si>
    <t>zz.Kohls - Canton</t>
  </si>
  <si>
    <t>Kohls - Canton</t>
  </si>
  <si>
    <t>zz.Kohls - East Amherst</t>
  </si>
  <si>
    <t>Kohls - East Amherst</t>
  </si>
  <si>
    <t>zz.Kohls - East Brunswick</t>
  </si>
  <si>
    <t>Kohls - East Brunswick</t>
  </si>
  <si>
    <t>zz.Kohls - Edgewood</t>
  </si>
  <si>
    <t>Kohls - Edgewood</t>
  </si>
  <si>
    <t>MD</t>
  </si>
  <si>
    <t>zz.Kohls - Granite Run</t>
  </si>
  <si>
    <t>Kohls - Granite Run</t>
  </si>
  <si>
    <t>zz.Kohls - Greece</t>
  </si>
  <si>
    <t>Kohls - Greece</t>
  </si>
  <si>
    <t>zz.Kohls - Hanover</t>
  </si>
  <si>
    <t>Kohls - Hanover</t>
  </si>
  <si>
    <t>zz.Kohls - Horsehead</t>
  </si>
  <si>
    <t>Kohls - Horsehead</t>
  </si>
  <si>
    <t>zz.Kohls - Hudson</t>
  </si>
  <si>
    <t>Kohls - Hudson</t>
  </si>
  <si>
    <t>zz.Kohls - Ithaca</t>
  </si>
  <si>
    <t>Kohls - Ithaca</t>
  </si>
  <si>
    <t>zz.Kohls - Kingston</t>
  </si>
  <si>
    <t>Kohls - Kingston</t>
  </si>
  <si>
    <t>zz.Kohls - Mechanicsburg</t>
  </si>
  <si>
    <t>Kohls - Mechanicsburg</t>
  </si>
  <si>
    <t>zz.Kohls - Middletown</t>
  </si>
  <si>
    <t>Kohls - Middletown</t>
  </si>
  <si>
    <t>zz.Kohls - North Amherst</t>
  </si>
  <si>
    <t>Kohls - North Amherst</t>
  </si>
  <si>
    <t>zz.Kohls - Staten Island</t>
  </si>
  <si>
    <t>Kohls - Staten Island</t>
  </si>
  <si>
    <t>zz.Kohls - Warminster</t>
  </si>
  <si>
    <t>Kohls - Warminster</t>
  </si>
  <si>
    <t xml:space="preserve">zz.Kohls - Waterbury </t>
  </si>
  <si>
    <t xml:space="preserve">Kohls - Waterbury </t>
  </si>
  <si>
    <t>zz.Mojave Water Agency - Headquarters</t>
  </si>
  <si>
    <t>Mojave Water Agency - Headquarters</t>
  </si>
  <si>
    <t>CA</t>
  </si>
  <si>
    <t>zz.CSU - Bakersfield</t>
  </si>
  <si>
    <t>CSU - Bakersfield</t>
  </si>
  <si>
    <t>zz.Greenfield USD - Fairfield ES</t>
  </si>
  <si>
    <t>Greenfield USD - Fairfield ES</t>
  </si>
  <si>
    <t>zz.Greenfield USD - Granite Point ES</t>
  </si>
  <si>
    <t>Greenfield USD - Granite Point ES</t>
  </si>
  <si>
    <t>zz.Greenfield USD - Greenfield MS</t>
  </si>
  <si>
    <t>Greenfield USD - Greenfield MS</t>
  </si>
  <si>
    <t>zz.Greenfield USD - Horizon ES</t>
  </si>
  <si>
    <t>Greenfield USD - Horizon ES</t>
  </si>
  <si>
    <t>zz.Greenfield USD - McKee MS</t>
  </si>
  <si>
    <t>Greenfield USD - McKee MS</t>
  </si>
  <si>
    <t>zz.Greenfield USD - Plantation ES</t>
  </si>
  <si>
    <t>Greenfield USD - Plantation ES</t>
  </si>
  <si>
    <t>zz.Greenfield USD - Planz ES</t>
  </si>
  <si>
    <t>Greenfield USD - Planz ES</t>
  </si>
  <si>
    <t>zz.Greenfield USD - Raffaello Palla ES</t>
  </si>
  <si>
    <t>Greenfield USD - Raffaello Palla ES</t>
  </si>
  <si>
    <t>zz.Greenfield USD - Valle Verde ES</t>
  </si>
  <si>
    <t>Greenfield USD - Valle Verde ES</t>
  </si>
  <si>
    <t>zz.Greenfield USD - W.A. Kendrick ES</t>
  </si>
  <si>
    <t>Greenfield USD - W.A. Kendrick ES</t>
  </si>
  <si>
    <t>zz.Muroc Joint USD - Boron HS</t>
  </si>
  <si>
    <t>Muroc Joint USD - Boron HS</t>
  </si>
  <si>
    <t>zz.Muroc Joint USD - W. Boron ES</t>
  </si>
  <si>
    <t>Muroc Joint USD - W. Boron ES</t>
  </si>
  <si>
    <t>zz.Colusa - WTP</t>
  </si>
  <si>
    <t>Colusa - WTP</t>
  </si>
  <si>
    <t>zz.CDCR-North Kern State Prision</t>
  </si>
  <si>
    <t>CDCR-North Kern State Prision</t>
  </si>
  <si>
    <t>zz.Muroc Joint USD - District Office</t>
  </si>
  <si>
    <t>Muroc Joint USD - District Office</t>
  </si>
  <si>
    <t>zz.Whole Foods - Manhattan Beach</t>
  </si>
  <si>
    <t>Whole Foods - Manhattan Beach</t>
  </si>
  <si>
    <t>zz.Pioneer USD - Frontier ES</t>
  </si>
  <si>
    <t>Pioneer USD - Frontier ES</t>
  </si>
  <si>
    <t>zz.Pioneer USD - Pioneer ES</t>
  </si>
  <si>
    <t>Pioneer USD - Pioneer ES</t>
  </si>
  <si>
    <t>zz.Pioneer USD - Pioneer MS</t>
  </si>
  <si>
    <t>Pioneer USD - Pioneer MS</t>
  </si>
  <si>
    <t>zz.Kingsburg Joint UHSD - Kingsburg HS</t>
  </si>
  <si>
    <t>Kingsburg Joint UHSD - Kingsburg HS</t>
  </si>
  <si>
    <t>CADRB</t>
  </si>
  <si>
    <t>zz.CDCR-CA State Prison LA County</t>
  </si>
  <si>
    <t>CDCR-CA State Prison LA County</t>
  </si>
  <si>
    <t>zz.Central USD Akers ES</t>
  </si>
  <si>
    <t>Central USD Akers ES</t>
  </si>
  <si>
    <t>zz.CUSD - District Office</t>
  </si>
  <si>
    <t>CUSD - District Office</t>
  </si>
  <si>
    <t>zz.Parlier - WTP</t>
  </si>
  <si>
    <t>Parlier - WTP</t>
  </si>
  <si>
    <t>zz.Snowline SD - Quail Valley MS</t>
  </si>
  <si>
    <t>Snowline SD - Quail Valley MS</t>
  </si>
  <si>
    <t>zz.Snowline SD - Serrano HS - Middle Lot</t>
  </si>
  <si>
    <t>Snowline SD - Serrano HS - Middle Lot</t>
  </si>
  <si>
    <t>zz.Snowline SD - Pinon Hills ES</t>
  </si>
  <si>
    <t>Snowline SD - Pinon Hills ES</t>
  </si>
  <si>
    <t>zz.Ramona - Santa Maria WTP</t>
  </si>
  <si>
    <t>Ramona - Santa Maria WTP</t>
  </si>
  <si>
    <t>zz.Kohls - Redding</t>
  </si>
  <si>
    <t>Kohls - Redding</t>
  </si>
  <si>
    <t>zz.Kohls - Salinas</t>
  </si>
  <si>
    <t>Kohls - Salinas</t>
  </si>
  <si>
    <t>zz.Kohls - San Bernardino - Central</t>
  </si>
  <si>
    <t>Kohls - San Bernardino - Central</t>
  </si>
  <si>
    <t>zz.Kohls - Sonora</t>
  </si>
  <si>
    <t>Kohls - Sonora</t>
  </si>
  <si>
    <t>zz.CUSD - Stratford ES</t>
  </si>
  <si>
    <t>CUSD - Stratford ES</t>
  </si>
  <si>
    <t>zz.Taft - City Hall</t>
  </si>
  <si>
    <t>Taft - City Hall</t>
  </si>
  <si>
    <t>zz.Taft - Federal Prison</t>
  </si>
  <si>
    <t>Taft - Federal Prison</t>
  </si>
  <si>
    <t>zz.Taft - Police Department</t>
  </si>
  <si>
    <t>Taft - Police Department</t>
  </si>
  <si>
    <t>Taft - WTP</t>
  </si>
  <si>
    <t>zz.CDCR - CA Correctional Institution</t>
  </si>
  <si>
    <t>CDCR - CA Correctional Institution</t>
  </si>
  <si>
    <t>zz.CDCR - CA Correctional Institution II</t>
  </si>
  <si>
    <t>CDCR - CA Correctional Institution II</t>
  </si>
  <si>
    <t>zz.Snowline SD - Vista Verde ES</t>
  </si>
  <si>
    <t>Snowline SD - Vista Verde 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</si>
</sst>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9">
    <font>
      <sz val="1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 Light"/>
      <scheme val="major"/>
    </font>
    <font>
      <sz val="11"/>
      <color rgb="FF000000"/>
      <name val="Aptos Narrow"/>
      <charset val="1"/>
    </font>
    <font>
      <sz val="8"/>
      <name val="Arial"/>
    </font>
    <font>
      <sz val="11"/>
      <name val="Calibri"/>
      <family val="2"/>
      <scheme val="minor"/>
    </font>
    <font>
      <sz val="11"/>
      <color rgb="FF000000"/>
      <name val="Calibri"/>
      <scheme val="minor"/>
    </font>
    <font>
      <sz val="11"/>
      <name val="Calibri"/>
      <scheme val="minor"/>
    </font>
    <font>
      <sz val="12"/>
      <color theme="1"/>
      <name val="Calibri"/>
      <scheme val="minor"/>
    </font>
    <font>
      <sz val="12"/>
      <color rgb="FF000000"/>
      <name val="Calibri"/>
      <scheme val="minor"/>
    </font>
    <font>
      <sz val="10"/>
      <name val="Calibri"/>
      <scheme val="minor"/>
    </font>
    <font>
      <sz val="11"/>
      <color rgb="FF242424"/>
      <name val="Calibri"/>
      <scheme val="minor"/>
    </font>
    <font>
      <sz val="11"/>
      <color rgb="FF00000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5" applyNumberFormat="0" applyAlignment="0" applyProtection="0"/>
    <xf numFmtId="0" fontId="16" fillId="9" borderId="6" applyNumberFormat="0" applyAlignment="0" applyProtection="0"/>
    <xf numFmtId="0" fontId="17" fillId="9" borderId="5" applyNumberFormat="0" applyAlignment="0" applyProtection="0"/>
    <xf numFmtId="0" fontId="18" fillId="0" borderId="7" applyNumberFormat="0" applyFill="0" applyAlignment="0" applyProtection="0"/>
    <xf numFmtId="0" fontId="19" fillId="1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11" borderId="9" applyNumberFormat="0" applyFont="0" applyAlignment="0" applyProtection="0"/>
  </cellStyleXfs>
  <cellXfs count="103">
    <xf numFmtId="0" fontId="0" fillId="0" borderId="0" xfId="0"/>
    <xf numFmtId="9" fontId="6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5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3" fontId="27" fillId="36" borderId="1" xfId="0" applyNumberFormat="1" applyFont="1" applyFill="1" applyBorder="1" applyAlignment="1">
      <alignment horizontal="center" vertical="center"/>
    </xf>
    <xf numFmtId="9" fontId="27" fillId="36" borderId="1" xfId="0" applyNumberFormat="1" applyFont="1" applyFill="1" applyBorder="1" applyAlignment="1">
      <alignment horizontal="center" vertical="center"/>
    </xf>
    <xf numFmtId="3" fontId="27" fillId="36" borderId="1" xfId="1" applyNumberFormat="1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49" fontId="30" fillId="40" borderId="0" xfId="0" applyNumberFormat="1" applyFont="1" applyFill="1" applyAlignment="1">
      <alignment horizontal="center" vertical="center"/>
    </xf>
    <xf numFmtId="49" fontId="30" fillId="0" borderId="0" xfId="0" applyNumberFormat="1" applyFont="1" applyAlignment="1">
      <alignment horizontal="center" vertical="center"/>
    </xf>
    <xf numFmtId="164" fontId="30" fillId="0" borderId="0" xfId="1" applyNumberFormat="1" applyFont="1" applyBorder="1" applyAlignment="1">
      <alignment horizontal="center" vertical="center"/>
    </xf>
    <xf numFmtId="49" fontId="29" fillId="40" borderId="0" xfId="0" applyNumberFormat="1" applyFont="1" applyFill="1" applyAlignment="1">
      <alignment horizontal="center" vertical="center"/>
    </xf>
    <xf numFmtId="3" fontId="32" fillId="3" borderId="0" xfId="0" applyNumberFormat="1" applyFont="1" applyFill="1" applyAlignment="1">
      <alignment horizontal="right" vertical="center"/>
    </xf>
    <xf numFmtId="9" fontId="32" fillId="3" borderId="0" xfId="2" applyFont="1" applyFill="1" applyBorder="1" applyAlignment="1">
      <alignment horizontal="center" vertical="center"/>
    </xf>
    <xf numFmtId="3" fontId="32" fillId="4" borderId="0" xfId="1" applyNumberFormat="1" applyFont="1" applyFill="1" applyBorder="1" applyAlignment="1">
      <alignment vertical="center"/>
    </xf>
    <xf numFmtId="9" fontId="32" fillId="37" borderId="0" xfId="2" applyFont="1" applyFill="1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3" fontId="32" fillId="0" borderId="0" xfId="0" applyNumberFormat="1" applyFont="1" applyAlignment="1">
      <alignment horizontal="right" vertical="center"/>
    </xf>
    <xf numFmtId="9" fontId="32" fillId="0" borderId="0" xfId="2" applyFont="1" applyFill="1" applyBorder="1" applyAlignment="1">
      <alignment horizontal="center" vertical="center"/>
    </xf>
    <xf numFmtId="3" fontId="32" fillId="0" borderId="0" xfId="1" applyNumberFormat="1" applyFont="1" applyFill="1" applyBorder="1" applyAlignment="1">
      <alignment vertical="center"/>
    </xf>
    <xf numFmtId="0" fontId="34" fillId="0" borderId="0" xfId="0" applyFont="1"/>
    <xf numFmtId="9" fontId="33" fillId="0" borderId="0" xfId="2" applyFont="1" applyAlignment="1">
      <alignment horizontal="center"/>
    </xf>
    <xf numFmtId="0" fontId="31" fillId="43" borderId="1" xfId="0" applyFont="1" applyFill="1" applyBorder="1" applyAlignment="1">
      <alignment horizontal="center" vertical="center" wrapText="1"/>
    </xf>
    <xf numFmtId="164" fontId="30" fillId="44" borderId="0" xfId="1" applyNumberFormat="1" applyFont="1" applyFill="1" applyBorder="1" applyAlignment="1">
      <alignment horizontal="center" vertical="center"/>
    </xf>
    <xf numFmtId="0" fontId="7" fillId="45" borderId="1" xfId="0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31" fillId="2" borderId="11" xfId="0" applyFont="1" applyFill="1" applyBorder="1" applyAlignment="1">
      <alignment horizontal="center" vertical="center" wrapText="1"/>
    </xf>
    <xf numFmtId="0" fontId="29" fillId="40" borderId="0" xfId="0" applyFont="1" applyFill="1" applyAlignment="1">
      <alignment horizontal="center" vertical="center"/>
    </xf>
    <xf numFmtId="0" fontId="30" fillId="40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6" fillId="40" borderId="0" xfId="0" applyFont="1" applyFill="1" applyAlignment="1">
      <alignment horizontal="center"/>
    </xf>
    <xf numFmtId="0" fontId="32" fillId="0" borderId="0" xfId="0" applyFont="1"/>
    <xf numFmtId="0" fontId="27" fillId="0" borderId="0" xfId="0" applyFont="1"/>
    <xf numFmtId="0" fontId="26" fillId="41" borderId="1" xfId="0" applyFont="1" applyFill="1" applyBorder="1" applyAlignment="1">
      <alignment horizontal="center" vertical="center" wrapText="1"/>
    </xf>
    <xf numFmtId="9" fontId="26" fillId="41" borderId="1" xfId="2" applyFont="1" applyFill="1" applyBorder="1" applyAlignment="1">
      <alignment horizontal="center" vertical="center" wrapText="1"/>
    </xf>
    <xf numFmtId="0" fontId="26" fillId="42" borderId="1" xfId="0" applyFont="1" applyFill="1" applyBorder="1" applyAlignment="1">
      <alignment horizontal="center"/>
    </xf>
    <xf numFmtId="0" fontId="26" fillId="42" borderId="1" xfId="0" applyFont="1" applyFill="1" applyBorder="1" applyAlignment="1">
      <alignment horizontal="center" vertical="center" wrapText="1"/>
    </xf>
    <xf numFmtId="9" fontId="26" fillId="42" borderId="1" xfId="2" applyFont="1" applyFill="1" applyBorder="1" applyAlignment="1">
      <alignment horizontal="center" vertical="center" wrapText="1"/>
    </xf>
    <xf numFmtId="0" fontId="26" fillId="42" borderId="1" xfId="0" applyFont="1" applyFill="1" applyBorder="1" applyAlignment="1">
      <alignment horizontal="center" vertical="center"/>
    </xf>
    <xf numFmtId="49" fontId="32" fillId="38" borderId="0" xfId="2" applyNumberFormat="1" applyFont="1" applyFill="1" applyBorder="1" applyAlignment="1">
      <alignment vertical="top" wrapText="1"/>
    </xf>
    <xf numFmtId="49" fontId="30" fillId="0" borderId="0" xfId="0" applyNumberFormat="1" applyFont="1" applyAlignment="1">
      <alignment vertical="center" wrapText="1"/>
    </xf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center" vertical="center"/>
    </xf>
    <xf numFmtId="0" fontId="24" fillId="0" borderId="0" xfId="43" applyFont="1" applyAlignment="1">
      <alignment horizontal="center" vertical="center"/>
    </xf>
    <xf numFmtId="49" fontId="29" fillId="40" borderId="0" xfId="0" applyNumberFormat="1" applyFont="1" applyFill="1" applyAlignment="1">
      <alignment horizontal="left" vertical="center"/>
    </xf>
    <xf numFmtId="49" fontId="29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6" fillId="40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29" fillId="40" borderId="0" xfId="0" applyFont="1" applyFill="1" applyAlignment="1">
      <alignment horizontal="left" vertical="center"/>
    </xf>
    <xf numFmtId="49" fontId="30" fillId="0" borderId="0" xfId="0" applyNumberFormat="1" applyFont="1" applyAlignment="1">
      <alignment vertical="top" wrapText="1"/>
    </xf>
    <xf numFmtId="49" fontId="30" fillId="0" borderId="0" xfId="0" applyNumberFormat="1" applyFont="1" applyAlignment="1">
      <alignment horizontal="left" vertical="top" wrapText="1"/>
    </xf>
    <xf numFmtId="49" fontId="38" fillId="0" borderId="0" xfId="0" applyNumberFormat="1" applyFont="1" applyAlignment="1">
      <alignment vertical="center" wrapText="1"/>
    </xf>
    <xf numFmtId="49" fontId="32" fillId="38" borderId="0" xfId="2" applyNumberFormat="1" applyFont="1" applyFill="1" applyBorder="1" applyAlignment="1">
      <alignment horizontal="left" vertical="top" wrapText="1"/>
    </xf>
    <xf numFmtId="49" fontId="37" fillId="38" borderId="0" xfId="2" applyNumberFormat="1" applyFont="1" applyFill="1" applyBorder="1" applyAlignment="1">
      <alignment horizontal="left" vertical="top" wrapText="1"/>
    </xf>
    <xf numFmtId="49" fontId="29" fillId="0" borderId="0" xfId="0" applyNumberFormat="1" applyFont="1" applyAlignment="1">
      <alignment horizontal="left" vertical="top" wrapText="1"/>
    </xf>
    <xf numFmtId="0" fontId="39" fillId="0" borderId="0" xfId="0" applyFont="1"/>
    <xf numFmtId="49" fontId="30" fillId="0" borderId="0" xfId="0" applyNumberFormat="1" applyFont="1" applyAlignment="1">
      <alignment horizontal="left" vertical="center" wrapText="1"/>
    </xf>
    <xf numFmtId="49" fontId="29" fillId="0" borderId="0" xfId="0" applyNumberFormat="1" applyFont="1" applyAlignment="1">
      <alignment horizontal="left" vertical="center" wrapText="1"/>
    </xf>
    <xf numFmtId="49" fontId="29" fillId="0" borderId="0" xfId="0" applyNumberFormat="1" applyFont="1" applyAlignment="1">
      <alignment vertical="top" wrapText="1"/>
    </xf>
    <xf numFmtId="9" fontId="32" fillId="3" borderId="0" xfId="2" applyFont="1" applyFill="1" applyAlignment="1">
      <alignment horizontal="center" vertical="center"/>
    </xf>
    <xf numFmtId="3" fontId="32" fillId="0" borderId="0" xfId="1" applyNumberFormat="1" applyFont="1" applyAlignment="1">
      <alignment vertical="center"/>
    </xf>
    <xf numFmtId="9" fontId="32" fillId="0" borderId="0" xfId="2" applyFont="1" applyAlignment="1">
      <alignment horizontal="center" vertical="center"/>
    </xf>
    <xf numFmtId="3" fontId="32" fillId="4" borderId="0" xfId="1" applyNumberFormat="1" applyFont="1" applyFill="1" applyAlignment="1">
      <alignment vertical="center"/>
    </xf>
    <xf numFmtId="9" fontId="32" fillId="37" borderId="0" xfId="2" applyFont="1" applyFill="1" applyAlignment="1">
      <alignment horizontal="center" vertical="center"/>
    </xf>
    <xf numFmtId="164" fontId="30" fillId="44" borderId="0" xfId="1" applyNumberFormat="1" applyFont="1" applyFill="1" applyAlignment="1">
      <alignment horizontal="center" vertical="center"/>
    </xf>
    <xf numFmtId="49" fontId="32" fillId="38" borderId="0" xfId="2" applyNumberFormat="1" applyFont="1" applyFill="1" applyAlignment="1">
      <alignment vertical="top" wrapText="1"/>
    </xf>
    <xf numFmtId="164" fontId="30" fillId="0" borderId="0" xfId="1" applyNumberFormat="1" applyFont="1" applyAlignment="1">
      <alignment horizontal="center" vertical="center"/>
    </xf>
    <xf numFmtId="3" fontId="32" fillId="0" borderId="0" xfId="1" applyNumberFormat="1" applyFont="1" applyAlignment="1">
      <alignment horizontal="center" vertical="center"/>
    </xf>
    <xf numFmtId="3" fontId="32" fillId="0" borderId="0" xfId="1" applyNumberFormat="1" applyFont="1" applyAlignment="1">
      <alignment vertical="center" wrapText="1"/>
    </xf>
    <xf numFmtId="3" fontId="32" fillId="0" borderId="0" xfId="1" applyNumberFormat="1" applyFont="1" applyAlignment="1">
      <alignment horizontal="left" vertical="top" wrapText="1"/>
    </xf>
    <xf numFmtId="0" fontId="31" fillId="2" borderId="1" xfId="0" applyFont="1" applyFill="1" applyBorder="1" applyAlignment="1">
      <alignment horizontal="left" vertical="center" wrapText="1" indent="2"/>
    </xf>
    <xf numFmtId="0" fontId="30" fillId="40" borderId="0" xfId="0" applyFont="1" applyFill="1" applyAlignment="1">
      <alignment horizontal="left" vertical="center" indent="2"/>
    </xf>
    <xf numFmtId="0" fontId="30" fillId="0" borderId="0" xfId="0" applyFont="1" applyAlignment="1">
      <alignment horizontal="left" vertical="center" indent="2"/>
    </xf>
    <xf numFmtId="3" fontId="32" fillId="0" borderId="0" xfId="1" applyNumberFormat="1" applyFont="1" applyAlignment="1">
      <alignment horizontal="left" vertical="center" indent="2"/>
    </xf>
    <xf numFmtId="0" fontId="32" fillId="0" borderId="0" xfId="0" applyFont="1" applyAlignment="1">
      <alignment horizontal="left" indent="2"/>
    </xf>
    <xf numFmtId="0" fontId="27" fillId="0" borderId="0" xfId="0" applyFont="1" applyAlignment="1">
      <alignment horizontal="left" indent="2"/>
    </xf>
    <xf numFmtId="0" fontId="41" fillId="0" borderId="0" xfId="0" applyFont="1"/>
    <xf numFmtId="49" fontId="25" fillId="0" borderId="0" xfId="0" applyNumberFormat="1" applyFont="1" applyAlignment="1">
      <alignment vertical="center" wrapText="1"/>
    </xf>
    <xf numFmtId="3" fontId="32" fillId="0" borderId="0" xfId="1" applyNumberFormat="1" applyFont="1" applyAlignment="1">
      <alignment vertical="top"/>
    </xf>
    <xf numFmtId="49" fontId="37" fillId="0" borderId="0" xfId="0" applyNumberFormat="1" applyFont="1" applyAlignment="1">
      <alignment vertical="top" wrapText="1"/>
    </xf>
    <xf numFmtId="49" fontId="43" fillId="38" borderId="0" xfId="2" applyNumberFormat="1" applyFont="1" applyFill="1" applyBorder="1" applyAlignment="1">
      <alignment horizontal="left" vertical="top" wrapText="1"/>
    </xf>
    <xf numFmtId="49" fontId="44" fillId="0" borderId="0" xfId="0" applyNumberFormat="1" applyFont="1" applyAlignment="1">
      <alignment horizontal="left" vertical="top" wrapText="1"/>
    </xf>
    <xf numFmtId="49" fontId="45" fillId="0" borderId="0" xfId="0" applyNumberFormat="1" applyFont="1" applyAlignment="1">
      <alignment horizontal="left" vertical="top" wrapText="1"/>
    </xf>
    <xf numFmtId="0" fontId="46" fillId="0" borderId="0" xfId="0" applyFont="1" applyAlignment="1">
      <alignment horizontal="left" vertical="top"/>
    </xf>
    <xf numFmtId="49" fontId="43" fillId="38" borderId="0" xfId="2" applyNumberFormat="1" applyFont="1" applyFill="1" applyAlignment="1">
      <alignment horizontal="left" vertical="top" wrapText="1"/>
    </xf>
    <xf numFmtId="49" fontId="42" fillId="0" borderId="0" xfId="0" applyNumberFormat="1" applyFont="1" applyAlignment="1">
      <alignment horizontal="left" vertical="top" wrapText="1"/>
    </xf>
    <xf numFmtId="0" fontId="47" fillId="0" borderId="0" xfId="0" applyFont="1" applyAlignment="1">
      <alignment horizontal="left" vertical="top"/>
    </xf>
    <xf numFmtId="49" fontId="41" fillId="38" borderId="0" xfId="2" applyNumberFormat="1" applyFont="1" applyFill="1" applyBorder="1" applyAlignment="1">
      <alignment horizontal="left" vertical="top" wrapText="1"/>
    </xf>
    <xf numFmtId="0" fontId="47" fillId="0" borderId="0" xfId="0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  <xf numFmtId="49" fontId="48" fillId="0" borderId="0" xfId="0" applyNumberFormat="1" applyFont="1" applyAlignment="1">
      <alignment horizontal="left" vertical="top" wrapText="1"/>
    </xf>
    <xf numFmtId="2" fontId="3" fillId="0" borderId="0" xfId="43" applyNumberFormat="1" applyAlignment="1">
      <alignment wrapText="1"/>
    </xf>
    <xf numFmtId="49" fontId="30" fillId="0" borderId="0" xfId="0" applyNumberFormat="1" applyFont="1" applyAlignment="1">
      <alignment horizontal="left" wrapText="1"/>
    </xf>
    <xf numFmtId="0" fontId="5" fillId="4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26" fillId="39" borderId="1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left" vertical="top" wrapText="1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8" totalsRowShown="0">
  <autoFilter ref="A3:E6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Column1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zoomScale="90" zoomScaleNormal="90" workbookViewId="0">
      <pane xSplit="2" ySplit="3" topLeftCell="C4" activePane="bottomRight" state="frozen"/>
      <selection pane="bottomRight" activeCell="C38" sqref="C38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9" t="str" cm="1">
        <f t="array" ref="A1">portfolio</f>
        <v>Silicon Ranch</v>
      </c>
      <c r="B1" s="99"/>
      <c r="C1" s="99"/>
      <c r="D1" s="100" t="s">
        <v>0</v>
      </c>
      <c r="E1" s="100"/>
      <c r="F1" s="100"/>
      <c r="G1" s="98" t="s">
        <v>1</v>
      </c>
      <c r="H1" s="98"/>
      <c r="I1" s="98"/>
    </row>
    <row r="2" spans="1:9" ht="19.5" customHeight="1">
      <c r="A2" s="101" t="s">
        <v>2</v>
      </c>
      <c r="B2" s="101"/>
      <c r="C2" s="5">
        <f>SUM(C4:C100)</f>
        <v>16695393.550000001</v>
      </c>
      <c r="D2" s="5">
        <f>SUM(D4:D100)</f>
        <v>0</v>
      </c>
      <c r="E2" s="5">
        <f>C2-D2</f>
        <v>16695393.550000001</v>
      </c>
      <c r="F2" s="6">
        <f>IFERROR(E2/D2, 0)</f>
        <v>0</v>
      </c>
      <c r="G2" s="5">
        <f>SUM(G4:G100)</f>
        <v>25075001.246999994</v>
      </c>
      <c r="H2" s="7">
        <f>C2-G2</f>
        <v>-8379607.6969999932</v>
      </c>
      <c r="I2" s="6">
        <f>IFERROR(H2/G2, 0)</f>
        <v>-0.33418174597309502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51" t="str" cm="1">
        <f t="array" ref="A4:A68">Sites[Site]</f>
        <v>Iron Mountain - Windsor</v>
      </c>
      <c r="B4" s="32" t="str" cm="1">
        <f t="array" ref="B4:B68">Sites[State]</f>
        <v>CT</v>
      </c>
      <c r="C4" s="24">
        <f>SUM('1st Qtr'!C4, '2nd Qtr'!C4, '3rd Qtr'!C4, '4th Qtr'!C4)</f>
        <v>298438.75</v>
      </c>
      <c r="D4" s="13">
        <f>SUM('1st Qtr'!D4, '2nd Qtr'!D4, '3rd Qtr'!D4, '4th Qtr'!D4)</f>
        <v>0</v>
      </c>
      <c r="E4" s="13">
        <f>IF(AND(ISNUMBER(C4),ISNUMBER(D4)), C4-D4, "")</f>
        <v>298438.75</v>
      </c>
      <c r="F4" s="14" t="str">
        <f>IFERROR(E4/D4, "")</f>
        <v/>
      </c>
      <c r="G4" s="15">
        <f>SUM('1st Qtr'!G4, '2nd Qtr'!G4, '3rd Qtr'!G4, '4th Qtr'!G4)</f>
        <v>299319.08</v>
      </c>
      <c r="H4" s="15">
        <f>SUM('1st Qtr'!H4, '2nd Qtr'!H4, '3rd Qtr'!H4, '4th Qtr'!H4)</f>
        <v>-880.33000000000538</v>
      </c>
      <c r="I4" s="16">
        <f>IFERROR(H4/G4, "")</f>
        <v>-2.9411088661638455E-3</v>
      </c>
    </row>
    <row r="5" spans="1:9" ht="15.75">
      <c r="A5" s="52" t="str">
        <v>Kohls - Auburn</v>
      </c>
      <c r="B5" s="30" t="str">
        <v>NY</v>
      </c>
      <c r="C5" s="11">
        <f>SUM('1st Qtr'!C5, '2nd Qtr'!C5, '3rd Qtr'!C5, '4th Qtr'!C5)</f>
        <v>311408</v>
      </c>
      <c r="D5" s="18">
        <f>SUM('1st Qtr'!D5, '2nd Qtr'!D5, '3rd Qtr'!D5, '4th Qtr'!D5)</f>
        <v>0</v>
      </c>
      <c r="E5" s="18">
        <f t="shared" ref="E5:E15" si="0">IF(AND(ISNUMBER(C5),ISNUMBER(D5)), C5-D5, "")</f>
        <v>311408</v>
      </c>
      <c r="F5" s="19" t="str">
        <f>IFERROR(E5/D5, "")</f>
        <v/>
      </c>
      <c r="G5" s="20">
        <f>SUM('1st Qtr'!G5, '2nd Qtr'!G5, '3rd Qtr'!G5, '4th Qtr'!G5)</f>
        <v>321522.08999999997</v>
      </c>
      <c r="H5" s="20">
        <f>SUM('1st Qtr'!H5, '2nd Qtr'!H5, '3rd Qtr'!H5, '4th Qtr'!H5)</f>
        <v>-10114.09</v>
      </c>
      <c r="I5" s="19">
        <f>IFERROR(H5/G5, "")</f>
        <v>-3.1456905495980077E-2</v>
      </c>
    </row>
    <row r="6" spans="1:9" ht="15.75">
      <c r="A6" s="53" t="str">
        <v>Kohls - Bensalem</v>
      </c>
      <c r="B6" s="28" t="str">
        <v>PA</v>
      </c>
      <c r="C6" s="24">
        <f>SUM('1st Qtr'!C6, '2nd Qtr'!C6, '3rd Qtr'!C6, '4th Qtr'!C6)</f>
        <v>371325</v>
      </c>
      <c r="D6" s="13">
        <f>SUM('1st Qtr'!D6, '2nd Qtr'!D6, '3rd Qtr'!D6, '4th Qtr'!D6)</f>
        <v>0</v>
      </c>
      <c r="E6" s="13">
        <f t="shared" si="0"/>
        <v>371325</v>
      </c>
      <c r="F6" s="14" t="str">
        <f t="shared" ref="F6:F15" si="1">IFERROR(E6/D6, "")</f>
        <v/>
      </c>
      <c r="G6" s="15">
        <f>SUM('1st Qtr'!G6, '2nd Qtr'!G6, '3rd Qtr'!G6, '4th Qtr'!G6)</f>
        <v>339231.20999999996</v>
      </c>
      <c r="H6" s="15">
        <f>SUM('1st Qtr'!H6, '2nd Qtr'!H6, '3rd Qtr'!H6, '4th Qtr'!H6)</f>
        <v>32093.790000000008</v>
      </c>
      <c r="I6" s="16">
        <f t="shared" ref="I6:I15" si="2">IFERROR(H6/G6, "")</f>
        <v>9.4607421292398214E-2</v>
      </c>
    </row>
    <row r="7" spans="1:9" ht="15.75">
      <c r="A7" s="52" t="str">
        <v>Kohls - Brick</v>
      </c>
      <c r="B7" s="30" t="str">
        <v>NJ</v>
      </c>
      <c r="C7" s="11">
        <f>SUM('1st Qtr'!C7, '2nd Qtr'!C7, '3rd Qtr'!C7, '4th Qtr'!C7)</f>
        <v>430570</v>
      </c>
      <c r="D7" s="18">
        <f>SUM('1st Qtr'!D7, '2nd Qtr'!D7, '3rd Qtr'!D7, '4th Qtr'!D7)</f>
        <v>0</v>
      </c>
      <c r="E7" s="18">
        <f t="shared" si="0"/>
        <v>430570</v>
      </c>
      <c r="F7" s="19" t="str">
        <f t="shared" si="1"/>
        <v/>
      </c>
      <c r="G7" s="20">
        <f>SUM('1st Qtr'!G7, '2nd Qtr'!G7, '3rd Qtr'!G7, '4th Qtr'!G7)</f>
        <v>405211.48</v>
      </c>
      <c r="H7" s="20">
        <f>SUM('1st Qtr'!H7, '2nd Qtr'!H7, '3rd Qtr'!H7, '4th Qtr'!H7)</f>
        <v>25358.520000000008</v>
      </c>
      <c r="I7" s="19">
        <f t="shared" si="2"/>
        <v>6.2580951556456418E-2</v>
      </c>
    </row>
    <row r="8" spans="1:9" ht="15.75">
      <c r="A8" s="53" t="str">
        <v>Kohls - Buffalo</v>
      </c>
      <c r="B8" s="28" t="str">
        <v>NY</v>
      </c>
      <c r="C8" s="24">
        <f>SUM('1st Qtr'!C8, '2nd Qtr'!C8, '3rd Qtr'!C8, '4th Qtr'!C8)</f>
        <v>368511</v>
      </c>
      <c r="D8" s="13">
        <f>SUM('1st Qtr'!D8, '2nd Qtr'!D8, '3rd Qtr'!D8, '4th Qtr'!D8)</f>
        <v>0</v>
      </c>
      <c r="E8" s="13">
        <f t="shared" si="0"/>
        <v>368511</v>
      </c>
      <c r="F8" s="14" t="str">
        <f t="shared" si="1"/>
        <v/>
      </c>
      <c r="G8" s="15">
        <f>SUM('1st Qtr'!G8, '2nd Qtr'!G8, '3rd Qtr'!G8, '4th Qtr'!G8)</f>
        <v>390334.47</v>
      </c>
      <c r="H8" s="15">
        <f>SUM('1st Qtr'!H8, '2nd Qtr'!H8, '3rd Qtr'!H8, '4th Qtr'!H8)</f>
        <v>-21823.469999999998</v>
      </c>
      <c r="I8" s="16">
        <f t="shared" si="2"/>
        <v>-5.5909666394566689E-2</v>
      </c>
    </row>
    <row r="9" spans="1:9" ht="15.75">
      <c r="A9" s="52" t="str">
        <v>Kohls - Canton</v>
      </c>
      <c r="B9" s="30" t="str">
        <v>CT</v>
      </c>
      <c r="C9" s="11">
        <f>SUM('1st Qtr'!C9, '2nd Qtr'!C9, '3rd Qtr'!C9, '4th Qtr'!C9)</f>
        <v>150027</v>
      </c>
      <c r="D9" s="18">
        <f>SUM('1st Qtr'!D9, '2nd Qtr'!D9, '3rd Qtr'!D9, '4th Qtr'!D9)</f>
        <v>0</v>
      </c>
      <c r="E9" s="18">
        <f t="shared" si="0"/>
        <v>150027</v>
      </c>
      <c r="F9" s="19" t="str">
        <f t="shared" si="1"/>
        <v/>
      </c>
      <c r="G9" s="20">
        <f>SUM('1st Qtr'!G9, '2nd Qtr'!G9, '3rd Qtr'!G9, '4th Qtr'!G9)</f>
        <v>134134.73000000001</v>
      </c>
      <c r="H9" s="20">
        <f>SUM('1st Qtr'!H9, '2nd Qtr'!H9, '3rd Qtr'!H9, '4th Qtr'!H9)</f>
        <v>15892.27</v>
      </c>
      <c r="I9" s="19">
        <f t="shared" si="2"/>
        <v>0.11847990449602425</v>
      </c>
    </row>
    <row r="10" spans="1:9" ht="15.75">
      <c r="A10" s="53" t="str">
        <v>Kohls - East Amherst</v>
      </c>
      <c r="B10" s="28" t="str">
        <v>NY</v>
      </c>
      <c r="C10" s="24">
        <f>SUM('1st Qtr'!C10, '2nd Qtr'!C10, '3rd Qtr'!C10, '4th Qtr'!C10)</f>
        <v>342048</v>
      </c>
      <c r="D10" s="13">
        <f>SUM('1st Qtr'!D10, '2nd Qtr'!D10, '3rd Qtr'!D10, '4th Qtr'!D10)</f>
        <v>0</v>
      </c>
      <c r="E10" s="13">
        <f t="shared" si="0"/>
        <v>342048</v>
      </c>
      <c r="F10" s="14" t="str">
        <f t="shared" si="1"/>
        <v/>
      </c>
      <c r="G10" s="15">
        <f>SUM('1st Qtr'!G10, '2nd Qtr'!G10, '3rd Qtr'!G10, '4th Qtr'!G10)</f>
        <v>352578.27</v>
      </c>
      <c r="H10" s="15">
        <f>SUM('1st Qtr'!H10, '2nd Qtr'!H10, '3rd Qtr'!H10, '4th Qtr'!H10)</f>
        <v>-10530.269999999993</v>
      </c>
      <c r="I10" s="16">
        <f t="shared" si="2"/>
        <v>-2.9866474754669345E-2</v>
      </c>
    </row>
    <row r="11" spans="1:9" ht="15.75">
      <c r="A11" s="52" t="str">
        <v>Kohls - East Brunswick</v>
      </c>
      <c r="B11" s="30" t="str">
        <v>NJ</v>
      </c>
      <c r="C11" s="11">
        <f>SUM('1st Qtr'!C11, '2nd Qtr'!C11, '3rd Qtr'!C11, '4th Qtr'!C11)</f>
        <v>458526</v>
      </c>
      <c r="D11" s="18">
        <f>SUM('1st Qtr'!D11, '2nd Qtr'!D11, '3rd Qtr'!D11, '4th Qtr'!D11)</f>
        <v>0</v>
      </c>
      <c r="E11" s="18">
        <f t="shared" si="0"/>
        <v>458526</v>
      </c>
      <c r="F11" s="19" t="str">
        <f t="shared" si="1"/>
        <v/>
      </c>
      <c r="G11" s="20">
        <f>SUM('1st Qtr'!G11, '2nd Qtr'!G11, '3rd Qtr'!G11, '4th Qtr'!G11)</f>
        <v>524748.48</v>
      </c>
      <c r="H11" s="20">
        <f>SUM('1st Qtr'!H11, '2nd Qtr'!H11, '3rd Qtr'!H11, '4th Qtr'!H11)</f>
        <v>-66222.479999999981</v>
      </c>
      <c r="I11" s="19">
        <f t="shared" si="2"/>
        <v>-0.12619851704953958</v>
      </c>
    </row>
    <row r="12" spans="1:9" ht="15.75">
      <c r="A12" s="53" t="str">
        <v>Kohls - Edgewood</v>
      </c>
      <c r="B12" s="28" t="str">
        <v>MD</v>
      </c>
      <c r="C12" s="24">
        <f>SUM('1st Qtr'!C12, '2nd Qtr'!C12, '3rd Qtr'!C12, '4th Qtr'!C12)</f>
        <v>2522326</v>
      </c>
      <c r="D12" s="13">
        <f>SUM('1st Qtr'!D12, '2nd Qtr'!D12, '3rd Qtr'!D12, '4th Qtr'!D12)</f>
        <v>0</v>
      </c>
      <c r="E12" s="13">
        <f t="shared" si="0"/>
        <v>2522326</v>
      </c>
      <c r="F12" s="14" t="str">
        <f t="shared" si="1"/>
        <v/>
      </c>
      <c r="G12" s="15">
        <f>SUM('1st Qtr'!G12, '2nd Qtr'!G12, '3rd Qtr'!G12, '4th Qtr'!G12)</f>
        <v>2806011.41</v>
      </c>
      <c r="H12" s="15">
        <f>SUM('1st Qtr'!H12, '2nd Qtr'!H12, '3rd Qtr'!H12, '4th Qtr'!H12)</f>
        <v>-283685.41000000009</v>
      </c>
      <c r="I12" s="16">
        <f t="shared" si="2"/>
        <v>-0.101099164810595</v>
      </c>
    </row>
    <row r="13" spans="1:9" ht="15.75">
      <c r="A13" s="52" t="str">
        <v>Kohls - Granite Run</v>
      </c>
      <c r="B13" s="30" t="str">
        <v>PA</v>
      </c>
      <c r="C13" s="11">
        <f>SUM('1st Qtr'!C13, '2nd Qtr'!C13, '3rd Qtr'!C13, '4th Qtr'!C13)</f>
        <v>348010</v>
      </c>
      <c r="D13" s="18">
        <f>SUM('1st Qtr'!D13, '2nd Qtr'!D13, '3rd Qtr'!D13, '4th Qtr'!D13)</f>
        <v>0</v>
      </c>
      <c r="E13" s="18">
        <f t="shared" si="0"/>
        <v>348010</v>
      </c>
      <c r="F13" s="19" t="str">
        <f t="shared" si="1"/>
        <v/>
      </c>
      <c r="G13" s="20">
        <f>SUM('1st Qtr'!G13, '2nd Qtr'!G13, '3rd Qtr'!G13, '4th Qtr'!G13)</f>
        <v>338057.44</v>
      </c>
      <c r="H13" s="20">
        <f>SUM('1st Qtr'!H13, '2nd Qtr'!H13, '3rd Qtr'!H13, '4th Qtr'!H13)</f>
        <v>9952.5599999999959</v>
      </c>
      <c r="I13" s="19">
        <f t="shared" si="2"/>
        <v>2.9440440654108946E-2</v>
      </c>
    </row>
    <row r="14" spans="1:9" ht="15.75">
      <c r="A14" s="53" t="str">
        <v>Kohls - Greece</v>
      </c>
      <c r="B14" s="28" t="str">
        <v>NY</v>
      </c>
      <c r="C14" s="24">
        <f>SUM('1st Qtr'!C14, '2nd Qtr'!C14, '3rd Qtr'!C14, '4th Qtr'!C14)</f>
        <v>259299</v>
      </c>
      <c r="D14" s="13">
        <f>SUM('1st Qtr'!D14, '2nd Qtr'!D14, '3rd Qtr'!D14, '4th Qtr'!D14)</f>
        <v>0</v>
      </c>
      <c r="E14" s="13">
        <f t="shared" si="0"/>
        <v>259299</v>
      </c>
      <c r="F14" s="14" t="str">
        <f t="shared" si="1"/>
        <v/>
      </c>
      <c r="G14" s="15">
        <f>SUM('1st Qtr'!G14, '2nd Qtr'!G14, '3rd Qtr'!G14, '4th Qtr'!G14)</f>
        <v>377359.29000000004</v>
      </c>
      <c r="H14" s="15">
        <f>SUM('1st Qtr'!H14, '2nd Qtr'!H14, '3rd Qtr'!H14, '4th Qtr'!H14)</f>
        <v>-118060.29000000001</v>
      </c>
      <c r="I14" s="16">
        <f t="shared" si="2"/>
        <v>-0.31285910570798453</v>
      </c>
    </row>
    <row r="15" spans="1:9" ht="15.75">
      <c r="A15" s="52" t="str">
        <v>Kohls - Hanover</v>
      </c>
      <c r="B15" s="30" t="str">
        <v>PA</v>
      </c>
      <c r="C15" s="11">
        <f>SUM('1st Qtr'!C15, '2nd Qtr'!C15, '3rd Qtr'!C15, '4th Qtr'!C15)</f>
        <v>263614</v>
      </c>
      <c r="D15" s="18">
        <f>SUM('1st Qtr'!D15, '2nd Qtr'!D15, '3rd Qtr'!D15, '4th Qtr'!D15)</f>
        <v>0</v>
      </c>
      <c r="E15" s="18">
        <f t="shared" si="0"/>
        <v>263614</v>
      </c>
      <c r="F15" s="19" t="str">
        <f t="shared" si="1"/>
        <v/>
      </c>
      <c r="G15" s="20">
        <f>SUM('1st Qtr'!G15, '2nd Qtr'!G15, '3rd Qtr'!G15, '4th Qtr'!G15)</f>
        <v>374901.67</v>
      </c>
      <c r="H15" s="20">
        <f>SUM('1st Qtr'!H15, '2nd Qtr'!H15, '3rd Qtr'!H15, '4th Qtr'!H15)</f>
        <v>-111287.66999999998</v>
      </c>
      <c r="I15" s="19">
        <f t="shared" si="2"/>
        <v>-0.29684495670558092</v>
      </c>
    </row>
    <row r="16" spans="1:9" ht="15.75">
      <c r="A16" s="53" t="str">
        <v>Kohls - Horsehead</v>
      </c>
      <c r="B16" s="28" t="str">
        <v>NY</v>
      </c>
      <c r="C16" s="24">
        <f>SUM('1st Qtr'!C16, '2nd Qtr'!C16, '3rd Qtr'!C16, '4th Qtr'!C16)</f>
        <v>273382</v>
      </c>
      <c r="D16" s="13">
        <f>SUM('1st Qtr'!D16, '2nd Qtr'!D16, '3rd Qtr'!D16, '4th Qtr'!D16)</f>
        <v>0</v>
      </c>
      <c r="E16" s="13">
        <f t="shared" ref="E16:E19" si="3">IF(AND(ISNUMBER(C16),ISNUMBER(D16)), C16-D16, "")</f>
        <v>273382</v>
      </c>
      <c r="F16" s="14" t="str">
        <f t="shared" ref="F16:F19" si="4">IFERROR(E16/D16, "")</f>
        <v/>
      </c>
      <c r="G16" s="15">
        <f>SUM('1st Qtr'!G16, '2nd Qtr'!G16, '3rd Qtr'!G16, '4th Qtr'!G16)</f>
        <v>296118.39999999997</v>
      </c>
      <c r="H16" s="15">
        <f>SUM('1st Qtr'!H16, '2nd Qtr'!H16, '3rd Qtr'!H16, '4th Qtr'!H16)</f>
        <v>-22736.400000000001</v>
      </c>
      <c r="I16" s="16">
        <f t="shared" ref="I16:I19" si="5">IFERROR(H16/G16, "")</f>
        <v>-7.6781449582329242E-2</v>
      </c>
    </row>
    <row r="17" spans="1:9" ht="15.75">
      <c r="A17" s="52" t="str">
        <v>Kohls - Hudson</v>
      </c>
      <c r="B17" s="30" t="str">
        <v>NY</v>
      </c>
      <c r="C17" s="11">
        <f>SUM('1st Qtr'!C17, '2nd Qtr'!C17, '3rd Qtr'!C17, '4th Qtr'!C17)</f>
        <v>267244</v>
      </c>
      <c r="D17" s="18">
        <f>SUM('1st Qtr'!D17, '2nd Qtr'!D17, '3rd Qtr'!D17, '4th Qtr'!D17)</f>
        <v>0</v>
      </c>
      <c r="E17" s="18">
        <f t="shared" si="3"/>
        <v>267244</v>
      </c>
      <c r="F17" s="19" t="str">
        <f t="shared" si="4"/>
        <v/>
      </c>
      <c r="G17" s="20">
        <f>SUM('1st Qtr'!G17, '2nd Qtr'!G17, '3rd Qtr'!G17, '4th Qtr'!G17)</f>
        <v>332196.84999999998</v>
      </c>
      <c r="H17" s="20">
        <f>SUM('1st Qtr'!H17, '2nd Qtr'!H17, '3rd Qtr'!H17, '4th Qtr'!H17)</f>
        <v>-64952.850000000006</v>
      </c>
      <c r="I17" s="19">
        <f t="shared" si="5"/>
        <v>-0.19552518333632607</v>
      </c>
    </row>
    <row r="18" spans="1:9" ht="12.75" customHeight="1">
      <c r="A18" s="53" t="str">
        <v>Kohls - Ithaca</v>
      </c>
      <c r="B18" s="28" t="str">
        <v>NY</v>
      </c>
      <c r="C18" s="24">
        <f>SUM('1st Qtr'!C18, '2nd Qtr'!C18, '3rd Qtr'!C18, '4th Qtr'!C18)</f>
        <v>282500</v>
      </c>
      <c r="D18" s="13">
        <f>SUM('1st Qtr'!D18, '2nd Qtr'!D18, '3rd Qtr'!D18, '4th Qtr'!D18)</f>
        <v>0</v>
      </c>
      <c r="E18" s="13">
        <f t="shared" si="3"/>
        <v>282500</v>
      </c>
      <c r="F18" s="14" t="str">
        <f t="shared" si="4"/>
        <v/>
      </c>
      <c r="G18" s="15">
        <f>SUM('1st Qtr'!G18, '2nd Qtr'!G18, '3rd Qtr'!G18, '4th Qtr'!G18)</f>
        <v>336164.55</v>
      </c>
      <c r="H18" s="15">
        <f>SUM('1st Qtr'!H18, '2nd Qtr'!H18, '3rd Qtr'!H18, '4th Qtr'!H18)</f>
        <v>-53664.549999999988</v>
      </c>
      <c r="I18" s="16">
        <f t="shared" si="5"/>
        <v>-0.15963774288514357</v>
      </c>
    </row>
    <row r="19" spans="1:9" ht="15.75">
      <c r="A19" s="52" t="str">
        <v>Kohls - Kingston</v>
      </c>
      <c r="B19" s="30" t="str">
        <v>NY</v>
      </c>
      <c r="C19" s="11">
        <f>SUM('1st Qtr'!C19, '2nd Qtr'!C19, '3rd Qtr'!C19, '4th Qtr'!C19)</f>
        <v>472222</v>
      </c>
      <c r="D19" s="18">
        <f>SUM('1st Qtr'!D19, '2nd Qtr'!D19, '3rd Qtr'!D19, '4th Qtr'!D19)</f>
        <v>0</v>
      </c>
      <c r="E19" s="18">
        <f t="shared" si="3"/>
        <v>472222</v>
      </c>
      <c r="F19" s="19" t="str">
        <f t="shared" si="4"/>
        <v/>
      </c>
      <c r="G19" s="20">
        <f>SUM('1st Qtr'!G19, '2nd Qtr'!G19, '3rd Qtr'!G19, '4th Qtr'!G19)</f>
        <v>511285.99500000005</v>
      </c>
      <c r="H19" s="20">
        <f>SUM('1st Qtr'!H19, '2nd Qtr'!H19, '3rd Qtr'!H19, '4th Qtr'!H19)</f>
        <v>-49124.486000000004</v>
      </c>
      <c r="I19" s="19">
        <f t="shared" si="5"/>
        <v>-9.6080249567563447E-2</v>
      </c>
    </row>
    <row r="20" spans="1:9" ht="15.75">
      <c r="A20" s="53" t="str">
        <v>Kohls - Mechanicsburg</v>
      </c>
      <c r="B20" s="28" t="str">
        <v>PA</v>
      </c>
      <c r="C20" s="24">
        <f>SUM('1st Qtr'!C20, '2nd Qtr'!C20, '3rd Qtr'!C20, '4th Qtr'!C20)</f>
        <v>407024</v>
      </c>
      <c r="D20" s="13">
        <f>SUM('1st Qtr'!D20, '2nd Qtr'!D20, '3rd Qtr'!D20, '4th Qtr'!D20)</f>
        <v>0</v>
      </c>
      <c r="E20" s="13">
        <f t="shared" ref="E20:E25" si="6">IF(AND(ISNUMBER(C20),ISNUMBER(D20)), C20-D20, "")</f>
        <v>407024</v>
      </c>
      <c r="F20" s="14" t="str">
        <f t="shared" ref="F20:F25" si="7">IFERROR(E20/D20, "")</f>
        <v/>
      </c>
      <c r="G20" s="15">
        <f>SUM('1st Qtr'!G20, '2nd Qtr'!G20, '3rd Qtr'!G20, '4th Qtr'!G20)</f>
        <v>435705.87000000005</v>
      </c>
      <c r="H20" s="15">
        <f>SUM('1st Qtr'!H20, '2nd Qtr'!H20, '3rd Qtr'!H20, '4th Qtr'!H20)</f>
        <v>-24215.69</v>
      </c>
      <c r="I20" s="16">
        <f t="shared" ref="I20:I25" si="8">IFERROR(H20/G20, "")</f>
        <v>-5.5578066919318748E-2</v>
      </c>
    </row>
    <row r="21" spans="1:9" ht="15.75">
      <c r="A21" s="52" t="str">
        <v>Kohls - Middletown</v>
      </c>
      <c r="B21" s="30" t="str">
        <v>NJ</v>
      </c>
      <c r="C21" s="11">
        <f>SUM('1st Qtr'!C21, '2nd Qtr'!C21, '3rd Qtr'!C21, '4th Qtr'!C21)</f>
        <v>495441</v>
      </c>
      <c r="D21" s="18">
        <f>SUM('1st Qtr'!D21, '2nd Qtr'!D21, '3rd Qtr'!D21, '4th Qtr'!D21)</f>
        <v>0</v>
      </c>
      <c r="E21" s="18">
        <f t="shared" si="6"/>
        <v>495441</v>
      </c>
      <c r="F21" s="19" t="str">
        <f t="shared" si="7"/>
        <v/>
      </c>
      <c r="G21" s="20">
        <f>SUM('1st Qtr'!G21, '2nd Qtr'!G21, '3rd Qtr'!G21, '4th Qtr'!G21)</f>
        <v>619125.37</v>
      </c>
      <c r="H21" s="20">
        <f>SUM('1st Qtr'!H21, '2nd Qtr'!H21, '3rd Qtr'!H21, '4th Qtr'!H21)</f>
        <v>-98258.269999999975</v>
      </c>
      <c r="I21" s="19">
        <f t="shared" si="8"/>
        <v>-0.15870496471498169</v>
      </c>
    </row>
    <row r="22" spans="1:9" ht="15.75">
      <c r="A22" s="53" t="str">
        <v>Kohls - North Amherst</v>
      </c>
      <c r="B22" s="28" t="str">
        <v>NY</v>
      </c>
      <c r="C22" s="24">
        <f>SUM('1st Qtr'!C22, '2nd Qtr'!C22, '3rd Qtr'!C22, '4th Qtr'!C22)</f>
        <v>212870</v>
      </c>
      <c r="D22" s="13">
        <f>SUM('1st Qtr'!D22, '2nd Qtr'!D22, '3rd Qtr'!D22, '4th Qtr'!D22)</f>
        <v>0</v>
      </c>
      <c r="E22" s="13">
        <f t="shared" si="6"/>
        <v>212870</v>
      </c>
      <c r="F22" s="14" t="str">
        <f t="shared" si="7"/>
        <v/>
      </c>
      <c r="G22" s="15">
        <f>SUM('1st Qtr'!G22, '2nd Qtr'!G22, '3rd Qtr'!G22, '4th Qtr'!G22)</f>
        <v>330856.58</v>
      </c>
      <c r="H22" s="15">
        <f>SUM('1st Qtr'!H22, '2nd Qtr'!H22, '3rd Qtr'!H22, '4th Qtr'!H22)</f>
        <v>-121293.59999999998</v>
      </c>
      <c r="I22" s="16">
        <f t="shared" si="8"/>
        <v>-0.36660476874904518</v>
      </c>
    </row>
    <row r="23" spans="1:9" ht="15.75">
      <c r="A23" s="52" t="str">
        <v>Kohls - Staten Island</v>
      </c>
      <c r="B23" s="30" t="str">
        <v>NY</v>
      </c>
      <c r="C23" s="11">
        <f>SUM('1st Qtr'!C23, '2nd Qtr'!C23, '3rd Qtr'!C23, '4th Qtr'!C23)</f>
        <v>262229.40000000002</v>
      </c>
      <c r="D23" s="18">
        <f>SUM('1st Qtr'!D23, '2nd Qtr'!D23, '3rd Qtr'!D23, '4th Qtr'!D23)</f>
        <v>0</v>
      </c>
      <c r="E23" s="18">
        <f t="shared" si="6"/>
        <v>262229.40000000002</v>
      </c>
      <c r="F23" s="19" t="str">
        <f t="shared" si="7"/>
        <v/>
      </c>
      <c r="G23" s="20">
        <f>SUM('1st Qtr'!G23, '2nd Qtr'!G23, '3rd Qtr'!G23, '4th Qtr'!G23)</f>
        <v>368475.69</v>
      </c>
      <c r="H23" s="20">
        <f>SUM('1st Qtr'!H23, '2nd Qtr'!H23, '3rd Qtr'!H23, '4th Qtr'!H23)</f>
        <v>-101736.1</v>
      </c>
      <c r="I23" s="19">
        <f t="shared" si="8"/>
        <v>-0.27609989684801189</v>
      </c>
    </row>
    <row r="24" spans="1:9" ht="15.75">
      <c r="A24" s="53" t="str">
        <v>Kohls - Warminster</v>
      </c>
      <c r="B24" s="28" t="str">
        <v>PA</v>
      </c>
      <c r="C24" s="24">
        <f>SUM('1st Qtr'!C24, '2nd Qtr'!C24, '3rd Qtr'!C24, '4th Qtr'!C24)</f>
        <v>400827</v>
      </c>
      <c r="D24" s="13">
        <f>SUM('1st Qtr'!D24, '2nd Qtr'!D24, '3rd Qtr'!D24, '4th Qtr'!D24)</f>
        <v>0</v>
      </c>
      <c r="E24" s="13">
        <f t="shared" si="6"/>
        <v>400827</v>
      </c>
      <c r="F24" s="14" t="str">
        <f t="shared" si="7"/>
        <v/>
      </c>
      <c r="G24" s="15">
        <f>SUM('1st Qtr'!G24, '2nd Qtr'!G24, '3rd Qtr'!G24, '4th Qtr'!G24)</f>
        <v>407639.76000000007</v>
      </c>
      <c r="H24" s="15">
        <f>SUM('1st Qtr'!H24, '2nd Qtr'!H24, '3rd Qtr'!H24, '4th Qtr'!H24)</f>
        <v>-12369.589999999997</v>
      </c>
      <c r="I24" s="16">
        <f t="shared" si="8"/>
        <v>-3.0344414882395167E-2</v>
      </c>
    </row>
    <row r="25" spans="1:9" ht="15.75">
      <c r="A25" s="52" t="str">
        <v xml:space="preserve">Kohls - Waterbury </v>
      </c>
      <c r="B25" s="30" t="str">
        <v>CT</v>
      </c>
      <c r="C25" s="11">
        <f>SUM('1st Qtr'!C25, '2nd Qtr'!C25, '3rd Qtr'!C25, '4th Qtr'!C25)</f>
        <v>332224</v>
      </c>
      <c r="D25" s="18">
        <f>SUM('1st Qtr'!D25, '2nd Qtr'!D25, '3rd Qtr'!D25, '4th Qtr'!D25)</f>
        <v>0</v>
      </c>
      <c r="E25" s="18">
        <f t="shared" si="6"/>
        <v>332224</v>
      </c>
      <c r="F25" s="19" t="str">
        <f t="shared" si="7"/>
        <v/>
      </c>
      <c r="G25" s="20">
        <f>SUM('1st Qtr'!G25, '2nd Qtr'!G25, '3rd Qtr'!G25, '4th Qtr'!G25)</f>
        <v>465254.30000000005</v>
      </c>
      <c r="H25" s="20">
        <f>SUM('1st Qtr'!H25, '2nd Qtr'!H25, '3rd Qtr'!H25, '4th Qtr'!H25)</f>
        <v>-133030.30000000002</v>
      </c>
      <c r="I25" s="19">
        <f t="shared" si="8"/>
        <v>-0.28593029661413127</v>
      </c>
    </row>
    <row r="26" spans="1:9" ht="15.75">
      <c r="A26" s="53" t="str">
        <v>Mojave Water Agency - Headquarters</v>
      </c>
      <c r="B26" s="28" t="str">
        <v>CA</v>
      </c>
      <c r="C26" s="24">
        <f>SUM('1st Qtr'!C26, '2nd Qtr'!C26, '3rd Qtr'!C26, '4th Qtr'!C26)</f>
        <v>139024</v>
      </c>
      <c r="D26" s="13">
        <f>SUM('1st Qtr'!D26, '2nd Qtr'!D26, '3rd Qtr'!D26, '4th Qtr'!D26)</f>
        <v>0</v>
      </c>
      <c r="E26" s="13">
        <f t="shared" ref="E26:E68" si="9">IF(AND(ISNUMBER(C26),ISNUMBER(D26)), C26-D26, "")</f>
        <v>139024</v>
      </c>
      <c r="F26" s="14" t="str">
        <f t="shared" ref="F26:F68" si="10">IFERROR(E26/D26, "")</f>
        <v/>
      </c>
      <c r="G26" s="15">
        <f>SUM('1st Qtr'!G26, '2nd Qtr'!G26, '3rd Qtr'!G26, '4th Qtr'!G26)</f>
        <v>156582.6</v>
      </c>
      <c r="H26" s="15">
        <f>SUM('1st Qtr'!H26, '2nd Qtr'!H26, '3rd Qtr'!H26, '4th Qtr'!H26)</f>
        <v>2209.17</v>
      </c>
      <c r="I26" s="16">
        <f t="shared" ref="I26:I68" si="11">IFERROR(H26/G26, "")</f>
        <v>1.4108655751022145E-2</v>
      </c>
    </row>
    <row r="27" spans="1:9" ht="15.75">
      <c r="A27" s="52" t="str">
        <v>CSU - Bakersfield</v>
      </c>
      <c r="B27" s="30" t="str">
        <v>CA</v>
      </c>
      <c r="C27" s="11">
        <f>SUM('1st Qtr'!C27, '2nd Qtr'!C27, '3rd Qtr'!C27, '4th Qtr'!C27)</f>
        <v>228313</v>
      </c>
      <c r="D27" s="18">
        <f>SUM('1st Qtr'!D27, '2nd Qtr'!D27, '3rd Qtr'!D27, '4th Qtr'!D27)</f>
        <v>0</v>
      </c>
      <c r="E27" s="18">
        <f t="shared" si="9"/>
        <v>228313</v>
      </c>
      <c r="F27" s="19" t="str">
        <f t="shared" si="10"/>
        <v/>
      </c>
      <c r="G27" s="20">
        <f>SUM('1st Qtr'!G27, '2nd Qtr'!G27, '3rd Qtr'!G27, '4th Qtr'!G27)</f>
        <v>455976.75</v>
      </c>
      <c r="H27" s="20">
        <f>SUM('1st Qtr'!H27, '2nd Qtr'!H27, '3rd Qtr'!H27, '4th Qtr'!H27)</f>
        <v>-227663.75</v>
      </c>
      <c r="I27" s="19">
        <f t="shared" si="11"/>
        <v>-0.49928806677094828</v>
      </c>
    </row>
    <row r="28" spans="1:9" ht="15.75">
      <c r="A28" s="53" t="str">
        <v>Greenfield USD - Fairfield ES</v>
      </c>
      <c r="B28" s="28" t="str">
        <v>CA</v>
      </c>
      <c r="C28" s="24">
        <f>SUM('1st Qtr'!C28, '2nd Qtr'!C28, '3rd Qtr'!C28, '4th Qtr'!C28)</f>
        <v>46003</v>
      </c>
      <c r="D28" s="13">
        <f>SUM('1st Qtr'!D28, '2nd Qtr'!D28, '3rd Qtr'!D28, '4th Qtr'!D28)</f>
        <v>0</v>
      </c>
      <c r="E28" s="13">
        <f t="shared" si="9"/>
        <v>46003</v>
      </c>
      <c r="F28" s="14" t="str">
        <f t="shared" si="10"/>
        <v/>
      </c>
      <c r="G28" s="15">
        <f>SUM('1st Qtr'!G28, '2nd Qtr'!G28, '3rd Qtr'!G28, '4th Qtr'!G28)</f>
        <v>58953.939999999995</v>
      </c>
      <c r="H28" s="15">
        <f>SUM('1st Qtr'!H28, '2nd Qtr'!H28, '3rd Qtr'!H28, '4th Qtr'!H28)</f>
        <v>-24539.941999999995</v>
      </c>
      <c r="I28" s="16">
        <f t="shared" si="11"/>
        <v>-0.41625618236881196</v>
      </c>
    </row>
    <row r="29" spans="1:9" ht="15.75">
      <c r="A29" s="52" t="str">
        <v>Greenfield USD - Granite Point ES</v>
      </c>
      <c r="B29" s="30" t="str">
        <v>CA</v>
      </c>
      <c r="C29" s="11">
        <f>SUM('1st Qtr'!C29, '2nd Qtr'!C29, '3rd Qtr'!C29, '4th Qtr'!C29)</f>
        <v>98891</v>
      </c>
      <c r="D29" s="18">
        <f>SUM('1st Qtr'!D29, '2nd Qtr'!D29, '3rd Qtr'!D29, '4th Qtr'!D29)</f>
        <v>0</v>
      </c>
      <c r="E29" s="18">
        <f t="shared" si="9"/>
        <v>98891</v>
      </c>
      <c r="F29" s="19" t="str">
        <f t="shared" si="10"/>
        <v/>
      </c>
      <c r="G29" s="20">
        <f>SUM('1st Qtr'!G29, '2nd Qtr'!G29, '3rd Qtr'!G29, '4th Qtr'!G29)</f>
        <v>154861.29</v>
      </c>
      <c r="H29" s="20">
        <f>SUM('1st Qtr'!H29, '2nd Qtr'!H29, '3rd Qtr'!H29, '4th Qtr'!H29)</f>
        <v>-57115.3</v>
      </c>
      <c r="I29" s="19">
        <f t="shared" si="11"/>
        <v>-0.36881586095531038</v>
      </c>
    </row>
    <row r="30" spans="1:9" ht="15.75">
      <c r="A30" s="53" t="str">
        <v>Greenfield USD - Greenfield MS</v>
      </c>
      <c r="B30" s="28" t="str">
        <v>CA</v>
      </c>
      <c r="C30" s="24">
        <f>SUM('1st Qtr'!C30, '2nd Qtr'!C30, '3rd Qtr'!C30, '4th Qtr'!C30)</f>
        <v>66614</v>
      </c>
      <c r="D30" s="13">
        <f>SUM('1st Qtr'!D30, '2nd Qtr'!D30, '3rd Qtr'!D30, '4th Qtr'!D30)</f>
        <v>0</v>
      </c>
      <c r="E30" s="13">
        <f t="shared" si="9"/>
        <v>66614</v>
      </c>
      <c r="F30" s="14" t="str">
        <f t="shared" si="10"/>
        <v/>
      </c>
      <c r="G30" s="15">
        <f>SUM('1st Qtr'!G30, '2nd Qtr'!G30, '3rd Qtr'!G30, '4th Qtr'!G30)</f>
        <v>106198.58899999999</v>
      </c>
      <c r="H30" s="15">
        <f>SUM('1st Qtr'!H30, '2nd Qtr'!H30, '3rd Qtr'!H30, '4th Qtr'!H30)</f>
        <v>-37529.667000000001</v>
      </c>
      <c r="I30" s="16">
        <f t="shared" si="11"/>
        <v>-0.3533913901624437</v>
      </c>
    </row>
    <row r="31" spans="1:9" ht="15.75">
      <c r="A31" s="52" t="str">
        <v>Greenfield USD - Horizon ES</v>
      </c>
      <c r="B31" s="30" t="str">
        <v>CA</v>
      </c>
      <c r="C31" s="11">
        <f>SUM('1st Qtr'!C31, '2nd Qtr'!C31, '3rd Qtr'!C31, '4th Qtr'!C31)</f>
        <v>72933</v>
      </c>
      <c r="D31" s="18">
        <f>SUM('1st Qtr'!D31, '2nd Qtr'!D31, '3rd Qtr'!D31, '4th Qtr'!D31)</f>
        <v>0</v>
      </c>
      <c r="E31" s="18">
        <f t="shared" si="9"/>
        <v>72933</v>
      </c>
      <c r="F31" s="19" t="str">
        <f t="shared" si="10"/>
        <v/>
      </c>
      <c r="G31" s="20">
        <f>SUM('1st Qtr'!G31, '2nd Qtr'!G31, '3rd Qtr'!G31, '4th Qtr'!G31)</f>
        <v>158969.27000000002</v>
      </c>
      <c r="H31" s="20">
        <f>SUM('1st Qtr'!H31, '2nd Qtr'!H31, '3rd Qtr'!H31, '4th Qtr'!H31)</f>
        <v>-63885.729999999996</v>
      </c>
      <c r="I31" s="19">
        <f t="shared" si="11"/>
        <v>-0.40187471452815998</v>
      </c>
    </row>
    <row r="32" spans="1:9" ht="15.75">
      <c r="A32" s="53" t="str">
        <v>Greenfield USD - McKee MS</v>
      </c>
      <c r="B32" s="28" t="str">
        <v>CA</v>
      </c>
      <c r="C32" s="24">
        <f>SUM('1st Qtr'!C32, '2nd Qtr'!C32, '3rd Qtr'!C32, '4th Qtr'!C32)</f>
        <v>46986</v>
      </c>
      <c r="D32" s="13">
        <f>SUM('1st Qtr'!D32, '2nd Qtr'!D32, '3rd Qtr'!D32, '4th Qtr'!D32)</f>
        <v>0</v>
      </c>
      <c r="E32" s="13">
        <f t="shared" si="9"/>
        <v>46986</v>
      </c>
      <c r="F32" s="14" t="str">
        <f t="shared" si="10"/>
        <v/>
      </c>
      <c r="G32" s="15">
        <f>SUM('1st Qtr'!G32, '2nd Qtr'!G32, '3rd Qtr'!G32, '4th Qtr'!G32)</f>
        <v>97247.65</v>
      </c>
      <c r="H32" s="15">
        <f>SUM('1st Qtr'!H32, '2nd Qtr'!H32, '3rd Qtr'!H32, '4th Qtr'!H32)</f>
        <v>-45957.429999999993</v>
      </c>
      <c r="I32" s="16">
        <f t="shared" si="11"/>
        <v>-0.47258139399769555</v>
      </c>
    </row>
    <row r="33" spans="1:9" ht="15.75">
      <c r="A33" s="52" t="str">
        <v>Greenfield USD - Plantation ES</v>
      </c>
      <c r="B33" s="30" t="str">
        <v>CA</v>
      </c>
      <c r="C33" s="11">
        <f>SUM('1st Qtr'!C33, '2nd Qtr'!C33, '3rd Qtr'!C33, '4th Qtr'!C33)</f>
        <v>54715</v>
      </c>
      <c r="D33" s="18">
        <f>SUM('1st Qtr'!D33, '2nd Qtr'!D33, '3rd Qtr'!D33, '4th Qtr'!D33)</f>
        <v>0</v>
      </c>
      <c r="E33" s="18">
        <f t="shared" si="9"/>
        <v>54715</v>
      </c>
      <c r="F33" s="19" t="str">
        <f t="shared" si="10"/>
        <v/>
      </c>
      <c r="G33" s="20">
        <f>SUM('1st Qtr'!G33, '2nd Qtr'!G33, '3rd Qtr'!G33, '4th Qtr'!G33)</f>
        <v>69339.63</v>
      </c>
      <c r="H33" s="20">
        <f>SUM('1st Qtr'!H33, '2nd Qtr'!H33, '3rd Qtr'!H33, '4th Qtr'!H33)</f>
        <v>-40403.680000000008</v>
      </c>
      <c r="I33" s="19">
        <f t="shared" si="11"/>
        <v>-0.58269246605440506</v>
      </c>
    </row>
    <row r="34" spans="1:9" ht="15.75">
      <c r="A34" s="53" t="str">
        <v>Greenfield USD - Planz ES</v>
      </c>
      <c r="B34" s="28" t="str">
        <v>CA</v>
      </c>
      <c r="C34" s="24">
        <f>SUM('1st Qtr'!C34, '2nd Qtr'!C34, '3rd Qtr'!C34, '4th Qtr'!C34)</f>
        <v>47481</v>
      </c>
      <c r="D34" s="13">
        <f>SUM('1st Qtr'!D34, '2nd Qtr'!D34, '3rd Qtr'!D34, '4th Qtr'!D34)</f>
        <v>0</v>
      </c>
      <c r="E34" s="13">
        <f t="shared" si="9"/>
        <v>47481</v>
      </c>
      <c r="F34" s="14" t="str">
        <f t="shared" si="10"/>
        <v/>
      </c>
      <c r="G34" s="15">
        <f>SUM('1st Qtr'!G34, '2nd Qtr'!G34, '3rd Qtr'!G34, '4th Qtr'!G34)</f>
        <v>78984.790000000008</v>
      </c>
      <c r="H34" s="15">
        <f>SUM('1st Qtr'!H34, '2nd Qtr'!H34, '3rd Qtr'!H34, '4th Qtr'!H34)</f>
        <v>-51821.57</v>
      </c>
      <c r="I34" s="16">
        <f t="shared" si="11"/>
        <v>-0.65609555966408206</v>
      </c>
    </row>
    <row r="35" spans="1:9" ht="15.75">
      <c r="A35" s="52" t="str">
        <v>Greenfield USD - Raffaello Palla ES</v>
      </c>
      <c r="B35" s="30" t="str">
        <v>CA</v>
      </c>
      <c r="C35" s="11">
        <f>SUM('1st Qtr'!C35, '2nd Qtr'!C35, '3rd Qtr'!C35, '4th Qtr'!C35)</f>
        <v>86248</v>
      </c>
      <c r="D35" s="18">
        <f>SUM('1st Qtr'!D35, '2nd Qtr'!D35, '3rd Qtr'!D35, '4th Qtr'!D35)</f>
        <v>0</v>
      </c>
      <c r="E35" s="18">
        <f t="shared" si="9"/>
        <v>86248</v>
      </c>
      <c r="F35" s="19" t="str">
        <f t="shared" si="10"/>
        <v/>
      </c>
      <c r="G35" s="20">
        <f>SUM('1st Qtr'!G35, '2nd Qtr'!G35, '3rd Qtr'!G35, '4th Qtr'!G35)</f>
        <v>174473.73</v>
      </c>
      <c r="H35" s="20">
        <f>SUM('1st Qtr'!H35, '2nd Qtr'!H35, '3rd Qtr'!H35, '4th Qtr'!H35)</f>
        <v>-60752.76</v>
      </c>
      <c r="I35" s="19">
        <f t="shared" si="11"/>
        <v>-0.34820577286907317</v>
      </c>
    </row>
    <row r="36" spans="1:9" ht="15.75">
      <c r="A36" s="53" t="str">
        <v>Greenfield USD - Valle Verde ES</v>
      </c>
      <c r="B36" s="28" t="str">
        <v>CA</v>
      </c>
      <c r="C36" s="24">
        <f>SUM('1st Qtr'!C36, '2nd Qtr'!C36, '3rd Qtr'!C36, '4th Qtr'!C36)</f>
        <v>102153</v>
      </c>
      <c r="D36" s="13">
        <f>SUM('1st Qtr'!D36, '2nd Qtr'!D36, '3rd Qtr'!D36, '4th Qtr'!D36)</f>
        <v>0</v>
      </c>
      <c r="E36" s="13">
        <f t="shared" si="9"/>
        <v>102153</v>
      </c>
      <c r="F36" s="14" t="str">
        <f t="shared" si="10"/>
        <v/>
      </c>
      <c r="G36" s="15">
        <f>SUM('1st Qtr'!G36, '2nd Qtr'!G36, '3rd Qtr'!G36, '4th Qtr'!G36)</f>
        <v>162958.79</v>
      </c>
      <c r="H36" s="15">
        <f>SUM('1st Qtr'!H36, '2nd Qtr'!H36, '3rd Qtr'!H36, '4th Qtr'!H36)</f>
        <v>-55612.33</v>
      </c>
      <c r="I36" s="16">
        <f t="shared" si="11"/>
        <v>-0.34126621828745785</v>
      </c>
    </row>
    <row r="37" spans="1:9" ht="15.75">
      <c r="A37" s="52" t="str">
        <v>Greenfield USD - W.A. Kendrick ES</v>
      </c>
      <c r="B37" s="30" t="str">
        <v>CA</v>
      </c>
      <c r="C37" s="11">
        <f>SUM('1st Qtr'!C37, '2nd Qtr'!C37, '3rd Qtr'!C37, '4th Qtr'!C37)</f>
        <v>24313.4</v>
      </c>
      <c r="D37" s="18">
        <f>SUM('1st Qtr'!D37, '2nd Qtr'!D37, '3rd Qtr'!D37, '4th Qtr'!D37)</f>
        <v>0</v>
      </c>
      <c r="E37" s="18">
        <f t="shared" si="9"/>
        <v>24313.4</v>
      </c>
      <c r="F37" s="19" t="str">
        <f t="shared" si="10"/>
        <v/>
      </c>
      <c r="G37" s="20">
        <f>SUM('1st Qtr'!G37, '2nd Qtr'!G37, '3rd Qtr'!G37, '4th Qtr'!G37)</f>
        <v>62767.6</v>
      </c>
      <c r="H37" s="20">
        <f>SUM('1st Qtr'!H37, '2nd Qtr'!H37, '3rd Qtr'!H37, '4th Qtr'!H37)</f>
        <v>-35849.050000000003</v>
      </c>
      <c r="I37" s="19">
        <f t="shared" si="11"/>
        <v>-0.57113940950426656</v>
      </c>
    </row>
    <row r="38" spans="1:9" ht="15.75">
      <c r="A38" s="53" t="str">
        <v>Muroc Joint USD - Boron HS</v>
      </c>
      <c r="B38" s="28" t="str">
        <v>CA</v>
      </c>
      <c r="C38" s="24">
        <f>SUM('1st Qtr'!C38, '2nd Qtr'!C38, '3rd Qtr'!C38, '4th Qtr'!C38)</f>
        <v>0</v>
      </c>
      <c r="D38" s="13">
        <f>SUM('1st Qtr'!D38, '2nd Qtr'!D38, '3rd Qtr'!D38, '4th Qtr'!D38)</f>
        <v>0</v>
      </c>
      <c r="E38" s="13">
        <f t="shared" si="9"/>
        <v>0</v>
      </c>
      <c r="F38" s="14" t="str">
        <f t="shared" si="10"/>
        <v/>
      </c>
      <c r="G38" s="15">
        <f>SUM('1st Qtr'!G38, '2nd Qtr'!G38, '3rd Qtr'!G38, '4th Qtr'!G38)</f>
        <v>165123.01499999998</v>
      </c>
      <c r="H38" s="15">
        <f>SUM('1st Qtr'!H38, '2nd Qtr'!H38, '3rd Qtr'!H38, '4th Qtr'!H38)</f>
        <v>-165123.01499999998</v>
      </c>
      <c r="I38" s="16">
        <f t="shared" si="11"/>
        <v>-1</v>
      </c>
    </row>
    <row r="39" spans="1:9" ht="15.75">
      <c r="A39" s="52" t="str">
        <v>Muroc Joint USD - W. Boron ES</v>
      </c>
      <c r="B39" s="30" t="str">
        <v>CA</v>
      </c>
      <c r="C39" s="11">
        <f>SUM('1st Qtr'!C39, '2nd Qtr'!C39, '3rd Qtr'!C39, '4th Qtr'!C39)</f>
        <v>85382</v>
      </c>
      <c r="D39" s="18">
        <f>SUM('1st Qtr'!D39, '2nd Qtr'!D39, '3rd Qtr'!D39, '4th Qtr'!D39)</f>
        <v>0</v>
      </c>
      <c r="E39" s="18">
        <f t="shared" si="9"/>
        <v>85382</v>
      </c>
      <c r="F39" s="19" t="str">
        <f t="shared" si="10"/>
        <v/>
      </c>
      <c r="G39" s="20">
        <f>SUM('1st Qtr'!G39, '2nd Qtr'!G39, '3rd Qtr'!G39, '4th Qtr'!G39)</f>
        <v>249021.65</v>
      </c>
      <c r="H39" s="20">
        <f>SUM('1st Qtr'!H39, '2nd Qtr'!H39, '3rd Qtr'!H39, '4th Qtr'!H39)</f>
        <v>-163639.65</v>
      </c>
      <c r="I39" s="19">
        <f t="shared" si="11"/>
        <v>-0.6571302133770297</v>
      </c>
    </row>
    <row r="40" spans="1:9" ht="15.75">
      <c r="A40" s="53" t="str">
        <v>Colusa - WTP</v>
      </c>
      <c r="B40" s="28" t="str">
        <v>CA</v>
      </c>
      <c r="C40" s="24">
        <f>SUM('1st Qtr'!C40, '2nd Qtr'!C40, '3rd Qtr'!C40, '4th Qtr'!C40)</f>
        <v>6209</v>
      </c>
      <c r="D40" s="13">
        <f>SUM('1st Qtr'!D40, '2nd Qtr'!D40, '3rd Qtr'!D40, '4th Qtr'!D40)</f>
        <v>0</v>
      </c>
      <c r="E40" s="13">
        <f t="shared" si="9"/>
        <v>6209</v>
      </c>
      <c r="F40" s="14" t="str">
        <f t="shared" si="10"/>
        <v/>
      </c>
      <c r="G40" s="15">
        <f>SUM('1st Qtr'!G40, '2nd Qtr'!G40, '3rd Qtr'!G40, '4th Qtr'!G40)</f>
        <v>143439.82199999999</v>
      </c>
      <c r="H40" s="15">
        <f>SUM('1st Qtr'!H40, '2nd Qtr'!H40, '3rd Qtr'!H40, '4th Qtr'!H40)</f>
        <v>-137230.82199999999</v>
      </c>
      <c r="I40" s="16">
        <f t="shared" si="11"/>
        <v>-0.95671355476166164</v>
      </c>
    </row>
    <row r="41" spans="1:9" ht="15.75">
      <c r="A41" s="52" t="str">
        <v>CDCR-North Kern State Prision</v>
      </c>
      <c r="B41" s="30" t="str">
        <v>CA</v>
      </c>
      <c r="C41" s="11">
        <f>SUM('1st Qtr'!C41, '2nd Qtr'!C41, '3rd Qtr'!C41, '4th Qtr'!C41)</f>
        <v>231045</v>
      </c>
      <c r="D41" s="18">
        <f>SUM('1st Qtr'!D41, '2nd Qtr'!D41, '3rd Qtr'!D41, '4th Qtr'!D41)</f>
        <v>0</v>
      </c>
      <c r="E41" s="18">
        <f t="shared" si="9"/>
        <v>231045</v>
      </c>
      <c r="F41" s="19" t="str">
        <f t="shared" si="10"/>
        <v/>
      </c>
      <c r="G41" s="20">
        <f>SUM('1st Qtr'!G41, '2nd Qtr'!G41, '3rd Qtr'!G41, '4th Qtr'!G41)</f>
        <v>607669.37</v>
      </c>
      <c r="H41" s="20">
        <f>SUM('1st Qtr'!H41, '2nd Qtr'!H41, '3rd Qtr'!H41, '4th Qtr'!H41)</f>
        <v>-376624.37</v>
      </c>
      <c r="I41" s="19">
        <f t="shared" si="11"/>
        <v>-0.61978501565744548</v>
      </c>
    </row>
    <row r="42" spans="1:9" ht="15.75">
      <c r="A42" s="53" t="str">
        <v>Muroc Joint USD - District Office</v>
      </c>
      <c r="B42" s="28" t="str">
        <v>CA</v>
      </c>
      <c r="C42" s="24">
        <f>SUM('1st Qtr'!C42, '2nd Qtr'!C42, '3rd Qtr'!C42, '4th Qtr'!C42)</f>
        <v>42261</v>
      </c>
      <c r="D42" s="13">
        <f>SUM('1st Qtr'!D42, '2nd Qtr'!D42, '3rd Qtr'!D42, '4th Qtr'!D42)</f>
        <v>0</v>
      </c>
      <c r="E42" s="13">
        <f t="shared" si="9"/>
        <v>42261</v>
      </c>
      <c r="F42" s="14" t="str">
        <f t="shared" si="10"/>
        <v/>
      </c>
      <c r="G42" s="15">
        <f>SUM('1st Qtr'!G42, '2nd Qtr'!G42, '3rd Qtr'!G42, '4th Qtr'!G42)</f>
        <v>40129.810000000005</v>
      </c>
      <c r="H42" s="15">
        <f>SUM('1st Qtr'!H42, '2nd Qtr'!H42, '3rd Qtr'!H42, '4th Qtr'!H42)</f>
        <v>-22925.38</v>
      </c>
      <c r="I42" s="16">
        <f t="shared" si="11"/>
        <v>-0.5712805517893057</v>
      </c>
    </row>
    <row r="43" spans="1:9" ht="15.75">
      <c r="A43" s="52" t="str">
        <v>Whole Foods - Manhattan Beach</v>
      </c>
      <c r="B43" s="30" t="str">
        <v>CA</v>
      </c>
      <c r="C43" s="11">
        <f>SUM('1st Qtr'!C43, '2nd Qtr'!C43, '3rd Qtr'!C43, '4th Qtr'!C43)</f>
        <v>62129</v>
      </c>
      <c r="D43" s="18">
        <f>SUM('1st Qtr'!D43, '2nd Qtr'!D43, '3rd Qtr'!D43, '4th Qtr'!D43)</f>
        <v>0</v>
      </c>
      <c r="E43" s="18">
        <f t="shared" si="9"/>
        <v>62129</v>
      </c>
      <c r="F43" s="19" t="str">
        <f t="shared" si="10"/>
        <v/>
      </c>
      <c r="G43" s="20">
        <f>SUM('1st Qtr'!G43, '2nd Qtr'!G43, '3rd Qtr'!G43, '4th Qtr'!G43)</f>
        <v>102116.63</v>
      </c>
      <c r="H43" s="20">
        <f>SUM('1st Qtr'!H43, '2nd Qtr'!H43, '3rd Qtr'!H43, '4th Qtr'!H43)</f>
        <v>-39987.629999999997</v>
      </c>
      <c r="I43" s="19">
        <f t="shared" si="11"/>
        <v>-0.39158783442030937</v>
      </c>
    </row>
    <row r="44" spans="1:9" ht="15.75">
      <c r="A44" s="53" t="str">
        <v>Pioneer USD - Frontier ES</v>
      </c>
      <c r="B44" s="28" t="str">
        <v>CA</v>
      </c>
      <c r="C44" s="24">
        <f>SUM('1st Qtr'!C44, '2nd Qtr'!C44, '3rd Qtr'!C44, '4th Qtr'!C44)</f>
        <v>111372</v>
      </c>
      <c r="D44" s="13">
        <f>SUM('1st Qtr'!D44, '2nd Qtr'!D44, '3rd Qtr'!D44, '4th Qtr'!D44)</f>
        <v>0</v>
      </c>
      <c r="E44" s="13">
        <f t="shared" si="9"/>
        <v>111372</v>
      </c>
      <c r="F44" s="14" t="str">
        <f t="shared" si="10"/>
        <v/>
      </c>
      <c r="G44" s="15">
        <f>SUM('1st Qtr'!G44, '2nd Qtr'!G44, '3rd Qtr'!G44, '4th Qtr'!G44)</f>
        <v>149751.27000000002</v>
      </c>
      <c r="H44" s="15">
        <f>SUM('1st Qtr'!H44, '2nd Qtr'!H44, '3rd Qtr'!H44, '4th Qtr'!H44)</f>
        <v>-38379.269999999997</v>
      </c>
      <c r="I44" s="16">
        <f t="shared" si="11"/>
        <v>-0.256286774729857</v>
      </c>
    </row>
    <row r="45" spans="1:9" ht="15.75">
      <c r="A45" s="52" t="str">
        <v>Pioneer USD - Pioneer ES</v>
      </c>
      <c r="B45" s="30" t="str">
        <v>CA</v>
      </c>
      <c r="C45" s="11">
        <f>SUM('1st Qtr'!C45, '2nd Qtr'!C45, '3rd Qtr'!C45, '4th Qtr'!C45)</f>
        <v>51956</v>
      </c>
      <c r="D45" s="18">
        <f>SUM('1st Qtr'!D45, '2nd Qtr'!D45, '3rd Qtr'!D45, '4th Qtr'!D45)</f>
        <v>0</v>
      </c>
      <c r="E45" s="18">
        <f t="shared" si="9"/>
        <v>51956</v>
      </c>
      <c r="F45" s="19" t="str">
        <f t="shared" si="10"/>
        <v/>
      </c>
      <c r="G45" s="20">
        <f>SUM('1st Qtr'!G45, '2nd Qtr'!G45, '3rd Qtr'!G45, '4th Qtr'!G45)</f>
        <v>187946.55</v>
      </c>
      <c r="H45" s="20">
        <f>SUM('1st Qtr'!H45, '2nd Qtr'!H45, '3rd Qtr'!H45, '4th Qtr'!H45)</f>
        <v>-135990.54999999999</v>
      </c>
      <c r="I45" s="19">
        <f t="shared" si="11"/>
        <v>-0.7235597035433744</v>
      </c>
    </row>
    <row r="46" spans="1:9" ht="15.75">
      <c r="A46" s="53" t="str">
        <v>Pioneer USD - Pioneer MS</v>
      </c>
      <c r="B46" s="28" t="str">
        <v>CA</v>
      </c>
      <c r="C46" s="24">
        <f>SUM('1st Qtr'!C46, '2nd Qtr'!C46, '3rd Qtr'!C46, '4th Qtr'!C46)</f>
        <v>629724</v>
      </c>
      <c r="D46" s="13">
        <f>SUM('1st Qtr'!D46, '2nd Qtr'!D46, '3rd Qtr'!D46, '4th Qtr'!D46)</f>
        <v>0</v>
      </c>
      <c r="E46" s="13">
        <f t="shared" si="9"/>
        <v>629724</v>
      </c>
      <c r="F46" s="14" t="str">
        <f t="shared" si="10"/>
        <v/>
      </c>
      <c r="G46" s="15">
        <f>SUM('1st Qtr'!G46, '2nd Qtr'!G46, '3rd Qtr'!G46, '4th Qtr'!G46)</f>
        <v>864608.71</v>
      </c>
      <c r="H46" s="15">
        <f>SUM('1st Qtr'!H46, '2nd Qtr'!H46, '3rd Qtr'!H46, '4th Qtr'!H46)</f>
        <v>-234884.71</v>
      </c>
      <c r="I46" s="16">
        <f t="shared" si="11"/>
        <v>-0.27166590769135324</v>
      </c>
    </row>
    <row r="47" spans="1:9" ht="15.75">
      <c r="A47" s="52" t="str">
        <v>Kingsburg Joint UHSD - Kingsburg HS</v>
      </c>
      <c r="B47" s="30" t="str">
        <v>CA</v>
      </c>
      <c r="C47" s="11">
        <f>SUM('1st Qtr'!C47, '2nd Qtr'!C47, '3rd Qtr'!C47, '4th Qtr'!C47)</f>
        <v>388672</v>
      </c>
      <c r="D47" s="18">
        <f>SUM('1st Qtr'!D47, '2nd Qtr'!D47, '3rd Qtr'!D47, '4th Qtr'!D47)</f>
        <v>0</v>
      </c>
      <c r="E47" s="18">
        <f t="shared" si="9"/>
        <v>388672</v>
      </c>
      <c r="F47" s="19" t="str">
        <f t="shared" si="10"/>
        <v/>
      </c>
      <c r="G47" s="20">
        <f>SUM('1st Qtr'!G47, '2nd Qtr'!G47, '3rd Qtr'!G47, '4th Qtr'!G47)</f>
        <v>678945.29</v>
      </c>
      <c r="H47" s="20">
        <f>SUM('1st Qtr'!H47, '2nd Qtr'!H47, '3rd Qtr'!H47, '4th Qtr'!H47)</f>
        <v>-290273.28999999998</v>
      </c>
      <c r="I47" s="19">
        <f t="shared" si="11"/>
        <v>-0.42753561189002426</v>
      </c>
    </row>
    <row r="48" spans="1:9" ht="15.75">
      <c r="A48" s="53" t="str">
        <v>CADRB</v>
      </c>
      <c r="B48" s="28" t="str">
        <v>CA</v>
      </c>
      <c r="C48" s="24">
        <f>SUM('1st Qtr'!C48, '2nd Qtr'!C48, '3rd Qtr'!C48, '4th Qtr'!C48)</f>
        <v>880937</v>
      </c>
      <c r="D48" s="13">
        <f>SUM('1st Qtr'!D48, '2nd Qtr'!D48, '3rd Qtr'!D48, '4th Qtr'!D48)</f>
        <v>0</v>
      </c>
      <c r="E48" s="13">
        <f t="shared" si="9"/>
        <v>880937</v>
      </c>
      <c r="F48" s="14" t="str">
        <f t="shared" si="10"/>
        <v/>
      </c>
      <c r="G48" s="15">
        <f>SUM('1st Qtr'!G48, '2nd Qtr'!G48, '3rd Qtr'!G48, '4th Qtr'!G48)</f>
        <v>3033182</v>
      </c>
      <c r="H48" s="15">
        <f>SUM('1st Qtr'!H48, '2nd Qtr'!H48, '3rd Qtr'!H48, '4th Qtr'!H48)</f>
        <v>-1462240.68</v>
      </c>
      <c r="I48" s="16">
        <f t="shared" si="11"/>
        <v>-0.4820814181278934</v>
      </c>
    </row>
    <row r="49" spans="1:9" ht="15.75">
      <c r="A49" s="52" t="str">
        <v>CDCR-CA State Prison LA County</v>
      </c>
      <c r="B49" s="30" t="str">
        <v>CA</v>
      </c>
      <c r="C49" s="11">
        <f>SUM('1st Qtr'!C49, '2nd Qtr'!C49, '3rd Qtr'!C49, '4th Qtr'!C49)</f>
        <v>815624</v>
      </c>
      <c r="D49" s="18">
        <f>SUM('1st Qtr'!D49, '2nd Qtr'!D49, '3rd Qtr'!D49, '4th Qtr'!D49)</f>
        <v>0</v>
      </c>
      <c r="E49" s="18">
        <f t="shared" si="9"/>
        <v>815624</v>
      </c>
      <c r="F49" s="19" t="str">
        <f t="shared" si="10"/>
        <v/>
      </c>
      <c r="G49" s="20">
        <f>SUM('1st Qtr'!G49, '2nd Qtr'!G49, '3rd Qtr'!G49, '4th Qtr'!G49)</f>
        <v>1429695.44</v>
      </c>
      <c r="H49" s="20">
        <f>SUM('1st Qtr'!H49, '2nd Qtr'!H49, '3rd Qtr'!H49, '4th Qtr'!H49)</f>
        <v>-614071.44000000006</v>
      </c>
      <c r="I49" s="19">
        <f t="shared" si="11"/>
        <v>-0.4295120644715773</v>
      </c>
    </row>
    <row r="50" spans="1:9" ht="15.75">
      <c r="A50" s="53" t="str">
        <v>Central USD Akers ES</v>
      </c>
      <c r="B50" s="28" t="str">
        <v>CA</v>
      </c>
      <c r="C50" s="24">
        <f>SUM('1st Qtr'!C50, '2nd Qtr'!C50, '3rd Qtr'!C50, '4th Qtr'!C50)</f>
        <v>99207</v>
      </c>
      <c r="D50" s="13">
        <f>SUM('1st Qtr'!D50, '2nd Qtr'!D50, '3rd Qtr'!D50, '4th Qtr'!D50)</f>
        <v>0</v>
      </c>
      <c r="E50" s="13">
        <f t="shared" si="9"/>
        <v>99207</v>
      </c>
      <c r="F50" s="14" t="str">
        <f t="shared" si="10"/>
        <v/>
      </c>
      <c r="G50" s="15">
        <f>SUM('1st Qtr'!G50, '2nd Qtr'!G50, '3rd Qtr'!G50, '4th Qtr'!G50)</f>
        <v>183313.14</v>
      </c>
      <c r="H50" s="15">
        <f>SUM('1st Qtr'!H50, '2nd Qtr'!H50, '3rd Qtr'!H50, '4th Qtr'!H50)</f>
        <v>-84106.140000000014</v>
      </c>
      <c r="I50" s="16">
        <f t="shared" si="11"/>
        <v>-0.45881129961551043</v>
      </c>
    </row>
    <row r="51" spans="1:9" ht="15.75">
      <c r="A51" s="52" t="str">
        <v>CUSD - District Office</v>
      </c>
      <c r="B51" s="30" t="str">
        <v>CA</v>
      </c>
      <c r="C51" s="11">
        <f>SUM('1st Qtr'!C51, '2nd Qtr'!C51, '3rd Qtr'!C51, '4th Qtr'!C51)</f>
        <v>101052</v>
      </c>
      <c r="D51" s="18">
        <f>SUM('1st Qtr'!D51, '2nd Qtr'!D51, '3rd Qtr'!D51, '4th Qtr'!D51)</f>
        <v>0</v>
      </c>
      <c r="E51" s="18">
        <f t="shared" si="9"/>
        <v>101052</v>
      </c>
      <c r="F51" s="19" t="str">
        <f t="shared" si="10"/>
        <v/>
      </c>
      <c r="G51" s="20">
        <f>SUM('1st Qtr'!G51, '2nd Qtr'!G51, '3rd Qtr'!G51, '4th Qtr'!G51)</f>
        <v>118477.81</v>
      </c>
      <c r="H51" s="20">
        <f>SUM('1st Qtr'!H51, '2nd Qtr'!H51, '3rd Qtr'!H51, '4th Qtr'!H51)</f>
        <v>-17425.809999999998</v>
      </c>
      <c r="I51" s="19">
        <f t="shared" si="11"/>
        <v>-0.14708079090928503</v>
      </c>
    </row>
    <row r="52" spans="1:9" ht="15.75">
      <c r="A52" s="53" t="str">
        <v>Parlier - WTP</v>
      </c>
      <c r="B52" s="28" t="str">
        <v>CA</v>
      </c>
      <c r="C52" s="24">
        <f>SUM('1st Qtr'!C52, '2nd Qtr'!C52, '3rd Qtr'!C52, '4th Qtr'!C52)</f>
        <v>107342</v>
      </c>
      <c r="D52" s="13">
        <f>SUM('1st Qtr'!D52, '2nd Qtr'!D52, '3rd Qtr'!D52, '4th Qtr'!D52)</f>
        <v>0</v>
      </c>
      <c r="E52" s="13">
        <f t="shared" si="9"/>
        <v>107342</v>
      </c>
      <c r="F52" s="14" t="str">
        <f t="shared" si="10"/>
        <v/>
      </c>
      <c r="G52" s="15">
        <f>SUM('1st Qtr'!G52, '2nd Qtr'!G52, '3rd Qtr'!G52, '4th Qtr'!G52)</f>
        <v>278834.67</v>
      </c>
      <c r="H52" s="15">
        <f>SUM('1st Qtr'!H52, '2nd Qtr'!H52, '3rd Qtr'!H52, '4th Qtr'!H52)</f>
        <v>-171492.66999999998</v>
      </c>
      <c r="I52" s="16">
        <f t="shared" si="11"/>
        <v>-0.61503352506343634</v>
      </c>
    </row>
    <row r="53" spans="1:9" ht="15.75">
      <c r="A53" s="52" t="str">
        <v>Snowline SD - Quail Valley MS</v>
      </c>
      <c r="B53" s="30" t="str">
        <v>CA</v>
      </c>
      <c r="C53" s="11">
        <f>SUM('1st Qtr'!C53, '2nd Qtr'!C53, '3rd Qtr'!C53, '4th Qtr'!C53)</f>
        <v>110019</v>
      </c>
      <c r="D53" s="18">
        <f>SUM('1st Qtr'!D53, '2nd Qtr'!D53, '3rd Qtr'!D53, '4th Qtr'!D53)</f>
        <v>0</v>
      </c>
      <c r="E53" s="18">
        <f t="shared" si="9"/>
        <v>110019</v>
      </c>
      <c r="F53" s="19" t="str">
        <f t="shared" si="10"/>
        <v/>
      </c>
      <c r="G53" s="20">
        <f>SUM('1st Qtr'!G53, '2nd Qtr'!G53, '3rd Qtr'!G53, '4th Qtr'!G53)</f>
        <v>149193.28999999998</v>
      </c>
      <c r="H53" s="20">
        <f>SUM('1st Qtr'!H53, '2nd Qtr'!H53, '3rd Qtr'!H53, '4th Qtr'!H53)</f>
        <v>-39174.289999999994</v>
      </c>
      <c r="I53" s="19">
        <f t="shared" si="11"/>
        <v>-0.26257407420936962</v>
      </c>
    </row>
    <row r="54" spans="1:9" ht="15.75">
      <c r="A54" s="53" t="str">
        <v>Snowline SD - Serrano HS - Middle Lot</v>
      </c>
      <c r="B54" s="28" t="str">
        <v>CA</v>
      </c>
      <c r="C54" s="24">
        <f>SUM('1st Qtr'!C54, '2nd Qtr'!C54, '3rd Qtr'!C54, '4th Qtr'!C54)</f>
        <v>112728</v>
      </c>
      <c r="D54" s="13">
        <f>SUM('1st Qtr'!D54, '2nd Qtr'!D54, '3rd Qtr'!D54, '4th Qtr'!D54)</f>
        <v>0</v>
      </c>
      <c r="E54" s="13">
        <f t="shared" si="9"/>
        <v>112728</v>
      </c>
      <c r="F54" s="14" t="str">
        <f t="shared" si="10"/>
        <v/>
      </c>
      <c r="G54" s="15">
        <f>SUM('1st Qtr'!G54, '2nd Qtr'!G54, '3rd Qtr'!G54, '4th Qtr'!G54)</f>
        <v>220653.323</v>
      </c>
      <c r="H54" s="15">
        <f>SUM('1st Qtr'!H54, '2nd Qtr'!H54, '3rd Qtr'!H54, '4th Qtr'!H54)</f>
        <v>-107925.323</v>
      </c>
      <c r="I54" s="16">
        <f t="shared" si="11"/>
        <v>-0.48911714327547201</v>
      </c>
    </row>
    <row r="55" spans="1:9" ht="15.75">
      <c r="A55" s="52" t="str">
        <v>Snowline SD - Pinon Hills ES</v>
      </c>
      <c r="B55" s="30" t="str">
        <v>CA</v>
      </c>
      <c r="C55" s="11">
        <f>SUM('1st Qtr'!C55, '2nd Qtr'!C55, '3rd Qtr'!C55, '4th Qtr'!C55)</f>
        <v>65982</v>
      </c>
      <c r="D55" s="18">
        <f>SUM('1st Qtr'!D55, '2nd Qtr'!D55, '3rd Qtr'!D55, '4th Qtr'!D55)</f>
        <v>0</v>
      </c>
      <c r="E55" s="18">
        <f t="shared" si="9"/>
        <v>65982</v>
      </c>
      <c r="F55" s="19" t="str">
        <f t="shared" si="10"/>
        <v/>
      </c>
      <c r="G55" s="20">
        <f>SUM('1st Qtr'!G55, '2nd Qtr'!G55, '3rd Qtr'!G55, '4th Qtr'!G55)</f>
        <v>106871.81</v>
      </c>
      <c r="H55" s="20">
        <f>SUM('1st Qtr'!H55, '2nd Qtr'!H55, '3rd Qtr'!H55, '4th Qtr'!H55)</f>
        <v>-40889.81</v>
      </c>
      <c r="I55" s="19">
        <f t="shared" si="11"/>
        <v>-0.38260613346026423</v>
      </c>
    </row>
    <row r="56" spans="1:9" ht="15.75">
      <c r="A56" s="53" t="str">
        <v>Ramona - Santa Maria WTP</v>
      </c>
      <c r="B56" s="28" t="str">
        <v>CA</v>
      </c>
      <c r="C56" s="24">
        <f>SUM('1st Qtr'!C56, '2nd Qtr'!C56, '3rd Qtr'!C56, '4th Qtr'!C56)</f>
        <v>157097</v>
      </c>
      <c r="D56" s="13">
        <f>SUM('1st Qtr'!D56, '2nd Qtr'!D56, '3rd Qtr'!D56, '4th Qtr'!D56)</f>
        <v>0</v>
      </c>
      <c r="E56" s="13">
        <f t="shared" si="9"/>
        <v>157097</v>
      </c>
      <c r="F56" s="14" t="str">
        <f t="shared" si="10"/>
        <v/>
      </c>
      <c r="G56" s="15">
        <f>SUM('1st Qtr'!G56, '2nd Qtr'!G56, '3rd Qtr'!G56, '4th Qtr'!G56)</f>
        <v>295548.78000000003</v>
      </c>
      <c r="H56" s="15">
        <f>SUM('1st Qtr'!H56, '2nd Qtr'!H56, '3rd Qtr'!H56, '4th Qtr'!H56)</f>
        <v>-138451.78</v>
      </c>
      <c r="I56" s="16">
        <f t="shared" si="11"/>
        <v>-0.46845661146021306</v>
      </c>
    </row>
    <row r="57" spans="1:9" ht="15.75">
      <c r="A57" s="52" t="str">
        <v>Kohls - Redding</v>
      </c>
      <c r="B57" s="30" t="str">
        <v>CA</v>
      </c>
      <c r="C57" s="11">
        <f>SUM('1st Qtr'!C57, '2nd Qtr'!C57, '3rd Qtr'!C57, '4th Qtr'!C57)</f>
        <v>186738</v>
      </c>
      <c r="D57" s="18">
        <f>SUM('1st Qtr'!D57, '2nd Qtr'!D57, '3rd Qtr'!D57, '4th Qtr'!D57)</f>
        <v>0</v>
      </c>
      <c r="E57" s="18">
        <f t="shared" si="9"/>
        <v>186738</v>
      </c>
      <c r="F57" s="19" t="str">
        <f t="shared" si="10"/>
        <v/>
      </c>
      <c r="G57" s="20">
        <f>SUM('1st Qtr'!G57, '2nd Qtr'!G57, '3rd Qtr'!G57, '4th Qtr'!G57)</f>
        <v>230991.72</v>
      </c>
      <c r="H57" s="20">
        <f>SUM('1st Qtr'!H57, '2nd Qtr'!H57, '3rd Qtr'!H57, '4th Qtr'!H57)</f>
        <v>-44253.72</v>
      </c>
      <c r="I57" s="19">
        <f t="shared" si="11"/>
        <v>-0.19158141252855299</v>
      </c>
    </row>
    <row r="58" spans="1:9" ht="15.75">
      <c r="A58" s="53" t="str">
        <v>Kohls - Salinas</v>
      </c>
      <c r="B58" s="28" t="str">
        <v>CA</v>
      </c>
      <c r="C58" s="24">
        <f>SUM('1st Qtr'!C58, '2nd Qtr'!C58, '3rd Qtr'!C58, '4th Qtr'!C58)</f>
        <v>140019</v>
      </c>
      <c r="D58" s="13">
        <f>SUM('1st Qtr'!D58, '2nd Qtr'!D58, '3rd Qtr'!D58, '4th Qtr'!D58)</f>
        <v>0</v>
      </c>
      <c r="E58" s="13">
        <f t="shared" si="9"/>
        <v>140019</v>
      </c>
      <c r="F58" s="14" t="str">
        <f t="shared" si="10"/>
        <v/>
      </c>
      <c r="G58" s="15">
        <f>SUM('1st Qtr'!G58, '2nd Qtr'!G58, '3rd Qtr'!G58, '4th Qtr'!G58)</f>
        <v>182519.91</v>
      </c>
      <c r="H58" s="15">
        <f>SUM('1st Qtr'!H58, '2nd Qtr'!H58, '3rd Qtr'!H58, '4th Qtr'!H58)</f>
        <v>-29317.34</v>
      </c>
      <c r="I58" s="16">
        <f t="shared" si="11"/>
        <v>-0.16062543532921969</v>
      </c>
    </row>
    <row r="59" spans="1:9" ht="15.75">
      <c r="A59" s="52" t="str">
        <v>Kohls - San Bernardino - Central</v>
      </c>
      <c r="B59" s="30" t="str">
        <v>CA</v>
      </c>
      <c r="C59" s="11">
        <f>SUM('1st Qtr'!C59, '2nd Qtr'!C59, '3rd Qtr'!C59, '4th Qtr'!C59)</f>
        <v>465640</v>
      </c>
      <c r="D59" s="18">
        <f>SUM('1st Qtr'!D59, '2nd Qtr'!D59, '3rd Qtr'!D59, '4th Qtr'!D59)</f>
        <v>0</v>
      </c>
      <c r="E59" s="18">
        <f t="shared" si="9"/>
        <v>465640</v>
      </c>
      <c r="F59" s="19" t="str">
        <f t="shared" si="10"/>
        <v/>
      </c>
      <c r="G59" s="20">
        <f>SUM('1st Qtr'!G59, '2nd Qtr'!G59, '3rd Qtr'!G59, '4th Qtr'!G59)</f>
        <v>521124.73</v>
      </c>
      <c r="H59" s="20">
        <f>SUM('1st Qtr'!H59, '2nd Qtr'!H59, '3rd Qtr'!H59, '4th Qtr'!H59)</f>
        <v>-55484.729999999989</v>
      </c>
      <c r="I59" s="19">
        <f t="shared" si="11"/>
        <v>-0.10647111297136098</v>
      </c>
    </row>
    <row r="60" spans="1:9" ht="15.75">
      <c r="A60" s="53" t="str">
        <v>Kohls - Sonora</v>
      </c>
      <c r="B60" s="28" t="str">
        <v>CA</v>
      </c>
      <c r="C60" s="24">
        <f>SUM('1st Qtr'!C60, '2nd Qtr'!C60, '3rd Qtr'!C60, '4th Qtr'!C60)</f>
        <v>89631</v>
      </c>
      <c r="D60" s="13">
        <f>SUM('1st Qtr'!D60, '2nd Qtr'!D60, '3rd Qtr'!D60, '4th Qtr'!D60)</f>
        <v>0</v>
      </c>
      <c r="E60" s="13">
        <f t="shared" si="9"/>
        <v>89631</v>
      </c>
      <c r="F60" s="14" t="str">
        <f t="shared" si="10"/>
        <v/>
      </c>
      <c r="G60" s="15">
        <f>SUM('1st Qtr'!G60, '2nd Qtr'!G60, '3rd Qtr'!G60, '4th Qtr'!G60)</f>
        <v>123851.86000000002</v>
      </c>
      <c r="H60" s="15">
        <f>SUM('1st Qtr'!H60, '2nd Qtr'!H60, '3rd Qtr'!H60, '4th Qtr'!H60)</f>
        <v>-13861.530000000002</v>
      </c>
      <c r="I60" s="16">
        <f t="shared" si="11"/>
        <v>-0.11192024084256789</v>
      </c>
    </row>
    <row r="61" spans="1:9" ht="15.75">
      <c r="A61" s="52" t="str">
        <v>CUSD - Stratford ES</v>
      </c>
      <c r="B61" s="30" t="str">
        <v>CA</v>
      </c>
      <c r="C61" s="11">
        <f>SUM('1st Qtr'!C61, '2nd Qtr'!C61, '3rd Qtr'!C61, '4th Qtr'!C61)</f>
        <v>74739</v>
      </c>
      <c r="D61" s="18">
        <f>SUM('1st Qtr'!D61, '2nd Qtr'!D61, '3rd Qtr'!D61, '4th Qtr'!D61)</f>
        <v>0</v>
      </c>
      <c r="E61" s="18">
        <f t="shared" si="9"/>
        <v>74739</v>
      </c>
      <c r="F61" s="19" t="str">
        <f t="shared" si="10"/>
        <v/>
      </c>
      <c r="G61" s="20">
        <f>SUM('1st Qtr'!G61, '2nd Qtr'!G61, '3rd Qtr'!G61, '4th Qtr'!G61)</f>
        <v>82611.26999999999</v>
      </c>
      <c r="H61" s="20">
        <f>SUM('1st Qtr'!H61, '2nd Qtr'!H61, '3rd Qtr'!H61, '4th Qtr'!H61)</f>
        <v>-7872.2699999999986</v>
      </c>
      <c r="I61" s="19">
        <f t="shared" si="11"/>
        <v>-9.5292930371364576E-2</v>
      </c>
    </row>
    <row r="62" spans="1:9" ht="15.75">
      <c r="A62" s="53" t="str">
        <v>Taft - City Hall</v>
      </c>
      <c r="B62" s="28" t="str">
        <v>CA</v>
      </c>
      <c r="C62" s="24">
        <f>SUM('1st Qtr'!C62, '2nd Qtr'!C62, '3rd Qtr'!C62, '4th Qtr'!C62)</f>
        <v>28832</v>
      </c>
      <c r="D62" s="13">
        <f>SUM('1st Qtr'!D62, '2nd Qtr'!D62, '3rd Qtr'!D62, '4th Qtr'!D62)</f>
        <v>0</v>
      </c>
      <c r="E62" s="13">
        <f t="shared" si="9"/>
        <v>28832</v>
      </c>
      <c r="F62" s="14" t="str">
        <f t="shared" si="10"/>
        <v/>
      </c>
      <c r="G62" s="15">
        <f>SUM('1st Qtr'!G62, '2nd Qtr'!G62, '3rd Qtr'!G62, '4th Qtr'!G62)</f>
        <v>37462.199999999997</v>
      </c>
      <c r="H62" s="15">
        <f>SUM('1st Qtr'!H62, '2nd Qtr'!H62, '3rd Qtr'!H62, '4th Qtr'!H62)</f>
        <v>-9971.2499999999982</v>
      </c>
      <c r="I62" s="16">
        <f t="shared" si="11"/>
        <v>-0.26616829764402516</v>
      </c>
    </row>
    <row r="63" spans="1:9" ht="15.75">
      <c r="A63" s="52" t="str">
        <v>Taft - Federal Prison</v>
      </c>
      <c r="B63" s="30" t="str">
        <v>CA</v>
      </c>
      <c r="C63" s="11">
        <f>SUM('1st Qtr'!C63, '2nd Qtr'!C63, '3rd Qtr'!C63, '4th Qtr'!C63)</f>
        <v>41178</v>
      </c>
      <c r="D63" s="18">
        <f>SUM('1st Qtr'!D63, '2nd Qtr'!D63, '3rd Qtr'!D63, '4th Qtr'!D63)</f>
        <v>0</v>
      </c>
      <c r="E63" s="18">
        <f t="shared" si="9"/>
        <v>41178</v>
      </c>
      <c r="F63" s="19" t="str">
        <f t="shared" si="10"/>
        <v/>
      </c>
      <c r="G63" s="20">
        <f>SUM('1st Qtr'!G63, '2nd Qtr'!G63, '3rd Qtr'!G63, '4th Qtr'!G63)</f>
        <v>115607.56999999999</v>
      </c>
      <c r="H63" s="20">
        <f>SUM('1st Qtr'!H63, '2nd Qtr'!H63, '3rd Qtr'!H63, '4th Qtr'!H63)</f>
        <v>-74429.569999999992</v>
      </c>
      <c r="I63" s="19">
        <f t="shared" si="11"/>
        <v>-0.64381225208695236</v>
      </c>
    </row>
    <row r="64" spans="1:9" ht="15.75">
      <c r="A64" s="53" t="str">
        <v>Taft - Police Department</v>
      </c>
      <c r="B64" s="28" t="str">
        <v>CA</v>
      </c>
      <c r="C64" s="24">
        <f>SUM('1st Qtr'!C64, '2nd Qtr'!C64, '3rd Qtr'!C64, '4th Qtr'!C64)</f>
        <v>146291</v>
      </c>
      <c r="D64" s="13">
        <f>SUM('1st Qtr'!D64, '2nd Qtr'!D64, '3rd Qtr'!D64, '4th Qtr'!D64)</f>
        <v>0</v>
      </c>
      <c r="E64" s="13">
        <f t="shared" si="9"/>
        <v>146291</v>
      </c>
      <c r="F64" s="14" t="str">
        <f t="shared" si="10"/>
        <v/>
      </c>
      <c r="G64" s="15">
        <f>SUM('1st Qtr'!G64, '2nd Qtr'!G64, '3rd Qtr'!G64, '4th Qtr'!G64)</f>
        <v>42916.479999999996</v>
      </c>
      <c r="H64" s="15">
        <f>SUM('1st Qtr'!H64, '2nd Qtr'!H64, '3rd Qtr'!H64, '4th Qtr'!H64)</f>
        <v>-94073.86</v>
      </c>
      <c r="I64" s="16">
        <f t="shared" si="11"/>
        <v>-2.1920218060754286</v>
      </c>
    </row>
    <row r="65" spans="1:9" ht="15.75">
      <c r="A65" s="52" t="str">
        <v>Taft - WTP</v>
      </c>
      <c r="B65" s="30" t="str">
        <v>CA</v>
      </c>
      <c r="C65" s="11">
        <f>SUM('1st Qtr'!C65, '2nd Qtr'!C65, '3rd Qtr'!C65, '4th Qtr'!C65)</f>
        <v>110217</v>
      </c>
      <c r="D65" s="18">
        <f>SUM('1st Qtr'!D65, '2nd Qtr'!D65, '3rd Qtr'!D65, '4th Qtr'!D65)</f>
        <v>0</v>
      </c>
      <c r="E65" s="18">
        <f t="shared" si="9"/>
        <v>110217</v>
      </c>
      <c r="F65" s="19" t="str">
        <f t="shared" si="10"/>
        <v/>
      </c>
      <c r="G65" s="20">
        <f>SUM('1st Qtr'!G65, '2nd Qtr'!G65, '3rd Qtr'!G65, '4th Qtr'!G65)</f>
        <v>470689.84100000001</v>
      </c>
      <c r="H65" s="20">
        <f>SUM('1st Qtr'!H65, '2nd Qtr'!H65, '3rd Qtr'!H65, '4th Qtr'!H65)</f>
        <v>-360472.84100000001</v>
      </c>
      <c r="I65" s="19">
        <f t="shared" si="11"/>
        <v>-0.76583943310558933</v>
      </c>
    </row>
    <row r="66" spans="1:9" ht="15.75">
      <c r="A66" s="53" t="str">
        <v>CDCR - CA Correctional Institution</v>
      </c>
      <c r="B66" s="28" t="str">
        <v>CA</v>
      </c>
      <c r="C66" s="24">
        <f>SUM('1st Qtr'!C66, '2nd Qtr'!C66, '3rd Qtr'!C66, '4th Qtr'!C66)</f>
        <v>354146</v>
      </c>
      <c r="D66" s="13">
        <f>SUM('1st Qtr'!D66, '2nd Qtr'!D66, '3rd Qtr'!D66, '4th Qtr'!D66)</f>
        <v>0</v>
      </c>
      <c r="E66" s="13">
        <f t="shared" si="9"/>
        <v>354146</v>
      </c>
      <c r="F66" s="14" t="str">
        <f t="shared" si="10"/>
        <v/>
      </c>
      <c r="G66" s="15">
        <f>SUM('1st Qtr'!G66, '2nd Qtr'!G66, '3rd Qtr'!G66, '4th Qtr'!G66)</f>
        <v>630093.63</v>
      </c>
      <c r="H66" s="15">
        <f>SUM('1st Qtr'!H66, '2nd Qtr'!H66, '3rd Qtr'!H66, '4th Qtr'!H66)</f>
        <v>-95900.67</v>
      </c>
      <c r="I66" s="16">
        <f t="shared" si="11"/>
        <v>-0.15220066579628808</v>
      </c>
    </row>
    <row r="67" spans="1:9" ht="15.75">
      <c r="A67" s="52" t="str">
        <v>CDCR - CA Correctional Institution II</v>
      </c>
      <c r="B67" s="30" t="str">
        <v>CA</v>
      </c>
      <c r="C67" s="11">
        <f>SUM('1st Qtr'!C67, '2nd Qtr'!C67, '3rd Qtr'!C67, '4th Qtr'!C67)</f>
        <v>369538</v>
      </c>
      <c r="D67" s="18">
        <f>SUM('1st Qtr'!D67, '2nd Qtr'!D67, '3rd Qtr'!D67, '4th Qtr'!D67)</f>
        <v>0</v>
      </c>
      <c r="E67" s="18">
        <f t="shared" si="9"/>
        <v>369538</v>
      </c>
      <c r="F67" s="19" t="str">
        <f t="shared" si="10"/>
        <v/>
      </c>
      <c r="G67" s="20">
        <f>SUM('1st Qtr'!G67, '2nd Qtr'!G67, '3rd Qtr'!G67, '4th Qtr'!G67)</f>
        <v>1009042.2420000001</v>
      </c>
      <c r="H67" s="20">
        <f>SUM('1st Qtr'!H67, '2nd Qtr'!H67, '3rd Qtr'!H67, '4th Qtr'!H67)</f>
        <v>-639504.24200000009</v>
      </c>
      <c r="I67" s="19">
        <f t="shared" si="11"/>
        <v>-0.63377350856238979</v>
      </c>
    </row>
    <row r="68" spans="1:9" ht="15.75">
      <c r="A68" s="53" t="str">
        <v>Snowline SD - Vista Verde ES</v>
      </c>
      <c r="B68" s="28" t="str">
        <v>CA</v>
      </c>
      <c r="C68" s="24">
        <f>SUM('1st Qtr'!C68, '2nd Qtr'!C68, '3rd Qtr'!C68, '4th Qtr'!C68)</f>
        <v>85946</v>
      </c>
      <c r="D68" s="13">
        <f>SUM('1st Qtr'!D68, '2nd Qtr'!D68, '3rd Qtr'!D68, '4th Qtr'!D68)</f>
        <v>0</v>
      </c>
      <c r="E68" s="13">
        <f t="shared" si="9"/>
        <v>85946</v>
      </c>
      <c r="F68" s="14" t="str">
        <f t="shared" si="10"/>
        <v/>
      </c>
      <c r="G68" s="15">
        <f>SUM('1st Qtr'!G68, '2nd Qtr'!G68, '3rd Qtr'!G68, '4th Qtr'!G68)</f>
        <v>120019.79999999999</v>
      </c>
      <c r="H68" s="15">
        <f>SUM('1st Qtr'!H68, '2nd Qtr'!H68, '3rd Qtr'!H68, '4th Qtr'!H68)</f>
        <v>-6023.0000000000018</v>
      </c>
      <c r="I68" s="16">
        <f t="shared" si="11"/>
        <v>-5.0183386407909383E-2</v>
      </c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60" priority="1" stopIfTrue="1" operator="lessThanOrEqual">
      <formula>-0.1</formula>
    </cfRule>
    <cfRule type="expression" dxfId="5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xSplit="2" ySplit="3" topLeftCell="C66" activePane="bottomRight" state="frozen"/>
      <selection pane="bottomRight" activeCell="D66" sqref="D66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9" t="str" cm="1">
        <f t="array" ref="A1">portfolio</f>
        <v>Silicon Ranch</v>
      </c>
      <c r="B1" s="99"/>
      <c r="C1" s="99"/>
      <c r="D1" s="100" t="s">
        <v>10</v>
      </c>
      <c r="E1" s="100"/>
      <c r="F1" s="100"/>
      <c r="G1" s="98" t="s">
        <v>11</v>
      </c>
      <c r="H1" s="98"/>
      <c r="I1" s="98"/>
    </row>
    <row r="2" spans="1:9" ht="19.5" customHeight="1">
      <c r="A2" s="101" t="s">
        <v>2</v>
      </c>
      <c r="B2" s="101"/>
      <c r="C2" s="5">
        <f>SUM(C4:C100)</f>
        <v>1611034.35</v>
      </c>
      <c r="D2" s="5">
        <f>SUM(D4:D100)</f>
        <v>0</v>
      </c>
      <c r="E2" s="5">
        <f>C2-D2</f>
        <v>1611034.35</v>
      </c>
      <c r="F2" s="6">
        <f>IFERROR(E2/D2, 0)</f>
        <v>0</v>
      </c>
      <c r="G2" s="5">
        <f>SUM(G4:G100)</f>
        <v>1923155.7889999996</v>
      </c>
      <c r="H2" s="7">
        <f>C2-G2</f>
        <v>-312121.43899999955</v>
      </c>
      <c r="I2" s="6">
        <f>IFERROR(H2/G2, 0)</f>
        <v>-0.16229649245540118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8" t="str" cm="1">
        <f t="array" ref="A4:A68">Sites[Site]</f>
        <v>Iron Mountain - Windsor</v>
      </c>
      <c r="B4" s="9" t="str" cm="1">
        <f t="array" ref="B4:B68">Sites[State]</f>
        <v>CT</v>
      </c>
      <c r="C4" s="24">
        <f>SUM(Jan!C4, Feb!C4, Mar!C4)</f>
        <v>49920.75</v>
      </c>
      <c r="D4" s="13">
        <f>SUM(Jan!D4, Feb!D4, Mar!D4)</f>
        <v>0</v>
      </c>
      <c r="E4" s="13">
        <f>IF(AND(ISNUMBER(C4),ISNUMBER(D4)), C4-D4, "")</f>
        <v>49920.75</v>
      </c>
      <c r="F4" s="14" t="str">
        <f>IFERROR(E4/D4, "")</f>
        <v/>
      </c>
      <c r="G4" s="15">
        <f>SUM(Jan!G4, Feb!G4, Mar!G4)</f>
        <v>57306.240000000005</v>
      </c>
      <c r="H4" s="15">
        <f>SUM(Jan!H4, Feb!H4, Mar!H4)</f>
        <v>-7385.4900000000016</v>
      </c>
      <c r="I4" s="16">
        <f>IFERROR(H4/G4, "")</f>
        <v>-0.12887758819981909</v>
      </c>
    </row>
    <row r="5" spans="1:9" ht="15.75">
      <c r="A5" s="49" t="str">
        <v>Kohls - Auburn</v>
      </c>
      <c r="B5" s="10" t="str">
        <v>NY</v>
      </c>
      <c r="C5" s="11">
        <f>SUM(Jan!C5, Feb!C5, Mar!C5)</f>
        <v>44800</v>
      </c>
      <c r="D5" s="18">
        <f>SUM(Jan!D5, Feb!D5, Mar!D5)</f>
        <v>0</v>
      </c>
      <c r="E5" s="18">
        <f t="shared" ref="E5:E15" si="0">IF(AND(ISNUMBER(C5),ISNUMBER(D5)), C5-D5, "")</f>
        <v>44800</v>
      </c>
      <c r="F5" s="19" t="str">
        <f>IFERROR(E5/D5, "")</f>
        <v/>
      </c>
      <c r="G5" s="20">
        <f>SUM(Jan!G5, Feb!G5, Mar!G5)</f>
        <v>39411.910000000003</v>
      </c>
      <c r="H5" s="20">
        <f>SUM(Jan!H5, Feb!H5, Mar!H5)</f>
        <v>5388.09</v>
      </c>
      <c r="I5" s="19">
        <f>IFERROR(H5/G5, "")</f>
        <v>0.1367122273444753</v>
      </c>
    </row>
    <row r="6" spans="1:9" ht="15.75">
      <c r="A6" s="48" t="str">
        <v>Kohls - Bensalem</v>
      </c>
      <c r="B6" s="9" t="str">
        <v>PA</v>
      </c>
      <c r="C6" s="24">
        <f>SUM(Jan!C6, Feb!C6, Mar!C6)</f>
        <v>66928</v>
      </c>
      <c r="D6" s="13">
        <f>SUM(Jan!D6, Feb!D6, Mar!D6)</f>
        <v>0</v>
      </c>
      <c r="E6" s="13">
        <f t="shared" si="0"/>
        <v>66928</v>
      </c>
      <c r="F6" s="14" t="str">
        <f t="shared" ref="F6:F15" si="1">IFERROR(E6/D6, "")</f>
        <v/>
      </c>
      <c r="G6" s="15">
        <f>SUM(Jan!G6, Feb!G6, Mar!G6)</f>
        <v>65662.01999999999</v>
      </c>
      <c r="H6" s="15">
        <f>SUM(Jan!H6, Feb!H6, Mar!H6)</f>
        <v>1265.9800000000014</v>
      </c>
      <c r="I6" s="16">
        <f t="shared" ref="I6:I15" si="2">IFERROR(H6/G6, "")</f>
        <v>1.9280247546450774E-2</v>
      </c>
    </row>
    <row r="7" spans="1:9" ht="15.75">
      <c r="A7" s="49" t="str">
        <v>Kohls - Brick</v>
      </c>
      <c r="B7" s="10" t="str">
        <v>NJ</v>
      </c>
      <c r="C7" s="11">
        <f>SUM(Jan!C7, Feb!C7, Mar!C7)</f>
        <v>74090</v>
      </c>
      <c r="D7" s="18">
        <f>SUM(Jan!D7, Feb!D7, Mar!D7)</f>
        <v>0</v>
      </c>
      <c r="E7" s="18">
        <f t="shared" si="0"/>
        <v>74090</v>
      </c>
      <c r="F7" s="19" t="str">
        <f t="shared" si="1"/>
        <v/>
      </c>
      <c r="G7" s="20">
        <f>SUM(Jan!G7, Feb!G7, Mar!G7)</f>
        <v>75280.86</v>
      </c>
      <c r="H7" s="20">
        <f>SUM(Jan!H7, Feb!H7, Mar!H7)</f>
        <v>-1190.8600000000006</v>
      </c>
      <c r="I7" s="19">
        <f t="shared" si="2"/>
        <v>-1.5818894736324751E-2</v>
      </c>
    </row>
    <row r="8" spans="1:9" ht="15.75">
      <c r="A8" s="48" t="str">
        <v>Kohls - Buffalo</v>
      </c>
      <c r="B8" s="9" t="str">
        <v>NY</v>
      </c>
      <c r="C8" s="24">
        <f>SUM(Jan!C8, Feb!C8, Mar!C8)</f>
        <v>53909</v>
      </c>
      <c r="D8" s="13">
        <f>SUM(Jan!D8, Feb!D8, Mar!D8)</f>
        <v>0</v>
      </c>
      <c r="E8" s="13">
        <f t="shared" si="0"/>
        <v>53909</v>
      </c>
      <c r="F8" s="14" t="str">
        <f t="shared" si="1"/>
        <v/>
      </c>
      <c r="G8" s="15">
        <f>SUM(Jan!G8, Feb!G8, Mar!G8)</f>
        <v>54727.37</v>
      </c>
      <c r="H8" s="15">
        <f>SUM(Jan!H8, Feb!H8, Mar!H8)</f>
        <v>-818.3700000000008</v>
      </c>
      <c r="I8" s="16">
        <f t="shared" si="2"/>
        <v>-1.4953578072543971E-2</v>
      </c>
    </row>
    <row r="9" spans="1:9" ht="15.75">
      <c r="A9" s="49" t="str">
        <v>Kohls - Canton</v>
      </c>
      <c r="B9" s="10" t="str">
        <v>CT</v>
      </c>
      <c r="C9" s="11">
        <f>SUM(Jan!C9, Feb!C9, Mar!C9)</f>
        <v>24565</v>
      </c>
      <c r="D9" s="18">
        <f>SUM(Jan!D9, Feb!D9, Mar!D9)</f>
        <v>0</v>
      </c>
      <c r="E9" s="18">
        <f t="shared" si="0"/>
        <v>24565</v>
      </c>
      <c r="F9" s="19" t="str">
        <f t="shared" si="1"/>
        <v/>
      </c>
      <c r="G9" s="20">
        <f>SUM(Jan!G9, Feb!G9, Mar!G9)</f>
        <v>24055.050000000003</v>
      </c>
      <c r="H9" s="20">
        <f>SUM(Jan!H9, Feb!H9, Mar!H9)</f>
        <v>509.94999999999982</v>
      </c>
      <c r="I9" s="19">
        <f t="shared" si="2"/>
        <v>2.1199290793409275E-2</v>
      </c>
    </row>
    <row r="10" spans="1:9" ht="15.75">
      <c r="A10" s="48" t="str">
        <v>Kohls - East Amherst</v>
      </c>
      <c r="B10" s="9" t="str">
        <v>NY</v>
      </c>
      <c r="C10" s="24">
        <f>SUM(Jan!C10, Feb!C10, Mar!C10)</f>
        <v>49240</v>
      </c>
      <c r="D10" s="13">
        <f>SUM(Jan!D10, Feb!D10, Mar!D10)</f>
        <v>0</v>
      </c>
      <c r="E10" s="13">
        <f t="shared" si="0"/>
        <v>49240</v>
      </c>
      <c r="F10" s="14" t="str">
        <f t="shared" si="1"/>
        <v/>
      </c>
      <c r="G10" s="15">
        <f>SUM(Jan!G10, Feb!G10, Mar!G10)</f>
        <v>51548.69</v>
      </c>
      <c r="H10" s="15">
        <f>SUM(Jan!H10, Feb!H10, Mar!H10)</f>
        <v>-2308.6900000000005</v>
      </c>
      <c r="I10" s="16">
        <f t="shared" si="2"/>
        <v>-4.4786589145136384E-2</v>
      </c>
    </row>
    <row r="11" spans="1:9" ht="15.75">
      <c r="A11" s="49" t="str">
        <v>Kohls - East Brunswick</v>
      </c>
      <c r="B11" s="10" t="str">
        <v>NJ</v>
      </c>
      <c r="C11" s="11">
        <f>SUM(Jan!C11, Feb!C11, Mar!C11)</f>
        <v>79993</v>
      </c>
      <c r="D11" s="18">
        <f>SUM(Jan!D11, Feb!D11, Mar!D11)</f>
        <v>0</v>
      </c>
      <c r="E11" s="18">
        <f t="shared" si="0"/>
        <v>79993</v>
      </c>
      <c r="F11" s="19" t="str">
        <f t="shared" si="1"/>
        <v/>
      </c>
      <c r="G11" s="20">
        <f>SUM(Jan!G11, Feb!G11, Mar!G11)</f>
        <v>100444.72</v>
      </c>
      <c r="H11" s="20">
        <f>SUM(Jan!H11, Feb!H11, Mar!H11)</f>
        <v>-20451.719999999998</v>
      </c>
      <c r="I11" s="19">
        <f t="shared" si="2"/>
        <v>-0.20361169805640353</v>
      </c>
    </row>
    <row r="12" spans="1:9" ht="15.75">
      <c r="A12" s="48" t="str">
        <v>Kohls - Edgewood</v>
      </c>
      <c r="B12" s="9" t="str">
        <v>MD</v>
      </c>
      <c r="C12" s="24">
        <f>SUM(Jan!C12, Feb!C12, Mar!C12)</f>
        <v>489062</v>
      </c>
      <c r="D12" s="13">
        <f>SUM(Jan!D12, Feb!D12, Mar!D12)</f>
        <v>0</v>
      </c>
      <c r="E12" s="13">
        <f t="shared" si="0"/>
        <v>489062</v>
      </c>
      <c r="F12" s="14" t="str">
        <f t="shared" si="1"/>
        <v/>
      </c>
      <c r="G12" s="15">
        <f>SUM(Jan!G12, Feb!G12, Mar!G12)</f>
        <v>544665.87</v>
      </c>
      <c r="H12" s="15">
        <f>SUM(Jan!H12, Feb!H12, Mar!H12)</f>
        <v>-55603.870000000024</v>
      </c>
      <c r="I12" s="16">
        <f t="shared" si="2"/>
        <v>-0.10208803793782788</v>
      </c>
    </row>
    <row r="13" spans="1:9" ht="15.75">
      <c r="A13" s="49" t="str">
        <v>Kohls - Granite Run</v>
      </c>
      <c r="B13" s="10" t="str">
        <v>PA</v>
      </c>
      <c r="C13" s="11">
        <f>SUM(Jan!C13, Feb!C13, Mar!C13)</f>
        <v>63649</v>
      </c>
      <c r="D13" s="18">
        <f>SUM(Jan!D13, Feb!D13, Mar!D13)</f>
        <v>0</v>
      </c>
      <c r="E13" s="18">
        <f t="shared" si="0"/>
        <v>63649</v>
      </c>
      <c r="F13" s="19" t="str">
        <f t="shared" si="1"/>
        <v/>
      </c>
      <c r="G13" s="20">
        <f>SUM(Jan!G13, Feb!G13, Mar!G13)</f>
        <v>65717.16</v>
      </c>
      <c r="H13" s="20">
        <f>SUM(Jan!H13, Feb!H13, Mar!H13)</f>
        <v>-2068.1600000000035</v>
      </c>
      <c r="I13" s="19">
        <f t="shared" si="2"/>
        <v>-3.1470623502293821E-2</v>
      </c>
    </row>
    <row r="14" spans="1:9" ht="15.75">
      <c r="A14" s="48" t="str">
        <v>Kohls - Greece</v>
      </c>
      <c r="B14" s="9" t="str">
        <v>NY</v>
      </c>
      <c r="C14" s="24">
        <f>SUM(Jan!C14, Feb!C14, Mar!C14)</f>
        <v>40858</v>
      </c>
      <c r="D14" s="13">
        <f>SUM(Jan!D14, Feb!D14, Mar!D14)</f>
        <v>0</v>
      </c>
      <c r="E14" s="13">
        <f t="shared" si="0"/>
        <v>40858</v>
      </c>
      <c r="F14" s="14" t="str">
        <f t="shared" si="1"/>
        <v/>
      </c>
      <c r="G14" s="15">
        <f>SUM(Jan!G14, Feb!G14, Mar!G14)</f>
        <v>51958.83</v>
      </c>
      <c r="H14" s="15">
        <f>SUM(Jan!H14, Feb!H14, Mar!H14)</f>
        <v>-11100.830000000002</v>
      </c>
      <c r="I14" s="16">
        <f t="shared" si="2"/>
        <v>-0.21364665062704455</v>
      </c>
    </row>
    <row r="15" spans="1:9" ht="15.75">
      <c r="A15" s="49" t="str">
        <v>Kohls - Hanover</v>
      </c>
      <c r="B15" s="10" t="str">
        <v>PA</v>
      </c>
      <c r="C15" s="11">
        <f>SUM(Jan!C15, Feb!C15, Mar!C15)</f>
        <v>64193</v>
      </c>
      <c r="D15" s="18">
        <f>SUM(Jan!D15, Feb!D15, Mar!D15)</f>
        <v>0</v>
      </c>
      <c r="E15" s="18">
        <f t="shared" si="0"/>
        <v>64193</v>
      </c>
      <c r="F15" s="19" t="str">
        <f t="shared" si="1"/>
        <v/>
      </c>
      <c r="G15" s="20">
        <f>SUM(Jan!G15, Feb!G15, Mar!G15)</f>
        <v>73738.67</v>
      </c>
      <c r="H15" s="20">
        <f>SUM(Jan!H15, Feb!H15, Mar!H15)</f>
        <v>-9545.6699999999983</v>
      </c>
      <c r="I15" s="19">
        <f t="shared" si="2"/>
        <v>-0.12945270100477807</v>
      </c>
    </row>
    <row r="16" spans="1:9" ht="15.75">
      <c r="A16" s="48" t="str">
        <v>Kohls - Horsehead</v>
      </c>
      <c r="B16" s="9" t="str">
        <v>NY</v>
      </c>
      <c r="C16" s="24">
        <f>SUM(Jan!C16, Feb!C16, Mar!C16)</f>
        <v>44058</v>
      </c>
      <c r="D16" s="13">
        <f>SUM(Jan!D16, Feb!D16, Mar!D16)</f>
        <v>0</v>
      </c>
      <c r="E16" s="13">
        <f t="shared" ref="E16:E18" si="3">IF(AND(ISNUMBER(C16),ISNUMBER(D16)), C16-D16, "")</f>
        <v>44058</v>
      </c>
      <c r="F16" s="14" t="str">
        <f t="shared" ref="F16:F18" si="4">IFERROR(E16/D16, "")</f>
        <v/>
      </c>
      <c r="G16" s="15">
        <f>SUM(Jan!G16, Feb!G16, Mar!G16)</f>
        <v>53785.880000000005</v>
      </c>
      <c r="H16" s="15">
        <f>SUM(Jan!H16, Feb!H16, Mar!H16)</f>
        <v>-9727.880000000001</v>
      </c>
      <c r="I16" s="16">
        <f t="shared" ref="I16:I18" si="5">IFERROR(H16/G16, "")</f>
        <v>-0.1808630815373849</v>
      </c>
    </row>
    <row r="17" spans="1:9" ht="15.75">
      <c r="A17" s="49" t="str">
        <v>Kohls - Hudson</v>
      </c>
      <c r="B17" s="10" t="str">
        <v>NY</v>
      </c>
      <c r="C17" s="11">
        <f>SUM(Jan!C17, Feb!C17, Mar!C17)</f>
        <v>20828</v>
      </c>
      <c r="D17" s="18">
        <f>SUM(Jan!D17, Feb!D17, Mar!D17)</f>
        <v>0</v>
      </c>
      <c r="E17" s="18">
        <f t="shared" si="3"/>
        <v>20828</v>
      </c>
      <c r="F17" s="19" t="str">
        <f t="shared" si="4"/>
        <v/>
      </c>
      <c r="G17" s="20">
        <f>SUM(Jan!G17, Feb!G17, Mar!G17)</f>
        <v>61289.81</v>
      </c>
      <c r="H17" s="20">
        <f>SUM(Jan!H17, Feb!H17, Mar!H17)</f>
        <v>-40461.81</v>
      </c>
      <c r="I17" s="19">
        <f t="shared" si="5"/>
        <v>-0.66017189480600447</v>
      </c>
    </row>
    <row r="18" spans="1:9" ht="12.75" customHeight="1">
      <c r="A18" s="48" t="str">
        <v>Kohls - Ithaca</v>
      </c>
      <c r="B18" s="9" t="str">
        <v>NY</v>
      </c>
      <c r="C18" s="24">
        <f>SUM(Jan!C18, Feb!C18, Mar!C18)</f>
        <v>43460</v>
      </c>
      <c r="D18" s="13">
        <f>SUM(Jan!D18, Feb!D18, Mar!D18)</f>
        <v>0</v>
      </c>
      <c r="E18" s="13">
        <f t="shared" si="3"/>
        <v>43460</v>
      </c>
      <c r="F18" s="14" t="str">
        <f t="shared" si="4"/>
        <v/>
      </c>
      <c r="G18" s="15">
        <f>SUM(Jan!G18, Feb!G18, Mar!G18)</f>
        <v>57048.45</v>
      </c>
      <c r="H18" s="15">
        <f>SUM(Jan!H18, Feb!H18, Mar!H18)</f>
        <v>-13588.449999999999</v>
      </c>
      <c r="I18" s="19">
        <f t="shared" si="5"/>
        <v>-0.23819139696170535</v>
      </c>
    </row>
    <row r="19" spans="1:9" ht="15.75">
      <c r="A19" s="49" t="str">
        <v>Kohls - Kingston</v>
      </c>
      <c r="B19" s="10" t="str">
        <v>NY</v>
      </c>
      <c r="C19" s="11">
        <f>SUM(Jan!C19, Feb!C19, Mar!C19)</f>
        <v>87519</v>
      </c>
      <c r="D19" s="18">
        <f>SUM(Jan!D19, Feb!D19, Mar!D19)</f>
        <v>0</v>
      </c>
      <c r="E19" s="18">
        <f t="shared" ref="E19:E25" si="6">IF(AND(ISNUMBER(C19),ISNUMBER(D19)), C19-D19, "")</f>
        <v>87519</v>
      </c>
      <c r="F19" s="19" t="str">
        <f t="shared" ref="F19:F25" si="7">IFERROR(E19/D19, "")</f>
        <v/>
      </c>
      <c r="G19" s="20">
        <f>SUM(Jan!G19, Feb!G19, Mar!G19)</f>
        <v>88844.589000000007</v>
      </c>
      <c r="H19" s="20">
        <f>SUM(Jan!H19, Feb!H19, Mar!H19)</f>
        <v>-1325.5890000000036</v>
      </c>
      <c r="I19" s="16">
        <f t="shared" ref="I19:I25" si="8">IFERROR(H19/G19, "")</f>
        <v>-1.4920312141913375E-2</v>
      </c>
    </row>
    <row r="20" spans="1:9" ht="15.75">
      <c r="A20" s="48" t="str">
        <v>Kohls - Mechanicsburg</v>
      </c>
      <c r="B20" s="9" t="str">
        <v>PA</v>
      </c>
      <c r="C20" s="24">
        <f>SUM(Jan!C20, Feb!C20, Mar!C20)</f>
        <v>83627</v>
      </c>
      <c r="D20" s="13">
        <f>SUM(Jan!D20, Feb!D20, Mar!D20)</f>
        <v>0</v>
      </c>
      <c r="E20" s="13">
        <f t="shared" si="6"/>
        <v>83627</v>
      </c>
      <c r="F20" s="14" t="str">
        <f t="shared" si="7"/>
        <v/>
      </c>
      <c r="G20" s="15">
        <f>SUM(Jan!G20, Feb!G20, Mar!G20)</f>
        <v>84448.72</v>
      </c>
      <c r="H20" s="15">
        <f>SUM(Jan!H20, Feb!H20, Mar!H20)</f>
        <v>-821.72000000000116</v>
      </c>
      <c r="I20" s="19">
        <f t="shared" si="8"/>
        <v>-9.7304020712214601E-3</v>
      </c>
    </row>
    <row r="21" spans="1:9" ht="15.75">
      <c r="A21" s="49" t="str">
        <v>Kohls - Middletown</v>
      </c>
      <c r="B21" s="10" t="str">
        <v>NJ</v>
      </c>
      <c r="C21" s="11">
        <f>SUM(Jan!C21, Feb!C21, Mar!C21)</f>
        <v>30711</v>
      </c>
      <c r="D21" s="18">
        <f>SUM(Jan!D21, Feb!D21, Mar!D21)</f>
        <v>0</v>
      </c>
      <c r="E21" s="18">
        <f t="shared" si="6"/>
        <v>30711</v>
      </c>
      <c r="F21" s="19" t="str">
        <f t="shared" si="7"/>
        <v/>
      </c>
      <c r="G21" s="20">
        <f>SUM(Jan!G21, Feb!G21, Mar!G21)</f>
        <v>119056.45999999999</v>
      </c>
      <c r="H21" s="20">
        <f>SUM(Jan!H21, Feb!H21, Mar!H21)</f>
        <v>-88345.459999999992</v>
      </c>
      <c r="I21" s="19">
        <f t="shared" si="8"/>
        <v>-0.74204675663966491</v>
      </c>
    </row>
    <row r="22" spans="1:9" ht="15.75">
      <c r="A22" s="48" t="str">
        <v>Kohls - North Amherst</v>
      </c>
      <c r="B22" s="9" t="str">
        <v>NY</v>
      </c>
      <c r="C22" s="24">
        <f>SUM(Jan!C22, Feb!C22, Mar!C22)</f>
        <v>37771</v>
      </c>
      <c r="D22" s="13">
        <f>SUM(Jan!D22, Feb!D22, Mar!D22)</f>
        <v>0</v>
      </c>
      <c r="E22" s="13">
        <f t="shared" si="6"/>
        <v>37771</v>
      </c>
      <c r="F22" s="14" t="str">
        <f t="shared" si="7"/>
        <v/>
      </c>
      <c r="G22" s="15">
        <f>SUM(Jan!G22, Feb!G22, Mar!G22)</f>
        <v>44557.45</v>
      </c>
      <c r="H22" s="15">
        <f>SUM(Jan!H22, Feb!H22, Mar!H22)</f>
        <v>-6786.4499999999989</v>
      </c>
      <c r="I22" s="16">
        <f t="shared" si="8"/>
        <v>-0.15230786321928205</v>
      </c>
    </row>
    <row r="23" spans="1:9" ht="15.75">
      <c r="A23" s="49" t="str">
        <v>Kohls - Staten Island</v>
      </c>
      <c r="B23" s="10" t="str">
        <v>NY</v>
      </c>
      <c r="C23" s="11">
        <f>SUM(Jan!C23, Feb!C23, Mar!C23)</f>
        <v>59937.599999999999</v>
      </c>
      <c r="D23" s="18">
        <f>SUM(Jan!D23, Feb!D23, Mar!D23)</f>
        <v>0</v>
      </c>
      <c r="E23" s="18">
        <f t="shared" si="6"/>
        <v>59937.599999999999</v>
      </c>
      <c r="F23" s="19" t="str">
        <f t="shared" si="7"/>
        <v/>
      </c>
      <c r="G23" s="20">
        <f>SUM(Jan!G23, Feb!G23, Mar!G24)</f>
        <v>73401.73000000001</v>
      </c>
      <c r="H23" s="20">
        <f>SUM(Jan!H23, Feb!H23, Mar!H23)</f>
        <v>-8920.7000000000007</v>
      </c>
      <c r="I23" s="19">
        <f t="shared" si="8"/>
        <v>-0.12153255788385368</v>
      </c>
    </row>
    <row r="24" spans="1:9" ht="15.75">
      <c r="A24" s="48" t="str">
        <v>Kohls - Warminster</v>
      </c>
      <c r="B24" s="9" t="str">
        <v>PA</v>
      </c>
      <c r="C24" s="24">
        <f>SUM(Jan!C24, Feb!C24, Mar!C24)</f>
        <v>40475</v>
      </c>
      <c r="D24" s="13">
        <f>SUM(Jan!D24, Feb!D24, Mar!D24)</f>
        <v>0</v>
      </c>
      <c r="E24" s="13">
        <f t="shared" si="6"/>
        <v>40475</v>
      </c>
      <c r="F24" s="14" t="str">
        <f t="shared" si="7"/>
        <v/>
      </c>
      <c r="G24" s="15">
        <f>SUM(Jan!G24, Feb!G24, Mar!G25)</f>
        <v>72736.63</v>
      </c>
      <c r="H24" s="15">
        <f>SUM(Jan!H24, Feb!H24, Mar!H24)</f>
        <v>-40277.78</v>
      </c>
      <c r="I24" s="19">
        <f t="shared" si="8"/>
        <v>-0.55374822836856752</v>
      </c>
    </row>
    <row r="25" spans="1:9" ht="15.75">
      <c r="A25" s="49" t="str">
        <v xml:space="preserve">Kohls - Waterbury </v>
      </c>
      <c r="B25" s="10" t="str">
        <v>CT</v>
      </c>
      <c r="C25" s="11">
        <f>SUM(Jan!C25, Feb!C25, Mar!C25)</f>
        <v>61440</v>
      </c>
      <c r="D25" s="18">
        <f>SUM(Jan!D25, Feb!D25, Mar!D25)</f>
        <v>0</v>
      </c>
      <c r="E25" s="18">
        <f t="shared" si="6"/>
        <v>61440</v>
      </c>
      <c r="F25" s="19" t="str">
        <f t="shared" si="7"/>
        <v/>
      </c>
      <c r="G25" s="20">
        <f>SUM(Jan!G25, Feb!G25,Mar!G25)</f>
        <v>63468.68</v>
      </c>
      <c r="H25" s="20">
        <f>SUM(Jan!H25, Feb!H25, Mar!H25)</f>
        <v>-2028.6800000000021</v>
      </c>
      <c r="I25" s="16">
        <f t="shared" si="8"/>
        <v>-3.1963481830723471E-2</v>
      </c>
    </row>
    <row r="26" spans="1:9" ht="15.75">
      <c r="A26" s="48" t="str">
        <v>Mojave Water Agency - Headquarters</v>
      </c>
      <c r="B26" s="9" t="str">
        <v>CA</v>
      </c>
      <c r="C26" s="24">
        <f>SUM(Jan!C26, Feb!C26, Mar!C26)</f>
        <v>0</v>
      </c>
      <c r="D26" s="13">
        <f>SUM(Jan!D26, Feb!D26, Mar!D26)</f>
        <v>0</v>
      </c>
      <c r="E26" s="13">
        <f t="shared" ref="E26:E68" si="9">IF(AND(ISNUMBER(C26),ISNUMBER(D26)), C26-D26, "")</f>
        <v>0</v>
      </c>
      <c r="F26" s="14" t="str">
        <f t="shared" ref="F26:F68" si="10">IFERROR(E26/D26, "")</f>
        <v/>
      </c>
      <c r="G26" s="15">
        <f>SUM(Jan!G26, Feb!G26, Mar!G27)</f>
        <v>0</v>
      </c>
      <c r="H26" s="15">
        <f>SUM(Jan!H26, Feb!H26, Mar!H26)</f>
        <v>0</v>
      </c>
      <c r="I26" s="19" t="str">
        <f t="shared" ref="I26:I68" si="11">IFERROR(H26/G26, "")</f>
        <v/>
      </c>
    </row>
    <row r="27" spans="1:9" ht="15.75">
      <c r="A27" s="49" t="str">
        <v>CSU - Bakersfield</v>
      </c>
      <c r="B27" s="10" t="str">
        <v>CA</v>
      </c>
      <c r="C27" s="11">
        <f>SUM(Jan!C27, Feb!C27, Mar!C27)</f>
        <v>0</v>
      </c>
      <c r="D27" s="18">
        <f>SUM(Jan!D27, Feb!D27, Mar!D27)</f>
        <v>0</v>
      </c>
      <c r="E27" s="18">
        <f t="shared" si="9"/>
        <v>0</v>
      </c>
      <c r="F27" s="19" t="str">
        <f t="shared" si="10"/>
        <v/>
      </c>
      <c r="G27" s="20">
        <f>SUM(Jan!G27, Feb!G27,Mar!G27)</f>
        <v>0</v>
      </c>
      <c r="H27" s="20">
        <f>SUM(Jan!H27, Feb!H27, Mar!H27)</f>
        <v>0</v>
      </c>
      <c r="I27" s="16" t="str">
        <f t="shared" si="11"/>
        <v/>
      </c>
    </row>
    <row r="28" spans="1:9" ht="15.75">
      <c r="A28" s="48" t="str">
        <v>Greenfield USD - Fairfield ES</v>
      </c>
      <c r="B28" s="9" t="str">
        <v>CA</v>
      </c>
      <c r="C28" s="24">
        <f>SUM(Jan!C28, Feb!C28, Mar!C28)</f>
        <v>0</v>
      </c>
      <c r="D28" s="13">
        <f>SUM(Jan!D28, Feb!D28, Mar!D28)</f>
        <v>0</v>
      </c>
      <c r="E28" s="13">
        <f t="shared" si="9"/>
        <v>0</v>
      </c>
      <c r="F28" s="14" t="str">
        <f t="shared" si="10"/>
        <v/>
      </c>
      <c r="G28" s="15">
        <f>SUM(Jan!G28, Feb!G28, Mar!G29)</f>
        <v>0</v>
      </c>
      <c r="H28" s="15">
        <f>SUM(Jan!H28, Feb!H28, Mar!H28)</f>
        <v>0</v>
      </c>
      <c r="I28" s="19" t="str">
        <f t="shared" si="11"/>
        <v/>
      </c>
    </row>
    <row r="29" spans="1:9" ht="15.75">
      <c r="A29" s="49" t="str">
        <v>Greenfield USD - Granite Point ES</v>
      </c>
      <c r="B29" s="10" t="str">
        <v>CA</v>
      </c>
      <c r="C29" s="11">
        <f>SUM(Jan!C29, Feb!C29, Mar!C29)</f>
        <v>0</v>
      </c>
      <c r="D29" s="18">
        <f>SUM(Jan!D29, Feb!D29, Mar!D29)</f>
        <v>0</v>
      </c>
      <c r="E29" s="18">
        <f t="shared" si="9"/>
        <v>0</v>
      </c>
      <c r="F29" s="19" t="str">
        <f t="shared" si="10"/>
        <v/>
      </c>
      <c r="G29" s="20">
        <f>SUM(Jan!G29, Feb!G29,Mar!G29)</f>
        <v>0</v>
      </c>
      <c r="H29" s="20">
        <f>SUM(Jan!H29, Feb!H29, Mar!H29)</f>
        <v>0</v>
      </c>
      <c r="I29" s="16" t="str">
        <f t="shared" si="11"/>
        <v/>
      </c>
    </row>
    <row r="30" spans="1:9" ht="15.75">
      <c r="A30" s="48" t="str">
        <v>Greenfield USD - Greenfield MS</v>
      </c>
      <c r="B30" s="9" t="str">
        <v>CA</v>
      </c>
      <c r="C30" s="24">
        <f>SUM(Jan!C30, Feb!C30, Mar!C30)</f>
        <v>0</v>
      </c>
      <c r="D30" s="13">
        <f>SUM(Jan!D30, Feb!D30, Mar!D30)</f>
        <v>0</v>
      </c>
      <c r="E30" s="13">
        <f t="shared" si="9"/>
        <v>0</v>
      </c>
      <c r="F30" s="14" t="str">
        <f t="shared" si="10"/>
        <v/>
      </c>
      <c r="G30" s="15">
        <f>SUM(Jan!G30, Feb!G30, Mar!G31)</f>
        <v>0</v>
      </c>
      <c r="H30" s="15">
        <f>SUM(Jan!H30, Feb!H30, Mar!H30)</f>
        <v>0</v>
      </c>
      <c r="I30" s="19" t="str">
        <f t="shared" si="11"/>
        <v/>
      </c>
    </row>
    <row r="31" spans="1:9" ht="15.75">
      <c r="A31" s="49" t="str">
        <v>Greenfield USD - Horizon ES</v>
      </c>
      <c r="B31" s="10" t="str">
        <v>CA</v>
      </c>
      <c r="C31" s="11">
        <f>SUM(Jan!C31, Feb!C31, Mar!C31)</f>
        <v>0</v>
      </c>
      <c r="D31" s="18">
        <f>SUM(Jan!D31, Feb!D31, Mar!D31)</f>
        <v>0</v>
      </c>
      <c r="E31" s="18">
        <f t="shared" si="9"/>
        <v>0</v>
      </c>
      <c r="F31" s="19" t="str">
        <f t="shared" si="10"/>
        <v/>
      </c>
      <c r="G31" s="20">
        <f>SUM(Jan!G31, Feb!G31,Mar!G31)</f>
        <v>0</v>
      </c>
      <c r="H31" s="20">
        <f>SUM(Jan!H31, Feb!H31, Mar!H31)</f>
        <v>0</v>
      </c>
      <c r="I31" s="16" t="str">
        <f t="shared" si="11"/>
        <v/>
      </c>
    </row>
    <row r="32" spans="1:9" ht="15.75">
      <c r="A32" s="48" t="str">
        <v>Greenfield USD - McKee MS</v>
      </c>
      <c r="B32" s="9" t="str">
        <v>CA</v>
      </c>
      <c r="C32" s="24">
        <f>SUM(Jan!C32, Feb!C32, Mar!C32)</f>
        <v>0</v>
      </c>
      <c r="D32" s="13">
        <f>SUM(Jan!D32, Feb!D32, Mar!D32)</f>
        <v>0</v>
      </c>
      <c r="E32" s="13">
        <f t="shared" si="9"/>
        <v>0</v>
      </c>
      <c r="F32" s="14" t="str">
        <f t="shared" si="10"/>
        <v/>
      </c>
      <c r="G32" s="15">
        <f>SUM(Jan!G32, Feb!G32, Mar!G33)</f>
        <v>0</v>
      </c>
      <c r="H32" s="15">
        <f>SUM(Jan!H32, Feb!H32, Mar!H32)</f>
        <v>0</v>
      </c>
      <c r="I32" s="19" t="str">
        <f t="shared" si="11"/>
        <v/>
      </c>
    </row>
    <row r="33" spans="1:9" ht="15.75">
      <c r="A33" s="49" t="str">
        <v>Greenfield USD - Plantation ES</v>
      </c>
      <c r="B33" s="10" t="str">
        <v>CA</v>
      </c>
      <c r="C33" s="11">
        <f>SUM(Jan!C33, Feb!C33, Mar!C33)</f>
        <v>0</v>
      </c>
      <c r="D33" s="18">
        <f>SUM(Jan!D33, Feb!D33, Mar!D33)</f>
        <v>0</v>
      </c>
      <c r="E33" s="18">
        <f t="shared" si="9"/>
        <v>0</v>
      </c>
      <c r="F33" s="19" t="str">
        <f t="shared" si="10"/>
        <v/>
      </c>
      <c r="G33" s="20">
        <f>SUM(Jan!G33, Feb!G33,Mar!G33)</f>
        <v>0</v>
      </c>
      <c r="H33" s="20">
        <f>SUM(Jan!H33, Feb!H33, Mar!H33)</f>
        <v>0</v>
      </c>
      <c r="I33" s="16" t="str">
        <f t="shared" si="11"/>
        <v/>
      </c>
    </row>
    <row r="34" spans="1:9" ht="15.75">
      <c r="A34" s="48" t="str">
        <v>Greenfield USD - Planz ES</v>
      </c>
      <c r="B34" s="9" t="str">
        <v>CA</v>
      </c>
      <c r="C34" s="24">
        <f>SUM(Jan!C34, Feb!C34, Mar!C34)</f>
        <v>0</v>
      </c>
      <c r="D34" s="13">
        <f>SUM(Jan!D34, Feb!D34, Mar!D34)</f>
        <v>0</v>
      </c>
      <c r="E34" s="13">
        <f t="shared" si="9"/>
        <v>0</v>
      </c>
      <c r="F34" s="14" t="str">
        <f t="shared" si="10"/>
        <v/>
      </c>
      <c r="G34" s="15">
        <f>SUM(Jan!G34, Feb!G34, Mar!G35)</f>
        <v>0</v>
      </c>
      <c r="H34" s="15">
        <f>SUM(Jan!H34, Feb!H34, Mar!H34)</f>
        <v>0</v>
      </c>
      <c r="I34" s="19" t="str">
        <f t="shared" si="11"/>
        <v/>
      </c>
    </row>
    <row r="35" spans="1:9" ht="15.75">
      <c r="A35" s="49" t="str">
        <v>Greenfield USD - Raffaello Palla ES</v>
      </c>
      <c r="B35" s="10" t="str">
        <v>CA</v>
      </c>
      <c r="C35" s="11">
        <f>SUM(Jan!C35, Feb!C35, Mar!C35)</f>
        <v>0</v>
      </c>
      <c r="D35" s="18">
        <f>SUM(Jan!D35, Feb!D35, Mar!D35)</f>
        <v>0</v>
      </c>
      <c r="E35" s="18">
        <f t="shared" si="9"/>
        <v>0</v>
      </c>
      <c r="F35" s="19" t="str">
        <f t="shared" si="10"/>
        <v/>
      </c>
      <c r="G35" s="20">
        <f>SUM(Jan!G35, Feb!G35,Mar!G35)</f>
        <v>0</v>
      </c>
      <c r="H35" s="20">
        <f>SUM(Jan!H35, Feb!H35, Mar!H35)</f>
        <v>0</v>
      </c>
      <c r="I35" s="16" t="str">
        <f t="shared" si="11"/>
        <v/>
      </c>
    </row>
    <row r="36" spans="1:9" ht="15.75">
      <c r="A36" s="48" t="str">
        <v>Greenfield USD - Valle Verde ES</v>
      </c>
      <c r="B36" s="9" t="str">
        <v>CA</v>
      </c>
      <c r="C36" s="24">
        <f>SUM(Jan!C36, Feb!C36, Mar!C36)</f>
        <v>0</v>
      </c>
      <c r="D36" s="13">
        <f>SUM(Jan!D36, Feb!D36, Mar!D36)</f>
        <v>0</v>
      </c>
      <c r="E36" s="13">
        <f t="shared" si="9"/>
        <v>0</v>
      </c>
      <c r="F36" s="14" t="str">
        <f t="shared" si="10"/>
        <v/>
      </c>
      <c r="G36" s="15">
        <f>SUM(Jan!G36, Feb!G36, Mar!G37)</f>
        <v>0</v>
      </c>
      <c r="H36" s="15">
        <f>SUM(Jan!H36, Feb!H36, Mar!H36)</f>
        <v>0</v>
      </c>
      <c r="I36" s="19" t="str">
        <f t="shared" si="11"/>
        <v/>
      </c>
    </row>
    <row r="37" spans="1:9" ht="15.75">
      <c r="A37" s="49" t="str">
        <v>Greenfield USD - W.A. Kendrick ES</v>
      </c>
      <c r="B37" s="10" t="str">
        <v>CA</v>
      </c>
      <c r="C37" s="11">
        <f>SUM(Jan!C37, Feb!C37, Mar!C37)</f>
        <v>0</v>
      </c>
      <c r="D37" s="18">
        <f>SUM(Jan!D37, Feb!D37, Mar!D37)</f>
        <v>0</v>
      </c>
      <c r="E37" s="18">
        <f t="shared" si="9"/>
        <v>0</v>
      </c>
      <c r="F37" s="19" t="str">
        <f t="shared" si="10"/>
        <v/>
      </c>
      <c r="G37" s="20">
        <f>SUM(Jan!G37, Feb!G37,Mar!G37)</f>
        <v>0</v>
      </c>
      <c r="H37" s="20">
        <f>SUM(Jan!H37, Feb!H37, Mar!H37)</f>
        <v>0</v>
      </c>
      <c r="I37" s="16" t="str">
        <f t="shared" si="11"/>
        <v/>
      </c>
    </row>
    <row r="38" spans="1:9" ht="15.75">
      <c r="A38" s="48" t="str">
        <v>Muroc Joint USD - Boron HS</v>
      </c>
      <c r="B38" s="9" t="str">
        <v>CA</v>
      </c>
      <c r="C38" s="24">
        <f>SUM(Jan!C38, Feb!C38, Mar!C38)</f>
        <v>0</v>
      </c>
      <c r="D38" s="13">
        <f>SUM(Jan!D38, Feb!D38, Mar!D38)</f>
        <v>0</v>
      </c>
      <c r="E38" s="13">
        <f t="shared" si="9"/>
        <v>0</v>
      </c>
      <c r="F38" s="14" t="str">
        <f t="shared" si="10"/>
        <v/>
      </c>
      <c r="G38" s="15">
        <f>SUM(Jan!G38, Feb!G38, Mar!G39)</f>
        <v>0</v>
      </c>
      <c r="H38" s="15">
        <f>SUM(Jan!H38, Feb!H38, Mar!H38)</f>
        <v>0</v>
      </c>
      <c r="I38" s="19" t="str">
        <f t="shared" si="11"/>
        <v/>
      </c>
    </row>
    <row r="39" spans="1:9" ht="15.75">
      <c r="A39" s="49" t="str">
        <v>Muroc Joint USD - W. Boron ES</v>
      </c>
      <c r="B39" s="10" t="str">
        <v>CA</v>
      </c>
      <c r="C39" s="11">
        <f>SUM(Jan!C39, Feb!C39, Mar!C39)</f>
        <v>0</v>
      </c>
      <c r="D39" s="18">
        <f>SUM(Jan!D39, Feb!D39, Mar!D39)</f>
        <v>0</v>
      </c>
      <c r="E39" s="18">
        <f t="shared" si="9"/>
        <v>0</v>
      </c>
      <c r="F39" s="19" t="str">
        <f t="shared" si="10"/>
        <v/>
      </c>
      <c r="G39" s="20">
        <f>SUM(Jan!G39, Feb!G39,Mar!G39)</f>
        <v>0</v>
      </c>
      <c r="H39" s="20">
        <f>SUM(Jan!H39, Feb!H39, Mar!H39)</f>
        <v>0</v>
      </c>
      <c r="I39" s="16" t="str">
        <f t="shared" si="11"/>
        <v/>
      </c>
    </row>
    <row r="40" spans="1:9" ht="15.75">
      <c r="A40" s="48" t="str">
        <v>Colusa - WTP</v>
      </c>
      <c r="B40" s="9" t="str">
        <v>CA</v>
      </c>
      <c r="C40" s="24">
        <f>SUM(Jan!C40, Feb!C40, Mar!C40)</f>
        <v>0</v>
      </c>
      <c r="D40" s="13">
        <f>SUM(Jan!D40, Feb!D40, Mar!D40)</f>
        <v>0</v>
      </c>
      <c r="E40" s="13">
        <f t="shared" si="9"/>
        <v>0</v>
      </c>
      <c r="F40" s="14" t="str">
        <f t="shared" si="10"/>
        <v/>
      </c>
      <c r="G40" s="15">
        <f>SUM(Jan!G40, Feb!G40, Mar!G41)</f>
        <v>0</v>
      </c>
      <c r="H40" s="15">
        <f>SUM(Jan!H40, Feb!H40, Mar!H40)</f>
        <v>0</v>
      </c>
      <c r="I40" s="19" t="str">
        <f t="shared" si="11"/>
        <v/>
      </c>
    </row>
    <row r="41" spans="1:9" ht="15.75">
      <c r="A41" s="49" t="str">
        <v>CDCR-North Kern State Prision</v>
      </c>
      <c r="B41" s="10" t="str">
        <v>CA</v>
      </c>
      <c r="C41" s="11">
        <f>SUM(Jan!C41, Feb!C41, Mar!C41)</f>
        <v>0</v>
      </c>
      <c r="D41" s="18">
        <f>SUM(Jan!D41, Feb!D41, Mar!D41)</f>
        <v>0</v>
      </c>
      <c r="E41" s="18">
        <f t="shared" si="9"/>
        <v>0</v>
      </c>
      <c r="F41" s="19" t="str">
        <f t="shared" si="10"/>
        <v/>
      </c>
      <c r="G41" s="20">
        <f>SUM(Jan!G41, Feb!G41,Mar!G41)</f>
        <v>0</v>
      </c>
      <c r="H41" s="20">
        <f>SUM(Jan!H41, Feb!H41, Mar!H41)</f>
        <v>0</v>
      </c>
      <c r="I41" s="16" t="str">
        <f t="shared" si="11"/>
        <v/>
      </c>
    </row>
    <row r="42" spans="1:9" ht="15.75">
      <c r="A42" s="48" t="str">
        <v>Muroc Joint USD - District Office</v>
      </c>
      <c r="B42" s="9" t="str">
        <v>CA</v>
      </c>
      <c r="C42" s="24">
        <f>SUM(Jan!C42, Feb!C42, Mar!C42)</f>
        <v>0</v>
      </c>
      <c r="D42" s="13">
        <f>SUM(Jan!D42, Feb!D42, Mar!D42)</f>
        <v>0</v>
      </c>
      <c r="E42" s="13">
        <f t="shared" si="9"/>
        <v>0</v>
      </c>
      <c r="F42" s="14" t="str">
        <f t="shared" si="10"/>
        <v/>
      </c>
      <c r="G42" s="15">
        <f>SUM(Jan!G42, Feb!G42, Mar!G43)</f>
        <v>0</v>
      </c>
      <c r="H42" s="15">
        <f>SUM(Jan!H42, Feb!H42, Mar!H42)</f>
        <v>0</v>
      </c>
      <c r="I42" s="19" t="str">
        <f t="shared" si="11"/>
        <v/>
      </c>
    </row>
    <row r="43" spans="1:9" ht="15.75">
      <c r="A43" s="49" t="str">
        <v>Whole Foods - Manhattan Beach</v>
      </c>
      <c r="B43" s="10" t="str">
        <v>CA</v>
      </c>
      <c r="C43" s="11">
        <f>SUM(Jan!C43, Feb!C43, Mar!C43)</f>
        <v>0</v>
      </c>
      <c r="D43" s="18">
        <f>SUM(Jan!D43, Feb!D43, Mar!D43)</f>
        <v>0</v>
      </c>
      <c r="E43" s="18">
        <f t="shared" si="9"/>
        <v>0</v>
      </c>
      <c r="F43" s="19" t="str">
        <f t="shared" si="10"/>
        <v/>
      </c>
      <c r="G43" s="20">
        <f>SUM(Jan!G43, Feb!G43,Mar!G43)</f>
        <v>0</v>
      </c>
      <c r="H43" s="20">
        <f>SUM(Jan!H43, Feb!H43, Mar!H43)</f>
        <v>0</v>
      </c>
      <c r="I43" s="16" t="str">
        <f t="shared" si="11"/>
        <v/>
      </c>
    </row>
    <row r="44" spans="1:9" ht="15.75">
      <c r="A44" s="48" t="str">
        <v>Pioneer USD - Frontier ES</v>
      </c>
      <c r="B44" s="9" t="str">
        <v>CA</v>
      </c>
      <c r="C44" s="24">
        <f>SUM(Jan!C44, Feb!C44, Mar!C44)</f>
        <v>0</v>
      </c>
      <c r="D44" s="13">
        <f>SUM(Jan!D44, Feb!D44, Mar!D44)</f>
        <v>0</v>
      </c>
      <c r="E44" s="13">
        <f t="shared" si="9"/>
        <v>0</v>
      </c>
      <c r="F44" s="14" t="str">
        <f t="shared" si="10"/>
        <v/>
      </c>
      <c r="G44" s="15">
        <f>SUM(Jan!G44, Feb!G44, Mar!G45)</f>
        <v>0</v>
      </c>
      <c r="H44" s="15">
        <f>SUM(Jan!H44, Feb!H44, Mar!H44)</f>
        <v>0</v>
      </c>
      <c r="I44" s="19" t="str">
        <f t="shared" si="11"/>
        <v/>
      </c>
    </row>
    <row r="45" spans="1:9" ht="15.75">
      <c r="A45" s="49" t="str">
        <v>Pioneer USD - Pioneer ES</v>
      </c>
      <c r="B45" s="10" t="str">
        <v>CA</v>
      </c>
      <c r="C45" s="11">
        <f>SUM(Jan!C45, Feb!C45, Mar!C45)</f>
        <v>0</v>
      </c>
      <c r="D45" s="18">
        <f>SUM(Jan!D45, Feb!D45, Mar!D45)</f>
        <v>0</v>
      </c>
      <c r="E45" s="18">
        <f t="shared" si="9"/>
        <v>0</v>
      </c>
      <c r="F45" s="19" t="str">
        <f t="shared" si="10"/>
        <v/>
      </c>
      <c r="G45" s="20">
        <f>SUM(Jan!G45, Feb!G45,Mar!G45)</f>
        <v>0</v>
      </c>
      <c r="H45" s="20">
        <f>SUM(Jan!H45, Feb!H45, Mar!H45)</f>
        <v>0</v>
      </c>
      <c r="I45" s="16" t="str">
        <f t="shared" si="11"/>
        <v/>
      </c>
    </row>
    <row r="46" spans="1:9" ht="15.75">
      <c r="A46" s="48" t="str">
        <v>Pioneer USD - Pioneer MS</v>
      </c>
      <c r="B46" s="9" t="str">
        <v>CA</v>
      </c>
      <c r="C46" s="24">
        <f>SUM(Jan!C46, Feb!C46, Mar!C46)</f>
        <v>0</v>
      </c>
      <c r="D46" s="13">
        <f>SUM(Jan!D46, Feb!D46, Mar!D46)</f>
        <v>0</v>
      </c>
      <c r="E46" s="13">
        <f t="shared" si="9"/>
        <v>0</v>
      </c>
      <c r="F46" s="14" t="str">
        <f t="shared" si="10"/>
        <v/>
      </c>
      <c r="G46" s="15">
        <f>SUM(Jan!G46, Feb!G46, Mar!G47)</f>
        <v>0</v>
      </c>
      <c r="H46" s="15">
        <f>SUM(Jan!H46, Feb!H46, Mar!H46)</f>
        <v>0</v>
      </c>
      <c r="I46" s="19" t="str">
        <f t="shared" si="11"/>
        <v/>
      </c>
    </row>
    <row r="47" spans="1:9" ht="15.75">
      <c r="A47" s="49" t="str">
        <v>Kingsburg Joint UHSD - Kingsburg HS</v>
      </c>
      <c r="B47" s="10" t="str">
        <v>CA</v>
      </c>
      <c r="C47" s="11">
        <f>SUM(Jan!C47, Feb!C47, Mar!C47)</f>
        <v>0</v>
      </c>
      <c r="D47" s="18">
        <f>SUM(Jan!D47, Feb!D47, Mar!D47)</f>
        <v>0</v>
      </c>
      <c r="E47" s="18">
        <f t="shared" si="9"/>
        <v>0</v>
      </c>
      <c r="F47" s="19" t="str">
        <f t="shared" si="10"/>
        <v/>
      </c>
      <c r="G47" s="20">
        <f>SUM(Jan!G47, Feb!G47,Mar!G47)</f>
        <v>0</v>
      </c>
      <c r="H47" s="20">
        <f>SUM(Jan!H47, Feb!H47, Mar!H47)</f>
        <v>0</v>
      </c>
      <c r="I47" s="16" t="str">
        <f t="shared" si="11"/>
        <v/>
      </c>
    </row>
    <row r="48" spans="1:9" ht="15.75">
      <c r="A48" s="48" t="str">
        <v>CADRB</v>
      </c>
      <c r="B48" s="9" t="str">
        <v>CA</v>
      </c>
      <c r="C48" s="24">
        <f>SUM(Jan!C48, Feb!C48, Mar!C48)</f>
        <v>0</v>
      </c>
      <c r="D48" s="13">
        <f>SUM(Jan!D48, Feb!D48, Mar!D48)</f>
        <v>0</v>
      </c>
      <c r="E48" s="13">
        <f t="shared" si="9"/>
        <v>0</v>
      </c>
      <c r="F48" s="14" t="str">
        <f t="shared" si="10"/>
        <v/>
      </c>
      <c r="G48" s="15">
        <f>SUM(Jan!G48, Feb!G48, Mar!G49)</f>
        <v>0</v>
      </c>
      <c r="H48" s="15">
        <f>SUM(Jan!H48, Feb!H48, Mar!H48)</f>
        <v>0</v>
      </c>
      <c r="I48" s="19" t="str">
        <f t="shared" si="11"/>
        <v/>
      </c>
    </row>
    <row r="49" spans="1:9" ht="15.75">
      <c r="A49" s="49" t="str">
        <v>CDCR-CA State Prison LA County</v>
      </c>
      <c r="B49" s="10" t="str">
        <v>CA</v>
      </c>
      <c r="C49" s="11">
        <f>SUM(Jan!C49, Feb!C49, Mar!C49)</f>
        <v>0</v>
      </c>
      <c r="D49" s="18">
        <f>SUM(Jan!D49, Feb!D49, Mar!D49)</f>
        <v>0</v>
      </c>
      <c r="E49" s="18">
        <f t="shared" si="9"/>
        <v>0</v>
      </c>
      <c r="F49" s="19" t="str">
        <f t="shared" si="10"/>
        <v/>
      </c>
      <c r="G49" s="20">
        <f>SUM(Jan!G49, Feb!G49,Mar!G49)</f>
        <v>0</v>
      </c>
      <c r="H49" s="20">
        <f>SUM(Jan!H49, Feb!H49, Mar!H49)</f>
        <v>0</v>
      </c>
      <c r="I49" s="16" t="str">
        <f t="shared" si="11"/>
        <v/>
      </c>
    </row>
    <row r="50" spans="1:9" ht="15.75">
      <c r="A50" s="48" t="str">
        <v>Central USD Akers ES</v>
      </c>
      <c r="B50" s="9" t="str">
        <v>CA</v>
      </c>
      <c r="C50" s="24">
        <f>SUM(Jan!C50, Feb!C50, Mar!C50)</f>
        <v>0</v>
      </c>
      <c r="D50" s="13">
        <f>SUM(Jan!D50, Feb!D50, Mar!D50)</f>
        <v>0</v>
      </c>
      <c r="E50" s="13">
        <f t="shared" si="9"/>
        <v>0</v>
      </c>
      <c r="F50" s="14" t="str">
        <f t="shared" si="10"/>
        <v/>
      </c>
      <c r="G50" s="15">
        <f>SUM(Jan!G50, Feb!G50, Mar!G51)</f>
        <v>0</v>
      </c>
      <c r="H50" s="15">
        <f>SUM(Jan!H50, Feb!H50, Mar!H50)</f>
        <v>0</v>
      </c>
      <c r="I50" s="19" t="str">
        <f t="shared" si="11"/>
        <v/>
      </c>
    </row>
    <row r="51" spans="1:9" ht="15.75">
      <c r="A51" s="49" t="str">
        <v>CUSD - District Office</v>
      </c>
      <c r="B51" s="10" t="str">
        <v>CA</v>
      </c>
      <c r="C51" s="11">
        <f>SUM(Jan!C51, Feb!C51, Mar!C51)</f>
        <v>0</v>
      </c>
      <c r="D51" s="18">
        <f>SUM(Jan!D51, Feb!D51, Mar!D51)</f>
        <v>0</v>
      </c>
      <c r="E51" s="18">
        <f t="shared" si="9"/>
        <v>0</v>
      </c>
      <c r="F51" s="19" t="str">
        <f t="shared" si="10"/>
        <v/>
      </c>
      <c r="G51" s="20">
        <f>SUM(Jan!G51, Feb!G51,Mar!G51)</f>
        <v>0</v>
      </c>
      <c r="H51" s="20">
        <f>SUM(Jan!H51, Feb!H51, Mar!H51)</f>
        <v>0</v>
      </c>
      <c r="I51" s="16" t="str">
        <f t="shared" si="11"/>
        <v/>
      </c>
    </row>
    <row r="52" spans="1:9" ht="15.75">
      <c r="A52" s="48" t="str">
        <v>Parlier - WTP</v>
      </c>
      <c r="B52" s="9" t="str">
        <v>CA</v>
      </c>
      <c r="C52" s="24">
        <f>SUM(Jan!C52, Feb!C52, Mar!C52)</f>
        <v>0</v>
      </c>
      <c r="D52" s="13">
        <f>SUM(Jan!D52, Feb!D52, Mar!D52)</f>
        <v>0</v>
      </c>
      <c r="E52" s="13">
        <f t="shared" si="9"/>
        <v>0</v>
      </c>
      <c r="F52" s="14" t="str">
        <f t="shared" si="10"/>
        <v/>
      </c>
      <c r="G52" s="15">
        <f>SUM(Jan!G52, Feb!G52, Mar!G53)</f>
        <v>0</v>
      </c>
      <c r="H52" s="15">
        <f>SUM(Jan!H52, Feb!H52, Mar!H52)</f>
        <v>0</v>
      </c>
      <c r="I52" s="19" t="str">
        <f t="shared" si="11"/>
        <v/>
      </c>
    </row>
    <row r="53" spans="1:9" ht="15.75">
      <c r="A53" s="49" t="str">
        <v>Snowline SD - Quail Valley MS</v>
      </c>
      <c r="B53" s="10" t="str">
        <v>CA</v>
      </c>
      <c r="C53" s="11">
        <f>SUM(Jan!C53, Feb!C53, Mar!C53)</f>
        <v>0</v>
      </c>
      <c r="D53" s="18">
        <f>SUM(Jan!D53, Feb!D53, Mar!D53)</f>
        <v>0</v>
      </c>
      <c r="E53" s="18">
        <f t="shared" si="9"/>
        <v>0</v>
      </c>
      <c r="F53" s="19" t="str">
        <f t="shared" si="10"/>
        <v/>
      </c>
      <c r="G53" s="20">
        <f>SUM(Jan!G53, Feb!G53,Mar!G53)</f>
        <v>0</v>
      </c>
      <c r="H53" s="20">
        <f>SUM(Jan!H53, Feb!H53, Mar!H53)</f>
        <v>0</v>
      </c>
      <c r="I53" s="16" t="str">
        <f t="shared" si="11"/>
        <v/>
      </c>
    </row>
    <row r="54" spans="1:9" ht="15.75">
      <c r="A54" s="48" t="str">
        <v>Snowline SD - Serrano HS - Middle Lot</v>
      </c>
      <c r="B54" s="9" t="str">
        <v>CA</v>
      </c>
      <c r="C54" s="24">
        <f>SUM(Jan!C54, Feb!C54, Mar!C54)</f>
        <v>0</v>
      </c>
      <c r="D54" s="13">
        <f>SUM(Jan!D54, Feb!D54, Mar!D54)</f>
        <v>0</v>
      </c>
      <c r="E54" s="13">
        <f t="shared" si="9"/>
        <v>0</v>
      </c>
      <c r="F54" s="14" t="str">
        <f t="shared" si="10"/>
        <v/>
      </c>
      <c r="G54" s="15">
        <f>SUM(Jan!G54, Feb!G54, Mar!G55)</f>
        <v>0</v>
      </c>
      <c r="H54" s="15">
        <f>SUM(Jan!H54, Feb!H54, Mar!H54)</f>
        <v>0</v>
      </c>
      <c r="I54" s="19" t="str">
        <f t="shared" si="11"/>
        <v/>
      </c>
    </row>
    <row r="55" spans="1:9" ht="15.75">
      <c r="A55" s="49" t="str">
        <v>Snowline SD - Pinon Hills ES</v>
      </c>
      <c r="B55" s="10" t="str">
        <v>CA</v>
      </c>
      <c r="C55" s="11">
        <f>SUM(Jan!C55, Feb!C55, Mar!C55)</f>
        <v>0</v>
      </c>
      <c r="D55" s="18">
        <f>SUM(Jan!D55, Feb!D55, Mar!D55)</f>
        <v>0</v>
      </c>
      <c r="E55" s="18">
        <f t="shared" si="9"/>
        <v>0</v>
      </c>
      <c r="F55" s="19" t="str">
        <f t="shared" si="10"/>
        <v/>
      </c>
      <c r="G55" s="20">
        <f>SUM(Jan!G55, Feb!G55,Mar!G55)</f>
        <v>0</v>
      </c>
      <c r="H55" s="20">
        <f>SUM(Jan!H55, Feb!H55, Mar!H55)</f>
        <v>0</v>
      </c>
      <c r="I55" s="16" t="str">
        <f t="shared" si="11"/>
        <v/>
      </c>
    </row>
    <row r="56" spans="1:9" ht="15.75">
      <c r="A56" s="48" t="str">
        <v>Ramona - Santa Maria WTP</v>
      </c>
      <c r="B56" s="9" t="str">
        <v>CA</v>
      </c>
      <c r="C56" s="24">
        <f>SUM(Jan!C56, Feb!C56, Mar!C56)</f>
        <v>0</v>
      </c>
      <c r="D56" s="13">
        <f>SUM(Jan!D56, Feb!D56, Mar!D56)</f>
        <v>0</v>
      </c>
      <c r="E56" s="13">
        <f t="shared" si="9"/>
        <v>0</v>
      </c>
      <c r="F56" s="14" t="str">
        <f t="shared" si="10"/>
        <v/>
      </c>
      <c r="G56" s="15">
        <f>SUM(Jan!G56, Feb!G56, Mar!G57)</f>
        <v>0</v>
      </c>
      <c r="H56" s="15">
        <f>SUM(Jan!H56, Feb!H56, Mar!H56)</f>
        <v>0</v>
      </c>
      <c r="I56" s="19" t="str">
        <f t="shared" si="11"/>
        <v/>
      </c>
    </row>
    <row r="57" spans="1:9" ht="15.75">
      <c r="A57" s="49" t="str">
        <v>Kohls - Redding</v>
      </c>
      <c r="B57" s="10" t="str">
        <v>CA</v>
      </c>
      <c r="C57" s="11">
        <f>SUM(Jan!C57, Feb!C57, Mar!C57)</f>
        <v>0</v>
      </c>
      <c r="D57" s="18">
        <f>SUM(Jan!D57, Feb!D57, Mar!D57)</f>
        <v>0</v>
      </c>
      <c r="E57" s="18">
        <f t="shared" si="9"/>
        <v>0</v>
      </c>
      <c r="F57" s="19" t="str">
        <f t="shared" si="10"/>
        <v/>
      </c>
      <c r="G57" s="20">
        <f>SUM(Jan!G57, Feb!G57,Mar!G57)</f>
        <v>0</v>
      </c>
      <c r="H57" s="20">
        <f>SUM(Jan!H57, Feb!H57, Mar!H57)</f>
        <v>0</v>
      </c>
      <c r="I57" s="16" t="str">
        <f t="shared" si="11"/>
        <v/>
      </c>
    </row>
    <row r="58" spans="1:9" ht="15.75">
      <c r="A58" s="48" t="str">
        <v>Kohls - Salinas</v>
      </c>
      <c r="B58" s="9" t="str">
        <v>CA</v>
      </c>
      <c r="C58" s="24">
        <f>SUM(Jan!C58, Feb!C58, Mar!C58)</f>
        <v>0</v>
      </c>
      <c r="D58" s="13">
        <f>SUM(Jan!D58, Feb!D58, Mar!D58)</f>
        <v>0</v>
      </c>
      <c r="E58" s="13">
        <f t="shared" si="9"/>
        <v>0</v>
      </c>
      <c r="F58" s="14" t="str">
        <f t="shared" si="10"/>
        <v/>
      </c>
      <c r="G58" s="15">
        <f>SUM(Jan!G58, Feb!G58, Mar!G59)</f>
        <v>0</v>
      </c>
      <c r="H58" s="15">
        <f>SUM(Jan!H58, Feb!H58, Mar!H58)</f>
        <v>0</v>
      </c>
      <c r="I58" s="19" t="str">
        <f t="shared" si="11"/>
        <v/>
      </c>
    </row>
    <row r="59" spans="1:9" ht="15.75">
      <c r="A59" s="49" t="str">
        <v>Kohls - San Bernardino - Central</v>
      </c>
      <c r="B59" s="10" t="str">
        <v>CA</v>
      </c>
      <c r="C59" s="11">
        <f>SUM(Jan!C59, Feb!C59, Mar!C59)</f>
        <v>0</v>
      </c>
      <c r="D59" s="18">
        <f>SUM(Jan!D59, Feb!D59, Mar!D59)</f>
        <v>0</v>
      </c>
      <c r="E59" s="18">
        <f t="shared" si="9"/>
        <v>0</v>
      </c>
      <c r="F59" s="19" t="str">
        <f t="shared" si="10"/>
        <v/>
      </c>
      <c r="G59" s="20">
        <f>SUM(Jan!G59, Feb!G59,Mar!G59)</f>
        <v>0</v>
      </c>
      <c r="H59" s="20">
        <f>SUM(Jan!H59, Feb!H59, Mar!H59)</f>
        <v>0</v>
      </c>
      <c r="I59" s="16" t="str">
        <f t="shared" si="11"/>
        <v/>
      </c>
    </row>
    <row r="60" spans="1:9" ht="15.75">
      <c r="A60" s="48" t="str">
        <v>Kohls - Sonora</v>
      </c>
      <c r="B60" s="9" t="str">
        <v>CA</v>
      </c>
      <c r="C60" s="24">
        <f>SUM(Jan!C60, Feb!C60, Mar!C60)</f>
        <v>0</v>
      </c>
      <c r="D60" s="13">
        <f>SUM(Jan!D60, Feb!D60, Mar!D60)</f>
        <v>0</v>
      </c>
      <c r="E60" s="13">
        <f t="shared" si="9"/>
        <v>0</v>
      </c>
      <c r="F60" s="14" t="str">
        <f t="shared" si="10"/>
        <v/>
      </c>
      <c r="G60" s="15">
        <f>SUM(Jan!G60, Feb!G60, Mar!G61)</f>
        <v>0</v>
      </c>
      <c r="H60" s="15">
        <f>SUM(Jan!H60, Feb!H60, Mar!H60)</f>
        <v>0</v>
      </c>
      <c r="I60" s="19" t="str">
        <f t="shared" si="11"/>
        <v/>
      </c>
    </row>
    <row r="61" spans="1:9" ht="15.75">
      <c r="A61" s="49" t="str">
        <v>CUSD - Stratford ES</v>
      </c>
      <c r="B61" s="10" t="str">
        <v>CA</v>
      </c>
      <c r="C61" s="11">
        <f>SUM(Jan!C61, Feb!C61, Mar!C61)</f>
        <v>0</v>
      </c>
      <c r="D61" s="18">
        <f>SUM(Jan!D61, Feb!D61, Mar!D61)</f>
        <v>0</v>
      </c>
      <c r="E61" s="18">
        <f t="shared" si="9"/>
        <v>0</v>
      </c>
      <c r="F61" s="19" t="str">
        <f t="shared" si="10"/>
        <v/>
      </c>
      <c r="G61" s="20">
        <f>SUM(Jan!G61, Feb!G61,Mar!G61)</f>
        <v>0</v>
      </c>
      <c r="H61" s="20">
        <f>SUM(Jan!H61, Feb!H61, Mar!H61)</f>
        <v>0</v>
      </c>
      <c r="I61" s="16" t="str">
        <f t="shared" si="11"/>
        <v/>
      </c>
    </row>
    <row r="62" spans="1:9" ht="15.75">
      <c r="A62" s="48" t="str">
        <v>Taft - City Hall</v>
      </c>
      <c r="B62" s="9" t="str">
        <v>CA</v>
      </c>
      <c r="C62" s="24">
        <f>SUM(Jan!C62, Feb!C62, Mar!C62)</f>
        <v>0</v>
      </c>
      <c r="D62" s="13">
        <f>SUM(Jan!D62, Feb!D62, Mar!D62)</f>
        <v>0</v>
      </c>
      <c r="E62" s="13">
        <f t="shared" si="9"/>
        <v>0</v>
      </c>
      <c r="F62" s="14" t="str">
        <f t="shared" si="10"/>
        <v/>
      </c>
      <c r="G62" s="15">
        <f>SUM(Jan!G62, Feb!G62, Mar!G63)</f>
        <v>0</v>
      </c>
      <c r="H62" s="15">
        <f>SUM(Jan!H62, Feb!H62, Mar!H62)</f>
        <v>0</v>
      </c>
      <c r="I62" s="19" t="str">
        <f t="shared" si="11"/>
        <v/>
      </c>
    </row>
    <row r="63" spans="1:9" ht="15.75">
      <c r="A63" s="49" t="str">
        <v>Taft - Federal Prison</v>
      </c>
      <c r="B63" s="10" t="str">
        <v>CA</v>
      </c>
      <c r="C63" s="11">
        <f>SUM(Jan!C63, Feb!C63, Mar!C63)</f>
        <v>0</v>
      </c>
      <c r="D63" s="18">
        <f>SUM(Jan!D63, Feb!D63, Mar!D63)</f>
        <v>0</v>
      </c>
      <c r="E63" s="18">
        <f t="shared" si="9"/>
        <v>0</v>
      </c>
      <c r="F63" s="19" t="str">
        <f t="shared" si="10"/>
        <v/>
      </c>
      <c r="G63" s="20">
        <f>SUM(Jan!G63, Feb!G63,Mar!G63)</f>
        <v>0</v>
      </c>
      <c r="H63" s="20">
        <f>SUM(Jan!H63, Feb!H63, Mar!H63)</f>
        <v>0</v>
      </c>
      <c r="I63" s="16" t="str">
        <f t="shared" si="11"/>
        <v/>
      </c>
    </row>
    <row r="64" spans="1:9" ht="15.75">
      <c r="A64" s="48" t="str">
        <v>Taft - Police Department</v>
      </c>
      <c r="B64" s="9" t="str">
        <v>CA</v>
      </c>
      <c r="C64" s="24">
        <f>SUM(Jan!C64, Feb!C64, Mar!C64)</f>
        <v>0</v>
      </c>
      <c r="D64" s="13">
        <f>SUM(Jan!D64, Feb!D64, Mar!D64)</f>
        <v>0</v>
      </c>
      <c r="E64" s="13">
        <f t="shared" si="9"/>
        <v>0</v>
      </c>
      <c r="F64" s="14" t="str">
        <f t="shared" si="10"/>
        <v/>
      </c>
      <c r="G64" s="15">
        <f>SUM(Jan!G64, Feb!G64, Mar!G65)</f>
        <v>0</v>
      </c>
      <c r="H64" s="15">
        <f>SUM(Jan!H64, Feb!H64, Mar!H64)</f>
        <v>0</v>
      </c>
      <c r="I64" s="19" t="str">
        <f t="shared" si="11"/>
        <v/>
      </c>
    </row>
    <row r="65" spans="1:9" ht="15.75">
      <c r="A65" s="49" t="str">
        <v>Taft - WTP</v>
      </c>
      <c r="B65" s="10" t="str">
        <v>CA</v>
      </c>
      <c r="C65" s="11">
        <f>SUM(Jan!C65, Feb!C65, Mar!C65)</f>
        <v>0</v>
      </c>
      <c r="D65" s="18">
        <f>SUM(Jan!D65, Feb!D65, Mar!D65)</f>
        <v>0</v>
      </c>
      <c r="E65" s="18">
        <f t="shared" si="9"/>
        <v>0</v>
      </c>
      <c r="F65" s="19" t="str">
        <f t="shared" si="10"/>
        <v/>
      </c>
      <c r="G65" s="20">
        <f>SUM(Jan!G65, Feb!G65,Mar!G65)</f>
        <v>0</v>
      </c>
      <c r="H65" s="20">
        <f>SUM(Jan!H65, Feb!H65, Mar!H65)</f>
        <v>0</v>
      </c>
      <c r="I65" s="16" t="str">
        <f t="shared" si="11"/>
        <v/>
      </c>
    </row>
    <row r="66" spans="1:9" ht="15.75">
      <c r="A66" s="48" t="str">
        <v>CDCR - CA Correctional Institution</v>
      </c>
      <c r="B66" s="9" t="str">
        <v>CA</v>
      </c>
      <c r="C66" s="24">
        <f>SUM(Jan!C66, Feb!C66, Mar!C66)</f>
        <v>0</v>
      </c>
      <c r="D66" s="13">
        <f>SUM(Jan!D66, Feb!D66, Mar!D66)</f>
        <v>0</v>
      </c>
      <c r="E66" s="13">
        <f t="shared" si="9"/>
        <v>0</v>
      </c>
      <c r="F66" s="14" t="str">
        <f t="shared" si="10"/>
        <v/>
      </c>
      <c r="G66" s="15">
        <f>SUM(Jan!G66, Feb!G66, Mar!G67)</f>
        <v>0</v>
      </c>
      <c r="H66" s="15">
        <f>SUM(Jan!H66, Feb!H66, Mar!H66)</f>
        <v>0</v>
      </c>
      <c r="I66" s="19" t="str">
        <f t="shared" si="11"/>
        <v/>
      </c>
    </row>
    <row r="67" spans="1:9" ht="15.75">
      <c r="A67" s="49" t="str">
        <v>CDCR - CA Correctional Institution II</v>
      </c>
      <c r="B67" s="10" t="str">
        <v>CA</v>
      </c>
      <c r="C67" s="11">
        <f>SUM(Jan!C67, Feb!C67, Mar!C67)</f>
        <v>0</v>
      </c>
      <c r="D67" s="18">
        <f>SUM(Jan!D67, Feb!D67, Mar!D67)</f>
        <v>0</v>
      </c>
      <c r="E67" s="18">
        <f t="shared" si="9"/>
        <v>0</v>
      </c>
      <c r="F67" s="19" t="str">
        <f t="shared" si="10"/>
        <v/>
      </c>
      <c r="G67" s="20">
        <f>SUM(Jan!G67, Feb!G67,Mar!G67)</f>
        <v>0</v>
      </c>
      <c r="H67" s="20">
        <f>SUM(Jan!H67, Feb!H67, Mar!H67)</f>
        <v>0</v>
      </c>
      <c r="I67" s="16" t="str">
        <f t="shared" si="11"/>
        <v/>
      </c>
    </row>
    <row r="68" spans="1:9" ht="15.75">
      <c r="A68" s="48" t="str">
        <v>Snowline SD - Vista Verde ES</v>
      </c>
      <c r="B68" s="9" t="str">
        <v>CA</v>
      </c>
      <c r="C68" s="24">
        <f>SUM(Jan!C68, Feb!C68, Mar!C68)</f>
        <v>0</v>
      </c>
      <c r="D68" s="13">
        <f>SUM(Jan!D68, Feb!D68, Mar!D68)</f>
        <v>0</v>
      </c>
      <c r="E68" s="13">
        <f t="shared" si="9"/>
        <v>0</v>
      </c>
      <c r="F68" s="14" t="str">
        <f t="shared" si="10"/>
        <v/>
      </c>
      <c r="G68" s="15">
        <f>SUM(Jan!G68, Feb!G68, Mar!G69)</f>
        <v>0</v>
      </c>
      <c r="H68" s="15">
        <f>SUM(Jan!H68, Feb!H68, Mar!H68)</f>
        <v>0</v>
      </c>
      <c r="I68" s="19" t="str">
        <f t="shared" si="11"/>
        <v/>
      </c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58" priority="1" stopIfTrue="1" operator="lessThanOrEqual">
      <formula>-0.1</formula>
    </cfRule>
    <cfRule type="expression" dxfId="5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xSplit="2" ySplit="3" topLeftCell="C38" activePane="bottomRight" state="frozen"/>
      <selection pane="bottomRight" activeCell="D65" sqref="D65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9" t="str" cm="1">
        <f t="array" ref="A1">portfolio</f>
        <v>Silicon Ranch</v>
      </c>
      <c r="B1" s="99"/>
      <c r="C1" s="99"/>
      <c r="D1" s="100" t="s">
        <v>12</v>
      </c>
      <c r="E1" s="100"/>
      <c r="F1" s="100"/>
      <c r="G1" s="98" t="s">
        <v>13</v>
      </c>
      <c r="H1" s="98"/>
      <c r="I1" s="98"/>
    </row>
    <row r="2" spans="1:9" ht="19.5" customHeight="1">
      <c r="A2" s="101" t="s">
        <v>2</v>
      </c>
      <c r="B2" s="101"/>
      <c r="C2" s="5">
        <f>SUM(C4:C100)</f>
        <v>3213988.8</v>
      </c>
      <c r="D2" s="5">
        <f>SUM(D4:D100)</f>
        <v>0</v>
      </c>
      <c r="E2" s="5">
        <f>C2-D2</f>
        <v>3213988.8</v>
      </c>
      <c r="F2" s="6">
        <f>IFERROR(E2/D2, 0)</f>
        <v>0</v>
      </c>
      <c r="G2" s="5">
        <f>SUM(G4:G100)</f>
        <v>3634080.2349999999</v>
      </c>
      <c r="H2" s="7">
        <f>C2-G2</f>
        <v>-420091.43500000006</v>
      </c>
      <c r="I2" s="6">
        <f>IFERROR(H2/G2, 0)</f>
        <v>-0.11559773253052573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8" t="str" cm="1">
        <f t="array" ref="A4:A68">Sites[Site]</f>
        <v>Iron Mountain - Windsor</v>
      </c>
      <c r="B4" s="9" t="str" cm="1">
        <f t="array" ref="B4:B68">Sites[State]</f>
        <v>CT</v>
      </c>
      <c r="C4" s="24">
        <f>SUM(Apr!C4, May!C4, Jun!C4)</f>
        <v>102274</v>
      </c>
      <c r="D4" s="13">
        <f>SUM(Apr!D4, May!D4, Jun!D4)</f>
        <v>0</v>
      </c>
      <c r="E4" s="13">
        <f>IF(AND(ISNUMBER(C4),ISNUMBER(D4)), C4-D4, "")</f>
        <v>102274</v>
      </c>
      <c r="F4" s="14" t="str">
        <f>IFERROR(E4/D4, "")</f>
        <v/>
      </c>
      <c r="G4" s="15">
        <f>SUM(Apr!G4, May!G4, Jun!G4)</f>
        <v>102351.26000000001</v>
      </c>
      <c r="H4" s="15">
        <f>SUM(Apr!H4, May!H4, Jun!H4)</f>
        <v>-77.260000000002037</v>
      </c>
      <c r="I4" s="16">
        <f>IFERROR(H4/G4, "")</f>
        <v>-7.5485147911224571E-4</v>
      </c>
    </row>
    <row r="5" spans="1:9" ht="15.75">
      <c r="A5" s="49" t="str">
        <v>Kohls - Auburn</v>
      </c>
      <c r="B5" s="10" t="str">
        <v>NY</v>
      </c>
      <c r="C5" s="11">
        <f>SUM(Apr!C5, May!C5, Jun!C5)</f>
        <v>108468</v>
      </c>
      <c r="D5" s="18">
        <f>SUM(Apr!D5, May!D5, Jun!D5)</f>
        <v>0</v>
      </c>
      <c r="E5" s="18">
        <f t="shared" ref="E5:E15" si="0">IF(AND(ISNUMBER(C5),ISNUMBER(D5)), C5-D5, "")</f>
        <v>108468</v>
      </c>
      <c r="F5" s="19" t="str">
        <f>IFERROR(E5/D5, "")</f>
        <v/>
      </c>
      <c r="G5" s="20">
        <f>SUM(Apr!G5, May!G5, Jun!G5)</f>
        <v>123949.89000000001</v>
      </c>
      <c r="H5" s="20">
        <f>SUM(Apr!H5, May!H5, Jun!H5)</f>
        <v>-15481.89</v>
      </c>
      <c r="I5" s="19">
        <f>IFERROR(H5/G5, "")</f>
        <v>-0.12490442710356578</v>
      </c>
    </row>
    <row r="6" spans="1:9" ht="15.75">
      <c r="A6" s="48" t="str">
        <v>Kohls - Bensalem</v>
      </c>
      <c r="B6" s="9" t="str">
        <v>PA</v>
      </c>
      <c r="C6" s="24">
        <f>SUM(Apr!C6, May!C6, Jun!C6)</f>
        <v>121398</v>
      </c>
      <c r="D6" s="13">
        <f>SUM(Apr!D6, May!D6, Jun!D6)</f>
        <v>0</v>
      </c>
      <c r="E6" s="13">
        <f t="shared" si="0"/>
        <v>121398</v>
      </c>
      <c r="F6" s="14" t="str">
        <f t="shared" ref="F6:F15" si="1">IFERROR(E6/D6, "")</f>
        <v/>
      </c>
      <c r="G6" s="15">
        <f>SUM(Apr!G6, May!G6, Jun!G6)</f>
        <v>111075.04999999999</v>
      </c>
      <c r="H6" s="15">
        <f>SUM(Apr!H6, May!H6, Jun!H6)</f>
        <v>10322.950000000004</v>
      </c>
      <c r="I6" s="16">
        <f t="shared" ref="I6:I15" si="2">IFERROR(H6/G6, "")</f>
        <v>9.2936712610077646E-2</v>
      </c>
    </row>
    <row r="7" spans="1:9" ht="15.75">
      <c r="A7" s="49" t="str">
        <v>Kohls - Brick</v>
      </c>
      <c r="B7" s="10" t="str">
        <v>NJ</v>
      </c>
      <c r="C7" s="11">
        <f>SUM(Apr!C7, May!C7, Jun!C7)</f>
        <v>136988</v>
      </c>
      <c r="D7" s="18">
        <f>SUM(Apr!D7, May!D7, Jun!D7)</f>
        <v>0</v>
      </c>
      <c r="E7" s="18">
        <f t="shared" si="0"/>
        <v>136988</v>
      </c>
      <c r="F7" s="19" t="str">
        <f t="shared" si="1"/>
        <v/>
      </c>
      <c r="G7" s="20">
        <f>SUM(Apr!G7, May!G7, Jun!G7)</f>
        <v>135010.68</v>
      </c>
      <c r="H7" s="20">
        <f>SUM(Apr!H7, May!H7, Jun!H7)</f>
        <v>1977.320000000007</v>
      </c>
      <c r="I7" s="19">
        <f t="shared" si="2"/>
        <v>1.4645656180681463E-2</v>
      </c>
    </row>
    <row r="8" spans="1:9" ht="15.75">
      <c r="A8" s="48" t="str">
        <v>Kohls - Buffalo</v>
      </c>
      <c r="B8" s="9" t="str">
        <v>NY</v>
      </c>
      <c r="C8" s="24">
        <f>SUM(Apr!C8, May!C8, Jun!C8)</f>
        <v>118377</v>
      </c>
      <c r="D8" s="13">
        <f>SUM(Apr!D8, May!D8, Jun!D8)</f>
        <v>0</v>
      </c>
      <c r="E8" s="13">
        <f t="shared" si="0"/>
        <v>118377</v>
      </c>
      <c r="F8" s="14" t="str">
        <f t="shared" si="1"/>
        <v/>
      </c>
      <c r="G8" s="15">
        <f>SUM(Apr!G8, May!G8, Jun!G8)</f>
        <v>147114.18</v>
      </c>
      <c r="H8" s="15">
        <f>SUM(Apr!H8, May!H8, Jun!H8)</f>
        <v>-28737.18</v>
      </c>
      <c r="I8" s="16">
        <f t="shared" si="2"/>
        <v>-0.19533929360174526</v>
      </c>
    </row>
    <row r="9" spans="1:9" ht="15.75">
      <c r="A9" s="49" t="str">
        <v>Kohls - Canton</v>
      </c>
      <c r="B9" s="10" t="str">
        <v>CT</v>
      </c>
      <c r="C9" s="11">
        <f>SUM(Apr!C9, May!C9, Jun!C9)</f>
        <v>50060</v>
      </c>
      <c r="D9" s="18">
        <f>SUM(Apr!D9, May!D9, Jun!D9)</f>
        <v>0</v>
      </c>
      <c r="E9" s="18">
        <f t="shared" si="0"/>
        <v>50060</v>
      </c>
      <c r="F9" s="19" t="str">
        <f t="shared" si="1"/>
        <v/>
      </c>
      <c r="G9" s="20">
        <f>SUM(Apr!G9, May!G9, Jun!G9)</f>
        <v>45736.67</v>
      </c>
      <c r="H9" s="20">
        <f>SUM(Apr!H9, May!H9, Jun!H9)</f>
        <v>4323.33</v>
      </c>
      <c r="I9" s="19">
        <f t="shared" si="2"/>
        <v>9.4526558229971705E-2</v>
      </c>
    </row>
    <row r="10" spans="1:9" ht="15.75">
      <c r="A10" s="48" t="str">
        <v>Kohls - East Amherst</v>
      </c>
      <c r="B10" s="9" t="str">
        <v>NY</v>
      </c>
      <c r="C10" s="24">
        <f>SUM(Apr!C10, May!C10, Jun!C10)</f>
        <v>121268</v>
      </c>
      <c r="D10" s="13">
        <f>SUM(Apr!D10, May!D10, Jun!D10)</f>
        <v>0</v>
      </c>
      <c r="E10" s="13">
        <f t="shared" si="0"/>
        <v>121268</v>
      </c>
      <c r="F10" s="14" t="str">
        <f t="shared" si="1"/>
        <v/>
      </c>
      <c r="G10" s="15">
        <f>SUM(Apr!G10, May!G10, Jun!G10)</f>
        <v>131248.74</v>
      </c>
      <c r="H10" s="15">
        <f>SUM(Apr!H10, May!H10, Jun!H10)</f>
        <v>-9980.739999999998</v>
      </c>
      <c r="I10" s="16">
        <f t="shared" si="2"/>
        <v>-7.6044463360181586E-2</v>
      </c>
    </row>
    <row r="11" spans="1:9" ht="15.75">
      <c r="A11" s="49" t="str">
        <v>Kohls - East Brunswick</v>
      </c>
      <c r="B11" s="10" t="str">
        <v>NJ</v>
      </c>
      <c r="C11" s="11">
        <f>SUM(Apr!C11, May!C11, Jun!C11)</f>
        <v>125982</v>
      </c>
      <c r="D11" s="18">
        <f>SUM(Apr!D11, May!D11, Jun!D11)</f>
        <v>0</v>
      </c>
      <c r="E11" s="18">
        <f t="shared" si="0"/>
        <v>125982</v>
      </c>
      <c r="F11" s="19" t="str">
        <f t="shared" si="1"/>
        <v/>
      </c>
      <c r="G11" s="20">
        <f>SUM(Apr!G11, May!G11, Jun!G11)</f>
        <v>174470.12</v>
      </c>
      <c r="H11" s="20">
        <f>SUM(Apr!H11, May!H11, Jun!H11)</f>
        <v>-48488.119999999995</v>
      </c>
      <c r="I11" s="19">
        <f t="shared" si="2"/>
        <v>-0.27791647074009002</v>
      </c>
    </row>
    <row r="12" spans="1:9" ht="15.75">
      <c r="A12" s="48" t="str">
        <v>Kohls - Edgewood</v>
      </c>
      <c r="B12" s="9" t="str">
        <v>MD</v>
      </c>
      <c r="C12" s="24">
        <f>SUM(Apr!C12, May!C12, Jun!C12)</f>
        <v>747904</v>
      </c>
      <c r="D12" s="13">
        <f>SUM(Apr!D12, May!D12, Jun!D12)</f>
        <v>0</v>
      </c>
      <c r="E12" s="13">
        <f t="shared" si="0"/>
        <v>747904</v>
      </c>
      <c r="F12" s="14" t="str">
        <f t="shared" si="1"/>
        <v/>
      </c>
      <c r="G12" s="15">
        <f>SUM(Apr!G12, May!G12, Jun!G12)</f>
        <v>923709.28</v>
      </c>
      <c r="H12" s="15">
        <f>SUM(Apr!H12, May!H12, Jun!H12)</f>
        <v>-175805.28000000003</v>
      </c>
      <c r="I12" s="16">
        <f t="shared" si="2"/>
        <v>-0.19032533699347484</v>
      </c>
    </row>
    <row r="13" spans="1:9" ht="15.75">
      <c r="A13" s="49" t="str">
        <v>Kohls - Granite Run</v>
      </c>
      <c r="B13" s="10" t="str">
        <v>PA</v>
      </c>
      <c r="C13" s="11">
        <f>SUM(Apr!C13, May!C13, Jun!C13)</f>
        <v>113938</v>
      </c>
      <c r="D13" s="18">
        <f>SUM(Apr!D13, May!D13, Jun!D13)</f>
        <v>0</v>
      </c>
      <c r="E13" s="18">
        <f t="shared" si="0"/>
        <v>113938</v>
      </c>
      <c r="F13" s="19" t="str">
        <f t="shared" si="1"/>
        <v/>
      </c>
      <c r="G13" s="20">
        <f>SUM(Apr!G13, May!G13, Jun!G13)</f>
        <v>110743.92000000001</v>
      </c>
      <c r="H13" s="20">
        <f>SUM(Apr!H13, May!H13, Jun!H13)</f>
        <v>3194.0800000000017</v>
      </c>
      <c r="I13" s="19">
        <f t="shared" si="2"/>
        <v>2.8842034849407547E-2</v>
      </c>
    </row>
    <row r="14" spans="1:9" ht="15.75">
      <c r="A14" s="48" t="str">
        <v>Kohls - Greece</v>
      </c>
      <c r="B14" s="9" t="str">
        <v>NY</v>
      </c>
      <c r="C14" s="24">
        <f>SUM(Apr!C14, May!C14, Jun!C14)</f>
        <v>106708</v>
      </c>
      <c r="D14" s="13">
        <f>SUM(Apr!D14, May!D14, Jun!D14)</f>
        <v>0</v>
      </c>
      <c r="E14" s="13">
        <f t="shared" si="0"/>
        <v>106708</v>
      </c>
      <c r="F14" s="14" t="str">
        <f t="shared" si="1"/>
        <v/>
      </c>
      <c r="G14" s="15">
        <f>SUM(Apr!G14, May!G14, Jun!G14)</f>
        <v>142210.99</v>
      </c>
      <c r="H14" s="15">
        <f>SUM(Apr!H14, May!H14, Jun!H14)</f>
        <v>-35502.99</v>
      </c>
      <c r="I14" s="16">
        <f t="shared" si="2"/>
        <v>-0.24965011494540612</v>
      </c>
    </row>
    <row r="15" spans="1:9" ht="15.75">
      <c r="A15" s="49" t="str">
        <v>Kohls - Hanover</v>
      </c>
      <c r="B15" s="10" t="str">
        <v>PA</v>
      </c>
      <c r="C15" s="11">
        <f>SUM(Apr!C15, May!C15, Jun!C15)</f>
        <v>88097</v>
      </c>
      <c r="D15" s="18">
        <f>SUM(Apr!D15, May!D15, Jun!D15)</f>
        <v>0</v>
      </c>
      <c r="E15" s="18">
        <f t="shared" si="0"/>
        <v>88097</v>
      </c>
      <c r="F15" s="19" t="str">
        <f t="shared" si="1"/>
        <v/>
      </c>
      <c r="G15" s="20">
        <f>SUM(Apr!G15, May!G15, Jun!G15)</f>
        <v>125782.70999999999</v>
      </c>
      <c r="H15" s="20">
        <f>SUM(Apr!H15, May!H15, Jun!H15)</f>
        <v>-37685.71</v>
      </c>
      <c r="I15" s="19">
        <f t="shared" si="2"/>
        <v>-0.29960962043193379</v>
      </c>
    </row>
    <row r="16" spans="1:9" ht="15.75">
      <c r="A16" s="48" t="str">
        <v>Kohls - Horsehead</v>
      </c>
      <c r="B16" s="9" t="str">
        <v>NY</v>
      </c>
      <c r="C16" s="24">
        <f>SUM(Apr!C16, May!C16, Jun!C16)</f>
        <v>94689</v>
      </c>
      <c r="D16" s="13">
        <f>SUM(Apr!D16, May!D16, Jun!D16)</f>
        <v>0</v>
      </c>
      <c r="E16" s="13">
        <f t="shared" ref="E16:E18" si="3">IF(AND(ISNUMBER(C16),ISNUMBER(D16)), C16-D16, "")</f>
        <v>94689</v>
      </c>
      <c r="F16" s="14" t="str">
        <f t="shared" ref="F16:F18" si="4">IFERROR(E16/D16, "")</f>
        <v/>
      </c>
      <c r="G16" s="15">
        <f>SUM(Apr!G16, May!G16, Jun!G16)</f>
        <v>101605.92</v>
      </c>
      <c r="H16" s="15">
        <f>SUM(Apr!H16, May!H16, Jun!H16)</f>
        <v>-6916.9200000000019</v>
      </c>
      <c r="I16" s="16">
        <f t="shared" ref="I16:I18" si="5">IFERROR(H16/G16, "")</f>
        <v>-6.8075954629415319E-2</v>
      </c>
    </row>
    <row r="17" spans="1:9" ht="15.75">
      <c r="A17" s="49" t="str">
        <v>Kohls - Hudson</v>
      </c>
      <c r="B17" s="10" t="str">
        <v>NY</v>
      </c>
      <c r="C17" s="24">
        <f>SUM(Apr!C17, May!C17, Jun!C17)</f>
        <v>112504</v>
      </c>
      <c r="D17" s="13">
        <f>SUM(Apr!D17, May!D17, Jun!D17)</f>
        <v>0</v>
      </c>
      <c r="E17" s="13">
        <f t="shared" si="3"/>
        <v>112504</v>
      </c>
      <c r="F17" s="14" t="str">
        <f t="shared" si="4"/>
        <v/>
      </c>
      <c r="G17" s="20">
        <f>SUM(Apr!G17, May!G17, Jun!G17)</f>
        <v>107972.6</v>
      </c>
      <c r="H17" s="15">
        <f>SUM(Apr!H17, May!H17, Jun!H17)</f>
        <v>4531.3999999999978</v>
      </c>
      <c r="I17" s="16">
        <f t="shared" si="5"/>
        <v>4.1968054858362192E-2</v>
      </c>
    </row>
    <row r="18" spans="1:9" ht="12.75" customHeight="1">
      <c r="A18" s="48" t="str">
        <v>Kohls - Ithaca</v>
      </c>
      <c r="B18" s="9" t="str">
        <v>NY</v>
      </c>
      <c r="C18" s="11">
        <f>SUM(Apr!C18, May!C18, Jun!C18)</f>
        <v>99773</v>
      </c>
      <c r="D18" s="18">
        <f>SUM(Apr!D18, May!D18, Jun!D18)</f>
        <v>0</v>
      </c>
      <c r="E18" s="18">
        <f t="shared" si="3"/>
        <v>99773</v>
      </c>
      <c r="F18" s="19" t="str">
        <f t="shared" si="4"/>
        <v/>
      </c>
      <c r="G18" s="15">
        <f>SUM(Apr!G18, May!G18, Jun!G18)</f>
        <v>117545.92000000001</v>
      </c>
      <c r="H18" s="20">
        <f>SUM(Apr!H18, May!H18, Jun!H18)</f>
        <v>-17772.919999999998</v>
      </c>
      <c r="I18" s="19">
        <f t="shared" si="5"/>
        <v>-0.1511998034470273</v>
      </c>
    </row>
    <row r="19" spans="1:9" ht="15.75">
      <c r="A19" s="49" t="str">
        <v>Kohls - Kingston</v>
      </c>
      <c r="B19" s="10" t="str">
        <v>NY</v>
      </c>
      <c r="C19" s="24">
        <f>SUM(Apr!C19, May!C19, Jun!C19)</f>
        <v>146297</v>
      </c>
      <c r="D19" s="13">
        <f>SUM(Apr!D19, May!D19, Jun!D19)</f>
        <v>0</v>
      </c>
      <c r="E19" s="13">
        <f t="shared" ref="E19:E25" si="6">IF(AND(ISNUMBER(C19),ISNUMBER(D19)), C19-D19, "")</f>
        <v>146297</v>
      </c>
      <c r="F19" s="14" t="str">
        <f t="shared" ref="F19:F25" si="7">IFERROR(E19/D19, "")</f>
        <v/>
      </c>
      <c r="G19" s="20">
        <f>SUM(Apr!G19, May!G19, Jun!G19)</f>
        <v>175815.51500000001</v>
      </c>
      <c r="H19" s="15">
        <f>SUM(Apr!H19, May!H19, Jun!H19)</f>
        <v>-29518.514999999999</v>
      </c>
      <c r="I19" s="16">
        <f t="shared" ref="I19:I25" si="8">IFERROR(H19/G19, "")</f>
        <v>-0.16789482429920929</v>
      </c>
    </row>
    <row r="20" spans="1:9" ht="15.75">
      <c r="A20" s="48" t="str">
        <v>Kohls - Mechanicsburg</v>
      </c>
      <c r="B20" s="9" t="str">
        <v>PA</v>
      </c>
      <c r="C20" s="24">
        <f>SUM(Apr!C20, May!C20, Jun!C20)</f>
        <v>145569</v>
      </c>
      <c r="D20" s="13">
        <f>SUM(Apr!D20, May!D20, Jun!D20)</f>
        <v>0</v>
      </c>
      <c r="E20" s="13">
        <f t="shared" si="6"/>
        <v>145569</v>
      </c>
      <c r="F20" s="14" t="str">
        <f t="shared" si="7"/>
        <v/>
      </c>
      <c r="G20" s="15">
        <f>SUM(Apr!G20, May!G20, Jun!G20)</f>
        <v>146883.1</v>
      </c>
      <c r="H20" s="15">
        <f>SUM(Apr!H20, May!H20, Jun!H20)</f>
        <v>-1314.0999999999985</v>
      </c>
      <c r="I20" s="16">
        <f t="shared" si="8"/>
        <v>-8.9465704359453103E-3</v>
      </c>
    </row>
    <row r="21" spans="1:9" ht="15.75">
      <c r="A21" s="49" t="str">
        <v>Kohls - Middletown</v>
      </c>
      <c r="B21" s="10" t="str">
        <v>NJ</v>
      </c>
      <c r="C21" s="11">
        <f>SUM(Apr!C21, May!C21, Jun!C21)</f>
        <v>198947</v>
      </c>
      <c r="D21" s="18">
        <f>SUM(Apr!D21, May!D21, Jun!D21)</f>
        <v>0</v>
      </c>
      <c r="E21" s="18">
        <f t="shared" si="6"/>
        <v>198947</v>
      </c>
      <c r="F21" s="19" t="str">
        <f t="shared" si="7"/>
        <v/>
      </c>
      <c r="G21" s="20">
        <f>SUM(Apr!G21, May!G21, Jun!G21)</f>
        <v>205306.40000000002</v>
      </c>
      <c r="H21" s="20">
        <f>SUM(Apr!H21, May!H21, Jun!H21)</f>
        <v>-6359.4000000000015</v>
      </c>
      <c r="I21" s="19">
        <f t="shared" si="8"/>
        <v>-3.0975166872537829E-2</v>
      </c>
    </row>
    <row r="22" spans="1:9" ht="15.75">
      <c r="A22" s="48" t="str">
        <v>Kohls - North Amherst</v>
      </c>
      <c r="B22" s="9" t="str">
        <v>NY</v>
      </c>
      <c r="C22" s="24">
        <f>SUM(Apr!C22, May!C22, Jun!C22)</f>
        <v>92753</v>
      </c>
      <c r="D22" s="13">
        <f>SUM(Apr!D22, May!D22, Jun!D22)</f>
        <v>0</v>
      </c>
      <c r="E22" s="13">
        <f t="shared" si="6"/>
        <v>92753</v>
      </c>
      <c r="F22" s="14" t="str">
        <f t="shared" si="7"/>
        <v/>
      </c>
      <c r="G22" s="15">
        <f>SUM(Apr!G22, May!G22, Jun!G22)</f>
        <v>125842.19</v>
      </c>
      <c r="H22" s="15">
        <f>SUM(Apr!H22, May!H22, Jun!H22)</f>
        <v>-33089.189999999995</v>
      </c>
      <c r="I22" s="16">
        <f t="shared" si="8"/>
        <v>-0.26294194339752031</v>
      </c>
    </row>
    <row r="23" spans="1:9" ht="15.75">
      <c r="A23" s="49" t="str">
        <v>Kohls - Staten Island</v>
      </c>
      <c r="B23" s="10" t="str">
        <v>NY</v>
      </c>
      <c r="C23" s="24">
        <f>SUM(Apr!C23, May!C23, Jun!C23)</f>
        <v>114360.79999999999</v>
      </c>
      <c r="D23" s="13">
        <f>SUM(Apr!D23, May!D23, Jun!D23)</f>
        <v>0</v>
      </c>
      <c r="E23" s="13">
        <f t="shared" si="6"/>
        <v>114360.79999999999</v>
      </c>
      <c r="F23" s="14" t="str">
        <f t="shared" si="7"/>
        <v/>
      </c>
      <c r="G23" s="20">
        <f>SUM(Apr!G23, May!G23, Jun!G23)</f>
        <v>122786.03</v>
      </c>
      <c r="H23" s="15">
        <f>SUM(Apr!H23, May!H23, Jun!H23)</f>
        <v>-8425.2300000000032</v>
      </c>
      <c r="I23" s="16">
        <f t="shared" si="8"/>
        <v>-6.861717086219013E-2</v>
      </c>
    </row>
    <row r="24" spans="1:9" ht="15.75">
      <c r="A24" s="48" t="str">
        <v>Kohls - Warminster</v>
      </c>
      <c r="B24" s="9" t="str">
        <v>PA</v>
      </c>
      <c r="C24" s="11">
        <f>SUM(Apr!C24, May!C24, Jun!C24)</f>
        <v>143883</v>
      </c>
      <c r="D24" s="18">
        <f>SUM(Apr!D24, May!D24, Jun!D24)</f>
        <v>0</v>
      </c>
      <c r="E24" s="18">
        <f t="shared" si="6"/>
        <v>143883</v>
      </c>
      <c r="F24" s="19" t="str">
        <f t="shared" si="7"/>
        <v/>
      </c>
      <c r="G24" s="15">
        <f>SUM(Apr!G24, May!G24, Jun!G24)</f>
        <v>135580.82</v>
      </c>
      <c r="H24" s="20">
        <f>SUM(Apr!H24, May!H24, Jun!H24)</f>
        <v>8302.18</v>
      </c>
      <c r="I24" s="19">
        <f t="shared" si="8"/>
        <v>6.1234177518619523E-2</v>
      </c>
    </row>
    <row r="25" spans="1:9" ht="15.75">
      <c r="A25" s="49" t="str">
        <v xml:space="preserve">Kohls - Waterbury </v>
      </c>
      <c r="B25" s="10" t="str">
        <v>CT</v>
      </c>
      <c r="C25" s="24">
        <f>SUM(Apr!C25, May!C25, Jun!C25)</f>
        <v>123751</v>
      </c>
      <c r="D25" s="13">
        <f>SUM(Apr!D25, May!D25, Jun!D25)</f>
        <v>0</v>
      </c>
      <c r="E25" s="13">
        <f t="shared" si="6"/>
        <v>123751</v>
      </c>
      <c r="F25" s="14" t="str">
        <f t="shared" si="7"/>
        <v/>
      </c>
      <c r="G25" s="20">
        <f>SUM(Apr!G25, May!G25, Jun!G25)</f>
        <v>121338.25</v>
      </c>
      <c r="H25" s="15">
        <f>SUM(Apr!H25, May!H25, Jun!H25)</f>
        <v>2412.75</v>
      </c>
      <c r="I25" s="16">
        <f t="shared" si="8"/>
        <v>1.9884496438674532E-2</v>
      </c>
    </row>
    <row r="26" spans="1:9" ht="15.75">
      <c r="A26" s="48" t="str">
        <v>Mojave Water Agency - Headquarters</v>
      </c>
      <c r="B26" s="9" t="str">
        <v>CA</v>
      </c>
      <c r="C26" s="11">
        <f>SUM(Apr!C26, May!C26, Jun!C26)</f>
        <v>0</v>
      </c>
      <c r="D26" s="18">
        <f>SUM(Apr!D26, May!D26, Jun!D26)</f>
        <v>0</v>
      </c>
      <c r="E26" s="18">
        <f t="shared" ref="E26:E68" si="9">IF(AND(ISNUMBER(C26),ISNUMBER(D26)), C26-D26, "")</f>
        <v>0</v>
      </c>
      <c r="F26" s="19" t="str">
        <f t="shared" ref="F26:F68" si="10">IFERROR(E26/D26, "")</f>
        <v/>
      </c>
      <c r="G26" s="15">
        <f>SUM(Apr!G26, May!G26, Jun!G26)</f>
        <v>0</v>
      </c>
      <c r="H26" s="20">
        <f>SUM(Apr!H26, May!H26, Jun!H26)</f>
        <v>0</v>
      </c>
      <c r="I26" s="19" t="str">
        <f t="shared" ref="I26:I68" si="11">IFERROR(H26/G26, "")</f>
        <v/>
      </c>
    </row>
    <row r="27" spans="1:9" ht="15.75">
      <c r="A27" s="49" t="str">
        <v>CSU - Bakersfield</v>
      </c>
      <c r="B27" s="10" t="str">
        <v>CA</v>
      </c>
      <c r="C27" s="24">
        <f>SUM(Apr!C27, May!C27, Jun!C27)</f>
        <v>0</v>
      </c>
      <c r="D27" s="13">
        <f>SUM(Apr!D27, May!D27, Jun!D27)</f>
        <v>0</v>
      </c>
      <c r="E27" s="13">
        <f t="shared" si="9"/>
        <v>0</v>
      </c>
      <c r="F27" s="14" t="str">
        <f t="shared" si="10"/>
        <v/>
      </c>
      <c r="G27" s="20">
        <f>SUM(Apr!G27, May!G27, Jun!G27)</f>
        <v>0</v>
      </c>
      <c r="H27" s="15">
        <f>SUM(Apr!H27, May!H27, Jun!H27)</f>
        <v>0</v>
      </c>
      <c r="I27" s="16" t="str">
        <f t="shared" si="11"/>
        <v/>
      </c>
    </row>
    <row r="28" spans="1:9" ht="15.75">
      <c r="A28" s="48" t="str">
        <v>Greenfield USD - Fairfield ES</v>
      </c>
      <c r="B28" s="9" t="str">
        <v>CA</v>
      </c>
      <c r="C28" s="11">
        <f>SUM(Apr!C28, May!C28, Jun!C28)</f>
        <v>0</v>
      </c>
      <c r="D28" s="18">
        <f>SUM(Apr!D28, May!D28, Jun!D28)</f>
        <v>0</v>
      </c>
      <c r="E28" s="18">
        <f t="shared" si="9"/>
        <v>0</v>
      </c>
      <c r="F28" s="19" t="str">
        <f t="shared" si="10"/>
        <v/>
      </c>
      <c r="G28" s="15">
        <f>SUM(Apr!G28, May!G28, Jun!G28)</f>
        <v>0</v>
      </c>
      <c r="H28" s="20">
        <f>SUM(Apr!H28, May!H28, Jun!H28)</f>
        <v>0</v>
      </c>
      <c r="I28" s="19" t="str">
        <f t="shared" si="11"/>
        <v/>
      </c>
    </row>
    <row r="29" spans="1:9" ht="15.75">
      <c r="A29" s="49" t="str">
        <v>Greenfield USD - Granite Point ES</v>
      </c>
      <c r="B29" s="10" t="str">
        <v>CA</v>
      </c>
      <c r="C29" s="24">
        <f>SUM(Apr!C29, May!C29, Jun!C29)</f>
        <v>0</v>
      </c>
      <c r="D29" s="13">
        <f>SUM(Apr!D29, May!D29, Jun!D29)</f>
        <v>0</v>
      </c>
      <c r="E29" s="13">
        <f t="shared" si="9"/>
        <v>0</v>
      </c>
      <c r="F29" s="14" t="str">
        <f t="shared" si="10"/>
        <v/>
      </c>
      <c r="G29" s="20">
        <f>SUM(Apr!G29, May!G29, Jun!G29)</f>
        <v>0</v>
      </c>
      <c r="H29" s="15">
        <f>SUM(Apr!H29, May!H29, Jun!H29)</f>
        <v>0</v>
      </c>
      <c r="I29" s="16" t="str">
        <f t="shared" si="11"/>
        <v/>
      </c>
    </row>
    <row r="30" spans="1:9" ht="15.75">
      <c r="A30" s="48" t="str">
        <v>Greenfield USD - Greenfield MS</v>
      </c>
      <c r="B30" s="9" t="str">
        <v>CA</v>
      </c>
      <c r="C30" s="11">
        <f>SUM(Apr!C30, May!C30, Jun!C30)</f>
        <v>0</v>
      </c>
      <c r="D30" s="18">
        <f>SUM(Apr!D30, May!D30, Jun!D30)</f>
        <v>0</v>
      </c>
      <c r="E30" s="18">
        <f t="shared" si="9"/>
        <v>0</v>
      </c>
      <c r="F30" s="19" t="str">
        <f t="shared" si="10"/>
        <v/>
      </c>
      <c r="G30" s="15">
        <f>SUM(Apr!G30, May!G30, Jun!G30)</f>
        <v>0</v>
      </c>
      <c r="H30" s="20">
        <f>SUM(Apr!H30, May!H30, Jun!H30)</f>
        <v>0</v>
      </c>
      <c r="I30" s="19" t="str">
        <f t="shared" si="11"/>
        <v/>
      </c>
    </row>
    <row r="31" spans="1:9" ht="15.75">
      <c r="A31" s="49" t="str">
        <v>Greenfield USD - Horizon ES</v>
      </c>
      <c r="B31" s="10" t="str">
        <v>CA</v>
      </c>
      <c r="C31" s="24">
        <f>SUM(Apr!C31, May!C31, Jun!C31)</f>
        <v>0</v>
      </c>
      <c r="D31" s="13">
        <f>SUM(Apr!D31, May!D31, Jun!D31)</f>
        <v>0</v>
      </c>
      <c r="E31" s="13">
        <f t="shared" si="9"/>
        <v>0</v>
      </c>
      <c r="F31" s="14" t="str">
        <f t="shared" si="10"/>
        <v/>
      </c>
      <c r="G31" s="20">
        <f>SUM(Apr!G31, May!G31, Jun!G31)</f>
        <v>0</v>
      </c>
      <c r="H31" s="15">
        <f>SUM(Apr!H31, May!H31, Jun!H31)</f>
        <v>0</v>
      </c>
      <c r="I31" s="16" t="str">
        <f t="shared" si="11"/>
        <v/>
      </c>
    </row>
    <row r="32" spans="1:9" ht="15.75">
      <c r="A32" s="48" t="str">
        <v>Greenfield USD - McKee MS</v>
      </c>
      <c r="B32" s="9" t="str">
        <v>CA</v>
      </c>
      <c r="C32" s="11">
        <f>SUM(Apr!C32, May!C32, Jun!C32)</f>
        <v>0</v>
      </c>
      <c r="D32" s="18">
        <f>SUM(Apr!D32, May!D32, Jun!D32)</f>
        <v>0</v>
      </c>
      <c r="E32" s="18">
        <f t="shared" si="9"/>
        <v>0</v>
      </c>
      <c r="F32" s="19" t="str">
        <f t="shared" si="10"/>
        <v/>
      </c>
      <c r="G32" s="15">
        <f>SUM(Apr!G32, May!G32, Jun!G32)</f>
        <v>0</v>
      </c>
      <c r="H32" s="20">
        <f>SUM(Apr!H32, May!H32, Jun!H32)</f>
        <v>0</v>
      </c>
      <c r="I32" s="19" t="str">
        <f t="shared" si="11"/>
        <v/>
      </c>
    </row>
    <row r="33" spans="1:9" ht="15.75">
      <c r="A33" s="49" t="str">
        <v>Greenfield USD - Plantation ES</v>
      </c>
      <c r="B33" s="10" t="str">
        <v>CA</v>
      </c>
      <c r="C33" s="24">
        <f>SUM(Apr!C33, May!C33, Jun!C33)</f>
        <v>0</v>
      </c>
      <c r="D33" s="13">
        <f>SUM(Apr!D33, May!D33, Jun!D33)</f>
        <v>0</v>
      </c>
      <c r="E33" s="13">
        <f t="shared" si="9"/>
        <v>0</v>
      </c>
      <c r="F33" s="14" t="str">
        <f t="shared" si="10"/>
        <v/>
      </c>
      <c r="G33" s="20">
        <f>SUM(Apr!G33, May!G33, Jun!G33)</f>
        <v>0</v>
      </c>
      <c r="H33" s="15">
        <f>SUM(Apr!H33, May!H33, Jun!H33)</f>
        <v>0</v>
      </c>
      <c r="I33" s="16" t="str">
        <f t="shared" si="11"/>
        <v/>
      </c>
    </row>
    <row r="34" spans="1:9" ht="15.75">
      <c r="A34" s="48" t="str">
        <v>Greenfield USD - Planz ES</v>
      </c>
      <c r="B34" s="9" t="str">
        <v>CA</v>
      </c>
      <c r="C34" s="11">
        <f>SUM(Apr!C34, May!C34, Jun!C34)</f>
        <v>0</v>
      </c>
      <c r="D34" s="18">
        <f>SUM(Apr!D34, May!D34, Jun!D34)</f>
        <v>0</v>
      </c>
      <c r="E34" s="18">
        <f t="shared" si="9"/>
        <v>0</v>
      </c>
      <c r="F34" s="19" t="str">
        <f t="shared" si="10"/>
        <v/>
      </c>
      <c r="G34" s="15">
        <f>SUM(Apr!G34, May!G34, Jun!G34)</f>
        <v>0</v>
      </c>
      <c r="H34" s="20">
        <f>SUM(Apr!H34, May!H34, Jun!H34)</f>
        <v>0</v>
      </c>
      <c r="I34" s="19" t="str">
        <f t="shared" si="11"/>
        <v/>
      </c>
    </row>
    <row r="35" spans="1:9" ht="15.75">
      <c r="A35" s="49" t="str">
        <v>Greenfield USD - Raffaello Palla ES</v>
      </c>
      <c r="B35" s="10" t="str">
        <v>CA</v>
      </c>
      <c r="C35" s="24">
        <f>SUM(Apr!C35, May!C35, Jun!C35)</f>
        <v>0</v>
      </c>
      <c r="D35" s="13">
        <f>SUM(Apr!D35, May!D35, Jun!D35)</f>
        <v>0</v>
      </c>
      <c r="E35" s="13">
        <f t="shared" si="9"/>
        <v>0</v>
      </c>
      <c r="F35" s="14" t="str">
        <f t="shared" si="10"/>
        <v/>
      </c>
      <c r="G35" s="20">
        <f>SUM(Apr!G35, May!G35, Jun!G35)</f>
        <v>0</v>
      </c>
      <c r="H35" s="15">
        <f>SUM(Apr!H35, May!H35, Jun!H35)</f>
        <v>0</v>
      </c>
      <c r="I35" s="16" t="str">
        <f t="shared" si="11"/>
        <v/>
      </c>
    </row>
    <row r="36" spans="1:9" ht="15.75">
      <c r="A36" s="48" t="str">
        <v>Greenfield USD - Valle Verde ES</v>
      </c>
      <c r="B36" s="9" t="str">
        <v>CA</v>
      </c>
      <c r="C36" s="11">
        <f>SUM(Apr!C36, May!C36, Jun!C36)</f>
        <v>0</v>
      </c>
      <c r="D36" s="18">
        <f>SUM(Apr!D36, May!D36, Jun!D36)</f>
        <v>0</v>
      </c>
      <c r="E36" s="18">
        <f t="shared" si="9"/>
        <v>0</v>
      </c>
      <c r="F36" s="19" t="str">
        <f t="shared" si="10"/>
        <v/>
      </c>
      <c r="G36" s="15">
        <f>SUM(Apr!G36, May!G36, Jun!G36)</f>
        <v>0</v>
      </c>
      <c r="H36" s="20">
        <f>SUM(Apr!H36, May!H36, Jun!H36)</f>
        <v>0</v>
      </c>
      <c r="I36" s="19" t="str">
        <f t="shared" si="11"/>
        <v/>
      </c>
    </row>
    <row r="37" spans="1:9" ht="15.75">
      <c r="A37" s="49" t="str">
        <v>Greenfield USD - W.A. Kendrick ES</v>
      </c>
      <c r="B37" s="10" t="str">
        <v>CA</v>
      </c>
      <c r="C37" s="24">
        <f>SUM(Apr!C37, May!C37, Jun!C37)</f>
        <v>0</v>
      </c>
      <c r="D37" s="13">
        <f>SUM(Apr!D37, May!D37, Jun!D37)</f>
        <v>0</v>
      </c>
      <c r="E37" s="13">
        <f t="shared" si="9"/>
        <v>0</v>
      </c>
      <c r="F37" s="14" t="str">
        <f t="shared" si="10"/>
        <v/>
      </c>
      <c r="G37" s="20">
        <f>SUM(Apr!G37, May!G37, Jun!G37)</f>
        <v>0</v>
      </c>
      <c r="H37" s="15">
        <f>SUM(Apr!H37, May!H37, Jun!H37)</f>
        <v>0</v>
      </c>
      <c r="I37" s="16" t="str">
        <f t="shared" si="11"/>
        <v/>
      </c>
    </row>
    <row r="38" spans="1:9" ht="15.75">
      <c r="A38" s="48" t="str">
        <v>Muroc Joint USD - Boron HS</v>
      </c>
      <c r="B38" s="9" t="str">
        <v>CA</v>
      </c>
      <c r="C38" s="11">
        <f>SUM(Apr!C38, May!C38, Jun!C38)</f>
        <v>0</v>
      </c>
      <c r="D38" s="18">
        <f>SUM(Apr!D38, May!D38, Jun!D38)</f>
        <v>0</v>
      </c>
      <c r="E38" s="18">
        <f t="shared" si="9"/>
        <v>0</v>
      </c>
      <c r="F38" s="19" t="str">
        <f t="shared" si="10"/>
        <v/>
      </c>
      <c r="G38" s="15">
        <f>SUM(Apr!G38, May!G38, Jun!G38)</f>
        <v>0</v>
      </c>
      <c r="H38" s="20">
        <f>SUM(Apr!H38, May!H38, Jun!H38)</f>
        <v>0</v>
      </c>
      <c r="I38" s="19" t="str">
        <f t="shared" si="11"/>
        <v/>
      </c>
    </row>
    <row r="39" spans="1:9" ht="15.75">
      <c r="A39" s="49" t="str">
        <v>Muroc Joint USD - W. Boron ES</v>
      </c>
      <c r="B39" s="10" t="str">
        <v>CA</v>
      </c>
      <c r="C39" s="24">
        <f>SUM(Apr!C39, May!C39, Jun!C39)</f>
        <v>0</v>
      </c>
      <c r="D39" s="13">
        <f>SUM(Apr!D39, May!D39, Jun!D39)</f>
        <v>0</v>
      </c>
      <c r="E39" s="13">
        <f t="shared" si="9"/>
        <v>0</v>
      </c>
      <c r="F39" s="14" t="str">
        <f t="shared" si="10"/>
        <v/>
      </c>
      <c r="G39" s="20">
        <f>SUM(Apr!G39, May!G39, Jun!G39)</f>
        <v>0</v>
      </c>
      <c r="H39" s="15">
        <f>SUM(Apr!H39, May!H39, Jun!H39)</f>
        <v>0</v>
      </c>
      <c r="I39" s="16" t="str">
        <f t="shared" si="11"/>
        <v/>
      </c>
    </row>
    <row r="40" spans="1:9" ht="15.75">
      <c r="A40" s="48" t="str">
        <v>Colusa - WTP</v>
      </c>
      <c r="B40" s="9" t="str">
        <v>CA</v>
      </c>
      <c r="C40" s="11">
        <f>SUM(Apr!C40, May!C40, Jun!C40)</f>
        <v>0</v>
      </c>
      <c r="D40" s="18">
        <f>SUM(Apr!D40, May!D40, Jun!D40)</f>
        <v>0</v>
      </c>
      <c r="E40" s="18">
        <f t="shared" si="9"/>
        <v>0</v>
      </c>
      <c r="F40" s="19" t="str">
        <f t="shared" si="10"/>
        <v/>
      </c>
      <c r="G40" s="15">
        <f>SUM(Apr!G40, May!G40, Jun!G40)</f>
        <v>0</v>
      </c>
      <c r="H40" s="20">
        <f>SUM(Apr!H40, May!H40, Jun!H40)</f>
        <v>0</v>
      </c>
      <c r="I40" s="19" t="str">
        <f t="shared" si="11"/>
        <v/>
      </c>
    </row>
    <row r="41" spans="1:9" ht="15.75">
      <c r="A41" s="49" t="str">
        <v>CDCR-North Kern State Prision</v>
      </c>
      <c r="B41" s="10" t="str">
        <v>CA</v>
      </c>
      <c r="C41" s="24">
        <f>SUM(Apr!C41, May!C41, Jun!C41)</f>
        <v>0</v>
      </c>
      <c r="D41" s="13">
        <f>SUM(Apr!D41, May!D41, Jun!D41)</f>
        <v>0</v>
      </c>
      <c r="E41" s="13">
        <f t="shared" si="9"/>
        <v>0</v>
      </c>
      <c r="F41" s="14" t="str">
        <f t="shared" si="10"/>
        <v/>
      </c>
      <c r="G41" s="20">
        <f>SUM(Apr!G41, May!G41, Jun!G41)</f>
        <v>0</v>
      </c>
      <c r="H41" s="15">
        <f>SUM(Apr!H41, May!H41, Jun!H41)</f>
        <v>0</v>
      </c>
      <c r="I41" s="16" t="str">
        <f t="shared" si="11"/>
        <v/>
      </c>
    </row>
    <row r="42" spans="1:9" ht="15.75">
      <c r="A42" s="48" t="str">
        <v>Muroc Joint USD - District Office</v>
      </c>
      <c r="B42" s="9" t="str">
        <v>CA</v>
      </c>
      <c r="C42" s="11">
        <f>SUM(Apr!C42, May!C42, Jun!C42)</f>
        <v>0</v>
      </c>
      <c r="D42" s="18">
        <f>SUM(Apr!D42, May!D42, Jun!D42)</f>
        <v>0</v>
      </c>
      <c r="E42" s="18">
        <f t="shared" si="9"/>
        <v>0</v>
      </c>
      <c r="F42" s="19" t="str">
        <f t="shared" si="10"/>
        <v/>
      </c>
      <c r="G42" s="15">
        <f>SUM(Apr!G42, May!G42, Jun!G42)</f>
        <v>0</v>
      </c>
      <c r="H42" s="20">
        <f>SUM(Apr!H42, May!H42, Jun!H42)</f>
        <v>0</v>
      </c>
      <c r="I42" s="19" t="str">
        <f t="shared" si="11"/>
        <v/>
      </c>
    </row>
    <row r="43" spans="1:9" ht="15.75">
      <c r="A43" s="49" t="str">
        <v>Whole Foods - Manhattan Beach</v>
      </c>
      <c r="B43" s="10" t="str">
        <v>CA</v>
      </c>
      <c r="C43" s="24">
        <f>SUM(Apr!C43, May!C43, Jun!C43)</f>
        <v>0</v>
      </c>
      <c r="D43" s="13">
        <f>SUM(Apr!D43, May!D43, Jun!D43)</f>
        <v>0</v>
      </c>
      <c r="E43" s="13">
        <f t="shared" si="9"/>
        <v>0</v>
      </c>
      <c r="F43" s="14" t="str">
        <f t="shared" si="10"/>
        <v/>
      </c>
      <c r="G43" s="20">
        <f>SUM(Apr!G43, May!G43, Jun!G43)</f>
        <v>0</v>
      </c>
      <c r="H43" s="15">
        <f>SUM(Apr!H43, May!H43, Jun!H43)</f>
        <v>0</v>
      </c>
      <c r="I43" s="16" t="str">
        <f t="shared" si="11"/>
        <v/>
      </c>
    </row>
    <row r="44" spans="1:9" ht="15.75">
      <c r="A44" s="48" t="str">
        <v>Pioneer USD - Frontier ES</v>
      </c>
      <c r="B44" s="9" t="str">
        <v>CA</v>
      </c>
      <c r="C44" s="11">
        <f>SUM(Apr!C44, May!C44, Jun!C44)</f>
        <v>0</v>
      </c>
      <c r="D44" s="18">
        <f>SUM(Apr!D44, May!D44, Jun!D44)</f>
        <v>0</v>
      </c>
      <c r="E44" s="18">
        <f t="shared" si="9"/>
        <v>0</v>
      </c>
      <c r="F44" s="19" t="str">
        <f t="shared" si="10"/>
        <v/>
      </c>
      <c r="G44" s="15">
        <f>SUM(Apr!G44, May!G44, Jun!G44)</f>
        <v>0</v>
      </c>
      <c r="H44" s="20">
        <f>SUM(Apr!H44, May!H44, Jun!H44)</f>
        <v>0</v>
      </c>
      <c r="I44" s="19" t="str">
        <f t="shared" si="11"/>
        <v/>
      </c>
    </row>
    <row r="45" spans="1:9" ht="15.75">
      <c r="A45" s="49" t="str">
        <v>Pioneer USD - Pioneer ES</v>
      </c>
      <c r="B45" s="10" t="str">
        <v>CA</v>
      </c>
      <c r="C45" s="24">
        <f>SUM(Apr!C45, May!C45, Jun!C45)</f>
        <v>0</v>
      </c>
      <c r="D45" s="13">
        <f>SUM(Apr!D45, May!D45, Jun!D45)</f>
        <v>0</v>
      </c>
      <c r="E45" s="13">
        <f t="shared" si="9"/>
        <v>0</v>
      </c>
      <c r="F45" s="14" t="str">
        <f t="shared" si="10"/>
        <v/>
      </c>
      <c r="G45" s="20">
        <f>SUM(Apr!G45, May!G45, Jun!G45)</f>
        <v>0</v>
      </c>
      <c r="H45" s="15">
        <f>SUM(Apr!H45, May!H45, Jun!H45)</f>
        <v>0</v>
      </c>
      <c r="I45" s="16" t="str">
        <f t="shared" si="11"/>
        <v/>
      </c>
    </row>
    <row r="46" spans="1:9" ht="15.75">
      <c r="A46" s="48" t="str">
        <v>Pioneer USD - Pioneer MS</v>
      </c>
      <c r="B46" s="9" t="str">
        <v>CA</v>
      </c>
      <c r="C46" s="11">
        <f>SUM(Apr!C46, May!C46, Jun!C46)</f>
        <v>0</v>
      </c>
      <c r="D46" s="18">
        <f>SUM(Apr!D46, May!D46, Jun!D46)</f>
        <v>0</v>
      </c>
      <c r="E46" s="18">
        <f t="shared" si="9"/>
        <v>0</v>
      </c>
      <c r="F46" s="19" t="str">
        <f t="shared" si="10"/>
        <v/>
      </c>
      <c r="G46" s="15">
        <f>SUM(Apr!G46, May!G46, Jun!G46)</f>
        <v>0</v>
      </c>
      <c r="H46" s="20">
        <f>SUM(Apr!H46, May!H46, Jun!H46)</f>
        <v>0</v>
      </c>
      <c r="I46" s="19" t="str">
        <f t="shared" si="11"/>
        <v/>
      </c>
    </row>
    <row r="47" spans="1:9" ht="15.75">
      <c r="A47" s="49" t="str">
        <v>Kingsburg Joint UHSD - Kingsburg HS</v>
      </c>
      <c r="B47" s="10" t="str">
        <v>CA</v>
      </c>
      <c r="C47" s="24">
        <f>SUM(Apr!C47, May!C47, Jun!C47)</f>
        <v>0</v>
      </c>
      <c r="D47" s="13">
        <f>SUM(Apr!D47, May!D47, Jun!D47)</f>
        <v>0</v>
      </c>
      <c r="E47" s="13">
        <f t="shared" si="9"/>
        <v>0</v>
      </c>
      <c r="F47" s="14" t="str">
        <f t="shared" si="10"/>
        <v/>
      </c>
      <c r="G47" s="20">
        <f>SUM(Apr!G47, May!G47, Jun!G47)</f>
        <v>0</v>
      </c>
      <c r="H47" s="15">
        <f>SUM(Apr!H47, May!H47, Jun!H47)</f>
        <v>0</v>
      </c>
      <c r="I47" s="16" t="str">
        <f t="shared" si="11"/>
        <v/>
      </c>
    </row>
    <row r="48" spans="1:9" ht="15.75">
      <c r="A48" s="48" t="str">
        <v>CADRB</v>
      </c>
      <c r="B48" s="9" t="str">
        <v>CA</v>
      </c>
      <c r="C48" s="11">
        <f>SUM(Apr!C48, May!C48, Jun!C48)</f>
        <v>0</v>
      </c>
      <c r="D48" s="18">
        <f>SUM(Apr!D48, May!D48, Jun!D48)</f>
        <v>0</v>
      </c>
      <c r="E48" s="18">
        <f t="shared" si="9"/>
        <v>0</v>
      </c>
      <c r="F48" s="19" t="str">
        <f t="shared" si="10"/>
        <v/>
      </c>
      <c r="G48" s="15">
        <f>SUM(Apr!G48, May!G48, Jun!G48)</f>
        <v>0</v>
      </c>
      <c r="H48" s="20">
        <f>SUM(Apr!H48, May!H48, Jun!H48)</f>
        <v>0</v>
      </c>
      <c r="I48" s="19" t="str">
        <f t="shared" si="11"/>
        <v/>
      </c>
    </row>
    <row r="49" spans="1:9" ht="15.75">
      <c r="A49" s="49" t="str">
        <v>CDCR-CA State Prison LA County</v>
      </c>
      <c r="B49" s="10" t="str">
        <v>CA</v>
      </c>
      <c r="C49" s="24">
        <f>SUM(Apr!C49, May!C49, Jun!C49)</f>
        <v>0</v>
      </c>
      <c r="D49" s="13">
        <f>SUM(Apr!D49, May!D49, Jun!D49)</f>
        <v>0</v>
      </c>
      <c r="E49" s="13">
        <f t="shared" si="9"/>
        <v>0</v>
      </c>
      <c r="F49" s="14" t="str">
        <f t="shared" si="10"/>
        <v/>
      </c>
      <c r="G49" s="20">
        <f>SUM(Apr!G49, May!G49, Jun!G49)</f>
        <v>0</v>
      </c>
      <c r="H49" s="15">
        <f>SUM(Apr!H49, May!H49, Jun!H49)</f>
        <v>0</v>
      </c>
      <c r="I49" s="16" t="str">
        <f t="shared" si="11"/>
        <v/>
      </c>
    </row>
    <row r="50" spans="1:9" ht="15.75">
      <c r="A50" s="48" t="str">
        <v>Central USD Akers ES</v>
      </c>
      <c r="B50" s="9" t="str">
        <v>CA</v>
      </c>
      <c r="C50" s="11">
        <f>SUM(Apr!C50, May!C50, Jun!C50)</f>
        <v>0</v>
      </c>
      <c r="D50" s="18">
        <f>SUM(Apr!D50, May!D50, Jun!D50)</f>
        <v>0</v>
      </c>
      <c r="E50" s="18">
        <f t="shared" si="9"/>
        <v>0</v>
      </c>
      <c r="F50" s="19" t="str">
        <f t="shared" si="10"/>
        <v/>
      </c>
      <c r="G50" s="15">
        <f>SUM(Apr!G50, May!G50, Jun!G50)</f>
        <v>0</v>
      </c>
      <c r="H50" s="20">
        <f>SUM(Apr!H50, May!H50, Jun!H50)</f>
        <v>0</v>
      </c>
      <c r="I50" s="19" t="str">
        <f t="shared" si="11"/>
        <v/>
      </c>
    </row>
    <row r="51" spans="1:9" ht="15.75">
      <c r="A51" s="49" t="str">
        <v>CUSD - District Office</v>
      </c>
      <c r="B51" s="10" t="str">
        <v>CA</v>
      </c>
      <c r="C51" s="24">
        <f>SUM(Apr!C51, May!C51, Jun!C51)</f>
        <v>0</v>
      </c>
      <c r="D51" s="13">
        <f>SUM(Apr!D51, May!D51, Jun!D51)</f>
        <v>0</v>
      </c>
      <c r="E51" s="13">
        <f t="shared" si="9"/>
        <v>0</v>
      </c>
      <c r="F51" s="14" t="str">
        <f t="shared" si="10"/>
        <v/>
      </c>
      <c r="G51" s="20">
        <f>SUM(Apr!G51, May!G51, Jun!G51)</f>
        <v>0</v>
      </c>
      <c r="H51" s="15">
        <f>SUM(Apr!H51, May!H51, Jun!H51)</f>
        <v>0</v>
      </c>
      <c r="I51" s="16" t="str">
        <f t="shared" si="11"/>
        <v/>
      </c>
    </row>
    <row r="52" spans="1:9" ht="15.75">
      <c r="A52" s="48" t="str">
        <v>Parlier - WTP</v>
      </c>
      <c r="B52" s="9" t="str">
        <v>CA</v>
      </c>
      <c r="C52" s="11">
        <f>SUM(Apr!C52, May!C52, Jun!C52)</f>
        <v>0</v>
      </c>
      <c r="D52" s="18">
        <f>SUM(Apr!D52, May!D52, Jun!D52)</f>
        <v>0</v>
      </c>
      <c r="E52" s="18">
        <f t="shared" si="9"/>
        <v>0</v>
      </c>
      <c r="F52" s="19" t="str">
        <f t="shared" si="10"/>
        <v/>
      </c>
      <c r="G52" s="15">
        <f>SUM(Apr!G52, May!G52, Jun!G52)</f>
        <v>0</v>
      </c>
      <c r="H52" s="20">
        <f>SUM(Apr!H52, May!H52, Jun!H52)</f>
        <v>0</v>
      </c>
      <c r="I52" s="19" t="str">
        <f t="shared" si="11"/>
        <v/>
      </c>
    </row>
    <row r="53" spans="1:9" ht="15.75">
      <c r="A53" s="49" t="str">
        <v>Snowline SD - Quail Valley MS</v>
      </c>
      <c r="B53" s="10" t="str">
        <v>CA</v>
      </c>
      <c r="C53" s="24">
        <f>SUM(Apr!C53, May!C53, Jun!C53)</f>
        <v>0</v>
      </c>
      <c r="D53" s="13">
        <f>SUM(Apr!D53, May!D53, Jun!D53)</f>
        <v>0</v>
      </c>
      <c r="E53" s="13">
        <f t="shared" si="9"/>
        <v>0</v>
      </c>
      <c r="F53" s="14" t="str">
        <f t="shared" si="10"/>
        <v/>
      </c>
      <c r="G53" s="20">
        <f>SUM(Apr!G53, May!G53, Jun!G53)</f>
        <v>0</v>
      </c>
      <c r="H53" s="15">
        <f>SUM(Apr!H53, May!H53, Jun!H53)</f>
        <v>0</v>
      </c>
      <c r="I53" s="16" t="str">
        <f t="shared" si="11"/>
        <v/>
      </c>
    </row>
    <row r="54" spans="1:9" ht="15.75">
      <c r="A54" s="48" t="str">
        <v>Snowline SD - Serrano HS - Middle Lot</v>
      </c>
      <c r="B54" s="9" t="str">
        <v>CA</v>
      </c>
      <c r="C54" s="11">
        <f>SUM(Apr!C54, May!C54, Jun!C54)</f>
        <v>0</v>
      </c>
      <c r="D54" s="18">
        <f>SUM(Apr!D54, May!D54, Jun!D54)</f>
        <v>0</v>
      </c>
      <c r="E54" s="18">
        <f t="shared" si="9"/>
        <v>0</v>
      </c>
      <c r="F54" s="19" t="str">
        <f t="shared" si="10"/>
        <v/>
      </c>
      <c r="G54" s="15">
        <f>SUM(Apr!G54, May!G54, Jun!G54)</f>
        <v>0</v>
      </c>
      <c r="H54" s="20">
        <f>SUM(Apr!H54, May!H54, Jun!H54)</f>
        <v>0</v>
      </c>
      <c r="I54" s="19" t="str">
        <f t="shared" si="11"/>
        <v/>
      </c>
    </row>
    <row r="55" spans="1:9" ht="15.75">
      <c r="A55" s="49" t="str">
        <v>Snowline SD - Pinon Hills ES</v>
      </c>
      <c r="B55" s="10" t="str">
        <v>CA</v>
      </c>
      <c r="C55" s="24">
        <f>SUM(Apr!C55, May!C55, Jun!C55)</f>
        <v>0</v>
      </c>
      <c r="D55" s="13">
        <f>SUM(Apr!D55, May!D55, Jun!D55)</f>
        <v>0</v>
      </c>
      <c r="E55" s="13">
        <f t="shared" si="9"/>
        <v>0</v>
      </c>
      <c r="F55" s="14" t="str">
        <f t="shared" si="10"/>
        <v/>
      </c>
      <c r="G55" s="20">
        <f>SUM(Apr!G55, May!G55, Jun!G55)</f>
        <v>0</v>
      </c>
      <c r="H55" s="15">
        <f>SUM(Apr!H55, May!H55, Jun!H55)</f>
        <v>0</v>
      </c>
      <c r="I55" s="16" t="str">
        <f t="shared" si="11"/>
        <v/>
      </c>
    </row>
    <row r="56" spans="1:9" ht="15.75">
      <c r="A56" s="48" t="str">
        <v>Ramona - Santa Maria WTP</v>
      </c>
      <c r="B56" s="9" t="str">
        <v>CA</v>
      </c>
      <c r="C56" s="11">
        <f>SUM(Apr!C56, May!C56, Jun!C56)</f>
        <v>0</v>
      </c>
      <c r="D56" s="18">
        <f>SUM(Apr!D56, May!D56, Jun!D56)</f>
        <v>0</v>
      </c>
      <c r="E56" s="18">
        <f t="shared" si="9"/>
        <v>0</v>
      </c>
      <c r="F56" s="19" t="str">
        <f t="shared" si="10"/>
        <v/>
      </c>
      <c r="G56" s="15">
        <f>SUM(Apr!G56, May!G56, Jun!G56)</f>
        <v>0</v>
      </c>
      <c r="H56" s="20">
        <f>SUM(Apr!H56, May!H56, Jun!H56)</f>
        <v>0</v>
      </c>
      <c r="I56" s="19" t="str">
        <f t="shared" si="11"/>
        <v/>
      </c>
    </row>
    <row r="57" spans="1:9" ht="15.75">
      <c r="A57" s="49" t="str">
        <v>Kohls - Redding</v>
      </c>
      <c r="B57" s="10" t="str">
        <v>CA</v>
      </c>
      <c r="C57" s="24">
        <f>SUM(Apr!C57, May!C57, Jun!C57)</f>
        <v>0</v>
      </c>
      <c r="D57" s="13">
        <f>SUM(Apr!D57, May!D57, Jun!D57)</f>
        <v>0</v>
      </c>
      <c r="E57" s="13">
        <f t="shared" si="9"/>
        <v>0</v>
      </c>
      <c r="F57" s="14" t="str">
        <f t="shared" si="10"/>
        <v/>
      </c>
      <c r="G57" s="20">
        <f>SUM(Apr!G57, May!G57, Jun!G57)</f>
        <v>0</v>
      </c>
      <c r="H57" s="15">
        <f>SUM(Apr!H57, May!H57, Jun!H57)</f>
        <v>0</v>
      </c>
      <c r="I57" s="16" t="str">
        <f t="shared" si="11"/>
        <v/>
      </c>
    </row>
    <row r="58" spans="1:9" ht="15.75">
      <c r="A58" s="48" t="str">
        <v>Kohls - Salinas</v>
      </c>
      <c r="B58" s="9" t="str">
        <v>CA</v>
      </c>
      <c r="C58" s="11">
        <f>SUM(Apr!C58, May!C58, Jun!C58)</f>
        <v>0</v>
      </c>
      <c r="D58" s="18">
        <f>SUM(Apr!D58, May!D58, Jun!D58)</f>
        <v>0</v>
      </c>
      <c r="E58" s="18">
        <f t="shared" si="9"/>
        <v>0</v>
      </c>
      <c r="F58" s="19" t="str">
        <f t="shared" si="10"/>
        <v/>
      </c>
      <c r="G58" s="15">
        <f>SUM(Apr!G58, May!G58, Jun!G58)</f>
        <v>0</v>
      </c>
      <c r="H58" s="20">
        <f>SUM(Apr!H58, May!H58, Jun!H58)</f>
        <v>0</v>
      </c>
      <c r="I58" s="19" t="str">
        <f t="shared" si="11"/>
        <v/>
      </c>
    </row>
    <row r="59" spans="1:9" ht="15.75">
      <c r="A59" s="49" t="str">
        <v>Kohls - San Bernardino - Central</v>
      </c>
      <c r="B59" s="10" t="str">
        <v>CA</v>
      </c>
      <c r="C59" s="24">
        <f>SUM(Apr!C59, May!C59, Jun!C59)</f>
        <v>0</v>
      </c>
      <c r="D59" s="13">
        <f>SUM(Apr!D59, May!D59, Jun!D59)</f>
        <v>0</v>
      </c>
      <c r="E59" s="13">
        <f t="shared" si="9"/>
        <v>0</v>
      </c>
      <c r="F59" s="14" t="str">
        <f t="shared" si="10"/>
        <v/>
      </c>
      <c r="G59" s="20">
        <f>SUM(Apr!G59, May!G59, Jun!G59)</f>
        <v>0</v>
      </c>
      <c r="H59" s="15">
        <f>SUM(Apr!H59, May!H59, Jun!H59)</f>
        <v>0</v>
      </c>
      <c r="I59" s="16" t="str">
        <f t="shared" si="11"/>
        <v/>
      </c>
    </row>
    <row r="60" spans="1:9" ht="15.75">
      <c r="A60" s="48" t="str">
        <v>Kohls - Sonora</v>
      </c>
      <c r="B60" s="9" t="str">
        <v>CA</v>
      </c>
      <c r="C60" s="11">
        <f>SUM(Apr!C60, May!C60, Jun!C60)</f>
        <v>0</v>
      </c>
      <c r="D60" s="18">
        <f>SUM(Apr!D60, May!D60, Jun!D60)</f>
        <v>0</v>
      </c>
      <c r="E60" s="18">
        <f t="shared" si="9"/>
        <v>0</v>
      </c>
      <c r="F60" s="19" t="str">
        <f t="shared" si="10"/>
        <v/>
      </c>
      <c r="G60" s="15">
        <f>SUM(Apr!G60, May!G60, Jun!G60)</f>
        <v>0</v>
      </c>
      <c r="H60" s="20">
        <f>SUM(Apr!H60, May!H60, Jun!H60)</f>
        <v>0</v>
      </c>
      <c r="I60" s="19" t="str">
        <f t="shared" si="11"/>
        <v/>
      </c>
    </row>
    <row r="61" spans="1:9" ht="15.75">
      <c r="A61" s="49" t="str">
        <v>CUSD - Stratford ES</v>
      </c>
      <c r="B61" s="10" t="str">
        <v>CA</v>
      </c>
      <c r="C61" s="24">
        <f>SUM(Apr!C61, May!C61, Jun!C61)</f>
        <v>0</v>
      </c>
      <c r="D61" s="13">
        <f>SUM(Apr!D61, May!D61, Jun!D61)</f>
        <v>0</v>
      </c>
      <c r="E61" s="13">
        <f t="shared" si="9"/>
        <v>0</v>
      </c>
      <c r="F61" s="14" t="str">
        <f t="shared" si="10"/>
        <v/>
      </c>
      <c r="G61" s="20">
        <f>SUM(Apr!G61, May!G61, Jun!G61)</f>
        <v>0</v>
      </c>
      <c r="H61" s="15">
        <f>SUM(Apr!H61, May!H61, Jun!H61)</f>
        <v>0</v>
      </c>
      <c r="I61" s="16" t="str">
        <f t="shared" si="11"/>
        <v/>
      </c>
    </row>
    <row r="62" spans="1:9" ht="15.75">
      <c r="A62" s="48" t="str">
        <v>Taft - City Hall</v>
      </c>
      <c r="B62" s="9" t="str">
        <v>CA</v>
      </c>
      <c r="C62" s="11">
        <f>SUM(Apr!C62, May!C62, Jun!C62)</f>
        <v>0</v>
      </c>
      <c r="D62" s="18">
        <f>SUM(Apr!D62, May!D62, Jun!D62)</f>
        <v>0</v>
      </c>
      <c r="E62" s="18">
        <f t="shared" si="9"/>
        <v>0</v>
      </c>
      <c r="F62" s="19" t="str">
        <f t="shared" si="10"/>
        <v/>
      </c>
      <c r="G62" s="15">
        <f>SUM(Apr!G62, May!G62, Jun!G62)</f>
        <v>0</v>
      </c>
      <c r="H62" s="20">
        <f>SUM(Apr!H62, May!H62, Jun!H62)</f>
        <v>0</v>
      </c>
      <c r="I62" s="19" t="str">
        <f t="shared" si="11"/>
        <v/>
      </c>
    </row>
    <row r="63" spans="1:9" ht="15.75">
      <c r="A63" s="49" t="str">
        <v>Taft - Federal Prison</v>
      </c>
      <c r="B63" s="10" t="str">
        <v>CA</v>
      </c>
      <c r="C63" s="24">
        <f>SUM(Apr!C63, May!C63, Jun!C63)</f>
        <v>0</v>
      </c>
      <c r="D63" s="13">
        <f>SUM(Apr!D63, May!D63, Jun!D63)</f>
        <v>0</v>
      </c>
      <c r="E63" s="13">
        <f t="shared" si="9"/>
        <v>0</v>
      </c>
      <c r="F63" s="14" t="str">
        <f t="shared" si="10"/>
        <v/>
      </c>
      <c r="G63" s="20">
        <f>SUM(Apr!G63, May!G63, Jun!G63)</f>
        <v>0</v>
      </c>
      <c r="H63" s="15">
        <f>SUM(Apr!H63, May!H63, Jun!H63)</f>
        <v>0</v>
      </c>
      <c r="I63" s="16" t="str">
        <f t="shared" si="11"/>
        <v/>
      </c>
    </row>
    <row r="64" spans="1:9" ht="15.75">
      <c r="A64" s="48" t="str">
        <v>Taft - Police Department</v>
      </c>
      <c r="B64" s="9" t="str">
        <v>CA</v>
      </c>
      <c r="C64" s="11">
        <f>SUM(Apr!C64, May!C64, Jun!C64)</f>
        <v>0</v>
      </c>
      <c r="D64" s="18">
        <f>SUM(Apr!D64, May!D64, Jun!D64)</f>
        <v>0</v>
      </c>
      <c r="E64" s="18">
        <f t="shared" si="9"/>
        <v>0</v>
      </c>
      <c r="F64" s="19" t="str">
        <f t="shared" si="10"/>
        <v/>
      </c>
      <c r="G64" s="15">
        <f>SUM(Apr!G64, May!G64, Jun!G64)</f>
        <v>0</v>
      </c>
      <c r="H64" s="20">
        <f>SUM(Apr!H64, May!H64, Jun!H64)</f>
        <v>0</v>
      </c>
      <c r="I64" s="19" t="str">
        <f t="shared" si="11"/>
        <v/>
      </c>
    </row>
    <row r="65" spans="1:9" ht="15.75">
      <c r="A65" s="49" t="str">
        <v>Taft - WTP</v>
      </c>
      <c r="B65" s="10" t="str">
        <v>CA</v>
      </c>
      <c r="C65" s="24">
        <f>SUM(Apr!C65, May!C65, Jun!C65)</f>
        <v>0</v>
      </c>
      <c r="D65" s="13">
        <f>SUM(Apr!D65, May!D65, Jun!D65)</f>
        <v>0</v>
      </c>
      <c r="E65" s="13">
        <f t="shared" si="9"/>
        <v>0</v>
      </c>
      <c r="F65" s="14" t="str">
        <f t="shared" si="10"/>
        <v/>
      </c>
      <c r="G65" s="20">
        <f>SUM(Apr!G65, May!G65, Jun!G65)</f>
        <v>0</v>
      </c>
      <c r="H65" s="15">
        <f>SUM(Apr!H65, May!H65, Jun!H65)</f>
        <v>0</v>
      </c>
      <c r="I65" s="16" t="str">
        <f t="shared" si="11"/>
        <v/>
      </c>
    </row>
    <row r="66" spans="1:9" ht="15.75">
      <c r="A66" s="48" t="str">
        <v>CDCR - CA Correctional Institution</v>
      </c>
      <c r="B66" s="9" t="str">
        <v>CA</v>
      </c>
      <c r="C66" s="11">
        <f>SUM(Apr!C66, May!C66, Jun!C66)</f>
        <v>0</v>
      </c>
      <c r="D66" s="18">
        <f>SUM(Apr!D66, May!D66, Jun!D66)</f>
        <v>0</v>
      </c>
      <c r="E66" s="18">
        <f t="shared" si="9"/>
        <v>0</v>
      </c>
      <c r="F66" s="19" t="str">
        <f t="shared" si="10"/>
        <v/>
      </c>
      <c r="G66" s="15">
        <f>SUM(Apr!G66, May!G66, Jun!G66)</f>
        <v>0</v>
      </c>
      <c r="H66" s="20">
        <f>SUM(Apr!H66, May!H66, Jun!H66)</f>
        <v>0</v>
      </c>
      <c r="I66" s="19" t="str">
        <f t="shared" si="11"/>
        <v/>
      </c>
    </row>
    <row r="67" spans="1:9" ht="15.75">
      <c r="A67" s="49" t="str">
        <v>CDCR - CA Correctional Institution II</v>
      </c>
      <c r="B67" s="10" t="str">
        <v>CA</v>
      </c>
      <c r="C67" s="24">
        <f>SUM(Apr!C67, May!C67, Jun!C67)</f>
        <v>0</v>
      </c>
      <c r="D67" s="13">
        <f>SUM(Apr!D67, May!D67, Jun!D67)</f>
        <v>0</v>
      </c>
      <c r="E67" s="13">
        <f t="shared" si="9"/>
        <v>0</v>
      </c>
      <c r="F67" s="14" t="str">
        <f t="shared" si="10"/>
        <v/>
      </c>
      <c r="G67" s="20">
        <f>SUM(Apr!G67, May!G67, Jun!G67)</f>
        <v>0</v>
      </c>
      <c r="H67" s="15">
        <f>SUM(Apr!H67, May!H67, Jun!H67)</f>
        <v>0</v>
      </c>
      <c r="I67" s="16" t="str">
        <f t="shared" si="11"/>
        <v/>
      </c>
    </row>
    <row r="68" spans="1:9" ht="15.75">
      <c r="A68" s="48" t="str">
        <v>Snowline SD - Vista Verde ES</v>
      </c>
      <c r="B68" s="9" t="str">
        <v>CA</v>
      </c>
      <c r="C68" s="11">
        <f>SUM(Apr!C68, May!C68, Jun!C68)</f>
        <v>0</v>
      </c>
      <c r="D68" s="18">
        <f>SUM(Apr!D68, May!D68, Jun!D68)</f>
        <v>0</v>
      </c>
      <c r="E68" s="18">
        <f t="shared" si="9"/>
        <v>0</v>
      </c>
      <c r="F68" s="19" t="str">
        <f t="shared" si="10"/>
        <v/>
      </c>
      <c r="G68" s="15">
        <f>SUM(Apr!G68, May!G68, Jun!G68)</f>
        <v>0</v>
      </c>
      <c r="H68" s="20">
        <f>SUM(Apr!H68, May!H68, Jun!H68)</f>
        <v>0</v>
      </c>
      <c r="I68" s="19" t="str">
        <f t="shared" si="11"/>
        <v/>
      </c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56" priority="1" stopIfTrue="1" operator="lessThanOrEqual">
      <formula>-0.1</formula>
    </cfRule>
    <cfRule type="expression" dxfId="5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xSplit="2" ySplit="3" topLeftCell="D51" activePane="bottomRight" state="frozen"/>
      <selection pane="bottomRight" activeCell="E71" sqref="E71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9" t="str" cm="1">
        <f t="array" ref="A1">portfolio</f>
        <v>Silicon Ranch</v>
      </c>
      <c r="B1" s="99"/>
      <c r="C1" s="99"/>
      <c r="D1" s="100" t="s">
        <v>14</v>
      </c>
      <c r="E1" s="100"/>
      <c r="F1" s="100"/>
      <c r="G1" s="98" t="s">
        <v>15</v>
      </c>
      <c r="H1" s="98"/>
      <c r="I1" s="98"/>
    </row>
    <row r="2" spans="1:9" ht="19.5" customHeight="1">
      <c r="A2" s="101" t="s">
        <v>2</v>
      </c>
      <c r="B2" s="101"/>
      <c r="C2" s="5">
        <f>SUM(C4:C100)</f>
        <v>6898897</v>
      </c>
      <c r="D2" s="5">
        <f>SUM(D4:D100)</f>
        <v>0</v>
      </c>
      <c r="E2" s="5">
        <f>C2-D2</f>
        <v>6898897</v>
      </c>
      <c r="F2" s="6">
        <f>IFERROR(E2/D2, 0)</f>
        <v>0</v>
      </c>
      <c r="G2" s="5">
        <f>SUM(G4:G100)</f>
        <v>11173437.109999999</v>
      </c>
      <c r="H2" s="7">
        <f>C2-G2</f>
        <v>-4274540.1099999994</v>
      </c>
      <c r="I2" s="6">
        <f>IFERROR(H2/G2, 0)</f>
        <v>-0.38256268576250119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8" t="str" cm="1">
        <f t="array" ref="A4:A68">Sites[Site]</f>
        <v>Iron Mountain - Windsor</v>
      </c>
      <c r="B4" s="9" t="str" cm="1">
        <f t="array" ref="B4:B68">Sites[State]</f>
        <v>CT</v>
      </c>
      <c r="C4" s="24">
        <f>SUM(Jul!C4, Aug!C4, Sep!C4)</f>
        <v>94554</v>
      </c>
      <c r="D4" s="13">
        <f>SUM(Jul!D4, Aug!D4, Sep!D4)</f>
        <v>0</v>
      </c>
      <c r="E4" s="13">
        <f>IF(AND(ISNUMBER(C4),ISNUMBER(D4)), C4-D4, "")</f>
        <v>94554</v>
      </c>
      <c r="F4" s="14" t="str">
        <f>IFERROR(E4/D4, "")</f>
        <v/>
      </c>
      <c r="G4" s="15">
        <f>SUM(Jul!G4, Aug!G4, Sep!G4)</f>
        <v>94962.49</v>
      </c>
      <c r="H4" s="15">
        <f>SUM(Jul!H4, Aug!H4, Sep!H4)</f>
        <v>-408.4900000000016</v>
      </c>
      <c r="I4" s="16">
        <f>IFERROR(H4/G4, "")</f>
        <v>-4.3015931869520435E-3</v>
      </c>
    </row>
    <row r="5" spans="1:9" ht="15.75">
      <c r="A5" s="49" t="str">
        <v>Kohls - Auburn</v>
      </c>
      <c r="B5" s="10" t="str">
        <v>NY</v>
      </c>
      <c r="C5" s="11">
        <f>SUM(Jul!C5, Aug!C5, Sep!C5)</f>
        <v>111498</v>
      </c>
      <c r="D5" s="18">
        <f>SUM(Jul!D5, Aug!D5, Sep!D5)</f>
        <v>0</v>
      </c>
      <c r="E5" s="18">
        <f t="shared" ref="E5:E15" si="0">IF(AND(ISNUMBER(C5),ISNUMBER(D5)), C5-D5, "")</f>
        <v>111498</v>
      </c>
      <c r="F5" s="19" t="str">
        <f>IFERROR(E5/D5, "")</f>
        <v/>
      </c>
      <c r="G5" s="20">
        <f>SUM(Jul!G5, Aug!G5, Sep!G5)</f>
        <v>115914.18</v>
      </c>
      <c r="H5" s="20">
        <f>SUM(Jul!H5, Aug!H5, Sep!H5)</f>
        <v>-4416.18</v>
      </c>
      <c r="I5" s="19">
        <f>IFERROR(H5/G5, "")</f>
        <v>-3.8098703713385203E-2</v>
      </c>
    </row>
    <row r="6" spans="1:9" ht="15.75">
      <c r="A6" s="48" t="str">
        <v>Kohls - Bensalem</v>
      </c>
      <c r="B6" s="9" t="str">
        <v>PA</v>
      </c>
      <c r="C6" s="24">
        <f>SUM(Jul!C6, Aug!C6, Sep!C6)</f>
        <v>114312</v>
      </c>
      <c r="D6" s="13">
        <f>SUM(Jul!D6, Aug!D6, Sep!D6)</f>
        <v>0</v>
      </c>
      <c r="E6" s="13">
        <f t="shared" si="0"/>
        <v>114312</v>
      </c>
      <c r="F6" s="14" t="str">
        <f t="shared" ref="F6:F15" si="1">IFERROR(E6/D6, "")</f>
        <v/>
      </c>
      <c r="G6" s="15">
        <f>SUM(Jul!G6, Aug!G6, Sep!G6)</f>
        <v>108171.48999999999</v>
      </c>
      <c r="H6" s="15">
        <f>SUM(Jul!H6, Aug!H6, Sep!H6)</f>
        <v>6140.510000000002</v>
      </c>
      <c r="I6" s="16">
        <f t="shared" ref="I6:I15" si="2">IFERROR(H6/G6, "")</f>
        <v>5.6766436331791327E-2</v>
      </c>
    </row>
    <row r="7" spans="1:9" ht="15.75">
      <c r="A7" s="49" t="str">
        <v>Kohls - Brick</v>
      </c>
      <c r="B7" s="10" t="str">
        <v>NJ</v>
      </c>
      <c r="C7" s="11">
        <f>SUM(Jul!C7, Aug!C7, Sep!C7)</f>
        <v>135353</v>
      </c>
      <c r="D7" s="18">
        <f>SUM(Jul!D7, Aug!D7, Sep!D7)</f>
        <v>0</v>
      </c>
      <c r="E7" s="18">
        <f t="shared" si="0"/>
        <v>135353</v>
      </c>
      <c r="F7" s="19" t="str">
        <f t="shared" si="1"/>
        <v/>
      </c>
      <c r="G7" s="20">
        <f>SUM(Jul!G7, Aug!G7, Sep!G7)</f>
        <v>128301.25</v>
      </c>
      <c r="H7" s="20">
        <f>SUM(Jul!H7, Aug!H7, Sep!H7)</f>
        <v>7051.75</v>
      </c>
      <c r="I7" s="19">
        <f t="shared" si="2"/>
        <v>5.4962441909178594E-2</v>
      </c>
    </row>
    <row r="8" spans="1:9" ht="15.75">
      <c r="A8" s="48" t="str">
        <v>Kohls - Buffalo</v>
      </c>
      <c r="B8" s="9" t="str">
        <v>NY</v>
      </c>
      <c r="C8" s="24">
        <f>SUM(Jul!C8, Aug!C8, Sep!C8)</f>
        <v>144418</v>
      </c>
      <c r="D8" s="13">
        <f>SUM(Jul!D8, Aug!D8, Sep!D8)</f>
        <v>0</v>
      </c>
      <c r="E8" s="13">
        <f t="shared" si="0"/>
        <v>144418</v>
      </c>
      <c r="F8" s="14" t="str">
        <f t="shared" si="1"/>
        <v/>
      </c>
      <c r="G8" s="15">
        <f>SUM(Jul!G8, Aug!G8, Sep!G8)</f>
        <v>139851.94</v>
      </c>
      <c r="H8" s="15">
        <f>SUM(Jul!H8, Aug!H8, Sep!H8)</f>
        <v>4566.0600000000049</v>
      </c>
      <c r="I8" s="16">
        <f t="shared" si="2"/>
        <v>3.2649243192479166E-2</v>
      </c>
    </row>
    <row r="9" spans="1:9" ht="15.75">
      <c r="A9" s="49" t="str">
        <v>Kohls - Canton</v>
      </c>
      <c r="B9" s="10" t="str">
        <v>CT</v>
      </c>
      <c r="C9" s="11">
        <f>SUM(Jul!C9, Aug!C9, Sep!C9)</f>
        <v>47122</v>
      </c>
      <c r="D9" s="18">
        <f>SUM(Jul!D9, Aug!D9, Sep!D9)</f>
        <v>0</v>
      </c>
      <c r="E9" s="18">
        <f t="shared" si="0"/>
        <v>47122</v>
      </c>
      <c r="F9" s="19" t="str">
        <f t="shared" si="1"/>
        <v/>
      </c>
      <c r="G9" s="20">
        <f>SUM(Jul!G9, Aug!G9, Sep!G9)</f>
        <v>43839.67</v>
      </c>
      <c r="H9" s="20">
        <f>SUM(Jul!H9, Aug!H9, Sep!H9)</f>
        <v>3282.33</v>
      </c>
      <c r="I9" s="19">
        <f t="shared" si="2"/>
        <v>7.4871229642011455E-2</v>
      </c>
    </row>
    <row r="10" spans="1:9" ht="15.75">
      <c r="A10" s="48" t="str">
        <v>Kohls - East Amherst</v>
      </c>
      <c r="B10" s="9" t="str">
        <v>NY</v>
      </c>
      <c r="C10" s="24">
        <f>SUM(Jul!C10, Aug!C10, Sep!C10)</f>
        <v>120994</v>
      </c>
      <c r="D10" s="13">
        <f>SUM(Jul!D10, Aug!D10, Sep!D10)</f>
        <v>0</v>
      </c>
      <c r="E10" s="13">
        <f t="shared" si="0"/>
        <v>120994</v>
      </c>
      <c r="F10" s="14" t="str">
        <f t="shared" si="1"/>
        <v/>
      </c>
      <c r="G10" s="15">
        <f>SUM(Jul!G10, Aug!G10, Sep!G10)</f>
        <v>124722.83</v>
      </c>
      <c r="H10" s="15">
        <f>SUM(Jul!H10, Aug!H10, Sep!H10)</f>
        <v>-3728.8299999999945</v>
      </c>
      <c r="I10" s="16">
        <f t="shared" si="2"/>
        <v>-2.9896932261719803E-2</v>
      </c>
    </row>
    <row r="11" spans="1:9" ht="15.75">
      <c r="A11" s="49" t="str">
        <v>Kohls - East Brunswick</v>
      </c>
      <c r="B11" s="10" t="str">
        <v>NJ</v>
      </c>
      <c r="C11" s="11">
        <f>SUM(Jul!C11, Aug!C11, Sep!C11)</f>
        <v>155820</v>
      </c>
      <c r="D11" s="18">
        <f>SUM(Jul!D11, Aug!D11, Sep!D11)</f>
        <v>0</v>
      </c>
      <c r="E11" s="18">
        <f t="shared" si="0"/>
        <v>155820</v>
      </c>
      <c r="F11" s="19" t="str">
        <f t="shared" si="1"/>
        <v/>
      </c>
      <c r="G11" s="20">
        <f>SUM(Jul!G11, Aug!G11, Sep!G11)</f>
        <v>164069.21</v>
      </c>
      <c r="H11" s="20">
        <f>SUM(Jul!H11, Aug!H11, Sep!H11)</f>
        <v>-8249.2099999999991</v>
      </c>
      <c r="I11" s="19">
        <f t="shared" si="2"/>
        <v>-5.02788426908376E-2</v>
      </c>
    </row>
    <row r="12" spans="1:9" ht="15.75">
      <c r="A12" s="48" t="str">
        <v>Kohls - Edgewood</v>
      </c>
      <c r="B12" s="9" t="str">
        <v>MD</v>
      </c>
      <c r="C12" s="24">
        <f>SUM(Jul!C12, Aug!C12, Sep!C12)</f>
        <v>774929</v>
      </c>
      <c r="D12" s="13">
        <f>SUM(Jul!D12, Aug!D12, Sep!D12)</f>
        <v>0</v>
      </c>
      <c r="E12" s="13">
        <f t="shared" si="0"/>
        <v>774929</v>
      </c>
      <c r="F12" s="14" t="str">
        <f t="shared" si="1"/>
        <v/>
      </c>
      <c r="G12" s="15">
        <f>SUM(Jul!G12, Aug!G12, Sep!G12)</f>
        <v>854668.80000000005</v>
      </c>
      <c r="H12" s="15">
        <f>SUM(Jul!H12, Aug!H12, Sep!H12)</f>
        <v>-79739.800000000017</v>
      </c>
      <c r="I12" s="16">
        <f t="shared" si="2"/>
        <v>-9.3299065088137081E-2</v>
      </c>
    </row>
    <row r="13" spans="1:9" ht="15.75">
      <c r="A13" s="49" t="str">
        <v>Kohls - Granite Run</v>
      </c>
      <c r="B13" s="10" t="str">
        <v>PA</v>
      </c>
      <c r="C13" s="11">
        <f>SUM(Jul!C13, Aug!C13, Sep!C13)</f>
        <v>106088</v>
      </c>
      <c r="D13" s="18">
        <f>SUM(Jul!D13, Aug!D13, Sep!D13)</f>
        <v>0</v>
      </c>
      <c r="E13" s="18">
        <f t="shared" si="0"/>
        <v>106088</v>
      </c>
      <c r="F13" s="19" t="str">
        <f t="shared" si="1"/>
        <v/>
      </c>
      <c r="G13" s="20">
        <f>SUM(Jul!G13, Aug!G13, Sep!G13)</f>
        <v>107021.82</v>
      </c>
      <c r="H13" s="20">
        <f>SUM(Jul!H13, Aug!H13, Sep!H13)</f>
        <v>-933.81999999999971</v>
      </c>
      <c r="I13" s="19">
        <f t="shared" si="2"/>
        <v>-8.7255103678857224E-3</v>
      </c>
    </row>
    <row r="14" spans="1:9" ht="15.75">
      <c r="A14" s="48" t="str">
        <v>Kohls - Greece</v>
      </c>
      <c r="B14" s="9" t="str">
        <v>NY</v>
      </c>
      <c r="C14" s="24">
        <f>SUM(Jul!C14, Aug!C14, Sep!C14)</f>
        <v>83935</v>
      </c>
      <c r="D14" s="13">
        <f>SUM(Jul!D14, Aug!D14, Sep!D14)</f>
        <v>0</v>
      </c>
      <c r="E14" s="13">
        <f t="shared" si="0"/>
        <v>83935</v>
      </c>
      <c r="F14" s="14" t="str">
        <f t="shared" si="1"/>
        <v/>
      </c>
      <c r="G14" s="15">
        <f>SUM(Jul!G14, Aug!G14, Sep!G14)</f>
        <v>133325.32</v>
      </c>
      <c r="H14" s="15">
        <f>SUM(Jul!H14, Aug!H14, Sep!H14)</f>
        <v>-49390.32</v>
      </c>
      <c r="I14" s="16">
        <f t="shared" si="2"/>
        <v>-0.37044966402480789</v>
      </c>
    </row>
    <row r="15" spans="1:9" ht="15.75">
      <c r="A15" s="49" t="str">
        <v>Kohls - Hanover</v>
      </c>
      <c r="B15" s="10" t="str">
        <v>PA</v>
      </c>
      <c r="C15" s="11">
        <f>SUM(Jul!C15, Aug!C15, Sep!C15)</f>
        <v>54426</v>
      </c>
      <c r="D15" s="18">
        <f>SUM(Jul!D15, Aug!D15, Sep!D15)</f>
        <v>0</v>
      </c>
      <c r="E15" s="18">
        <f t="shared" si="0"/>
        <v>54426</v>
      </c>
      <c r="F15" s="19" t="str">
        <f t="shared" si="1"/>
        <v/>
      </c>
      <c r="G15" s="20">
        <f>SUM(Jul!G15, Aug!G15, Sep!G15)</f>
        <v>116209.23</v>
      </c>
      <c r="H15" s="20">
        <f>SUM(Jul!H15, Aug!H15, Sep!H15)</f>
        <v>-61783.229999999996</v>
      </c>
      <c r="I15" s="19">
        <f t="shared" si="2"/>
        <v>-0.53165510175052355</v>
      </c>
    </row>
    <row r="16" spans="1:9" ht="15.75">
      <c r="A16" s="48" t="str">
        <v>Kohls - Horsehead</v>
      </c>
      <c r="B16" s="9" t="str">
        <v>NY</v>
      </c>
      <c r="C16" s="24">
        <f>SUM(Jul!C16, Aug!C16, Sep!C16)</f>
        <v>92124</v>
      </c>
      <c r="D16" s="13">
        <f>SUM(Jul!D16, Aug!D16, Sep!D16)</f>
        <v>0</v>
      </c>
      <c r="E16" s="13">
        <f t="shared" ref="E16:E19" si="3">IF(AND(ISNUMBER(C16),ISNUMBER(D16)), C16-D16, "")</f>
        <v>92124</v>
      </c>
      <c r="F16" s="14" t="str">
        <f t="shared" ref="F16:F19" si="4">IFERROR(E16/D16, "")</f>
        <v/>
      </c>
      <c r="G16" s="15">
        <f>SUM(Jul!G16, Aug!G16, Sep!G16)</f>
        <v>97499.36</v>
      </c>
      <c r="H16" s="15">
        <f>SUM(Jul!H16, Aug!H16, Sep!H16)</f>
        <v>-5375.3599999999969</v>
      </c>
      <c r="I16" s="16">
        <f t="shared" ref="I16:I19" si="5">IFERROR(H16/G16, "")</f>
        <v>-5.5132259329702234E-2</v>
      </c>
    </row>
    <row r="17" spans="1:9" ht="15.75">
      <c r="A17" s="49" t="str">
        <v>Kohls - Hudson</v>
      </c>
      <c r="B17" s="10" t="str">
        <v>NY</v>
      </c>
      <c r="C17" s="11">
        <f>SUM(Jul!C17, Aug!C17, Sep!C17)</f>
        <v>77042</v>
      </c>
      <c r="D17" s="18">
        <f>SUM(Jul!D17, Aug!D17, Sep!D17)</f>
        <v>0</v>
      </c>
      <c r="E17" s="18">
        <f t="shared" si="3"/>
        <v>77042</v>
      </c>
      <c r="F17" s="19" t="str">
        <f t="shared" si="4"/>
        <v/>
      </c>
      <c r="G17" s="20">
        <f>SUM(Jul!G17, Aug!G17, Sep!G17)</f>
        <v>112334.34000000001</v>
      </c>
      <c r="H17" s="20">
        <f>SUM(Jul!H17, Aug!H17, Sep!H17)</f>
        <v>-35292.339999999997</v>
      </c>
      <c r="I17" s="19">
        <f t="shared" si="5"/>
        <v>-0.31417231809970125</v>
      </c>
    </row>
    <row r="18" spans="1:9" ht="12.75" customHeight="1">
      <c r="A18" s="48" t="str">
        <v>Kohls - Ithaca</v>
      </c>
      <c r="B18" s="12" t="str">
        <v>NY</v>
      </c>
      <c r="C18" s="24">
        <f>SUM(Jul!C18, Aug!C18, Sep!C18)</f>
        <v>97750</v>
      </c>
      <c r="D18" s="13">
        <f>SUM(Jul!D18, Aug!D18, Sep!D18)</f>
        <v>0</v>
      </c>
      <c r="E18" s="13">
        <f t="shared" si="3"/>
        <v>97750</v>
      </c>
      <c r="F18" s="14" t="str">
        <f t="shared" si="4"/>
        <v/>
      </c>
      <c r="G18" s="15">
        <f>SUM(Jul!G18, Aug!G18, Sep!G18)</f>
        <v>112085.54</v>
      </c>
      <c r="H18" s="15">
        <f>SUM(Jul!H18, Aug!H18, Sep!H18)</f>
        <v>-14335.539999999997</v>
      </c>
      <c r="I18" s="16">
        <f t="shared" si="5"/>
        <v>-0.127898210598798</v>
      </c>
    </row>
    <row r="19" spans="1:9" ht="15.75">
      <c r="A19" s="49" t="str">
        <v>Kohls - Kingston</v>
      </c>
      <c r="B19" s="17" t="str">
        <v>NY</v>
      </c>
      <c r="C19" s="11">
        <f>SUM(Jul!C19, Aug!C19, Sep!C21)</f>
        <v>162208</v>
      </c>
      <c r="D19" s="18">
        <f>SUM(Jul!D19, Aug!D19, Sep!D21)</f>
        <v>0</v>
      </c>
      <c r="E19" s="18">
        <f t="shared" si="3"/>
        <v>162208</v>
      </c>
      <c r="F19" s="19" t="str">
        <f t="shared" si="4"/>
        <v/>
      </c>
      <c r="G19" s="20">
        <f>SUM(Jul!G19, Aug!G19, Sep!G19)</f>
        <v>165817.61000000002</v>
      </c>
      <c r="H19" s="20">
        <f>SUM(Jul!H19, Aug!H19, Sep!H21)</f>
        <v>-13670.101000000002</v>
      </c>
      <c r="I19" s="19">
        <f t="shared" si="5"/>
        <v>-8.2440586376802807E-2</v>
      </c>
    </row>
    <row r="20" spans="1:9" ht="15.75">
      <c r="A20" s="48" t="str">
        <v>Kohls - Mechanicsburg</v>
      </c>
      <c r="B20" s="12" t="str">
        <v>PA</v>
      </c>
      <c r="C20" s="24">
        <f>SUM(Jul!C20, Aug!C20, Sep!C22)</f>
        <v>98756</v>
      </c>
      <c r="D20" s="13">
        <f>SUM(Jul!D20, Aug!D20, Sep!D22)</f>
        <v>0</v>
      </c>
      <c r="E20" s="13">
        <f t="shared" ref="E20:E25" si="6">IF(AND(ISNUMBER(C20),ISNUMBER(D20)), C20-D20, "")</f>
        <v>98756</v>
      </c>
      <c r="F20" s="14" t="str">
        <f t="shared" ref="F20:F25" si="7">IFERROR(E20/D20, "")</f>
        <v/>
      </c>
      <c r="G20" s="15">
        <f>SUM(Jul!G20, Aug!G20, Sep!G20)</f>
        <v>135669.6</v>
      </c>
      <c r="H20" s="15">
        <f>SUM(Jul!H20, Aug!H20, Sep!H22)</f>
        <v>-32447.42</v>
      </c>
      <c r="I20" s="16">
        <f t="shared" ref="I20:I25" si="8">IFERROR(H20/G20, "")</f>
        <v>-0.23916500085501835</v>
      </c>
    </row>
    <row r="21" spans="1:9" ht="15.75">
      <c r="A21" s="49" t="str">
        <v>Kohls - Middletown</v>
      </c>
      <c r="B21" s="17" t="str">
        <v>NJ</v>
      </c>
      <c r="C21" s="11">
        <f>SUM(Jul!C21, Aug!C21, Sep!C23)</f>
        <v>145545</v>
      </c>
      <c r="D21" s="18">
        <f>SUM(Jul!D21, Aug!D21, Sep!D23)</f>
        <v>0</v>
      </c>
      <c r="E21" s="18">
        <f t="shared" si="6"/>
        <v>145545</v>
      </c>
      <c r="F21" s="19" t="str">
        <f t="shared" si="7"/>
        <v/>
      </c>
      <c r="G21" s="20">
        <f>SUM(Jul!G21, Aug!G21, Sep!G21)</f>
        <v>194043.16999999998</v>
      </c>
      <c r="H21" s="20">
        <f>SUM(Jul!H21, Aug!H21, Sep!H23)</f>
        <v>-23072.069999999996</v>
      </c>
      <c r="I21" s="19">
        <f t="shared" si="8"/>
        <v>-0.11890173717528939</v>
      </c>
    </row>
    <row r="22" spans="1:9" ht="15.75">
      <c r="A22" s="48" t="str">
        <v>Kohls - North Amherst</v>
      </c>
      <c r="B22" s="12" t="str">
        <v>NY</v>
      </c>
      <c r="C22" s="24">
        <f>SUM(Jul!C22, Aug!C22, Sep!C24)</f>
        <v>82346</v>
      </c>
      <c r="D22" s="13">
        <f>SUM(Jul!D22, Aug!D22, Sep!D24)</f>
        <v>0</v>
      </c>
      <c r="E22" s="13">
        <f t="shared" si="6"/>
        <v>82346</v>
      </c>
      <c r="F22" s="14" t="str">
        <f t="shared" si="7"/>
        <v/>
      </c>
      <c r="G22" s="15">
        <f>SUM(Jul!G22, Aug!G22, Sep!G22)</f>
        <v>119080.95</v>
      </c>
      <c r="H22" s="15">
        <f>SUM(Jul!H22, Aug!H22, Sep!H24)</f>
        <v>-40041.97</v>
      </c>
      <c r="I22" s="16">
        <f t="shared" si="8"/>
        <v>-0.33625840237250376</v>
      </c>
    </row>
    <row r="23" spans="1:9" ht="15.75">
      <c r="A23" s="49" t="str">
        <v>Kohls - Staten Island</v>
      </c>
      <c r="B23" s="17" t="str">
        <v>NY</v>
      </c>
      <c r="C23" s="11">
        <f>SUM(Jul!C23, Aug!C23, Sep!C25)</f>
        <v>87829</v>
      </c>
      <c r="D23" s="18">
        <f>SUM(Jul!D23, Aug!D23, Sep!D25)</f>
        <v>0</v>
      </c>
      <c r="E23" s="18">
        <f t="shared" si="6"/>
        <v>87829</v>
      </c>
      <c r="F23" s="19" t="str">
        <f t="shared" si="7"/>
        <v/>
      </c>
      <c r="G23" s="20">
        <f>SUM(Jul!G23, Aug!G23, Sep!G23)</f>
        <v>110927.81</v>
      </c>
      <c r="H23" s="20">
        <f>SUM(Jul!H23, Aug!H23, Sep!H25)</f>
        <v>-23132.050000000003</v>
      </c>
      <c r="I23" s="19">
        <f t="shared" si="8"/>
        <v>-0.2085324680979459</v>
      </c>
    </row>
    <row r="24" spans="1:9" ht="15.75">
      <c r="A24" s="48" t="str">
        <v>Kohls - Warminster</v>
      </c>
      <c r="B24" s="12" t="str">
        <v>PA</v>
      </c>
      <c r="C24" s="24">
        <f>SUM(Jul!C24, Aug!C24, Sep!C26)</f>
        <v>134072</v>
      </c>
      <c r="D24" s="13">
        <f>SUM(Jul!D24, Aug!D24, Sep!D26)</f>
        <v>0</v>
      </c>
      <c r="E24" s="13">
        <f t="shared" si="6"/>
        <v>134072</v>
      </c>
      <c r="F24" s="14" t="str">
        <f t="shared" si="7"/>
        <v/>
      </c>
      <c r="G24" s="15">
        <f>SUM(Jul!G24, Aug!G24, Sep!G24)</f>
        <v>132333.73000000001</v>
      </c>
      <c r="H24" s="15">
        <f>SUM(Jul!H24, Aug!H24, Sep!H26)</f>
        <v>4197.5900000000038</v>
      </c>
      <c r="I24" s="16">
        <f t="shared" si="8"/>
        <v>3.1719728598294653E-2</v>
      </c>
    </row>
    <row r="25" spans="1:9" ht="15.75">
      <c r="A25" s="49" t="str">
        <v xml:space="preserve">Kohls - Waterbury </v>
      </c>
      <c r="B25" s="17" t="str">
        <v>CT</v>
      </c>
      <c r="C25" s="11">
        <f>SUM(Jul!C25, Aug!C25, Sep!C27)</f>
        <v>77301</v>
      </c>
      <c r="D25" s="18">
        <f>SUM(Jul!D25, Aug!D25, Sep!D27)</f>
        <v>0</v>
      </c>
      <c r="E25" s="18">
        <f t="shared" si="6"/>
        <v>77301</v>
      </c>
      <c r="F25" s="19" t="str">
        <f t="shared" si="7"/>
        <v/>
      </c>
      <c r="G25" s="20">
        <f>SUM(Jul!G25, Aug!G25, Sep!G27)</f>
        <v>223054.33000000002</v>
      </c>
      <c r="H25" s="20">
        <f>SUM(Jul!H25, Aug!H25, Sep!H27)</f>
        <v>-145753.33000000002</v>
      </c>
      <c r="I25" s="19">
        <f t="shared" si="8"/>
        <v>-0.6534431768260226</v>
      </c>
    </row>
    <row r="26" spans="1:9" ht="15.75">
      <c r="A26" s="48" t="str">
        <v>Mojave Water Agency - Headquarters</v>
      </c>
      <c r="B26" s="12" t="str">
        <v>CA</v>
      </c>
      <c r="C26" s="24">
        <f>SUM(Jul!C26, Aug!C26, Sep!C28)</f>
        <v>57396</v>
      </c>
      <c r="D26" s="13">
        <f>SUM(Jul!D26, Aug!D26, Sep!D28)</f>
        <v>0</v>
      </c>
      <c r="E26" s="13">
        <f t="shared" ref="E26:E68" si="9">IF(AND(ISNUMBER(C26),ISNUMBER(D26)), C26-D26, "")</f>
        <v>57396</v>
      </c>
      <c r="F26" s="14" t="str">
        <f t="shared" ref="F26:F68" si="10">IFERROR(E26/D26, "")</f>
        <v/>
      </c>
      <c r="G26" s="15">
        <f>SUM(Jul!G26, Aug!G26, Sep!G26)</f>
        <v>72389.279999999999</v>
      </c>
      <c r="H26" s="15">
        <f>SUM(Jul!H26, Aug!H26, Sep!H28)</f>
        <v>4774.49</v>
      </c>
      <c r="I26" s="16">
        <f t="shared" ref="I26:I68" si="11">IFERROR(H26/G26, "")</f>
        <v>6.5955760300420177E-2</v>
      </c>
    </row>
    <row r="27" spans="1:9" ht="15.75">
      <c r="A27" s="49" t="str">
        <v>CSU - Bakersfield</v>
      </c>
      <c r="B27" s="17" t="str">
        <v>CA</v>
      </c>
      <c r="C27" s="11">
        <f>SUM(Jul!C27, Aug!C27, Sep!C29)</f>
        <v>46272</v>
      </c>
      <c r="D27" s="18">
        <f>SUM(Jul!D27, Aug!D27, Sep!D29)</f>
        <v>0</v>
      </c>
      <c r="E27" s="18">
        <f t="shared" si="9"/>
        <v>46272</v>
      </c>
      <c r="F27" s="19" t="str">
        <f t="shared" si="10"/>
        <v/>
      </c>
      <c r="G27" s="20">
        <f>SUM(Jul!G27, Aug!G27, Sep!G29)</f>
        <v>213844.22</v>
      </c>
      <c r="H27" s="20">
        <f>SUM(Jul!H27, Aug!H27, Sep!H29)</f>
        <v>-167572.22</v>
      </c>
      <c r="I27" s="19">
        <f t="shared" si="11"/>
        <v>-0.78361818710835396</v>
      </c>
    </row>
    <row r="28" spans="1:9" ht="15.75">
      <c r="A28" s="48" t="str">
        <v>Greenfield USD - Fairfield ES</v>
      </c>
      <c r="B28" s="12" t="str">
        <v>CA</v>
      </c>
      <c r="C28" s="24">
        <f>SUM(Jul!C28, Aug!C28, Sep!C30)</f>
        <v>23778</v>
      </c>
      <c r="D28" s="13">
        <f>SUM(Jul!D28, Aug!D28, Sep!D30)</f>
        <v>0</v>
      </c>
      <c r="E28" s="13">
        <f t="shared" si="9"/>
        <v>23778</v>
      </c>
      <c r="F28" s="14" t="str">
        <f t="shared" si="10"/>
        <v/>
      </c>
      <c r="G28" s="15">
        <f>SUM(Jul!G28, Aug!G28, Sep!G28)</f>
        <v>31157.019999999997</v>
      </c>
      <c r="H28" s="15">
        <f>SUM(Jul!H28, Aug!H28, Sep!H30)</f>
        <v>-18968.021999999997</v>
      </c>
      <c r="I28" s="16">
        <f t="shared" si="11"/>
        <v>-0.6087880676650077</v>
      </c>
    </row>
    <row r="29" spans="1:9" ht="15.75">
      <c r="A29" s="49" t="str">
        <v>Greenfield USD - Granite Point ES</v>
      </c>
      <c r="B29" s="17" t="str">
        <v>CA</v>
      </c>
      <c r="C29" s="11">
        <f>SUM(Jul!C29, Aug!C29, Sep!C31)</f>
        <v>34078</v>
      </c>
      <c r="D29" s="18">
        <f>SUM(Jul!D29, Aug!D29, Sep!D31)</f>
        <v>0</v>
      </c>
      <c r="E29" s="18">
        <f t="shared" si="9"/>
        <v>34078</v>
      </c>
      <c r="F29" s="19" t="str">
        <f t="shared" si="10"/>
        <v/>
      </c>
      <c r="G29" s="20">
        <f>SUM(Jul!G29, Aug!G29, Sep!G29)</f>
        <v>82131.040000000008</v>
      </c>
      <c r="H29" s="20">
        <f>SUM(Jul!H29, Aug!H29, Sep!H31)</f>
        <v>-49198.05</v>
      </c>
      <c r="I29" s="19">
        <f t="shared" si="11"/>
        <v>-0.5990189579968791</v>
      </c>
    </row>
    <row r="30" spans="1:9" ht="15.75">
      <c r="A30" s="48" t="str">
        <v>Greenfield USD - Greenfield MS</v>
      </c>
      <c r="B30" s="12" t="str">
        <v>CA</v>
      </c>
      <c r="C30" s="24">
        <f>SUM(Jul!C30, Aug!C30, Sep!C32)</f>
        <v>28783</v>
      </c>
      <c r="D30" s="13">
        <f>SUM(Jul!D30, Aug!D30, Sep!D32)</f>
        <v>0</v>
      </c>
      <c r="E30" s="13">
        <f t="shared" si="9"/>
        <v>28783</v>
      </c>
      <c r="F30" s="14" t="str">
        <f t="shared" si="10"/>
        <v/>
      </c>
      <c r="G30" s="15">
        <f>SUM(Jul!G30, Aug!G30, Sep!G30)</f>
        <v>56075.221999999994</v>
      </c>
      <c r="H30" s="15">
        <f>SUM(Jul!H30, Aug!H30, Sep!H32)</f>
        <v>-25237.3</v>
      </c>
      <c r="I30" s="16">
        <f t="shared" si="11"/>
        <v>-0.4500615262833913</v>
      </c>
    </row>
    <row r="31" spans="1:9" ht="15.75">
      <c r="A31" s="49" t="str">
        <v>Greenfield USD - Horizon ES</v>
      </c>
      <c r="B31" s="17" t="str">
        <v>CA</v>
      </c>
      <c r="C31" s="11">
        <f>SUM(Jul!C31, Aug!C31, Sep!C33)</f>
        <v>38836</v>
      </c>
      <c r="D31" s="18">
        <f>SUM(Jul!D31, Aug!D31, Sep!D33)</f>
        <v>0</v>
      </c>
      <c r="E31" s="18">
        <f t="shared" si="9"/>
        <v>38836</v>
      </c>
      <c r="F31" s="19" t="str">
        <f t="shared" si="10"/>
        <v/>
      </c>
      <c r="G31" s="20">
        <f>SUM(Jul!G31, Aug!G31, Sep!G31)</f>
        <v>84927.39</v>
      </c>
      <c r="H31" s="20">
        <f>SUM(Jul!H31, Aug!H31, Sep!H33)</f>
        <v>-23940.85</v>
      </c>
      <c r="I31" s="19">
        <f t="shared" si="11"/>
        <v>-0.2818978659299432</v>
      </c>
    </row>
    <row r="32" spans="1:9" ht="15.75">
      <c r="A32" s="48" t="str">
        <v>Greenfield USD - McKee MS</v>
      </c>
      <c r="B32" s="12" t="str">
        <v>CA</v>
      </c>
      <c r="C32" s="24">
        <f>SUM(Jul!C32, Aug!C32, Sep!C34)</f>
        <v>22606</v>
      </c>
      <c r="D32" s="13">
        <f>SUM(Jul!D32, Aug!D32, Sep!D34)</f>
        <v>0</v>
      </c>
      <c r="E32" s="13">
        <f t="shared" si="9"/>
        <v>22606</v>
      </c>
      <c r="F32" s="14" t="str">
        <f t="shared" si="10"/>
        <v/>
      </c>
      <c r="G32" s="15">
        <f>SUM(Jul!G32, Aug!G32, Sep!G32)</f>
        <v>51909.84</v>
      </c>
      <c r="H32" s="15">
        <f>SUM(Jul!H32, Aug!H32, Sep!H34)</f>
        <v>-24999.62</v>
      </c>
      <c r="I32" s="16">
        <f t="shared" si="11"/>
        <v>-0.48159693807570975</v>
      </c>
    </row>
    <row r="33" spans="1:9" ht="15.75">
      <c r="A33" s="49" t="str">
        <v>Greenfield USD - Plantation ES</v>
      </c>
      <c r="B33" s="17" t="str">
        <v>CA</v>
      </c>
      <c r="C33" s="11">
        <f>SUM(Jul!C33, Aug!C33, Sep!C35)</f>
        <v>26612</v>
      </c>
      <c r="D33" s="18">
        <f>SUM(Jul!D33, Aug!D33, Sep!D35)</f>
        <v>0</v>
      </c>
      <c r="E33" s="18">
        <f t="shared" si="9"/>
        <v>26612</v>
      </c>
      <c r="F33" s="19" t="str">
        <f t="shared" si="10"/>
        <v/>
      </c>
      <c r="G33" s="20">
        <f>SUM(Jul!G33, Aug!G33, Sep!G33)</f>
        <v>37044.080000000002</v>
      </c>
      <c r="H33" s="20">
        <f>SUM(Jul!H33, Aug!H33, Sep!H35)</f>
        <v>-36211.130000000005</v>
      </c>
      <c r="I33" s="19">
        <f t="shared" si="11"/>
        <v>-0.97751462581875437</v>
      </c>
    </row>
    <row r="34" spans="1:9" ht="15.75">
      <c r="A34" s="48" t="str">
        <v>Greenfield USD - Planz ES</v>
      </c>
      <c r="B34" s="12" t="str">
        <v>CA</v>
      </c>
      <c r="C34" s="24">
        <f>SUM(Jul!C34, Aug!C34, Sep!C36)</f>
        <v>37222</v>
      </c>
      <c r="D34" s="13">
        <f>SUM(Jul!D34, Aug!D34, Sep!D36)</f>
        <v>0</v>
      </c>
      <c r="E34" s="13">
        <f t="shared" si="9"/>
        <v>37222</v>
      </c>
      <c r="F34" s="14" t="str">
        <f t="shared" si="10"/>
        <v/>
      </c>
      <c r="G34" s="15">
        <f>SUM(Jul!G34, Aug!G34, Sep!G34)</f>
        <v>42273.94</v>
      </c>
      <c r="H34" s="15">
        <f>SUM(Jul!H34, Aug!H34, Sep!H36)</f>
        <v>-25369.72</v>
      </c>
      <c r="I34" s="16">
        <f t="shared" si="11"/>
        <v>-0.6001266974405508</v>
      </c>
    </row>
    <row r="35" spans="1:9" ht="15.75">
      <c r="A35" s="49" t="str">
        <v>Greenfield USD - Raffaello Palla ES</v>
      </c>
      <c r="B35" s="17" t="str">
        <v>CA</v>
      </c>
      <c r="C35" s="11">
        <f>SUM(Jul!C35, Aug!C35, Sep!C37)</f>
        <v>34936</v>
      </c>
      <c r="D35" s="18">
        <f>SUM(Jul!D35, Aug!D35, Sep!D37)</f>
        <v>0</v>
      </c>
      <c r="E35" s="18">
        <f t="shared" si="9"/>
        <v>34936</v>
      </c>
      <c r="F35" s="19" t="str">
        <f t="shared" si="10"/>
        <v/>
      </c>
      <c r="G35" s="20">
        <f>SUM(Jul!G35, Aug!G35, Sep!G35)</f>
        <v>92230.69</v>
      </c>
      <c r="H35" s="20">
        <f>SUM(Jul!H35, Aug!H35, Sep!H37)</f>
        <v>-29821.72</v>
      </c>
      <c r="I35" s="19">
        <f t="shared" si="11"/>
        <v>-0.3233383594983405</v>
      </c>
    </row>
    <row r="36" spans="1:9" ht="15.75">
      <c r="A36" s="48" t="str">
        <v>Greenfield USD - Valle Verde ES</v>
      </c>
      <c r="B36" s="12" t="str">
        <v>CA</v>
      </c>
      <c r="C36" s="24">
        <f>SUM(Jul!C36, Aug!C36, Sep!C38)</f>
        <v>38421</v>
      </c>
      <c r="D36" s="13">
        <f>SUM(Jul!D36, Aug!D36, Sep!D38)</f>
        <v>0</v>
      </c>
      <c r="E36" s="13">
        <f t="shared" si="9"/>
        <v>38421</v>
      </c>
      <c r="F36" s="14" t="str">
        <f t="shared" si="10"/>
        <v/>
      </c>
      <c r="G36" s="15">
        <f>SUM(Jul!G36, Aug!G36, Sep!G36)</f>
        <v>86028.91</v>
      </c>
      <c r="H36" s="15">
        <f>SUM(Jul!H36, Aug!H36, Sep!H38)</f>
        <v>-42414.450000000004</v>
      </c>
      <c r="I36" s="16">
        <f t="shared" si="11"/>
        <v>-0.49302554222760703</v>
      </c>
    </row>
    <row r="37" spans="1:9" ht="15.75">
      <c r="A37" s="49" t="str">
        <v>Greenfield USD - W.A. Kendrick ES</v>
      </c>
      <c r="B37" s="17" t="str">
        <v>CA</v>
      </c>
      <c r="C37" s="11">
        <f>SUM(Jul!C37, Aug!C37, Sep!C39)</f>
        <v>12443</v>
      </c>
      <c r="D37" s="18">
        <f>SUM(Jul!D37, Aug!D37, Sep!D39)</f>
        <v>0</v>
      </c>
      <c r="E37" s="18">
        <f t="shared" si="9"/>
        <v>12443</v>
      </c>
      <c r="F37" s="19" t="str">
        <f t="shared" si="10"/>
        <v/>
      </c>
      <c r="G37" s="20">
        <f>SUM(Jul!G37, Aug!G37, Sep!G37)</f>
        <v>33147.14</v>
      </c>
      <c r="H37" s="20">
        <f>SUM(Jul!H37, Aug!H37, Sep!H39)</f>
        <v>-18098.990000000002</v>
      </c>
      <c r="I37" s="19">
        <f t="shared" si="11"/>
        <v>-0.54601965659782414</v>
      </c>
    </row>
    <row r="38" spans="1:9" ht="15.75">
      <c r="A38" s="48" t="str">
        <v>Muroc Joint USD - Boron HS</v>
      </c>
      <c r="B38" s="12" t="str">
        <v>CA</v>
      </c>
      <c r="C38" s="24">
        <f>SUM(Jul!C38, Aug!C38, Sep!C40)</f>
        <v>0</v>
      </c>
      <c r="D38" s="13">
        <f>SUM(Jul!D38, Aug!D38, Sep!D40)</f>
        <v>0</v>
      </c>
      <c r="E38" s="13">
        <f t="shared" si="9"/>
        <v>0</v>
      </c>
      <c r="F38" s="14" t="str">
        <f t="shared" si="10"/>
        <v/>
      </c>
      <c r="G38" s="15">
        <f>SUM(Jul!G38, Aug!G38, Sep!G40)</f>
        <v>83281.64499999999</v>
      </c>
      <c r="H38" s="15">
        <f>SUM(Jul!H38, Aug!H38, Sep!H40)</f>
        <v>-83281.64499999999</v>
      </c>
      <c r="I38" s="16">
        <f t="shared" si="11"/>
        <v>-1</v>
      </c>
    </row>
    <row r="39" spans="1:9" ht="15.75">
      <c r="A39" s="49" t="str">
        <v>Muroc Joint USD - W. Boron ES</v>
      </c>
      <c r="B39" s="17" t="str">
        <v>CA</v>
      </c>
      <c r="C39" s="11">
        <f>SUM(Jul!C39, Aug!C39, Sep!C41)</f>
        <v>55976</v>
      </c>
      <c r="D39" s="18">
        <f>SUM(Jul!D39, Aug!D39, Sep!D41)</f>
        <v>0</v>
      </c>
      <c r="E39" s="18">
        <f t="shared" si="9"/>
        <v>55976</v>
      </c>
      <c r="F39" s="19" t="str">
        <f t="shared" si="10"/>
        <v/>
      </c>
      <c r="G39" s="20">
        <f>SUM(Jul!G39, Aug!G39, Sep!G41)</f>
        <v>219061.43</v>
      </c>
      <c r="H39" s="20">
        <f>SUM(Jul!H39, Aug!H39, Sep!H41)</f>
        <v>-163085.43</v>
      </c>
      <c r="I39" s="19">
        <f t="shared" si="11"/>
        <v>-0.74447350225003095</v>
      </c>
    </row>
    <row r="40" spans="1:9" ht="15.75">
      <c r="A40" s="48" t="str">
        <v>Colusa - WTP</v>
      </c>
      <c r="B40" s="12" t="str">
        <v>CA</v>
      </c>
      <c r="C40" s="24">
        <f>SUM(Jul!C40, Aug!C40, Sep!C42)</f>
        <v>6209</v>
      </c>
      <c r="D40" s="13">
        <f>SUM(Jul!D40, Aug!D40, Sep!D42)</f>
        <v>0</v>
      </c>
      <c r="E40" s="13">
        <f t="shared" si="9"/>
        <v>6209</v>
      </c>
      <c r="F40" s="14" t="str">
        <f t="shared" si="10"/>
        <v/>
      </c>
      <c r="G40" s="67">
        <f>SUM(Jul!G40, Aug!G40, Sep!G42)</f>
        <v>67026.491999999998</v>
      </c>
      <c r="H40" s="15">
        <f>SUM(Jul!H40, Aug!H40, Sep!H42)</f>
        <v>-60817.491999999998</v>
      </c>
      <c r="I40" s="16">
        <f t="shared" si="11"/>
        <v>-0.90736498636986695</v>
      </c>
    </row>
    <row r="41" spans="1:9" ht="15.75">
      <c r="A41" s="49" t="str">
        <v>CDCR-North Kern State Prision</v>
      </c>
      <c r="B41" s="17" t="str">
        <v>CA</v>
      </c>
      <c r="C41" s="11">
        <f>SUM(Jul!C41, Aug!C41, Sep!C43)</f>
        <v>115318</v>
      </c>
      <c r="D41" s="18">
        <f>SUM(Jul!D41, Aug!D41, Sep!D43)</f>
        <v>0</v>
      </c>
      <c r="E41" s="18">
        <f t="shared" si="9"/>
        <v>115318</v>
      </c>
      <c r="F41" s="19" t="str">
        <f t="shared" si="10"/>
        <v/>
      </c>
      <c r="G41" s="20">
        <f>SUM(Jul!G41, Aug!G41, Sep!G43)</f>
        <v>268120.74</v>
      </c>
      <c r="H41" s="20">
        <f>SUM(Jul!H41, Aug!H41, Sep!H43)</f>
        <v>-152802.74000000002</v>
      </c>
      <c r="I41" s="19">
        <f t="shared" si="11"/>
        <v>-0.56990272367590822</v>
      </c>
    </row>
    <row r="42" spans="1:9" ht="15.75">
      <c r="A42" s="48" t="str">
        <v>Muroc Joint USD - District Office</v>
      </c>
      <c r="B42" s="12" t="str">
        <v>CA</v>
      </c>
      <c r="C42" s="24">
        <f>SUM(Jul!C42, Aug!C42, Sep!C44)</f>
        <v>27626</v>
      </c>
      <c r="D42" s="13">
        <f>SUM(Jul!D42, Aug!D42, Sep!D44)</f>
        <v>0</v>
      </c>
      <c r="E42" s="13">
        <f t="shared" si="9"/>
        <v>27626</v>
      </c>
      <c r="F42" s="14" t="str">
        <f t="shared" si="10"/>
        <v/>
      </c>
      <c r="G42" s="15">
        <f>SUM(Jul!G42, Aug!G42, Sep!G42)</f>
        <v>18999.300000000003</v>
      </c>
      <c r="H42" s="15">
        <f>SUM(Jul!H42, Aug!H42, Sep!H44)</f>
        <v>-16429.87</v>
      </c>
      <c r="I42" s="16">
        <f t="shared" si="11"/>
        <v>-0.86476185964746055</v>
      </c>
    </row>
    <row r="43" spans="1:9" ht="15.75">
      <c r="A43" s="49" t="str">
        <v>Whole Foods - Manhattan Beach</v>
      </c>
      <c r="B43" s="17" t="str">
        <v>CA</v>
      </c>
      <c r="C43" s="11">
        <f>SUM(Jul!C43, Aug!C43, Sep!C45)</f>
        <v>25736</v>
      </c>
      <c r="D43" s="18">
        <f>SUM(Jul!D43, Aug!D43, Sep!D45)</f>
        <v>0</v>
      </c>
      <c r="E43" s="18">
        <f t="shared" si="9"/>
        <v>25736</v>
      </c>
      <c r="F43" s="19" t="str">
        <f t="shared" si="10"/>
        <v/>
      </c>
      <c r="G43" s="20">
        <f>SUM(Jul!G43, Aug!G43, Sep!G45)</f>
        <v>56802.06</v>
      </c>
      <c r="H43" s="20">
        <f>SUM(Jul!H43, Aug!H43, Sep!H45)</f>
        <v>-31066.059999999998</v>
      </c>
      <c r="I43" s="19">
        <f t="shared" si="11"/>
        <v>-0.54691784065577898</v>
      </c>
    </row>
    <row r="44" spans="1:9" ht="15.75">
      <c r="A44" s="48" t="str">
        <v>Pioneer USD - Frontier ES</v>
      </c>
      <c r="B44" s="12" t="str">
        <v>CA</v>
      </c>
      <c r="C44" s="24">
        <f>SUM(Jul!C44, Aug!C44, Sep!C46)</f>
        <v>62418</v>
      </c>
      <c r="D44" s="13">
        <f>SUM(Jul!D44, Aug!D44, Sep!D46)</f>
        <v>0</v>
      </c>
      <c r="E44" s="13">
        <f t="shared" si="9"/>
        <v>62418</v>
      </c>
      <c r="F44" s="14" t="str">
        <f t="shared" si="10"/>
        <v/>
      </c>
      <c r="G44" s="15">
        <f>SUM(Jul!G44, Aug!G44, Sep!G46)</f>
        <v>85791.1</v>
      </c>
      <c r="H44" s="15">
        <f>SUM(Jul!H44, Aug!H44, Sep!H46)</f>
        <v>-23373.1</v>
      </c>
      <c r="I44" s="16">
        <f t="shared" si="11"/>
        <v>-0.27244201321582306</v>
      </c>
    </row>
    <row r="45" spans="1:9" ht="15.75">
      <c r="A45" s="49" t="str">
        <v>Pioneer USD - Pioneer ES</v>
      </c>
      <c r="B45" s="17" t="str">
        <v>CA</v>
      </c>
      <c r="C45" s="11">
        <f>SUM(Jul!C45, Aug!C45, Sep!C47)</f>
        <v>40097</v>
      </c>
      <c r="D45" s="18">
        <f>SUM(Jul!D45, Aug!D45, Sep!D47)</f>
        <v>0</v>
      </c>
      <c r="E45" s="18">
        <f t="shared" si="9"/>
        <v>40097</v>
      </c>
      <c r="F45" s="19" t="str">
        <f t="shared" si="10"/>
        <v/>
      </c>
      <c r="G45" s="20">
        <f>SUM(Jul!G45, Aug!G45, Sep!G47)</f>
        <v>122838.06</v>
      </c>
      <c r="H45" s="20">
        <f>SUM(Jul!H45, Aug!H45, Sep!H47)</f>
        <v>-82741.06</v>
      </c>
      <c r="I45" s="19">
        <f t="shared" si="11"/>
        <v>-0.67357836813769278</v>
      </c>
    </row>
    <row r="46" spans="1:9" ht="15.75">
      <c r="A46" s="48" t="str">
        <v>Pioneer USD - Pioneer MS</v>
      </c>
      <c r="B46" s="12" t="str">
        <v>CA</v>
      </c>
      <c r="C46" s="24">
        <f>SUM(Jul!C46, Aug!C46, Sep!C48)</f>
        <v>566970</v>
      </c>
      <c r="D46" s="13">
        <f>SUM(Jul!D46, Aug!D46, Sep!D48)</f>
        <v>0</v>
      </c>
      <c r="E46" s="13">
        <f t="shared" si="9"/>
        <v>566970</v>
      </c>
      <c r="F46" s="14" t="str">
        <f t="shared" si="10"/>
        <v/>
      </c>
      <c r="G46" s="15">
        <f>SUM(Jul!G46, Aug!G46, Sep!G48)</f>
        <v>776756.61</v>
      </c>
      <c r="H46" s="15">
        <f>SUM(Jul!H46, Aug!H46, Sep!H48)</f>
        <v>-209786.61</v>
      </c>
      <c r="I46" s="16">
        <f t="shared" si="11"/>
        <v>-0.27008023787528501</v>
      </c>
    </row>
    <row r="47" spans="1:9" ht="15.75">
      <c r="A47" s="49" t="str">
        <v>Kingsburg Joint UHSD - Kingsburg HS</v>
      </c>
      <c r="B47" s="17" t="str">
        <v>CA</v>
      </c>
      <c r="C47" s="11">
        <f>SUM(Jul!C47, Aug!C47, Sep!C49)</f>
        <v>315975</v>
      </c>
      <c r="D47" s="18">
        <f>SUM(Jul!D47, Aug!D47, Sep!D49)</f>
        <v>0</v>
      </c>
      <c r="E47" s="18">
        <f t="shared" si="9"/>
        <v>315975</v>
      </c>
      <c r="F47" s="19" t="str">
        <f t="shared" si="10"/>
        <v/>
      </c>
      <c r="G47" s="20">
        <f>SUM(Jul!G47, Aug!G47, Sep!G49)</f>
        <v>523598.04</v>
      </c>
      <c r="H47" s="20">
        <f>SUM(Jul!H47, Aug!H47, Sep!H49)</f>
        <v>-207623.03999999998</v>
      </c>
      <c r="I47" s="19">
        <f t="shared" si="11"/>
        <v>-0.39653135447183874</v>
      </c>
    </row>
    <row r="48" spans="1:9" ht="15.75">
      <c r="A48" s="48" t="str">
        <v>CADRB</v>
      </c>
      <c r="B48" s="12" t="str">
        <v>CA</v>
      </c>
      <c r="C48" s="24">
        <f>SUM(Jul!C48, Aug!C48, Sep!C50)</f>
        <v>675556</v>
      </c>
      <c r="D48" s="13">
        <f>SUM(Jul!D48, Aug!D48, Sep!D50)</f>
        <v>0</v>
      </c>
      <c r="E48" s="13">
        <f t="shared" si="9"/>
        <v>675556</v>
      </c>
      <c r="F48" s="14" t="str">
        <f t="shared" si="10"/>
        <v/>
      </c>
      <c r="G48" s="15">
        <f>SUM(Jul!G48, Aug!G48, Sep!G48)</f>
        <v>1562309</v>
      </c>
      <c r="H48" s="15">
        <f>SUM(Jul!H48, Aug!H48, Sep!H50)</f>
        <v>-196748.68</v>
      </c>
      <c r="I48" s="16">
        <f t="shared" si="11"/>
        <v>-0.12593454943932345</v>
      </c>
    </row>
    <row r="49" spans="1:9" ht="15.75">
      <c r="A49" s="49" t="str">
        <v>CDCR-CA State Prison LA County</v>
      </c>
      <c r="B49" s="17" t="str">
        <v>CA</v>
      </c>
      <c r="C49" s="11">
        <f>SUM(Jul!C49, Aug!C49, Sep!C51)</f>
        <v>326177</v>
      </c>
      <c r="D49" s="18">
        <f>SUM(Jul!D49, Aug!D49, Sep!D51)</f>
        <v>0</v>
      </c>
      <c r="E49" s="18">
        <f t="shared" si="9"/>
        <v>326177</v>
      </c>
      <c r="F49" s="19" t="str">
        <f t="shared" si="10"/>
        <v/>
      </c>
      <c r="G49" s="20">
        <f>SUM(Jul!G49, Aug!G49, Sep!G51)</f>
        <v>539643.28</v>
      </c>
      <c r="H49" s="20">
        <f>SUM(Jul!H49, Aug!H49, Sep!H51)</f>
        <v>-213466.28</v>
      </c>
      <c r="I49" s="19">
        <f t="shared" si="11"/>
        <v>-0.3955692360331069</v>
      </c>
    </row>
    <row r="50" spans="1:9" ht="15.75">
      <c r="A50" s="48" t="str">
        <v>Central USD Akers ES</v>
      </c>
      <c r="B50" s="12" t="str">
        <v>CA</v>
      </c>
      <c r="C50" s="24">
        <f>SUM(Jul!C50, Aug!C50, Sep!C52)</f>
        <v>56703</v>
      </c>
      <c r="D50" s="13">
        <f>SUM(Jul!D50, Aug!D50, Sep!D52)</f>
        <v>0</v>
      </c>
      <c r="E50" s="13">
        <f t="shared" si="9"/>
        <v>56703</v>
      </c>
      <c r="F50" s="14" t="str">
        <f t="shared" si="10"/>
        <v/>
      </c>
      <c r="G50" s="15">
        <f>SUM(Jul!G50, Aug!G50, Sep!G52)</f>
        <v>120272.57</v>
      </c>
      <c r="H50" s="15">
        <f>SUM(Jul!H50, Aug!H50, Sep!H52)</f>
        <v>-63569.570000000007</v>
      </c>
      <c r="I50" s="16">
        <f t="shared" si="11"/>
        <v>-0.52854586877124188</v>
      </c>
    </row>
    <row r="51" spans="1:9" ht="15.75">
      <c r="A51" s="49" t="str">
        <v>CUSD - District Office</v>
      </c>
      <c r="B51" s="17" t="str">
        <v>CA</v>
      </c>
      <c r="C51" s="11">
        <f>SUM(Jul!C51, Aug!C51, Sep!C53)</f>
        <v>61481</v>
      </c>
      <c r="D51" s="18">
        <f>SUM(Jul!D51, Aug!D51, Sep!D53)</f>
        <v>0</v>
      </c>
      <c r="E51" s="18">
        <f t="shared" si="9"/>
        <v>61481</v>
      </c>
      <c r="F51" s="19" t="str">
        <f t="shared" si="10"/>
        <v/>
      </c>
      <c r="G51" s="20">
        <f>SUM(Jul!G51, Aug!G51, Sep!G53)</f>
        <v>72011.51999999999</v>
      </c>
      <c r="H51" s="20">
        <f>SUM(Jul!H51, Aug!H51, Sep!H53)</f>
        <v>-10530.519999999997</v>
      </c>
      <c r="I51" s="19">
        <f t="shared" si="11"/>
        <v>-0.14623382481025257</v>
      </c>
    </row>
    <row r="52" spans="1:9" ht="15.75">
      <c r="A52" s="48" t="str">
        <v>Parlier - WTP</v>
      </c>
      <c r="B52" s="12" t="str">
        <v>CA</v>
      </c>
      <c r="C52" s="24">
        <f>SUM(Jul!C52, Aug!C52, Sep!C54)</f>
        <v>72797</v>
      </c>
      <c r="D52" s="13">
        <f>SUM(Jul!D52, Aug!D52, Sep!D54)</f>
        <v>0</v>
      </c>
      <c r="E52" s="13">
        <f t="shared" si="9"/>
        <v>72797</v>
      </c>
      <c r="F52" s="14" t="str">
        <f t="shared" si="10"/>
        <v/>
      </c>
      <c r="G52" s="15">
        <f>SUM(Jul!G52, Aug!G52, Sep!G54)</f>
        <v>150939</v>
      </c>
      <c r="H52" s="15">
        <f>SUM(Jul!H52, Aug!H52, Sep!H54)</f>
        <v>-78142</v>
      </c>
      <c r="I52" s="16">
        <f t="shared" si="11"/>
        <v>-0.51770582818224575</v>
      </c>
    </row>
    <row r="53" spans="1:9" ht="15.75">
      <c r="A53" s="49" t="str">
        <v>Snowline SD - Quail Valley MS</v>
      </c>
      <c r="B53" s="17" t="str">
        <v>CA</v>
      </c>
      <c r="C53" s="11">
        <f>SUM(Jul!C53, Aug!C53, Sep!C55)</f>
        <v>55751</v>
      </c>
      <c r="D53" s="18">
        <f>SUM(Jul!D53, Aug!D53, Sep!D55)</f>
        <v>0</v>
      </c>
      <c r="E53" s="18">
        <f t="shared" si="9"/>
        <v>55751</v>
      </c>
      <c r="F53" s="19" t="str">
        <f t="shared" si="10"/>
        <v/>
      </c>
      <c r="G53" s="20">
        <f>SUM(Jul!G53, Aug!G53, Sep!G55)</f>
        <v>69047.26999999999</v>
      </c>
      <c r="H53" s="20">
        <f>SUM(Jul!H53, Aug!H53, Sep!H55)</f>
        <v>-13296.269999999997</v>
      </c>
      <c r="I53" s="19">
        <f t="shared" si="11"/>
        <v>-0.19256764242815103</v>
      </c>
    </row>
    <row r="54" spans="1:9" ht="15.75">
      <c r="A54" s="48" t="str">
        <v>Snowline SD - Serrano HS - Middle Lot</v>
      </c>
      <c r="B54" s="12" t="str">
        <v>CA</v>
      </c>
      <c r="C54" s="24">
        <f>SUM(Jul!C54, Aug!C54, Sep!C56)</f>
        <v>57478</v>
      </c>
      <c r="D54" s="13">
        <f>SUM(Jul!D54, Aug!D54, Sep!D56)</f>
        <v>0</v>
      </c>
      <c r="E54" s="13">
        <f t="shared" si="9"/>
        <v>57478</v>
      </c>
      <c r="F54" s="14" t="str">
        <f t="shared" si="10"/>
        <v/>
      </c>
      <c r="G54" s="15">
        <f>SUM(Jul!G54, Aug!G54, Sep!G56)</f>
        <v>129698.39</v>
      </c>
      <c r="H54" s="15">
        <f>SUM(Jul!H54, Aug!H54, Sep!H56)</f>
        <v>-72220.39</v>
      </c>
      <c r="I54" s="16">
        <f t="shared" si="11"/>
        <v>-0.55683335776180409</v>
      </c>
    </row>
    <row r="55" spans="1:9" ht="15.75">
      <c r="A55" s="49" t="str">
        <v>Snowline SD - Pinon Hills ES</v>
      </c>
      <c r="B55" s="17" t="str">
        <v>CA</v>
      </c>
      <c r="C55" s="11">
        <f>SUM(Jul!C55, Aug!C55, Sep!C57)</f>
        <v>37782</v>
      </c>
      <c r="D55" s="18">
        <f>SUM(Jul!D55, Aug!D55, Sep!D57)</f>
        <v>0</v>
      </c>
      <c r="E55" s="18">
        <f t="shared" si="9"/>
        <v>37782</v>
      </c>
      <c r="F55" s="19" t="str">
        <f t="shared" si="10"/>
        <v/>
      </c>
      <c r="G55" s="20">
        <f>SUM(Jul!G55, Aug!G55, Sep!G57)</f>
        <v>54840.009999999995</v>
      </c>
      <c r="H55" s="20">
        <f>SUM(Jul!H55, Aug!H55, Sep!H57)</f>
        <v>-17058.009999999998</v>
      </c>
      <c r="I55" s="19">
        <f t="shared" si="11"/>
        <v>-0.31105045385659119</v>
      </c>
    </row>
    <row r="56" spans="1:9" ht="15.75">
      <c r="A56" s="48" t="str">
        <v>Ramona - Santa Maria WTP</v>
      </c>
      <c r="B56" s="12" t="str">
        <v>CA</v>
      </c>
      <c r="C56" s="24">
        <f>SUM(Jul!C56, Aug!C56, Sep!C58)</f>
        <v>106984</v>
      </c>
      <c r="D56" s="13">
        <f>SUM(Jul!D56, Aug!D56, Sep!D58)</f>
        <v>0</v>
      </c>
      <c r="E56" s="13">
        <f t="shared" si="9"/>
        <v>106984</v>
      </c>
      <c r="F56" s="14" t="str">
        <f t="shared" si="10"/>
        <v/>
      </c>
      <c r="G56" s="15">
        <f>SUM(Jul!G56, Aug!G56, Sep!G58)</f>
        <v>128509.88</v>
      </c>
      <c r="H56" s="15">
        <f>SUM(Jul!H56, Aug!H56, Sep!H58)</f>
        <v>-21525.879999999997</v>
      </c>
      <c r="I56" s="16">
        <f t="shared" si="11"/>
        <v>-0.16750369699201334</v>
      </c>
    </row>
    <row r="57" spans="1:9" ht="15.75">
      <c r="A57" s="49" t="str">
        <v>Kohls - Redding</v>
      </c>
      <c r="B57" s="17" t="str">
        <v>CA</v>
      </c>
      <c r="C57" s="11">
        <f>SUM(Jul!C57, Aug!C57, Sep!C59)</f>
        <v>130134</v>
      </c>
      <c r="D57" s="18">
        <f>SUM(Jul!D57, Aug!D57, Sep!D59)</f>
        <v>0</v>
      </c>
      <c r="E57" s="18">
        <f t="shared" si="9"/>
        <v>130134</v>
      </c>
      <c r="F57" s="19" t="str">
        <f t="shared" si="10"/>
        <v/>
      </c>
      <c r="G57" s="20">
        <f>SUM(Jul!G57, Aug!G57, Sep!G59)</f>
        <v>175043.47</v>
      </c>
      <c r="H57" s="20">
        <f>SUM(Jul!H57, Aug!H57, Sep!H59)</f>
        <v>-44909.47</v>
      </c>
      <c r="I57" s="19">
        <f t="shared" si="11"/>
        <v>-0.25656181290281782</v>
      </c>
    </row>
    <row r="58" spans="1:9" ht="15.75">
      <c r="A58" s="48" t="str">
        <v>Kohls - Salinas</v>
      </c>
      <c r="B58" s="12" t="str">
        <v>CA</v>
      </c>
      <c r="C58" s="24">
        <f>SUM(Jul!C58, Aug!C58, Sep!C60)</f>
        <v>68406</v>
      </c>
      <c r="D58" s="13">
        <f>SUM(Jul!D58, Aug!D58, Sep!D60)</f>
        <v>0</v>
      </c>
      <c r="E58" s="13">
        <f t="shared" si="9"/>
        <v>68406</v>
      </c>
      <c r="F58" s="14" t="str">
        <f t="shared" si="10"/>
        <v/>
      </c>
      <c r="G58" s="15">
        <f>SUM(Jul!G58, Aug!G58, Sep!G58)</f>
        <v>93085.670000000013</v>
      </c>
      <c r="H58" s="15">
        <f>SUM(Jul!H58, Aug!H58, Sep!H60)</f>
        <v>-11496.100000000002</v>
      </c>
      <c r="I58" s="16">
        <f t="shared" si="11"/>
        <v>-0.12350021222385787</v>
      </c>
    </row>
    <row r="59" spans="1:9" ht="15.75">
      <c r="A59" s="49" t="str">
        <v>Kohls - San Bernardino - Central</v>
      </c>
      <c r="B59" s="17" t="str">
        <v>CA</v>
      </c>
      <c r="C59" s="11">
        <f>SUM(Jul!C59, Aug!C59, Sep!C61)</f>
        <v>154269</v>
      </c>
      <c r="D59" s="18">
        <f>SUM(Jul!D59, Aug!D59, Sep!D61)</f>
        <v>0</v>
      </c>
      <c r="E59" s="18">
        <f t="shared" si="9"/>
        <v>154269</v>
      </c>
      <c r="F59" s="19" t="str">
        <f t="shared" si="10"/>
        <v/>
      </c>
      <c r="G59" s="20">
        <f>SUM(Jul!G59, Aug!G59, Sep!G61)</f>
        <v>181797.61</v>
      </c>
      <c r="H59" s="20">
        <f>SUM(Jul!H59, Aug!H59, Sep!H61)</f>
        <v>-27528.609999999993</v>
      </c>
      <c r="I59" s="19">
        <f t="shared" si="11"/>
        <v>-0.1514244879236861</v>
      </c>
    </row>
    <row r="60" spans="1:9" ht="15.75">
      <c r="A60" s="48" t="str">
        <v>Kohls - Sonora</v>
      </c>
      <c r="B60" s="12" t="str">
        <v>CA</v>
      </c>
      <c r="C60" s="24">
        <f>SUM(Jul!C60, Aug!C60, Sep!C62)</f>
        <v>37763</v>
      </c>
      <c r="D60" s="13">
        <f>SUM(Jul!D60, Aug!D60, Sep!D62)</f>
        <v>0</v>
      </c>
      <c r="E60" s="13">
        <f t="shared" si="9"/>
        <v>37763</v>
      </c>
      <c r="F60" s="14" t="str">
        <f t="shared" si="10"/>
        <v/>
      </c>
      <c r="G60" s="15">
        <f>SUM(Jul!G60, Aug!G60, Sep!G60)</f>
        <v>64840.100000000006</v>
      </c>
      <c r="H60" s="15">
        <f>SUM(Jul!H60, Aug!H60, Sep!H62)</f>
        <v>-6717.7700000000023</v>
      </c>
      <c r="I60" s="16">
        <f t="shared" si="11"/>
        <v>-0.10360517642631646</v>
      </c>
    </row>
    <row r="61" spans="1:9" ht="15.75">
      <c r="A61" s="49" t="str">
        <v>CUSD - Stratford ES</v>
      </c>
      <c r="B61" s="17" t="str">
        <v>CA</v>
      </c>
      <c r="C61" s="11">
        <f>SUM(Jul!C61, Aug!C61, Sep!C63)</f>
        <v>29429</v>
      </c>
      <c r="D61" s="18">
        <f>SUM(Jul!D61, Aug!D61, Sep!D63)</f>
        <v>0</v>
      </c>
      <c r="E61" s="18">
        <f t="shared" si="9"/>
        <v>29429</v>
      </c>
      <c r="F61" s="19" t="str">
        <f t="shared" si="10"/>
        <v/>
      </c>
      <c r="G61" s="20">
        <f>SUM(Jul!G61, Aug!G61, Sep!G63)</f>
        <v>39773.879999999997</v>
      </c>
      <c r="H61" s="20">
        <f>SUM(Jul!H61, Aug!H61, Sep!H63)</f>
        <v>-10344.879999999999</v>
      </c>
      <c r="I61" s="19">
        <f t="shared" si="11"/>
        <v>-0.26009230178197351</v>
      </c>
    </row>
    <row r="62" spans="1:9" ht="15.75">
      <c r="A62" s="48" t="str">
        <v>Taft - City Hall</v>
      </c>
      <c r="B62" s="12" t="str">
        <v>CA</v>
      </c>
      <c r="C62" s="24">
        <f>SUM(Jul!C62, Aug!C62, Sep!C64)</f>
        <v>19119</v>
      </c>
      <c r="D62" s="13">
        <f>SUM(Jul!D62, Aug!D62, Sep!D64)</f>
        <v>0</v>
      </c>
      <c r="E62" s="13">
        <f t="shared" si="9"/>
        <v>19119</v>
      </c>
      <c r="F62" s="14" t="str">
        <f t="shared" si="10"/>
        <v/>
      </c>
      <c r="G62" s="15">
        <f>SUM(Jul!G62, Aug!G62, Sep!G62)</f>
        <v>20238.059999999998</v>
      </c>
      <c r="H62" s="15">
        <f>SUM(Jul!H62, Aug!H62, Sep!H64)</f>
        <v>-2460.1099999999988</v>
      </c>
      <c r="I62" s="16">
        <f t="shared" si="11"/>
        <v>-0.12155858812554163</v>
      </c>
    </row>
    <row r="63" spans="1:9" ht="15.75">
      <c r="A63" s="49" t="str">
        <v>Taft - Federal Prison</v>
      </c>
      <c r="B63" s="17" t="str">
        <v>CA</v>
      </c>
      <c r="C63" s="11">
        <f>SUM(Jul!C63, Aug!C63, Sep!C65)</f>
        <v>8481</v>
      </c>
      <c r="D63" s="18">
        <f>SUM(Jul!D63, Aug!D63, Sep!D65)</f>
        <v>0</v>
      </c>
      <c r="E63" s="18">
        <f t="shared" si="9"/>
        <v>8481</v>
      </c>
      <c r="F63" s="19" t="str">
        <f t="shared" si="10"/>
        <v/>
      </c>
      <c r="G63" s="20">
        <f>SUM(Jul!G63, Aug!G63, Sep!G65)</f>
        <v>85269.87</v>
      </c>
      <c r="H63" s="20">
        <f>SUM(Jul!H63, Aug!H63, Sep!H65)</f>
        <v>-76788.87</v>
      </c>
      <c r="I63" s="19">
        <f t="shared" si="11"/>
        <v>-0.90053931124792375</v>
      </c>
    </row>
    <row r="64" spans="1:9" ht="15.75">
      <c r="A64" s="48" t="str">
        <v>Taft - Police Department</v>
      </c>
      <c r="B64" s="12" t="str">
        <v>CA</v>
      </c>
      <c r="C64" s="24">
        <f>SUM(Jul!C64, Aug!C64, Sep!C66)</f>
        <v>124962</v>
      </c>
      <c r="D64" s="13">
        <f>SUM(Jul!D64, Aug!D64, Sep!D66)</f>
        <v>0</v>
      </c>
      <c r="E64" s="13">
        <f t="shared" si="9"/>
        <v>124962</v>
      </c>
      <c r="F64" s="14" t="str">
        <f t="shared" si="10"/>
        <v/>
      </c>
      <c r="G64" s="15">
        <f>SUM(Jul!G64, Aug!G64, Sep!G64)</f>
        <v>23149.03</v>
      </c>
      <c r="H64" s="15">
        <f>SUM(Jul!H64, Aug!H64, Sep!H66)</f>
        <v>-95635.41</v>
      </c>
      <c r="I64" s="16">
        <f t="shared" si="11"/>
        <v>-4.1312923262875385</v>
      </c>
    </row>
    <row r="65" spans="1:9" ht="15.75">
      <c r="A65" s="49" t="str">
        <v>Taft - WTP</v>
      </c>
      <c r="B65" s="17" t="str">
        <v>CA</v>
      </c>
      <c r="C65" s="11">
        <f>SUM(Jul!C65, Aug!C65, Sep!C67)</f>
        <v>110217</v>
      </c>
      <c r="D65" s="18">
        <f>SUM(Jul!D65, Aug!D65, Sep!D67)</f>
        <v>0</v>
      </c>
      <c r="E65" s="18">
        <f t="shared" si="9"/>
        <v>110217</v>
      </c>
      <c r="F65" s="19" t="str">
        <f t="shared" si="10"/>
        <v/>
      </c>
      <c r="G65" s="20">
        <f>SUM(Jul!G65, Aug!G65, Sep!G67)</f>
        <v>336377.28100000002</v>
      </c>
      <c r="H65" s="20">
        <f>SUM(Jul!H65, Aug!H65, Sep!H67)</f>
        <v>-226160.28100000002</v>
      </c>
      <c r="I65" s="19">
        <f t="shared" si="11"/>
        <v>-0.67234112936420343</v>
      </c>
    </row>
    <row r="66" spans="1:9" ht="15.75">
      <c r="A66" s="48" t="str">
        <v>CDCR - CA Correctional Institution</v>
      </c>
      <c r="B66" s="12" t="str">
        <v>CA</v>
      </c>
      <c r="C66" s="24">
        <f>SUM(Jul!C66, Aug!C66, Sep!C68)</f>
        <v>33852</v>
      </c>
      <c r="D66" s="13">
        <f>SUM(Jul!D66, Aug!D66, Sep!D68)</f>
        <v>0</v>
      </c>
      <c r="E66" s="13">
        <f t="shared" si="9"/>
        <v>33852</v>
      </c>
      <c r="F66" s="14" t="str">
        <f t="shared" si="10"/>
        <v/>
      </c>
      <c r="G66" s="15">
        <f>SUM(Jul!G66, Aug!G66, Sep!G66)</f>
        <v>234303.46000000002</v>
      </c>
      <c r="H66" s="15">
        <f>SUM(Jul!H66, Aug!H66, Sep!H68)</f>
        <v>-20404.5</v>
      </c>
      <c r="I66" s="16">
        <f t="shared" si="11"/>
        <v>-8.7085781831817588E-2</v>
      </c>
    </row>
    <row r="67" spans="1:9" ht="15.75">
      <c r="A67" s="49" t="str">
        <v>CDCR - CA Correctional Institution II</v>
      </c>
      <c r="B67" s="17" t="str">
        <v>CA</v>
      </c>
      <c r="C67" s="11">
        <f>SUM(Jul!C67, Aug!C67, Sep!C69)</f>
        <v>81731</v>
      </c>
      <c r="D67" s="18">
        <f>SUM(Jul!D67, Aug!D67, Sep!D69)</f>
        <v>0</v>
      </c>
      <c r="E67" s="18">
        <f t="shared" si="9"/>
        <v>81731</v>
      </c>
      <c r="F67" s="19" t="str">
        <f t="shared" si="10"/>
        <v/>
      </c>
      <c r="G67" s="20">
        <f>SUM(Jul!G67, Aug!G67, Sep!G69)</f>
        <v>390993</v>
      </c>
      <c r="H67" s="20">
        <f>SUM(Jul!H67, Aug!H67, Sep!H69)</f>
        <v>-309262</v>
      </c>
      <c r="I67" s="19">
        <f t="shared" si="11"/>
        <v>-0.79096556715849131</v>
      </c>
    </row>
    <row r="68" spans="1:9" ht="15.75">
      <c r="A68" s="48" t="str">
        <v>Snowline SD - Vista Verde ES</v>
      </c>
      <c r="B68" s="12" t="str">
        <v>CA</v>
      </c>
      <c r="C68" s="24">
        <f>SUM(Jul!C68, Aug!C68, Sep!C70)</f>
        <v>33695</v>
      </c>
      <c r="D68" s="13">
        <f>SUM(Jul!D68, Aug!D68, Sep!D70)</f>
        <v>0</v>
      </c>
      <c r="E68" s="13">
        <f t="shared" si="9"/>
        <v>33695</v>
      </c>
      <c r="F68" s="14" t="str">
        <f t="shared" si="10"/>
        <v/>
      </c>
      <c r="G68" s="15">
        <f>SUM(Jul!G68, Aug!G68, Sep!G68)</f>
        <v>61955.839999999997</v>
      </c>
      <c r="H68" s="15">
        <f>SUM(Jul!H68, Aug!H68, Sep!H70)</f>
        <v>-210.04000000000087</v>
      </c>
      <c r="I68" s="16">
        <f t="shared" si="11"/>
        <v>-3.3901566018635352E-3</v>
      </c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xSplit="2" ySplit="3" topLeftCell="C45" activePane="bottomRight" state="frozen"/>
      <selection pane="bottomRight" activeCell="C68" sqref="C68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9" t="str" cm="1">
        <f t="array" ref="A1">portfolio</f>
        <v>Silicon Ranch</v>
      </c>
      <c r="B1" s="99"/>
      <c r="C1" s="99"/>
      <c r="D1" s="100" t="s">
        <v>16</v>
      </c>
      <c r="E1" s="100"/>
      <c r="F1" s="100"/>
      <c r="G1" s="98" t="s">
        <v>17</v>
      </c>
      <c r="H1" s="98"/>
      <c r="I1" s="98"/>
    </row>
    <row r="2" spans="1:9" ht="19.5" customHeight="1">
      <c r="A2" s="101" t="s">
        <v>2</v>
      </c>
      <c r="B2" s="101"/>
      <c r="C2" s="5">
        <f>SUM(C4:C100)</f>
        <v>4971473.4000000004</v>
      </c>
      <c r="D2" s="5">
        <f>SUM(D4:D100)</f>
        <v>0</v>
      </c>
      <c r="E2" s="5">
        <f>C2-D2</f>
        <v>4971473.4000000004</v>
      </c>
      <c r="F2" s="6">
        <f>IFERROR(E2/D2, 0)</f>
        <v>0</v>
      </c>
      <c r="G2" s="5">
        <f>SUM(G4:G100)</f>
        <v>8344328.1130000008</v>
      </c>
      <c r="H2" s="7">
        <f>C2-G2</f>
        <v>-3372854.7130000005</v>
      </c>
      <c r="I2" s="6">
        <f>IFERROR(H2/G2, 0)</f>
        <v>-0.40420926254628936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8" t="str" cm="1">
        <f t="array" ref="A4:A68">Sites[Site]</f>
        <v>Iron Mountain - Windsor</v>
      </c>
      <c r="B4" s="9" t="str" cm="1">
        <f t="array" ref="B4:B68">Sites[State]</f>
        <v>CT</v>
      </c>
      <c r="C4" s="24">
        <f>SUM(Oct!C4, Nov!C4, Dec!C4)</f>
        <v>51690</v>
      </c>
      <c r="D4" s="13">
        <f>SUM(Oct!D4, Nov!D4, Dec!D4)</f>
        <v>0</v>
      </c>
      <c r="E4" s="13">
        <f>IF(AND(ISNUMBER(C4),ISNUMBER(D4)), C4-D4, "")</f>
        <v>51690</v>
      </c>
      <c r="F4" s="14" t="str">
        <f>IFERROR(E4/D4, "")</f>
        <v/>
      </c>
      <c r="G4" s="15">
        <f>SUM(Oct!G4,Nov!G4,Dec!G4)</f>
        <v>44699.090000000004</v>
      </c>
      <c r="H4" s="15">
        <f>SUM(Oct!H4, Nov!H4, Dec!H4)</f>
        <v>6990.91</v>
      </c>
      <c r="I4" s="16">
        <f>IFERROR(H4/G4, "")</f>
        <v>0.15639938083750696</v>
      </c>
    </row>
    <row r="5" spans="1:9" ht="15.75">
      <c r="A5" s="49" t="str">
        <v>Kohls - Auburn</v>
      </c>
      <c r="B5" s="10" t="str">
        <v>NY</v>
      </c>
      <c r="C5" s="11">
        <f>SUM(Oct!C5, Nov!C5, Dec!C5)</f>
        <v>46642</v>
      </c>
      <c r="D5" s="18">
        <f>SUM(Oct!D5, Nov!D5, Dec!D5)</f>
        <v>0</v>
      </c>
      <c r="E5" s="18">
        <f t="shared" ref="E5:E15" si="0">IF(AND(ISNUMBER(C5),ISNUMBER(D5)), C5-D5, "")</f>
        <v>46642</v>
      </c>
      <c r="F5" s="19" t="str">
        <f>IFERROR(E5/D5, "")</f>
        <v/>
      </c>
      <c r="G5" s="65">
        <f>SUM(Oct!G5,Nov!G5,Dec!G5)</f>
        <v>42246.11</v>
      </c>
      <c r="H5" s="20">
        <f>SUM(Oct!H5, Nov!H5, Dec!H5)</f>
        <v>4395.8899999999994</v>
      </c>
      <c r="I5" s="19">
        <f>IFERROR(H5/G5, "")</f>
        <v>0.10405431411318106</v>
      </c>
    </row>
    <row r="6" spans="1:9" ht="15.75">
      <c r="A6" s="48" t="str">
        <v>Kohls - Bensalem</v>
      </c>
      <c r="B6" s="9" t="str">
        <v>PA</v>
      </c>
      <c r="C6" s="24">
        <f>SUM(Oct!C6, Nov!C6, Dec!C6)</f>
        <v>68687</v>
      </c>
      <c r="D6" s="13">
        <f>SUM(Oct!D6, Nov!D6, Dec!D6)</f>
        <v>0</v>
      </c>
      <c r="E6" s="13">
        <f t="shared" si="0"/>
        <v>68687</v>
      </c>
      <c r="F6" s="14" t="str">
        <f t="shared" ref="F6:F15" si="1">IFERROR(E6/D6, "")</f>
        <v/>
      </c>
      <c r="G6" s="15">
        <f>SUM(Oct!G6,Nov!G6,Dec!G6)</f>
        <v>54322.650000000009</v>
      </c>
      <c r="H6" s="15">
        <f>SUM(Oct!H6, Nov!H6, Dec!H6)</f>
        <v>14364.349999999999</v>
      </c>
      <c r="I6" s="16">
        <f t="shared" ref="I6:I15" si="2">IFERROR(H6/G6, "")</f>
        <v>0.26442653294712237</v>
      </c>
    </row>
    <row r="7" spans="1:9" ht="15.75">
      <c r="A7" s="49" t="str">
        <v>Kohls - Brick</v>
      </c>
      <c r="B7" s="10" t="str">
        <v>NJ</v>
      </c>
      <c r="C7" s="11">
        <f>SUM(Oct!C7, Nov!C7, Dec!C7)</f>
        <v>84139</v>
      </c>
      <c r="D7" s="18">
        <f>SUM(Oct!D7, Nov!D7, Dec!D7)</f>
        <v>0</v>
      </c>
      <c r="E7" s="18">
        <f t="shared" si="0"/>
        <v>84139</v>
      </c>
      <c r="F7" s="19" t="str">
        <f t="shared" si="1"/>
        <v/>
      </c>
      <c r="G7" s="20">
        <f>SUM(Oct!G7,Nov!G7,Dec!G7)</f>
        <v>66618.69</v>
      </c>
      <c r="H7" s="20">
        <f>SUM(Oct!H7, Nov!H7, Dec!H7)</f>
        <v>17520.310000000001</v>
      </c>
      <c r="I7" s="19">
        <f t="shared" si="2"/>
        <v>0.26299391356990059</v>
      </c>
    </row>
    <row r="8" spans="1:9" ht="15.75">
      <c r="A8" s="48" t="str">
        <v>Kohls - Buffalo</v>
      </c>
      <c r="B8" s="9" t="str">
        <v>NY</v>
      </c>
      <c r="C8" s="24">
        <f>SUM(Oct!C8, Nov!C8, Dec!C8)</f>
        <v>51807</v>
      </c>
      <c r="D8" s="13">
        <f>SUM(Oct!D8, Nov!D8, Dec!D8)</f>
        <v>0</v>
      </c>
      <c r="E8" s="13">
        <f t="shared" si="0"/>
        <v>51807</v>
      </c>
      <c r="F8" s="14" t="str">
        <f t="shared" si="1"/>
        <v/>
      </c>
      <c r="G8" s="15">
        <f>SUM(Oct!G8,Nov!G8,Dec!G8)</f>
        <v>48640.98</v>
      </c>
      <c r="H8" s="15">
        <f>SUM(Oct!H8, Nov!H8, Dec!H8)</f>
        <v>3166.0200000000004</v>
      </c>
      <c r="I8" s="16">
        <f t="shared" si="2"/>
        <v>6.5089560284352824E-2</v>
      </c>
    </row>
    <row r="9" spans="1:9" ht="15.75">
      <c r="A9" s="49" t="str">
        <v>Kohls - Canton</v>
      </c>
      <c r="B9" s="10" t="str">
        <v>CT</v>
      </c>
      <c r="C9" s="11">
        <f>SUM(Oct!C9, Nov!C9, Dec!C9)</f>
        <v>28280</v>
      </c>
      <c r="D9" s="18">
        <f>SUM(Oct!D9, Nov!D9, Dec!D9)</f>
        <v>0</v>
      </c>
      <c r="E9" s="18">
        <f t="shared" si="0"/>
        <v>28280</v>
      </c>
      <c r="F9" s="19" t="str">
        <f t="shared" si="1"/>
        <v/>
      </c>
      <c r="G9" s="20">
        <f>SUM(Oct!G9,Nov!G9,Dec!G9)</f>
        <v>20503.34</v>
      </c>
      <c r="H9" s="20">
        <f>SUM(Oct!H9, Nov!H9, Dec!H9)</f>
        <v>7776.6600000000008</v>
      </c>
      <c r="I9" s="19">
        <f t="shared" si="2"/>
        <v>0.37928747218745829</v>
      </c>
    </row>
    <row r="10" spans="1:9" ht="15.75">
      <c r="A10" s="48" t="str">
        <v>Kohls - East Amherst</v>
      </c>
      <c r="B10" s="9" t="str">
        <v>NY</v>
      </c>
      <c r="C10" s="24">
        <f>SUM(Oct!C10, Nov!C10, Dec!C10)</f>
        <v>50546</v>
      </c>
      <c r="D10" s="13">
        <f>SUM(Oct!D10, Nov!D10, Dec!D10)</f>
        <v>0</v>
      </c>
      <c r="E10" s="13">
        <f t="shared" si="0"/>
        <v>50546</v>
      </c>
      <c r="F10" s="14" t="str">
        <f t="shared" si="1"/>
        <v/>
      </c>
      <c r="G10" s="15">
        <f>SUM(Oct!G10,Nov!G10,Dec!G10)</f>
        <v>45058.01</v>
      </c>
      <c r="H10" s="15">
        <f>SUM(Oct!H10, Nov!H10, Dec!H10)</f>
        <v>5487.99</v>
      </c>
      <c r="I10" s="16">
        <f t="shared" si="2"/>
        <v>0.1217983217634334</v>
      </c>
    </row>
    <row r="11" spans="1:9" ht="15.75">
      <c r="A11" s="49" t="str">
        <v>Kohls - East Brunswick</v>
      </c>
      <c r="B11" s="10" t="str">
        <v>NJ</v>
      </c>
      <c r="C11" s="11">
        <f>SUM(Oct!C11, Nov!C11, Dec!C11)</f>
        <v>96731</v>
      </c>
      <c r="D11" s="18">
        <f>SUM(Oct!D11, Nov!D11, Dec!D11)</f>
        <v>0</v>
      </c>
      <c r="E11" s="18">
        <f t="shared" si="0"/>
        <v>96731</v>
      </c>
      <c r="F11" s="19" t="str">
        <f t="shared" si="1"/>
        <v/>
      </c>
      <c r="G11" s="20">
        <f>SUM(Oct!G11,Nov!G11,Dec!G11)</f>
        <v>85764.43</v>
      </c>
      <c r="H11" s="20">
        <f>SUM(Oct!H11, Nov!H11, Dec!H11)</f>
        <v>10966.570000000003</v>
      </c>
      <c r="I11" s="19">
        <f t="shared" si="2"/>
        <v>0.12786851145632291</v>
      </c>
    </row>
    <row r="12" spans="1:9" ht="15.75">
      <c r="A12" s="48" t="str">
        <v>Kohls - Edgewood</v>
      </c>
      <c r="B12" s="9" t="str">
        <v>MD</v>
      </c>
      <c r="C12" s="24">
        <f>SUM(Oct!C12, Nov!C12, Dec!C12)</f>
        <v>510431</v>
      </c>
      <c r="D12" s="13">
        <f>SUM(Oct!D12, Nov!D12, Dec!D12)</f>
        <v>0</v>
      </c>
      <c r="E12" s="13">
        <f t="shared" si="0"/>
        <v>510431</v>
      </c>
      <c r="F12" s="14" t="str">
        <f t="shared" si="1"/>
        <v/>
      </c>
      <c r="G12" s="15">
        <f>SUM(Oct!G12,Nov!G12,Dec!G12)</f>
        <v>482967.46</v>
      </c>
      <c r="H12" s="15">
        <f>SUM(Oct!H12, Nov!H12, Dec!H12)</f>
        <v>27463.539999999994</v>
      </c>
      <c r="I12" s="16">
        <f t="shared" si="2"/>
        <v>5.6864162235691802E-2</v>
      </c>
    </row>
    <row r="13" spans="1:9" ht="15.75">
      <c r="A13" s="49" t="str">
        <v>Kohls - Granite Run</v>
      </c>
      <c r="B13" s="10" t="str">
        <v>PA</v>
      </c>
      <c r="C13" s="11">
        <f>SUM(Oct!C13, Nov!C13, Dec!C13)</f>
        <v>64335</v>
      </c>
      <c r="D13" s="18">
        <f>SUM(Oct!D13, Nov!D13, Dec!D13)</f>
        <v>0</v>
      </c>
      <c r="E13" s="18">
        <f t="shared" si="0"/>
        <v>64335</v>
      </c>
      <c r="F13" s="19" t="str">
        <f t="shared" si="1"/>
        <v/>
      </c>
      <c r="G13" s="20">
        <f>SUM(Oct!G13,Nov!G13,Dec!G13)</f>
        <v>54574.54</v>
      </c>
      <c r="H13" s="20">
        <f>SUM(Oct!H13, Nov!H13, Dec!H13)</f>
        <v>9760.4599999999973</v>
      </c>
      <c r="I13" s="19">
        <f t="shared" si="2"/>
        <v>0.17884639980474407</v>
      </c>
    </row>
    <row r="14" spans="1:9" ht="15.75">
      <c r="A14" s="48" t="str">
        <v>Kohls - Greece</v>
      </c>
      <c r="B14" s="9" t="str">
        <v>NY</v>
      </c>
      <c r="C14" s="24">
        <f>SUM(Oct!C14, Nov!C14, Dec!C14)</f>
        <v>27798</v>
      </c>
      <c r="D14" s="13">
        <f>SUM(Oct!D14, Nov!D14, Dec!D14)</f>
        <v>0</v>
      </c>
      <c r="E14" s="13">
        <f t="shared" si="0"/>
        <v>27798</v>
      </c>
      <c r="F14" s="14" t="str">
        <f t="shared" si="1"/>
        <v/>
      </c>
      <c r="G14" s="15">
        <f>SUM(Oct!G14,Nov!G14,Dec!G14)</f>
        <v>49864.15</v>
      </c>
      <c r="H14" s="15">
        <f>SUM(Oct!H14, Nov!H14, Dec!H14)</f>
        <v>-22066.15</v>
      </c>
      <c r="I14" s="16">
        <f t="shared" si="2"/>
        <v>-0.44252534135245464</v>
      </c>
    </row>
    <row r="15" spans="1:9" ht="15.75">
      <c r="A15" s="49" t="str">
        <v>Kohls - Hanover</v>
      </c>
      <c r="B15" s="10" t="str">
        <v>PA</v>
      </c>
      <c r="C15" s="11">
        <f>SUM(Oct!C15, Nov!C15, Dec!C15)</f>
        <v>56898</v>
      </c>
      <c r="D15" s="18">
        <f>SUM(Oct!D15, Nov!D15, Dec!D15)</f>
        <v>0</v>
      </c>
      <c r="E15" s="18">
        <f t="shared" si="0"/>
        <v>56898</v>
      </c>
      <c r="F15" s="19" t="str">
        <f t="shared" si="1"/>
        <v/>
      </c>
      <c r="G15" s="20">
        <f>SUM(Oct!G15,Nov!G15,Dec!G15)</f>
        <v>59171.06</v>
      </c>
      <c r="H15" s="20">
        <f>SUM(Oct!H15, Nov!H15, Dec!H15)</f>
        <v>-2273.0600000000013</v>
      </c>
      <c r="I15" s="19">
        <f t="shared" si="2"/>
        <v>-3.8415063039262801E-2</v>
      </c>
    </row>
    <row r="16" spans="1:9" ht="15.75">
      <c r="A16" s="48" t="str">
        <v>Kohls - Horsehead</v>
      </c>
      <c r="B16" s="9" t="str">
        <v>NY</v>
      </c>
      <c r="C16" s="24">
        <f>SUM(Oct!C16, Nov!C16, Dec!C16)</f>
        <v>42511</v>
      </c>
      <c r="D16" s="13">
        <f>SUM(Oct!D16, Nov!D16, Dec!D16)</f>
        <v>0</v>
      </c>
      <c r="E16" s="13">
        <f t="shared" ref="E16:E18" si="3">IF(AND(ISNUMBER(C16),ISNUMBER(D16)), C16-D16, "")</f>
        <v>42511</v>
      </c>
      <c r="F16" s="14" t="str">
        <f t="shared" ref="F16:F18" si="4">IFERROR(E16/D16, "")</f>
        <v/>
      </c>
      <c r="G16" s="15">
        <f>SUM(Oct!G16,Nov!G16,Dec!G16)</f>
        <v>43227.240000000005</v>
      </c>
      <c r="H16" s="15">
        <f>SUM(Oct!H16, Nov!H16, Dec!H16)</f>
        <v>-716.23999999999978</v>
      </c>
      <c r="I16" s="16">
        <f t="shared" ref="I16:I18" si="5">IFERROR(H16/G16, "")</f>
        <v>-1.6569181839969419E-2</v>
      </c>
    </row>
    <row r="17" spans="1:9" ht="15.75">
      <c r="A17" s="49" t="str">
        <v>Kohls - Hudson</v>
      </c>
      <c r="B17" s="10" t="str">
        <v>NY</v>
      </c>
      <c r="C17" s="11">
        <f>SUM(Oct!C17, Nov!C17, Dec!C17)</f>
        <v>56870</v>
      </c>
      <c r="D17" s="18">
        <f>SUM(Oct!D17, Nov!D17, Dec!D17)</f>
        <v>0</v>
      </c>
      <c r="E17" s="18">
        <f t="shared" si="3"/>
        <v>56870</v>
      </c>
      <c r="F17" s="19" t="str">
        <f t="shared" si="4"/>
        <v/>
      </c>
      <c r="G17" s="20">
        <f>SUM(Oct!G17,Nov!G17,Dec!G17)</f>
        <v>50600.100000000006</v>
      </c>
      <c r="H17" s="20">
        <f>SUM(Oct!H17, Nov!H17, Dec!H17)</f>
        <v>6269.8999999999978</v>
      </c>
      <c r="I17" s="19">
        <f t="shared" si="5"/>
        <v>0.12391082231062779</v>
      </c>
    </row>
    <row r="18" spans="1:9" ht="12.75" customHeight="1">
      <c r="A18" s="48" t="str">
        <v>Kohls - Ithaca</v>
      </c>
      <c r="B18" s="9" t="str">
        <v>NY</v>
      </c>
      <c r="C18" s="11">
        <f>SUM(Oct!C18, Nov!C18, Dec!C18)</f>
        <v>41517</v>
      </c>
      <c r="D18" s="18">
        <f>SUM(Oct!D18, Nov!D18, Dec!D18)</f>
        <v>0</v>
      </c>
      <c r="E18" s="18">
        <f t="shared" si="3"/>
        <v>41517</v>
      </c>
      <c r="F18" s="19" t="str">
        <f t="shared" si="4"/>
        <v/>
      </c>
      <c r="G18" s="67">
        <f>SUM(Oct!G18,Nov!G18,Dec!G18)</f>
        <v>49484.639999999999</v>
      </c>
      <c r="H18" s="20">
        <f>SUM(Oct!H18, Nov!H18, Dec!H18)</f>
        <v>-7967.6400000000012</v>
      </c>
      <c r="I18" s="19">
        <f t="shared" si="5"/>
        <v>-0.16101238687398758</v>
      </c>
    </row>
    <row r="19" spans="1:9" ht="15.75">
      <c r="A19" s="49" t="str">
        <v>Kohls - Kingston</v>
      </c>
      <c r="B19" s="10" t="str">
        <v>NY</v>
      </c>
      <c r="C19" s="24">
        <f>SUM(Oct!C19, Nov!C19, Dec!C19)</f>
        <v>76198</v>
      </c>
      <c r="D19" s="13">
        <f>SUM(Oct!D19, Nov!D19, Dec!D19)</f>
        <v>0</v>
      </c>
      <c r="E19" s="13">
        <f t="shared" ref="E19:E20" si="6">IF(AND(ISNUMBER(C19),ISNUMBER(D19)), C19-D19, "")</f>
        <v>76198</v>
      </c>
      <c r="F19" s="14" t="str">
        <f t="shared" ref="F19:F20" si="7">IFERROR(E19/D19, "")</f>
        <v/>
      </c>
      <c r="G19" s="65">
        <f>SUM(Oct!G19,Nov!G19,Dec!G19)</f>
        <v>80808.281000000003</v>
      </c>
      <c r="H19" s="15">
        <f>SUM(Oct!H19, Nov!H19, Dec!H19)</f>
        <v>-4610.2810000000027</v>
      </c>
      <c r="I19" s="16">
        <f t="shared" ref="I19:I20" si="8">IFERROR(H19/G19, "")</f>
        <v>-5.7052086035588388E-2</v>
      </c>
    </row>
    <row r="20" spans="1:9" ht="15.75">
      <c r="A20" s="48" t="str">
        <v>Kohls - Mechanicsburg</v>
      </c>
      <c r="B20" s="9" t="str">
        <v>PA</v>
      </c>
      <c r="C20" s="11">
        <f>SUM(Oct!C20, Nov!C20, Dec!C20)</f>
        <v>79072</v>
      </c>
      <c r="D20" s="18">
        <f>SUM(Oct!D20, Nov!D20, Dec!D20)</f>
        <v>0</v>
      </c>
      <c r="E20" s="18">
        <f t="shared" si="6"/>
        <v>79072</v>
      </c>
      <c r="F20" s="19" t="str">
        <f t="shared" si="7"/>
        <v/>
      </c>
      <c r="G20" s="67">
        <f>SUM(Oct!G20,Nov!G20,Dec!G20)</f>
        <v>68704.45</v>
      </c>
      <c r="H20" s="20">
        <f>SUM(Oct!H20, Nov!H20, Dec!H20)</f>
        <v>10367.549999999999</v>
      </c>
      <c r="I20" s="19">
        <f t="shared" si="8"/>
        <v>0.15090070584947554</v>
      </c>
    </row>
    <row r="21" spans="1:9" ht="15.75">
      <c r="A21" s="49" t="str">
        <v>Kohls - Middletown</v>
      </c>
      <c r="B21" s="10" t="str">
        <v>NJ</v>
      </c>
      <c r="C21" s="24">
        <f>SUM(Oct!C21, Nov!C21, Dec!C21)</f>
        <v>120238</v>
      </c>
      <c r="D21" s="13">
        <f>SUM(Oct!D21, Nov!D21, Dec!D21)</f>
        <v>0</v>
      </c>
      <c r="E21" s="13">
        <f t="shared" ref="E21:E68" si="9">IF(AND(ISNUMBER(C21),ISNUMBER(D21)), C21-D21, "")</f>
        <v>120238</v>
      </c>
      <c r="F21" s="14" t="str">
        <f t="shared" ref="F21:F68" si="10">IFERROR(E21/D21, "")</f>
        <v/>
      </c>
      <c r="G21" s="65">
        <f>SUM(Oct!G21,Nov!G21,Dec!G21)</f>
        <v>100719.34</v>
      </c>
      <c r="H21" s="15">
        <f>SUM(Oct!H21, Nov!H21, Dec!H21)</f>
        <v>19518.66</v>
      </c>
      <c r="I21" s="16">
        <f t="shared" ref="I21:I68" si="11">IFERROR(H21/G21, "")</f>
        <v>0.19379257250891438</v>
      </c>
    </row>
    <row r="22" spans="1:9" ht="15.75">
      <c r="A22" s="48" t="str">
        <v>Kohls - North Amherst</v>
      </c>
      <c r="B22" s="9" t="str">
        <v>NY</v>
      </c>
      <c r="C22" s="11">
        <f>SUM(Oct!C22, Nov!C22, Dec!C22)</f>
        <v>0</v>
      </c>
      <c r="D22" s="18">
        <f>SUM(Oct!D22, Nov!D22, Dec!D22)</f>
        <v>0</v>
      </c>
      <c r="E22" s="18">
        <f t="shared" si="9"/>
        <v>0</v>
      </c>
      <c r="F22" s="19" t="str">
        <f t="shared" si="10"/>
        <v/>
      </c>
      <c r="G22" s="67">
        <f>SUM(Oct!G22,Nov!G22,Dec!G22)</f>
        <v>41375.99</v>
      </c>
      <c r="H22" s="20">
        <f>SUM(Oct!H22, Nov!H22, Dec!H22)</f>
        <v>-41375.99</v>
      </c>
      <c r="I22" s="19">
        <f t="shared" si="11"/>
        <v>-1</v>
      </c>
    </row>
    <row r="23" spans="1:9" ht="15.75">
      <c r="A23" s="49" t="str">
        <v>Kohls - Staten Island</v>
      </c>
      <c r="B23" s="10" t="str">
        <v>NY</v>
      </c>
      <c r="C23" s="24">
        <f>SUM(Oct!C23, Nov!C23, Dec!C23)</f>
        <v>102</v>
      </c>
      <c r="D23" s="13">
        <f>SUM(Oct!D23, Nov!D23, Dec!D23)</f>
        <v>0</v>
      </c>
      <c r="E23" s="13">
        <f t="shared" si="9"/>
        <v>102</v>
      </c>
      <c r="F23" s="14" t="str">
        <f t="shared" si="10"/>
        <v/>
      </c>
      <c r="G23" s="65">
        <f>SUM(Oct!G23,Nov!G23,Dec!G23)</f>
        <v>61360.119999999995</v>
      </c>
      <c r="H23" s="15">
        <f>SUM(Oct!H23, Nov!H23, Dec!H23)</f>
        <v>-61258.119999999995</v>
      </c>
      <c r="I23" s="16">
        <f t="shared" si="11"/>
        <v>-0.99833768252082944</v>
      </c>
    </row>
    <row r="24" spans="1:9" ht="15.75">
      <c r="A24" s="48" t="str">
        <v>Kohls - Warminster</v>
      </c>
      <c r="B24" s="9" t="str">
        <v>PA</v>
      </c>
      <c r="C24" s="11">
        <f>SUM(Oct!C24, Nov!C24, Dec!C24)</f>
        <v>82397</v>
      </c>
      <c r="D24" s="18">
        <f>SUM(Oct!D24, Nov!D24, Dec!D24)</f>
        <v>0</v>
      </c>
      <c r="E24" s="18">
        <f t="shared" si="9"/>
        <v>82397</v>
      </c>
      <c r="F24" s="19" t="str">
        <f t="shared" si="10"/>
        <v/>
      </c>
      <c r="G24" s="67">
        <f>SUM(Oct!G24,Nov!G24,Dec!G24)</f>
        <v>66988.58</v>
      </c>
      <c r="H24" s="20">
        <f>SUM(Oct!H24, Nov!H24, Dec!H24)</f>
        <v>15408.419999999998</v>
      </c>
      <c r="I24" s="19">
        <f t="shared" si="11"/>
        <v>0.23001562355852292</v>
      </c>
    </row>
    <row r="25" spans="1:9" ht="15.75">
      <c r="A25" s="49" t="str">
        <v xml:space="preserve">Kohls - Waterbury </v>
      </c>
      <c r="B25" s="10" t="str">
        <v>CT</v>
      </c>
      <c r="C25" s="24">
        <f>SUM(Oct!C25, Nov!C25, Dec!C25)</f>
        <v>69732</v>
      </c>
      <c r="D25" s="13">
        <f>SUM(Oct!D25, Nov!D25, Dec!D25)</f>
        <v>0</v>
      </c>
      <c r="E25" s="13">
        <f t="shared" si="9"/>
        <v>69732</v>
      </c>
      <c r="F25" s="14" t="str">
        <f t="shared" si="10"/>
        <v/>
      </c>
      <c r="G25" s="65">
        <f>SUM(Oct!G25,Nov!G25,Dec!G25)</f>
        <v>57393.040000000008</v>
      </c>
      <c r="H25" s="15">
        <f>SUM(Oct!H25, Nov!H25, Dec!H25)</f>
        <v>12338.96</v>
      </c>
      <c r="I25" s="16">
        <f t="shared" si="11"/>
        <v>0.21499052846826022</v>
      </c>
    </row>
    <row r="26" spans="1:9" ht="15.75">
      <c r="A26" s="48" t="str">
        <v>Mojave Water Agency - Headquarters</v>
      </c>
      <c r="B26" s="9" t="str">
        <v>CA</v>
      </c>
      <c r="C26" s="11">
        <f>SUM(Oct!C26, Nov!C26, Dec!C26)</f>
        <v>81628</v>
      </c>
      <c r="D26" s="18">
        <f>SUM(Oct!D26, Nov!D26, Dec!D26)</f>
        <v>0</v>
      </c>
      <c r="E26" s="18">
        <f t="shared" si="9"/>
        <v>81628</v>
      </c>
      <c r="F26" s="19" t="str">
        <f t="shared" si="10"/>
        <v/>
      </c>
      <c r="G26" s="67">
        <f>SUM(Oct!G26,Nov!G26,Dec!G26)</f>
        <v>84193.32</v>
      </c>
      <c r="H26" s="20">
        <f>SUM(Oct!H26, Nov!H26, Dec!H26)</f>
        <v>-2565.3199999999997</v>
      </c>
      <c r="I26" s="19">
        <f t="shared" si="11"/>
        <v>-3.0469400660289907E-2</v>
      </c>
    </row>
    <row r="27" spans="1:9" ht="15.75">
      <c r="A27" s="49" t="str">
        <v>CSU - Bakersfield</v>
      </c>
      <c r="B27" s="10" t="str">
        <v>CA</v>
      </c>
      <c r="C27" s="24">
        <f>SUM(Oct!C27, Nov!C27, Dec!C27)</f>
        <v>182041</v>
      </c>
      <c r="D27" s="13">
        <f>SUM(Oct!D27, Nov!D27, Dec!D27)</f>
        <v>0</v>
      </c>
      <c r="E27" s="13">
        <f t="shared" si="9"/>
        <v>182041</v>
      </c>
      <c r="F27" s="14" t="str">
        <f t="shared" si="10"/>
        <v/>
      </c>
      <c r="G27" s="65">
        <f>SUM(Oct!G27,Nov!G27,Dec!G27)</f>
        <v>242132.53</v>
      </c>
      <c r="H27" s="15">
        <f>SUM(Oct!H27, Nov!H27, Dec!H27)</f>
        <v>-60091.53</v>
      </c>
      <c r="I27" s="16">
        <f t="shared" si="11"/>
        <v>-0.24817619507795999</v>
      </c>
    </row>
    <row r="28" spans="1:9" ht="15.75">
      <c r="A28" s="48" t="str">
        <v>Greenfield USD - Fairfield ES</v>
      </c>
      <c r="B28" s="9" t="str">
        <v>CA</v>
      </c>
      <c r="C28" s="11">
        <f>SUM(Oct!C28, Nov!C28, Dec!C28)</f>
        <v>22225</v>
      </c>
      <c r="D28" s="18">
        <f>SUM(Oct!D28, Nov!D28, Dec!D28)</f>
        <v>0</v>
      </c>
      <c r="E28" s="18">
        <f t="shared" si="9"/>
        <v>22225</v>
      </c>
      <c r="F28" s="19" t="str">
        <f t="shared" si="10"/>
        <v/>
      </c>
      <c r="G28" s="67">
        <f>SUM(Oct!G28,Nov!G28,Dec!G28)</f>
        <v>27796.92</v>
      </c>
      <c r="H28" s="20">
        <f>SUM(Oct!H28, Nov!H28, Dec!H28)</f>
        <v>-5571.92</v>
      </c>
      <c r="I28" s="19">
        <f t="shared" si="11"/>
        <v>-0.20045098521706722</v>
      </c>
    </row>
    <row r="29" spans="1:9" ht="15.75">
      <c r="A29" s="49" t="str">
        <v>Greenfield USD - Granite Point ES</v>
      </c>
      <c r="B29" s="10" t="str">
        <v>CA</v>
      </c>
      <c r="C29" s="24">
        <f>SUM(Oct!C29, Nov!C29, Dec!C29)</f>
        <v>64813</v>
      </c>
      <c r="D29" s="13">
        <f>SUM(Oct!D29, Nov!D29, Dec!D29)</f>
        <v>0</v>
      </c>
      <c r="E29" s="13">
        <f t="shared" si="9"/>
        <v>64813</v>
      </c>
      <c r="F29" s="14" t="str">
        <f t="shared" si="10"/>
        <v/>
      </c>
      <c r="G29" s="65">
        <f>SUM(Oct!G29,Nov!G29,Dec!G29)</f>
        <v>72730.25</v>
      </c>
      <c r="H29" s="15">
        <f>SUM(Oct!H29, Nov!H29, Dec!H29)</f>
        <v>-7917.25</v>
      </c>
      <c r="I29" s="16">
        <f t="shared" si="11"/>
        <v>-0.10885773113663159</v>
      </c>
    </row>
    <row r="30" spans="1:9" ht="15.75">
      <c r="A30" s="48" t="str">
        <v>Greenfield USD - Greenfield MS</v>
      </c>
      <c r="B30" s="9" t="str">
        <v>CA</v>
      </c>
      <c r="C30" s="11">
        <f>SUM(Oct!C30, Nov!C30, Dec!C30)</f>
        <v>37831</v>
      </c>
      <c r="D30" s="18">
        <f>SUM(Oct!D30, Nov!D30, Dec!D30)</f>
        <v>0</v>
      </c>
      <c r="E30" s="18">
        <f t="shared" si="9"/>
        <v>37831</v>
      </c>
      <c r="F30" s="19" t="str">
        <f t="shared" si="10"/>
        <v/>
      </c>
      <c r="G30" s="67">
        <f>SUM(Oct!G30,Nov!G30,Dec!G30)</f>
        <v>50123.366999999998</v>
      </c>
      <c r="H30" s="20">
        <f>SUM(Oct!H30, Nov!H30, Dec!H30)</f>
        <v>-12292.366999999998</v>
      </c>
      <c r="I30" s="19">
        <f t="shared" si="11"/>
        <v>-0.24524224400168484</v>
      </c>
    </row>
    <row r="31" spans="1:9" ht="15.75">
      <c r="A31" s="49" t="str">
        <v>Greenfield USD - Horizon ES</v>
      </c>
      <c r="B31" s="10" t="str">
        <v>CA</v>
      </c>
      <c r="C31" s="24">
        <f>SUM(Oct!C31, Nov!C31, Dec!C31)</f>
        <v>34097</v>
      </c>
      <c r="D31" s="13">
        <f>SUM(Oct!D31, Nov!D31, Dec!D31)</f>
        <v>0</v>
      </c>
      <c r="E31" s="13">
        <f t="shared" si="9"/>
        <v>34097</v>
      </c>
      <c r="F31" s="14" t="str">
        <f t="shared" si="10"/>
        <v/>
      </c>
      <c r="G31" s="65">
        <f>SUM(Oct!G31,Nov!G31,Dec!G31)</f>
        <v>74041.88</v>
      </c>
      <c r="H31" s="15">
        <f>SUM(Oct!H31, Nov!H31, Dec!H31)</f>
        <v>-39944.879999999997</v>
      </c>
      <c r="I31" s="16">
        <f t="shared" si="11"/>
        <v>-0.53949035329735007</v>
      </c>
    </row>
    <row r="32" spans="1:9" ht="15.75">
      <c r="A32" s="48" t="str">
        <v>Greenfield USD - McKee MS</v>
      </c>
      <c r="B32" s="9" t="str">
        <v>CA</v>
      </c>
      <c r="C32" s="11">
        <f>SUM(Oct!C32, Nov!C32, Dec!C32)</f>
        <v>24380</v>
      </c>
      <c r="D32" s="18">
        <f>SUM(Oct!D32, Nov!D32, Dec!D32)</f>
        <v>0</v>
      </c>
      <c r="E32" s="18">
        <f t="shared" si="9"/>
        <v>24380</v>
      </c>
      <c r="F32" s="19" t="str">
        <f t="shared" si="10"/>
        <v/>
      </c>
      <c r="G32" s="67">
        <f>SUM(Oct!G32,Nov!G32,Dec!G32)</f>
        <v>45337.81</v>
      </c>
      <c r="H32" s="20">
        <f>SUM(Oct!H32, Nov!H32, Dec!H32)</f>
        <v>-20957.809999999998</v>
      </c>
      <c r="I32" s="19">
        <f t="shared" si="11"/>
        <v>-0.46225898427824369</v>
      </c>
    </row>
    <row r="33" spans="1:9" ht="15.75">
      <c r="A33" s="49" t="str">
        <v>Greenfield USD - Plantation ES</v>
      </c>
      <c r="B33" s="10" t="str">
        <v>CA</v>
      </c>
      <c r="C33" s="24">
        <f>SUM(Oct!C33, Nov!C33, Dec!C33)</f>
        <v>28103</v>
      </c>
      <c r="D33" s="13">
        <f>SUM(Oct!D33, Nov!D33, Dec!D33)</f>
        <v>0</v>
      </c>
      <c r="E33" s="13">
        <f t="shared" si="9"/>
        <v>28103</v>
      </c>
      <c r="F33" s="14" t="str">
        <f t="shared" si="10"/>
        <v/>
      </c>
      <c r="G33" s="65">
        <f>SUM(Oct!G33,Nov!G33,Dec!G33)</f>
        <v>32295.549999999996</v>
      </c>
      <c r="H33" s="15">
        <f>SUM(Oct!H33, Nov!H33, Dec!H33)</f>
        <v>-4192.5499999999993</v>
      </c>
      <c r="I33" s="16">
        <f t="shared" si="11"/>
        <v>-0.12981819476677126</v>
      </c>
    </row>
    <row r="34" spans="1:9" ht="15.75">
      <c r="A34" s="48" t="str">
        <v>Greenfield USD - Planz ES</v>
      </c>
      <c r="B34" s="9" t="str">
        <v>CA</v>
      </c>
      <c r="C34" s="11">
        <f>SUM(Oct!C34, Nov!C34, Dec!C34)</f>
        <v>10259</v>
      </c>
      <c r="D34" s="18">
        <f>SUM(Oct!D34, Nov!D34, Dec!D34)</f>
        <v>0</v>
      </c>
      <c r="E34" s="18">
        <f t="shared" si="9"/>
        <v>10259</v>
      </c>
      <c r="F34" s="19" t="str">
        <f t="shared" si="10"/>
        <v/>
      </c>
      <c r="G34" s="67">
        <f>SUM(Oct!G34,Nov!G34,Dec!G34)</f>
        <v>36710.85</v>
      </c>
      <c r="H34" s="20">
        <f>SUM(Oct!H34, Nov!H34, Dec!H34)</f>
        <v>-26451.85</v>
      </c>
      <c r="I34" s="19">
        <f t="shared" si="11"/>
        <v>-0.7205458331801089</v>
      </c>
    </row>
    <row r="35" spans="1:9" ht="15.75">
      <c r="A35" s="49" t="str">
        <v>Greenfield USD - Raffaello Palla ES</v>
      </c>
      <c r="B35" s="10" t="str">
        <v>CA</v>
      </c>
      <c r="C35" s="24">
        <f>SUM(Oct!C35, Nov!C35, Dec!C35)</f>
        <v>51312</v>
      </c>
      <c r="D35" s="13">
        <f>SUM(Oct!D35, Nov!D35, Dec!D35)</f>
        <v>0</v>
      </c>
      <c r="E35" s="13">
        <f t="shared" si="9"/>
        <v>51312</v>
      </c>
      <c r="F35" s="14" t="str">
        <f t="shared" si="10"/>
        <v/>
      </c>
      <c r="G35" s="65">
        <f>SUM(Oct!G35,Nov!G35,Dec!G35)</f>
        <v>82243.040000000008</v>
      </c>
      <c r="H35" s="15">
        <f>SUM(Oct!H35, Nov!H35, Dec!H35)</f>
        <v>-30931.040000000001</v>
      </c>
      <c r="I35" s="16">
        <f t="shared" si="11"/>
        <v>-0.37609310161686627</v>
      </c>
    </row>
    <row r="36" spans="1:9" ht="15.75">
      <c r="A36" s="48" t="str">
        <v>Greenfield USD - Valle Verde ES</v>
      </c>
      <c r="B36" s="9" t="str">
        <v>CA</v>
      </c>
      <c r="C36" s="11">
        <f>SUM(Oct!C36, Nov!C36, Dec!C36)</f>
        <v>63732</v>
      </c>
      <c r="D36" s="18">
        <f>SUM(Oct!D36, Nov!D36, Dec!D36)</f>
        <v>0</v>
      </c>
      <c r="E36" s="18">
        <f t="shared" si="9"/>
        <v>63732</v>
      </c>
      <c r="F36" s="19" t="str">
        <f t="shared" si="10"/>
        <v/>
      </c>
      <c r="G36" s="67">
        <f>SUM(Oct!G36,Nov!G36,Dec!G36)</f>
        <v>76929.88</v>
      </c>
      <c r="H36" s="20">
        <f>SUM(Oct!H36, Nov!H36, Dec!H36)</f>
        <v>-13197.880000000001</v>
      </c>
      <c r="I36" s="19">
        <f t="shared" si="11"/>
        <v>-0.17155726747526448</v>
      </c>
    </row>
    <row r="37" spans="1:9" ht="15.75">
      <c r="A37" s="49" t="str">
        <v>Greenfield USD - W.A. Kendrick ES</v>
      </c>
      <c r="B37" s="10" t="str">
        <v>CA</v>
      </c>
      <c r="C37" s="24">
        <f>SUM(Oct!C37, Nov!C37, Dec!C37)</f>
        <v>11870.400000000001</v>
      </c>
      <c r="D37" s="13">
        <f>SUM(Oct!D37, Nov!D37, Dec!D37)</f>
        <v>0</v>
      </c>
      <c r="E37" s="13">
        <f t="shared" si="9"/>
        <v>11870.400000000001</v>
      </c>
      <c r="F37" s="14" t="str">
        <f t="shared" si="10"/>
        <v/>
      </c>
      <c r="G37" s="65">
        <f>SUM(Oct!G37,Nov!G37,Dec!G37)</f>
        <v>29620.46</v>
      </c>
      <c r="H37" s="15">
        <f>SUM(Oct!H37, Nov!H37, Dec!H37)</f>
        <v>-17750.060000000001</v>
      </c>
      <c r="I37" s="16">
        <f t="shared" si="11"/>
        <v>-0.59924997788690659</v>
      </c>
    </row>
    <row r="38" spans="1:9" ht="15.75">
      <c r="A38" s="48" t="str">
        <v>Muroc Joint USD - Boron HS</v>
      </c>
      <c r="B38" s="9" t="str">
        <v>CA</v>
      </c>
      <c r="C38" s="11">
        <f>SUM(Oct!C38, Nov!C38, Dec!C38)</f>
        <v>0</v>
      </c>
      <c r="D38" s="18">
        <f>SUM(Oct!D38, Nov!D38, Dec!D38)</f>
        <v>0</v>
      </c>
      <c r="E38" s="18">
        <f t="shared" si="9"/>
        <v>0</v>
      </c>
      <c r="F38" s="19" t="str">
        <f t="shared" si="10"/>
        <v/>
      </c>
      <c r="G38" s="67">
        <f>SUM(Oct!G38,Nov!G38,Dec!G38)</f>
        <v>81841.37</v>
      </c>
      <c r="H38" s="20">
        <f>SUM(Oct!H38, Nov!H38, Dec!H38)</f>
        <v>-81841.37</v>
      </c>
      <c r="I38" s="19">
        <f t="shared" si="11"/>
        <v>-1</v>
      </c>
    </row>
    <row r="39" spans="1:9" ht="15.75">
      <c r="A39" s="49" t="str">
        <v>Muroc Joint USD - W. Boron ES</v>
      </c>
      <c r="B39" s="10" t="str">
        <v>CA</v>
      </c>
      <c r="C39" s="24">
        <f>SUM(Oct!C39, Nov!C39, Dec!C39)</f>
        <v>29406</v>
      </c>
      <c r="D39" s="13">
        <f>SUM(Oct!D39, Nov!D39, Dec!D39)</f>
        <v>0</v>
      </c>
      <c r="E39" s="13">
        <f t="shared" si="9"/>
        <v>29406</v>
      </c>
      <c r="F39" s="14" t="str">
        <f t="shared" si="10"/>
        <v/>
      </c>
      <c r="G39" s="65">
        <f>SUM(Oct!G39,Nov!G39,Dec!G39)</f>
        <v>29960.219999999998</v>
      </c>
      <c r="H39" s="15">
        <f>SUM(Oct!H39, Nov!H39, Dec!H39)</f>
        <v>-554.21999999999935</v>
      </c>
      <c r="I39" s="16">
        <f t="shared" si="11"/>
        <v>-1.8498529049519642E-2</v>
      </c>
    </row>
    <row r="40" spans="1:9" ht="15.75">
      <c r="A40" s="48" t="str">
        <v>Colusa - WTP</v>
      </c>
      <c r="B40" s="9" t="str">
        <v>CA</v>
      </c>
      <c r="C40" s="11">
        <f>SUM(Oct!C40, Nov!C40, Dec!C40)</f>
        <v>0</v>
      </c>
      <c r="D40" s="18">
        <f>SUM(Oct!D40, Nov!D40, Dec!D40)</f>
        <v>0</v>
      </c>
      <c r="E40" s="18">
        <f t="shared" si="9"/>
        <v>0</v>
      </c>
      <c r="F40" s="19" t="str">
        <f t="shared" si="10"/>
        <v/>
      </c>
      <c r="G40" s="67">
        <f>SUM(Oct!G40,Nov!G40,Dec!G40)</f>
        <v>76413.329999999987</v>
      </c>
      <c r="H40" s="20">
        <f>SUM(Oct!H40, Nov!H40, Dec!H40)</f>
        <v>-76413.329999999987</v>
      </c>
      <c r="I40" s="19">
        <f t="shared" si="11"/>
        <v>-1</v>
      </c>
    </row>
    <row r="41" spans="1:9" ht="15.75">
      <c r="A41" s="49" t="str">
        <v>CDCR-North Kern State Prision</v>
      </c>
      <c r="B41" s="10" t="str">
        <v>CA</v>
      </c>
      <c r="C41" s="24">
        <f>SUM(Oct!C41, Nov!C41, Dec!C41)</f>
        <v>115727</v>
      </c>
      <c r="D41" s="13">
        <f>SUM(Oct!D41, Nov!D41, Dec!D41)</f>
        <v>0</v>
      </c>
      <c r="E41" s="13">
        <f t="shared" si="9"/>
        <v>115727</v>
      </c>
      <c r="F41" s="14" t="str">
        <f t="shared" si="10"/>
        <v/>
      </c>
      <c r="G41" s="65">
        <f>SUM(Oct!G41,Nov!G41,Dec!G41)</f>
        <v>339548.63</v>
      </c>
      <c r="H41" s="15">
        <f>SUM(Oct!H41, Nov!H41, Dec!H41)</f>
        <v>-223821.63</v>
      </c>
      <c r="I41" s="16">
        <f t="shared" si="11"/>
        <v>-0.65917400402999715</v>
      </c>
    </row>
    <row r="42" spans="1:9" ht="15.75">
      <c r="A42" s="48" t="str">
        <v>Muroc Joint USD - District Office</v>
      </c>
      <c r="B42" s="9" t="str">
        <v>CA</v>
      </c>
      <c r="C42" s="11">
        <f>SUM(Oct!C42, Nov!C42, Dec!C42)</f>
        <v>14635</v>
      </c>
      <c r="D42" s="18">
        <f>SUM(Oct!D42, Nov!D42, Dec!D42)</f>
        <v>0</v>
      </c>
      <c r="E42" s="18">
        <f t="shared" si="9"/>
        <v>14635</v>
      </c>
      <c r="F42" s="19" t="str">
        <f t="shared" si="10"/>
        <v/>
      </c>
      <c r="G42" s="67">
        <f>SUM(Oct!G42,Nov!G42,Dec!G42)</f>
        <v>21130.510000000002</v>
      </c>
      <c r="H42" s="20">
        <f>SUM(Oct!H42, Nov!H42, Dec!H42)</f>
        <v>-6495.5100000000011</v>
      </c>
      <c r="I42" s="19">
        <f t="shared" si="11"/>
        <v>-0.30739958477102541</v>
      </c>
    </row>
    <row r="43" spans="1:9" ht="15.75">
      <c r="A43" s="49" t="str">
        <v>Whole Foods - Manhattan Beach</v>
      </c>
      <c r="B43" s="10" t="str">
        <v>CA</v>
      </c>
      <c r="C43" s="24">
        <f>SUM(Oct!C43, Nov!C43, Dec!C43)</f>
        <v>36393</v>
      </c>
      <c r="D43" s="13">
        <f>SUM(Oct!D43, Nov!D43, Dec!D43)</f>
        <v>0</v>
      </c>
      <c r="E43" s="13">
        <f t="shared" si="9"/>
        <v>36393</v>
      </c>
      <c r="F43" s="14" t="str">
        <f t="shared" si="10"/>
        <v/>
      </c>
      <c r="G43" s="65">
        <f>SUM(Oct!G43,Nov!G43,Dec!G43)</f>
        <v>45314.57</v>
      </c>
      <c r="H43" s="15">
        <f>SUM(Oct!H43, Nov!H43, Dec!H43)</f>
        <v>-8921.57</v>
      </c>
      <c r="I43" s="16">
        <f t="shared" si="11"/>
        <v>-0.19688082663037518</v>
      </c>
    </row>
    <row r="44" spans="1:9" ht="15.75">
      <c r="A44" s="48" t="str">
        <v>Pioneer USD - Frontier ES</v>
      </c>
      <c r="B44" s="9" t="str">
        <v>CA</v>
      </c>
      <c r="C44" s="11">
        <f>SUM(Oct!C44, Nov!C44, Dec!C44)</f>
        <v>48954</v>
      </c>
      <c r="D44" s="18">
        <f>SUM(Oct!D44, Nov!D44, Dec!D44)</f>
        <v>0</v>
      </c>
      <c r="E44" s="18">
        <f t="shared" si="9"/>
        <v>48954</v>
      </c>
      <c r="F44" s="19" t="str">
        <f t="shared" si="10"/>
        <v/>
      </c>
      <c r="G44" s="67">
        <f>SUM(Oct!G44,Nov!G44,Dec!G44)</f>
        <v>63960.17</v>
      </c>
      <c r="H44" s="20">
        <f>SUM(Oct!H44, Nov!H44, Dec!H44)</f>
        <v>-15006.17</v>
      </c>
      <c r="I44" s="19">
        <f t="shared" si="11"/>
        <v>-0.2346174189343149</v>
      </c>
    </row>
    <row r="45" spans="1:9" ht="15.75">
      <c r="A45" s="49" t="str">
        <v>Pioneer USD - Pioneer ES</v>
      </c>
      <c r="B45" s="10" t="str">
        <v>CA</v>
      </c>
      <c r="C45" s="24">
        <f>SUM(Oct!C45, Nov!C45, Dec!C45)</f>
        <v>11859</v>
      </c>
      <c r="D45" s="13">
        <f>SUM(Oct!D45, Nov!D45, Dec!D45)</f>
        <v>0</v>
      </c>
      <c r="E45" s="13">
        <f t="shared" si="9"/>
        <v>11859</v>
      </c>
      <c r="F45" s="14" t="str">
        <f t="shared" si="10"/>
        <v/>
      </c>
      <c r="G45" s="65">
        <f>SUM(Oct!G45,Nov!G45,Dec!G45)</f>
        <v>65108.490000000005</v>
      </c>
      <c r="H45" s="15">
        <f>SUM(Oct!H45, Nov!H45, Dec!H45)</f>
        <v>-53249.490000000005</v>
      </c>
      <c r="I45" s="16">
        <f t="shared" si="11"/>
        <v>-0.81785785540411093</v>
      </c>
    </row>
    <row r="46" spans="1:9" ht="15.75">
      <c r="A46" s="48" t="str">
        <v>Pioneer USD - Pioneer MS</v>
      </c>
      <c r="B46" s="9" t="str">
        <v>CA</v>
      </c>
      <c r="C46" s="11">
        <f>SUM(Oct!C46, Nov!C46, Dec!C46)</f>
        <v>62754</v>
      </c>
      <c r="D46" s="18">
        <f>SUM(Oct!D46, Nov!D46, Dec!D46)</f>
        <v>0</v>
      </c>
      <c r="E46" s="18">
        <f t="shared" si="9"/>
        <v>62754</v>
      </c>
      <c r="F46" s="19" t="str">
        <f t="shared" si="10"/>
        <v/>
      </c>
      <c r="G46" s="67">
        <f>SUM(Oct!G46,Nov!G46,Dec!G46)</f>
        <v>87852.099999999991</v>
      </c>
      <c r="H46" s="20">
        <f>SUM(Oct!H46, Nov!H46, Dec!H46)</f>
        <v>-25098.1</v>
      </c>
      <c r="I46" s="19">
        <f t="shared" si="11"/>
        <v>-0.28568582879635207</v>
      </c>
    </row>
    <row r="47" spans="1:9" ht="15.75">
      <c r="A47" s="49" t="str">
        <v>Kingsburg Joint UHSD - Kingsburg HS</v>
      </c>
      <c r="B47" s="10" t="str">
        <v>CA</v>
      </c>
      <c r="C47" s="24">
        <f>SUM(Oct!C47, Nov!C47, Dec!C47)</f>
        <v>72697</v>
      </c>
      <c r="D47" s="13">
        <f>SUM(Oct!D47, Nov!D47, Dec!D47)</f>
        <v>0</v>
      </c>
      <c r="E47" s="13">
        <f t="shared" si="9"/>
        <v>72697</v>
      </c>
      <c r="F47" s="14" t="str">
        <f t="shared" si="10"/>
        <v/>
      </c>
      <c r="G47" s="65">
        <f>SUM(Oct!G47,Nov!G47,Dec!G47)</f>
        <v>155347.25</v>
      </c>
      <c r="H47" s="15">
        <f>SUM(Oct!H47, Nov!H47, Dec!H47)</f>
        <v>-82650.25</v>
      </c>
      <c r="I47" s="16">
        <f t="shared" si="11"/>
        <v>-0.53203548823683711</v>
      </c>
    </row>
    <row r="48" spans="1:9" ht="15.75">
      <c r="A48" s="48" t="str">
        <v>CADRB</v>
      </c>
      <c r="B48" s="9" t="str">
        <v>CA</v>
      </c>
      <c r="C48" s="11">
        <f>SUM(Oct!C48, Nov!C48, Dec!C48)</f>
        <v>205381</v>
      </c>
      <c r="D48" s="18">
        <f>SUM(Oct!D48, Nov!D48, Dec!D48)</f>
        <v>0</v>
      </c>
      <c r="E48" s="18">
        <f t="shared" si="9"/>
        <v>205381</v>
      </c>
      <c r="F48" s="19" t="str">
        <f t="shared" si="10"/>
        <v/>
      </c>
      <c r="G48" s="67">
        <f>SUM(Oct!G48,Nov!G48,Dec!G48)</f>
        <v>1470873</v>
      </c>
      <c r="H48" s="20">
        <f>SUM(Oct!H48, Nov!H48, Dec!H48)</f>
        <v>-1265492</v>
      </c>
      <c r="I48" s="19">
        <f t="shared" si="11"/>
        <v>-0.8603679583485454</v>
      </c>
    </row>
    <row r="49" spans="1:9" ht="15.75">
      <c r="A49" s="49" t="str">
        <v>CDCR-CA State Prison LA County</v>
      </c>
      <c r="B49" s="10" t="str">
        <v>CA</v>
      </c>
      <c r="C49" s="24">
        <f>SUM(Oct!C49, Nov!C49, Dec!C49)</f>
        <v>489447</v>
      </c>
      <c r="D49" s="13">
        <f>SUM(Oct!D49, Nov!D49, Dec!D49)</f>
        <v>0</v>
      </c>
      <c r="E49" s="13">
        <f t="shared" si="9"/>
        <v>489447</v>
      </c>
      <c r="F49" s="14" t="str">
        <f t="shared" si="10"/>
        <v/>
      </c>
      <c r="G49" s="65">
        <f>SUM(Oct!G49,Nov!G49,Dec!G49)</f>
        <v>890052.16</v>
      </c>
      <c r="H49" s="15">
        <f>SUM(Oct!H49, Nov!H49, Dec!H49)</f>
        <v>-400605.16000000003</v>
      </c>
      <c r="I49" s="16">
        <f t="shared" si="11"/>
        <v>-0.45009177889080121</v>
      </c>
    </row>
    <row r="50" spans="1:9" ht="15.75">
      <c r="A50" s="48" t="str">
        <v>Central USD Akers ES</v>
      </c>
      <c r="B50" s="9" t="str">
        <v>CA</v>
      </c>
      <c r="C50" s="11">
        <f>SUM(Oct!C50, Nov!C50, Dec!C50)</f>
        <v>42504</v>
      </c>
      <c r="D50" s="18">
        <f>SUM(Oct!D50, Nov!D50, Dec!D50)</f>
        <v>0</v>
      </c>
      <c r="E50" s="18">
        <f t="shared" si="9"/>
        <v>42504</v>
      </c>
      <c r="F50" s="19" t="str">
        <f t="shared" si="10"/>
        <v/>
      </c>
      <c r="G50" s="67">
        <f>SUM(Oct!G50,Nov!G50,Dec!G50)</f>
        <v>63040.57</v>
      </c>
      <c r="H50" s="20">
        <f>SUM(Oct!H50, Nov!H50, Dec!H50)</f>
        <v>-20536.57</v>
      </c>
      <c r="I50" s="19">
        <f t="shared" si="11"/>
        <v>-0.32576751764776241</v>
      </c>
    </row>
    <row r="51" spans="1:9" ht="15.75">
      <c r="A51" s="49" t="str">
        <v>CUSD - District Office</v>
      </c>
      <c r="B51" s="10" t="str">
        <v>CA</v>
      </c>
      <c r="C51" s="24">
        <f>SUM(Oct!C51, Nov!C51, Dec!C51)</f>
        <v>39571</v>
      </c>
      <c r="D51" s="13">
        <f>SUM(Oct!D51, Nov!D51, Dec!D51)</f>
        <v>0</v>
      </c>
      <c r="E51" s="13">
        <f t="shared" si="9"/>
        <v>39571</v>
      </c>
      <c r="F51" s="14" t="str">
        <f t="shared" si="10"/>
        <v/>
      </c>
      <c r="G51" s="65">
        <f>SUM(Oct!G51,Nov!G51,Dec!G51)</f>
        <v>46466.29</v>
      </c>
      <c r="H51" s="15">
        <f>SUM(Oct!H51, Nov!H51, Dec!H51)</f>
        <v>-6895.2899999999991</v>
      </c>
      <c r="I51" s="16">
        <f t="shared" si="11"/>
        <v>-0.14839338367663954</v>
      </c>
    </row>
    <row r="52" spans="1:9" ht="15.75">
      <c r="A52" s="48" t="str">
        <v>Parlier - WTP</v>
      </c>
      <c r="B52" s="9" t="str">
        <v>CA</v>
      </c>
      <c r="C52" s="11">
        <f>SUM(Oct!C52, Nov!C52, Dec!C52)</f>
        <v>34545</v>
      </c>
      <c r="D52" s="18">
        <f>SUM(Oct!D52, Nov!D52, Dec!D52)</f>
        <v>0</v>
      </c>
      <c r="E52" s="18">
        <f t="shared" si="9"/>
        <v>34545</v>
      </c>
      <c r="F52" s="19" t="str">
        <f t="shared" si="10"/>
        <v/>
      </c>
      <c r="G52" s="67">
        <f>SUM(Oct!G52,Nov!G52,Dec!G52)</f>
        <v>127895.66999999998</v>
      </c>
      <c r="H52" s="20">
        <f>SUM(Oct!H52, Nov!H52, Dec!H52)</f>
        <v>-93350.669999999984</v>
      </c>
      <c r="I52" s="19">
        <f t="shared" si="11"/>
        <v>-0.72989703247967652</v>
      </c>
    </row>
    <row r="53" spans="1:9" ht="15.75">
      <c r="A53" s="49" t="str">
        <v>Snowline SD - Quail Valley MS</v>
      </c>
      <c r="B53" s="10" t="str">
        <v>CA</v>
      </c>
      <c r="C53" s="24">
        <f>SUM(Oct!C53, Nov!C53, Dec!C53)</f>
        <v>54268</v>
      </c>
      <c r="D53" s="13">
        <f>SUM(Oct!D53, Nov!D53, Dec!D53)</f>
        <v>0</v>
      </c>
      <c r="E53" s="13">
        <f t="shared" si="9"/>
        <v>54268</v>
      </c>
      <c r="F53" s="14" t="str">
        <f t="shared" si="10"/>
        <v/>
      </c>
      <c r="G53" s="65">
        <f>SUM(Oct!G53,Nov!G53,Dec!G53)</f>
        <v>80146.02</v>
      </c>
      <c r="H53" s="15">
        <f>SUM(Oct!H53, Nov!H53, Dec!H53)</f>
        <v>-25878.02</v>
      </c>
      <c r="I53" s="16">
        <f t="shared" si="11"/>
        <v>-0.32288590250645011</v>
      </c>
    </row>
    <row r="54" spans="1:9" ht="15.75">
      <c r="A54" s="48" t="str">
        <v>Snowline SD - Serrano HS - Middle Lot</v>
      </c>
      <c r="B54" s="9" t="str">
        <v>CA</v>
      </c>
      <c r="C54" s="11">
        <f>SUM(Oct!C54, Nov!C54, Dec!C54)</f>
        <v>55250</v>
      </c>
      <c r="D54" s="18">
        <f>SUM(Oct!D54, Nov!D54, Dec!D54)</f>
        <v>0</v>
      </c>
      <c r="E54" s="18">
        <f t="shared" si="9"/>
        <v>55250</v>
      </c>
      <c r="F54" s="19" t="str">
        <f t="shared" si="10"/>
        <v/>
      </c>
      <c r="G54" s="67">
        <f>SUM(Oct!G54,Nov!G54,Dec!G54)</f>
        <v>90954.933000000005</v>
      </c>
      <c r="H54" s="20">
        <f>SUM(Oct!H54, Nov!H54, Dec!H54)</f>
        <v>-35704.933000000005</v>
      </c>
      <c r="I54" s="19">
        <f t="shared" si="11"/>
        <v>-0.39255631137675623</v>
      </c>
    </row>
    <row r="55" spans="1:9" ht="15.75">
      <c r="A55" s="49" t="str">
        <v>Snowline SD - Pinon Hills ES</v>
      </c>
      <c r="B55" s="10" t="str">
        <v>CA</v>
      </c>
      <c r="C55" s="24">
        <f>SUM(Oct!C55, Nov!C55, Dec!C55)</f>
        <v>28200</v>
      </c>
      <c r="D55" s="13">
        <f>SUM(Oct!D55, Nov!D55, Dec!D55)</f>
        <v>0</v>
      </c>
      <c r="E55" s="13">
        <f t="shared" si="9"/>
        <v>28200</v>
      </c>
      <c r="F55" s="14" t="str">
        <f t="shared" si="10"/>
        <v/>
      </c>
      <c r="G55" s="65">
        <f>SUM(Oct!G55,Nov!G55,Dec!G55)</f>
        <v>52031.8</v>
      </c>
      <c r="H55" s="15">
        <f>SUM(Oct!H55, Nov!H55, Dec!H55)</f>
        <v>-23831.800000000003</v>
      </c>
      <c r="I55" s="16">
        <f t="shared" si="11"/>
        <v>-0.45802374701624776</v>
      </c>
    </row>
    <row r="56" spans="1:9" ht="15.75">
      <c r="A56" s="48" t="str">
        <v>Ramona - Santa Maria WTP</v>
      </c>
      <c r="B56" s="9" t="str">
        <v>CA</v>
      </c>
      <c r="C56" s="11">
        <f>SUM(Oct!C56, Nov!C56, Dec!C56)</f>
        <v>50113</v>
      </c>
      <c r="D56" s="18">
        <f>SUM(Oct!D56, Nov!D56, Dec!D56)</f>
        <v>0</v>
      </c>
      <c r="E56" s="18">
        <f t="shared" si="9"/>
        <v>50113</v>
      </c>
      <c r="F56" s="19" t="str">
        <f t="shared" si="10"/>
        <v/>
      </c>
      <c r="G56" s="67">
        <f>SUM(Oct!G56,Nov!G56,Dec!G56)</f>
        <v>167038.90000000002</v>
      </c>
      <c r="H56" s="20">
        <f>SUM(Oct!H56, Nov!H56, Dec!H56)</f>
        <v>-116925.90000000001</v>
      </c>
      <c r="I56" s="19">
        <f t="shared" si="11"/>
        <v>-0.69999203778281582</v>
      </c>
    </row>
    <row r="57" spans="1:9" ht="15.75">
      <c r="A57" s="49" t="str">
        <v>Kohls - Redding</v>
      </c>
      <c r="B57" s="10" t="str">
        <v>CA</v>
      </c>
      <c r="C57" s="24">
        <f>SUM(Oct!C57, Nov!C57, Dec!C57)</f>
        <v>56604</v>
      </c>
      <c r="D57" s="13">
        <f>SUM(Oct!D57, Nov!D57, Dec!D57)</f>
        <v>0</v>
      </c>
      <c r="E57" s="13">
        <f t="shared" si="9"/>
        <v>56604</v>
      </c>
      <c r="F57" s="14" t="str">
        <f t="shared" si="10"/>
        <v/>
      </c>
      <c r="G57" s="65">
        <f>SUM(Oct!G57,Nov!G57,Dec!G57)</f>
        <v>55948.25</v>
      </c>
      <c r="H57" s="15">
        <f>SUM(Oct!H57, Nov!H57, Dec!H57)</f>
        <v>655.75</v>
      </c>
      <c r="I57" s="16">
        <f t="shared" si="11"/>
        <v>1.1720652567327842E-2</v>
      </c>
    </row>
    <row r="58" spans="1:9" ht="15.75">
      <c r="A58" s="48" t="str">
        <v>Kohls - Salinas</v>
      </c>
      <c r="B58" s="9" t="str">
        <v>CA</v>
      </c>
      <c r="C58" s="11">
        <f>SUM(Oct!C58, Nov!C58, Dec!C58)</f>
        <v>71613</v>
      </c>
      <c r="D58" s="18">
        <f>SUM(Oct!D58, Nov!D58, Dec!D58)</f>
        <v>0</v>
      </c>
      <c r="E58" s="18">
        <f t="shared" si="9"/>
        <v>71613</v>
      </c>
      <c r="F58" s="19" t="str">
        <f t="shared" si="10"/>
        <v/>
      </c>
      <c r="G58" s="67">
        <f>SUM(Oct!G58,Nov!G58,Dec!G58)</f>
        <v>89434.239999999991</v>
      </c>
      <c r="H58" s="20">
        <f>SUM(Oct!H58, Nov!H58, Dec!H58)</f>
        <v>-17821.239999999998</v>
      </c>
      <c r="I58" s="19">
        <f t="shared" si="11"/>
        <v>-0.19926641071696924</v>
      </c>
    </row>
    <row r="59" spans="1:9" ht="15.75">
      <c r="A59" s="49" t="str">
        <v>Kohls - San Bernardino - Central</v>
      </c>
      <c r="B59" s="10" t="str">
        <v>CA</v>
      </c>
      <c r="C59" s="24">
        <f>SUM(Oct!C59, Nov!C59, Dec!C59)</f>
        <v>311371</v>
      </c>
      <c r="D59" s="13">
        <f>SUM(Oct!D59, Nov!D59, Dec!D59)</f>
        <v>0</v>
      </c>
      <c r="E59" s="13">
        <f t="shared" si="9"/>
        <v>311371</v>
      </c>
      <c r="F59" s="14" t="str">
        <f t="shared" si="10"/>
        <v/>
      </c>
      <c r="G59" s="65">
        <f>SUM(Oct!G59,Nov!G59,Dec!G59)</f>
        <v>339327.12</v>
      </c>
      <c r="H59" s="15">
        <f>SUM(Oct!H59, Nov!H59, Dec!H59)</f>
        <v>-27956.119999999995</v>
      </c>
      <c r="I59" s="16">
        <f t="shared" si="11"/>
        <v>-8.2386930935552674E-2</v>
      </c>
    </row>
    <row r="60" spans="1:9" ht="15.75">
      <c r="A60" s="48" t="str">
        <v>Kohls - Sonora</v>
      </c>
      <c r="B60" s="9" t="str">
        <v>CA</v>
      </c>
      <c r="C60" s="11">
        <f>SUM(Oct!C60, Nov!C60, Dec!C60)</f>
        <v>51868</v>
      </c>
      <c r="D60" s="18">
        <f>SUM(Oct!D60, Nov!D60, Dec!D60)</f>
        <v>0</v>
      </c>
      <c r="E60" s="18">
        <f t="shared" si="9"/>
        <v>51868</v>
      </c>
      <c r="F60" s="19" t="str">
        <f t="shared" si="10"/>
        <v/>
      </c>
      <c r="G60" s="67">
        <f>SUM(Oct!G60,Nov!G60,Dec!G60)</f>
        <v>59011.76</v>
      </c>
      <c r="H60" s="20">
        <f>SUM(Oct!H60, Nov!H60, Dec!H60)</f>
        <v>-7143.76</v>
      </c>
      <c r="I60" s="19">
        <f t="shared" si="11"/>
        <v>-0.12105654872859241</v>
      </c>
    </row>
    <row r="61" spans="1:9" ht="15.75">
      <c r="A61" s="49" t="str">
        <v>CUSD - Stratford ES</v>
      </c>
      <c r="B61" s="10" t="str">
        <v>CA</v>
      </c>
      <c r="C61" s="24">
        <f>SUM(Oct!C61, Nov!C61, Dec!C61)</f>
        <v>45310</v>
      </c>
      <c r="D61" s="13">
        <f>SUM(Oct!D61, Nov!D61, Dec!D61)</f>
        <v>0</v>
      </c>
      <c r="E61" s="13">
        <f t="shared" si="9"/>
        <v>45310</v>
      </c>
      <c r="F61" s="14" t="str">
        <f t="shared" si="10"/>
        <v/>
      </c>
      <c r="G61" s="65">
        <f>SUM(Oct!G61,Nov!G61,Dec!G61)</f>
        <v>42837.39</v>
      </c>
      <c r="H61" s="15">
        <f>SUM(Oct!H61, Nov!H61, Dec!H61)</f>
        <v>2472.6100000000006</v>
      </c>
      <c r="I61" s="16">
        <f t="shared" si="11"/>
        <v>5.7720836867045371E-2</v>
      </c>
    </row>
    <row r="62" spans="1:9" ht="15.75">
      <c r="A62" s="48" t="str">
        <v>Taft - City Hall</v>
      </c>
      <c r="B62" s="9" t="str">
        <v>CA</v>
      </c>
      <c r="C62" s="11">
        <f>SUM(Oct!C62, Nov!C62, Dec!C62)</f>
        <v>9713</v>
      </c>
      <c r="D62" s="18">
        <f>SUM(Oct!D62, Nov!D62, Dec!D62)</f>
        <v>0</v>
      </c>
      <c r="E62" s="18">
        <f t="shared" si="9"/>
        <v>9713</v>
      </c>
      <c r="F62" s="19" t="str">
        <f t="shared" si="10"/>
        <v/>
      </c>
      <c r="G62" s="67">
        <f>SUM(Oct!G62,Nov!G62,Dec!G62)</f>
        <v>17224.14</v>
      </c>
      <c r="H62" s="20">
        <f>SUM(Oct!H62, Nov!H62, Dec!H62)</f>
        <v>-7511.1399999999994</v>
      </c>
      <c r="I62" s="19">
        <f t="shared" si="11"/>
        <v>-0.43608214981996196</v>
      </c>
    </row>
    <row r="63" spans="1:9" ht="15.75">
      <c r="A63" s="49" t="str">
        <v>Taft - Federal Prison</v>
      </c>
      <c r="B63" s="10" t="str">
        <v>CA</v>
      </c>
      <c r="C63" s="24">
        <f>SUM(Oct!C63, Nov!C63, Dec!C63)</f>
        <v>32697</v>
      </c>
      <c r="D63" s="13">
        <f>SUM(Oct!D63, Nov!D63, Dec!D63)</f>
        <v>0</v>
      </c>
      <c r="E63" s="13">
        <f t="shared" si="9"/>
        <v>32697</v>
      </c>
      <c r="F63" s="14" t="str">
        <f t="shared" si="10"/>
        <v/>
      </c>
      <c r="G63" s="65">
        <f>SUM(Oct!G63,Nov!G63,Dec!G63)</f>
        <v>30337.699999999997</v>
      </c>
      <c r="H63" s="15">
        <f>SUM(Oct!H63, Nov!H63, Dec!H63)</f>
        <v>2359.3000000000002</v>
      </c>
      <c r="I63" s="16">
        <f t="shared" si="11"/>
        <v>7.7767925716188124E-2</v>
      </c>
    </row>
    <row r="64" spans="1:9" ht="15.75">
      <c r="A64" s="48" t="str">
        <v>Taft - Police Department</v>
      </c>
      <c r="B64" s="9" t="str">
        <v>CA</v>
      </c>
      <c r="C64" s="11">
        <f>SUM(Oct!C64, Nov!C64, Dec!C64)</f>
        <v>21329</v>
      </c>
      <c r="D64" s="18">
        <f>SUM(Oct!D64, Nov!D64, Dec!D64)</f>
        <v>0</v>
      </c>
      <c r="E64" s="18">
        <f t="shared" si="9"/>
        <v>21329</v>
      </c>
      <c r="F64" s="19" t="str">
        <f t="shared" si="10"/>
        <v/>
      </c>
      <c r="G64" s="67">
        <f>SUM(Oct!G64,Nov!G64,Dec!G64)</f>
        <v>19767.45</v>
      </c>
      <c r="H64" s="20">
        <f>SUM(Oct!H64, Nov!H64, Dec!H64)</f>
        <v>1561.5500000000002</v>
      </c>
      <c r="I64" s="19">
        <f t="shared" si="11"/>
        <v>7.8996026295753891E-2</v>
      </c>
    </row>
    <row r="65" spans="1:9" ht="15.75">
      <c r="A65" s="49" t="str">
        <v>Taft - WTP</v>
      </c>
      <c r="B65" s="10" t="str">
        <v>CA</v>
      </c>
      <c r="C65" s="24">
        <f>SUM(Oct!C65, Nov!C65, Dec!C65)</f>
        <v>0</v>
      </c>
      <c r="D65" s="13">
        <f>SUM(Oct!D65, Nov!D65, Dec!D65)</f>
        <v>0</v>
      </c>
      <c r="E65" s="13">
        <f t="shared" si="9"/>
        <v>0</v>
      </c>
      <c r="F65" s="14" t="str">
        <f t="shared" si="10"/>
        <v/>
      </c>
      <c r="G65" s="65">
        <f>SUM(Oct!G65,Nov!G65,Dec!G65)</f>
        <v>134312.56</v>
      </c>
      <c r="H65" s="15">
        <f>SUM(Oct!H65, Nov!H65, Dec!H65)</f>
        <v>-134312.56</v>
      </c>
      <c r="I65" s="16">
        <f t="shared" si="11"/>
        <v>-1</v>
      </c>
    </row>
    <row r="66" spans="1:9" ht="15.75">
      <c r="A66" s="48" t="str">
        <v>CDCR - CA Correctional Institution</v>
      </c>
      <c r="B66" s="9" t="str">
        <v>CA</v>
      </c>
      <c r="C66" s="11">
        <f>SUM(Oct!C66, Nov!C66, Dec!C66)</f>
        <v>320294</v>
      </c>
      <c r="D66" s="18">
        <f>SUM(Oct!D66, Nov!D66, Dec!D66)</f>
        <v>0</v>
      </c>
      <c r="E66" s="18">
        <f t="shared" si="9"/>
        <v>320294</v>
      </c>
      <c r="F66" s="19" t="str">
        <f t="shared" si="10"/>
        <v/>
      </c>
      <c r="G66" s="67">
        <f>SUM(Oct!G66,Nov!G66,Dec!G66)</f>
        <v>395790.17</v>
      </c>
      <c r="H66" s="20">
        <f>SUM(Oct!H66, Nov!H66, Dec!H66)</f>
        <v>-75496.17</v>
      </c>
      <c r="I66" s="19">
        <f t="shared" si="11"/>
        <v>-0.19074796627718169</v>
      </c>
    </row>
    <row r="67" spans="1:9" ht="15.75">
      <c r="A67" s="49" t="str">
        <v>CDCR - CA Correctional Institution II</v>
      </c>
      <c r="B67" s="10" t="str">
        <v>CA</v>
      </c>
      <c r="C67" s="24">
        <f>SUM(Oct!C67, Nov!C67, Dec!C67)</f>
        <v>287807</v>
      </c>
      <c r="D67" s="13">
        <f>SUM(Oct!D67, Nov!D67, Dec!D67)</f>
        <v>0</v>
      </c>
      <c r="E67" s="13">
        <f t="shared" si="9"/>
        <v>287807</v>
      </c>
      <c r="F67" s="14" t="str">
        <f t="shared" si="10"/>
        <v/>
      </c>
      <c r="G67" s="65">
        <f>SUM(Oct!G67,Nov!G67,Dec!G67)</f>
        <v>618049.24200000009</v>
      </c>
      <c r="H67" s="15">
        <f>SUM(Oct!H67, Nov!H67, Dec!H67)</f>
        <v>-330242.24200000003</v>
      </c>
      <c r="I67" s="16">
        <f t="shared" si="11"/>
        <v>-0.5343299846648788</v>
      </c>
    </row>
    <row r="68" spans="1:9" ht="15.75">
      <c r="A68" s="48" t="str">
        <v>Snowline SD - Vista Verde ES</v>
      </c>
      <c r="B68" s="9" t="str">
        <v>CA</v>
      </c>
      <c r="C68" s="11">
        <f>SUM(Oct!C68, Nov!C68, Dec!C68)</f>
        <v>52251</v>
      </c>
      <c r="D68" s="18">
        <f>SUM(Oct!D68, Nov!D68, Dec!D68)</f>
        <v>0</v>
      </c>
      <c r="E68" s="18">
        <f t="shared" si="9"/>
        <v>52251</v>
      </c>
      <c r="F68" s="19" t="str">
        <f t="shared" si="10"/>
        <v/>
      </c>
      <c r="G68" s="67">
        <f>SUM(Oct!G68,Nov!G68,Dec!G68)</f>
        <v>58063.96</v>
      </c>
      <c r="H68" s="20">
        <f>SUM(Oct!H68, Nov!H68, Dec!H68)</f>
        <v>-5812.9600000000009</v>
      </c>
      <c r="I68" s="19">
        <f t="shared" si="11"/>
        <v>-0.1001130477494129</v>
      </c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workbookViewId="0">
      <pane xSplit="2" ySplit="3" topLeftCell="C40" activePane="bottomRight" state="frozen"/>
      <selection pane="bottomRight" activeCell="J26" sqref="J26:K94"/>
      <selection pane="bottomLeft"/>
      <selection pane="topRight"/>
    </sheetView>
  </sheetViews>
  <sheetFormatPr defaultRowHeight="13.5"/>
  <cols>
    <col min="1" max="1" width="34.140625" bestFit="1" customWidth="1"/>
    <col min="2" max="2" width="5.7109375" style="34" bestFit="1" customWidth="1"/>
    <col min="3" max="3" width="9.42578125" bestFit="1" customWidth="1"/>
    <col min="4" max="4" width="9.140625" customWidth="1"/>
    <col min="5" max="5" width="8.85546875" bestFit="1" customWidth="1"/>
    <col min="6" max="6" width="4.28515625" style="1" bestFit="1" customWidth="1"/>
    <col min="7" max="7" width="11" bestFit="1" customWidth="1"/>
    <col min="8" max="8" width="9.5703125" bestFit="1" customWidth="1"/>
    <col min="9" max="9" width="6.5703125" style="1" bestFit="1" customWidth="1"/>
    <col min="10" max="10" width="55" customWidth="1"/>
    <col min="11" max="11" width="20.5703125" bestFit="1" customWidth="1"/>
    <col min="12" max="20" width="9.140625" customWidth="1"/>
  </cols>
  <sheetData>
    <row r="1" spans="1:11" ht="19.5" customHeight="1">
      <c r="A1" s="99" t="str" cm="1">
        <f t="array" ref="A1">portfolio</f>
        <v>Silicon Ranch</v>
      </c>
      <c r="B1" s="99"/>
      <c r="C1" s="99"/>
      <c r="D1" s="100" t="s">
        <v>18</v>
      </c>
      <c r="E1" s="100"/>
      <c r="F1" s="100"/>
      <c r="G1" s="98" t="s">
        <v>19</v>
      </c>
      <c r="H1" s="98"/>
      <c r="I1" s="98"/>
      <c r="J1" s="4"/>
      <c r="K1" s="4"/>
    </row>
    <row r="2" spans="1:11" ht="19.5" customHeight="1">
      <c r="A2" s="101" t="s">
        <v>2</v>
      </c>
      <c r="B2" s="101"/>
      <c r="C2" s="5">
        <f>SUM(C4:C99)</f>
        <v>205652.6</v>
      </c>
      <c r="D2" s="5">
        <f>SUM(D4:D99)</f>
        <v>0</v>
      </c>
      <c r="E2" s="5">
        <f>C2-D2</f>
        <v>205652.6</v>
      </c>
      <c r="F2" s="6">
        <f>IFERROR(E2/D2, 0)</f>
        <v>0</v>
      </c>
      <c r="G2" s="5">
        <f>SUM(G4:G99)</f>
        <v>444598.28000000014</v>
      </c>
      <c r="H2" s="7">
        <f>C2-G2</f>
        <v>-238945.68000000014</v>
      </c>
      <c r="I2" s="6">
        <f>IFERROR(H2/G2, 0)</f>
        <v>-0.53744175528524329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51" t="str" cm="1">
        <f t="array" ref="A4:A68">Sites[Site]</f>
        <v>Iron Mountain - Windsor</v>
      </c>
      <c r="B4" s="29" t="str" cm="1">
        <f t="array" ref="B4:B68">Sites[State]</f>
        <v>CT</v>
      </c>
      <c r="C4" s="13">
        <v>6324</v>
      </c>
      <c r="D4" s="13">
        <v>0</v>
      </c>
      <c r="E4" s="13">
        <f>IF(AND(ISNUMBER(C4),ISNUMBER(D4)), C4-D4, "")</f>
        <v>6324</v>
      </c>
      <c r="F4" s="13" t="str">
        <f>IFERROR(E4/D4, "")</f>
        <v/>
      </c>
      <c r="G4" s="15">
        <v>13022.34</v>
      </c>
      <c r="H4" s="15">
        <f>IF(AND(ISNUMBER(C4),ISNUMBER(G4)), C4-G4, "")</f>
        <v>-6698.34</v>
      </c>
      <c r="I4" s="16">
        <f>IFERROR(H4/G4, "")</f>
        <v>-0.5143729928722488</v>
      </c>
      <c r="J4" s="41"/>
      <c r="K4" s="41"/>
    </row>
    <row r="5" spans="1:11" ht="28.5">
      <c r="A5" s="52" t="str">
        <v>Kohls - Auburn</v>
      </c>
      <c r="B5" s="31" t="str">
        <v>NY</v>
      </c>
      <c r="C5" s="18">
        <v>4362</v>
      </c>
      <c r="D5" s="18">
        <v>0</v>
      </c>
      <c r="E5" s="18">
        <f t="shared" ref="E5:E15" si="0">IF(AND(ISNUMBER(C5),ISNUMBER(D5)), C5-D5, "")</f>
        <v>4362</v>
      </c>
      <c r="F5" s="18" t="str">
        <f t="shared" ref="F5:F25" si="1">IFERROR(E5/D5, "")</f>
        <v/>
      </c>
      <c r="G5" s="20">
        <v>4782</v>
      </c>
      <c r="H5" s="20">
        <f t="shared" ref="H5:H6" si="2">IF(AND(ISNUMBER(C5),ISNUMBER(G5)), C5-G5, "")</f>
        <v>-420</v>
      </c>
      <c r="I5" s="19">
        <f t="shared" ref="I5:I6" si="3">IFERROR(H5/G5, "")</f>
        <v>-8.7829360100376411E-2</v>
      </c>
      <c r="J5" s="42" t="s">
        <v>22</v>
      </c>
      <c r="K5" s="42" t="s">
        <v>23</v>
      </c>
    </row>
    <row r="6" spans="1:11" ht="15.75">
      <c r="A6" s="53" t="str">
        <v>Kohls - Bensalem</v>
      </c>
      <c r="B6" s="29" t="str">
        <v>PA</v>
      </c>
      <c r="C6" s="13">
        <v>9630</v>
      </c>
      <c r="D6" s="13">
        <v>0</v>
      </c>
      <c r="E6" s="13">
        <f t="shared" si="0"/>
        <v>9630</v>
      </c>
      <c r="F6" s="13" t="str">
        <f t="shared" si="1"/>
        <v/>
      </c>
      <c r="G6" s="15">
        <v>15754.4</v>
      </c>
      <c r="H6" s="15">
        <f t="shared" si="2"/>
        <v>-6124.4</v>
      </c>
      <c r="I6" s="16">
        <f t="shared" si="3"/>
        <v>-0.38874219265728938</v>
      </c>
      <c r="J6" s="41"/>
      <c r="K6" s="41"/>
    </row>
    <row r="7" spans="1:11" ht="15.75">
      <c r="A7" s="52" t="str">
        <v>Kohls - Brick</v>
      </c>
      <c r="B7" s="31" t="str">
        <v>NJ</v>
      </c>
      <c r="C7" s="18">
        <v>11393</v>
      </c>
      <c r="D7" s="18">
        <v>0</v>
      </c>
      <c r="E7" s="18">
        <f t="shared" si="0"/>
        <v>11393</v>
      </c>
      <c r="F7" s="18" t="str">
        <f t="shared" si="1"/>
        <v/>
      </c>
      <c r="G7" s="20">
        <v>16696.5</v>
      </c>
      <c r="H7" s="20">
        <f t="shared" ref="H7:H15" si="4">IF(AND(ISNUMBER(C7),ISNUMBER(G7)), C7-G7, "")</f>
        <v>-5303.5</v>
      </c>
      <c r="I7" s="19">
        <f t="shared" ref="I7:I15" si="5">IFERROR(H7/G7, "")</f>
        <v>-0.31764142185487976</v>
      </c>
      <c r="J7" s="42"/>
      <c r="K7" s="42"/>
    </row>
    <row r="8" spans="1:11" ht="15.75">
      <c r="A8" s="53" t="str">
        <v>Kohls - Buffalo</v>
      </c>
      <c r="B8" s="29" t="str">
        <v>NY</v>
      </c>
      <c r="C8" s="13">
        <v>3961</v>
      </c>
      <c r="D8" s="13">
        <v>0</v>
      </c>
      <c r="E8" s="13">
        <f t="shared" si="0"/>
        <v>3961</v>
      </c>
      <c r="F8" s="13" t="str">
        <f t="shared" si="1"/>
        <v/>
      </c>
      <c r="G8" s="15">
        <v>8044.58</v>
      </c>
      <c r="H8" s="15">
        <f t="shared" si="4"/>
        <v>-4083.58</v>
      </c>
      <c r="I8" s="16">
        <f t="shared" si="5"/>
        <v>-0.5076187942689363</v>
      </c>
      <c r="J8" s="41"/>
      <c r="K8" s="41"/>
    </row>
    <row r="9" spans="1:11" ht="15.75">
      <c r="A9" s="52" t="str">
        <v>Kohls - Canton</v>
      </c>
      <c r="B9" s="31" t="str">
        <v>CT</v>
      </c>
      <c r="C9" s="18">
        <v>2979</v>
      </c>
      <c r="D9" s="18">
        <v>0</v>
      </c>
      <c r="E9" s="18">
        <f t="shared" si="0"/>
        <v>2979</v>
      </c>
      <c r="F9" s="18" t="str">
        <f t="shared" si="1"/>
        <v/>
      </c>
      <c r="G9" s="20">
        <v>5837.36</v>
      </c>
      <c r="H9" s="20">
        <f t="shared" si="4"/>
        <v>-2858.3599999999997</v>
      </c>
      <c r="I9" s="19">
        <f t="shared" si="5"/>
        <v>-0.48966656159633803</v>
      </c>
      <c r="J9" s="42"/>
      <c r="K9" s="42"/>
    </row>
    <row r="10" spans="1:11" ht="15.75">
      <c r="A10" s="53" t="str">
        <v>Kohls - East Amherst</v>
      </c>
      <c r="B10" s="29" t="str">
        <v>NY</v>
      </c>
      <c r="C10" s="13">
        <v>2767</v>
      </c>
      <c r="D10" s="13">
        <v>0</v>
      </c>
      <c r="E10" s="13">
        <f t="shared" si="0"/>
        <v>2767</v>
      </c>
      <c r="F10" s="13" t="str">
        <f t="shared" si="1"/>
        <v/>
      </c>
      <c r="G10" s="15">
        <v>8482.7000000000007</v>
      </c>
      <c r="H10" s="15">
        <f t="shared" si="4"/>
        <v>-5715.7000000000007</v>
      </c>
      <c r="I10" s="16">
        <f t="shared" si="5"/>
        <v>-0.67380668890801276</v>
      </c>
      <c r="J10" s="41"/>
      <c r="K10" s="41"/>
    </row>
    <row r="11" spans="1:11" ht="15.75">
      <c r="A11" s="52" t="str">
        <v>Kohls - East Brunswick</v>
      </c>
      <c r="B11" s="31" t="str">
        <v>NJ</v>
      </c>
      <c r="C11" s="18">
        <v>973</v>
      </c>
      <c r="D11" s="18">
        <v>0</v>
      </c>
      <c r="E11" s="18">
        <f t="shared" si="0"/>
        <v>973</v>
      </c>
      <c r="F11" s="18" t="str">
        <f t="shared" si="1"/>
        <v/>
      </c>
      <c r="G11" s="20">
        <v>23294.45</v>
      </c>
      <c r="H11" s="20">
        <f t="shared" si="4"/>
        <v>-22321.45</v>
      </c>
      <c r="I11" s="19">
        <f t="shared" si="5"/>
        <v>-0.95823039393503606</v>
      </c>
      <c r="J11" s="42"/>
      <c r="K11" s="42"/>
    </row>
    <row r="12" spans="1:11" ht="15.75">
      <c r="A12" s="53" t="str">
        <v>Kohls - Edgewood</v>
      </c>
      <c r="B12" s="29" t="str">
        <v>MD</v>
      </c>
      <c r="C12" s="13">
        <v>71866</v>
      </c>
      <c r="D12" s="13">
        <v>0</v>
      </c>
      <c r="E12" s="13">
        <f t="shared" si="0"/>
        <v>71866</v>
      </c>
      <c r="F12" s="13" t="str">
        <f t="shared" si="1"/>
        <v/>
      </c>
      <c r="G12" s="15">
        <v>136238.63</v>
      </c>
      <c r="H12" s="15">
        <f t="shared" si="4"/>
        <v>-64372.630000000005</v>
      </c>
      <c r="I12" s="16">
        <f t="shared" si="5"/>
        <v>-0.47249909955788605</v>
      </c>
      <c r="J12" s="41" t="s">
        <v>24</v>
      </c>
      <c r="K12" s="41" t="s">
        <v>25</v>
      </c>
    </row>
    <row r="13" spans="1:11" ht="15.75">
      <c r="A13" s="52" t="str">
        <v>Kohls - Granite Run</v>
      </c>
      <c r="B13" s="31" t="str">
        <v>PA</v>
      </c>
      <c r="C13" s="18">
        <v>9421</v>
      </c>
      <c r="D13" s="18">
        <v>0</v>
      </c>
      <c r="E13" s="18">
        <f t="shared" si="0"/>
        <v>9421</v>
      </c>
      <c r="F13" s="18" t="str">
        <f t="shared" si="1"/>
        <v/>
      </c>
      <c r="G13" s="20">
        <v>16020.95</v>
      </c>
      <c r="H13" s="20">
        <f t="shared" si="4"/>
        <v>-6599.9500000000007</v>
      </c>
      <c r="I13" s="19">
        <f t="shared" si="5"/>
        <v>-0.4119574681900886</v>
      </c>
      <c r="J13" s="42"/>
      <c r="K13" s="42"/>
    </row>
    <row r="14" spans="1:11" ht="15.75">
      <c r="A14" s="53" t="str">
        <v>Kohls - Greece</v>
      </c>
      <c r="B14" s="29" t="str">
        <v>NY</v>
      </c>
      <c r="C14" s="13">
        <v>0</v>
      </c>
      <c r="D14" s="13">
        <v>0</v>
      </c>
      <c r="E14" s="13">
        <f t="shared" si="0"/>
        <v>0</v>
      </c>
      <c r="F14" s="13" t="str">
        <f t="shared" si="1"/>
        <v/>
      </c>
      <c r="G14" s="15">
        <v>9424.18</v>
      </c>
      <c r="H14" s="15">
        <f t="shared" si="4"/>
        <v>-9424.18</v>
      </c>
      <c r="I14" s="16">
        <f t="shared" si="5"/>
        <v>-1</v>
      </c>
      <c r="J14" s="41" t="s">
        <v>26</v>
      </c>
      <c r="K14" s="41" t="s">
        <v>27</v>
      </c>
    </row>
    <row r="15" spans="1:11" ht="15.75">
      <c r="A15" s="52" t="str">
        <v>Kohls - Hanover</v>
      </c>
      <c r="B15" s="31" t="str">
        <v>PA</v>
      </c>
      <c r="C15" s="18">
        <v>11065</v>
      </c>
      <c r="D15" s="18">
        <v>0</v>
      </c>
      <c r="E15" s="18">
        <f t="shared" si="0"/>
        <v>11065</v>
      </c>
      <c r="F15" s="18" t="str">
        <f t="shared" si="1"/>
        <v/>
      </c>
      <c r="G15" s="20">
        <v>18878.62</v>
      </c>
      <c r="H15" s="20">
        <f t="shared" si="4"/>
        <v>-7813.619999999999</v>
      </c>
      <c r="I15" s="19">
        <f t="shared" si="5"/>
        <v>-0.41388724387693587</v>
      </c>
      <c r="J15" s="42"/>
      <c r="K15" s="42"/>
    </row>
    <row r="16" spans="1:11" ht="15.75">
      <c r="A16" s="53" t="str">
        <v>Kohls - Horsehead</v>
      </c>
      <c r="B16" s="29" t="str">
        <v>NY</v>
      </c>
      <c r="C16" s="13">
        <v>2351</v>
      </c>
      <c r="D16" s="13">
        <v>0</v>
      </c>
      <c r="E16" s="13">
        <f t="shared" ref="E16:E25" si="6">IF(AND(ISNUMBER(C16),ISNUMBER(D16)), C16-D16, "")</f>
        <v>2351</v>
      </c>
      <c r="F16" s="13" t="str">
        <f t="shared" si="1"/>
        <v/>
      </c>
      <c r="G16" s="15">
        <v>12770.65</v>
      </c>
      <c r="H16" s="15">
        <f t="shared" ref="H16:H17" si="7">IF(AND(ISNUMBER(C16),ISNUMBER(G16)), C16-G16, "")</f>
        <v>-10419.65</v>
      </c>
      <c r="I16" s="16">
        <f t="shared" ref="I16:I17" si="8">IFERROR(H16/G16, "")</f>
        <v>-0.81590600321831697</v>
      </c>
      <c r="J16" s="41" t="s">
        <v>28</v>
      </c>
      <c r="K16" s="41" t="s">
        <v>29</v>
      </c>
    </row>
    <row r="17" spans="1:11" ht="15.75">
      <c r="A17" s="52" t="str">
        <v>Kohls - Hudson</v>
      </c>
      <c r="B17" s="30" t="str">
        <v>NY</v>
      </c>
      <c r="C17" s="18">
        <v>197</v>
      </c>
      <c r="D17" s="18">
        <v>0</v>
      </c>
      <c r="E17" s="18">
        <f t="shared" si="6"/>
        <v>197</v>
      </c>
      <c r="F17" s="18" t="str">
        <f t="shared" si="1"/>
        <v/>
      </c>
      <c r="G17" s="20">
        <v>12854.55</v>
      </c>
      <c r="H17" s="20">
        <f t="shared" si="7"/>
        <v>-12657.55</v>
      </c>
      <c r="I17" s="16">
        <f t="shared" si="8"/>
        <v>-0.98467468717302431</v>
      </c>
      <c r="J17" s="42" t="s">
        <v>30</v>
      </c>
      <c r="K17" s="42" t="s">
        <v>31</v>
      </c>
    </row>
    <row r="18" spans="1:11" ht="15.75">
      <c r="A18" s="53" t="str">
        <v>Kohls - Ithaca</v>
      </c>
      <c r="B18" s="28" t="str">
        <v>NY</v>
      </c>
      <c r="C18" s="13">
        <v>4385</v>
      </c>
      <c r="D18" s="13">
        <v>0</v>
      </c>
      <c r="E18" s="13">
        <f t="shared" si="6"/>
        <v>4385</v>
      </c>
      <c r="F18" s="13" t="str">
        <f t="shared" si="1"/>
        <v/>
      </c>
      <c r="G18" s="15">
        <v>11913.06</v>
      </c>
      <c r="H18" s="15">
        <f t="shared" ref="H18:H25" si="9">IF(AND(ISNUMBER(C18),ISNUMBER(G18)), C18-G18, "")</f>
        <v>-7528.0599999999995</v>
      </c>
      <c r="I18" s="16">
        <f t="shared" ref="I18:I25" si="10">IFERROR(H18/G18, "")</f>
        <v>-0.6319165688748315</v>
      </c>
      <c r="J18" s="41"/>
      <c r="K18" s="41"/>
    </row>
    <row r="19" spans="1:11" ht="15.75">
      <c r="A19" s="52" t="str">
        <v>Kohls - Kingston</v>
      </c>
      <c r="B19" s="30" t="str">
        <v>NY</v>
      </c>
      <c r="C19" s="18">
        <v>9244</v>
      </c>
      <c r="D19" s="18">
        <v>0</v>
      </c>
      <c r="E19" s="18">
        <f t="shared" si="6"/>
        <v>9244</v>
      </c>
      <c r="F19" s="18" t="str">
        <f t="shared" si="1"/>
        <v/>
      </c>
      <c r="G19" s="20">
        <v>22381.27</v>
      </c>
      <c r="H19" s="20">
        <f t="shared" si="9"/>
        <v>-13137.27</v>
      </c>
      <c r="I19" s="16">
        <f t="shared" si="10"/>
        <v>-0.58697607419060671</v>
      </c>
      <c r="J19" s="42"/>
      <c r="K19" s="42"/>
    </row>
    <row r="20" spans="1:11" ht="15.75">
      <c r="A20" s="53" t="str">
        <v>Kohls - Mechanicsburg</v>
      </c>
      <c r="B20" s="28" t="str">
        <v>PA</v>
      </c>
      <c r="C20" s="13">
        <v>11788</v>
      </c>
      <c r="D20" s="13">
        <v>0</v>
      </c>
      <c r="E20" s="13">
        <f t="shared" si="6"/>
        <v>11788</v>
      </c>
      <c r="F20" s="13" t="str">
        <f t="shared" si="1"/>
        <v/>
      </c>
      <c r="G20" s="15">
        <v>21618.639999999999</v>
      </c>
      <c r="H20" s="15">
        <f t="shared" si="9"/>
        <v>-9830.64</v>
      </c>
      <c r="I20" s="16">
        <f t="shared" si="10"/>
        <v>-0.45472980724041845</v>
      </c>
      <c r="J20" s="41"/>
      <c r="K20" s="41"/>
    </row>
    <row r="21" spans="1:11" ht="15.75">
      <c r="A21" s="52" t="str">
        <v>Kohls - Middletown</v>
      </c>
      <c r="B21" s="30" t="str">
        <v>NJ</v>
      </c>
      <c r="C21" s="18">
        <v>15292</v>
      </c>
      <c r="D21" s="18">
        <v>0</v>
      </c>
      <c r="E21" s="18">
        <f t="shared" si="6"/>
        <v>15292</v>
      </c>
      <c r="F21" s="18" t="str">
        <f t="shared" si="1"/>
        <v/>
      </c>
      <c r="G21" s="20">
        <v>29635.82</v>
      </c>
      <c r="H21" s="20">
        <f t="shared" si="9"/>
        <v>-14343.82</v>
      </c>
      <c r="I21" s="16">
        <f t="shared" si="10"/>
        <v>-0.48400280471402513</v>
      </c>
      <c r="J21" s="42" t="s">
        <v>32</v>
      </c>
      <c r="K21" s="42" t="s">
        <v>33</v>
      </c>
    </row>
    <row r="22" spans="1:11" ht="15.75">
      <c r="A22" s="53" t="str">
        <v>Kohls - North Amherst</v>
      </c>
      <c r="B22" s="28" t="str">
        <v>NY</v>
      </c>
      <c r="C22" s="13">
        <v>2846</v>
      </c>
      <c r="D22" s="13">
        <v>0</v>
      </c>
      <c r="E22" s="13">
        <f t="shared" si="6"/>
        <v>2846</v>
      </c>
      <c r="F22" s="13" t="str">
        <f t="shared" si="1"/>
        <v/>
      </c>
      <c r="G22" s="15">
        <v>6525.15</v>
      </c>
      <c r="H22" s="15">
        <f t="shared" si="9"/>
        <v>-3679.1499999999996</v>
      </c>
      <c r="I22" s="16">
        <f t="shared" si="10"/>
        <v>-0.56384144425798643</v>
      </c>
      <c r="J22" s="41"/>
      <c r="K22" s="41"/>
    </row>
    <row r="23" spans="1:11" ht="15.75">
      <c r="A23" s="52" t="str">
        <v>Kohls - Staten Island</v>
      </c>
      <c r="B23" s="30" t="str">
        <v>NY</v>
      </c>
      <c r="C23" s="18">
        <v>8661.6</v>
      </c>
      <c r="D23" s="18">
        <v>0</v>
      </c>
      <c r="E23" s="18">
        <f t="shared" si="6"/>
        <v>8661.6</v>
      </c>
      <c r="F23" s="18" t="str">
        <f t="shared" si="1"/>
        <v/>
      </c>
      <c r="G23" s="20">
        <v>15476.69</v>
      </c>
      <c r="H23" s="20">
        <f t="shared" si="9"/>
        <v>-6815.09</v>
      </c>
      <c r="I23" s="16">
        <f t="shared" si="10"/>
        <v>-0.44034544854229168</v>
      </c>
      <c r="J23" s="42"/>
      <c r="K23" s="42"/>
    </row>
    <row r="24" spans="1:11" ht="28.5">
      <c r="A24" s="53" t="str">
        <v>Kohls - Warminster</v>
      </c>
      <c r="B24" s="28" t="str">
        <v>PA</v>
      </c>
      <c r="C24" s="13">
        <v>7770</v>
      </c>
      <c r="D24" s="13">
        <v>0</v>
      </c>
      <c r="E24" s="13">
        <f t="shared" si="6"/>
        <v>7770</v>
      </c>
      <c r="F24" s="13" t="str">
        <f t="shared" si="1"/>
        <v/>
      </c>
      <c r="G24" s="15">
        <v>19541.34</v>
      </c>
      <c r="H24" s="15">
        <f t="shared" si="9"/>
        <v>-11771.34</v>
      </c>
      <c r="I24" s="16">
        <f t="shared" si="10"/>
        <v>-0.60238141294302239</v>
      </c>
      <c r="J24" s="41" t="s">
        <v>34</v>
      </c>
      <c r="K24" s="41" t="s">
        <v>35</v>
      </c>
    </row>
    <row r="25" spans="1:11" ht="15.75">
      <c r="A25" s="52" t="str">
        <v xml:space="preserve">Kohls - Waterbury </v>
      </c>
      <c r="B25" s="30" t="str">
        <v>CT</v>
      </c>
      <c r="C25" s="18">
        <v>8377</v>
      </c>
      <c r="D25" s="18">
        <v>0</v>
      </c>
      <c r="E25" s="18">
        <f t="shared" si="6"/>
        <v>8377</v>
      </c>
      <c r="F25" s="18" t="str">
        <f t="shared" si="1"/>
        <v/>
      </c>
      <c r="G25" s="45">
        <v>15404.4</v>
      </c>
      <c r="H25" s="45">
        <f t="shared" si="9"/>
        <v>-7027.4</v>
      </c>
      <c r="I25" s="16">
        <f t="shared" si="10"/>
        <v>-0.45619433408636489</v>
      </c>
      <c r="J25" s="42"/>
      <c r="K25" s="42"/>
    </row>
    <row r="26" spans="1:11" ht="15.75">
      <c r="A26" s="53" t="str">
        <v>Mojave Water Agency - Headquarters</v>
      </c>
      <c r="B26" s="28" t="str">
        <v>CA</v>
      </c>
      <c r="C26" s="13"/>
      <c r="D26" s="13"/>
      <c r="E26" s="13" t="str">
        <f t="shared" ref="E26:E68" si="11">IF(AND(ISNUMBER(C26),ISNUMBER(D26)), C26-D26, "")</f>
        <v/>
      </c>
      <c r="F26" s="13" t="str">
        <f t="shared" ref="F26:F68" si="12">IFERROR(E26/D26, "")</f>
        <v/>
      </c>
      <c r="G26" s="15"/>
      <c r="H26" s="15" t="str">
        <f t="shared" ref="H26:H68" si="13">IF(AND(ISNUMBER(C26),ISNUMBER(G26)), C26-G26, "")</f>
        <v/>
      </c>
      <c r="I26" s="16" t="str">
        <f t="shared" ref="I26:I68" si="14">IFERROR(H26/G26, "")</f>
        <v/>
      </c>
      <c r="J26" s="41"/>
      <c r="K26" s="41"/>
    </row>
    <row r="27" spans="1:11" ht="15.75">
      <c r="A27" s="52" t="str">
        <v>CSU - Bakersfield</v>
      </c>
      <c r="B27" s="30" t="str">
        <v>CA</v>
      </c>
      <c r="C27" s="18"/>
      <c r="D27" s="18"/>
      <c r="E27" s="18" t="str">
        <f t="shared" si="11"/>
        <v/>
      </c>
      <c r="F27" s="18" t="str">
        <f t="shared" si="12"/>
        <v/>
      </c>
      <c r="G27" s="45"/>
      <c r="H27" s="45" t="str">
        <f t="shared" si="13"/>
        <v/>
      </c>
      <c r="I27" s="16" t="str">
        <f t="shared" si="14"/>
        <v/>
      </c>
      <c r="J27" s="42"/>
      <c r="K27" s="42"/>
    </row>
    <row r="28" spans="1:11" ht="15.75">
      <c r="A28" s="53" t="str">
        <v>Greenfield USD - Fairfield ES</v>
      </c>
      <c r="B28" s="28" t="str">
        <v>CA</v>
      </c>
      <c r="C28" s="13"/>
      <c r="D28" s="13"/>
      <c r="E28" s="13" t="str">
        <f t="shared" si="11"/>
        <v/>
      </c>
      <c r="F28" s="13" t="str">
        <f t="shared" si="12"/>
        <v/>
      </c>
      <c r="G28" s="15"/>
      <c r="H28" s="15" t="str">
        <f t="shared" si="13"/>
        <v/>
      </c>
      <c r="I28" s="16" t="str">
        <f t="shared" si="14"/>
        <v/>
      </c>
      <c r="J28" s="41"/>
      <c r="K28" s="41"/>
    </row>
    <row r="29" spans="1:11" ht="15.75">
      <c r="A29" s="52" t="str">
        <v>Greenfield USD - Granite Point ES</v>
      </c>
      <c r="B29" s="30" t="str">
        <v>CA</v>
      </c>
      <c r="C29" s="18"/>
      <c r="D29" s="18"/>
      <c r="E29" s="18" t="str">
        <f t="shared" si="11"/>
        <v/>
      </c>
      <c r="F29" s="18" t="str">
        <f t="shared" si="12"/>
        <v/>
      </c>
      <c r="G29" s="45"/>
      <c r="H29" s="45" t="str">
        <f t="shared" si="13"/>
        <v/>
      </c>
      <c r="I29" s="16" t="str">
        <f t="shared" si="14"/>
        <v/>
      </c>
      <c r="J29" s="42"/>
      <c r="K29" s="42"/>
    </row>
    <row r="30" spans="1:11" ht="15.75">
      <c r="A30" s="53" t="str">
        <v>Greenfield USD - Greenfield MS</v>
      </c>
      <c r="B30" s="28" t="str">
        <v>CA</v>
      </c>
      <c r="C30" s="13"/>
      <c r="D30" s="13"/>
      <c r="E30" s="13" t="str">
        <f t="shared" si="11"/>
        <v/>
      </c>
      <c r="F30" s="13" t="str">
        <f t="shared" si="12"/>
        <v/>
      </c>
      <c r="G30" s="15"/>
      <c r="H30" s="15" t="str">
        <f t="shared" si="13"/>
        <v/>
      </c>
      <c r="I30" s="16" t="str">
        <f t="shared" si="14"/>
        <v/>
      </c>
      <c r="J30" s="41"/>
      <c r="K30" s="41"/>
    </row>
    <row r="31" spans="1:11" ht="15.75">
      <c r="A31" s="52" t="str">
        <v>Greenfield USD - Horizon ES</v>
      </c>
      <c r="B31" s="30" t="str">
        <v>CA</v>
      </c>
      <c r="C31" s="18"/>
      <c r="D31" s="18"/>
      <c r="E31" s="18" t="str">
        <f t="shared" si="11"/>
        <v/>
      </c>
      <c r="F31" s="18" t="str">
        <f t="shared" si="12"/>
        <v/>
      </c>
      <c r="G31" s="45"/>
      <c r="H31" s="45" t="str">
        <f t="shared" si="13"/>
        <v/>
      </c>
      <c r="I31" s="16" t="str">
        <f t="shared" si="14"/>
        <v/>
      </c>
      <c r="J31" s="42"/>
      <c r="K31" s="42"/>
    </row>
    <row r="32" spans="1:11" ht="15.75">
      <c r="A32" s="53" t="str">
        <v>Greenfield USD - McKee MS</v>
      </c>
      <c r="B32" s="28" t="str">
        <v>CA</v>
      </c>
      <c r="C32" s="13"/>
      <c r="D32" s="13"/>
      <c r="E32" s="13" t="str">
        <f t="shared" si="11"/>
        <v/>
      </c>
      <c r="F32" s="13" t="str">
        <f t="shared" si="12"/>
        <v/>
      </c>
      <c r="G32" s="15"/>
      <c r="H32" s="15" t="str">
        <f t="shared" si="13"/>
        <v/>
      </c>
      <c r="I32" s="16" t="str">
        <f t="shared" si="14"/>
        <v/>
      </c>
      <c r="J32" s="41"/>
      <c r="K32" s="41"/>
    </row>
    <row r="33" spans="1:11" ht="15.75">
      <c r="A33" s="52" t="str">
        <v>Greenfield USD - Plantation ES</v>
      </c>
      <c r="B33" s="30" t="str">
        <v>CA</v>
      </c>
      <c r="C33" s="18"/>
      <c r="D33" s="18"/>
      <c r="E33" s="18" t="str">
        <f t="shared" si="11"/>
        <v/>
      </c>
      <c r="F33" s="18" t="str">
        <f t="shared" si="12"/>
        <v/>
      </c>
      <c r="G33" s="45"/>
      <c r="H33" s="45" t="str">
        <f t="shared" si="13"/>
        <v/>
      </c>
      <c r="I33" s="16" t="str">
        <f t="shared" si="14"/>
        <v/>
      </c>
      <c r="J33" s="42"/>
      <c r="K33" s="42"/>
    </row>
    <row r="34" spans="1:11" ht="15.75">
      <c r="A34" s="53" t="str">
        <v>Greenfield USD - Planz ES</v>
      </c>
      <c r="B34" s="28" t="str">
        <v>CA</v>
      </c>
      <c r="C34" s="13"/>
      <c r="D34" s="13"/>
      <c r="E34" s="13" t="str">
        <f t="shared" si="11"/>
        <v/>
      </c>
      <c r="F34" s="13" t="str">
        <f t="shared" si="12"/>
        <v/>
      </c>
      <c r="G34" s="15"/>
      <c r="H34" s="15" t="str">
        <f t="shared" si="13"/>
        <v/>
      </c>
      <c r="I34" s="16" t="str">
        <f t="shared" si="14"/>
        <v/>
      </c>
      <c r="J34" s="41"/>
      <c r="K34" s="41"/>
    </row>
    <row r="35" spans="1:11" ht="15.75">
      <c r="A35" s="52" t="str">
        <v>Greenfield USD - Raffaello Palla ES</v>
      </c>
      <c r="B35" s="30" t="str">
        <v>CA</v>
      </c>
      <c r="C35" s="18"/>
      <c r="D35" s="18"/>
      <c r="E35" s="18" t="str">
        <f t="shared" si="11"/>
        <v/>
      </c>
      <c r="F35" s="18" t="str">
        <f t="shared" si="12"/>
        <v/>
      </c>
      <c r="G35" s="45"/>
      <c r="H35" s="45" t="str">
        <f t="shared" si="13"/>
        <v/>
      </c>
      <c r="I35" s="16" t="str">
        <f t="shared" si="14"/>
        <v/>
      </c>
      <c r="J35" s="42"/>
      <c r="K35" s="42"/>
    </row>
    <row r="36" spans="1:11" ht="15.75">
      <c r="A36" s="53" t="str">
        <v>Greenfield USD - Valle Verde ES</v>
      </c>
      <c r="B36" s="28" t="str">
        <v>CA</v>
      </c>
      <c r="C36" s="13"/>
      <c r="D36" s="13"/>
      <c r="E36" s="13" t="str">
        <f t="shared" si="11"/>
        <v/>
      </c>
      <c r="F36" s="13" t="str">
        <f t="shared" si="12"/>
        <v/>
      </c>
      <c r="G36" s="15"/>
      <c r="H36" s="15" t="str">
        <f t="shared" si="13"/>
        <v/>
      </c>
      <c r="I36" s="16" t="str">
        <f t="shared" si="14"/>
        <v/>
      </c>
      <c r="J36" s="41"/>
      <c r="K36" s="41"/>
    </row>
    <row r="37" spans="1:11" ht="15.75">
      <c r="A37" s="52" t="str">
        <v>Greenfield USD - W.A. Kendrick ES</v>
      </c>
      <c r="B37" s="30" t="str">
        <v>CA</v>
      </c>
      <c r="C37" s="18"/>
      <c r="D37" s="18"/>
      <c r="E37" s="18" t="str">
        <f t="shared" si="11"/>
        <v/>
      </c>
      <c r="F37" s="18" t="str">
        <f t="shared" si="12"/>
        <v/>
      </c>
      <c r="G37" s="45"/>
      <c r="H37" s="45" t="str">
        <f t="shared" si="13"/>
        <v/>
      </c>
      <c r="I37" s="16" t="str">
        <f t="shared" si="14"/>
        <v/>
      </c>
      <c r="J37" s="42"/>
      <c r="K37" s="42"/>
    </row>
    <row r="38" spans="1:11" ht="15.75">
      <c r="A38" s="53" t="str">
        <v>Muroc Joint USD - Boron HS</v>
      </c>
      <c r="B38" s="28" t="str">
        <v>CA</v>
      </c>
      <c r="C38" s="13"/>
      <c r="D38" s="13"/>
      <c r="E38" s="13" t="str">
        <f t="shared" si="11"/>
        <v/>
      </c>
      <c r="F38" s="13" t="str">
        <f t="shared" si="12"/>
        <v/>
      </c>
      <c r="G38" s="15"/>
      <c r="H38" s="15" t="str">
        <f t="shared" si="13"/>
        <v/>
      </c>
      <c r="I38" s="16" t="str">
        <f t="shared" si="14"/>
        <v/>
      </c>
      <c r="J38" s="41"/>
      <c r="K38" s="41"/>
    </row>
    <row r="39" spans="1:11" ht="15.75">
      <c r="A39" s="52" t="str">
        <v>Muroc Joint USD - W. Boron ES</v>
      </c>
      <c r="B39" s="30" t="str">
        <v>CA</v>
      </c>
      <c r="C39" s="18"/>
      <c r="D39" s="18"/>
      <c r="E39" s="18" t="str">
        <f t="shared" si="11"/>
        <v/>
      </c>
      <c r="F39" s="18" t="str">
        <f t="shared" si="12"/>
        <v/>
      </c>
      <c r="G39" s="45"/>
      <c r="H39" s="45" t="str">
        <f t="shared" si="13"/>
        <v/>
      </c>
      <c r="I39" s="16" t="str">
        <f t="shared" si="14"/>
        <v/>
      </c>
      <c r="J39" s="42"/>
      <c r="K39" s="42"/>
    </row>
    <row r="40" spans="1:11" ht="15.75">
      <c r="A40" s="53" t="str">
        <v>Colusa - WTP</v>
      </c>
      <c r="B40" s="28" t="str">
        <v>CA</v>
      </c>
      <c r="C40" s="13"/>
      <c r="D40" s="13"/>
      <c r="E40" s="13" t="str">
        <f t="shared" si="11"/>
        <v/>
      </c>
      <c r="F40" s="13" t="str">
        <f t="shared" si="12"/>
        <v/>
      </c>
      <c r="G40" s="15"/>
      <c r="H40" s="15" t="str">
        <f t="shared" si="13"/>
        <v/>
      </c>
      <c r="I40" s="16" t="str">
        <f t="shared" si="14"/>
        <v/>
      </c>
      <c r="J40" s="41"/>
      <c r="K40" s="41"/>
    </row>
    <row r="41" spans="1:11" ht="15.75">
      <c r="A41" s="52" t="str">
        <v>CDCR-North Kern State Prision</v>
      </c>
      <c r="B41" s="30" t="str">
        <v>CA</v>
      </c>
      <c r="C41" s="18"/>
      <c r="D41" s="18"/>
      <c r="E41" s="18" t="str">
        <f t="shared" si="11"/>
        <v/>
      </c>
      <c r="F41" s="18" t="str">
        <f t="shared" si="12"/>
        <v/>
      </c>
      <c r="G41" s="45"/>
      <c r="H41" s="45" t="str">
        <f t="shared" si="13"/>
        <v/>
      </c>
      <c r="I41" s="16" t="str">
        <f t="shared" si="14"/>
        <v/>
      </c>
      <c r="J41" s="42"/>
      <c r="K41" s="42"/>
    </row>
    <row r="42" spans="1:11" ht="15.75">
      <c r="A42" s="53" t="str">
        <v>Muroc Joint USD - District Office</v>
      </c>
      <c r="B42" s="28" t="str">
        <v>CA</v>
      </c>
      <c r="C42" s="13"/>
      <c r="D42" s="13"/>
      <c r="E42" s="13" t="str">
        <f t="shared" si="11"/>
        <v/>
      </c>
      <c r="F42" s="13" t="str">
        <f t="shared" si="12"/>
        <v/>
      </c>
      <c r="G42" s="15"/>
      <c r="H42" s="15" t="str">
        <f t="shared" si="13"/>
        <v/>
      </c>
      <c r="I42" s="16" t="str">
        <f t="shared" si="14"/>
        <v/>
      </c>
      <c r="J42" s="41"/>
      <c r="K42" s="41"/>
    </row>
    <row r="43" spans="1:11" ht="15.75">
      <c r="A43" s="52" t="str">
        <v>Whole Foods - Manhattan Beach</v>
      </c>
      <c r="B43" s="30" t="str">
        <v>CA</v>
      </c>
      <c r="C43" s="18"/>
      <c r="D43" s="18"/>
      <c r="E43" s="18" t="str">
        <f t="shared" si="11"/>
        <v/>
      </c>
      <c r="F43" s="18" t="str">
        <f t="shared" si="12"/>
        <v/>
      </c>
      <c r="G43" s="45"/>
      <c r="H43" s="45" t="str">
        <f t="shared" si="13"/>
        <v/>
      </c>
      <c r="I43" s="16" t="str">
        <f t="shared" si="14"/>
        <v/>
      </c>
      <c r="J43" s="42"/>
      <c r="K43" s="42"/>
    </row>
    <row r="44" spans="1:11" ht="15.75">
      <c r="A44" s="53" t="str">
        <v>Pioneer USD - Frontier ES</v>
      </c>
      <c r="B44" s="28" t="str">
        <v>CA</v>
      </c>
      <c r="C44" s="13"/>
      <c r="D44" s="13"/>
      <c r="E44" s="13" t="str">
        <f t="shared" si="11"/>
        <v/>
      </c>
      <c r="F44" s="13" t="str">
        <f t="shared" si="12"/>
        <v/>
      </c>
      <c r="G44" s="15"/>
      <c r="H44" s="15" t="str">
        <f t="shared" si="13"/>
        <v/>
      </c>
      <c r="I44" s="16" t="str">
        <f t="shared" si="14"/>
        <v/>
      </c>
      <c r="J44" s="41"/>
      <c r="K44" s="41"/>
    </row>
    <row r="45" spans="1:11" ht="15.75">
      <c r="A45" s="52" t="str">
        <v>Pioneer USD - Pioneer ES</v>
      </c>
      <c r="B45" s="30" t="str">
        <v>CA</v>
      </c>
      <c r="C45" s="18"/>
      <c r="D45" s="18"/>
      <c r="E45" s="18" t="str">
        <f t="shared" si="11"/>
        <v/>
      </c>
      <c r="F45" s="18" t="str">
        <f t="shared" si="12"/>
        <v/>
      </c>
      <c r="G45" s="45"/>
      <c r="H45" s="45" t="str">
        <f t="shared" si="13"/>
        <v/>
      </c>
      <c r="I45" s="16" t="str">
        <f t="shared" si="14"/>
        <v/>
      </c>
      <c r="J45" s="42"/>
      <c r="K45" s="42"/>
    </row>
    <row r="46" spans="1:11" ht="15.75">
      <c r="A46" s="53" t="str">
        <v>Pioneer USD - Pioneer MS</v>
      </c>
      <c r="B46" s="28" t="str">
        <v>CA</v>
      </c>
      <c r="C46" s="13"/>
      <c r="D46" s="13"/>
      <c r="E46" s="13" t="str">
        <f t="shared" si="11"/>
        <v/>
      </c>
      <c r="F46" s="13" t="str">
        <f t="shared" si="12"/>
        <v/>
      </c>
      <c r="G46" s="15"/>
      <c r="H46" s="15" t="str">
        <f t="shared" si="13"/>
        <v/>
      </c>
      <c r="I46" s="16" t="str">
        <f t="shared" si="14"/>
        <v/>
      </c>
      <c r="J46" s="41"/>
      <c r="K46" s="41"/>
    </row>
    <row r="47" spans="1:11" ht="15.75">
      <c r="A47" s="52" t="str">
        <v>Kingsburg Joint UHSD - Kingsburg HS</v>
      </c>
      <c r="B47" s="30" t="str">
        <v>CA</v>
      </c>
      <c r="C47" s="18"/>
      <c r="D47" s="18"/>
      <c r="E47" s="18" t="str">
        <f t="shared" si="11"/>
        <v/>
      </c>
      <c r="F47" s="18" t="str">
        <f t="shared" si="12"/>
        <v/>
      </c>
      <c r="G47" s="45"/>
      <c r="H47" s="45" t="str">
        <f t="shared" si="13"/>
        <v/>
      </c>
      <c r="I47" s="16" t="str">
        <f t="shared" si="14"/>
        <v/>
      </c>
      <c r="J47" s="42"/>
      <c r="K47" s="42"/>
    </row>
    <row r="48" spans="1:11" ht="15.75">
      <c r="A48" s="53" t="str">
        <v>CADRB</v>
      </c>
      <c r="B48" s="28" t="str">
        <v>CA</v>
      </c>
      <c r="C48" s="13"/>
      <c r="D48" s="13"/>
      <c r="E48" s="13" t="str">
        <f t="shared" si="11"/>
        <v/>
      </c>
      <c r="F48" s="13" t="str">
        <f t="shared" si="12"/>
        <v/>
      </c>
      <c r="G48" s="15"/>
      <c r="H48" s="15" t="str">
        <f t="shared" si="13"/>
        <v/>
      </c>
      <c r="I48" s="16" t="str">
        <f t="shared" si="14"/>
        <v/>
      </c>
      <c r="J48" s="41"/>
      <c r="K48" s="41"/>
    </row>
    <row r="49" spans="1:11" ht="15.75">
      <c r="A49" s="52" t="str">
        <v>CDCR-CA State Prison LA County</v>
      </c>
      <c r="B49" s="30" t="str">
        <v>CA</v>
      </c>
      <c r="C49" s="18"/>
      <c r="D49" s="18"/>
      <c r="E49" s="18" t="str">
        <f t="shared" si="11"/>
        <v/>
      </c>
      <c r="F49" s="18" t="str">
        <f t="shared" si="12"/>
        <v/>
      </c>
      <c r="G49" s="45"/>
      <c r="H49" s="45" t="str">
        <f t="shared" si="13"/>
        <v/>
      </c>
      <c r="I49" s="16" t="str">
        <f t="shared" si="14"/>
        <v/>
      </c>
      <c r="J49" s="42"/>
      <c r="K49" s="42"/>
    </row>
    <row r="50" spans="1:11" ht="15.75">
      <c r="A50" s="53" t="str">
        <v>Central USD Akers ES</v>
      </c>
      <c r="B50" s="28" t="str">
        <v>CA</v>
      </c>
      <c r="C50" s="13"/>
      <c r="D50" s="13"/>
      <c r="E50" s="13" t="str">
        <f t="shared" si="11"/>
        <v/>
      </c>
      <c r="F50" s="13" t="str">
        <f t="shared" si="12"/>
        <v/>
      </c>
      <c r="G50" s="15"/>
      <c r="H50" s="15" t="str">
        <f t="shared" si="13"/>
        <v/>
      </c>
      <c r="I50" s="16" t="str">
        <f t="shared" si="14"/>
        <v/>
      </c>
      <c r="J50" s="41"/>
      <c r="K50" s="41"/>
    </row>
    <row r="51" spans="1:11" ht="15.75">
      <c r="A51" s="52" t="str">
        <v>CUSD - District Office</v>
      </c>
      <c r="B51" s="30" t="str">
        <v>CA</v>
      </c>
      <c r="C51" s="18"/>
      <c r="D51" s="18"/>
      <c r="E51" s="18" t="str">
        <f t="shared" si="11"/>
        <v/>
      </c>
      <c r="F51" s="18" t="str">
        <f t="shared" si="12"/>
        <v/>
      </c>
      <c r="G51" s="45"/>
      <c r="H51" s="45" t="str">
        <f t="shared" si="13"/>
        <v/>
      </c>
      <c r="I51" s="16" t="str">
        <f t="shared" si="14"/>
        <v/>
      </c>
      <c r="J51" s="42"/>
      <c r="K51" s="42"/>
    </row>
    <row r="52" spans="1:11" ht="15.75">
      <c r="A52" s="53" t="str">
        <v>Parlier - WTP</v>
      </c>
      <c r="B52" s="28" t="str">
        <v>CA</v>
      </c>
      <c r="C52" s="13"/>
      <c r="D52" s="13"/>
      <c r="E52" s="13" t="str">
        <f t="shared" si="11"/>
        <v/>
      </c>
      <c r="F52" s="13" t="str">
        <f t="shared" si="12"/>
        <v/>
      </c>
      <c r="G52" s="15"/>
      <c r="H52" s="15" t="str">
        <f t="shared" si="13"/>
        <v/>
      </c>
      <c r="I52" s="16" t="str">
        <f t="shared" si="14"/>
        <v/>
      </c>
      <c r="J52" s="41"/>
      <c r="K52" s="41"/>
    </row>
    <row r="53" spans="1:11" ht="15.75">
      <c r="A53" s="52" t="str">
        <v>Snowline SD - Quail Valley MS</v>
      </c>
      <c r="B53" s="30" t="str">
        <v>CA</v>
      </c>
      <c r="C53" s="18"/>
      <c r="D53" s="18"/>
      <c r="E53" s="18" t="str">
        <f t="shared" si="11"/>
        <v/>
      </c>
      <c r="F53" s="18" t="str">
        <f t="shared" si="12"/>
        <v/>
      </c>
      <c r="G53" s="45"/>
      <c r="H53" s="45" t="str">
        <f t="shared" si="13"/>
        <v/>
      </c>
      <c r="I53" s="16" t="str">
        <f t="shared" si="14"/>
        <v/>
      </c>
      <c r="J53" s="42"/>
      <c r="K53" s="42"/>
    </row>
    <row r="54" spans="1:11" ht="15.75">
      <c r="A54" s="53" t="str">
        <v>Snowline SD - Serrano HS - Middle Lot</v>
      </c>
      <c r="B54" s="28" t="str">
        <v>CA</v>
      </c>
      <c r="C54" s="13"/>
      <c r="D54" s="13"/>
      <c r="E54" s="13" t="str">
        <f t="shared" si="11"/>
        <v/>
      </c>
      <c r="F54" s="13" t="str">
        <f t="shared" si="12"/>
        <v/>
      </c>
      <c r="G54" s="15"/>
      <c r="H54" s="15" t="str">
        <f t="shared" si="13"/>
        <v/>
      </c>
      <c r="I54" s="16" t="str">
        <f t="shared" si="14"/>
        <v/>
      </c>
      <c r="J54" s="41"/>
      <c r="K54" s="41"/>
    </row>
    <row r="55" spans="1:11" ht="15.75">
      <c r="A55" s="52" t="str">
        <v>Snowline SD - Pinon Hills ES</v>
      </c>
      <c r="B55" s="30" t="str">
        <v>CA</v>
      </c>
      <c r="C55" s="18"/>
      <c r="D55" s="18"/>
      <c r="E55" s="18" t="str">
        <f t="shared" si="11"/>
        <v/>
      </c>
      <c r="F55" s="18" t="str">
        <f t="shared" si="12"/>
        <v/>
      </c>
      <c r="G55" s="45"/>
      <c r="H55" s="45" t="str">
        <f t="shared" si="13"/>
        <v/>
      </c>
      <c r="I55" s="16" t="str">
        <f t="shared" si="14"/>
        <v/>
      </c>
      <c r="J55" s="42"/>
      <c r="K55" s="42"/>
    </row>
    <row r="56" spans="1:11" ht="15.75">
      <c r="A56" s="53" t="str">
        <v>Ramona - Santa Maria WTP</v>
      </c>
      <c r="B56" s="28" t="str">
        <v>CA</v>
      </c>
      <c r="C56" s="13"/>
      <c r="D56" s="13"/>
      <c r="E56" s="13" t="str">
        <f t="shared" si="11"/>
        <v/>
      </c>
      <c r="F56" s="13" t="str">
        <f t="shared" si="12"/>
        <v/>
      </c>
      <c r="G56" s="15"/>
      <c r="H56" s="15" t="str">
        <f t="shared" si="13"/>
        <v/>
      </c>
      <c r="I56" s="16" t="str">
        <f t="shared" si="14"/>
        <v/>
      </c>
      <c r="J56" s="41"/>
      <c r="K56" s="41"/>
    </row>
    <row r="57" spans="1:11" ht="15.75">
      <c r="A57" s="52" t="str">
        <v>Kohls - Redding</v>
      </c>
      <c r="B57" s="30" t="str">
        <v>CA</v>
      </c>
      <c r="C57" s="18"/>
      <c r="D57" s="18"/>
      <c r="E57" s="18" t="str">
        <f t="shared" si="11"/>
        <v/>
      </c>
      <c r="F57" s="18" t="str">
        <f t="shared" si="12"/>
        <v/>
      </c>
      <c r="G57" s="45"/>
      <c r="H57" s="45" t="str">
        <f t="shared" si="13"/>
        <v/>
      </c>
      <c r="I57" s="16" t="str">
        <f t="shared" si="14"/>
        <v/>
      </c>
      <c r="J57" s="42"/>
      <c r="K57" s="42"/>
    </row>
    <row r="58" spans="1:11" ht="15.75">
      <c r="A58" s="53" t="str">
        <v>Kohls - Salinas</v>
      </c>
      <c r="B58" s="28" t="str">
        <v>CA</v>
      </c>
      <c r="C58" s="13"/>
      <c r="D58" s="13"/>
      <c r="E58" s="13" t="str">
        <f t="shared" si="11"/>
        <v/>
      </c>
      <c r="F58" s="13" t="str">
        <f t="shared" si="12"/>
        <v/>
      </c>
      <c r="G58" s="15"/>
      <c r="H58" s="15" t="str">
        <f t="shared" si="13"/>
        <v/>
      </c>
      <c r="I58" s="16" t="str">
        <f t="shared" si="14"/>
        <v/>
      </c>
      <c r="J58" s="41"/>
      <c r="K58" s="41"/>
    </row>
    <row r="59" spans="1:11" ht="15.75">
      <c r="A59" s="52" t="str">
        <v>Kohls - San Bernardino - Central</v>
      </c>
      <c r="B59" s="30" t="str">
        <v>CA</v>
      </c>
      <c r="C59" s="18"/>
      <c r="D59" s="18"/>
      <c r="E59" s="18" t="str">
        <f t="shared" si="11"/>
        <v/>
      </c>
      <c r="F59" s="18" t="str">
        <f t="shared" si="12"/>
        <v/>
      </c>
      <c r="G59" s="45"/>
      <c r="H59" s="45" t="str">
        <f t="shared" si="13"/>
        <v/>
      </c>
      <c r="I59" s="16" t="str">
        <f t="shared" si="14"/>
        <v/>
      </c>
      <c r="J59" s="42"/>
      <c r="K59" s="42"/>
    </row>
    <row r="60" spans="1:11" ht="15.75">
      <c r="A60" s="53" t="str">
        <v>Kohls - Sonora</v>
      </c>
      <c r="B60" s="28" t="str">
        <v>CA</v>
      </c>
      <c r="C60" s="13"/>
      <c r="D60" s="13"/>
      <c r="E60" s="13" t="str">
        <f t="shared" si="11"/>
        <v/>
      </c>
      <c r="F60" s="13" t="str">
        <f t="shared" si="12"/>
        <v/>
      </c>
      <c r="G60" s="15"/>
      <c r="H60" s="15" t="str">
        <f t="shared" si="13"/>
        <v/>
      </c>
      <c r="I60" s="16" t="str">
        <f t="shared" si="14"/>
        <v/>
      </c>
      <c r="J60" s="41"/>
      <c r="K60" s="41"/>
    </row>
    <row r="61" spans="1:11" ht="15.75">
      <c r="A61" s="52" t="str">
        <v>CUSD - Stratford ES</v>
      </c>
      <c r="B61" s="30" t="str">
        <v>CA</v>
      </c>
      <c r="C61" s="18"/>
      <c r="D61" s="18"/>
      <c r="E61" s="18" t="str">
        <f t="shared" si="11"/>
        <v/>
      </c>
      <c r="F61" s="18" t="str">
        <f t="shared" si="12"/>
        <v/>
      </c>
      <c r="G61" s="45"/>
      <c r="H61" s="45" t="str">
        <f t="shared" si="13"/>
        <v/>
      </c>
      <c r="I61" s="16" t="str">
        <f t="shared" si="14"/>
        <v/>
      </c>
      <c r="J61" s="42"/>
      <c r="K61" s="42"/>
    </row>
    <row r="62" spans="1:11" ht="15.75">
      <c r="A62" s="53" t="str">
        <v>Taft - City Hall</v>
      </c>
      <c r="B62" s="28" t="str">
        <v>CA</v>
      </c>
      <c r="C62" s="13"/>
      <c r="D62" s="13"/>
      <c r="E62" s="13" t="str">
        <f t="shared" si="11"/>
        <v/>
      </c>
      <c r="F62" s="13" t="str">
        <f t="shared" si="12"/>
        <v/>
      </c>
      <c r="G62" s="15"/>
      <c r="H62" s="15" t="str">
        <f t="shared" si="13"/>
        <v/>
      </c>
      <c r="I62" s="16" t="str">
        <f t="shared" si="14"/>
        <v/>
      </c>
      <c r="J62" s="41"/>
      <c r="K62" s="41"/>
    </row>
    <row r="63" spans="1:11" ht="15.75">
      <c r="A63" s="52" t="str">
        <v>Taft - Federal Prison</v>
      </c>
      <c r="B63" s="30" t="str">
        <v>CA</v>
      </c>
      <c r="C63" s="18"/>
      <c r="D63" s="18"/>
      <c r="E63" s="18" t="str">
        <f t="shared" si="11"/>
        <v/>
      </c>
      <c r="F63" s="18" t="str">
        <f t="shared" si="12"/>
        <v/>
      </c>
      <c r="G63" s="45"/>
      <c r="H63" s="45" t="str">
        <f t="shared" si="13"/>
        <v/>
      </c>
      <c r="I63" s="16" t="str">
        <f t="shared" si="14"/>
        <v/>
      </c>
      <c r="J63" s="42"/>
      <c r="K63" s="42"/>
    </row>
    <row r="64" spans="1:11" ht="15.75">
      <c r="A64" s="53" t="str">
        <v>Taft - Police Department</v>
      </c>
      <c r="B64" s="28" t="str">
        <v>CA</v>
      </c>
      <c r="C64" s="13"/>
      <c r="D64" s="13"/>
      <c r="E64" s="13" t="str">
        <f t="shared" si="11"/>
        <v/>
      </c>
      <c r="F64" s="13" t="str">
        <f t="shared" si="12"/>
        <v/>
      </c>
      <c r="G64" s="15"/>
      <c r="H64" s="15" t="str">
        <f t="shared" si="13"/>
        <v/>
      </c>
      <c r="I64" s="16" t="str">
        <f t="shared" si="14"/>
        <v/>
      </c>
      <c r="J64" s="41"/>
      <c r="K64" s="41"/>
    </row>
    <row r="65" spans="1:11" ht="15.75">
      <c r="A65" s="52" t="str">
        <v>Taft - WTP</v>
      </c>
      <c r="B65" s="30" t="str">
        <v>CA</v>
      </c>
      <c r="C65" s="18"/>
      <c r="D65" s="18"/>
      <c r="E65" s="18" t="str">
        <f t="shared" si="11"/>
        <v/>
      </c>
      <c r="F65" s="18" t="str">
        <f t="shared" si="12"/>
        <v/>
      </c>
      <c r="G65" s="45"/>
      <c r="H65" s="45" t="str">
        <f t="shared" si="13"/>
        <v/>
      </c>
      <c r="I65" s="16" t="str">
        <f t="shared" si="14"/>
        <v/>
      </c>
      <c r="J65" s="42"/>
      <c r="K65" s="42"/>
    </row>
    <row r="66" spans="1:11" ht="15.75">
      <c r="A66" s="53" t="str">
        <v>CDCR - CA Correctional Institution</v>
      </c>
      <c r="B66" s="28" t="str">
        <v>CA</v>
      </c>
      <c r="C66" s="13"/>
      <c r="D66" s="13"/>
      <c r="E66" s="13" t="str">
        <f t="shared" si="11"/>
        <v/>
      </c>
      <c r="F66" s="13" t="str">
        <f t="shared" si="12"/>
        <v/>
      </c>
      <c r="G66" s="15"/>
      <c r="H66" s="15" t="str">
        <f t="shared" si="13"/>
        <v/>
      </c>
      <c r="I66" s="16" t="str">
        <f t="shared" si="14"/>
        <v/>
      </c>
      <c r="J66" s="41"/>
      <c r="K66" s="41"/>
    </row>
    <row r="67" spans="1:11" ht="15.75">
      <c r="A67" s="52" t="str">
        <v>CDCR - CA Correctional Institution II</v>
      </c>
      <c r="B67" s="30" t="str">
        <v>CA</v>
      </c>
      <c r="C67" s="18"/>
      <c r="D67" s="18"/>
      <c r="E67" s="18" t="str">
        <f t="shared" si="11"/>
        <v/>
      </c>
      <c r="F67" s="18" t="str">
        <f t="shared" si="12"/>
        <v/>
      </c>
      <c r="G67" s="45"/>
      <c r="H67" s="45" t="str">
        <f t="shared" si="13"/>
        <v/>
      </c>
      <c r="I67" s="16" t="str">
        <f t="shared" si="14"/>
        <v/>
      </c>
      <c r="J67" s="42"/>
      <c r="K67" s="42"/>
    </row>
    <row r="68" spans="1:11" ht="15.75">
      <c r="A68" s="53" t="str">
        <v>Snowline SD - Vista Verde ES</v>
      </c>
      <c r="B68" s="28" t="str">
        <v>CA</v>
      </c>
      <c r="C68" s="13"/>
      <c r="D68" s="13"/>
      <c r="E68" s="13" t="str">
        <f t="shared" si="11"/>
        <v/>
      </c>
      <c r="F68" s="13" t="str">
        <f t="shared" si="12"/>
        <v/>
      </c>
      <c r="G68" s="15"/>
      <c r="H68" s="15" t="str">
        <f t="shared" si="13"/>
        <v/>
      </c>
      <c r="I68" s="16" t="str">
        <f t="shared" si="14"/>
        <v/>
      </c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</sheetData>
  <mergeCells count="4">
    <mergeCell ref="D1:F1"/>
    <mergeCell ref="A1:C1"/>
    <mergeCell ref="G1:I1"/>
    <mergeCell ref="A2:B2"/>
  </mergeCells>
  <phoneticPr fontId="40" type="noConversion"/>
  <conditionalFormatting sqref="F2 I2 I4:I99">
    <cfRule type="cellIs" dxfId="50" priority="4" stopIfTrue="1" operator="lessThanOrEqual">
      <formula>-0.1</formula>
    </cfRule>
    <cfRule type="expression" dxfId="49" priority="5">
      <formula>AND(ISNUMBER(F2), F2&gt;=0.1)</formula>
    </cfRule>
  </conditionalFormatting>
  <conditionalFormatting sqref="F69:F99">
    <cfRule type="cellIs" dxfId="48" priority="1" stopIfTrue="1" operator="lessThanOrEqual">
      <formula>-0.1</formula>
    </cfRule>
    <cfRule type="expression" dxfId="47" priority="2">
      <formula>AND(ISNUMBER(F69), F69&gt;=0.1)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workbookViewId="0">
      <pane xSplit="2" ySplit="3" topLeftCell="C45" activePane="bottomRight" state="frozen"/>
      <selection pane="bottomRight" activeCell="G26" sqref="G26:G71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9" t="str" cm="1">
        <f t="array" ref="A1">portfolio</f>
        <v>Silicon Ranch</v>
      </c>
      <c r="B1" s="99"/>
      <c r="C1" s="99"/>
      <c r="D1" s="100" t="s">
        <v>36</v>
      </c>
      <c r="E1" s="100"/>
      <c r="F1" s="100"/>
      <c r="G1" s="98" t="s">
        <v>37</v>
      </c>
      <c r="H1" s="98"/>
      <c r="I1" s="98"/>
      <c r="J1" s="4"/>
      <c r="K1" s="4"/>
    </row>
    <row r="2" spans="1:11" ht="19.5" customHeight="1">
      <c r="A2" s="101" t="s">
        <v>2</v>
      </c>
      <c r="B2" s="101"/>
      <c r="C2" s="5">
        <f>SUM(C4:C100)</f>
        <v>603167.75</v>
      </c>
      <c r="D2" s="5">
        <f>SUM(D4:D100)</f>
        <v>0</v>
      </c>
      <c r="E2" s="5">
        <f>C2-D2</f>
        <v>603167.75</v>
      </c>
      <c r="F2" s="6">
        <f>IFERROR(E2/D2, 0)</f>
        <v>0</v>
      </c>
      <c r="G2" s="5">
        <f>SUM(G4:G100)</f>
        <v>584890.31999999995</v>
      </c>
      <c r="H2" s="7">
        <f>C2-G2</f>
        <v>18277.430000000051</v>
      </c>
      <c r="I2" s="6">
        <f>IFERROR(H2/G2, 0)</f>
        <v>3.1249328934012881E-2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51" t="str" cm="1">
        <f t="array" ref="A4:A68">Sites[Site]</f>
        <v>Iron Mountain - Windsor</v>
      </c>
      <c r="B4" s="29" t="str" cm="1">
        <f t="array" ref="B4:B68">Sites[State]</f>
        <v>CT</v>
      </c>
      <c r="C4" s="24">
        <v>16946.75</v>
      </c>
      <c r="D4" s="13">
        <v>0</v>
      </c>
      <c r="E4" s="13">
        <f>IF(AND(ISNUMBER(C4),ISNUMBER(D4)), C4-D4, "")</f>
        <v>16946.75</v>
      </c>
      <c r="F4" s="13" t="str">
        <f>IFERROR(E4/D4, "")</f>
        <v/>
      </c>
      <c r="G4" s="15">
        <v>19218</v>
      </c>
      <c r="H4" s="15">
        <f>IF(AND(ISNUMBER(C4),ISNUMBER(G4)), C4-G4, "")</f>
        <v>-2271.25</v>
      </c>
      <c r="I4" s="16">
        <f>IFERROR(H4/G4, "")</f>
        <v>-0.11818347382662088</v>
      </c>
      <c r="J4" s="41"/>
      <c r="K4" s="41"/>
    </row>
    <row r="5" spans="1:11" ht="15.75">
      <c r="A5" s="52" t="str">
        <v>Kohls - Auburn</v>
      </c>
      <c r="B5" s="31" t="str">
        <v>NY</v>
      </c>
      <c r="C5" s="11">
        <v>17104</v>
      </c>
      <c r="D5" s="18">
        <v>0</v>
      </c>
      <c r="E5" s="18">
        <f t="shared" ref="E5:E15" si="0">IF(AND(ISNUMBER(C5),ISNUMBER(D5)), C5-D5, "")</f>
        <v>17104</v>
      </c>
      <c r="F5" s="18" t="str">
        <f t="shared" ref="F5:F25" si="1">IFERROR(E5/D5, "")</f>
        <v/>
      </c>
      <c r="G5" s="20">
        <v>10813.11</v>
      </c>
      <c r="H5" s="20">
        <f t="shared" ref="H5:H15" si="2">IF(AND(ISNUMBER(C5),ISNUMBER(G5)), C5-G5, "")</f>
        <v>6290.8899999999994</v>
      </c>
      <c r="I5" s="19">
        <f t="shared" ref="I5:I15" si="3">IFERROR(H5/G5, "")</f>
        <v>0.58178359417410896</v>
      </c>
      <c r="J5" s="42"/>
      <c r="K5" s="42"/>
    </row>
    <row r="6" spans="1:11" ht="15.75">
      <c r="A6" s="53" t="str">
        <v>Kohls - Bensalem</v>
      </c>
      <c r="B6" s="29" t="str">
        <v>PA</v>
      </c>
      <c r="C6" s="24">
        <v>24318</v>
      </c>
      <c r="D6" s="13">
        <v>0</v>
      </c>
      <c r="E6" s="13">
        <f t="shared" si="0"/>
        <v>24318</v>
      </c>
      <c r="F6" s="13" t="str">
        <f t="shared" si="1"/>
        <v/>
      </c>
      <c r="G6" s="15">
        <v>20009.189999999999</v>
      </c>
      <c r="H6" s="15">
        <f t="shared" si="2"/>
        <v>4308.8100000000013</v>
      </c>
      <c r="I6" s="16">
        <f t="shared" si="3"/>
        <v>0.21534155055751891</v>
      </c>
      <c r="J6" s="41"/>
      <c r="K6" s="41"/>
    </row>
    <row r="7" spans="1:11" ht="15.75">
      <c r="A7" s="52" t="str">
        <v>Kohls - Brick</v>
      </c>
      <c r="B7" s="31" t="str">
        <v>NJ</v>
      </c>
      <c r="C7" s="11">
        <v>26352</v>
      </c>
      <c r="D7" s="18">
        <v>0</v>
      </c>
      <c r="E7" s="18">
        <f t="shared" si="0"/>
        <v>26352</v>
      </c>
      <c r="F7" s="18" t="str">
        <f t="shared" si="1"/>
        <v/>
      </c>
      <c r="G7" s="20">
        <v>22735.46</v>
      </c>
      <c r="H7" s="20">
        <f t="shared" si="2"/>
        <v>3616.5400000000009</v>
      </c>
      <c r="I7" s="19">
        <f t="shared" si="3"/>
        <v>0.15907045645876533</v>
      </c>
      <c r="J7" s="42"/>
      <c r="K7" s="43"/>
    </row>
    <row r="8" spans="1:11" ht="28.5">
      <c r="A8" s="53" t="str">
        <v>Kohls - Buffalo</v>
      </c>
      <c r="B8" s="29" t="str">
        <v>NY</v>
      </c>
      <c r="C8" s="24">
        <v>21121</v>
      </c>
      <c r="D8" s="13">
        <v>0</v>
      </c>
      <c r="E8" s="13">
        <f t="shared" si="0"/>
        <v>21121</v>
      </c>
      <c r="F8" s="13" t="str">
        <f t="shared" si="1"/>
        <v/>
      </c>
      <c r="G8" s="15">
        <v>15492.57</v>
      </c>
      <c r="H8" s="15">
        <f t="shared" si="2"/>
        <v>5628.43</v>
      </c>
      <c r="I8" s="16">
        <f t="shared" si="3"/>
        <v>0.36329866510204573</v>
      </c>
      <c r="J8" s="41" t="s">
        <v>38</v>
      </c>
      <c r="K8" s="41" t="s">
        <v>39</v>
      </c>
    </row>
    <row r="9" spans="1:11" ht="15.75">
      <c r="A9" s="52" t="str">
        <v>Kohls - Canton</v>
      </c>
      <c r="B9" s="31" t="str">
        <v>CT</v>
      </c>
      <c r="C9" s="11">
        <v>8146</v>
      </c>
      <c r="D9" s="18">
        <v>0</v>
      </c>
      <c r="E9" s="18">
        <f t="shared" si="0"/>
        <v>8146</v>
      </c>
      <c r="F9" s="18" t="str">
        <f t="shared" si="1"/>
        <v/>
      </c>
      <c r="G9" s="20">
        <v>7037.82</v>
      </c>
      <c r="H9" s="20">
        <f t="shared" si="2"/>
        <v>1108.1800000000003</v>
      </c>
      <c r="I9" s="19">
        <f t="shared" si="3"/>
        <v>0.15746069095259616</v>
      </c>
      <c r="J9" s="42"/>
      <c r="K9" s="43"/>
    </row>
    <row r="10" spans="1:11" ht="15.75">
      <c r="A10" s="53" t="str">
        <v>Kohls - East Amherst</v>
      </c>
      <c r="B10" s="29" t="str">
        <v>NY</v>
      </c>
      <c r="C10" s="24">
        <v>20665</v>
      </c>
      <c r="D10" s="13">
        <v>0</v>
      </c>
      <c r="E10" s="13">
        <f t="shared" si="0"/>
        <v>20665</v>
      </c>
      <c r="F10" s="13" t="str">
        <f t="shared" si="1"/>
        <v/>
      </c>
      <c r="G10" s="15">
        <v>14355.33</v>
      </c>
      <c r="H10" s="15">
        <f t="shared" si="2"/>
        <v>6309.67</v>
      </c>
      <c r="I10" s="16">
        <f t="shared" si="3"/>
        <v>0.43953500198184231</v>
      </c>
      <c r="J10" s="41"/>
      <c r="K10" s="41"/>
    </row>
    <row r="11" spans="1:11" ht="15.75">
      <c r="A11" s="52" t="str">
        <v>Kohls - East Brunswick</v>
      </c>
      <c r="B11" s="31" t="str">
        <v>NJ</v>
      </c>
      <c r="C11" s="11">
        <v>31269</v>
      </c>
      <c r="D11" s="18">
        <v>0</v>
      </c>
      <c r="E11" s="18">
        <f t="shared" si="0"/>
        <v>31269</v>
      </c>
      <c r="F11" s="18" t="str">
        <f t="shared" si="1"/>
        <v/>
      </c>
      <c r="G11" s="20">
        <v>30992.07</v>
      </c>
      <c r="H11" s="20">
        <f t="shared" si="2"/>
        <v>276.93000000000029</v>
      </c>
      <c r="I11" s="19">
        <f t="shared" si="3"/>
        <v>8.9355115679591677E-3</v>
      </c>
      <c r="J11" s="42"/>
      <c r="K11" s="43"/>
    </row>
    <row r="12" spans="1:11" ht="15.75">
      <c r="A12" s="53" t="str">
        <v>Kohls - Edgewood</v>
      </c>
      <c r="B12" s="29" t="str">
        <v>MD</v>
      </c>
      <c r="C12" s="24">
        <v>184974</v>
      </c>
      <c r="D12" s="13">
        <v>0</v>
      </c>
      <c r="E12" s="13">
        <f t="shared" si="0"/>
        <v>184974</v>
      </c>
      <c r="F12" s="13" t="str">
        <f t="shared" si="1"/>
        <v/>
      </c>
      <c r="G12" s="15">
        <v>169384.2</v>
      </c>
      <c r="H12" s="15">
        <f t="shared" si="2"/>
        <v>15589.799999999988</v>
      </c>
      <c r="I12" s="16">
        <f t="shared" si="3"/>
        <v>9.203810036591363E-2</v>
      </c>
      <c r="J12" s="41"/>
      <c r="K12" s="41"/>
    </row>
    <row r="13" spans="1:11" ht="15.75">
      <c r="A13" s="52" t="str">
        <v>Kohls - Granite Run</v>
      </c>
      <c r="B13" s="31" t="str">
        <v>PA</v>
      </c>
      <c r="C13" s="11">
        <v>22487</v>
      </c>
      <c r="D13" s="18">
        <v>0</v>
      </c>
      <c r="E13" s="18">
        <f t="shared" si="0"/>
        <v>22487</v>
      </c>
      <c r="F13" s="18" t="str">
        <f t="shared" si="1"/>
        <v/>
      </c>
      <c r="G13" s="20">
        <v>20204.97</v>
      </c>
      <c r="H13" s="20">
        <f t="shared" si="2"/>
        <v>2282.0299999999988</v>
      </c>
      <c r="I13" s="19">
        <f t="shared" si="3"/>
        <v>0.11294399348279155</v>
      </c>
      <c r="J13" s="42"/>
      <c r="K13" s="43"/>
    </row>
    <row r="14" spans="1:11" ht="15.75">
      <c r="A14" s="53" t="str">
        <v>Kohls - Greece</v>
      </c>
      <c r="B14" s="29" t="str">
        <v>NY</v>
      </c>
      <c r="C14" s="24">
        <v>16874</v>
      </c>
      <c r="D14" s="13">
        <v>0</v>
      </c>
      <c r="E14" s="13">
        <f t="shared" si="0"/>
        <v>16874</v>
      </c>
      <c r="F14" s="13" t="str">
        <f t="shared" si="1"/>
        <v/>
      </c>
      <c r="G14" s="15">
        <v>14942.59</v>
      </c>
      <c r="H14" s="15">
        <f t="shared" si="2"/>
        <v>1931.4099999999999</v>
      </c>
      <c r="I14" s="16">
        <f t="shared" si="3"/>
        <v>0.12925537005298277</v>
      </c>
      <c r="J14" s="41"/>
      <c r="K14" s="41"/>
    </row>
    <row r="15" spans="1:11" ht="15.75">
      <c r="A15" s="52" t="str">
        <v>Kohls - Hanover</v>
      </c>
      <c r="B15" s="31" t="str">
        <v>PA</v>
      </c>
      <c r="C15" s="11">
        <v>26512</v>
      </c>
      <c r="D15" s="18">
        <v>0</v>
      </c>
      <c r="E15" s="18">
        <f t="shared" si="0"/>
        <v>26512</v>
      </c>
      <c r="F15" s="18" t="str">
        <f t="shared" si="1"/>
        <v/>
      </c>
      <c r="G15" s="20">
        <v>22444.04</v>
      </c>
      <c r="H15" s="20">
        <f t="shared" si="2"/>
        <v>4067.9599999999991</v>
      </c>
      <c r="I15" s="19">
        <f t="shared" si="3"/>
        <v>0.18124900864550228</v>
      </c>
      <c r="J15" s="42"/>
      <c r="K15" s="43"/>
    </row>
    <row r="16" spans="1:11" ht="15.75">
      <c r="A16" s="53" t="str">
        <v>Kohls - Horsehead</v>
      </c>
      <c r="B16" s="29" t="str">
        <v>NY</v>
      </c>
      <c r="C16" s="24">
        <v>18647</v>
      </c>
      <c r="D16" s="13">
        <v>0</v>
      </c>
      <c r="E16" s="13">
        <f t="shared" ref="E16:E17" si="4">IF(AND(ISNUMBER(C16),ISNUMBER(D16)), C16-D16, "")</f>
        <v>18647</v>
      </c>
      <c r="F16" s="13" t="str">
        <f t="shared" si="1"/>
        <v/>
      </c>
      <c r="G16" s="15">
        <v>16126.44</v>
      </c>
      <c r="H16" s="15">
        <f t="shared" ref="H16:H17" si="5">IF(AND(ISNUMBER(C16),ISNUMBER(G16)), C16-G16, "")</f>
        <v>2520.5599999999995</v>
      </c>
      <c r="I16" s="16">
        <f t="shared" ref="I16:I17" si="6">IFERROR(H16/G16, "")</f>
        <v>0.1562998405103668</v>
      </c>
      <c r="J16" s="41"/>
      <c r="K16" s="41"/>
    </row>
    <row r="17" spans="1:11" ht="15.75">
      <c r="A17" s="52" t="str">
        <v>Kohls - Hudson</v>
      </c>
      <c r="B17" s="31" t="str">
        <v>NY</v>
      </c>
      <c r="C17" s="11">
        <v>6932</v>
      </c>
      <c r="D17" s="18">
        <v>0</v>
      </c>
      <c r="E17" s="18">
        <f t="shared" si="4"/>
        <v>6932</v>
      </c>
      <c r="F17" s="18" t="str">
        <f t="shared" si="1"/>
        <v/>
      </c>
      <c r="G17" s="20">
        <v>18708.54</v>
      </c>
      <c r="H17" s="20">
        <f t="shared" si="5"/>
        <v>-11776.54</v>
      </c>
      <c r="I17" s="19">
        <f t="shared" si="6"/>
        <v>-0.62947402630028859</v>
      </c>
      <c r="J17" s="42"/>
      <c r="K17" s="43"/>
    </row>
    <row r="18" spans="1:11" ht="12.75" customHeight="1">
      <c r="A18" s="51" t="str">
        <v>Kohls - Ithaca</v>
      </c>
      <c r="B18" s="29" t="str">
        <v>NY</v>
      </c>
      <c r="C18" s="24">
        <v>16819</v>
      </c>
      <c r="D18" s="13">
        <v>0</v>
      </c>
      <c r="E18" s="13">
        <f t="shared" ref="E18:E25" si="7">IF(AND(ISNUMBER(C18),ISNUMBER(D18)), C18-D18, "")</f>
        <v>16819</v>
      </c>
      <c r="F18" s="13" t="str">
        <f t="shared" si="1"/>
        <v/>
      </c>
      <c r="G18" s="15">
        <v>17888.23</v>
      </c>
      <c r="H18" s="15">
        <f t="shared" ref="H18:H25" si="8">IF(AND(ISNUMBER(C18),ISNUMBER(G18)), C18-G18, "")</f>
        <v>-1069.2299999999996</v>
      </c>
      <c r="I18" s="19">
        <f t="shared" ref="I18:I25" si="9">IFERROR(H18/G18, "")</f>
        <v>-5.9772822688438129E-2</v>
      </c>
      <c r="J18" s="41"/>
      <c r="K18" s="41"/>
    </row>
    <row r="19" spans="1:11" ht="15.75">
      <c r="A19" s="52" t="str">
        <v>Kohls - Kingston</v>
      </c>
      <c r="B19" s="31" t="str">
        <v>NY</v>
      </c>
      <c r="C19" s="11">
        <v>35496</v>
      </c>
      <c r="D19" s="18">
        <v>0</v>
      </c>
      <c r="E19" s="18">
        <f t="shared" si="7"/>
        <v>35496</v>
      </c>
      <c r="F19" s="18" t="str">
        <f t="shared" si="1"/>
        <v/>
      </c>
      <c r="G19" s="20">
        <v>24776.93</v>
      </c>
      <c r="H19" s="20">
        <f t="shared" si="8"/>
        <v>10719.07</v>
      </c>
      <c r="I19" s="19">
        <f t="shared" si="9"/>
        <v>0.43262300858096625</v>
      </c>
      <c r="J19" s="42"/>
      <c r="K19" s="42"/>
    </row>
    <row r="20" spans="1:11" ht="15.75">
      <c r="A20" s="53" t="str">
        <v>Kohls - Mechanicsburg</v>
      </c>
      <c r="B20" s="29" t="str">
        <v>PA</v>
      </c>
      <c r="C20" s="24">
        <v>30051</v>
      </c>
      <c r="D20" s="13">
        <v>0</v>
      </c>
      <c r="E20" s="13">
        <f t="shared" si="7"/>
        <v>30051</v>
      </c>
      <c r="F20" s="13" t="str">
        <f t="shared" si="1"/>
        <v/>
      </c>
      <c r="G20" s="15">
        <v>25384.43</v>
      </c>
      <c r="H20" s="15">
        <f t="shared" si="8"/>
        <v>4666.57</v>
      </c>
      <c r="I20" s="19">
        <f t="shared" si="9"/>
        <v>0.183835918316858</v>
      </c>
      <c r="J20" s="41"/>
      <c r="K20" s="41"/>
    </row>
    <row r="21" spans="1:11" ht="15.75">
      <c r="A21" s="52" t="str">
        <v>Kohls - Middletown</v>
      </c>
      <c r="B21" s="31" t="str">
        <v>NJ</v>
      </c>
      <c r="C21" s="11">
        <v>15419</v>
      </c>
      <c r="D21" s="18">
        <v>0</v>
      </c>
      <c r="E21" s="18">
        <f t="shared" si="7"/>
        <v>15419</v>
      </c>
      <c r="F21" s="18" t="str">
        <f t="shared" si="1"/>
        <v/>
      </c>
      <c r="G21" s="20">
        <v>36407.89</v>
      </c>
      <c r="H21" s="20">
        <f t="shared" si="8"/>
        <v>-20988.89</v>
      </c>
      <c r="I21" s="19">
        <f t="shared" si="9"/>
        <v>-0.57649289755599675</v>
      </c>
      <c r="J21" s="41" t="s">
        <v>40</v>
      </c>
      <c r="K21" s="41" t="s">
        <v>41</v>
      </c>
    </row>
    <row r="22" spans="1:11" ht="15.75">
      <c r="A22" s="53" t="str">
        <v>Kohls - North Amherst</v>
      </c>
      <c r="B22" s="29" t="str">
        <v>NY</v>
      </c>
      <c r="C22" s="24">
        <v>15228</v>
      </c>
      <c r="D22" s="13">
        <v>0</v>
      </c>
      <c r="E22" s="13">
        <f t="shared" si="7"/>
        <v>15228</v>
      </c>
      <c r="F22" s="13" t="str">
        <f t="shared" si="1"/>
        <v/>
      </c>
      <c r="G22" s="15">
        <v>12491</v>
      </c>
      <c r="H22" s="15">
        <f t="shared" si="8"/>
        <v>2737</v>
      </c>
      <c r="I22" s="19">
        <f t="shared" si="9"/>
        <v>0.21911776479064926</v>
      </c>
    </row>
    <row r="23" spans="1:11" ht="15.75">
      <c r="A23" s="52" t="str">
        <v>Kohls - Staten Island</v>
      </c>
      <c r="B23" s="31" t="str">
        <v>NY</v>
      </c>
      <c r="C23" s="11">
        <v>19596</v>
      </c>
      <c r="D23" s="18">
        <v>0</v>
      </c>
      <c r="E23" s="18">
        <f t="shared" si="7"/>
        <v>19596</v>
      </c>
      <c r="F23" s="18" t="str">
        <f t="shared" si="1"/>
        <v/>
      </c>
      <c r="G23" s="20">
        <v>21345.24</v>
      </c>
      <c r="H23" s="20">
        <f t="shared" si="8"/>
        <v>-1749.2400000000016</v>
      </c>
      <c r="I23" s="19">
        <f t="shared" si="9"/>
        <v>-8.1949886719474757E-2</v>
      </c>
      <c r="J23" s="42"/>
      <c r="K23" s="43"/>
    </row>
    <row r="24" spans="1:11" ht="15.75">
      <c r="A24" s="53" t="str">
        <v>Kohls - Warminster</v>
      </c>
      <c r="B24" s="29" t="str">
        <v>PA</v>
      </c>
      <c r="C24" s="24">
        <v>8422</v>
      </c>
      <c r="D24" s="13">
        <v>0</v>
      </c>
      <c r="E24" s="13">
        <f t="shared" si="7"/>
        <v>8422</v>
      </c>
      <c r="F24" s="13" t="str">
        <f t="shared" si="1"/>
        <v/>
      </c>
      <c r="G24" s="15">
        <v>24631.64</v>
      </c>
      <c r="H24" s="15">
        <f t="shared" si="8"/>
        <v>-16209.64</v>
      </c>
      <c r="I24" s="19">
        <f t="shared" si="9"/>
        <v>-0.65808204407014714</v>
      </c>
      <c r="J24" s="41"/>
      <c r="K24" s="41"/>
    </row>
    <row r="25" spans="1:11" ht="15.75">
      <c r="A25" s="52" t="str">
        <v xml:space="preserve">Kohls - Waterbury </v>
      </c>
      <c r="B25" s="31" t="str">
        <v>CT</v>
      </c>
      <c r="C25" s="11">
        <v>19789</v>
      </c>
      <c r="D25" s="18">
        <v>0</v>
      </c>
      <c r="E25" s="18">
        <f t="shared" si="7"/>
        <v>19789</v>
      </c>
      <c r="F25" s="18" t="str">
        <f t="shared" si="1"/>
        <v/>
      </c>
      <c r="G25" s="45">
        <v>19500.63</v>
      </c>
      <c r="H25" s="45">
        <f t="shared" si="8"/>
        <v>288.36999999999898</v>
      </c>
      <c r="I25" s="19">
        <f t="shared" si="9"/>
        <v>1.4787727370859247E-2</v>
      </c>
      <c r="J25" s="42"/>
      <c r="K25" s="43"/>
    </row>
    <row r="26" spans="1:11" ht="15.75">
      <c r="A26" s="53" t="str">
        <v>Mojave Water Agency - Headquarters</v>
      </c>
      <c r="B26" s="29" t="str">
        <v>CA</v>
      </c>
      <c r="C26" s="24"/>
      <c r="D26" s="13"/>
      <c r="E26" s="13" t="str">
        <f t="shared" ref="E26:E68" si="10">IF(AND(ISNUMBER(C26),ISNUMBER(D26)), C26-D26, "")</f>
        <v/>
      </c>
      <c r="F26" s="13" t="str">
        <f t="shared" ref="F26:F68" si="11">IFERROR(E26/D26, "")</f>
        <v/>
      </c>
      <c r="G26" s="15"/>
      <c r="H26" s="15" t="str">
        <f t="shared" ref="H26:H68" si="12">IF(AND(ISNUMBER(C26),ISNUMBER(G26)), C26-G26, "")</f>
        <v/>
      </c>
      <c r="I26" s="19" t="str">
        <f t="shared" ref="I26:I68" si="13">IFERROR(H26/G26, "")</f>
        <v/>
      </c>
      <c r="J26" s="41"/>
      <c r="K26" s="41"/>
    </row>
    <row r="27" spans="1:11" ht="15.75">
      <c r="A27" s="52" t="str">
        <v>CSU - Bakersfield</v>
      </c>
      <c r="B27" s="31" t="str">
        <v>CA</v>
      </c>
      <c r="C27" s="11"/>
      <c r="D27" s="18"/>
      <c r="E27" s="18" t="str">
        <f t="shared" si="10"/>
        <v/>
      </c>
      <c r="F27" s="18" t="str">
        <f t="shared" si="11"/>
        <v/>
      </c>
      <c r="G27" s="45"/>
      <c r="H27" s="45" t="str">
        <f t="shared" si="12"/>
        <v/>
      </c>
      <c r="I27" s="19" t="str">
        <f t="shared" si="13"/>
        <v/>
      </c>
      <c r="J27" s="42"/>
      <c r="K27" s="43"/>
    </row>
    <row r="28" spans="1:11" ht="15.75">
      <c r="A28" s="53" t="str">
        <v>Greenfield USD - Fairfield ES</v>
      </c>
      <c r="B28" s="29" t="str">
        <v>CA</v>
      </c>
      <c r="C28" s="24"/>
      <c r="D28" s="13"/>
      <c r="E28" s="13" t="str">
        <f t="shared" si="10"/>
        <v/>
      </c>
      <c r="F28" s="13" t="str">
        <f t="shared" si="11"/>
        <v/>
      </c>
      <c r="G28" s="15"/>
      <c r="H28" s="15" t="str">
        <f t="shared" si="12"/>
        <v/>
      </c>
      <c r="I28" s="19" t="str">
        <f t="shared" si="13"/>
        <v/>
      </c>
      <c r="J28" s="41"/>
      <c r="K28" s="41"/>
    </row>
    <row r="29" spans="1:11" ht="15.75">
      <c r="A29" s="52" t="str">
        <v>Greenfield USD - Granite Point ES</v>
      </c>
      <c r="B29" s="31" t="str">
        <v>CA</v>
      </c>
      <c r="C29" s="11"/>
      <c r="D29" s="18"/>
      <c r="E29" s="18" t="str">
        <f t="shared" si="10"/>
        <v/>
      </c>
      <c r="F29" s="18" t="str">
        <f t="shared" si="11"/>
        <v/>
      </c>
      <c r="G29" s="45"/>
      <c r="H29" s="45" t="str">
        <f t="shared" si="12"/>
        <v/>
      </c>
      <c r="I29" s="19" t="str">
        <f t="shared" si="13"/>
        <v/>
      </c>
      <c r="J29" s="42"/>
      <c r="K29" s="43"/>
    </row>
    <row r="30" spans="1:11" ht="15.75">
      <c r="A30" s="53" t="str">
        <v>Greenfield USD - Greenfield MS</v>
      </c>
      <c r="B30" s="29" t="str">
        <v>CA</v>
      </c>
      <c r="C30" s="24"/>
      <c r="D30" s="13"/>
      <c r="E30" s="13" t="str">
        <f t="shared" si="10"/>
        <v/>
      </c>
      <c r="F30" s="13" t="str">
        <f t="shared" si="11"/>
        <v/>
      </c>
      <c r="G30" s="15"/>
      <c r="H30" s="15" t="str">
        <f t="shared" si="12"/>
        <v/>
      </c>
      <c r="I30" s="19" t="str">
        <f t="shared" si="13"/>
        <v/>
      </c>
      <c r="J30" s="41"/>
      <c r="K30" s="41"/>
    </row>
    <row r="31" spans="1:11" ht="15.75">
      <c r="A31" s="52" t="str">
        <v>Greenfield USD - Horizon ES</v>
      </c>
      <c r="B31" s="31" t="str">
        <v>CA</v>
      </c>
      <c r="C31" s="11"/>
      <c r="D31" s="18"/>
      <c r="E31" s="18" t="str">
        <f t="shared" si="10"/>
        <v/>
      </c>
      <c r="F31" s="18" t="str">
        <f t="shared" si="11"/>
        <v/>
      </c>
      <c r="G31" s="45"/>
      <c r="H31" s="45" t="str">
        <f t="shared" si="12"/>
        <v/>
      </c>
      <c r="I31" s="19" t="str">
        <f t="shared" si="13"/>
        <v/>
      </c>
      <c r="J31" s="42"/>
      <c r="K31" s="43"/>
    </row>
    <row r="32" spans="1:11" ht="15.75">
      <c r="A32" s="53" t="str">
        <v>Greenfield USD - McKee MS</v>
      </c>
      <c r="B32" s="29" t="str">
        <v>CA</v>
      </c>
      <c r="C32" s="24"/>
      <c r="D32" s="13"/>
      <c r="E32" s="13" t="str">
        <f t="shared" si="10"/>
        <v/>
      </c>
      <c r="F32" s="13" t="str">
        <f t="shared" si="11"/>
        <v/>
      </c>
      <c r="G32" s="15"/>
      <c r="H32" s="15" t="str">
        <f t="shared" si="12"/>
        <v/>
      </c>
      <c r="I32" s="19" t="str">
        <f t="shared" si="13"/>
        <v/>
      </c>
      <c r="J32" s="41"/>
      <c r="K32" s="41"/>
    </row>
    <row r="33" spans="1:11" ht="15.75">
      <c r="A33" s="52" t="str">
        <v>Greenfield USD - Plantation ES</v>
      </c>
      <c r="B33" s="31" t="str">
        <v>CA</v>
      </c>
      <c r="C33" s="11"/>
      <c r="D33" s="18"/>
      <c r="E33" s="18" t="str">
        <f t="shared" si="10"/>
        <v/>
      </c>
      <c r="F33" s="18" t="str">
        <f t="shared" si="11"/>
        <v/>
      </c>
      <c r="G33" s="45"/>
      <c r="H33" s="45" t="str">
        <f t="shared" si="12"/>
        <v/>
      </c>
      <c r="I33" s="19" t="str">
        <f t="shared" si="13"/>
        <v/>
      </c>
      <c r="J33" s="42"/>
      <c r="K33" s="43"/>
    </row>
    <row r="34" spans="1:11" ht="15.75">
      <c r="A34" s="53" t="str">
        <v>Greenfield USD - Planz ES</v>
      </c>
      <c r="B34" s="29" t="str">
        <v>CA</v>
      </c>
      <c r="C34" s="24"/>
      <c r="D34" s="13"/>
      <c r="E34" s="13" t="str">
        <f t="shared" si="10"/>
        <v/>
      </c>
      <c r="F34" s="13" t="str">
        <f t="shared" si="11"/>
        <v/>
      </c>
      <c r="G34" s="15"/>
      <c r="H34" s="15" t="str">
        <f t="shared" si="12"/>
        <v/>
      </c>
      <c r="I34" s="19" t="str">
        <f t="shared" si="13"/>
        <v/>
      </c>
      <c r="J34" s="41"/>
      <c r="K34" s="41"/>
    </row>
    <row r="35" spans="1:11" ht="15.75">
      <c r="A35" s="52" t="str">
        <v>Greenfield USD - Raffaello Palla ES</v>
      </c>
      <c r="B35" s="31" t="str">
        <v>CA</v>
      </c>
      <c r="C35" s="11"/>
      <c r="D35" s="18"/>
      <c r="E35" s="18" t="str">
        <f t="shared" si="10"/>
        <v/>
      </c>
      <c r="F35" s="18" t="str">
        <f t="shared" si="11"/>
        <v/>
      </c>
      <c r="G35" s="45"/>
      <c r="H35" s="45" t="str">
        <f t="shared" si="12"/>
        <v/>
      </c>
      <c r="I35" s="19" t="str">
        <f t="shared" si="13"/>
        <v/>
      </c>
      <c r="J35" s="42"/>
      <c r="K35" s="43"/>
    </row>
    <row r="36" spans="1:11" ht="15.75">
      <c r="A36" s="53" t="str">
        <v>Greenfield USD - Valle Verde ES</v>
      </c>
      <c r="B36" s="29" t="str">
        <v>CA</v>
      </c>
      <c r="C36" s="24"/>
      <c r="D36" s="13"/>
      <c r="E36" s="13" t="str">
        <f t="shared" si="10"/>
        <v/>
      </c>
      <c r="F36" s="13" t="str">
        <f t="shared" si="11"/>
        <v/>
      </c>
      <c r="G36" s="15"/>
      <c r="H36" s="15" t="str">
        <f t="shared" si="12"/>
        <v/>
      </c>
      <c r="I36" s="19" t="str">
        <f t="shared" si="13"/>
        <v/>
      </c>
      <c r="J36" s="41"/>
      <c r="K36" s="41"/>
    </row>
    <row r="37" spans="1:11" ht="15.75">
      <c r="A37" s="52" t="str">
        <v>Greenfield USD - W.A. Kendrick ES</v>
      </c>
      <c r="B37" s="31" t="str">
        <v>CA</v>
      </c>
      <c r="C37" s="11"/>
      <c r="D37" s="18"/>
      <c r="E37" s="18" t="str">
        <f t="shared" si="10"/>
        <v/>
      </c>
      <c r="F37" s="18" t="str">
        <f t="shared" si="11"/>
        <v/>
      </c>
      <c r="G37" s="45"/>
      <c r="H37" s="45" t="str">
        <f t="shared" si="12"/>
        <v/>
      </c>
      <c r="I37" s="19" t="str">
        <f t="shared" si="13"/>
        <v/>
      </c>
      <c r="J37" s="42"/>
      <c r="K37" s="43"/>
    </row>
    <row r="38" spans="1:11" ht="15.75">
      <c r="A38" s="53" t="str">
        <v>Muroc Joint USD - Boron HS</v>
      </c>
      <c r="B38" s="29" t="str">
        <v>CA</v>
      </c>
      <c r="C38" s="24"/>
      <c r="D38" s="13"/>
      <c r="E38" s="13" t="str">
        <f t="shared" si="10"/>
        <v/>
      </c>
      <c r="F38" s="13" t="str">
        <f t="shared" si="11"/>
        <v/>
      </c>
      <c r="G38" s="15"/>
      <c r="H38" s="15" t="str">
        <f t="shared" si="12"/>
        <v/>
      </c>
      <c r="I38" s="19" t="str">
        <f t="shared" si="13"/>
        <v/>
      </c>
      <c r="J38" s="41"/>
      <c r="K38" s="41"/>
    </row>
    <row r="39" spans="1:11" ht="15.75">
      <c r="A39" s="52" t="str">
        <v>Muroc Joint USD - W. Boron ES</v>
      </c>
      <c r="B39" s="31" t="str">
        <v>CA</v>
      </c>
      <c r="C39" s="11"/>
      <c r="D39" s="18"/>
      <c r="E39" s="18" t="str">
        <f t="shared" si="10"/>
        <v/>
      </c>
      <c r="F39" s="18" t="str">
        <f t="shared" si="11"/>
        <v/>
      </c>
      <c r="G39" s="45"/>
      <c r="H39" s="45" t="str">
        <f t="shared" si="12"/>
        <v/>
      </c>
      <c r="I39" s="19" t="str">
        <f t="shared" si="13"/>
        <v/>
      </c>
      <c r="J39" s="42"/>
      <c r="K39" s="43"/>
    </row>
    <row r="40" spans="1:11" ht="15.75">
      <c r="A40" s="53" t="str">
        <v>Colusa - WTP</v>
      </c>
      <c r="B40" s="29" t="str">
        <v>CA</v>
      </c>
      <c r="C40" s="24"/>
      <c r="D40" s="13"/>
      <c r="E40" s="13" t="str">
        <f t="shared" si="10"/>
        <v/>
      </c>
      <c r="F40" s="13" t="str">
        <f t="shared" si="11"/>
        <v/>
      </c>
      <c r="G40" s="15"/>
      <c r="H40" s="15" t="str">
        <f t="shared" si="12"/>
        <v/>
      </c>
      <c r="I40" s="19" t="str">
        <f t="shared" si="13"/>
        <v/>
      </c>
      <c r="J40" s="41"/>
      <c r="K40" s="41"/>
    </row>
    <row r="41" spans="1:11" ht="15.75">
      <c r="A41" s="52" t="str">
        <v>CDCR-North Kern State Prision</v>
      </c>
      <c r="B41" s="31" t="str">
        <v>CA</v>
      </c>
      <c r="C41" s="11"/>
      <c r="D41" s="18"/>
      <c r="E41" s="18" t="str">
        <f t="shared" si="10"/>
        <v/>
      </c>
      <c r="F41" s="18" t="str">
        <f t="shared" si="11"/>
        <v/>
      </c>
      <c r="G41" s="45"/>
      <c r="H41" s="45" t="str">
        <f t="shared" si="12"/>
        <v/>
      </c>
      <c r="I41" s="19" t="str">
        <f t="shared" si="13"/>
        <v/>
      </c>
      <c r="J41" s="42"/>
      <c r="K41" s="43"/>
    </row>
    <row r="42" spans="1:11" ht="15.75">
      <c r="A42" s="53" t="str">
        <v>Muroc Joint USD - District Office</v>
      </c>
      <c r="B42" s="29" t="str">
        <v>CA</v>
      </c>
      <c r="C42" s="24"/>
      <c r="D42" s="13"/>
      <c r="E42" s="13" t="str">
        <f t="shared" si="10"/>
        <v/>
      </c>
      <c r="F42" s="13" t="str">
        <f t="shared" si="11"/>
        <v/>
      </c>
      <c r="G42" s="15"/>
      <c r="H42" s="15" t="str">
        <f t="shared" si="12"/>
        <v/>
      </c>
      <c r="I42" s="19" t="str">
        <f t="shared" si="13"/>
        <v/>
      </c>
      <c r="J42" s="41"/>
      <c r="K42" s="41"/>
    </row>
    <row r="43" spans="1:11" ht="15.75">
      <c r="A43" s="52" t="str">
        <v>Whole Foods - Manhattan Beach</v>
      </c>
      <c r="B43" s="31" t="str">
        <v>CA</v>
      </c>
      <c r="C43" s="11"/>
      <c r="D43" s="18"/>
      <c r="E43" s="18" t="str">
        <f t="shared" si="10"/>
        <v/>
      </c>
      <c r="F43" s="18" t="str">
        <f t="shared" si="11"/>
        <v/>
      </c>
      <c r="G43" s="45"/>
      <c r="H43" s="45" t="str">
        <f t="shared" si="12"/>
        <v/>
      </c>
      <c r="I43" s="19" t="str">
        <f t="shared" si="13"/>
        <v/>
      </c>
      <c r="J43" s="42"/>
      <c r="K43" s="43"/>
    </row>
    <row r="44" spans="1:11" ht="15.75">
      <c r="A44" s="53" t="str">
        <v>Pioneer USD - Frontier ES</v>
      </c>
      <c r="B44" s="29" t="str">
        <v>CA</v>
      </c>
      <c r="C44" s="24"/>
      <c r="D44" s="13"/>
      <c r="E44" s="13" t="str">
        <f t="shared" si="10"/>
        <v/>
      </c>
      <c r="F44" s="13" t="str">
        <f t="shared" si="11"/>
        <v/>
      </c>
      <c r="G44" s="15"/>
      <c r="H44" s="15" t="str">
        <f t="shared" si="12"/>
        <v/>
      </c>
      <c r="I44" s="19" t="str">
        <f t="shared" si="13"/>
        <v/>
      </c>
      <c r="J44" s="41"/>
      <c r="K44" s="41"/>
    </row>
    <row r="45" spans="1:11" ht="15.75">
      <c r="A45" s="52" t="str">
        <v>Pioneer USD - Pioneer ES</v>
      </c>
      <c r="B45" s="31" t="str">
        <v>CA</v>
      </c>
      <c r="C45" s="11"/>
      <c r="D45" s="18"/>
      <c r="E45" s="18" t="str">
        <f t="shared" si="10"/>
        <v/>
      </c>
      <c r="F45" s="18" t="str">
        <f t="shared" si="11"/>
        <v/>
      </c>
      <c r="G45" s="45"/>
      <c r="H45" s="45" t="str">
        <f t="shared" si="12"/>
        <v/>
      </c>
      <c r="I45" s="19" t="str">
        <f t="shared" si="13"/>
        <v/>
      </c>
      <c r="J45" s="42"/>
      <c r="K45" s="43"/>
    </row>
    <row r="46" spans="1:11" ht="15.75">
      <c r="A46" s="53" t="str">
        <v>Pioneer USD - Pioneer MS</v>
      </c>
      <c r="B46" s="29" t="str">
        <v>CA</v>
      </c>
      <c r="C46" s="24"/>
      <c r="D46" s="13"/>
      <c r="E46" s="13" t="str">
        <f t="shared" si="10"/>
        <v/>
      </c>
      <c r="F46" s="13" t="str">
        <f t="shared" si="11"/>
        <v/>
      </c>
      <c r="G46" s="15"/>
      <c r="H46" s="15" t="str">
        <f t="shared" si="12"/>
        <v/>
      </c>
      <c r="I46" s="19" t="str">
        <f t="shared" si="13"/>
        <v/>
      </c>
      <c r="J46" s="41"/>
      <c r="K46" s="41"/>
    </row>
    <row r="47" spans="1:11" ht="15.75">
      <c r="A47" s="52" t="str">
        <v>Kingsburg Joint UHSD - Kingsburg HS</v>
      </c>
      <c r="B47" s="31" t="str">
        <v>CA</v>
      </c>
      <c r="C47" s="11"/>
      <c r="D47" s="18"/>
      <c r="E47" s="18" t="str">
        <f t="shared" si="10"/>
        <v/>
      </c>
      <c r="F47" s="18" t="str">
        <f t="shared" si="11"/>
        <v/>
      </c>
      <c r="G47" s="45"/>
      <c r="H47" s="45" t="str">
        <f t="shared" si="12"/>
        <v/>
      </c>
      <c r="I47" s="19" t="str">
        <f t="shared" si="13"/>
        <v/>
      </c>
      <c r="J47" s="42"/>
      <c r="K47" s="43"/>
    </row>
    <row r="48" spans="1:11" ht="15.75">
      <c r="A48" s="53" t="str">
        <v>CADRB</v>
      </c>
      <c r="B48" s="29" t="str">
        <v>CA</v>
      </c>
      <c r="C48" s="24"/>
      <c r="D48" s="13"/>
      <c r="E48" s="13" t="str">
        <f t="shared" si="10"/>
        <v/>
      </c>
      <c r="F48" s="13" t="str">
        <f t="shared" si="11"/>
        <v/>
      </c>
      <c r="G48" s="15"/>
      <c r="H48" s="15" t="str">
        <f t="shared" si="12"/>
        <v/>
      </c>
      <c r="I48" s="19" t="str">
        <f t="shared" si="13"/>
        <v/>
      </c>
      <c r="J48" s="41"/>
      <c r="K48" s="41"/>
    </row>
    <row r="49" spans="1:11" ht="15.75">
      <c r="A49" s="52" t="str">
        <v>CDCR-CA State Prison LA County</v>
      </c>
      <c r="B49" s="31" t="str">
        <v>CA</v>
      </c>
      <c r="C49" s="11"/>
      <c r="D49" s="18"/>
      <c r="E49" s="18" t="str">
        <f t="shared" si="10"/>
        <v/>
      </c>
      <c r="F49" s="18" t="str">
        <f t="shared" si="11"/>
        <v/>
      </c>
      <c r="G49" s="45"/>
      <c r="H49" s="45" t="str">
        <f t="shared" si="12"/>
        <v/>
      </c>
      <c r="I49" s="19" t="str">
        <f t="shared" si="13"/>
        <v/>
      </c>
      <c r="J49" s="42"/>
      <c r="K49" s="43"/>
    </row>
    <row r="50" spans="1:11" ht="15.75">
      <c r="A50" s="53" t="str">
        <v>Central USD Akers ES</v>
      </c>
      <c r="B50" s="29" t="str">
        <v>CA</v>
      </c>
      <c r="C50" s="24"/>
      <c r="D50" s="13"/>
      <c r="E50" s="13" t="str">
        <f t="shared" si="10"/>
        <v/>
      </c>
      <c r="F50" s="13" t="str">
        <f t="shared" si="11"/>
        <v/>
      </c>
      <c r="G50" s="15"/>
      <c r="H50" s="15" t="str">
        <f t="shared" si="12"/>
        <v/>
      </c>
      <c r="I50" s="19" t="str">
        <f t="shared" si="13"/>
        <v/>
      </c>
      <c r="J50" s="41"/>
      <c r="K50" s="41"/>
    </row>
    <row r="51" spans="1:11" ht="15.75">
      <c r="A51" s="52" t="str">
        <v>CUSD - District Office</v>
      </c>
      <c r="B51" s="31" t="str">
        <v>CA</v>
      </c>
      <c r="C51" s="11"/>
      <c r="D51" s="18"/>
      <c r="E51" s="18" t="str">
        <f t="shared" si="10"/>
        <v/>
      </c>
      <c r="F51" s="18" t="str">
        <f t="shared" si="11"/>
        <v/>
      </c>
      <c r="G51" s="45"/>
      <c r="H51" s="45" t="str">
        <f t="shared" si="12"/>
        <v/>
      </c>
      <c r="I51" s="19" t="str">
        <f t="shared" si="13"/>
        <v/>
      </c>
      <c r="J51" s="42"/>
      <c r="K51" s="43"/>
    </row>
    <row r="52" spans="1:11" ht="15.75">
      <c r="A52" s="53" t="str">
        <v>Parlier - WTP</v>
      </c>
      <c r="B52" s="29" t="str">
        <v>CA</v>
      </c>
      <c r="C52" s="24"/>
      <c r="D52" s="13"/>
      <c r="E52" s="13" t="str">
        <f t="shared" si="10"/>
        <v/>
      </c>
      <c r="F52" s="13" t="str">
        <f t="shared" si="11"/>
        <v/>
      </c>
      <c r="G52" s="15"/>
      <c r="H52" s="15" t="str">
        <f t="shared" si="12"/>
        <v/>
      </c>
      <c r="I52" s="19" t="str">
        <f t="shared" si="13"/>
        <v/>
      </c>
      <c r="J52" s="41"/>
      <c r="K52" s="41"/>
    </row>
    <row r="53" spans="1:11" ht="15.75">
      <c r="A53" s="52" t="str">
        <v>Snowline SD - Quail Valley MS</v>
      </c>
      <c r="B53" s="31" t="str">
        <v>CA</v>
      </c>
      <c r="C53" s="11"/>
      <c r="D53" s="18"/>
      <c r="E53" s="18" t="str">
        <f t="shared" si="10"/>
        <v/>
      </c>
      <c r="F53" s="18" t="str">
        <f t="shared" si="11"/>
        <v/>
      </c>
      <c r="G53" s="45"/>
      <c r="H53" s="45" t="str">
        <f t="shared" si="12"/>
        <v/>
      </c>
      <c r="I53" s="19" t="str">
        <f t="shared" si="13"/>
        <v/>
      </c>
      <c r="J53" s="42"/>
      <c r="K53" s="43"/>
    </row>
    <row r="54" spans="1:11" ht="15.75">
      <c r="A54" s="53" t="str">
        <v>Snowline SD - Serrano HS - Middle Lot</v>
      </c>
      <c r="B54" s="29" t="str">
        <v>CA</v>
      </c>
      <c r="C54" s="24"/>
      <c r="D54" s="13"/>
      <c r="E54" s="13" t="str">
        <f t="shared" si="10"/>
        <v/>
      </c>
      <c r="F54" s="13" t="str">
        <f t="shared" si="11"/>
        <v/>
      </c>
      <c r="G54" s="15"/>
      <c r="H54" s="15" t="str">
        <f t="shared" si="12"/>
        <v/>
      </c>
      <c r="I54" s="19" t="str">
        <f t="shared" si="13"/>
        <v/>
      </c>
      <c r="J54" s="41"/>
      <c r="K54" s="41"/>
    </row>
    <row r="55" spans="1:11" ht="15.75">
      <c r="A55" s="52" t="str">
        <v>Snowline SD - Pinon Hills ES</v>
      </c>
      <c r="B55" s="31" t="str">
        <v>CA</v>
      </c>
      <c r="C55" s="11"/>
      <c r="D55" s="18"/>
      <c r="E55" s="18" t="str">
        <f t="shared" si="10"/>
        <v/>
      </c>
      <c r="F55" s="18" t="str">
        <f t="shared" si="11"/>
        <v/>
      </c>
      <c r="G55" s="45"/>
      <c r="H55" s="45" t="str">
        <f t="shared" si="12"/>
        <v/>
      </c>
      <c r="I55" s="19" t="str">
        <f t="shared" si="13"/>
        <v/>
      </c>
      <c r="J55" s="42"/>
      <c r="K55" s="43"/>
    </row>
    <row r="56" spans="1:11" ht="15.75">
      <c r="A56" s="53" t="str">
        <v>Ramona - Santa Maria WTP</v>
      </c>
      <c r="B56" s="29" t="str">
        <v>CA</v>
      </c>
      <c r="C56" s="24"/>
      <c r="D56" s="13"/>
      <c r="E56" s="13" t="str">
        <f t="shared" si="10"/>
        <v/>
      </c>
      <c r="F56" s="13" t="str">
        <f t="shared" si="11"/>
        <v/>
      </c>
      <c r="G56" s="15"/>
      <c r="H56" s="15" t="str">
        <f t="shared" si="12"/>
        <v/>
      </c>
      <c r="I56" s="19" t="str">
        <f t="shared" si="13"/>
        <v/>
      </c>
      <c r="J56" s="41"/>
      <c r="K56" s="41"/>
    </row>
    <row r="57" spans="1:11" ht="15.75">
      <c r="A57" s="52" t="str">
        <v>Kohls - Redding</v>
      </c>
      <c r="B57" s="31" t="str">
        <v>CA</v>
      </c>
      <c r="C57" s="11"/>
      <c r="D57" s="18"/>
      <c r="E57" s="18" t="str">
        <f t="shared" si="10"/>
        <v/>
      </c>
      <c r="F57" s="18" t="str">
        <f t="shared" si="11"/>
        <v/>
      </c>
      <c r="G57" s="45"/>
      <c r="H57" s="45" t="str">
        <f t="shared" si="12"/>
        <v/>
      </c>
      <c r="I57" s="19" t="str">
        <f t="shared" si="13"/>
        <v/>
      </c>
      <c r="J57" s="42"/>
      <c r="K57" s="43"/>
    </row>
    <row r="58" spans="1:11" ht="15.75">
      <c r="A58" s="53" t="str">
        <v>Kohls - Salinas</v>
      </c>
      <c r="B58" s="29" t="str">
        <v>CA</v>
      </c>
      <c r="C58" s="24"/>
      <c r="D58" s="13"/>
      <c r="E58" s="13" t="str">
        <f t="shared" si="10"/>
        <v/>
      </c>
      <c r="F58" s="13" t="str">
        <f t="shared" si="11"/>
        <v/>
      </c>
      <c r="G58" s="15"/>
      <c r="H58" s="15" t="str">
        <f t="shared" si="12"/>
        <v/>
      </c>
      <c r="I58" s="19" t="str">
        <f t="shared" si="13"/>
        <v/>
      </c>
      <c r="J58" s="41"/>
      <c r="K58" s="41"/>
    </row>
    <row r="59" spans="1:11" ht="15.75">
      <c r="A59" s="52" t="str">
        <v>Kohls - San Bernardino - Central</v>
      </c>
      <c r="B59" s="31" t="str">
        <v>CA</v>
      </c>
      <c r="C59" s="11"/>
      <c r="D59" s="18"/>
      <c r="E59" s="18" t="str">
        <f t="shared" si="10"/>
        <v/>
      </c>
      <c r="F59" s="18" t="str">
        <f t="shared" si="11"/>
        <v/>
      </c>
      <c r="G59" s="45"/>
      <c r="H59" s="45" t="str">
        <f t="shared" si="12"/>
        <v/>
      </c>
      <c r="I59" s="19" t="str">
        <f t="shared" si="13"/>
        <v/>
      </c>
      <c r="J59" s="42"/>
      <c r="K59" s="43"/>
    </row>
    <row r="60" spans="1:11" ht="15.75">
      <c r="A60" s="53" t="str">
        <v>Kohls - Sonora</v>
      </c>
      <c r="B60" s="29" t="str">
        <v>CA</v>
      </c>
      <c r="C60" s="24"/>
      <c r="D60" s="13"/>
      <c r="E60" s="13" t="str">
        <f t="shared" si="10"/>
        <v/>
      </c>
      <c r="F60" s="13" t="str">
        <f t="shared" si="11"/>
        <v/>
      </c>
      <c r="G60" s="15"/>
      <c r="H60" s="15" t="str">
        <f t="shared" si="12"/>
        <v/>
      </c>
      <c r="I60" s="19" t="str">
        <f t="shared" si="13"/>
        <v/>
      </c>
      <c r="J60" s="41"/>
      <c r="K60" s="41"/>
    </row>
    <row r="61" spans="1:11" ht="15.75">
      <c r="A61" s="52" t="str">
        <v>CUSD - Stratford ES</v>
      </c>
      <c r="B61" s="31" t="str">
        <v>CA</v>
      </c>
      <c r="C61" s="11"/>
      <c r="D61" s="18"/>
      <c r="E61" s="18" t="str">
        <f t="shared" si="10"/>
        <v/>
      </c>
      <c r="F61" s="18" t="str">
        <f t="shared" si="11"/>
        <v/>
      </c>
      <c r="G61" s="45"/>
      <c r="H61" s="45" t="str">
        <f t="shared" si="12"/>
        <v/>
      </c>
      <c r="I61" s="19" t="str">
        <f t="shared" si="13"/>
        <v/>
      </c>
      <c r="J61" s="42"/>
      <c r="K61" s="43"/>
    </row>
    <row r="62" spans="1:11" ht="15.75">
      <c r="A62" s="53" t="str">
        <v>Taft - City Hall</v>
      </c>
      <c r="B62" s="29" t="str">
        <v>CA</v>
      </c>
      <c r="C62" s="24"/>
      <c r="D62" s="13"/>
      <c r="E62" s="13" t="str">
        <f t="shared" si="10"/>
        <v/>
      </c>
      <c r="F62" s="13" t="str">
        <f t="shared" si="11"/>
        <v/>
      </c>
      <c r="G62" s="15"/>
      <c r="H62" s="15" t="str">
        <f t="shared" si="12"/>
        <v/>
      </c>
      <c r="I62" s="19" t="str">
        <f t="shared" si="13"/>
        <v/>
      </c>
      <c r="J62" s="41"/>
      <c r="K62" s="41"/>
    </row>
    <row r="63" spans="1:11" ht="15.75">
      <c r="A63" s="52" t="str">
        <v>Taft - Federal Prison</v>
      </c>
      <c r="B63" s="31" t="str">
        <v>CA</v>
      </c>
      <c r="C63" s="11"/>
      <c r="D63" s="18"/>
      <c r="E63" s="18" t="str">
        <f t="shared" si="10"/>
        <v/>
      </c>
      <c r="F63" s="18" t="str">
        <f t="shared" si="11"/>
        <v/>
      </c>
      <c r="G63" s="45"/>
      <c r="H63" s="45" t="str">
        <f t="shared" si="12"/>
        <v/>
      </c>
      <c r="I63" s="19" t="str">
        <f t="shared" si="13"/>
        <v/>
      </c>
      <c r="J63" s="42"/>
      <c r="K63" s="43"/>
    </row>
    <row r="64" spans="1:11" ht="15.75">
      <c r="A64" s="53" t="str">
        <v>Taft - Police Department</v>
      </c>
      <c r="B64" s="29" t="str">
        <v>CA</v>
      </c>
      <c r="C64" s="24"/>
      <c r="D64" s="13"/>
      <c r="E64" s="13" t="str">
        <f t="shared" si="10"/>
        <v/>
      </c>
      <c r="F64" s="13" t="str">
        <f t="shared" si="11"/>
        <v/>
      </c>
      <c r="G64" s="15"/>
      <c r="H64" s="15" t="str">
        <f t="shared" si="12"/>
        <v/>
      </c>
      <c r="I64" s="19" t="str">
        <f t="shared" si="13"/>
        <v/>
      </c>
      <c r="J64" s="41"/>
      <c r="K64" s="41"/>
    </row>
    <row r="65" spans="1:11" ht="15.75">
      <c r="A65" s="52" t="str">
        <v>Taft - WTP</v>
      </c>
      <c r="B65" s="31" t="str">
        <v>CA</v>
      </c>
      <c r="C65" s="11"/>
      <c r="D65" s="18"/>
      <c r="E65" s="18" t="str">
        <f t="shared" si="10"/>
        <v/>
      </c>
      <c r="F65" s="18" t="str">
        <f t="shared" si="11"/>
        <v/>
      </c>
      <c r="G65" s="45"/>
      <c r="H65" s="45" t="str">
        <f t="shared" si="12"/>
        <v/>
      </c>
      <c r="I65" s="19" t="str">
        <f t="shared" si="13"/>
        <v/>
      </c>
      <c r="J65" s="42"/>
      <c r="K65" s="43"/>
    </row>
    <row r="66" spans="1:11" ht="15.75">
      <c r="A66" s="53" t="str">
        <v>CDCR - CA Correctional Institution</v>
      </c>
      <c r="B66" s="29" t="str">
        <v>CA</v>
      </c>
      <c r="C66" s="24"/>
      <c r="D66" s="13"/>
      <c r="E66" s="13" t="str">
        <f t="shared" si="10"/>
        <v/>
      </c>
      <c r="F66" s="13" t="str">
        <f t="shared" si="11"/>
        <v/>
      </c>
      <c r="G66" s="15"/>
      <c r="H66" s="15" t="str">
        <f t="shared" si="12"/>
        <v/>
      </c>
      <c r="I66" s="19" t="str">
        <f t="shared" si="13"/>
        <v/>
      </c>
      <c r="J66" s="41"/>
      <c r="K66" s="41"/>
    </row>
    <row r="67" spans="1:11" ht="15.75">
      <c r="A67" s="52" t="str">
        <v>CDCR - CA Correctional Institution II</v>
      </c>
      <c r="B67" s="31" t="str">
        <v>CA</v>
      </c>
      <c r="C67" s="11"/>
      <c r="D67" s="18"/>
      <c r="E67" s="18" t="str">
        <f t="shared" si="10"/>
        <v/>
      </c>
      <c r="F67" s="18" t="str">
        <f t="shared" si="11"/>
        <v/>
      </c>
      <c r="G67" s="45"/>
      <c r="H67" s="45" t="str">
        <f t="shared" si="12"/>
        <v/>
      </c>
      <c r="I67" s="19" t="str">
        <f t="shared" si="13"/>
        <v/>
      </c>
      <c r="J67" s="42"/>
      <c r="K67" s="43"/>
    </row>
    <row r="68" spans="1:11" ht="15.75">
      <c r="A68" s="53" t="str">
        <v>Snowline SD - Vista Verde ES</v>
      </c>
      <c r="B68" s="29" t="str">
        <v>CA</v>
      </c>
      <c r="C68" s="24"/>
      <c r="D68" s="13"/>
      <c r="E68" s="13" t="str">
        <f t="shared" si="10"/>
        <v/>
      </c>
      <c r="F68" s="13" t="str">
        <f t="shared" si="11"/>
        <v/>
      </c>
      <c r="G68" s="15"/>
      <c r="H68" s="15" t="str">
        <f t="shared" si="12"/>
        <v/>
      </c>
      <c r="I68" s="19" t="str">
        <f t="shared" si="13"/>
        <v/>
      </c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I4:I100 F69:F100">
    <cfRule type="cellIs" dxfId="46" priority="1" stopIfTrue="1" operator="lessThanOrEqual">
      <formula>-0.1</formula>
    </cfRule>
    <cfRule type="expression" dxfId="4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xSplit="2" ySplit="3" topLeftCell="C43" activePane="bottomRight" state="frozen"/>
      <selection pane="bottomRight" activeCell="J26" sqref="J26:K104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9" t="str" cm="1">
        <f t="array" ref="A1">portfolio</f>
        <v>Silicon Ranch</v>
      </c>
      <c r="B1" s="99"/>
      <c r="C1" s="99"/>
      <c r="D1" s="100" t="s">
        <v>42</v>
      </c>
      <c r="E1" s="100"/>
      <c r="F1" s="100"/>
      <c r="G1" s="98" t="s">
        <v>43</v>
      </c>
      <c r="H1" s="98"/>
      <c r="I1" s="98"/>
      <c r="J1" s="4"/>
      <c r="K1" s="4"/>
    </row>
    <row r="2" spans="1:11" ht="19.5" customHeight="1">
      <c r="A2" s="101" t="s">
        <v>2</v>
      </c>
      <c r="B2" s="101"/>
      <c r="C2" s="5">
        <f>SUM(C4:C100)</f>
        <v>802214</v>
      </c>
      <c r="D2" s="5">
        <f>SUM(D4:D100)</f>
        <v>0</v>
      </c>
      <c r="E2" s="5">
        <f>C2-D2</f>
        <v>802214</v>
      </c>
      <c r="F2" s="6">
        <f>IFERROR(E2/D2, 0)</f>
        <v>0</v>
      </c>
      <c r="G2" s="5">
        <f>SUM(G4:G100)</f>
        <v>897139.90900000022</v>
      </c>
      <c r="H2" s="7">
        <f>C2-G2</f>
        <v>-94925.909000000218</v>
      </c>
      <c r="I2" s="6">
        <f>IFERROR(H2/G2, 0)</f>
        <v>-0.10580948194112742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26650</v>
      </c>
      <c r="D4" s="13">
        <v>0</v>
      </c>
      <c r="E4" s="13">
        <f>IF(AND(ISNUMBER(C4),ISNUMBER(D4)), C4-D4, "")</f>
        <v>26650</v>
      </c>
      <c r="F4" s="14" t="str">
        <f>IFERROR(E4/D4, "")</f>
        <v/>
      </c>
      <c r="G4" s="15">
        <v>25065.9</v>
      </c>
      <c r="H4" s="15">
        <f>IF(AND(ISNUMBER(C4),ISNUMBER(G4)), C4-G4, "")</f>
        <v>1584.0999999999985</v>
      </c>
      <c r="I4" s="16">
        <f>IFERROR(H4/G4, "")</f>
        <v>6.3197411622961816E-2</v>
      </c>
      <c r="J4" s="41"/>
      <c r="K4" s="41"/>
    </row>
    <row r="5" spans="1:11" ht="15.75">
      <c r="A5" s="30" t="str">
        <v>Kohls - Auburn</v>
      </c>
      <c r="B5" s="31" t="str">
        <v>NY</v>
      </c>
      <c r="C5" s="11">
        <v>23334</v>
      </c>
      <c r="D5" s="18">
        <v>0</v>
      </c>
      <c r="E5" s="18">
        <f t="shared" ref="E5:E25" si="0">IF(AND(ISNUMBER(C5),ISNUMBER(D5)), C5-D5, "")</f>
        <v>23334</v>
      </c>
      <c r="F5" s="19" t="str">
        <f>IFERROR(E5/D5, "")</f>
        <v/>
      </c>
      <c r="G5" s="20">
        <v>23816.799999999999</v>
      </c>
      <c r="H5" s="20">
        <f t="shared" ref="H5:H25" si="1">IF(AND(ISNUMBER(C5),ISNUMBER(G5)), C5-G5, "")</f>
        <v>-482.79999999999927</v>
      </c>
      <c r="I5" s="19">
        <f t="shared" ref="I5:I25" si="2">IFERROR(H5/G5, "")</f>
        <v>-2.0271405058614057E-2</v>
      </c>
      <c r="J5" s="42"/>
      <c r="K5" s="42"/>
    </row>
    <row r="6" spans="1:11" ht="15.75">
      <c r="A6" s="28" t="str">
        <v>Kohls - Bensalem</v>
      </c>
      <c r="B6" s="29" t="str">
        <v>PA</v>
      </c>
      <c r="C6" s="24">
        <v>32980</v>
      </c>
      <c r="D6" s="13">
        <v>0</v>
      </c>
      <c r="E6" s="13">
        <f t="shared" si="0"/>
        <v>32980</v>
      </c>
      <c r="F6" s="14" t="str">
        <f t="shared" ref="F6:F25" si="3">IFERROR(E6/D6, "")</f>
        <v/>
      </c>
      <c r="G6" s="15">
        <v>29898.43</v>
      </c>
      <c r="H6" s="15">
        <f t="shared" si="1"/>
        <v>3081.5699999999997</v>
      </c>
      <c r="I6" s="16">
        <f t="shared" si="2"/>
        <v>0.10306795373536336</v>
      </c>
      <c r="J6" s="41"/>
      <c r="K6" s="41"/>
    </row>
    <row r="7" spans="1:11" ht="15.75">
      <c r="A7" s="30" t="str">
        <v>Kohls - Brick</v>
      </c>
      <c r="B7" s="31" t="str">
        <v>NJ</v>
      </c>
      <c r="C7" s="11">
        <v>36345</v>
      </c>
      <c r="D7" s="18">
        <v>0</v>
      </c>
      <c r="E7" s="18">
        <f t="shared" si="0"/>
        <v>36345</v>
      </c>
      <c r="F7" s="19" t="str">
        <f t="shared" si="3"/>
        <v/>
      </c>
      <c r="G7" s="20">
        <v>35848.9</v>
      </c>
      <c r="H7" s="20">
        <f t="shared" si="1"/>
        <v>496.09999999999854</v>
      </c>
      <c r="I7" s="19">
        <f t="shared" si="2"/>
        <v>1.3838639400372076E-2</v>
      </c>
      <c r="J7" s="42"/>
      <c r="K7" s="43"/>
    </row>
    <row r="8" spans="1:11" ht="15.75">
      <c r="A8" s="28" t="str">
        <v>Kohls - Buffalo</v>
      </c>
      <c r="B8" s="29" t="str">
        <v>NY</v>
      </c>
      <c r="C8" s="24">
        <v>28827</v>
      </c>
      <c r="D8" s="13">
        <v>0</v>
      </c>
      <c r="E8" s="13">
        <f t="shared" si="0"/>
        <v>28827</v>
      </c>
      <c r="F8" s="14" t="str">
        <f t="shared" si="3"/>
        <v/>
      </c>
      <c r="G8" s="15">
        <v>31190.22</v>
      </c>
      <c r="H8" s="15">
        <f t="shared" si="1"/>
        <v>-2363.2200000000012</v>
      </c>
      <c r="I8" s="16">
        <f t="shared" si="2"/>
        <v>-7.5767981117157907E-2</v>
      </c>
      <c r="J8" s="41"/>
      <c r="K8" s="41"/>
    </row>
    <row r="9" spans="1:11" ht="15.75">
      <c r="A9" s="30" t="str">
        <v>Kohls - Canton</v>
      </c>
      <c r="B9" s="31" t="str">
        <v>CT</v>
      </c>
      <c r="C9" s="11">
        <v>13440</v>
      </c>
      <c r="D9" s="18">
        <v>0</v>
      </c>
      <c r="E9" s="18">
        <f t="shared" si="0"/>
        <v>13440</v>
      </c>
      <c r="F9" s="19" t="str">
        <f t="shared" si="3"/>
        <v/>
      </c>
      <c r="G9" s="20">
        <v>11179.87</v>
      </c>
      <c r="H9" s="20">
        <f t="shared" si="1"/>
        <v>2260.1299999999992</v>
      </c>
      <c r="I9" s="19">
        <f t="shared" si="2"/>
        <v>0.20216066913121522</v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>
        <v>25808</v>
      </c>
      <c r="D10" s="13">
        <v>0</v>
      </c>
      <c r="E10" s="13">
        <f t="shared" si="0"/>
        <v>25808</v>
      </c>
      <c r="F10" s="14" t="str">
        <f t="shared" si="3"/>
        <v/>
      </c>
      <c r="G10" s="15">
        <v>28710.66</v>
      </c>
      <c r="H10" s="15">
        <f t="shared" si="1"/>
        <v>-2902.66</v>
      </c>
      <c r="I10" s="16">
        <f t="shared" si="2"/>
        <v>-0.10110042750671701</v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>
        <v>47751</v>
      </c>
      <c r="D11" s="18">
        <v>0</v>
      </c>
      <c r="E11" s="18">
        <f t="shared" si="0"/>
        <v>47751</v>
      </c>
      <c r="F11" s="19" t="str">
        <f t="shared" si="3"/>
        <v/>
      </c>
      <c r="G11" s="20">
        <v>46158.2</v>
      </c>
      <c r="H11" s="20">
        <f t="shared" si="1"/>
        <v>1592.8000000000029</v>
      </c>
      <c r="I11" s="19">
        <f t="shared" si="2"/>
        <v>3.4507411467518297E-2</v>
      </c>
      <c r="J11" s="42"/>
      <c r="K11" s="43"/>
    </row>
    <row r="12" spans="1:11" ht="15.75">
      <c r="A12" s="28" t="str">
        <v>Kohls - Edgewood</v>
      </c>
      <c r="B12" s="29" t="str">
        <v>MD</v>
      </c>
      <c r="C12" s="24">
        <v>232222</v>
      </c>
      <c r="D12" s="13">
        <v>0</v>
      </c>
      <c r="E12" s="13">
        <f t="shared" si="0"/>
        <v>232222</v>
      </c>
      <c r="F12" s="14" t="str">
        <f t="shared" si="3"/>
        <v/>
      </c>
      <c r="G12" s="15">
        <v>239043.04</v>
      </c>
      <c r="H12" s="15">
        <f t="shared" si="1"/>
        <v>-6821.0400000000081</v>
      </c>
      <c r="I12" s="16">
        <f t="shared" si="2"/>
        <v>-2.8534777670163533E-2</v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>
        <v>31741</v>
      </c>
      <c r="D13" s="18">
        <v>0</v>
      </c>
      <c r="E13" s="18">
        <f t="shared" si="0"/>
        <v>31741</v>
      </c>
      <c r="F13" s="19" t="str">
        <f t="shared" si="3"/>
        <v/>
      </c>
      <c r="G13" s="20">
        <v>29491.24</v>
      </c>
      <c r="H13" s="20">
        <f t="shared" si="1"/>
        <v>2249.7599999999984</v>
      </c>
      <c r="I13" s="19">
        <f t="shared" si="2"/>
        <v>7.6285703822558781E-2</v>
      </c>
      <c r="J13" s="42"/>
      <c r="K13" s="43"/>
    </row>
    <row r="14" spans="1:11" ht="15.75">
      <c r="A14" s="28" t="str">
        <v>Kohls - Greece</v>
      </c>
      <c r="B14" s="29" t="str">
        <v>NY</v>
      </c>
      <c r="C14" s="24">
        <v>23984</v>
      </c>
      <c r="D14" s="13">
        <v>0</v>
      </c>
      <c r="E14" s="13">
        <f t="shared" si="0"/>
        <v>23984</v>
      </c>
      <c r="F14" s="14" t="str">
        <f t="shared" si="3"/>
        <v/>
      </c>
      <c r="G14" s="15">
        <v>27592.06</v>
      </c>
      <c r="H14" s="15">
        <f t="shared" si="1"/>
        <v>-3608.0600000000013</v>
      </c>
      <c r="I14" s="16">
        <f t="shared" si="2"/>
        <v>-0.13076443005705268</v>
      </c>
      <c r="J14" s="41"/>
      <c r="K14" s="41"/>
    </row>
    <row r="15" spans="1:11" ht="15.75">
      <c r="A15" s="30" t="str">
        <v>Kohls - Hanover</v>
      </c>
      <c r="B15" s="31" t="str">
        <v>PA</v>
      </c>
      <c r="C15" s="11">
        <v>26616</v>
      </c>
      <c r="D15" s="18">
        <v>0</v>
      </c>
      <c r="E15" s="18">
        <f t="shared" si="0"/>
        <v>26616</v>
      </c>
      <c r="F15" s="19" t="str">
        <f t="shared" si="3"/>
        <v/>
      </c>
      <c r="G15" s="20">
        <v>32416.01</v>
      </c>
      <c r="H15" s="20">
        <f t="shared" si="1"/>
        <v>-5800.0099999999984</v>
      </c>
      <c r="I15" s="19">
        <f t="shared" si="2"/>
        <v>-0.17892424144735883</v>
      </c>
      <c r="J15" s="42"/>
      <c r="K15" s="43"/>
    </row>
    <row r="16" spans="1:11" ht="15.75">
      <c r="A16" s="28" t="str">
        <v>Kohls - Horsehead</v>
      </c>
      <c r="B16" s="29" t="str">
        <v>NY</v>
      </c>
      <c r="C16" s="24">
        <v>23060</v>
      </c>
      <c r="D16" s="13">
        <v>0</v>
      </c>
      <c r="E16" s="13">
        <f t="shared" si="0"/>
        <v>23060</v>
      </c>
      <c r="F16" s="14" t="str">
        <f t="shared" si="3"/>
        <v/>
      </c>
      <c r="G16" s="15">
        <v>24888.79</v>
      </c>
      <c r="H16" s="15">
        <f t="shared" si="1"/>
        <v>-1828.7900000000009</v>
      </c>
      <c r="I16" s="16">
        <f t="shared" si="2"/>
        <v>-7.3478461588530455E-2</v>
      </c>
      <c r="J16" s="41"/>
      <c r="K16" s="41"/>
    </row>
    <row r="17" spans="1:11" ht="15.75">
      <c r="A17" s="30" t="str">
        <v>Kohls - Hudson</v>
      </c>
      <c r="B17" s="31" t="str">
        <v>NY</v>
      </c>
      <c r="C17" s="11">
        <v>13699</v>
      </c>
      <c r="D17" s="18">
        <v>0</v>
      </c>
      <c r="E17" s="18">
        <f t="shared" si="0"/>
        <v>13699</v>
      </c>
      <c r="F17" s="19" t="str">
        <f t="shared" si="3"/>
        <v/>
      </c>
      <c r="G17" s="20">
        <v>29726.720000000001</v>
      </c>
      <c r="H17" s="20">
        <f t="shared" si="1"/>
        <v>-16027.720000000001</v>
      </c>
      <c r="I17" s="19">
        <f t="shared" si="2"/>
        <v>-0.53916880167068548</v>
      </c>
      <c r="J17" s="42"/>
      <c r="K17" s="43"/>
    </row>
    <row r="18" spans="1:11" ht="15.75">
      <c r="A18" s="32" t="str">
        <v>Kohls - Ithaca</v>
      </c>
      <c r="B18" s="29" t="str">
        <v>NY</v>
      </c>
      <c r="C18" s="24">
        <v>22256</v>
      </c>
      <c r="D18" s="13">
        <v>0</v>
      </c>
      <c r="E18" s="13">
        <f t="shared" si="0"/>
        <v>22256</v>
      </c>
      <c r="F18" s="14" t="str">
        <f t="shared" si="3"/>
        <v/>
      </c>
      <c r="G18" s="15">
        <v>27247.16</v>
      </c>
      <c r="H18" s="15">
        <f t="shared" si="1"/>
        <v>-4991.16</v>
      </c>
      <c r="I18" s="16">
        <f t="shared" si="2"/>
        <v>-0.18318092601210548</v>
      </c>
      <c r="J18" s="41"/>
      <c r="K18" s="41"/>
    </row>
    <row r="19" spans="1:11" ht="15.75">
      <c r="A19" s="30" t="str">
        <v>Kohls - Kingston</v>
      </c>
      <c r="B19" s="31" t="str">
        <v>NY</v>
      </c>
      <c r="C19" s="11">
        <v>42779</v>
      </c>
      <c r="D19" s="18">
        <v>0</v>
      </c>
      <c r="E19" s="18">
        <f t="shared" si="0"/>
        <v>42779</v>
      </c>
      <c r="F19" s="19" t="str">
        <f t="shared" si="3"/>
        <v/>
      </c>
      <c r="G19" s="20">
        <v>41686.389000000003</v>
      </c>
      <c r="H19" s="20">
        <f t="shared" si="1"/>
        <v>1092.6109999999971</v>
      </c>
      <c r="I19" s="19">
        <f t="shared" si="2"/>
        <v>2.6210257741441628E-2</v>
      </c>
      <c r="J19" s="42"/>
      <c r="K19" s="42"/>
    </row>
    <row r="20" spans="1:11" ht="15.75">
      <c r="A20" s="28" t="str">
        <v>Kohls - Mechanicsburg</v>
      </c>
      <c r="B20" s="29" t="str">
        <v>PA</v>
      </c>
      <c r="C20" s="24">
        <v>41788</v>
      </c>
      <c r="D20" s="13">
        <v>0</v>
      </c>
      <c r="E20" s="13">
        <f t="shared" si="0"/>
        <v>41788</v>
      </c>
      <c r="F20" s="14" t="str">
        <f t="shared" si="3"/>
        <v/>
      </c>
      <c r="G20" s="15">
        <v>37445.65</v>
      </c>
      <c r="H20" s="15">
        <f t="shared" si="1"/>
        <v>4342.3499999999985</v>
      </c>
      <c r="I20" s="16">
        <f t="shared" si="2"/>
        <v>0.11596407059297938</v>
      </c>
      <c r="J20" s="41"/>
      <c r="K20" s="41"/>
    </row>
    <row r="21" spans="1:11" ht="15.75">
      <c r="A21" s="30" t="str">
        <v>Kohls - Middletown</v>
      </c>
      <c r="B21" s="31" t="str">
        <v>NJ</v>
      </c>
      <c r="C21" s="11">
        <v>0</v>
      </c>
      <c r="D21" s="18">
        <v>0</v>
      </c>
      <c r="E21" s="18">
        <f t="shared" si="0"/>
        <v>0</v>
      </c>
      <c r="F21" s="19" t="str">
        <f t="shared" si="3"/>
        <v/>
      </c>
      <c r="G21" s="20">
        <v>53012.75</v>
      </c>
      <c r="H21" s="20">
        <f t="shared" si="1"/>
        <v>-53012.75</v>
      </c>
      <c r="I21" s="19">
        <f t="shared" si="2"/>
        <v>-1</v>
      </c>
      <c r="J21" s="55" t="s">
        <v>44</v>
      </c>
      <c r="K21" s="54" t="s">
        <v>41</v>
      </c>
    </row>
    <row r="22" spans="1:11" ht="15.75">
      <c r="A22" s="28" t="str">
        <v>Kohls - North Amherst</v>
      </c>
      <c r="B22" s="29" t="str">
        <v>NY</v>
      </c>
      <c r="C22" s="24">
        <v>19697</v>
      </c>
      <c r="D22" s="13">
        <v>0</v>
      </c>
      <c r="E22" s="13">
        <f t="shared" si="0"/>
        <v>19697</v>
      </c>
      <c r="F22" s="14" t="str">
        <f t="shared" si="3"/>
        <v/>
      </c>
      <c r="G22" s="15">
        <v>25541.3</v>
      </c>
      <c r="H22" s="15">
        <f t="shared" si="1"/>
        <v>-5844.2999999999993</v>
      </c>
      <c r="I22" s="19">
        <f t="shared" si="2"/>
        <v>-0.22881764044899827</v>
      </c>
      <c r="J22" s="41"/>
      <c r="K22" s="41"/>
    </row>
    <row r="23" spans="1:11" ht="15.75">
      <c r="A23" s="30" t="str">
        <v>Kohls - Staten Island</v>
      </c>
      <c r="B23" s="31" t="str">
        <v>NY</v>
      </c>
      <c r="C23" s="11">
        <v>31680</v>
      </c>
      <c r="D23" s="18">
        <v>0</v>
      </c>
      <c r="E23" s="18">
        <f t="shared" si="0"/>
        <v>31680</v>
      </c>
      <c r="F23" s="19" t="str">
        <f t="shared" si="3"/>
        <v/>
      </c>
      <c r="G23" s="20">
        <v>32036.37</v>
      </c>
      <c r="H23" s="20">
        <f t="shared" si="1"/>
        <v>-356.36999999999898</v>
      </c>
      <c r="I23" s="19">
        <f t="shared" si="2"/>
        <v>-1.1123919470277032E-2</v>
      </c>
      <c r="J23" s="42"/>
      <c r="K23" s="43"/>
    </row>
    <row r="24" spans="1:11" ht="15.75">
      <c r="A24" s="28" t="str">
        <v>Kohls - Warminster</v>
      </c>
      <c r="B24" s="29" t="str">
        <v>PA</v>
      </c>
      <c r="C24" s="24">
        <v>24283</v>
      </c>
      <c r="D24" s="13">
        <v>0</v>
      </c>
      <c r="E24" s="13">
        <f t="shared" si="0"/>
        <v>24283</v>
      </c>
      <c r="F24" s="14" t="str">
        <f t="shared" si="3"/>
        <v/>
      </c>
      <c r="G24" s="15">
        <v>36579.800000000003</v>
      </c>
      <c r="H24" s="15">
        <f t="shared" si="1"/>
        <v>-12296.800000000003</v>
      </c>
      <c r="I24" s="19">
        <f t="shared" si="2"/>
        <v>-0.33616367503376188</v>
      </c>
      <c r="J24" s="41" t="s">
        <v>45</v>
      </c>
      <c r="K24" s="41" t="s">
        <v>46</v>
      </c>
    </row>
    <row r="25" spans="1:11" ht="15.75">
      <c r="A25" s="30" t="str">
        <v xml:space="preserve">Kohls - Waterbury </v>
      </c>
      <c r="B25" s="31" t="str">
        <v>CT</v>
      </c>
      <c r="C25" s="11">
        <v>33274</v>
      </c>
      <c r="D25" s="18">
        <v>0</v>
      </c>
      <c r="E25" s="18">
        <f t="shared" si="0"/>
        <v>33274</v>
      </c>
      <c r="F25" s="19" t="str">
        <f t="shared" si="3"/>
        <v/>
      </c>
      <c r="G25" s="20">
        <v>28563.65</v>
      </c>
      <c r="H25" s="20">
        <f t="shared" si="1"/>
        <v>4710.3499999999985</v>
      </c>
      <c r="I25" s="19">
        <f t="shared" si="2"/>
        <v>0.16490714597049042</v>
      </c>
      <c r="J25" s="42"/>
      <c r="K25" s="43"/>
    </row>
    <row r="26" spans="1:11" ht="15.75">
      <c r="A26" s="28" t="str">
        <v>Mojave Water Agency - Headquarters</v>
      </c>
      <c r="B26" s="29" t="str">
        <v>CA</v>
      </c>
      <c r="C26" s="24"/>
      <c r="D26" s="13"/>
      <c r="E26" s="13" t="str">
        <f t="shared" ref="E26:E68" si="4">IF(AND(ISNUMBER(C26),ISNUMBER(D26)), C26-D26, "")</f>
        <v/>
      </c>
      <c r="F26" s="14" t="str">
        <f t="shared" ref="F26:F68" si="5">IFERROR(E26/D26, "")</f>
        <v/>
      </c>
      <c r="G26" s="15"/>
      <c r="H26" s="15" t="str">
        <f t="shared" ref="H26:H68" si="6">IF(AND(ISNUMBER(C26),ISNUMBER(G26)), C26-G26, "")</f>
        <v/>
      </c>
      <c r="I26" s="19" t="str">
        <f t="shared" ref="I26:I68" si="7">IFERROR(H26/G26, "")</f>
        <v/>
      </c>
      <c r="J26" s="41"/>
      <c r="K26" s="41"/>
    </row>
    <row r="27" spans="1:11" ht="15.75">
      <c r="A27" s="30" t="str">
        <v>CSU - Bakersfield</v>
      </c>
      <c r="B27" s="31" t="str">
        <v>CA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75">
      <c r="A28" s="28" t="str">
        <v>Greenfield USD - Fairfield ES</v>
      </c>
      <c r="B28" s="29" t="str">
        <v>CA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9" t="str">
        <f t="shared" si="7"/>
        <v/>
      </c>
      <c r="J28" s="41"/>
      <c r="K28" s="41"/>
    </row>
    <row r="29" spans="1:11" ht="15.75">
      <c r="A29" s="30" t="str">
        <v>Greenfield USD - Granite Point ES</v>
      </c>
      <c r="B29" s="31" t="str">
        <v>CA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75">
      <c r="A30" s="28" t="str">
        <v>Greenfield USD - Greenfield MS</v>
      </c>
      <c r="B30" s="29" t="str">
        <v>CA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9" t="str">
        <f t="shared" si="7"/>
        <v/>
      </c>
      <c r="J30" s="41"/>
      <c r="K30" s="41"/>
    </row>
    <row r="31" spans="1:11" ht="15.75">
      <c r="A31" s="30" t="str">
        <v>Greenfield USD - Horizon ES</v>
      </c>
      <c r="B31" s="31" t="str">
        <v>CA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75">
      <c r="A32" s="28" t="str">
        <v>Greenfield USD - McKee MS</v>
      </c>
      <c r="B32" s="29" t="str">
        <v>CA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9" t="str">
        <f t="shared" si="7"/>
        <v/>
      </c>
      <c r="J32" s="41"/>
      <c r="K32" s="41"/>
    </row>
    <row r="33" spans="1:11" ht="15.75">
      <c r="A33" s="30" t="str">
        <v>Greenfield USD - Plantation ES</v>
      </c>
      <c r="B33" s="31" t="str">
        <v>CA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75">
      <c r="A34" s="28" t="str">
        <v>Greenfield USD - Planz ES</v>
      </c>
      <c r="B34" s="29" t="str">
        <v>CA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9" t="str">
        <f t="shared" si="7"/>
        <v/>
      </c>
      <c r="J34" s="41"/>
      <c r="K34" s="41"/>
    </row>
    <row r="35" spans="1:11" ht="15.75">
      <c r="A35" s="30" t="str">
        <v>Greenfield USD - Raffaello Palla ES</v>
      </c>
      <c r="B35" s="31" t="str">
        <v>CA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75">
      <c r="A36" s="28" t="str">
        <v>Greenfield USD - Valle Verde ES</v>
      </c>
      <c r="B36" s="29" t="str">
        <v>CA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9" t="str">
        <f t="shared" si="7"/>
        <v/>
      </c>
      <c r="J36" s="41"/>
      <c r="K36" s="41"/>
    </row>
    <row r="37" spans="1:11" ht="15.75">
      <c r="A37" s="30" t="str">
        <v>Greenfield USD - W.A. Kendrick ES</v>
      </c>
      <c r="B37" s="31" t="str">
        <v>CA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>
      <c r="A38" s="28" t="str">
        <v>Muroc Joint USD - Boron HS</v>
      </c>
      <c r="B38" s="29" t="str">
        <v>CA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9" t="str">
        <f t="shared" si="7"/>
        <v/>
      </c>
      <c r="J38" s="41"/>
      <c r="K38" s="41"/>
    </row>
    <row r="39" spans="1:11" ht="15.75">
      <c r="A39" s="30" t="str">
        <v>Muroc Joint USD - W. Boron ES</v>
      </c>
      <c r="B39" s="31" t="str">
        <v>CA</v>
      </c>
      <c r="C39" s="11"/>
      <c r="D39" s="18"/>
      <c r="E39" s="18" t="str">
        <f t="shared" si="4"/>
        <v/>
      </c>
      <c r="F39" s="19" t="str">
        <f t="shared" si="5"/>
        <v/>
      </c>
      <c r="G39" s="20"/>
      <c r="H39" s="20" t="str">
        <f t="shared" si="6"/>
        <v/>
      </c>
      <c r="I39" s="19" t="str">
        <f t="shared" si="7"/>
        <v/>
      </c>
      <c r="J39" s="42"/>
      <c r="K39" s="43"/>
    </row>
    <row r="40" spans="1:11" ht="15.75">
      <c r="A40" s="28" t="str">
        <v>Colusa - WTP</v>
      </c>
      <c r="B40" s="29" t="str">
        <v>CA</v>
      </c>
      <c r="C40" s="24"/>
      <c r="D40" s="13"/>
      <c r="E40" s="13" t="str">
        <f t="shared" si="4"/>
        <v/>
      </c>
      <c r="F40" s="14" t="str">
        <f t="shared" si="5"/>
        <v/>
      </c>
      <c r="G40" s="15"/>
      <c r="H40" s="15" t="str">
        <f t="shared" si="6"/>
        <v/>
      </c>
      <c r="I40" s="19" t="str">
        <f t="shared" si="7"/>
        <v/>
      </c>
      <c r="J40" s="41"/>
      <c r="K40" s="41"/>
    </row>
    <row r="41" spans="1:11" ht="15.75">
      <c r="A41" s="30" t="str">
        <v>CDCR-North Kern State Prision</v>
      </c>
      <c r="B41" s="31" t="str">
        <v>CA</v>
      </c>
      <c r="C41" s="11"/>
      <c r="D41" s="18"/>
      <c r="E41" s="18" t="str">
        <f t="shared" si="4"/>
        <v/>
      </c>
      <c r="F41" s="19" t="str">
        <f t="shared" si="5"/>
        <v/>
      </c>
      <c r="G41" s="20"/>
      <c r="H41" s="20" t="str">
        <f t="shared" si="6"/>
        <v/>
      </c>
      <c r="I41" s="19" t="str">
        <f t="shared" si="7"/>
        <v/>
      </c>
      <c r="J41" s="42"/>
      <c r="K41" s="43"/>
    </row>
    <row r="42" spans="1:11" ht="15.75">
      <c r="A42" s="28" t="str">
        <v>Muroc Joint USD - District Office</v>
      </c>
      <c r="B42" s="29" t="str">
        <v>CA</v>
      </c>
      <c r="C42" s="24"/>
      <c r="D42" s="13"/>
      <c r="E42" s="13" t="str">
        <f t="shared" si="4"/>
        <v/>
      </c>
      <c r="F42" s="14" t="str">
        <f t="shared" si="5"/>
        <v/>
      </c>
      <c r="G42" s="15"/>
      <c r="H42" s="15" t="str">
        <f t="shared" si="6"/>
        <v/>
      </c>
      <c r="I42" s="19" t="str">
        <f t="shared" si="7"/>
        <v/>
      </c>
      <c r="J42" s="41"/>
      <c r="K42" s="41"/>
    </row>
    <row r="43" spans="1:11" ht="15.75">
      <c r="A43" s="30" t="str">
        <v>Whole Foods - Manhattan Beach</v>
      </c>
      <c r="B43" s="31" t="str">
        <v>CA</v>
      </c>
      <c r="C43" s="11"/>
      <c r="D43" s="18"/>
      <c r="E43" s="18" t="str">
        <f t="shared" si="4"/>
        <v/>
      </c>
      <c r="F43" s="19" t="str">
        <f t="shared" si="5"/>
        <v/>
      </c>
      <c r="G43" s="20"/>
      <c r="H43" s="20" t="str">
        <f t="shared" si="6"/>
        <v/>
      </c>
      <c r="I43" s="19" t="str">
        <f t="shared" si="7"/>
        <v/>
      </c>
      <c r="J43" s="42"/>
      <c r="K43" s="43"/>
    </row>
    <row r="44" spans="1:11" ht="15.75">
      <c r="A44" s="28" t="str">
        <v>Pioneer USD - Frontier ES</v>
      </c>
      <c r="B44" s="29" t="str">
        <v>CA</v>
      </c>
      <c r="C44" s="24"/>
      <c r="D44" s="13"/>
      <c r="E44" s="13" t="str">
        <f t="shared" si="4"/>
        <v/>
      </c>
      <c r="F44" s="14" t="str">
        <f t="shared" si="5"/>
        <v/>
      </c>
      <c r="G44" s="15"/>
      <c r="H44" s="15" t="str">
        <f t="shared" si="6"/>
        <v/>
      </c>
      <c r="I44" s="19" t="str">
        <f t="shared" si="7"/>
        <v/>
      </c>
      <c r="J44" s="41"/>
      <c r="K44" s="41"/>
    </row>
    <row r="45" spans="1:11" ht="15.75">
      <c r="A45" s="30" t="str">
        <v>Pioneer USD - Pioneer ES</v>
      </c>
      <c r="B45" s="31" t="str">
        <v>CA</v>
      </c>
      <c r="C45" s="11"/>
      <c r="D45" s="18"/>
      <c r="E45" s="18" t="str">
        <f t="shared" si="4"/>
        <v/>
      </c>
      <c r="F45" s="19" t="str">
        <f t="shared" si="5"/>
        <v/>
      </c>
      <c r="G45" s="20"/>
      <c r="H45" s="20" t="str">
        <f t="shared" si="6"/>
        <v/>
      </c>
      <c r="I45" s="19" t="str">
        <f t="shared" si="7"/>
        <v/>
      </c>
      <c r="J45" s="42"/>
      <c r="K45" s="43"/>
    </row>
    <row r="46" spans="1:11" ht="15.75">
      <c r="A46" s="28" t="str">
        <v>Pioneer USD - Pioneer MS</v>
      </c>
      <c r="B46" s="29" t="str">
        <v>CA</v>
      </c>
      <c r="C46" s="24"/>
      <c r="D46" s="13"/>
      <c r="E46" s="13" t="str">
        <f t="shared" si="4"/>
        <v/>
      </c>
      <c r="F46" s="14" t="str">
        <f t="shared" si="5"/>
        <v/>
      </c>
      <c r="G46" s="15"/>
      <c r="H46" s="15" t="str">
        <f t="shared" si="6"/>
        <v/>
      </c>
      <c r="I46" s="19" t="str">
        <f t="shared" si="7"/>
        <v/>
      </c>
      <c r="J46" s="41"/>
      <c r="K46" s="41"/>
    </row>
    <row r="47" spans="1:11" ht="15.75">
      <c r="A47" s="30" t="str">
        <v>Kingsburg Joint UHSD - Kingsburg HS</v>
      </c>
      <c r="B47" s="31" t="str">
        <v>CA</v>
      </c>
      <c r="C47" s="11"/>
      <c r="D47" s="18"/>
      <c r="E47" s="18" t="str">
        <f t="shared" si="4"/>
        <v/>
      </c>
      <c r="F47" s="19" t="str">
        <f t="shared" si="5"/>
        <v/>
      </c>
      <c r="G47" s="20"/>
      <c r="H47" s="20" t="str">
        <f t="shared" si="6"/>
        <v/>
      </c>
      <c r="I47" s="19" t="str">
        <f t="shared" si="7"/>
        <v/>
      </c>
      <c r="J47" s="42"/>
      <c r="K47" s="43"/>
    </row>
    <row r="48" spans="1:11" ht="15.75">
      <c r="A48" s="28" t="str">
        <v>CADRB</v>
      </c>
      <c r="B48" s="29" t="str">
        <v>CA</v>
      </c>
      <c r="C48" s="24"/>
      <c r="D48" s="13"/>
      <c r="E48" s="13" t="str">
        <f t="shared" si="4"/>
        <v/>
      </c>
      <c r="F48" s="14" t="str">
        <f t="shared" si="5"/>
        <v/>
      </c>
      <c r="G48" s="15"/>
      <c r="H48" s="15" t="str">
        <f t="shared" si="6"/>
        <v/>
      </c>
      <c r="I48" s="19" t="str">
        <f t="shared" si="7"/>
        <v/>
      </c>
      <c r="J48" s="41"/>
      <c r="K48" s="41"/>
    </row>
    <row r="49" spans="1:11" ht="15.75">
      <c r="A49" s="30" t="str">
        <v>CDCR-CA State Prison LA County</v>
      </c>
      <c r="B49" s="31" t="str">
        <v>CA</v>
      </c>
      <c r="C49" s="11"/>
      <c r="D49" s="18"/>
      <c r="E49" s="18" t="str">
        <f t="shared" si="4"/>
        <v/>
      </c>
      <c r="F49" s="19" t="str">
        <f t="shared" si="5"/>
        <v/>
      </c>
      <c r="G49" s="20"/>
      <c r="H49" s="20" t="str">
        <f t="shared" si="6"/>
        <v/>
      </c>
      <c r="I49" s="19" t="str">
        <f t="shared" si="7"/>
        <v/>
      </c>
      <c r="J49" s="42"/>
      <c r="K49" s="43"/>
    </row>
    <row r="50" spans="1:11" ht="15.75">
      <c r="A50" s="28" t="str">
        <v>Central USD Akers ES</v>
      </c>
      <c r="B50" s="29" t="str">
        <v>CA</v>
      </c>
      <c r="C50" s="24"/>
      <c r="D50" s="13"/>
      <c r="E50" s="13" t="str">
        <f t="shared" si="4"/>
        <v/>
      </c>
      <c r="F50" s="14" t="str">
        <f t="shared" si="5"/>
        <v/>
      </c>
      <c r="G50" s="15"/>
      <c r="H50" s="15" t="str">
        <f t="shared" si="6"/>
        <v/>
      </c>
      <c r="I50" s="19" t="str">
        <f t="shared" si="7"/>
        <v/>
      </c>
      <c r="J50" s="41"/>
      <c r="K50" s="41"/>
    </row>
    <row r="51" spans="1:11" ht="15.75">
      <c r="A51" s="30" t="str">
        <v>CUSD - District Office</v>
      </c>
      <c r="B51" s="31" t="str">
        <v>CA</v>
      </c>
      <c r="C51" s="11"/>
      <c r="D51" s="18"/>
      <c r="E51" s="18" t="str">
        <f t="shared" si="4"/>
        <v/>
      </c>
      <c r="F51" s="19" t="str">
        <f t="shared" si="5"/>
        <v/>
      </c>
      <c r="G51" s="20"/>
      <c r="H51" s="20" t="str">
        <f t="shared" si="6"/>
        <v/>
      </c>
      <c r="I51" s="19" t="str">
        <f t="shared" si="7"/>
        <v/>
      </c>
      <c r="J51" s="42"/>
      <c r="K51" s="43"/>
    </row>
    <row r="52" spans="1:11" ht="15.75">
      <c r="A52" s="28" t="str">
        <v>Parlier - WTP</v>
      </c>
      <c r="B52" s="29" t="str">
        <v>CA</v>
      </c>
      <c r="C52" s="24"/>
      <c r="D52" s="13"/>
      <c r="E52" s="13" t="str">
        <f t="shared" si="4"/>
        <v/>
      </c>
      <c r="F52" s="14" t="str">
        <f t="shared" si="5"/>
        <v/>
      </c>
      <c r="G52" s="15"/>
      <c r="H52" s="15" t="str">
        <f t="shared" si="6"/>
        <v/>
      </c>
      <c r="I52" s="19" t="str">
        <f t="shared" si="7"/>
        <v/>
      </c>
      <c r="J52" s="41"/>
      <c r="K52" s="41"/>
    </row>
    <row r="53" spans="1:11" ht="15.75">
      <c r="A53" s="30" t="str">
        <v>Snowline SD - Quail Valley MS</v>
      </c>
      <c r="B53" s="31" t="str">
        <v>CA</v>
      </c>
      <c r="C53" s="11"/>
      <c r="D53" s="18"/>
      <c r="E53" s="18" t="str">
        <f t="shared" si="4"/>
        <v/>
      </c>
      <c r="F53" s="19" t="str">
        <f t="shared" si="5"/>
        <v/>
      </c>
      <c r="G53" s="20"/>
      <c r="H53" s="20" t="str">
        <f t="shared" si="6"/>
        <v/>
      </c>
      <c r="I53" s="19" t="str">
        <f t="shared" si="7"/>
        <v/>
      </c>
      <c r="J53" s="42"/>
      <c r="K53" s="43"/>
    </row>
    <row r="54" spans="1:11" ht="15.75">
      <c r="A54" s="28" t="str">
        <v>Snowline SD - Serrano HS - Middle Lot</v>
      </c>
      <c r="B54" s="29" t="str">
        <v>CA</v>
      </c>
      <c r="C54" s="24"/>
      <c r="D54" s="13"/>
      <c r="E54" s="13" t="str">
        <f t="shared" si="4"/>
        <v/>
      </c>
      <c r="F54" s="14" t="str">
        <f t="shared" si="5"/>
        <v/>
      </c>
      <c r="G54" s="15"/>
      <c r="H54" s="15" t="str">
        <f t="shared" si="6"/>
        <v/>
      </c>
      <c r="I54" s="19" t="str">
        <f t="shared" si="7"/>
        <v/>
      </c>
      <c r="J54" s="41"/>
      <c r="K54" s="41"/>
    </row>
    <row r="55" spans="1:11" ht="15.75">
      <c r="A55" s="30" t="str">
        <v>Snowline SD - Pinon Hills ES</v>
      </c>
      <c r="B55" s="31" t="str">
        <v>CA</v>
      </c>
      <c r="C55" s="11"/>
      <c r="D55" s="18"/>
      <c r="E55" s="18" t="str">
        <f t="shared" si="4"/>
        <v/>
      </c>
      <c r="F55" s="19" t="str">
        <f t="shared" si="5"/>
        <v/>
      </c>
      <c r="G55" s="20"/>
      <c r="H55" s="20" t="str">
        <f t="shared" si="6"/>
        <v/>
      </c>
      <c r="I55" s="19" t="str">
        <f t="shared" si="7"/>
        <v/>
      </c>
      <c r="J55" s="42"/>
      <c r="K55" s="43"/>
    </row>
    <row r="56" spans="1:11" ht="15.75">
      <c r="A56" s="28" t="str">
        <v>Ramona - Santa Maria WTP</v>
      </c>
      <c r="B56" s="29" t="str">
        <v>CA</v>
      </c>
      <c r="C56" s="24"/>
      <c r="D56" s="13"/>
      <c r="E56" s="13" t="str">
        <f t="shared" si="4"/>
        <v/>
      </c>
      <c r="F56" s="14" t="str">
        <f t="shared" si="5"/>
        <v/>
      </c>
      <c r="G56" s="15"/>
      <c r="H56" s="15" t="str">
        <f t="shared" si="6"/>
        <v/>
      </c>
      <c r="I56" s="19" t="str">
        <f t="shared" si="7"/>
        <v/>
      </c>
      <c r="J56" s="41"/>
      <c r="K56" s="41"/>
    </row>
    <row r="57" spans="1:11" ht="15.75">
      <c r="A57" s="30" t="str">
        <v>Kohls - Redding</v>
      </c>
      <c r="B57" s="31" t="str">
        <v>CA</v>
      </c>
      <c r="C57" s="11"/>
      <c r="D57" s="18"/>
      <c r="E57" s="18" t="str">
        <f t="shared" si="4"/>
        <v/>
      </c>
      <c r="F57" s="19" t="str">
        <f t="shared" si="5"/>
        <v/>
      </c>
      <c r="G57" s="20"/>
      <c r="H57" s="20" t="str">
        <f t="shared" si="6"/>
        <v/>
      </c>
      <c r="I57" s="19" t="str">
        <f t="shared" si="7"/>
        <v/>
      </c>
      <c r="J57" s="42"/>
      <c r="K57" s="43"/>
    </row>
    <row r="58" spans="1:11" ht="15.75">
      <c r="A58" s="28" t="str">
        <v>Kohls - Salinas</v>
      </c>
      <c r="B58" s="29" t="str">
        <v>CA</v>
      </c>
      <c r="C58" s="24"/>
      <c r="D58" s="13"/>
      <c r="E58" s="13" t="str">
        <f t="shared" si="4"/>
        <v/>
      </c>
      <c r="F58" s="14" t="str">
        <f t="shared" si="5"/>
        <v/>
      </c>
      <c r="G58" s="15"/>
      <c r="H58" s="15" t="str">
        <f t="shared" si="6"/>
        <v/>
      </c>
      <c r="I58" s="19" t="str">
        <f t="shared" si="7"/>
        <v/>
      </c>
      <c r="J58" s="41"/>
      <c r="K58" s="41"/>
    </row>
    <row r="59" spans="1:11" ht="15.75">
      <c r="A59" s="30" t="str">
        <v>Kohls - San Bernardino - Central</v>
      </c>
      <c r="B59" s="31" t="str">
        <v>CA</v>
      </c>
      <c r="C59" s="11"/>
      <c r="D59" s="18"/>
      <c r="E59" s="18" t="str">
        <f t="shared" si="4"/>
        <v/>
      </c>
      <c r="F59" s="19" t="str">
        <f t="shared" si="5"/>
        <v/>
      </c>
      <c r="G59" s="20"/>
      <c r="H59" s="20" t="str">
        <f t="shared" si="6"/>
        <v/>
      </c>
      <c r="I59" s="19" t="str">
        <f t="shared" si="7"/>
        <v/>
      </c>
      <c r="J59" s="42"/>
      <c r="K59" s="43"/>
    </row>
    <row r="60" spans="1:11" ht="15.75">
      <c r="A60" s="28" t="str">
        <v>Kohls - Sonora</v>
      </c>
      <c r="B60" s="29" t="str">
        <v>CA</v>
      </c>
      <c r="C60" s="24"/>
      <c r="D60" s="13"/>
      <c r="E60" s="13" t="str">
        <f t="shared" si="4"/>
        <v/>
      </c>
      <c r="F60" s="14" t="str">
        <f t="shared" si="5"/>
        <v/>
      </c>
      <c r="G60" s="15"/>
      <c r="H60" s="15" t="str">
        <f t="shared" si="6"/>
        <v/>
      </c>
      <c r="I60" s="19" t="str">
        <f t="shared" si="7"/>
        <v/>
      </c>
      <c r="J60" s="41"/>
      <c r="K60" s="41"/>
    </row>
    <row r="61" spans="1:11" ht="15.75">
      <c r="A61" s="30" t="str">
        <v>CUSD - Stratford ES</v>
      </c>
      <c r="B61" s="31" t="str">
        <v>CA</v>
      </c>
      <c r="C61" s="11"/>
      <c r="D61" s="18"/>
      <c r="E61" s="18" t="str">
        <f t="shared" si="4"/>
        <v/>
      </c>
      <c r="F61" s="19" t="str">
        <f t="shared" si="5"/>
        <v/>
      </c>
      <c r="G61" s="20"/>
      <c r="H61" s="20" t="str">
        <f t="shared" si="6"/>
        <v/>
      </c>
      <c r="I61" s="19" t="str">
        <f t="shared" si="7"/>
        <v/>
      </c>
      <c r="J61" s="42"/>
      <c r="K61" s="43"/>
    </row>
    <row r="62" spans="1:11" ht="15.75">
      <c r="A62" s="28" t="str">
        <v>Taft - City Hall</v>
      </c>
      <c r="B62" s="29" t="str">
        <v>CA</v>
      </c>
      <c r="C62" s="24"/>
      <c r="D62" s="13"/>
      <c r="E62" s="13" t="str">
        <f t="shared" si="4"/>
        <v/>
      </c>
      <c r="F62" s="14" t="str">
        <f t="shared" si="5"/>
        <v/>
      </c>
      <c r="G62" s="15"/>
      <c r="H62" s="15" t="str">
        <f t="shared" si="6"/>
        <v/>
      </c>
      <c r="I62" s="19" t="str">
        <f t="shared" si="7"/>
        <v/>
      </c>
      <c r="J62" s="41"/>
      <c r="K62" s="41"/>
    </row>
    <row r="63" spans="1:11" ht="15.75">
      <c r="A63" s="30" t="str">
        <v>Taft - Federal Prison</v>
      </c>
      <c r="B63" s="31" t="str">
        <v>CA</v>
      </c>
      <c r="C63" s="11"/>
      <c r="D63" s="18"/>
      <c r="E63" s="18" t="str">
        <f t="shared" si="4"/>
        <v/>
      </c>
      <c r="F63" s="19" t="str">
        <f t="shared" si="5"/>
        <v/>
      </c>
      <c r="G63" s="20"/>
      <c r="H63" s="20" t="str">
        <f t="shared" si="6"/>
        <v/>
      </c>
      <c r="I63" s="19" t="str">
        <f t="shared" si="7"/>
        <v/>
      </c>
      <c r="J63" s="42"/>
      <c r="K63" s="43"/>
    </row>
    <row r="64" spans="1:11" ht="15.75">
      <c r="A64" s="28" t="str">
        <v>Taft - Police Department</v>
      </c>
      <c r="B64" s="29" t="str">
        <v>CA</v>
      </c>
      <c r="C64" s="24"/>
      <c r="D64" s="13"/>
      <c r="E64" s="13" t="str">
        <f t="shared" si="4"/>
        <v/>
      </c>
      <c r="F64" s="14" t="str">
        <f t="shared" si="5"/>
        <v/>
      </c>
      <c r="G64" s="15"/>
      <c r="H64" s="15" t="str">
        <f t="shared" si="6"/>
        <v/>
      </c>
      <c r="I64" s="19" t="str">
        <f t="shared" si="7"/>
        <v/>
      </c>
      <c r="J64" s="41"/>
      <c r="K64" s="41"/>
    </row>
    <row r="65" spans="1:11" ht="15.75">
      <c r="A65" s="30" t="str">
        <v>Taft - WTP</v>
      </c>
      <c r="B65" s="31" t="str">
        <v>CA</v>
      </c>
      <c r="C65" s="11"/>
      <c r="D65" s="18"/>
      <c r="E65" s="18" t="str">
        <f t="shared" si="4"/>
        <v/>
      </c>
      <c r="F65" s="19" t="str">
        <f t="shared" si="5"/>
        <v/>
      </c>
      <c r="G65" s="20"/>
      <c r="H65" s="20" t="str">
        <f t="shared" si="6"/>
        <v/>
      </c>
      <c r="I65" s="19" t="str">
        <f t="shared" si="7"/>
        <v/>
      </c>
      <c r="J65" s="42"/>
      <c r="K65" s="43"/>
    </row>
    <row r="66" spans="1:11" ht="15.75">
      <c r="A66" s="28" t="str">
        <v>CDCR - CA Correctional Institution</v>
      </c>
      <c r="B66" s="29" t="str">
        <v>CA</v>
      </c>
      <c r="C66" s="24"/>
      <c r="D66" s="13"/>
      <c r="E66" s="13" t="str">
        <f t="shared" si="4"/>
        <v/>
      </c>
      <c r="F66" s="14" t="str">
        <f t="shared" si="5"/>
        <v/>
      </c>
      <c r="G66" s="15"/>
      <c r="H66" s="15" t="str">
        <f t="shared" si="6"/>
        <v/>
      </c>
      <c r="I66" s="19" t="str">
        <f t="shared" si="7"/>
        <v/>
      </c>
      <c r="J66" s="41"/>
      <c r="K66" s="41"/>
    </row>
    <row r="67" spans="1:11" ht="15.75">
      <c r="A67" s="30" t="str">
        <v>CDCR - CA Correctional Institution II</v>
      </c>
      <c r="B67" s="31" t="str">
        <v>CA</v>
      </c>
      <c r="C67" s="11"/>
      <c r="D67" s="18"/>
      <c r="E67" s="18" t="str">
        <f t="shared" si="4"/>
        <v/>
      </c>
      <c r="F67" s="19" t="str">
        <f t="shared" si="5"/>
        <v/>
      </c>
      <c r="G67" s="20"/>
      <c r="H67" s="20" t="str">
        <f t="shared" si="6"/>
        <v/>
      </c>
      <c r="I67" s="19" t="str">
        <f t="shared" si="7"/>
        <v/>
      </c>
      <c r="J67" s="42"/>
      <c r="K67" s="43"/>
    </row>
    <row r="68" spans="1:11" ht="15.75">
      <c r="A68" s="28" t="str">
        <v>Snowline SD - Vista Verde ES</v>
      </c>
      <c r="B68" s="29" t="str">
        <v>CA</v>
      </c>
      <c r="C68" s="24"/>
      <c r="D68" s="13"/>
      <c r="E68" s="13" t="str">
        <f t="shared" si="4"/>
        <v/>
      </c>
      <c r="F68" s="14" t="str">
        <f t="shared" si="5"/>
        <v/>
      </c>
      <c r="G68" s="15"/>
      <c r="H68" s="15" t="str">
        <f t="shared" si="6"/>
        <v/>
      </c>
      <c r="I68" s="19" t="str">
        <f t="shared" si="7"/>
        <v/>
      </c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phoneticPr fontId="40" type="noConversion"/>
  <conditionalFormatting sqref="F2 I2">
    <cfRule type="cellIs" dxfId="44" priority="3" stopIfTrue="1" operator="lessThanOrEqual">
      <formula>-0.1</formula>
    </cfRule>
    <cfRule type="expression" dxfId="43" priority="4">
      <formula>AND(ISNUMBER(F2), F2&gt;=0.1)</formula>
    </cfRule>
  </conditionalFormatting>
  <conditionalFormatting sqref="F4:F100 I4:I100">
    <cfRule type="cellIs" dxfId="42" priority="1" stopIfTrue="1" operator="lessThanOrEqual">
      <formula>-0.1</formula>
    </cfRule>
    <cfRule type="expression" dxfId="4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zoomScale="90" zoomScaleNormal="90" workbookViewId="0">
      <pane xSplit="2" ySplit="3" topLeftCell="C35" activePane="bottomRight" state="frozen"/>
      <selection pane="bottomRight" activeCell="G26" sqref="G26:G69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9" t="str" cm="1">
        <f t="array" ref="A1">portfolio</f>
        <v>Silicon Ranch</v>
      </c>
      <c r="B1" s="99"/>
      <c r="C1" s="99"/>
      <c r="D1" s="100" t="s">
        <v>47</v>
      </c>
      <c r="E1" s="100"/>
      <c r="F1" s="100"/>
      <c r="G1" s="98" t="s">
        <v>48</v>
      </c>
      <c r="H1" s="98"/>
      <c r="I1" s="98"/>
      <c r="J1" s="4"/>
      <c r="K1" s="4"/>
    </row>
    <row r="2" spans="1:11" ht="19.5" customHeight="1">
      <c r="A2" s="101" t="s">
        <v>2</v>
      </c>
      <c r="B2" s="101"/>
      <c r="C2" s="5">
        <f>SUM(C4:C100)</f>
        <v>931826.2</v>
      </c>
      <c r="D2" s="5">
        <f>SUM(D4:D100)</f>
        <v>0</v>
      </c>
      <c r="E2" s="5">
        <f>C2-D2</f>
        <v>931826.2</v>
      </c>
      <c r="F2" s="6">
        <f>IFERROR(E2/D2, 0)</f>
        <v>0</v>
      </c>
      <c r="G2" s="5">
        <f>SUM(G4:G100)</f>
        <v>1097110.291</v>
      </c>
      <c r="H2" s="7">
        <f>C2-G2</f>
        <v>-165284.09100000001</v>
      </c>
      <c r="I2" s="6">
        <f>IFERROR(H2/G2, 0)</f>
        <v>-0.15065403392519996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28698</v>
      </c>
      <c r="D4" s="13">
        <v>0</v>
      </c>
      <c r="E4" s="13">
        <f>IF(AND(ISNUMBER(C4),ISNUMBER(D4)), C4-D4, "")</f>
        <v>28698</v>
      </c>
      <c r="F4" s="14" t="str">
        <f>IFERROR(E4/D4, "")</f>
        <v/>
      </c>
      <c r="G4" s="15">
        <v>31152.93</v>
      </c>
      <c r="H4" s="15">
        <f>IF(AND(ISNUMBER(C4),ISNUMBER(G4)), C4-G4, "")</f>
        <v>-2454.9300000000003</v>
      </c>
      <c r="I4" s="16">
        <f>IFERROR(H4/G4, "")</f>
        <v>-7.8802539600608998E-2</v>
      </c>
      <c r="J4" s="41"/>
      <c r="K4" s="41"/>
    </row>
    <row r="5" spans="1:11" ht="15.75">
      <c r="A5" s="30" t="str">
        <v>Kohls - Auburn</v>
      </c>
      <c r="B5" s="31" t="str">
        <v>NY</v>
      </c>
      <c r="C5" s="11">
        <v>28241</v>
      </c>
      <c r="D5" s="18">
        <v>0</v>
      </c>
      <c r="E5" s="18">
        <f t="shared" ref="E5:E25" si="0">IF(AND(ISNUMBER(C5),ISNUMBER(D5)), C5-D5, "")</f>
        <v>28241</v>
      </c>
      <c r="F5" s="19" t="str">
        <f>IFERROR(E5/D5, "")</f>
        <v/>
      </c>
      <c r="G5" s="20">
        <v>34098.57</v>
      </c>
      <c r="H5" s="20">
        <f t="shared" ref="H5:H25" si="1">IF(AND(ISNUMBER(C5),ISNUMBER(G5)), C5-G5, "")</f>
        <v>-5857.57</v>
      </c>
      <c r="I5" s="19">
        <f t="shared" ref="I5:I25" si="2">IFERROR(H5/G5, "")</f>
        <v>-0.17178345015641416</v>
      </c>
      <c r="J5" s="42"/>
      <c r="K5" s="42"/>
    </row>
    <row r="6" spans="1:11" ht="15.75">
      <c r="A6" s="28" t="str">
        <v>Kohls - Bensalem</v>
      </c>
      <c r="B6" s="29" t="str">
        <v>PA</v>
      </c>
      <c r="C6" s="24">
        <v>35384</v>
      </c>
      <c r="D6" s="13">
        <v>0</v>
      </c>
      <c r="E6" s="13">
        <f t="shared" si="0"/>
        <v>35384</v>
      </c>
      <c r="F6" s="14" t="str">
        <f t="shared" ref="F6:F25" si="3">IFERROR(E6/D6, "")</f>
        <v/>
      </c>
      <c r="G6" s="15">
        <v>33865.769999999997</v>
      </c>
      <c r="H6" s="15">
        <f t="shared" si="1"/>
        <v>1518.2300000000032</v>
      </c>
      <c r="I6" s="16">
        <f t="shared" si="2"/>
        <v>4.4830812941799442E-2</v>
      </c>
      <c r="J6" s="41"/>
      <c r="K6" s="41"/>
    </row>
    <row r="7" spans="1:11" ht="15.75">
      <c r="A7" s="30" t="str">
        <v>Kohls - Brick</v>
      </c>
      <c r="B7" s="31" t="str">
        <v>NJ</v>
      </c>
      <c r="C7" s="11">
        <v>38934</v>
      </c>
      <c r="D7" s="18">
        <v>0</v>
      </c>
      <c r="E7" s="18">
        <f t="shared" si="0"/>
        <v>38934</v>
      </c>
      <c r="F7" s="19" t="str">
        <f t="shared" si="3"/>
        <v/>
      </c>
      <c r="G7" s="20">
        <v>41145.589999999997</v>
      </c>
      <c r="H7" s="20">
        <f t="shared" si="1"/>
        <v>-2211.5899999999965</v>
      </c>
      <c r="I7" s="19">
        <f t="shared" si="2"/>
        <v>-5.3750353318545115E-2</v>
      </c>
      <c r="J7" s="42"/>
      <c r="K7" s="43"/>
    </row>
    <row r="8" spans="1:11" ht="15.75">
      <c r="A8" s="28" t="str">
        <v>Kohls - Buffalo</v>
      </c>
      <c r="B8" s="29" t="str">
        <v>NY</v>
      </c>
      <c r="C8" s="24">
        <v>34857</v>
      </c>
      <c r="D8" s="13">
        <v>0</v>
      </c>
      <c r="E8" s="13">
        <f t="shared" si="0"/>
        <v>34857</v>
      </c>
      <c r="F8" s="14" t="str">
        <f t="shared" si="3"/>
        <v/>
      </c>
      <c r="G8" s="15">
        <v>44287.13</v>
      </c>
      <c r="H8" s="15">
        <f t="shared" si="1"/>
        <v>-9430.1299999999974</v>
      </c>
      <c r="I8" s="16">
        <f t="shared" si="2"/>
        <v>-0.21293161241200317</v>
      </c>
      <c r="J8" s="41"/>
      <c r="K8" s="41"/>
    </row>
    <row r="9" spans="1:11" ht="15.75">
      <c r="A9" s="30" t="str">
        <v>Kohls - Canton</v>
      </c>
      <c r="B9" s="31" t="str">
        <v>CT</v>
      </c>
      <c r="C9" s="11">
        <v>13928</v>
      </c>
      <c r="D9" s="18">
        <v>0</v>
      </c>
      <c r="E9" s="18">
        <f t="shared" si="0"/>
        <v>13928</v>
      </c>
      <c r="F9" s="19" t="str">
        <f t="shared" si="3"/>
        <v/>
      </c>
      <c r="G9" s="20">
        <v>13718.25</v>
      </c>
      <c r="H9" s="20">
        <f t="shared" si="1"/>
        <v>209.75</v>
      </c>
      <c r="I9" s="19">
        <f t="shared" si="2"/>
        <v>1.5289851110746632E-2</v>
      </c>
      <c r="J9" s="56"/>
      <c r="K9" s="43"/>
    </row>
    <row r="10" spans="1:11" ht="15.75">
      <c r="A10" s="28" t="str">
        <v>Kohls - East Amherst</v>
      </c>
      <c r="B10" s="29" t="str">
        <v>NY</v>
      </c>
      <c r="C10" s="24">
        <v>32595</v>
      </c>
      <c r="D10" s="13">
        <v>0</v>
      </c>
      <c r="E10" s="13">
        <f t="shared" si="0"/>
        <v>32595</v>
      </c>
      <c r="F10" s="14" t="str">
        <f t="shared" si="3"/>
        <v/>
      </c>
      <c r="G10" s="15">
        <v>38964.47</v>
      </c>
      <c r="H10" s="15">
        <f t="shared" si="1"/>
        <v>-6369.4700000000012</v>
      </c>
      <c r="I10" s="16">
        <f t="shared" si="2"/>
        <v>-0.16346866773755683</v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>
        <v>45596</v>
      </c>
      <c r="D11" s="18">
        <v>0</v>
      </c>
      <c r="E11" s="18">
        <f t="shared" si="0"/>
        <v>45596</v>
      </c>
      <c r="F11" s="19" t="str">
        <f t="shared" si="3"/>
        <v/>
      </c>
      <c r="G11" s="20">
        <v>52856.959999999999</v>
      </c>
      <c r="H11" s="20">
        <f t="shared" si="1"/>
        <v>-7260.9599999999991</v>
      </c>
      <c r="I11" s="19">
        <f t="shared" si="2"/>
        <v>-0.1373699887394205</v>
      </c>
      <c r="J11" s="42"/>
      <c r="K11" s="43"/>
    </row>
    <row r="12" spans="1:11" ht="15.75">
      <c r="A12" s="28" t="str">
        <v>Kohls - Edgewood</v>
      </c>
      <c r="B12" s="29" t="str">
        <v>MD</v>
      </c>
      <c r="C12" s="24">
        <v>236845</v>
      </c>
      <c r="D12" s="13">
        <v>0</v>
      </c>
      <c r="E12" s="13">
        <f t="shared" si="0"/>
        <v>236845</v>
      </c>
      <c r="F12" s="14" t="str">
        <f t="shared" si="3"/>
        <v/>
      </c>
      <c r="G12" s="15">
        <v>283313.49</v>
      </c>
      <c r="H12" s="15">
        <f t="shared" si="1"/>
        <v>-46468.489999999991</v>
      </c>
      <c r="I12" s="16">
        <f t="shared" si="2"/>
        <v>-0.16401792233754908</v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>
        <v>32668</v>
      </c>
      <c r="D13" s="18">
        <v>0</v>
      </c>
      <c r="E13" s="18">
        <f t="shared" si="0"/>
        <v>32668</v>
      </c>
      <c r="F13" s="19" t="str">
        <f t="shared" si="3"/>
        <v/>
      </c>
      <c r="G13" s="20">
        <v>33875.629999999997</v>
      </c>
      <c r="H13" s="20">
        <f t="shared" si="1"/>
        <v>-1207.6299999999974</v>
      </c>
      <c r="I13" s="19">
        <f t="shared" si="2"/>
        <v>-3.5648931104749856E-2</v>
      </c>
      <c r="J13" s="42"/>
      <c r="K13" s="43"/>
    </row>
    <row r="14" spans="1:11" ht="15.75">
      <c r="A14" s="28" t="str">
        <v>Kohls - Greece</v>
      </c>
      <c r="B14" s="29" t="str">
        <v>NY</v>
      </c>
      <c r="C14" s="24">
        <v>27098</v>
      </c>
      <c r="D14" s="13">
        <v>0</v>
      </c>
      <c r="E14" s="13">
        <f t="shared" si="0"/>
        <v>27098</v>
      </c>
      <c r="F14" s="14" t="str">
        <f t="shared" si="3"/>
        <v/>
      </c>
      <c r="G14" s="15">
        <v>41686.39</v>
      </c>
      <c r="H14" s="15">
        <f t="shared" si="1"/>
        <v>-14588.39</v>
      </c>
      <c r="I14" s="16">
        <f t="shared" si="2"/>
        <v>-0.34995570496749656</v>
      </c>
      <c r="J14" s="41"/>
      <c r="K14" s="41"/>
    </row>
    <row r="15" spans="1:11" ht="28.5">
      <c r="A15" s="30" t="str">
        <v>Kohls - Hanover</v>
      </c>
      <c r="B15" s="31" t="str">
        <v>PA</v>
      </c>
      <c r="C15" s="11">
        <v>22308</v>
      </c>
      <c r="D15" s="18">
        <v>0</v>
      </c>
      <c r="E15" s="18">
        <f t="shared" si="0"/>
        <v>22308</v>
      </c>
      <c r="F15" s="19" t="str">
        <f t="shared" si="3"/>
        <v/>
      </c>
      <c r="G15" s="20">
        <v>39384.11</v>
      </c>
      <c r="H15" s="20">
        <f t="shared" si="1"/>
        <v>-17076.11</v>
      </c>
      <c r="I15" s="19">
        <f t="shared" si="2"/>
        <v>-0.43357866916378207</v>
      </c>
      <c r="J15" s="55" t="s">
        <v>49</v>
      </c>
      <c r="K15" s="55" t="s">
        <v>50</v>
      </c>
    </row>
    <row r="16" spans="1:11" ht="15.75">
      <c r="A16" s="28" t="str">
        <v>Kohls - Horsehead</v>
      </c>
      <c r="B16" s="29" t="str">
        <v>NY</v>
      </c>
      <c r="C16" s="24">
        <v>25184</v>
      </c>
      <c r="D16" s="13">
        <v>0</v>
      </c>
      <c r="E16" s="13">
        <f t="shared" si="0"/>
        <v>25184</v>
      </c>
      <c r="F16" s="14" t="str">
        <f t="shared" si="3"/>
        <v/>
      </c>
      <c r="G16" s="15">
        <v>28710.66</v>
      </c>
      <c r="H16" s="15">
        <f t="shared" si="1"/>
        <v>-3526.66</v>
      </c>
      <c r="I16" s="16">
        <f t="shared" si="2"/>
        <v>-0.12283451512434754</v>
      </c>
      <c r="J16" s="57"/>
      <c r="K16" s="57"/>
    </row>
    <row r="17" spans="1:11" ht="15.75">
      <c r="A17" s="30" t="str">
        <v>Kohls - Hudson</v>
      </c>
      <c r="B17" s="31" t="str">
        <v>NY</v>
      </c>
      <c r="C17" s="11">
        <v>29971</v>
      </c>
      <c r="D17" s="18">
        <v>0</v>
      </c>
      <c r="E17" s="18">
        <f t="shared" si="0"/>
        <v>29971</v>
      </c>
      <c r="F17" s="19" t="str">
        <f t="shared" si="3"/>
        <v/>
      </c>
      <c r="G17" s="20">
        <v>32756.26</v>
      </c>
      <c r="H17" s="20">
        <f t="shared" si="1"/>
        <v>-2785.2599999999984</v>
      </c>
      <c r="I17" s="19">
        <f t="shared" si="2"/>
        <v>-8.5029853835572142E-2</v>
      </c>
      <c r="J17" s="55"/>
      <c r="K17" s="59"/>
    </row>
    <row r="18" spans="1:11" ht="15.75">
      <c r="A18" s="32" t="str">
        <v>Kohls - Ithaca</v>
      </c>
      <c r="B18" s="29" t="str">
        <v>NY</v>
      </c>
      <c r="C18" s="24">
        <v>26588</v>
      </c>
      <c r="D18" s="13">
        <v>0</v>
      </c>
      <c r="E18" s="13">
        <f t="shared" si="0"/>
        <v>26588</v>
      </c>
      <c r="F18" s="14" t="str">
        <f t="shared" si="3"/>
        <v/>
      </c>
      <c r="G18" s="15">
        <v>34443.47</v>
      </c>
      <c r="H18" s="15">
        <f t="shared" si="1"/>
        <v>-7855.4700000000012</v>
      </c>
      <c r="I18" s="16">
        <f t="shared" si="2"/>
        <v>-0.22806848438905838</v>
      </c>
      <c r="J18" s="57"/>
      <c r="K18" s="57"/>
    </row>
    <row r="19" spans="1:11" ht="28.5">
      <c r="A19" s="30" t="str">
        <v>Kohls - Kingston</v>
      </c>
      <c r="B19" s="31" t="str">
        <v>NY</v>
      </c>
      <c r="C19" s="11">
        <v>36617</v>
      </c>
      <c r="D19" s="18">
        <v>0</v>
      </c>
      <c r="E19" s="18">
        <f t="shared" si="0"/>
        <v>36617</v>
      </c>
      <c r="F19" s="19" t="str">
        <f t="shared" si="3"/>
        <v/>
      </c>
      <c r="G19" s="20">
        <v>53496.911</v>
      </c>
      <c r="H19" s="20">
        <f t="shared" si="1"/>
        <v>-16879.911</v>
      </c>
      <c r="I19" s="19">
        <f t="shared" si="2"/>
        <v>-0.31553057334469276</v>
      </c>
      <c r="J19" s="55" t="s">
        <v>51</v>
      </c>
      <c r="K19" s="55" t="s">
        <v>52</v>
      </c>
    </row>
    <row r="20" spans="1:11" ht="15.75">
      <c r="A20" s="28" t="str">
        <v>Kohls - Mechanicsburg</v>
      </c>
      <c r="B20" s="29" t="str">
        <v>PA</v>
      </c>
      <c r="C20" s="24">
        <v>41872</v>
      </c>
      <c r="D20" s="13">
        <v>0</v>
      </c>
      <c r="E20" s="13">
        <f t="shared" si="0"/>
        <v>41872</v>
      </c>
      <c r="F20" s="14" t="str">
        <f t="shared" si="3"/>
        <v/>
      </c>
      <c r="G20" s="15">
        <v>46002.28</v>
      </c>
      <c r="H20" s="15">
        <f t="shared" si="1"/>
        <v>-4130.2799999999988</v>
      </c>
      <c r="I20" s="16">
        <f t="shared" si="2"/>
        <v>-8.9784245476528537E-2</v>
      </c>
      <c r="J20" s="57"/>
      <c r="K20" s="57"/>
    </row>
    <row r="21" spans="1:11" ht="15.75">
      <c r="A21" s="30" t="str">
        <v>Kohls - Middletown</v>
      </c>
      <c r="B21" s="31" t="str">
        <v>NJ</v>
      </c>
      <c r="C21" s="11">
        <v>59946</v>
      </c>
      <c r="D21" s="18">
        <v>0</v>
      </c>
      <c r="E21" s="18">
        <f t="shared" si="0"/>
        <v>59946</v>
      </c>
      <c r="F21" s="19" t="str">
        <f t="shared" si="3"/>
        <v/>
      </c>
      <c r="G21" s="20">
        <v>60664.54</v>
      </c>
      <c r="H21" s="20">
        <f t="shared" si="1"/>
        <v>-718.54000000000087</v>
      </c>
      <c r="I21" s="19">
        <f t="shared" si="2"/>
        <v>-1.1844481141701575E-2</v>
      </c>
      <c r="J21" s="55" t="s">
        <v>53</v>
      </c>
      <c r="K21" s="55" t="s">
        <v>54</v>
      </c>
    </row>
    <row r="22" spans="1:11" ht="15.75">
      <c r="A22" s="28" t="str">
        <v>Kohls - North Amherst</v>
      </c>
      <c r="B22" s="29" t="str">
        <v>NY</v>
      </c>
      <c r="C22" s="24">
        <v>24695</v>
      </c>
      <c r="D22" s="13">
        <v>0</v>
      </c>
      <c r="E22" s="13">
        <f t="shared" si="0"/>
        <v>24695</v>
      </c>
      <c r="F22" s="14" t="str">
        <f t="shared" si="3"/>
        <v/>
      </c>
      <c r="G22" s="15">
        <v>37286.57</v>
      </c>
      <c r="H22" s="15">
        <f t="shared" si="1"/>
        <v>-12591.57</v>
      </c>
      <c r="I22" s="16">
        <f t="shared" si="2"/>
        <v>-0.33769719231347911</v>
      </c>
      <c r="J22" s="58"/>
      <c r="K22" s="57"/>
    </row>
    <row r="23" spans="1:11" ht="15.75">
      <c r="A23" s="30" t="str">
        <v>Kohls - Staten Island</v>
      </c>
      <c r="B23" s="31" t="str">
        <v>NY</v>
      </c>
      <c r="C23" s="11">
        <v>33544.199999999997</v>
      </c>
      <c r="D23" s="18">
        <v>0</v>
      </c>
      <c r="E23" s="18">
        <f t="shared" si="0"/>
        <v>33544.199999999997</v>
      </c>
      <c r="F23" s="19" t="str">
        <f t="shared" si="3"/>
        <v/>
      </c>
      <c r="G23" s="20">
        <v>36840.44</v>
      </c>
      <c r="H23" s="20">
        <f t="shared" si="1"/>
        <v>-3296.2400000000052</v>
      </c>
      <c r="I23" s="19">
        <f t="shared" si="2"/>
        <v>-8.9473415626957903E-2</v>
      </c>
      <c r="J23" s="60"/>
      <c r="K23" s="60"/>
    </row>
    <row r="24" spans="1:11" ht="15.75">
      <c r="A24" s="28" t="str">
        <v>Kohls - Warminster</v>
      </c>
      <c r="B24" s="29" t="str">
        <v>PA</v>
      </c>
      <c r="C24" s="24">
        <v>41689</v>
      </c>
      <c r="D24" s="13">
        <v>0</v>
      </c>
      <c r="E24" s="13">
        <f t="shared" si="0"/>
        <v>41689</v>
      </c>
      <c r="F24" s="14" t="str">
        <f t="shared" si="3"/>
        <v/>
      </c>
      <c r="G24" s="15">
        <v>41345.56</v>
      </c>
      <c r="H24" s="15">
        <f t="shared" si="1"/>
        <v>343.44000000000233</v>
      </c>
      <c r="I24" s="16">
        <f t="shared" si="2"/>
        <v>8.306575119553402E-3</v>
      </c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>
        <v>34568</v>
      </c>
      <c r="D25" s="18">
        <v>0</v>
      </c>
      <c r="E25" s="18">
        <f t="shared" si="0"/>
        <v>34568</v>
      </c>
      <c r="F25" s="19" t="str">
        <f t="shared" si="3"/>
        <v/>
      </c>
      <c r="G25" s="20">
        <v>37214.31</v>
      </c>
      <c r="H25" s="20">
        <f t="shared" si="1"/>
        <v>-2646.3099999999977</v>
      </c>
      <c r="I25" s="19">
        <f t="shared" si="2"/>
        <v>-7.1110011175808382E-2</v>
      </c>
      <c r="J25" s="42"/>
      <c r="K25" s="43"/>
    </row>
    <row r="26" spans="1:11" ht="15.75">
      <c r="A26" s="28" t="str">
        <v>Mojave Water Agency - Headquarters</v>
      </c>
      <c r="B26" s="29" t="str">
        <v>CA</v>
      </c>
      <c r="C26" s="24"/>
      <c r="D26" s="13"/>
      <c r="E26" s="13" t="str">
        <f t="shared" ref="E26:E68" si="4">IF(AND(ISNUMBER(C26),ISNUMBER(D26)), C26-D26, "")</f>
        <v/>
      </c>
      <c r="F26" s="14" t="str">
        <f t="shared" ref="F26:F68" si="5">IFERROR(E26/D26, "")</f>
        <v/>
      </c>
      <c r="G26" s="15"/>
      <c r="H26" s="15" t="str">
        <f t="shared" ref="H26:H68" si="6">IF(AND(ISNUMBER(C26),ISNUMBER(G26)), C26-G26, "")</f>
        <v/>
      </c>
      <c r="I26" s="16" t="str">
        <f t="shared" ref="I26:I68" si="7">IFERROR(H26/G26, "")</f>
        <v/>
      </c>
      <c r="J26" s="41"/>
      <c r="K26" s="41"/>
    </row>
    <row r="27" spans="1:11" ht="15.75">
      <c r="A27" s="30" t="str">
        <v>CSU - Bakersfield</v>
      </c>
      <c r="B27" s="31" t="str">
        <v>CA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75">
      <c r="A28" s="28" t="str">
        <v>Greenfield USD - Fairfield ES</v>
      </c>
      <c r="B28" s="29" t="str">
        <v>CA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75">
      <c r="A29" s="30" t="str">
        <v>Greenfield USD - Granite Point ES</v>
      </c>
      <c r="B29" s="31" t="str">
        <v>CA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75">
      <c r="A30" s="28" t="str">
        <v>Greenfield USD - Greenfield MS</v>
      </c>
      <c r="B30" s="29" t="str">
        <v>CA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75">
      <c r="A31" s="30" t="str">
        <v>Greenfield USD - Horizon ES</v>
      </c>
      <c r="B31" s="31" t="str">
        <v>CA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75">
      <c r="A32" s="28" t="str">
        <v>Greenfield USD - McKee MS</v>
      </c>
      <c r="B32" s="29" t="str">
        <v>CA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75">
      <c r="A33" s="30" t="str">
        <v>Greenfield USD - Plantation ES</v>
      </c>
      <c r="B33" s="31" t="str">
        <v>CA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75">
      <c r="A34" s="28" t="str">
        <v>Greenfield USD - Planz ES</v>
      </c>
      <c r="B34" s="29" t="str">
        <v>CA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75">
      <c r="A35" s="30" t="str">
        <v>Greenfield USD - Raffaello Palla ES</v>
      </c>
      <c r="B35" s="31" t="str">
        <v>CA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75">
      <c r="A36" s="28" t="str">
        <v>Greenfield USD - Valle Verde ES</v>
      </c>
      <c r="B36" s="29" t="str">
        <v>CA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75">
      <c r="A37" s="30" t="str">
        <v>Greenfield USD - W.A. Kendrick ES</v>
      </c>
      <c r="B37" s="31" t="str">
        <v>CA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>
      <c r="A38" s="28" t="str">
        <v>Muroc Joint USD - Boron HS</v>
      </c>
      <c r="B38" s="29" t="str">
        <v>CA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5.75">
      <c r="A39" s="30" t="str">
        <v>Muroc Joint USD - W. Boron ES</v>
      </c>
      <c r="B39" s="31" t="str">
        <v>CA</v>
      </c>
      <c r="C39" s="11"/>
      <c r="D39" s="18"/>
      <c r="E39" s="18" t="str">
        <f t="shared" si="4"/>
        <v/>
      </c>
      <c r="F39" s="19" t="str">
        <f t="shared" si="5"/>
        <v/>
      </c>
      <c r="G39" s="20"/>
      <c r="H39" s="20" t="str">
        <f t="shared" si="6"/>
        <v/>
      </c>
      <c r="I39" s="19" t="str">
        <f t="shared" si="7"/>
        <v/>
      </c>
      <c r="J39" s="42"/>
      <c r="K39" s="43"/>
    </row>
    <row r="40" spans="1:11" ht="15.75">
      <c r="A40" s="28" t="str">
        <v>Colusa - WTP</v>
      </c>
      <c r="B40" s="29" t="str">
        <v>CA</v>
      </c>
      <c r="C40" s="24"/>
      <c r="D40" s="13"/>
      <c r="E40" s="13" t="str">
        <f t="shared" si="4"/>
        <v/>
      </c>
      <c r="F40" s="14" t="str">
        <f t="shared" si="5"/>
        <v/>
      </c>
      <c r="G40" s="15"/>
      <c r="H40" s="15" t="str">
        <f t="shared" si="6"/>
        <v/>
      </c>
      <c r="I40" s="16" t="str">
        <f t="shared" si="7"/>
        <v/>
      </c>
      <c r="J40" s="41"/>
      <c r="K40" s="41"/>
    </row>
    <row r="41" spans="1:11" ht="15.75">
      <c r="A41" s="30" t="str">
        <v>CDCR-North Kern State Prision</v>
      </c>
      <c r="B41" s="31" t="str">
        <v>CA</v>
      </c>
      <c r="C41" s="11"/>
      <c r="D41" s="18"/>
      <c r="E41" s="18" t="str">
        <f t="shared" si="4"/>
        <v/>
      </c>
      <c r="F41" s="19" t="str">
        <f t="shared" si="5"/>
        <v/>
      </c>
      <c r="G41" s="20"/>
      <c r="H41" s="20" t="str">
        <f t="shared" si="6"/>
        <v/>
      </c>
      <c r="I41" s="19" t="str">
        <f t="shared" si="7"/>
        <v/>
      </c>
      <c r="J41" s="42"/>
      <c r="K41" s="43"/>
    </row>
    <row r="42" spans="1:11" ht="15.75">
      <c r="A42" s="28" t="str">
        <v>Muroc Joint USD - District Office</v>
      </c>
      <c r="B42" s="29" t="str">
        <v>CA</v>
      </c>
      <c r="C42" s="24"/>
      <c r="D42" s="13"/>
      <c r="E42" s="13" t="str">
        <f t="shared" si="4"/>
        <v/>
      </c>
      <c r="F42" s="14" t="str">
        <f t="shared" si="5"/>
        <v/>
      </c>
      <c r="G42" s="15"/>
      <c r="H42" s="15" t="str">
        <f t="shared" si="6"/>
        <v/>
      </c>
      <c r="I42" s="16" t="str">
        <f t="shared" si="7"/>
        <v/>
      </c>
      <c r="J42" s="41"/>
      <c r="K42" s="41"/>
    </row>
    <row r="43" spans="1:11" ht="15.75">
      <c r="A43" s="30" t="str">
        <v>Whole Foods - Manhattan Beach</v>
      </c>
      <c r="B43" s="31" t="str">
        <v>CA</v>
      </c>
      <c r="C43" s="11"/>
      <c r="D43" s="18"/>
      <c r="E43" s="18" t="str">
        <f t="shared" si="4"/>
        <v/>
      </c>
      <c r="F43" s="19" t="str">
        <f t="shared" si="5"/>
        <v/>
      </c>
      <c r="G43" s="20"/>
      <c r="H43" s="20" t="str">
        <f t="shared" si="6"/>
        <v/>
      </c>
      <c r="I43" s="19" t="str">
        <f t="shared" si="7"/>
        <v/>
      </c>
      <c r="J43" s="42"/>
      <c r="K43" s="43"/>
    </row>
    <row r="44" spans="1:11" ht="15.75">
      <c r="A44" s="28" t="str">
        <v>Pioneer USD - Frontier ES</v>
      </c>
      <c r="B44" s="29" t="str">
        <v>CA</v>
      </c>
      <c r="C44" s="24"/>
      <c r="D44" s="13"/>
      <c r="E44" s="13" t="str">
        <f t="shared" si="4"/>
        <v/>
      </c>
      <c r="F44" s="14" t="str">
        <f t="shared" si="5"/>
        <v/>
      </c>
      <c r="G44" s="15"/>
      <c r="H44" s="15" t="str">
        <f t="shared" si="6"/>
        <v/>
      </c>
      <c r="I44" s="16" t="str">
        <f t="shared" si="7"/>
        <v/>
      </c>
      <c r="J44" s="41"/>
      <c r="K44" s="41"/>
    </row>
    <row r="45" spans="1:11" ht="15.75">
      <c r="A45" s="30" t="str">
        <v>Pioneer USD - Pioneer ES</v>
      </c>
      <c r="B45" s="31" t="str">
        <v>CA</v>
      </c>
      <c r="C45" s="11"/>
      <c r="D45" s="18"/>
      <c r="E45" s="18" t="str">
        <f t="shared" si="4"/>
        <v/>
      </c>
      <c r="F45" s="19" t="str">
        <f t="shared" si="5"/>
        <v/>
      </c>
      <c r="G45" s="20"/>
      <c r="H45" s="20" t="str">
        <f t="shared" si="6"/>
        <v/>
      </c>
      <c r="I45" s="19" t="str">
        <f t="shared" si="7"/>
        <v/>
      </c>
      <c r="J45" s="42"/>
      <c r="K45" s="43"/>
    </row>
    <row r="46" spans="1:11" ht="15.75">
      <c r="A46" s="28" t="str">
        <v>Pioneer USD - Pioneer MS</v>
      </c>
      <c r="B46" s="29" t="str">
        <v>CA</v>
      </c>
      <c r="C46" s="24"/>
      <c r="D46" s="13"/>
      <c r="E46" s="13" t="str">
        <f t="shared" si="4"/>
        <v/>
      </c>
      <c r="F46" s="14" t="str">
        <f t="shared" si="5"/>
        <v/>
      </c>
      <c r="G46" s="15"/>
      <c r="H46" s="15" t="str">
        <f t="shared" si="6"/>
        <v/>
      </c>
      <c r="I46" s="16" t="str">
        <f t="shared" si="7"/>
        <v/>
      </c>
      <c r="J46" s="41"/>
      <c r="K46" s="41"/>
    </row>
    <row r="47" spans="1:11" ht="15.75">
      <c r="A47" s="30" t="str">
        <v>Kingsburg Joint UHSD - Kingsburg HS</v>
      </c>
      <c r="B47" s="31" t="str">
        <v>CA</v>
      </c>
      <c r="C47" s="11"/>
      <c r="D47" s="18"/>
      <c r="E47" s="18" t="str">
        <f t="shared" si="4"/>
        <v/>
      </c>
      <c r="F47" s="19" t="str">
        <f t="shared" si="5"/>
        <v/>
      </c>
      <c r="G47" s="20"/>
      <c r="H47" s="20" t="str">
        <f t="shared" si="6"/>
        <v/>
      </c>
      <c r="I47" s="19" t="str">
        <f t="shared" si="7"/>
        <v/>
      </c>
      <c r="J47" s="42"/>
      <c r="K47" s="43"/>
    </row>
    <row r="48" spans="1:11" ht="15.75">
      <c r="A48" s="28" t="str">
        <v>CADRB</v>
      </c>
      <c r="B48" s="29" t="str">
        <v>CA</v>
      </c>
      <c r="C48" s="24"/>
      <c r="D48" s="13"/>
      <c r="E48" s="13" t="str">
        <f t="shared" si="4"/>
        <v/>
      </c>
      <c r="F48" s="14" t="str">
        <f t="shared" si="5"/>
        <v/>
      </c>
      <c r="G48" s="15"/>
      <c r="H48" s="15" t="str">
        <f t="shared" si="6"/>
        <v/>
      </c>
      <c r="I48" s="16" t="str">
        <f t="shared" si="7"/>
        <v/>
      </c>
      <c r="J48" s="41"/>
      <c r="K48" s="41"/>
    </row>
    <row r="49" spans="1:11" ht="15.75">
      <c r="A49" s="30" t="str">
        <v>CDCR-CA State Prison LA County</v>
      </c>
      <c r="B49" s="31" t="str">
        <v>CA</v>
      </c>
      <c r="C49" s="11"/>
      <c r="D49" s="18"/>
      <c r="E49" s="18" t="str">
        <f t="shared" si="4"/>
        <v/>
      </c>
      <c r="F49" s="19" t="str">
        <f t="shared" si="5"/>
        <v/>
      </c>
      <c r="G49" s="20"/>
      <c r="H49" s="20" t="str">
        <f t="shared" si="6"/>
        <v/>
      </c>
      <c r="I49" s="19" t="str">
        <f t="shared" si="7"/>
        <v/>
      </c>
      <c r="J49" s="42"/>
      <c r="K49" s="43"/>
    </row>
    <row r="50" spans="1:11" ht="15.75">
      <c r="A50" s="28" t="str">
        <v>Central USD Akers ES</v>
      </c>
      <c r="B50" s="29" t="str">
        <v>CA</v>
      </c>
      <c r="C50" s="24"/>
      <c r="D50" s="13"/>
      <c r="E50" s="13" t="str">
        <f t="shared" si="4"/>
        <v/>
      </c>
      <c r="F50" s="14" t="str">
        <f t="shared" si="5"/>
        <v/>
      </c>
      <c r="G50" s="15"/>
      <c r="H50" s="15" t="str">
        <f t="shared" si="6"/>
        <v/>
      </c>
      <c r="I50" s="16" t="str">
        <f t="shared" si="7"/>
        <v/>
      </c>
      <c r="J50" s="41"/>
      <c r="K50" s="41"/>
    </row>
    <row r="51" spans="1:11" ht="15.75">
      <c r="A51" s="30" t="str">
        <v>CUSD - District Office</v>
      </c>
      <c r="B51" s="31" t="str">
        <v>CA</v>
      </c>
      <c r="C51" s="11"/>
      <c r="D51" s="18"/>
      <c r="E51" s="18" t="str">
        <f t="shared" si="4"/>
        <v/>
      </c>
      <c r="F51" s="19" t="str">
        <f t="shared" si="5"/>
        <v/>
      </c>
      <c r="G51" s="20"/>
      <c r="H51" s="20" t="str">
        <f t="shared" si="6"/>
        <v/>
      </c>
      <c r="I51" s="19" t="str">
        <f t="shared" si="7"/>
        <v/>
      </c>
      <c r="J51" s="42"/>
      <c r="K51" s="43"/>
    </row>
    <row r="52" spans="1:11" ht="15.75">
      <c r="A52" s="28" t="str">
        <v>Parlier - WTP</v>
      </c>
      <c r="B52" s="29" t="str">
        <v>CA</v>
      </c>
      <c r="C52" s="24"/>
      <c r="D52" s="13"/>
      <c r="E52" s="13" t="str">
        <f t="shared" si="4"/>
        <v/>
      </c>
      <c r="F52" s="14" t="str">
        <f t="shared" si="5"/>
        <v/>
      </c>
      <c r="G52" s="15"/>
      <c r="H52" s="15" t="str">
        <f t="shared" si="6"/>
        <v/>
      </c>
      <c r="I52" s="16" t="str">
        <f t="shared" si="7"/>
        <v/>
      </c>
      <c r="J52" s="41"/>
      <c r="K52" s="41"/>
    </row>
    <row r="53" spans="1:11" ht="15.75">
      <c r="A53" s="30" t="str">
        <v>Snowline SD - Quail Valley MS</v>
      </c>
      <c r="B53" s="31" t="str">
        <v>CA</v>
      </c>
      <c r="C53" s="11"/>
      <c r="D53" s="18"/>
      <c r="E53" s="18" t="str">
        <f t="shared" si="4"/>
        <v/>
      </c>
      <c r="F53" s="19" t="str">
        <f t="shared" si="5"/>
        <v/>
      </c>
      <c r="G53" s="20"/>
      <c r="H53" s="20" t="str">
        <f t="shared" si="6"/>
        <v/>
      </c>
      <c r="I53" s="19" t="str">
        <f t="shared" si="7"/>
        <v/>
      </c>
      <c r="J53" s="42"/>
      <c r="K53" s="43"/>
    </row>
    <row r="54" spans="1:11" ht="15.75">
      <c r="A54" s="28" t="str">
        <v>Snowline SD - Serrano HS - Middle Lot</v>
      </c>
      <c r="B54" s="29" t="str">
        <v>CA</v>
      </c>
      <c r="C54" s="24"/>
      <c r="D54" s="13"/>
      <c r="E54" s="13" t="str">
        <f t="shared" si="4"/>
        <v/>
      </c>
      <c r="F54" s="14" t="str">
        <f t="shared" si="5"/>
        <v/>
      </c>
      <c r="G54" s="15"/>
      <c r="H54" s="15" t="str">
        <f t="shared" si="6"/>
        <v/>
      </c>
      <c r="I54" s="16" t="str">
        <f t="shared" si="7"/>
        <v/>
      </c>
      <c r="J54" s="41"/>
      <c r="K54" s="41"/>
    </row>
    <row r="55" spans="1:11" ht="15.75">
      <c r="A55" s="30" t="str">
        <v>Snowline SD - Pinon Hills ES</v>
      </c>
      <c r="B55" s="31" t="str">
        <v>CA</v>
      </c>
      <c r="C55" s="11"/>
      <c r="D55" s="18"/>
      <c r="E55" s="18" t="str">
        <f t="shared" si="4"/>
        <v/>
      </c>
      <c r="F55" s="19" t="str">
        <f t="shared" si="5"/>
        <v/>
      </c>
      <c r="G55" s="20"/>
      <c r="H55" s="20" t="str">
        <f t="shared" si="6"/>
        <v/>
      </c>
      <c r="I55" s="19" t="str">
        <f t="shared" si="7"/>
        <v/>
      </c>
      <c r="J55" s="42"/>
      <c r="K55" s="43"/>
    </row>
    <row r="56" spans="1:11" ht="15.75">
      <c r="A56" s="28" t="str">
        <v>Ramona - Santa Maria WTP</v>
      </c>
      <c r="B56" s="29" t="str">
        <v>CA</v>
      </c>
      <c r="C56" s="24"/>
      <c r="D56" s="13"/>
      <c r="E56" s="13" t="str">
        <f t="shared" si="4"/>
        <v/>
      </c>
      <c r="F56" s="14" t="str">
        <f t="shared" si="5"/>
        <v/>
      </c>
      <c r="G56" s="15"/>
      <c r="H56" s="15" t="str">
        <f t="shared" si="6"/>
        <v/>
      </c>
      <c r="I56" s="16" t="str">
        <f t="shared" si="7"/>
        <v/>
      </c>
      <c r="J56" s="41"/>
      <c r="K56" s="41"/>
    </row>
    <row r="57" spans="1:11" ht="15.75">
      <c r="A57" s="30" t="str">
        <v>Kohls - Redding</v>
      </c>
      <c r="B57" s="31" t="str">
        <v>CA</v>
      </c>
      <c r="C57" s="11"/>
      <c r="D57" s="18"/>
      <c r="E57" s="18" t="str">
        <f t="shared" si="4"/>
        <v/>
      </c>
      <c r="F57" s="19" t="str">
        <f t="shared" si="5"/>
        <v/>
      </c>
      <c r="G57" s="20"/>
      <c r="H57" s="20" t="str">
        <f t="shared" si="6"/>
        <v/>
      </c>
      <c r="I57" s="19" t="str">
        <f t="shared" si="7"/>
        <v/>
      </c>
      <c r="J57" s="42"/>
      <c r="K57" s="43"/>
    </row>
    <row r="58" spans="1:11" ht="15.75">
      <c r="A58" s="28" t="str">
        <v>Kohls - Salinas</v>
      </c>
      <c r="B58" s="29" t="str">
        <v>CA</v>
      </c>
      <c r="C58" s="24"/>
      <c r="D58" s="13"/>
      <c r="E58" s="13" t="str">
        <f t="shared" si="4"/>
        <v/>
      </c>
      <c r="F58" s="14" t="str">
        <f t="shared" si="5"/>
        <v/>
      </c>
      <c r="G58" s="15"/>
      <c r="H58" s="15" t="str">
        <f t="shared" si="6"/>
        <v/>
      </c>
      <c r="I58" s="16" t="str">
        <f t="shared" si="7"/>
        <v/>
      </c>
      <c r="J58" s="41"/>
      <c r="K58" s="41"/>
    </row>
    <row r="59" spans="1:11" ht="15.75">
      <c r="A59" s="30" t="str">
        <v>Kohls - San Bernardino - Central</v>
      </c>
      <c r="B59" s="31" t="str">
        <v>CA</v>
      </c>
      <c r="C59" s="11"/>
      <c r="D59" s="18"/>
      <c r="E59" s="18" t="str">
        <f t="shared" si="4"/>
        <v/>
      </c>
      <c r="F59" s="19" t="str">
        <f t="shared" si="5"/>
        <v/>
      </c>
      <c r="G59" s="20"/>
      <c r="H59" s="20" t="str">
        <f t="shared" si="6"/>
        <v/>
      </c>
      <c r="I59" s="19" t="str">
        <f t="shared" si="7"/>
        <v/>
      </c>
      <c r="J59" s="42"/>
      <c r="K59" s="43"/>
    </row>
    <row r="60" spans="1:11" ht="15.75">
      <c r="A60" s="28" t="str">
        <v>Kohls - Sonora</v>
      </c>
      <c r="B60" s="29" t="str">
        <v>CA</v>
      </c>
      <c r="C60" s="24"/>
      <c r="D60" s="13"/>
      <c r="E60" s="13" t="str">
        <f t="shared" si="4"/>
        <v/>
      </c>
      <c r="F60" s="14" t="str">
        <f t="shared" si="5"/>
        <v/>
      </c>
      <c r="G60" s="15"/>
      <c r="H60" s="15" t="str">
        <f t="shared" si="6"/>
        <v/>
      </c>
      <c r="I60" s="16" t="str">
        <f t="shared" si="7"/>
        <v/>
      </c>
      <c r="J60" s="41"/>
      <c r="K60" s="41"/>
    </row>
    <row r="61" spans="1:11" ht="15.75">
      <c r="A61" s="30" t="str">
        <v>CUSD - Stratford ES</v>
      </c>
      <c r="B61" s="31" t="str">
        <v>CA</v>
      </c>
      <c r="C61" s="11"/>
      <c r="D61" s="18"/>
      <c r="E61" s="18" t="str">
        <f t="shared" si="4"/>
        <v/>
      </c>
      <c r="F61" s="19" t="str">
        <f t="shared" si="5"/>
        <v/>
      </c>
      <c r="G61" s="20"/>
      <c r="H61" s="20" t="str">
        <f t="shared" si="6"/>
        <v/>
      </c>
      <c r="I61" s="19" t="str">
        <f t="shared" si="7"/>
        <v/>
      </c>
      <c r="J61" s="42"/>
      <c r="K61" s="43"/>
    </row>
    <row r="62" spans="1:11" ht="15.75">
      <c r="A62" s="28" t="str">
        <v>Taft - City Hall</v>
      </c>
      <c r="B62" s="29" t="str">
        <v>CA</v>
      </c>
      <c r="C62" s="24"/>
      <c r="D62" s="13"/>
      <c r="E62" s="13" t="str">
        <f t="shared" si="4"/>
        <v/>
      </c>
      <c r="F62" s="14" t="str">
        <f t="shared" si="5"/>
        <v/>
      </c>
      <c r="G62" s="15"/>
      <c r="H62" s="15" t="str">
        <f t="shared" si="6"/>
        <v/>
      </c>
      <c r="I62" s="16" t="str">
        <f t="shared" si="7"/>
        <v/>
      </c>
      <c r="J62" s="41"/>
      <c r="K62" s="41"/>
    </row>
    <row r="63" spans="1:11" ht="15.75">
      <c r="A63" s="30" t="str">
        <v>Taft - Federal Prison</v>
      </c>
      <c r="B63" s="31" t="str">
        <v>CA</v>
      </c>
      <c r="C63" s="11"/>
      <c r="D63" s="18"/>
      <c r="E63" s="18" t="str">
        <f t="shared" si="4"/>
        <v/>
      </c>
      <c r="F63" s="19" t="str">
        <f t="shared" si="5"/>
        <v/>
      </c>
      <c r="G63" s="20"/>
      <c r="H63" s="20" t="str">
        <f t="shared" si="6"/>
        <v/>
      </c>
      <c r="I63" s="19" t="str">
        <f t="shared" si="7"/>
        <v/>
      </c>
      <c r="J63" s="42"/>
      <c r="K63" s="43"/>
    </row>
    <row r="64" spans="1:11" ht="15.75">
      <c r="A64" s="28" t="str">
        <v>Taft - Police Department</v>
      </c>
      <c r="B64" s="29" t="str">
        <v>CA</v>
      </c>
      <c r="C64" s="24"/>
      <c r="D64" s="13"/>
      <c r="E64" s="13" t="str">
        <f t="shared" si="4"/>
        <v/>
      </c>
      <c r="F64" s="14" t="str">
        <f t="shared" si="5"/>
        <v/>
      </c>
      <c r="G64" s="15"/>
      <c r="H64" s="15" t="str">
        <f t="shared" si="6"/>
        <v/>
      </c>
      <c r="I64" s="16" t="str">
        <f t="shared" si="7"/>
        <v/>
      </c>
      <c r="J64" s="41"/>
      <c r="K64" s="41"/>
    </row>
    <row r="65" spans="1:11" ht="15.75">
      <c r="A65" s="30" t="str">
        <v>Taft - WTP</v>
      </c>
      <c r="B65" s="31" t="str">
        <v>CA</v>
      </c>
      <c r="C65" s="11"/>
      <c r="D65" s="18"/>
      <c r="E65" s="18" t="str">
        <f t="shared" si="4"/>
        <v/>
      </c>
      <c r="F65" s="19" t="str">
        <f t="shared" si="5"/>
        <v/>
      </c>
      <c r="G65" s="20"/>
      <c r="H65" s="20" t="str">
        <f t="shared" si="6"/>
        <v/>
      </c>
      <c r="I65" s="19" t="str">
        <f t="shared" si="7"/>
        <v/>
      </c>
      <c r="J65" s="42"/>
      <c r="K65" s="43"/>
    </row>
    <row r="66" spans="1:11" ht="15.75">
      <c r="A66" s="28" t="str">
        <v>CDCR - CA Correctional Institution</v>
      </c>
      <c r="B66" s="29" t="str">
        <v>CA</v>
      </c>
      <c r="C66" s="24"/>
      <c r="D66" s="13"/>
      <c r="E66" s="13" t="str">
        <f t="shared" si="4"/>
        <v/>
      </c>
      <c r="F66" s="14" t="str">
        <f t="shared" si="5"/>
        <v/>
      </c>
      <c r="G66" s="15"/>
      <c r="H66" s="15" t="str">
        <f t="shared" si="6"/>
        <v/>
      </c>
      <c r="I66" s="16" t="str">
        <f t="shared" si="7"/>
        <v/>
      </c>
      <c r="J66" s="41"/>
      <c r="K66" s="41"/>
    </row>
    <row r="67" spans="1:11" ht="15.75">
      <c r="A67" s="30" t="str">
        <v>CDCR - CA Correctional Institution II</v>
      </c>
      <c r="B67" s="31" t="str">
        <v>CA</v>
      </c>
      <c r="C67" s="11"/>
      <c r="D67" s="18"/>
      <c r="E67" s="18" t="str">
        <f t="shared" si="4"/>
        <v/>
      </c>
      <c r="F67" s="19" t="str">
        <f t="shared" si="5"/>
        <v/>
      </c>
      <c r="G67" s="20"/>
      <c r="H67" s="20" t="str">
        <f t="shared" si="6"/>
        <v/>
      </c>
      <c r="I67" s="19" t="str">
        <f t="shared" si="7"/>
        <v/>
      </c>
      <c r="J67" s="42"/>
      <c r="K67" s="43"/>
    </row>
    <row r="68" spans="1:11" ht="15.75">
      <c r="A68" s="28" t="str">
        <v>Snowline SD - Vista Verde ES</v>
      </c>
      <c r="B68" s="29" t="str">
        <v>CA</v>
      </c>
      <c r="C68" s="24"/>
      <c r="D68" s="13"/>
      <c r="E68" s="13" t="str">
        <f t="shared" si="4"/>
        <v/>
      </c>
      <c r="F68" s="14" t="str">
        <f t="shared" si="5"/>
        <v/>
      </c>
      <c r="G68" s="15"/>
      <c r="H68" s="15" t="str">
        <f t="shared" si="6"/>
        <v/>
      </c>
      <c r="I68" s="16" t="str">
        <f t="shared" si="7"/>
        <v/>
      </c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40" priority="3" stopIfTrue="1" operator="lessThanOrEqual">
      <formula>-0.1</formula>
    </cfRule>
    <cfRule type="expression" dxfId="39" priority="4">
      <formula>AND(ISNUMBER(F2), F2&gt;=0.1)</formula>
    </cfRule>
  </conditionalFormatting>
  <conditionalFormatting sqref="F4:F100 I4:I100">
    <cfRule type="cellIs" dxfId="38" priority="1" stopIfTrue="1" operator="lessThanOrEqual">
      <formula>-0.1</formula>
    </cfRule>
    <cfRule type="expression" dxfId="3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xSplit="2" ySplit="3" topLeftCell="C15" activePane="bottomRight" state="frozen"/>
      <selection pane="bottomRight" activeCell="G26" sqref="G26:G78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9" t="str" cm="1">
        <f t="array" ref="A1">portfolio</f>
        <v>Silicon Ranch</v>
      </c>
      <c r="B1" s="99"/>
      <c r="C1" s="99"/>
      <c r="D1" s="100" t="s">
        <v>55</v>
      </c>
      <c r="E1" s="100"/>
      <c r="F1" s="100"/>
      <c r="G1" s="98" t="s">
        <v>56</v>
      </c>
      <c r="H1" s="98"/>
      <c r="I1" s="98"/>
      <c r="J1" s="4"/>
      <c r="K1" s="4"/>
    </row>
    <row r="2" spans="1:11" ht="19.5" customHeight="1">
      <c r="A2" s="101" t="s">
        <v>2</v>
      </c>
      <c r="B2" s="101"/>
      <c r="C2" s="5">
        <f>SUM(C4:C100)</f>
        <v>1030268.6</v>
      </c>
      <c r="D2" s="5">
        <f>SUM(D4:D100)</f>
        <v>0</v>
      </c>
      <c r="E2" s="5">
        <f>C2-D2</f>
        <v>1030268.6</v>
      </c>
      <c r="F2" s="6">
        <f>IFERROR(E2/D2, 0)</f>
        <v>0</v>
      </c>
      <c r="G2" s="5">
        <f>SUM(G4:G100)</f>
        <v>1251173.8909999998</v>
      </c>
      <c r="H2" s="7">
        <f>C2-G2</f>
        <v>-220905.29099999985</v>
      </c>
      <c r="I2" s="6">
        <f>IFERROR(H2/G2, 0)</f>
        <v>-0.17655842452358197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34715</v>
      </c>
      <c r="D4" s="13">
        <v>0</v>
      </c>
      <c r="E4" s="13">
        <f>IF(AND(ISNUMBER(C4),ISNUMBER(D4)), C4-D4, "")</f>
        <v>34715</v>
      </c>
      <c r="F4" s="14" t="str">
        <f>IFERROR(E4/D4, "")</f>
        <v/>
      </c>
      <c r="G4" s="15">
        <v>34555.33</v>
      </c>
      <c r="H4" s="15">
        <f>IF(AND(ISNUMBER(C4),ISNUMBER(G4)), C4-G4, "")</f>
        <v>159.66999999999825</v>
      </c>
      <c r="I4" s="16">
        <f>IFERROR(H4/G4, "")</f>
        <v>4.6207054020319946E-3</v>
      </c>
      <c r="J4" s="41"/>
      <c r="K4" s="41"/>
    </row>
    <row r="5" spans="1:11" ht="15.75">
      <c r="A5" s="30" t="str">
        <v>Kohls - Auburn</v>
      </c>
      <c r="B5" s="31" t="str">
        <v>NY</v>
      </c>
      <c r="C5" s="11">
        <v>41260</v>
      </c>
      <c r="D5" s="18">
        <v>0</v>
      </c>
      <c r="E5" s="18">
        <f t="shared" ref="E5:E25" si="0">IF(AND(ISNUMBER(C5),ISNUMBER(D5)), C5-D5, "")</f>
        <v>41260</v>
      </c>
      <c r="F5" s="19" t="str">
        <f>IFERROR(E5/D5, "")</f>
        <v/>
      </c>
      <c r="G5" s="20">
        <v>46002.31</v>
      </c>
      <c r="H5" s="20">
        <f t="shared" ref="H5:H17" si="1">IF(AND(ISNUMBER(C5),ISNUMBER(G5)), C5-G5, "")</f>
        <v>-4742.3099999999977</v>
      </c>
      <c r="I5" s="19">
        <f t="shared" ref="I5:I17" si="2">IFERROR(H5/G5, "")</f>
        <v>-0.10308851881568551</v>
      </c>
      <c r="J5" s="42"/>
      <c r="K5" s="42"/>
    </row>
    <row r="6" spans="1:11" ht="15.75">
      <c r="A6" s="28" t="str">
        <v>Kohls - Bensalem</v>
      </c>
      <c r="B6" s="29" t="str">
        <v>PA</v>
      </c>
      <c r="C6" s="24">
        <v>37973</v>
      </c>
      <c r="D6" s="13">
        <v>0</v>
      </c>
      <c r="E6" s="13">
        <f t="shared" si="0"/>
        <v>37973</v>
      </c>
      <c r="F6" s="14" t="str">
        <f t="shared" ref="F6:F17" si="3">IFERROR(E6/D6, "")</f>
        <v/>
      </c>
      <c r="G6" s="15">
        <v>38125.46</v>
      </c>
      <c r="H6" s="15">
        <f t="shared" si="1"/>
        <v>-152.45999999999913</v>
      </c>
      <c r="I6" s="16">
        <f t="shared" si="2"/>
        <v>-3.9989025706181416E-3</v>
      </c>
      <c r="J6" s="41"/>
      <c r="K6" s="41"/>
    </row>
    <row r="7" spans="1:11" ht="15.75">
      <c r="A7" s="30" t="str">
        <v>Kohls - Brick</v>
      </c>
      <c r="B7" s="31" t="str">
        <v>NJ</v>
      </c>
      <c r="C7" s="11">
        <v>42988</v>
      </c>
      <c r="D7" s="18">
        <v>0</v>
      </c>
      <c r="E7" s="18">
        <f t="shared" si="0"/>
        <v>42988</v>
      </c>
      <c r="F7" s="19" t="str">
        <f t="shared" si="3"/>
        <v/>
      </c>
      <c r="G7" s="20">
        <v>46708.03</v>
      </c>
      <c r="H7" s="20">
        <f t="shared" si="1"/>
        <v>-3720.0299999999988</v>
      </c>
      <c r="I7" s="19">
        <f t="shared" si="2"/>
        <v>-7.9644335245995151E-2</v>
      </c>
      <c r="J7" s="42"/>
      <c r="K7" s="43"/>
    </row>
    <row r="8" spans="1:11" ht="15.75">
      <c r="A8" s="28" t="str">
        <v>Kohls - Buffalo</v>
      </c>
      <c r="B8" s="29" t="str">
        <v>NY</v>
      </c>
      <c r="C8" s="24">
        <v>50680</v>
      </c>
      <c r="D8" s="13">
        <v>0</v>
      </c>
      <c r="E8" s="13">
        <f t="shared" si="0"/>
        <v>50680</v>
      </c>
      <c r="F8" s="14" t="str">
        <f t="shared" si="3"/>
        <v/>
      </c>
      <c r="G8" s="15">
        <v>51352.93</v>
      </c>
      <c r="H8" s="15">
        <f t="shared" si="1"/>
        <v>-672.93000000000029</v>
      </c>
      <c r="I8" s="16">
        <f t="shared" si="2"/>
        <v>-1.3104023470520578E-2</v>
      </c>
      <c r="J8" s="41"/>
      <c r="K8" s="41"/>
    </row>
    <row r="9" spans="1:11" ht="15.75">
      <c r="A9" s="30" t="str">
        <v>Kohls - Canton</v>
      </c>
      <c r="B9" s="31" t="str">
        <v>CT</v>
      </c>
      <c r="C9" s="11">
        <v>17208</v>
      </c>
      <c r="D9" s="18">
        <v>0</v>
      </c>
      <c r="E9" s="18">
        <f t="shared" si="0"/>
        <v>17208</v>
      </c>
      <c r="F9" s="19" t="str">
        <f t="shared" si="3"/>
        <v/>
      </c>
      <c r="G9" s="20">
        <v>15413.56</v>
      </c>
      <c r="H9" s="20">
        <f t="shared" si="1"/>
        <v>1794.4400000000005</v>
      </c>
      <c r="I9" s="19">
        <f t="shared" si="2"/>
        <v>0.11641956822434275</v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>
        <v>46400</v>
      </c>
      <c r="D10" s="13">
        <v>0</v>
      </c>
      <c r="E10" s="13">
        <f t="shared" si="0"/>
        <v>46400</v>
      </c>
      <c r="F10" s="14" t="str">
        <f t="shared" si="3"/>
        <v/>
      </c>
      <c r="G10" s="15">
        <v>46048.92</v>
      </c>
      <c r="H10" s="15">
        <f t="shared" si="1"/>
        <v>351.08000000000175</v>
      </c>
      <c r="I10" s="16">
        <f t="shared" si="2"/>
        <v>7.6240658847156837E-3</v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>
        <v>23830</v>
      </c>
      <c r="D11" s="18">
        <v>0</v>
      </c>
      <c r="E11" s="18">
        <f t="shared" si="0"/>
        <v>23830</v>
      </c>
      <c r="F11" s="19" t="str">
        <f t="shared" si="3"/>
        <v/>
      </c>
      <c r="G11" s="20">
        <v>59629.03</v>
      </c>
      <c r="H11" s="20">
        <f t="shared" si="1"/>
        <v>-35799.03</v>
      </c>
      <c r="I11" s="19">
        <f t="shared" si="2"/>
        <v>-0.60036244091175051</v>
      </c>
      <c r="J11" s="42"/>
      <c r="K11" s="43"/>
    </row>
    <row r="12" spans="1:11" ht="15.75">
      <c r="A12" s="28" t="str">
        <v>Kohls - Edgewood</v>
      </c>
      <c r="B12" s="29" t="str">
        <v>MD</v>
      </c>
      <c r="C12" s="24">
        <v>217913</v>
      </c>
      <c r="D12" s="13">
        <v>0</v>
      </c>
      <c r="E12" s="13">
        <f t="shared" si="0"/>
        <v>217913</v>
      </c>
      <c r="F12" s="14" t="str">
        <f t="shared" si="3"/>
        <v/>
      </c>
      <c r="G12" s="15">
        <v>312866.83</v>
      </c>
      <c r="H12" s="15">
        <f t="shared" si="1"/>
        <v>-94953.830000000016</v>
      </c>
      <c r="I12" s="16">
        <f t="shared" si="2"/>
        <v>-0.30349599540481814</v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>
        <v>35544</v>
      </c>
      <c r="D13" s="18">
        <v>0</v>
      </c>
      <c r="E13" s="18">
        <f t="shared" si="0"/>
        <v>35544</v>
      </c>
      <c r="F13" s="19" t="str">
        <f t="shared" si="3"/>
        <v/>
      </c>
      <c r="G13" s="20">
        <v>38124.910000000003</v>
      </c>
      <c r="H13" s="20">
        <f t="shared" si="1"/>
        <v>-2580.9100000000035</v>
      </c>
      <c r="I13" s="19">
        <f t="shared" si="2"/>
        <v>-6.7696159807328155E-2</v>
      </c>
      <c r="J13" s="42"/>
      <c r="K13" s="43"/>
    </row>
    <row r="14" spans="1:11" ht="15.75">
      <c r="A14" s="28" t="str">
        <v>Kohls - Greece</v>
      </c>
      <c r="B14" s="29" t="str">
        <v>NY</v>
      </c>
      <c r="C14" s="24">
        <v>41359</v>
      </c>
      <c r="D14" s="13">
        <v>0</v>
      </c>
      <c r="E14" s="13">
        <f t="shared" si="0"/>
        <v>41359</v>
      </c>
      <c r="F14" s="14" t="str">
        <f t="shared" si="3"/>
        <v/>
      </c>
      <c r="G14" s="15">
        <v>50159.76</v>
      </c>
      <c r="H14" s="15">
        <f t="shared" si="1"/>
        <v>-8800.760000000002</v>
      </c>
      <c r="I14" s="16">
        <f t="shared" si="2"/>
        <v>-0.17545458750201359</v>
      </c>
      <c r="J14" s="41"/>
      <c r="K14" s="41"/>
    </row>
    <row r="15" spans="1:11" ht="15.75">
      <c r="A15" s="30" t="str">
        <v>Kohls - Hanover</v>
      </c>
      <c r="B15" s="31" t="str">
        <v>PA</v>
      </c>
      <c r="C15" s="11">
        <v>19615</v>
      </c>
      <c r="D15" s="18">
        <v>0</v>
      </c>
      <c r="E15" s="18">
        <f t="shared" si="0"/>
        <v>19615</v>
      </c>
      <c r="F15" s="19" t="str">
        <f t="shared" si="3"/>
        <v/>
      </c>
      <c r="G15" s="20">
        <v>42210.82</v>
      </c>
      <c r="H15" s="20">
        <f t="shared" si="1"/>
        <v>-22595.82</v>
      </c>
      <c r="I15" s="19">
        <f t="shared" si="2"/>
        <v>-0.53530871942312419</v>
      </c>
      <c r="J15" s="42" t="s">
        <v>57</v>
      </c>
      <c r="K15" s="43" t="s">
        <v>58</v>
      </c>
    </row>
    <row r="16" spans="1:11" ht="15.75">
      <c r="A16" s="28" t="str">
        <v>Kohls - Horsehead</v>
      </c>
      <c r="B16" s="29" t="str">
        <v>NY</v>
      </c>
      <c r="C16" s="24">
        <v>35520</v>
      </c>
      <c r="D16" s="13">
        <v>0</v>
      </c>
      <c r="E16" s="13">
        <f t="shared" si="0"/>
        <v>35520</v>
      </c>
      <c r="F16" s="14" t="str">
        <f t="shared" si="3"/>
        <v/>
      </c>
      <c r="G16" s="15">
        <v>36167.980000000003</v>
      </c>
      <c r="H16" s="15">
        <f t="shared" si="1"/>
        <v>-647.9800000000032</v>
      </c>
      <c r="I16" s="16">
        <f t="shared" si="2"/>
        <v>-1.7915847111174114E-2</v>
      </c>
      <c r="J16" s="41"/>
      <c r="K16" s="41"/>
    </row>
    <row r="17" spans="1:11" ht="15.75">
      <c r="A17" s="30" t="str">
        <v>Kohls - Hudson</v>
      </c>
      <c r="B17" s="31" t="str">
        <v>NY</v>
      </c>
      <c r="C17" s="11">
        <v>30045</v>
      </c>
      <c r="D17" s="18">
        <v>0</v>
      </c>
      <c r="E17" s="18">
        <f t="shared" si="0"/>
        <v>30045</v>
      </c>
      <c r="F17" s="19" t="str">
        <f t="shared" si="3"/>
        <v/>
      </c>
      <c r="G17" s="20">
        <v>36056.120000000003</v>
      </c>
      <c r="H17" s="20">
        <f t="shared" si="1"/>
        <v>-6011.1200000000026</v>
      </c>
      <c r="I17" s="19">
        <f t="shared" si="2"/>
        <v>-0.16671566435878299</v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>
        <v>37669</v>
      </c>
      <c r="D18" s="13">
        <v>0</v>
      </c>
      <c r="E18" s="13">
        <f t="shared" si="0"/>
        <v>37669</v>
      </c>
      <c r="F18" s="14"/>
      <c r="G18" s="15">
        <v>41388.1</v>
      </c>
      <c r="H18" s="15">
        <f t="shared" ref="H18:H25" si="4">IF(AND(ISNUMBER(C18),ISNUMBER(G18)), C18-G18, "")</f>
        <v>-3719.0999999999985</v>
      </c>
      <c r="I18" s="16">
        <f t="shared" ref="I18:I25" si="5">IFERROR(H18/G18, "")</f>
        <v>-8.9859162416250055E-2</v>
      </c>
      <c r="J18" s="41"/>
      <c r="K18" s="41"/>
    </row>
    <row r="19" spans="1:11" ht="28.5">
      <c r="A19" s="30" t="str">
        <v>Kohls - Kingston</v>
      </c>
      <c r="B19" s="31" t="str">
        <v>NY</v>
      </c>
      <c r="C19" s="11">
        <v>52599</v>
      </c>
      <c r="D19" s="18">
        <v>0</v>
      </c>
      <c r="E19" s="18">
        <f t="shared" si="0"/>
        <v>52599</v>
      </c>
      <c r="F19" s="19"/>
      <c r="G19" s="20">
        <v>59509.370999999999</v>
      </c>
      <c r="H19" s="20">
        <f t="shared" si="4"/>
        <v>-6910.3709999999992</v>
      </c>
      <c r="I19" s="19">
        <f t="shared" si="5"/>
        <v>-0.11612240028549452</v>
      </c>
      <c r="J19" s="42" t="s">
        <v>59</v>
      </c>
      <c r="K19" s="42" t="s">
        <v>60</v>
      </c>
    </row>
    <row r="20" spans="1:11" ht="15.75">
      <c r="A20" s="28" t="str">
        <v>Kohls - Mechanicsburg</v>
      </c>
      <c r="B20" s="29" t="str">
        <v>PA</v>
      </c>
      <c r="C20" s="24">
        <v>46986</v>
      </c>
      <c r="D20" s="13">
        <v>0</v>
      </c>
      <c r="E20" s="13">
        <f t="shared" si="0"/>
        <v>46986</v>
      </c>
      <c r="F20" s="14"/>
      <c r="G20" s="15">
        <v>49289.01</v>
      </c>
      <c r="H20" s="15">
        <f t="shared" si="4"/>
        <v>-2303.010000000002</v>
      </c>
      <c r="I20" s="16">
        <f t="shared" si="5"/>
        <v>-4.6724614675766503E-2</v>
      </c>
      <c r="J20" s="41"/>
      <c r="K20" s="41"/>
    </row>
    <row r="21" spans="1:11" ht="28.5">
      <c r="A21" s="30" t="str">
        <v>Kohls - Middletown</v>
      </c>
      <c r="B21" s="31" t="str">
        <v>NJ</v>
      </c>
      <c r="C21" s="11">
        <v>56041</v>
      </c>
      <c r="D21" s="18">
        <v>0</v>
      </c>
      <c r="E21" s="18">
        <f t="shared" si="0"/>
        <v>56041</v>
      </c>
      <c r="F21" s="19"/>
      <c r="G21" s="20">
        <v>72934.91</v>
      </c>
      <c r="H21" s="20">
        <f t="shared" si="4"/>
        <v>-16893.910000000003</v>
      </c>
      <c r="I21" s="19">
        <f t="shared" si="5"/>
        <v>-0.23162995608001713</v>
      </c>
      <c r="J21" s="42" t="s">
        <v>61</v>
      </c>
      <c r="K21" s="43" t="s">
        <v>62</v>
      </c>
    </row>
    <row r="22" spans="1:11" ht="15.75">
      <c r="A22" s="28" t="str">
        <v>Kohls - North Amherst</v>
      </c>
      <c r="B22" s="29" t="str">
        <v>NY</v>
      </c>
      <c r="C22" s="24">
        <v>35813</v>
      </c>
      <c r="D22" s="13">
        <v>0</v>
      </c>
      <c r="E22" s="13">
        <f t="shared" si="0"/>
        <v>35813</v>
      </c>
      <c r="F22" s="14"/>
      <c r="G22" s="15">
        <v>44277.81</v>
      </c>
      <c r="H22" s="15">
        <f t="shared" si="4"/>
        <v>-8464.8099999999977</v>
      </c>
      <c r="I22" s="16">
        <f t="shared" si="5"/>
        <v>-0.19117499262045703</v>
      </c>
      <c r="J22" s="41"/>
      <c r="K22" s="41"/>
    </row>
    <row r="23" spans="1:11" ht="15.75">
      <c r="A23" s="30" t="str">
        <v>Kohls - Staten Island</v>
      </c>
      <c r="B23" s="31" t="str">
        <v>NY</v>
      </c>
      <c r="C23" s="11">
        <v>38451.599999999999</v>
      </c>
      <c r="D23" s="18">
        <v>0</v>
      </c>
      <c r="E23" s="18">
        <f t="shared" si="0"/>
        <v>38451.599999999999</v>
      </c>
      <c r="F23" s="19"/>
      <c r="G23" s="20">
        <v>41625.99</v>
      </c>
      <c r="H23" s="20">
        <f t="shared" si="4"/>
        <v>-3174.3899999999994</v>
      </c>
      <c r="I23" s="19">
        <f t="shared" si="5"/>
        <v>-7.6259807874839727E-2</v>
      </c>
      <c r="J23" s="42"/>
      <c r="K23" s="43"/>
    </row>
    <row r="24" spans="1:11" ht="15.75">
      <c r="A24" s="28" t="str">
        <v>Kohls - Warminster</v>
      </c>
      <c r="B24" s="29" t="str">
        <v>PA</v>
      </c>
      <c r="C24" s="24">
        <v>45580</v>
      </c>
      <c r="D24" s="13">
        <v>0</v>
      </c>
      <c r="E24" s="13">
        <f t="shared" si="0"/>
        <v>45580</v>
      </c>
      <c r="F24" s="14"/>
      <c r="G24" s="15">
        <v>46481.46</v>
      </c>
      <c r="H24" s="15">
        <f t="shared" si="4"/>
        <v>-901.45999999999913</v>
      </c>
      <c r="I24" s="16">
        <f t="shared" si="5"/>
        <v>-1.9393969122312404E-2</v>
      </c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>
        <v>42079</v>
      </c>
      <c r="D25" s="18">
        <v>0</v>
      </c>
      <c r="E25" s="18">
        <f t="shared" si="0"/>
        <v>42079</v>
      </c>
      <c r="F25" s="19"/>
      <c r="G25" s="20">
        <v>42245.25</v>
      </c>
      <c r="H25" s="20">
        <f t="shared" si="4"/>
        <v>-166.25</v>
      </c>
      <c r="I25" s="19">
        <f t="shared" si="5"/>
        <v>-3.9353536788159617E-3</v>
      </c>
      <c r="J25" s="42"/>
      <c r="K25" s="43"/>
    </row>
    <row r="26" spans="1:11" ht="15.75">
      <c r="A26" s="28" t="str">
        <v>Mojave Water Agency - Headquarters</v>
      </c>
      <c r="B26" s="29" t="str">
        <v>CA</v>
      </c>
      <c r="C26" s="24"/>
      <c r="D26" s="13"/>
      <c r="E26" s="13" t="str">
        <f t="shared" ref="E26:E68" si="6">IF(AND(ISNUMBER(C26),ISNUMBER(D26)), C26-D26, "")</f>
        <v/>
      </c>
      <c r="F26" s="14"/>
      <c r="G26" s="15"/>
      <c r="H26" s="15" t="str">
        <f t="shared" ref="H26:H68" si="7">IF(AND(ISNUMBER(C26),ISNUMBER(G26)), C26-G26, "")</f>
        <v/>
      </c>
      <c r="I26" s="16" t="str">
        <f t="shared" ref="I26:I68" si="8">IFERROR(H26/G26, "")</f>
        <v/>
      </c>
      <c r="J26" s="41"/>
      <c r="K26" s="41"/>
    </row>
    <row r="27" spans="1:11" ht="15.75">
      <c r="A27" s="30" t="str">
        <v>CSU - Bakersfield</v>
      </c>
      <c r="B27" s="31" t="str">
        <v>CA</v>
      </c>
      <c r="C27" s="11"/>
      <c r="D27" s="18"/>
      <c r="E27" s="18" t="str">
        <f t="shared" si="6"/>
        <v/>
      </c>
      <c r="F27" s="19"/>
      <c r="G27" s="20"/>
      <c r="H27" s="20" t="str">
        <f t="shared" si="7"/>
        <v/>
      </c>
      <c r="I27" s="19" t="str">
        <f t="shared" si="8"/>
        <v/>
      </c>
      <c r="J27" s="42"/>
      <c r="K27" s="43"/>
    </row>
    <row r="28" spans="1:11" ht="15.75">
      <c r="A28" s="28" t="str">
        <v>Greenfield USD - Fairfield ES</v>
      </c>
      <c r="B28" s="29" t="str">
        <v>CA</v>
      </c>
      <c r="C28" s="24"/>
      <c r="D28" s="13"/>
      <c r="E28" s="13" t="str">
        <f t="shared" si="6"/>
        <v/>
      </c>
      <c r="F28" s="14"/>
      <c r="G28" s="15"/>
      <c r="H28" s="15" t="str">
        <f t="shared" si="7"/>
        <v/>
      </c>
      <c r="I28" s="16" t="str">
        <f t="shared" si="8"/>
        <v/>
      </c>
      <c r="J28" s="41"/>
      <c r="K28" s="41"/>
    </row>
    <row r="29" spans="1:11" ht="15.75">
      <c r="A29" s="30" t="str">
        <v>Greenfield USD - Granite Point ES</v>
      </c>
      <c r="B29" s="31" t="str">
        <v>CA</v>
      </c>
      <c r="C29" s="11"/>
      <c r="D29" s="18"/>
      <c r="E29" s="18" t="str">
        <f t="shared" si="6"/>
        <v/>
      </c>
      <c r="F29" s="19"/>
      <c r="G29" s="20"/>
      <c r="H29" s="20" t="str">
        <f t="shared" si="7"/>
        <v/>
      </c>
      <c r="I29" s="19" t="str">
        <f t="shared" si="8"/>
        <v/>
      </c>
      <c r="J29" s="42"/>
      <c r="K29" s="43"/>
    </row>
    <row r="30" spans="1:11" ht="15.75">
      <c r="A30" s="28" t="str">
        <v>Greenfield USD - Greenfield MS</v>
      </c>
      <c r="B30" s="29" t="str">
        <v>CA</v>
      </c>
      <c r="C30" s="24"/>
      <c r="D30" s="13"/>
      <c r="E30" s="13" t="str">
        <f t="shared" si="6"/>
        <v/>
      </c>
      <c r="F30" s="14"/>
      <c r="G30" s="15"/>
      <c r="H30" s="15" t="str">
        <f t="shared" si="7"/>
        <v/>
      </c>
      <c r="I30" s="16" t="str">
        <f t="shared" si="8"/>
        <v/>
      </c>
      <c r="J30" s="41"/>
      <c r="K30" s="41"/>
    </row>
    <row r="31" spans="1:11" ht="15.75">
      <c r="A31" s="30" t="str">
        <v>Greenfield USD - Horizon ES</v>
      </c>
      <c r="B31" s="31" t="str">
        <v>CA</v>
      </c>
      <c r="C31" s="11"/>
      <c r="D31" s="18"/>
      <c r="E31" s="18" t="str">
        <f t="shared" si="6"/>
        <v/>
      </c>
      <c r="F31" s="19"/>
      <c r="G31" s="20"/>
      <c r="H31" s="20" t="str">
        <f t="shared" si="7"/>
        <v/>
      </c>
      <c r="I31" s="19" t="str">
        <f t="shared" si="8"/>
        <v/>
      </c>
      <c r="J31" s="42"/>
      <c r="K31" s="43"/>
    </row>
    <row r="32" spans="1:11" ht="15.75">
      <c r="A32" s="28" t="str">
        <v>Greenfield USD - McKee MS</v>
      </c>
      <c r="B32" s="29" t="str">
        <v>CA</v>
      </c>
      <c r="C32" s="24"/>
      <c r="D32" s="13"/>
      <c r="E32" s="13" t="str">
        <f t="shared" si="6"/>
        <v/>
      </c>
      <c r="F32" s="14"/>
      <c r="G32" s="15"/>
      <c r="H32" s="15" t="str">
        <f t="shared" si="7"/>
        <v/>
      </c>
      <c r="I32" s="16" t="str">
        <f t="shared" si="8"/>
        <v/>
      </c>
      <c r="J32" s="41"/>
      <c r="K32" s="41"/>
    </row>
    <row r="33" spans="1:11" ht="15.75">
      <c r="A33" s="30" t="str">
        <v>Greenfield USD - Plantation ES</v>
      </c>
      <c r="B33" s="31" t="str">
        <v>CA</v>
      </c>
      <c r="C33" s="11"/>
      <c r="D33" s="18"/>
      <c r="E33" s="18" t="str">
        <f t="shared" si="6"/>
        <v/>
      </c>
      <c r="F33" s="19"/>
      <c r="G33" s="20"/>
      <c r="H33" s="20" t="str">
        <f t="shared" si="7"/>
        <v/>
      </c>
      <c r="I33" s="19" t="str">
        <f t="shared" si="8"/>
        <v/>
      </c>
      <c r="J33" s="42"/>
      <c r="K33" s="43"/>
    </row>
    <row r="34" spans="1:11" ht="15.75">
      <c r="A34" s="28" t="str">
        <v>Greenfield USD - Planz ES</v>
      </c>
      <c r="B34" s="29" t="str">
        <v>CA</v>
      </c>
      <c r="C34" s="24"/>
      <c r="D34" s="13"/>
      <c r="E34" s="13" t="str">
        <f t="shared" si="6"/>
        <v/>
      </c>
      <c r="F34" s="14"/>
      <c r="G34" s="15"/>
      <c r="H34" s="15" t="str">
        <f t="shared" si="7"/>
        <v/>
      </c>
      <c r="I34" s="16" t="str">
        <f t="shared" si="8"/>
        <v/>
      </c>
      <c r="J34" s="41"/>
      <c r="K34" s="41"/>
    </row>
    <row r="35" spans="1:11" ht="15.75">
      <c r="A35" s="30" t="str">
        <v>Greenfield USD - Raffaello Palla ES</v>
      </c>
      <c r="B35" s="31" t="str">
        <v>CA</v>
      </c>
      <c r="C35" s="11"/>
      <c r="D35" s="18"/>
      <c r="E35" s="18" t="str">
        <f t="shared" si="6"/>
        <v/>
      </c>
      <c r="F35" s="19"/>
      <c r="G35" s="20"/>
      <c r="H35" s="20" t="str">
        <f t="shared" si="7"/>
        <v/>
      </c>
      <c r="I35" s="19" t="str">
        <f t="shared" si="8"/>
        <v/>
      </c>
      <c r="J35" s="42"/>
      <c r="K35" s="43"/>
    </row>
    <row r="36" spans="1:11" ht="15.75">
      <c r="A36" s="28" t="str">
        <v>Greenfield USD - Valle Verde ES</v>
      </c>
      <c r="B36" s="29" t="str">
        <v>CA</v>
      </c>
      <c r="C36" s="24"/>
      <c r="D36" s="13"/>
      <c r="E36" s="13" t="str">
        <f t="shared" si="6"/>
        <v/>
      </c>
      <c r="F36" s="14"/>
      <c r="G36" s="15"/>
      <c r="H36" s="15" t="str">
        <f t="shared" si="7"/>
        <v/>
      </c>
      <c r="I36" s="16" t="str">
        <f t="shared" si="8"/>
        <v/>
      </c>
      <c r="J36" s="41"/>
      <c r="K36" s="41"/>
    </row>
    <row r="37" spans="1:11" ht="15.75">
      <c r="A37" s="30" t="str">
        <v>Greenfield USD - W.A. Kendrick ES</v>
      </c>
      <c r="B37" s="31" t="str">
        <v>CA</v>
      </c>
      <c r="C37" s="11"/>
      <c r="D37" s="18"/>
      <c r="E37" s="18" t="str">
        <f t="shared" si="6"/>
        <v/>
      </c>
      <c r="F37" s="19"/>
      <c r="G37" s="20"/>
      <c r="H37" s="20" t="str">
        <f t="shared" si="7"/>
        <v/>
      </c>
      <c r="I37" s="19" t="str">
        <f t="shared" si="8"/>
        <v/>
      </c>
      <c r="J37" s="42"/>
      <c r="K37" s="43"/>
    </row>
    <row r="38" spans="1:11" ht="15.75">
      <c r="A38" s="28" t="str">
        <v>Muroc Joint USD - Boron HS</v>
      </c>
      <c r="B38" s="29" t="str">
        <v>CA</v>
      </c>
      <c r="C38" s="24"/>
      <c r="D38" s="13"/>
      <c r="E38" s="13" t="str">
        <f t="shared" si="6"/>
        <v/>
      </c>
      <c r="F38" s="14"/>
      <c r="G38" s="15"/>
      <c r="H38" s="15" t="str">
        <f t="shared" si="7"/>
        <v/>
      </c>
      <c r="I38" s="16" t="str">
        <f t="shared" si="8"/>
        <v/>
      </c>
      <c r="J38" s="41"/>
      <c r="K38" s="41"/>
    </row>
    <row r="39" spans="1:11" ht="15.75">
      <c r="A39" s="30" t="str">
        <v>Muroc Joint USD - W. Boron ES</v>
      </c>
      <c r="B39" s="31" t="str">
        <v>CA</v>
      </c>
      <c r="C39" s="11"/>
      <c r="D39" s="18"/>
      <c r="E39" s="18" t="str">
        <f t="shared" si="6"/>
        <v/>
      </c>
      <c r="F39" s="19"/>
      <c r="G39" s="20"/>
      <c r="H39" s="20" t="str">
        <f t="shared" si="7"/>
        <v/>
      </c>
      <c r="I39" s="19" t="str">
        <f t="shared" si="8"/>
        <v/>
      </c>
      <c r="J39" s="42"/>
      <c r="K39" s="43"/>
    </row>
    <row r="40" spans="1:11" ht="15.75">
      <c r="A40" s="28" t="str">
        <v>Colusa - WTP</v>
      </c>
      <c r="B40" s="29" t="str">
        <v>CA</v>
      </c>
      <c r="C40" s="24"/>
      <c r="D40" s="13"/>
      <c r="E40" s="13" t="str">
        <f t="shared" si="6"/>
        <v/>
      </c>
      <c r="F40" s="14"/>
      <c r="G40" s="15"/>
      <c r="H40" s="15" t="str">
        <f t="shared" si="7"/>
        <v/>
      </c>
      <c r="I40" s="16" t="str">
        <f t="shared" si="8"/>
        <v/>
      </c>
      <c r="J40" s="41"/>
      <c r="K40" s="41"/>
    </row>
    <row r="41" spans="1:11" ht="15.75">
      <c r="A41" s="30" t="str">
        <v>CDCR-North Kern State Prision</v>
      </c>
      <c r="B41" s="31" t="str">
        <v>CA</v>
      </c>
      <c r="C41" s="11"/>
      <c r="D41" s="18"/>
      <c r="E41" s="18" t="str">
        <f t="shared" si="6"/>
        <v/>
      </c>
      <c r="F41" s="19"/>
      <c r="G41" s="20"/>
      <c r="H41" s="20" t="str">
        <f t="shared" si="7"/>
        <v/>
      </c>
      <c r="I41" s="19" t="str">
        <f t="shared" si="8"/>
        <v/>
      </c>
      <c r="J41" s="42"/>
      <c r="K41" s="43"/>
    </row>
    <row r="42" spans="1:11" ht="15.75">
      <c r="A42" s="28" t="str">
        <v>Muroc Joint USD - District Office</v>
      </c>
      <c r="B42" s="29" t="str">
        <v>CA</v>
      </c>
      <c r="C42" s="24"/>
      <c r="D42" s="13"/>
      <c r="E42" s="13" t="str">
        <f t="shared" si="6"/>
        <v/>
      </c>
      <c r="F42" s="14"/>
      <c r="G42" s="15"/>
      <c r="H42" s="15" t="str">
        <f t="shared" si="7"/>
        <v/>
      </c>
      <c r="I42" s="16" t="str">
        <f t="shared" si="8"/>
        <v/>
      </c>
      <c r="J42" s="41"/>
      <c r="K42" s="41"/>
    </row>
    <row r="43" spans="1:11" ht="15.75">
      <c r="A43" s="30" t="str">
        <v>Whole Foods - Manhattan Beach</v>
      </c>
      <c r="B43" s="31" t="str">
        <v>CA</v>
      </c>
      <c r="C43" s="11"/>
      <c r="D43" s="18"/>
      <c r="E43" s="18" t="str">
        <f t="shared" si="6"/>
        <v/>
      </c>
      <c r="F43" s="19"/>
      <c r="G43" s="20"/>
      <c r="H43" s="20" t="str">
        <f t="shared" si="7"/>
        <v/>
      </c>
      <c r="I43" s="19" t="str">
        <f t="shared" si="8"/>
        <v/>
      </c>
      <c r="J43" s="42"/>
      <c r="K43" s="43"/>
    </row>
    <row r="44" spans="1:11" ht="15.75">
      <c r="A44" s="28" t="str">
        <v>Pioneer USD - Frontier ES</v>
      </c>
      <c r="B44" s="29" t="str">
        <v>CA</v>
      </c>
      <c r="C44" s="24"/>
      <c r="D44" s="13"/>
      <c r="E44" s="13" t="str">
        <f t="shared" si="6"/>
        <v/>
      </c>
      <c r="F44" s="14"/>
      <c r="G44" s="15"/>
      <c r="H44" s="15" t="str">
        <f t="shared" si="7"/>
        <v/>
      </c>
      <c r="I44" s="16" t="str">
        <f t="shared" si="8"/>
        <v/>
      </c>
      <c r="J44" s="41"/>
      <c r="K44" s="41"/>
    </row>
    <row r="45" spans="1:11" ht="15.75">
      <c r="A45" s="30" t="str">
        <v>Pioneer USD - Pioneer ES</v>
      </c>
      <c r="B45" s="31" t="str">
        <v>CA</v>
      </c>
      <c r="C45" s="11"/>
      <c r="D45" s="18"/>
      <c r="E45" s="18" t="str">
        <f t="shared" si="6"/>
        <v/>
      </c>
      <c r="F45" s="19"/>
      <c r="G45" s="20"/>
      <c r="H45" s="20" t="str">
        <f t="shared" si="7"/>
        <v/>
      </c>
      <c r="I45" s="19" t="str">
        <f t="shared" si="8"/>
        <v/>
      </c>
      <c r="J45" s="42"/>
      <c r="K45" s="43"/>
    </row>
    <row r="46" spans="1:11" ht="15.75">
      <c r="A46" s="28" t="str">
        <v>Pioneer USD - Pioneer MS</v>
      </c>
      <c r="B46" s="29" t="str">
        <v>CA</v>
      </c>
      <c r="C46" s="24"/>
      <c r="D46" s="13"/>
      <c r="E46" s="13" t="str">
        <f t="shared" si="6"/>
        <v/>
      </c>
      <c r="F46" s="14"/>
      <c r="G46" s="15"/>
      <c r="H46" s="15" t="str">
        <f t="shared" si="7"/>
        <v/>
      </c>
      <c r="I46" s="16" t="str">
        <f t="shared" si="8"/>
        <v/>
      </c>
      <c r="J46" s="41"/>
      <c r="K46" s="41"/>
    </row>
    <row r="47" spans="1:11" ht="15.75">
      <c r="A47" s="30" t="str">
        <v>Kingsburg Joint UHSD - Kingsburg HS</v>
      </c>
      <c r="B47" s="31" t="str">
        <v>CA</v>
      </c>
      <c r="C47" s="11"/>
      <c r="D47" s="18"/>
      <c r="E47" s="18" t="str">
        <f t="shared" si="6"/>
        <v/>
      </c>
      <c r="F47" s="19"/>
      <c r="G47" s="20"/>
      <c r="H47" s="20" t="str">
        <f t="shared" si="7"/>
        <v/>
      </c>
      <c r="I47" s="19" t="str">
        <f t="shared" si="8"/>
        <v/>
      </c>
      <c r="J47" s="42"/>
      <c r="K47" s="43"/>
    </row>
    <row r="48" spans="1:11" ht="15.75">
      <c r="A48" s="28" t="str">
        <v>CADRB</v>
      </c>
      <c r="B48" s="29" t="str">
        <v>CA</v>
      </c>
      <c r="C48" s="24"/>
      <c r="D48" s="13"/>
      <c r="E48" s="13" t="str">
        <f t="shared" si="6"/>
        <v/>
      </c>
      <c r="F48" s="14"/>
      <c r="G48" s="15"/>
      <c r="H48" s="15" t="str">
        <f t="shared" si="7"/>
        <v/>
      </c>
      <c r="I48" s="16" t="str">
        <f t="shared" si="8"/>
        <v/>
      </c>
      <c r="J48" s="41"/>
      <c r="K48" s="41"/>
    </row>
    <row r="49" spans="1:11" ht="15.75">
      <c r="A49" s="30" t="str">
        <v>CDCR-CA State Prison LA County</v>
      </c>
      <c r="B49" s="31" t="str">
        <v>CA</v>
      </c>
      <c r="C49" s="11"/>
      <c r="D49" s="18"/>
      <c r="E49" s="18" t="str">
        <f t="shared" si="6"/>
        <v/>
      </c>
      <c r="F49" s="19"/>
      <c r="G49" s="20"/>
      <c r="H49" s="20" t="str">
        <f t="shared" si="7"/>
        <v/>
      </c>
      <c r="I49" s="19" t="str">
        <f t="shared" si="8"/>
        <v/>
      </c>
      <c r="J49" s="42"/>
      <c r="K49" s="43"/>
    </row>
    <row r="50" spans="1:11" ht="15.75">
      <c r="A50" s="28" t="str">
        <v>Central USD Akers ES</v>
      </c>
      <c r="B50" s="29" t="str">
        <v>CA</v>
      </c>
      <c r="C50" s="24"/>
      <c r="D50" s="13"/>
      <c r="E50" s="13" t="str">
        <f t="shared" si="6"/>
        <v/>
      </c>
      <c r="F50" s="14"/>
      <c r="G50" s="15"/>
      <c r="H50" s="15" t="str">
        <f t="shared" si="7"/>
        <v/>
      </c>
      <c r="I50" s="16" t="str">
        <f t="shared" si="8"/>
        <v/>
      </c>
      <c r="J50" s="41"/>
      <c r="K50" s="41"/>
    </row>
    <row r="51" spans="1:11" ht="15.75">
      <c r="A51" s="30" t="str">
        <v>CUSD - District Office</v>
      </c>
      <c r="B51" s="31" t="str">
        <v>CA</v>
      </c>
      <c r="C51" s="11"/>
      <c r="D51" s="18"/>
      <c r="E51" s="18" t="str">
        <f t="shared" si="6"/>
        <v/>
      </c>
      <c r="F51" s="19"/>
      <c r="G51" s="20"/>
      <c r="H51" s="20" t="str">
        <f t="shared" si="7"/>
        <v/>
      </c>
      <c r="I51" s="19" t="str">
        <f t="shared" si="8"/>
        <v/>
      </c>
      <c r="J51" s="42"/>
      <c r="K51" s="43"/>
    </row>
    <row r="52" spans="1:11" ht="15.75">
      <c r="A52" s="28" t="str">
        <v>Parlier - WTP</v>
      </c>
      <c r="B52" s="29" t="str">
        <v>CA</v>
      </c>
      <c r="C52" s="24"/>
      <c r="D52" s="13"/>
      <c r="E52" s="13" t="str">
        <f t="shared" si="6"/>
        <v/>
      </c>
      <c r="F52" s="14"/>
      <c r="G52" s="15"/>
      <c r="H52" s="15" t="str">
        <f t="shared" si="7"/>
        <v/>
      </c>
      <c r="I52" s="16" t="str">
        <f t="shared" si="8"/>
        <v/>
      </c>
      <c r="J52" s="41"/>
      <c r="K52" s="41"/>
    </row>
    <row r="53" spans="1:11" ht="15.75">
      <c r="A53" s="30" t="str">
        <v>Snowline SD - Quail Valley MS</v>
      </c>
      <c r="B53" s="31" t="str">
        <v>CA</v>
      </c>
      <c r="C53" s="11"/>
      <c r="D53" s="18"/>
      <c r="E53" s="18" t="str">
        <f t="shared" si="6"/>
        <v/>
      </c>
      <c r="F53" s="19"/>
      <c r="G53" s="20"/>
      <c r="H53" s="20" t="str">
        <f t="shared" si="7"/>
        <v/>
      </c>
      <c r="I53" s="19" t="str">
        <f t="shared" si="8"/>
        <v/>
      </c>
      <c r="J53" s="42"/>
      <c r="K53" s="43"/>
    </row>
    <row r="54" spans="1:11" ht="15.75">
      <c r="A54" s="28" t="str">
        <v>Snowline SD - Serrano HS - Middle Lot</v>
      </c>
      <c r="B54" s="29" t="str">
        <v>CA</v>
      </c>
      <c r="C54" s="24"/>
      <c r="D54" s="13"/>
      <c r="E54" s="13" t="str">
        <f t="shared" si="6"/>
        <v/>
      </c>
      <c r="F54" s="14"/>
      <c r="G54" s="15"/>
      <c r="H54" s="15" t="str">
        <f t="shared" si="7"/>
        <v/>
      </c>
      <c r="I54" s="16" t="str">
        <f t="shared" si="8"/>
        <v/>
      </c>
      <c r="J54" s="41"/>
      <c r="K54" s="41"/>
    </row>
    <row r="55" spans="1:11" ht="15.75">
      <c r="A55" s="30" t="str">
        <v>Snowline SD - Pinon Hills ES</v>
      </c>
      <c r="B55" s="31" t="str">
        <v>CA</v>
      </c>
      <c r="C55" s="11"/>
      <c r="D55" s="18"/>
      <c r="E55" s="18" t="str">
        <f t="shared" si="6"/>
        <v/>
      </c>
      <c r="F55" s="19"/>
      <c r="G55" s="20"/>
      <c r="H55" s="20" t="str">
        <f t="shared" si="7"/>
        <v/>
      </c>
      <c r="I55" s="19" t="str">
        <f t="shared" si="8"/>
        <v/>
      </c>
      <c r="J55" s="42"/>
      <c r="K55" s="43"/>
    </row>
    <row r="56" spans="1:11" ht="15.75">
      <c r="A56" s="28" t="str">
        <v>Ramona - Santa Maria WTP</v>
      </c>
      <c r="B56" s="29" t="str">
        <v>CA</v>
      </c>
      <c r="C56" s="24"/>
      <c r="D56" s="13"/>
      <c r="E56" s="13" t="str">
        <f t="shared" si="6"/>
        <v/>
      </c>
      <c r="F56" s="14"/>
      <c r="G56" s="15"/>
      <c r="H56" s="15" t="str">
        <f t="shared" si="7"/>
        <v/>
      </c>
      <c r="I56" s="16" t="str">
        <f t="shared" si="8"/>
        <v/>
      </c>
      <c r="J56" s="41"/>
      <c r="K56" s="41"/>
    </row>
    <row r="57" spans="1:11" ht="15.75">
      <c r="A57" s="30" t="str">
        <v>Kohls - Redding</v>
      </c>
      <c r="B57" s="31" t="str">
        <v>CA</v>
      </c>
      <c r="C57" s="11"/>
      <c r="D57" s="18"/>
      <c r="E57" s="18" t="str">
        <f t="shared" si="6"/>
        <v/>
      </c>
      <c r="F57" s="19"/>
      <c r="G57" s="20"/>
      <c r="H57" s="20" t="str">
        <f t="shared" si="7"/>
        <v/>
      </c>
      <c r="I57" s="19" t="str">
        <f t="shared" si="8"/>
        <v/>
      </c>
      <c r="J57" s="42"/>
      <c r="K57" s="43"/>
    </row>
    <row r="58" spans="1:11" ht="15.75">
      <c r="A58" s="28" t="str">
        <v>Kohls - Salinas</v>
      </c>
      <c r="B58" s="29" t="str">
        <v>CA</v>
      </c>
      <c r="C58" s="24"/>
      <c r="D58" s="13"/>
      <c r="E58" s="13" t="str">
        <f t="shared" si="6"/>
        <v/>
      </c>
      <c r="F58" s="14"/>
      <c r="G58" s="15"/>
      <c r="H58" s="15" t="str">
        <f t="shared" si="7"/>
        <v/>
      </c>
      <c r="I58" s="16" t="str">
        <f t="shared" si="8"/>
        <v/>
      </c>
      <c r="J58" s="41"/>
      <c r="K58" s="41"/>
    </row>
    <row r="59" spans="1:11" ht="15.75">
      <c r="A59" s="30" t="str">
        <v>Kohls - San Bernardino - Central</v>
      </c>
      <c r="B59" s="31" t="str">
        <v>CA</v>
      </c>
      <c r="C59" s="11"/>
      <c r="D59" s="18"/>
      <c r="E59" s="18" t="str">
        <f t="shared" si="6"/>
        <v/>
      </c>
      <c r="F59" s="19"/>
      <c r="G59" s="20"/>
      <c r="H59" s="20" t="str">
        <f t="shared" si="7"/>
        <v/>
      </c>
      <c r="I59" s="19" t="str">
        <f t="shared" si="8"/>
        <v/>
      </c>
      <c r="J59" s="42"/>
      <c r="K59" s="43"/>
    </row>
    <row r="60" spans="1:11" ht="15.75">
      <c r="A60" s="28" t="str">
        <v>Kohls - Sonora</v>
      </c>
      <c r="B60" s="29" t="str">
        <v>CA</v>
      </c>
      <c r="C60" s="24"/>
      <c r="D60" s="13"/>
      <c r="E60" s="13" t="str">
        <f t="shared" si="6"/>
        <v/>
      </c>
      <c r="F60" s="14"/>
      <c r="G60" s="15"/>
      <c r="H60" s="15" t="str">
        <f t="shared" si="7"/>
        <v/>
      </c>
      <c r="I60" s="16" t="str">
        <f t="shared" si="8"/>
        <v/>
      </c>
      <c r="J60" s="41"/>
      <c r="K60" s="41"/>
    </row>
    <row r="61" spans="1:11" ht="15.75">
      <c r="A61" s="30" t="str">
        <v>CUSD - Stratford ES</v>
      </c>
      <c r="B61" s="31" t="str">
        <v>CA</v>
      </c>
      <c r="C61" s="11"/>
      <c r="D61" s="18"/>
      <c r="E61" s="18" t="str">
        <f t="shared" si="6"/>
        <v/>
      </c>
      <c r="F61" s="19"/>
      <c r="G61" s="20"/>
      <c r="H61" s="20" t="str">
        <f t="shared" si="7"/>
        <v/>
      </c>
      <c r="I61" s="19" t="str">
        <f t="shared" si="8"/>
        <v/>
      </c>
      <c r="J61" s="42"/>
      <c r="K61" s="43"/>
    </row>
    <row r="62" spans="1:11" ht="15.75">
      <c r="A62" s="28" t="str">
        <v>Taft - City Hall</v>
      </c>
      <c r="B62" s="29" t="str">
        <v>CA</v>
      </c>
      <c r="C62" s="24"/>
      <c r="D62" s="13"/>
      <c r="E62" s="13" t="str">
        <f t="shared" si="6"/>
        <v/>
      </c>
      <c r="F62" s="14"/>
      <c r="G62" s="15"/>
      <c r="H62" s="15" t="str">
        <f t="shared" si="7"/>
        <v/>
      </c>
      <c r="I62" s="16" t="str">
        <f t="shared" si="8"/>
        <v/>
      </c>
      <c r="J62" s="41"/>
      <c r="K62" s="41"/>
    </row>
    <row r="63" spans="1:11" ht="15.75">
      <c r="A63" s="30" t="str">
        <v>Taft - Federal Prison</v>
      </c>
      <c r="B63" s="31" t="str">
        <v>CA</v>
      </c>
      <c r="C63" s="11"/>
      <c r="D63" s="18"/>
      <c r="E63" s="18" t="str">
        <f t="shared" si="6"/>
        <v/>
      </c>
      <c r="F63" s="19"/>
      <c r="G63" s="20"/>
      <c r="H63" s="20" t="str">
        <f t="shared" si="7"/>
        <v/>
      </c>
      <c r="I63" s="19" t="str">
        <f t="shared" si="8"/>
        <v/>
      </c>
      <c r="J63" s="42"/>
      <c r="K63" s="43"/>
    </row>
    <row r="64" spans="1:11" ht="15.75">
      <c r="A64" s="28" t="str">
        <v>Taft - Police Department</v>
      </c>
      <c r="B64" s="29" t="str">
        <v>CA</v>
      </c>
      <c r="C64" s="24"/>
      <c r="D64" s="13"/>
      <c r="E64" s="13" t="str">
        <f t="shared" si="6"/>
        <v/>
      </c>
      <c r="F64" s="14"/>
      <c r="G64" s="15"/>
      <c r="H64" s="15" t="str">
        <f t="shared" si="7"/>
        <v/>
      </c>
      <c r="I64" s="16" t="str">
        <f t="shared" si="8"/>
        <v/>
      </c>
      <c r="J64" s="41"/>
      <c r="K64" s="41"/>
    </row>
    <row r="65" spans="1:11" ht="15.75">
      <c r="A65" s="30" t="str">
        <v>Taft - WTP</v>
      </c>
      <c r="B65" s="31" t="str">
        <v>CA</v>
      </c>
      <c r="C65" s="11"/>
      <c r="D65" s="18"/>
      <c r="E65" s="18" t="str">
        <f t="shared" si="6"/>
        <v/>
      </c>
      <c r="F65" s="19"/>
      <c r="G65" s="20"/>
      <c r="H65" s="20" t="str">
        <f t="shared" si="7"/>
        <v/>
      </c>
      <c r="I65" s="19" t="str">
        <f t="shared" si="8"/>
        <v/>
      </c>
      <c r="J65" s="42"/>
      <c r="K65" s="43"/>
    </row>
    <row r="66" spans="1:11" ht="15.75">
      <c r="A66" s="28" t="str">
        <v>CDCR - CA Correctional Institution</v>
      </c>
      <c r="B66" s="29" t="str">
        <v>CA</v>
      </c>
      <c r="C66" s="24"/>
      <c r="D66" s="13"/>
      <c r="E66" s="13" t="str">
        <f t="shared" si="6"/>
        <v/>
      </c>
      <c r="F66" s="14"/>
      <c r="G66" s="15"/>
      <c r="H66" s="15" t="str">
        <f t="shared" si="7"/>
        <v/>
      </c>
      <c r="I66" s="16" t="str">
        <f t="shared" si="8"/>
        <v/>
      </c>
      <c r="J66" s="41"/>
      <c r="K66" s="41"/>
    </row>
    <row r="67" spans="1:11" ht="15.75">
      <c r="A67" s="30" t="str">
        <v>CDCR - CA Correctional Institution II</v>
      </c>
      <c r="B67" s="31" t="str">
        <v>CA</v>
      </c>
      <c r="C67" s="11"/>
      <c r="D67" s="18"/>
      <c r="E67" s="18" t="str">
        <f t="shared" si="6"/>
        <v/>
      </c>
      <c r="F67" s="19"/>
      <c r="G67" s="20"/>
      <c r="H67" s="20" t="str">
        <f t="shared" si="7"/>
        <v/>
      </c>
      <c r="I67" s="19" t="str">
        <f t="shared" si="8"/>
        <v/>
      </c>
      <c r="J67" s="42"/>
      <c r="K67" s="43"/>
    </row>
    <row r="68" spans="1:11" ht="15.75">
      <c r="A68" s="28" t="str">
        <v>Snowline SD - Vista Verde ES</v>
      </c>
      <c r="B68" s="29" t="str">
        <v>CA</v>
      </c>
      <c r="C68" s="24"/>
      <c r="D68" s="13"/>
      <c r="E68" s="13" t="str">
        <f t="shared" si="6"/>
        <v/>
      </c>
      <c r="F68" s="14"/>
      <c r="G68" s="15"/>
      <c r="H68" s="15" t="str">
        <f t="shared" si="7"/>
        <v/>
      </c>
      <c r="I68" s="16" t="str">
        <f t="shared" si="8"/>
        <v/>
      </c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6" priority="3" stopIfTrue="1" operator="lessThanOrEqual">
      <formula>-0.1</formula>
    </cfRule>
    <cfRule type="expression" dxfId="35" priority="4">
      <formula>AND(ISNUMBER(F2), F2&gt;=0.1)</formula>
    </cfRule>
  </conditionalFormatting>
  <conditionalFormatting sqref="F4:F100 I4:I100">
    <cfRule type="cellIs" dxfId="34" priority="1" stopIfTrue="1" operator="lessThanOrEqual">
      <formula>-0.1</formula>
    </cfRule>
    <cfRule type="expression" dxfId="3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zoomScale="85" zoomScaleNormal="85" workbookViewId="0">
      <pane xSplit="2" ySplit="3" topLeftCell="C33" activePane="bottomRight" state="frozen"/>
      <selection pane="bottomRight" activeCell="O49" sqref="O49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4.42578125" customWidth="1"/>
  </cols>
  <sheetData>
    <row r="1" spans="1:11" ht="19.5" customHeight="1">
      <c r="A1" s="99" t="str" cm="1">
        <f t="array" ref="A1">portfolio</f>
        <v>Silicon Ranch</v>
      </c>
      <c r="B1" s="99"/>
      <c r="C1" s="99"/>
      <c r="D1" s="100" t="s">
        <v>63</v>
      </c>
      <c r="E1" s="100"/>
      <c r="F1" s="100"/>
      <c r="G1" s="98" t="s">
        <v>64</v>
      </c>
      <c r="H1" s="98"/>
      <c r="I1" s="98"/>
      <c r="J1" s="4"/>
      <c r="K1" s="4"/>
    </row>
    <row r="2" spans="1:11" ht="19.5" customHeight="1">
      <c r="A2" s="101" t="s">
        <v>2</v>
      </c>
      <c r="B2" s="101"/>
      <c r="C2" s="5">
        <f>SUM(C4:C100)</f>
        <v>1251894</v>
      </c>
      <c r="D2" s="5">
        <f>SUM(D4:D100)</f>
        <v>0</v>
      </c>
      <c r="E2" s="5">
        <f>C2-D2</f>
        <v>1251894</v>
      </c>
      <c r="F2" s="6">
        <f>IFERROR(E2/D2, 0)</f>
        <v>0</v>
      </c>
      <c r="G2" s="5">
        <f>SUM(G4:G100)</f>
        <v>1285796.0530000001</v>
      </c>
      <c r="H2" s="7">
        <f>C2-G2</f>
        <v>-33902.053000000073</v>
      </c>
      <c r="I2" s="6">
        <f>IFERROR(H2/G2, 0)</f>
        <v>-2.636658661449482E-2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38861</v>
      </c>
      <c r="D4" s="13">
        <v>0</v>
      </c>
      <c r="E4" s="13">
        <f>IF(AND(ISNUMBER(C4),ISNUMBER(D4)), C4-D4, "")</f>
        <v>38861</v>
      </c>
      <c r="F4" s="14" t="str">
        <f>IFERROR(E4/D4, "")</f>
        <v/>
      </c>
      <c r="G4" s="15">
        <v>36643</v>
      </c>
      <c r="H4" s="15">
        <f>IF(AND(ISNUMBER(C4),ISNUMBER(G4)), C4-G4, "")</f>
        <v>2218</v>
      </c>
      <c r="I4" s="16">
        <f>IFERROR(H4/G4, "")</f>
        <v>6.0529978440629864E-2</v>
      </c>
      <c r="J4" s="57"/>
      <c r="K4" s="57"/>
    </row>
    <row r="5" spans="1:11" ht="15.75">
      <c r="A5" s="30" t="str">
        <v>Kohls - Auburn</v>
      </c>
      <c r="B5" s="31" t="str">
        <v>NY</v>
      </c>
      <c r="C5" s="11">
        <v>38967</v>
      </c>
      <c r="D5" s="18">
        <v>0</v>
      </c>
      <c r="E5" s="18">
        <f t="shared" ref="E5:E25" si="0">IF(AND(ISNUMBER(C5),ISNUMBER(D5)), C5-D5, "")</f>
        <v>38967</v>
      </c>
      <c r="F5" s="19" t="str">
        <f>IFERROR(E5/D5, "")</f>
        <v/>
      </c>
      <c r="G5" s="20">
        <v>43849.01</v>
      </c>
      <c r="H5" s="20">
        <f t="shared" ref="H5:H25" si="1">IF(AND(ISNUMBER(C5),ISNUMBER(G5)), C5-G5, "")</f>
        <v>-4882.010000000002</v>
      </c>
      <c r="I5" s="19">
        <f t="shared" ref="I5:I25" si="2">IFERROR(H5/G5, "")</f>
        <v>-0.11133683519878788</v>
      </c>
      <c r="J5" s="61"/>
      <c r="K5" s="61"/>
    </row>
    <row r="6" spans="1:11" ht="15.75">
      <c r="A6" s="28" t="str">
        <v>Kohls - Bensalem</v>
      </c>
      <c r="B6" s="29" t="str">
        <v>PA</v>
      </c>
      <c r="C6" s="24">
        <v>48041</v>
      </c>
      <c r="D6" s="13">
        <v>0</v>
      </c>
      <c r="E6" s="13">
        <f t="shared" si="0"/>
        <v>48041</v>
      </c>
      <c r="F6" s="14" t="str">
        <f t="shared" ref="F6:F17" si="3">IFERROR(E6/D6, "")</f>
        <v/>
      </c>
      <c r="G6" s="15">
        <v>39083.82</v>
      </c>
      <c r="H6" s="15">
        <f t="shared" si="1"/>
        <v>8957.18</v>
      </c>
      <c r="I6" s="16">
        <f t="shared" si="2"/>
        <v>0.22917872408582377</v>
      </c>
      <c r="J6" s="57"/>
      <c r="K6" s="57"/>
    </row>
    <row r="7" spans="1:11" ht="15.75">
      <c r="A7" s="30" t="str">
        <v>Kohls - Brick</v>
      </c>
      <c r="B7" s="31" t="str">
        <v>NJ</v>
      </c>
      <c r="C7" s="11">
        <v>55066</v>
      </c>
      <c r="D7" s="18">
        <v>0</v>
      </c>
      <c r="E7" s="18">
        <f t="shared" si="0"/>
        <v>55066</v>
      </c>
      <c r="F7" s="19" t="str">
        <f t="shared" si="3"/>
        <v/>
      </c>
      <c r="G7" s="20">
        <v>47157.06</v>
      </c>
      <c r="H7" s="20">
        <f t="shared" si="1"/>
        <v>7908.9400000000023</v>
      </c>
      <c r="I7" s="19">
        <f t="shared" si="2"/>
        <v>0.16771486602430269</v>
      </c>
      <c r="J7" s="61"/>
      <c r="K7" s="62"/>
    </row>
    <row r="8" spans="1:11" ht="28.5">
      <c r="A8" s="28" t="str">
        <v>Kohls - Buffalo</v>
      </c>
      <c r="B8" s="29" t="str">
        <v>NY</v>
      </c>
      <c r="C8" s="24">
        <v>32840</v>
      </c>
      <c r="D8" s="13">
        <v>0</v>
      </c>
      <c r="E8" s="13">
        <f t="shared" si="0"/>
        <v>32840</v>
      </c>
      <c r="F8" s="14" t="str">
        <f t="shared" si="3"/>
        <v/>
      </c>
      <c r="G8" s="15">
        <v>51474.12</v>
      </c>
      <c r="H8" s="15">
        <f t="shared" si="1"/>
        <v>-18634.120000000003</v>
      </c>
      <c r="I8" s="16">
        <f t="shared" si="2"/>
        <v>-0.36200949137158639</v>
      </c>
      <c r="J8" s="57" t="s">
        <v>65</v>
      </c>
      <c r="K8" s="57" t="s">
        <v>66</v>
      </c>
    </row>
    <row r="9" spans="1:11" ht="15.75">
      <c r="A9" s="30" t="str">
        <v>Kohls - Canton</v>
      </c>
      <c r="B9" s="31" t="str">
        <v>CT</v>
      </c>
      <c r="C9" s="11">
        <v>18924</v>
      </c>
      <c r="D9" s="18">
        <v>0</v>
      </c>
      <c r="E9" s="18">
        <f t="shared" si="0"/>
        <v>18924</v>
      </c>
      <c r="F9" s="19" t="str">
        <f t="shared" si="3"/>
        <v/>
      </c>
      <c r="G9" s="20">
        <v>16604.86</v>
      </c>
      <c r="H9" s="20">
        <f t="shared" si="1"/>
        <v>2319.1399999999994</v>
      </c>
      <c r="I9" s="19">
        <f t="shared" si="2"/>
        <v>0.13966633865025055</v>
      </c>
      <c r="J9" s="61"/>
      <c r="K9" s="62"/>
    </row>
    <row r="10" spans="1:11" ht="15.75">
      <c r="A10" s="28" t="str">
        <v>Kohls - East Amherst</v>
      </c>
      <c r="B10" s="29" t="str">
        <v>NY</v>
      </c>
      <c r="C10" s="24">
        <v>42273</v>
      </c>
      <c r="D10" s="13">
        <v>0</v>
      </c>
      <c r="E10" s="13">
        <f t="shared" si="0"/>
        <v>42273</v>
      </c>
      <c r="F10" s="14" t="str">
        <f t="shared" si="3"/>
        <v/>
      </c>
      <c r="G10" s="15">
        <v>46235.35</v>
      </c>
      <c r="H10" s="15">
        <f t="shared" si="1"/>
        <v>-3962.3499999999985</v>
      </c>
      <c r="I10" s="16">
        <f t="shared" si="2"/>
        <v>-8.5699578352926895E-2</v>
      </c>
      <c r="J10" s="57" t="s">
        <v>67</v>
      </c>
      <c r="K10" s="57" t="s">
        <v>68</v>
      </c>
    </row>
    <row r="11" spans="1:11" ht="15.75">
      <c r="A11" s="30" t="str">
        <v>Kohls - East Brunswick</v>
      </c>
      <c r="B11" s="31" t="str">
        <v>NJ</v>
      </c>
      <c r="C11" s="11">
        <v>56556</v>
      </c>
      <c r="D11" s="18">
        <v>0</v>
      </c>
      <c r="E11" s="18">
        <f t="shared" si="0"/>
        <v>56556</v>
      </c>
      <c r="F11" s="19" t="str">
        <f t="shared" si="3"/>
        <v/>
      </c>
      <c r="G11" s="20">
        <v>61984.13</v>
      </c>
      <c r="H11" s="20">
        <f t="shared" si="1"/>
        <v>-5428.1299999999974</v>
      </c>
      <c r="I11" s="19">
        <f t="shared" si="2"/>
        <v>-8.7572899708360796E-2</v>
      </c>
      <c r="J11" s="61"/>
      <c r="K11" s="62"/>
    </row>
    <row r="12" spans="1:11" ht="71.25">
      <c r="A12" s="28" t="str">
        <v>Kohls - Edgewood</v>
      </c>
      <c r="B12" s="29" t="str">
        <v>MD</v>
      </c>
      <c r="C12" s="24">
        <v>293146</v>
      </c>
      <c r="D12" s="13">
        <v>0</v>
      </c>
      <c r="E12" s="13">
        <f t="shared" si="0"/>
        <v>293146</v>
      </c>
      <c r="F12" s="14" t="str">
        <f t="shared" si="3"/>
        <v/>
      </c>
      <c r="G12" s="15">
        <v>327528.96000000002</v>
      </c>
      <c r="H12" s="15">
        <f t="shared" si="1"/>
        <v>-34382.960000000021</v>
      </c>
      <c r="I12" s="16">
        <f t="shared" si="2"/>
        <v>-0.10497685456577648</v>
      </c>
      <c r="J12" s="57" t="s">
        <v>69</v>
      </c>
      <c r="K12" s="57" t="s">
        <v>70</v>
      </c>
    </row>
    <row r="13" spans="1:11" ht="15.75">
      <c r="A13" s="30" t="str">
        <v>Kohls - Granite Run</v>
      </c>
      <c r="B13" s="31" t="str">
        <v>PA</v>
      </c>
      <c r="C13" s="11">
        <v>45726</v>
      </c>
      <c r="D13" s="18">
        <v>0</v>
      </c>
      <c r="E13" s="18">
        <f t="shared" si="0"/>
        <v>45726</v>
      </c>
      <c r="F13" s="19" t="str">
        <f t="shared" si="3"/>
        <v/>
      </c>
      <c r="G13" s="20">
        <v>38743.379999999997</v>
      </c>
      <c r="H13" s="20">
        <f t="shared" si="1"/>
        <v>6982.6200000000026</v>
      </c>
      <c r="I13" s="19">
        <f t="shared" si="2"/>
        <v>0.1802274349837315</v>
      </c>
      <c r="J13" s="61"/>
      <c r="K13" s="62"/>
    </row>
    <row r="14" spans="1:11" ht="15.75">
      <c r="A14" s="28" t="str">
        <v>Kohls - Greece</v>
      </c>
      <c r="B14" s="29" t="str">
        <v>NY</v>
      </c>
      <c r="C14" s="24">
        <v>38251</v>
      </c>
      <c r="D14" s="13">
        <v>0</v>
      </c>
      <c r="E14" s="13">
        <f t="shared" si="0"/>
        <v>38251</v>
      </c>
      <c r="F14" s="14" t="str">
        <f t="shared" si="3"/>
        <v/>
      </c>
      <c r="G14" s="15">
        <v>50364.84</v>
      </c>
      <c r="H14" s="15">
        <f t="shared" si="1"/>
        <v>-12113.839999999997</v>
      </c>
      <c r="I14" s="16">
        <f t="shared" si="2"/>
        <v>-0.24052176081568008</v>
      </c>
      <c r="J14" s="57"/>
      <c r="K14" s="57"/>
    </row>
    <row r="15" spans="1:11" ht="15.75">
      <c r="A15" s="30" t="str">
        <v>Kohls - Hanover</v>
      </c>
      <c r="B15" s="31" t="str">
        <v>PA</v>
      </c>
      <c r="C15" s="11">
        <v>46174</v>
      </c>
      <c r="D15" s="18">
        <v>0</v>
      </c>
      <c r="E15" s="18">
        <f t="shared" si="0"/>
        <v>46174</v>
      </c>
      <c r="F15" s="19" t="str">
        <f t="shared" si="3"/>
        <v/>
      </c>
      <c r="G15" s="20">
        <v>44187.78</v>
      </c>
      <c r="H15" s="20">
        <f t="shared" si="1"/>
        <v>1986.2200000000012</v>
      </c>
      <c r="I15" s="19">
        <f t="shared" si="2"/>
        <v>4.4949531295756455E-2</v>
      </c>
      <c r="J15" s="61"/>
      <c r="K15" s="62"/>
    </row>
    <row r="16" spans="1:11" ht="15.75">
      <c r="A16" s="28" t="str">
        <v>Kohls - Horsehead</v>
      </c>
      <c r="B16" s="29" t="str">
        <v>NY</v>
      </c>
      <c r="C16" s="24">
        <v>33985</v>
      </c>
      <c r="D16" s="13">
        <v>0</v>
      </c>
      <c r="E16" s="13">
        <f t="shared" si="0"/>
        <v>33985</v>
      </c>
      <c r="F16" s="14" t="str">
        <f t="shared" si="3"/>
        <v/>
      </c>
      <c r="G16" s="15">
        <v>36727.279999999999</v>
      </c>
      <c r="H16" s="15">
        <f t="shared" si="1"/>
        <v>-2742.2799999999988</v>
      </c>
      <c r="I16" s="16">
        <f t="shared" si="2"/>
        <v>-7.4666024818608914E-2</v>
      </c>
      <c r="J16" s="57"/>
      <c r="K16" s="57"/>
    </row>
    <row r="17" spans="1:11" ht="28.5">
      <c r="A17" s="30" t="str">
        <v>Kohls - Hudson</v>
      </c>
      <c r="B17" s="31" t="str">
        <v>NY</v>
      </c>
      <c r="C17" s="11">
        <v>52488</v>
      </c>
      <c r="D17" s="18">
        <v>0</v>
      </c>
      <c r="E17" s="18">
        <f t="shared" si="0"/>
        <v>52488</v>
      </c>
      <c r="F17" s="19" t="str">
        <f t="shared" si="3"/>
        <v/>
      </c>
      <c r="G17" s="20">
        <v>39160.22</v>
      </c>
      <c r="H17" s="20">
        <f t="shared" si="1"/>
        <v>13327.779999999999</v>
      </c>
      <c r="I17" s="19">
        <f t="shared" si="2"/>
        <v>0.34033976315761244</v>
      </c>
      <c r="J17" s="61" t="s">
        <v>71</v>
      </c>
      <c r="K17" s="61" t="s">
        <v>72</v>
      </c>
    </row>
    <row r="18" spans="1:11" ht="12.75" customHeight="1">
      <c r="A18" s="32" t="str">
        <v>Kohls - Ithaca</v>
      </c>
      <c r="B18" s="29" t="str">
        <v>NY</v>
      </c>
      <c r="C18" s="24">
        <v>35516</v>
      </c>
      <c r="D18" s="13">
        <v>0</v>
      </c>
      <c r="E18" s="13">
        <f t="shared" si="0"/>
        <v>35516</v>
      </c>
      <c r="F18" s="14"/>
      <c r="G18" s="15">
        <v>41714.35</v>
      </c>
      <c r="H18" s="15">
        <f t="shared" si="1"/>
        <v>-6198.3499999999985</v>
      </c>
      <c r="I18" s="16">
        <f t="shared" si="2"/>
        <v>-0.14859035319979813</v>
      </c>
      <c r="J18" s="57"/>
      <c r="K18" s="57"/>
    </row>
    <row r="19" spans="1:11" ht="15.75">
      <c r="A19" s="30" t="str">
        <v>Kohls - Kingston</v>
      </c>
      <c r="B19" s="31" t="str">
        <v>NY</v>
      </c>
      <c r="C19" s="11">
        <v>57081</v>
      </c>
      <c r="D19" s="18">
        <v>0</v>
      </c>
      <c r="E19" s="18">
        <f t="shared" si="0"/>
        <v>57081</v>
      </c>
      <c r="F19" s="19"/>
      <c r="G19" s="20">
        <v>62809.233</v>
      </c>
      <c r="H19" s="20">
        <f t="shared" si="1"/>
        <v>-5728.2330000000002</v>
      </c>
      <c r="I19" s="19">
        <f t="shared" si="2"/>
        <v>-9.1200492768316405E-2</v>
      </c>
      <c r="J19" s="61"/>
      <c r="K19" s="61"/>
    </row>
    <row r="20" spans="1:11" ht="15.75">
      <c r="A20" s="28" t="str">
        <v>Kohls - Mechanicsburg</v>
      </c>
      <c r="B20" s="29" t="str">
        <v>PA</v>
      </c>
      <c r="C20" s="24">
        <v>56711</v>
      </c>
      <c r="D20" s="13">
        <v>0</v>
      </c>
      <c r="E20" s="13">
        <f t="shared" si="0"/>
        <v>56711</v>
      </c>
      <c r="F20" s="14"/>
      <c r="G20" s="15">
        <v>51591.81</v>
      </c>
      <c r="H20" s="15">
        <f t="shared" si="1"/>
        <v>5119.1900000000023</v>
      </c>
      <c r="I20" s="16">
        <f t="shared" si="2"/>
        <v>9.9224857588830526E-2</v>
      </c>
      <c r="J20" s="57"/>
      <c r="K20" s="57"/>
    </row>
    <row r="21" spans="1:11" ht="69" customHeight="1">
      <c r="A21" s="30" t="str">
        <v>Kohls - Middletown</v>
      </c>
      <c r="B21" s="31" t="str">
        <v>NJ</v>
      </c>
      <c r="C21" s="11">
        <v>82960</v>
      </c>
      <c r="D21" s="18">
        <v>0</v>
      </c>
      <c r="E21" s="18">
        <f t="shared" si="0"/>
        <v>82960</v>
      </c>
      <c r="F21" s="19"/>
      <c r="G21" s="20">
        <v>71706.95</v>
      </c>
      <c r="H21" s="20">
        <f t="shared" si="1"/>
        <v>11253.050000000003</v>
      </c>
      <c r="I21" s="19">
        <f t="shared" si="2"/>
        <v>0.15693109245338149</v>
      </c>
      <c r="J21" s="55" t="s">
        <v>73</v>
      </c>
      <c r="K21" s="59" t="s">
        <v>74</v>
      </c>
    </row>
    <row r="22" spans="1:11" ht="15.75">
      <c r="A22" s="28" t="str">
        <v>Kohls - North Amherst</v>
      </c>
      <c r="B22" s="29" t="str">
        <v>NY</v>
      </c>
      <c r="C22" s="24">
        <v>32245</v>
      </c>
      <c r="D22" s="13">
        <v>0</v>
      </c>
      <c r="E22" s="13">
        <f t="shared" si="0"/>
        <v>32245</v>
      </c>
      <c r="F22" s="14"/>
      <c r="G22" s="15">
        <v>44277.81</v>
      </c>
      <c r="H22" s="15">
        <f t="shared" si="1"/>
        <v>-12032.809999999998</v>
      </c>
      <c r="I22" s="16">
        <f t="shared" si="2"/>
        <v>-0.27175711716546047</v>
      </c>
      <c r="J22" s="57"/>
      <c r="K22" s="57"/>
    </row>
    <row r="23" spans="1:11" ht="31.5">
      <c r="A23" s="30" t="str">
        <v>Kohls - Staten Island</v>
      </c>
      <c r="B23" s="31" t="str">
        <v>NY</v>
      </c>
      <c r="C23" s="11">
        <v>42365</v>
      </c>
      <c r="D23" s="18">
        <v>0</v>
      </c>
      <c r="E23" s="18">
        <f t="shared" si="0"/>
        <v>42365</v>
      </c>
      <c r="F23" s="19"/>
      <c r="G23" s="20">
        <v>44319.6</v>
      </c>
      <c r="H23" s="20">
        <f t="shared" si="1"/>
        <v>-1954.5999999999985</v>
      </c>
      <c r="I23" s="19">
        <f t="shared" si="2"/>
        <v>-4.4102383595519781E-2</v>
      </c>
      <c r="J23" s="61" t="s">
        <v>75</v>
      </c>
      <c r="K23" s="62" t="s">
        <v>76</v>
      </c>
    </row>
    <row r="24" spans="1:11" ht="15.75">
      <c r="A24" s="28" t="str">
        <v>Kohls - Warminster</v>
      </c>
      <c r="B24" s="29" t="str">
        <v>PA</v>
      </c>
      <c r="C24" s="24">
        <v>56614</v>
      </c>
      <c r="D24" s="13">
        <v>0</v>
      </c>
      <c r="E24" s="13">
        <f t="shared" si="0"/>
        <v>56614</v>
      </c>
      <c r="F24" s="14"/>
      <c r="G24" s="15">
        <v>47753.8</v>
      </c>
      <c r="H24" s="15">
        <f t="shared" si="1"/>
        <v>8860.1999999999971</v>
      </c>
      <c r="I24" s="16">
        <f t="shared" si="2"/>
        <v>0.1855391612814058</v>
      </c>
      <c r="J24" s="57"/>
      <c r="K24" s="57"/>
    </row>
    <row r="25" spans="1:11" ht="15.75">
      <c r="A25" s="30" t="str">
        <v xml:space="preserve">Kohls - Waterbury </v>
      </c>
      <c r="B25" s="31" t="str">
        <v>CT</v>
      </c>
      <c r="C25" s="11">
        <v>47104</v>
      </c>
      <c r="D25" s="18">
        <v>0</v>
      </c>
      <c r="E25" s="18">
        <f t="shared" si="0"/>
        <v>47104</v>
      </c>
      <c r="F25" s="19"/>
      <c r="G25" s="20">
        <v>41878.69</v>
      </c>
      <c r="H25" s="20">
        <f t="shared" si="1"/>
        <v>5225.3099999999977</v>
      </c>
      <c r="I25" s="19">
        <f t="shared" si="2"/>
        <v>0.12477252750742675</v>
      </c>
      <c r="J25" s="42"/>
      <c r="K25" s="43"/>
    </row>
    <row r="26" spans="1:11" ht="15.75">
      <c r="A26" s="28" t="str">
        <v>Mojave Water Agency - Headquarters</v>
      </c>
      <c r="B26" s="29" t="str">
        <v>CA</v>
      </c>
      <c r="C26" s="24"/>
      <c r="D26" s="13"/>
      <c r="E26" s="13" t="str">
        <f t="shared" ref="E26:E68" si="4">IF(AND(ISNUMBER(C26),ISNUMBER(D26)), C26-D26, "")</f>
        <v/>
      </c>
      <c r="F26" s="14"/>
      <c r="G26" s="15"/>
      <c r="H26" s="15" t="str">
        <f t="shared" ref="H26:H68" si="5">IF(AND(ISNUMBER(C26),ISNUMBER(G26)), C26-G26, "")</f>
        <v/>
      </c>
      <c r="I26" s="16" t="str">
        <f t="shared" ref="I26:I68" si="6">IFERROR(H26/G26, "")</f>
        <v/>
      </c>
      <c r="J26" s="57"/>
      <c r="K26" s="57"/>
    </row>
    <row r="27" spans="1:11" ht="15.75">
      <c r="A27" s="30" t="str">
        <v>CSU - Bakersfield</v>
      </c>
      <c r="B27" s="31" t="str">
        <v>CA</v>
      </c>
      <c r="C27" s="11"/>
      <c r="D27" s="18"/>
      <c r="E27" s="18" t="str">
        <f t="shared" si="4"/>
        <v/>
      </c>
      <c r="F27" s="19"/>
      <c r="G27" s="20"/>
      <c r="H27" s="20" t="str">
        <f t="shared" si="5"/>
        <v/>
      </c>
      <c r="I27" s="19" t="str">
        <f t="shared" si="6"/>
        <v/>
      </c>
      <c r="J27" s="42"/>
      <c r="K27" s="43"/>
    </row>
    <row r="28" spans="1:11" ht="15.75">
      <c r="A28" s="28" t="str">
        <v>Greenfield USD - Fairfield ES</v>
      </c>
      <c r="B28" s="29" t="str">
        <v>CA</v>
      </c>
      <c r="C28" s="24"/>
      <c r="D28" s="13"/>
      <c r="E28" s="13" t="str">
        <f t="shared" si="4"/>
        <v/>
      </c>
      <c r="F28" s="14"/>
      <c r="G28" s="15"/>
      <c r="H28" s="15" t="str">
        <f t="shared" si="5"/>
        <v/>
      </c>
      <c r="I28" s="16" t="str">
        <f t="shared" si="6"/>
        <v/>
      </c>
      <c r="J28" s="57"/>
      <c r="K28" s="57"/>
    </row>
    <row r="29" spans="1:11" ht="15.75">
      <c r="A29" s="30" t="str">
        <v>Greenfield USD - Granite Point ES</v>
      </c>
      <c r="B29" s="31" t="str">
        <v>CA</v>
      </c>
      <c r="C29" s="11"/>
      <c r="D29" s="18"/>
      <c r="E29" s="18" t="str">
        <f t="shared" si="4"/>
        <v/>
      </c>
      <c r="F29" s="19"/>
      <c r="G29" s="20"/>
      <c r="H29" s="20" t="str">
        <f t="shared" si="5"/>
        <v/>
      </c>
      <c r="I29" s="19" t="str">
        <f t="shared" si="6"/>
        <v/>
      </c>
      <c r="J29" s="42"/>
      <c r="K29" s="43"/>
    </row>
    <row r="30" spans="1:11" ht="15.75">
      <c r="A30" s="28" t="str">
        <v>Greenfield USD - Greenfield MS</v>
      </c>
      <c r="B30" s="29" t="str">
        <v>CA</v>
      </c>
      <c r="C30" s="24"/>
      <c r="D30" s="13"/>
      <c r="E30" s="13" t="str">
        <f t="shared" si="4"/>
        <v/>
      </c>
      <c r="F30" s="14"/>
      <c r="G30" s="15"/>
      <c r="H30" s="15" t="str">
        <f t="shared" si="5"/>
        <v/>
      </c>
      <c r="I30" s="16" t="str">
        <f t="shared" si="6"/>
        <v/>
      </c>
      <c r="J30" s="57"/>
      <c r="K30" s="57"/>
    </row>
    <row r="31" spans="1:11" ht="15.75">
      <c r="A31" s="30" t="str">
        <v>Greenfield USD - Horizon ES</v>
      </c>
      <c r="B31" s="31" t="str">
        <v>CA</v>
      </c>
      <c r="C31" s="11"/>
      <c r="D31" s="18"/>
      <c r="E31" s="18" t="str">
        <f t="shared" si="4"/>
        <v/>
      </c>
      <c r="F31" s="19"/>
      <c r="G31" s="20"/>
      <c r="H31" s="20" t="str">
        <f t="shared" si="5"/>
        <v/>
      </c>
      <c r="I31" s="19" t="str">
        <f t="shared" si="6"/>
        <v/>
      </c>
      <c r="J31" s="42"/>
      <c r="K31" s="43"/>
    </row>
    <row r="32" spans="1:11" ht="15.75">
      <c r="A32" s="28" t="str">
        <v>Greenfield USD - McKee MS</v>
      </c>
      <c r="B32" s="29" t="str">
        <v>CA</v>
      </c>
      <c r="C32" s="24"/>
      <c r="D32" s="13"/>
      <c r="E32" s="13" t="str">
        <f t="shared" si="4"/>
        <v/>
      </c>
      <c r="F32" s="14"/>
      <c r="G32" s="15"/>
      <c r="H32" s="15" t="str">
        <f t="shared" si="5"/>
        <v/>
      </c>
      <c r="I32" s="16" t="str">
        <f t="shared" si="6"/>
        <v/>
      </c>
      <c r="J32" s="57"/>
      <c r="K32" s="57"/>
    </row>
    <row r="33" spans="1:11" ht="15.75">
      <c r="A33" s="30" t="str">
        <v>Greenfield USD - Plantation ES</v>
      </c>
      <c r="B33" s="31" t="str">
        <v>CA</v>
      </c>
      <c r="C33" s="11"/>
      <c r="D33" s="18"/>
      <c r="E33" s="18" t="str">
        <f t="shared" si="4"/>
        <v/>
      </c>
      <c r="F33" s="19"/>
      <c r="G33" s="20"/>
      <c r="H33" s="20" t="str">
        <f t="shared" si="5"/>
        <v/>
      </c>
      <c r="I33" s="19" t="str">
        <f t="shared" si="6"/>
        <v/>
      </c>
      <c r="J33" s="42"/>
      <c r="K33" s="43"/>
    </row>
    <row r="34" spans="1:11" ht="15.75">
      <c r="A34" s="28" t="str">
        <v>Greenfield USD - Planz ES</v>
      </c>
      <c r="B34" s="29" t="str">
        <v>CA</v>
      </c>
      <c r="C34" s="24"/>
      <c r="D34" s="13"/>
      <c r="E34" s="13" t="str">
        <f t="shared" si="4"/>
        <v/>
      </c>
      <c r="F34" s="14"/>
      <c r="G34" s="15"/>
      <c r="H34" s="15" t="str">
        <f t="shared" si="5"/>
        <v/>
      </c>
      <c r="I34" s="16" t="str">
        <f t="shared" si="6"/>
        <v/>
      </c>
      <c r="J34" s="57"/>
      <c r="K34" s="57"/>
    </row>
    <row r="35" spans="1:11" ht="15.75">
      <c r="A35" s="30" t="str">
        <v>Greenfield USD - Raffaello Palla ES</v>
      </c>
      <c r="B35" s="31" t="str">
        <v>CA</v>
      </c>
      <c r="C35" s="11"/>
      <c r="D35" s="18"/>
      <c r="E35" s="18" t="str">
        <f t="shared" si="4"/>
        <v/>
      </c>
      <c r="F35" s="19"/>
      <c r="G35" s="20"/>
      <c r="H35" s="20" t="str">
        <f t="shared" si="5"/>
        <v/>
      </c>
      <c r="I35" s="19" t="str">
        <f t="shared" si="6"/>
        <v/>
      </c>
      <c r="J35" s="42"/>
      <c r="K35" s="43"/>
    </row>
    <row r="36" spans="1:11" ht="15.75">
      <c r="A36" s="28" t="str">
        <v>Greenfield USD - Valle Verde ES</v>
      </c>
      <c r="B36" s="29" t="str">
        <v>CA</v>
      </c>
      <c r="C36" s="24"/>
      <c r="D36" s="13"/>
      <c r="E36" s="13" t="str">
        <f t="shared" si="4"/>
        <v/>
      </c>
      <c r="F36" s="14"/>
      <c r="G36" s="15"/>
      <c r="H36" s="15" t="str">
        <f t="shared" si="5"/>
        <v/>
      </c>
      <c r="I36" s="16" t="str">
        <f t="shared" si="6"/>
        <v/>
      </c>
      <c r="J36" s="57"/>
      <c r="K36" s="57"/>
    </row>
    <row r="37" spans="1:11" ht="15.75">
      <c r="A37" s="30" t="str">
        <v>Greenfield USD - W.A. Kendrick ES</v>
      </c>
      <c r="B37" s="31" t="str">
        <v>CA</v>
      </c>
      <c r="C37" s="11"/>
      <c r="D37" s="18"/>
      <c r="E37" s="18" t="str">
        <f t="shared" si="4"/>
        <v/>
      </c>
      <c r="F37" s="19"/>
      <c r="G37" s="20"/>
      <c r="H37" s="20" t="str">
        <f t="shared" si="5"/>
        <v/>
      </c>
      <c r="I37" s="19" t="str">
        <f t="shared" si="6"/>
        <v/>
      </c>
      <c r="J37" s="42"/>
      <c r="K37" s="43"/>
    </row>
    <row r="38" spans="1:11" ht="15.75">
      <c r="A38" s="28" t="str">
        <v>Muroc Joint USD - Boron HS</v>
      </c>
      <c r="B38" s="29" t="str">
        <v>CA</v>
      </c>
      <c r="C38" s="24"/>
      <c r="D38" s="13"/>
      <c r="E38" s="13" t="str">
        <f t="shared" si="4"/>
        <v/>
      </c>
      <c r="F38" s="14"/>
      <c r="G38" s="15"/>
      <c r="H38" s="15" t="str">
        <f t="shared" si="5"/>
        <v/>
      </c>
      <c r="I38" s="16" t="str">
        <f t="shared" si="6"/>
        <v/>
      </c>
      <c r="J38" s="57"/>
      <c r="K38" s="57"/>
    </row>
    <row r="39" spans="1:11" ht="15.75">
      <c r="A39" s="30" t="str">
        <v>Muroc Joint USD - W. Boron ES</v>
      </c>
      <c r="B39" s="31" t="str">
        <v>CA</v>
      </c>
      <c r="C39" s="11"/>
      <c r="D39" s="18"/>
      <c r="E39" s="18" t="str">
        <f t="shared" si="4"/>
        <v/>
      </c>
      <c r="F39" s="19"/>
      <c r="G39" s="20"/>
      <c r="H39" s="20" t="str">
        <f t="shared" si="5"/>
        <v/>
      </c>
      <c r="I39" s="19" t="str">
        <f t="shared" si="6"/>
        <v/>
      </c>
      <c r="J39" s="42"/>
      <c r="K39" s="43"/>
    </row>
    <row r="40" spans="1:11" ht="15.75">
      <c r="A40" s="28" t="str">
        <v>Colusa - WTP</v>
      </c>
      <c r="B40" s="29" t="str">
        <v>CA</v>
      </c>
      <c r="C40" s="24"/>
      <c r="D40" s="13"/>
      <c r="E40" s="13" t="str">
        <f t="shared" si="4"/>
        <v/>
      </c>
      <c r="F40" s="14"/>
      <c r="G40" s="15"/>
      <c r="H40" s="15" t="str">
        <f t="shared" si="5"/>
        <v/>
      </c>
      <c r="I40" s="16" t="str">
        <f t="shared" si="6"/>
        <v/>
      </c>
      <c r="J40" s="57"/>
      <c r="K40" s="57"/>
    </row>
    <row r="41" spans="1:11" ht="15.75">
      <c r="A41" s="30" t="str">
        <v>CDCR-North Kern State Prision</v>
      </c>
      <c r="B41" s="31" t="str">
        <v>CA</v>
      </c>
      <c r="C41" s="11"/>
      <c r="D41" s="18"/>
      <c r="E41" s="18" t="str">
        <f t="shared" si="4"/>
        <v/>
      </c>
      <c r="F41" s="19"/>
      <c r="G41" s="20"/>
      <c r="H41" s="20" t="str">
        <f t="shared" si="5"/>
        <v/>
      </c>
      <c r="I41" s="19" t="str">
        <f t="shared" si="6"/>
        <v/>
      </c>
      <c r="J41" s="42"/>
      <c r="K41" s="43"/>
    </row>
    <row r="42" spans="1:11" ht="15.75">
      <c r="A42" s="28" t="str">
        <v>Muroc Joint USD - District Office</v>
      </c>
      <c r="B42" s="29" t="str">
        <v>CA</v>
      </c>
      <c r="C42" s="24"/>
      <c r="D42" s="13"/>
      <c r="E42" s="13" t="str">
        <f t="shared" si="4"/>
        <v/>
      </c>
      <c r="F42" s="14"/>
      <c r="G42" s="15"/>
      <c r="H42" s="15" t="str">
        <f t="shared" si="5"/>
        <v/>
      </c>
      <c r="I42" s="16" t="str">
        <f t="shared" si="6"/>
        <v/>
      </c>
      <c r="J42" s="57"/>
      <c r="K42" s="57"/>
    </row>
    <row r="43" spans="1:11" ht="15.75">
      <c r="A43" s="30" t="str">
        <v>Whole Foods - Manhattan Beach</v>
      </c>
      <c r="B43" s="31" t="str">
        <v>CA</v>
      </c>
      <c r="C43" s="11"/>
      <c r="D43" s="18"/>
      <c r="E43" s="18" t="str">
        <f t="shared" si="4"/>
        <v/>
      </c>
      <c r="F43" s="19"/>
      <c r="G43" s="20"/>
      <c r="H43" s="20" t="str">
        <f t="shared" si="5"/>
        <v/>
      </c>
      <c r="I43" s="19" t="str">
        <f t="shared" si="6"/>
        <v/>
      </c>
      <c r="J43" s="42"/>
      <c r="K43" s="43"/>
    </row>
    <row r="44" spans="1:11" ht="15.75">
      <c r="A44" s="28" t="str">
        <v>Pioneer USD - Frontier ES</v>
      </c>
      <c r="B44" s="29" t="str">
        <v>CA</v>
      </c>
      <c r="C44" s="24"/>
      <c r="D44" s="13"/>
      <c r="E44" s="13" t="str">
        <f t="shared" si="4"/>
        <v/>
      </c>
      <c r="F44" s="14"/>
      <c r="G44" s="15"/>
      <c r="H44" s="15" t="str">
        <f t="shared" si="5"/>
        <v/>
      </c>
      <c r="I44" s="16" t="str">
        <f t="shared" si="6"/>
        <v/>
      </c>
      <c r="J44" s="57"/>
      <c r="K44" s="57"/>
    </row>
    <row r="45" spans="1:11" ht="15.75">
      <c r="A45" s="30" t="str">
        <v>Pioneer USD - Pioneer ES</v>
      </c>
      <c r="B45" s="31" t="str">
        <v>CA</v>
      </c>
      <c r="C45" s="11"/>
      <c r="D45" s="18"/>
      <c r="E45" s="18" t="str">
        <f t="shared" si="4"/>
        <v/>
      </c>
      <c r="F45" s="19"/>
      <c r="G45" s="20"/>
      <c r="H45" s="20" t="str">
        <f t="shared" si="5"/>
        <v/>
      </c>
      <c r="I45" s="19" t="str">
        <f t="shared" si="6"/>
        <v/>
      </c>
      <c r="J45" s="42"/>
      <c r="K45" s="43"/>
    </row>
    <row r="46" spans="1:11" ht="15.75">
      <c r="A46" s="28" t="str">
        <v>Pioneer USD - Pioneer MS</v>
      </c>
      <c r="B46" s="29" t="str">
        <v>CA</v>
      </c>
      <c r="C46" s="24"/>
      <c r="D46" s="13"/>
      <c r="E46" s="13" t="str">
        <f t="shared" si="4"/>
        <v/>
      </c>
      <c r="F46" s="14"/>
      <c r="G46" s="15"/>
      <c r="H46" s="15" t="str">
        <f t="shared" si="5"/>
        <v/>
      </c>
      <c r="I46" s="16" t="str">
        <f t="shared" si="6"/>
        <v/>
      </c>
      <c r="J46" s="57"/>
      <c r="K46" s="57"/>
    </row>
    <row r="47" spans="1:11" ht="15.75">
      <c r="A47" s="30" t="str">
        <v>Kingsburg Joint UHSD - Kingsburg HS</v>
      </c>
      <c r="B47" s="31" t="str">
        <v>CA</v>
      </c>
      <c r="C47" s="11"/>
      <c r="D47" s="18"/>
      <c r="E47" s="18" t="str">
        <f t="shared" si="4"/>
        <v/>
      </c>
      <c r="F47" s="19"/>
      <c r="G47" s="20"/>
      <c r="H47" s="20" t="str">
        <f t="shared" si="5"/>
        <v/>
      </c>
      <c r="I47" s="19" t="str">
        <f t="shared" si="6"/>
        <v/>
      </c>
      <c r="J47" s="42"/>
      <c r="K47" s="43"/>
    </row>
    <row r="48" spans="1:11" ht="15.75">
      <c r="A48" s="28" t="str">
        <v>CADRB</v>
      </c>
      <c r="B48" s="29" t="str">
        <v>CA</v>
      </c>
      <c r="C48" s="24"/>
      <c r="D48" s="13"/>
      <c r="E48" s="13" t="str">
        <f t="shared" si="4"/>
        <v/>
      </c>
      <c r="F48" s="14"/>
      <c r="G48" s="15"/>
      <c r="H48" s="15" t="str">
        <f t="shared" si="5"/>
        <v/>
      </c>
      <c r="I48" s="16" t="str">
        <f t="shared" si="6"/>
        <v/>
      </c>
      <c r="J48" s="57"/>
      <c r="K48" s="57"/>
    </row>
    <row r="49" spans="1:11" ht="15.75">
      <c r="A49" s="30" t="str">
        <v>CDCR-CA State Prison LA County</v>
      </c>
      <c r="B49" s="31" t="str">
        <v>CA</v>
      </c>
      <c r="C49" s="11"/>
      <c r="D49" s="18"/>
      <c r="E49" s="18" t="str">
        <f t="shared" si="4"/>
        <v/>
      </c>
      <c r="F49" s="19"/>
      <c r="G49" s="20"/>
      <c r="H49" s="20" t="str">
        <f t="shared" si="5"/>
        <v/>
      </c>
      <c r="I49" s="19" t="str">
        <f t="shared" si="6"/>
        <v/>
      </c>
      <c r="J49" s="42"/>
      <c r="K49" s="43"/>
    </row>
    <row r="50" spans="1:11" ht="15.75">
      <c r="A50" s="28" t="str">
        <v>Central USD Akers ES</v>
      </c>
      <c r="B50" s="29" t="str">
        <v>CA</v>
      </c>
      <c r="C50" s="24"/>
      <c r="D50" s="13"/>
      <c r="E50" s="13" t="str">
        <f t="shared" si="4"/>
        <v/>
      </c>
      <c r="F50" s="14"/>
      <c r="G50" s="15"/>
      <c r="H50" s="15" t="str">
        <f t="shared" si="5"/>
        <v/>
      </c>
      <c r="I50" s="16" t="str">
        <f t="shared" si="6"/>
        <v/>
      </c>
      <c r="J50" s="57"/>
      <c r="K50" s="57"/>
    </row>
    <row r="51" spans="1:11" ht="15.75">
      <c r="A51" s="30" t="str">
        <v>CUSD - District Office</v>
      </c>
      <c r="B51" s="31" t="str">
        <v>CA</v>
      </c>
      <c r="C51" s="11"/>
      <c r="D51" s="18"/>
      <c r="E51" s="18" t="str">
        <f t="shared" si="4"/>
        <v/>
      </c>
      <c r="F51" s="19"/>
      <c r="G51" s="20"/>
      <c r="H51" s="20" t="str">
        <f t="shared" si="5"/>
        <v/>
      </c>
      <c r="I51" s="19" t="str">
        <f t="shared" si="6"/>
        <v/>
      </c>
      <c r="J51" s="42"/>
      <c r="K51" s="43"/>
    </row>
    <row r="52" spans="1:11" ht="15.75">
      <c r="A52" s="28" t="str">
        <v>Parlier - WTP</v>
      </c>
      <c r="B52" s="29" t="str">
        <v>CA</v>
      </c>
      <c r="C52" s="24"/>
      <c r="D52" s="13"/>
      <c r="E52" s="13" t="str">
        <f t="shared" si="4"/>
        <v/>
      </c>
      <c r="F52" s="14"/>
      <c r="G52" s="15"/>
      <c r="H52" s="15" t="str">
        <f t="shared" si="5"/>
        <v/>
      </c>
      <c r="I52" s="16" t="str">
        <f t="shared" si="6"/>
        <v/>
      </c>
      <c r="J52" s="57"/>
      <c r="K52" s="57"/>
    </row>
    <row r="53" spans="1:11" ht="15.75">
      <c r="A53" s="30" t="str">
        <v>Snowline SD - Quail Valley MS</v>
      </c>
      <c r="B53" s="31" t="str">
        <v>CA</v>
      </c>
      <c r="C53" s="11"/>
      <c r="D53" s="18"/>
      <c r="E53" s="18" t="str">
        <f t="shared" si="4"/>
        <v/>
      </c>
      <c r="F53" s="19"/>
      <c r="G53" s="20"/>
      <c r="H53" s="20" t="str">
        <f t="shared" si="5"/>
        <v/>
      </c>
      <c r="I53" s="19" t="str">
        <f t="shared" si="6"/>
        <v/>
      </c>
      <c r="J53" s="42"/>
      <c r="K53" s="43"/>
    </row>
    <row r="54" spans="1:11" ht="15.75">
      <c r="A54" s="28" t="str">
        <v>Snowline SD - Serrano HS - Middle Lot</v>
      </c>
      <c r="B54" s="29" t="str">
        <v>CA</v>
      </c>
      <c r="C54" s="24"/>
      <c r="D54" s="13"/>
      <c r="E54" s="13" t="str">
        <f t="shared" si="4"/>
        <v/>
      </c>
      <c r="F54" s="14"/>
      <c r="G54" s="15"/>
      <c r="H54" s="15" t="str">
        <f t="shared" si="5"/>
        <v/>
      </c>
      <c r="I54" s="16" t="str">
        <f t="shared" si="6"/>
        <v/>
      </c>
      <c r="J54" s="57"/>
      <c r="K54" s="57"/>
    </row>
    <row r="55" spans="1:11" ht="15.75">
      <c r="A55" s="30" t="str">
        <v>Snowline SD - Pinon Hills ES</v>
      </c>
      <c r="B55" s="31" t="str">
        <v>CA</v>
      </c>
      <c r="C55" s="11"/>
      <c r="D55" s="18"/>
      <c r="E55" s="18" t="str">
        <f t="shared" si="4"/>
        <v/>
      </c>
      <c r="F55" s="19"/>
      <c r="G55" s="20"/>
      <c r="H55" s="20" t="str">
        <f t="shared" si="5"/>
        <v/>
      </c>
      <c r="I55" s="19" t="str">
        <f t="shared" si="6"/>
        <v/>
      </c>
      <c r="J55" s="42"/>
      <c r="K55" s="43"/>
    </row>
    <row r="56" spans="1:11" ht="15.75">
      <c r="A56" s="28" t="str">
        <v>Ramona - Santa Maria WTP</v>
      </c>
      <c r="B56" s="29" t="str">
        <v>CA</v>
      </c>
      <c r="C56" s="24"/>
      <c r="D56" s="13"/>
      <c r="E56" s="13" t="str">
        <f t="shared" si="4"/>
        <v/>
      </c>
      <c r="F56" s="14"/>
      <c r="G56" s="15"/>
      <c r="H56" s="15" t="str">
        <f t="shared" si="5"/>
        <v/>
      </c>
      <c r="I56" s="16" t="str">
        <f t="shared" si="6"/>
        <v/>
      </c>
      <c r="J56" s="57"/>
      <c r="K56" s="57"/>
    </row>
    <row r="57" spans="1:11" ht="15.75">
      <c r="A57" s="30" t="str">
        <v>Kohls - Redding</v>
      </c>
      <c r="B57" s="31" t="str">
        <v>CA</v>
      </c>
      <c r="C57" s="11"/>
      <c r="D57" s="18"/>
      <c r="E57" s="18" t="str">
        <f t="shared" si="4"/>
        <v/>
      </c>
      <c r="F57" s="19"/>
      <c r="G57" s="20"/>
      <c r="H57" s="20" t="str">
        <f t="shared" si="5"/>
        <v/>
      </c>
      <c r="I57" s="19" t="str">
        <f t="shared" si="6"/>
        <v/>
      </c>
      <c r="J57" s="42"/>
      <c r="K57" s="43"/>
    </row>
    <row r="58" spans="1:11" ht="15.75">
      <c r="A58" s="28" t="str">
        <v>Kohls - Salinas</v>
      </c>
      <c r="B58" s="29" t="str">
        <v>CA</v>
      </c>
      <c r="C58" s="24"/>
      <c r="D58" s="13"/>
      <c r="E58" s="13" t="str">
        <f t="shared" si="4"/>
        <v/>
      </c>
      <c r="F58" s="14"/>
      <c r="G58" s="15"/>
      <c r="H58" s="15" t="str">
        <f t="shared" si="5"/>
        <v/>
      </c>
      <c r="I58" s="16" t="str">
        <f t="shared" si="6"/>
        <v/>
      </c>
      <c r="J58" s="57"/>
      <c r="K58" s="57"/>
    </row>
    <row r="59" spans="1:11" ht="15.75">
      <c r="A59" s="30" t="str">
        <v>Kohls - San Bernardino - Central</v>
      </c>
      <c r="B59" s="31" t="str">
        <v>CA</v>
      </c>
      <c r="C59" s="11"/>
      <c r="D59" s="18"/>
      <c r="E59" s="18" t="str">
        <f t="shared" si="4"/>
        <v/>
      </c>
      <c r="F59" s="19"/>
      <c r="G59" s="20"/>
      <c r="H59" s="20" t="str">
        <f t="shared" si="5"/>
        <v/>
      </c>
      <c r="I59" s="19" t="str">
        <f t="shared" si="6"/>
        <v/>
      </c>
      <c r="J59" s="42"/>
      <c r="K59" s="43"/>
    </row>
    <row r="60" spans="1:11" ht="15.75">
      <c r="A60" s="28" t="str">
        <v>Kohls - Sonora</v>
      </c>
      <c r="B60" s="29" t="str">
        <v>CA</v>
      </c>
      <c r="C60" s="24"/>
      <c r="D60" s="13"/>
      <c r="E60" s="13" t="str">
        <f t="shared" si="4"/>
        <v/>
      </c>
      <c r="F60" s="14"/>
      <c r="G60" s="15"/>
      <c r="H60" s="15" t="str">
        <f t="shared" si="5"/>
        <v/>
      </c>
      <c r="I60" s="16" t="str">
        <f t="shared" si="6"/>
        <v/>
      </c>
      <c r="J60" s="57"/>
      <c r="K60" s="57"/>
    </row>
    <row r="61" spans="1:11" ht="15.75">
      <c r="A61" s="30" t="str">
        <v>CUSD - Stratford ES</v>
      </c>
      <c r="B61" s="31" t="str">
        <v>CA</v>
      </c>
      <c r="C61" s="11"/>
      <c r="D61" s="18"/>
      <c r="E61" s="18" t="str">
        <f t="shared" si="4"/>
        <v/>
      </c>
      <c r="F61" s="19"/>
      <c r="G61" s="20"/>
      <c r="H61" s="20" t="str">
        <f t="shared" si="5"/>
        <v/>
      </c>
      <c r="I61" s="19" t="str">
        <f t="shared" si="6"/>
        <v/>
      </c>
      <c r="J61" s="42"/>
      <c r="K61" s="43"/>
    </row>
    <row r="62" spans="1:11" ht="15.75">
      <c r="A62" s="28" t="str">
        <v>Taft - City Hall</v>
      </c>
      <c r="B62" s="29" t="str">
        <v>CA</v>
      </c>
      <c r="C62" s="24"/>
      <c r="D62" s="13"/>
      <c r="E62" s="13" t="str">
        <f t="shared" si="4"/>
        <v/>
      </c>
      <c r="F62" s="14"/>
      <c r="G62" s="15"/>
      <c r="H62" s="15" t="str">
        <f t="shared" si="5"/>
        <v/>
      </c>
      <c r="I62" s="16" t="str">
        <f t="shared" si="6"/>
        <v/>
      </c>
      <c r="J62" s="57"/>
      <c r="K62" s="57"/>
    </row>
    <row r="63" spans="1:11" ht="15.75">
      <c r="A63" s="30" t="str">
        <v>Taft - Federal Prison</v>
      </c>
      <c r="B63" s="31" t="str">
        <v>CA</v>
      </c>
      <c r="C63" s="11"/>
      <c r="D63" s="18"/>
      <c r="E63" s="18" t="str">
        <f t="shared" si="4"/>
        <v/>
      </c>
      <c r="F63" s="19"/>
      <c r="G63" s="20"/>
      <c r="H63" s="20" t="str">
        <f t="shared" si="5"/>
        <v/>
      </c>
      <c r="I63" s="19" t="str">
        <f t="shared" si="6"/>
        <v/>
      </c>
      <c r="J63" s="42"/>
      <c r="K63" s="43"/>
    </row>
    <row r="64" spans="1:11" ht="15.75">
      <c r="A64" s="28" t="str">
        <v>Taft - Police Department</v>
      </c>
      <c r="B64" s="29" t="str">
        <v>CA</v>
      </c>
      <c r="C64" s="24"/>
      <c r="D64" s="13"/>
      <c r="E64" s="13" t="str">
        <f t="shared" si="4"/>
        <v/>
      </c>
      <c r="F64" s="14"/>
      <c r="G64" s="15"/>
      <c r="H64" s="15" t="str">
        <f t="shared" si="5"/>
        <v/>
      </c>
      <c r="I64" s="16" t="str">
        <f t="shared" si="6"/>
        <v/>
      </c>
      <c r="J64" s="57"/>
      <c r="K64" s="57"/>
    </row>
    <row r="65" spans="1:11" ht="15.75">
      <c r="A65" s="30" t="str">
        <v>Taft - WTP</v>
      </c>
      <c r="B65" s="31" t="str">
        <v>CA</v>
      </c>
      <c r="C65" s="11"/>
      <c r="D65" s="18"/>
      <c r="E65" s="18" t="str">
        <f t="shared" si="4"/>
        <v/>
      </c>
      <c r="F65" s="19"/>
      <c r="G65" s="20"/>
      <c r="H65" s="20" t="str">
        <f t="shared" si="5"/>
        <v/>
      </c>
      <c r="I65" s="19" t="str">
        <f t="shared" si="6"/>
        <v/>
      </c>
      <c r="J65" s="42"/>
      <c r="K65" s="43"/>
    </row>
    <row r="66" spans="1:11" ht="15.75">
      <c r="A66" s="28" t="str">
        <v>CDCR - CA Correctional Institution</v>
      </c>
      <c r="B66" s="29" t="str">
        <v>CA</v>
      </c>
      <c r="C66" s="24"/>
      <c r="D66" s="13"/>
      <c r="E66" s="13" t="str">
        <f t="shared" si="4"/>
        <v/>
      </c>
      <c r="F66" s="14"/>
      <c r="G66" s="15"/>
      <c r="H66" s="15" t="str">
        <f t="shared" si="5"/>
        <v/>
      </c>
      <c r="I66" s="16" t="str">
        <f t="shared" si="6"/>
        <v/>
      </c>
      <c r="J66" s="57"/>
      <c r="K66" s="57"/>
    </row>
    <row r="67" spans="1:11" ht="15.75">
      <c r="A67" s="30" t="str">
        <v>CDCR - CA Correctional Institution II</v>
      </c>
      <c r="B67" s="31" t="str">
        <v>CA</v>
      </c>
      <c r="C67" s="11"/>
      <c r="D67" s="18"/>
      <c r="E67" s="18" t="str">
        <f t="shared" si="4"/>
        <v/>
      </c>
      <c r="F67" s="19"/>
      <c r="G67" s="20"/>
      <c r="H67" s="20" t="str">
        <f t="shared" si="5"/>
        <v/>
      </c>
      <c r="I67" s="19" t="str">
        <f t="shared" si="6"/>
        <v/>
      </c>
      <c r="J67" s="42"/>
      <c r="K67" s="43"/>
    </row>
    <row r="68" spans="1:11" ht="15.75">
      <c r="A68" s="28" t="str">
        <v>Snowline SD - Vista Verde ES</v>
      </c>
      <c r="B68" s="29" t="str">
        <v>CA</v>
      </c>
      <c r="C68" s="24"/>
      <c r="D68" s="13"/>
      <c r="E68" s="13" t="str">
        <f t="shared" si="4"/>
        <v/>
      </c>
      <c r="F68" s="14"/>
      <c r="G68" s="15"/>
      <c r="H68" s="15" t="str">
        <f t="shared" si="5"/>
        <v/>
      </c>
      <c r="I68" s="16" t="str">
        <f t="shared" si="6"/>
        <v/>
      </c>
      <c r="J68" s="57"/>
      <c r="K68" s="57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2" priority="3" stopIfTrue="1" operator="lessThanOrEqual">
      <formula>-0.1</formula>
    </cfRule>
    <cfRule type="expression" dxfId="31" priority="4">
      <formula>AND(ISNUMBER(F2), F2&gt;=0.1)</formula>
    </cfRule>
  </conditionalFormatting>
  <conditionalFormatting sqref="F4:F100 I4:I100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zoomScale="80" zoomScaleNormal="80" workbookViewId="0">
      <pane xSplit="2" ySplit="3" topLeftCell="C4" activePane="bottomRight" state="frozen"/>
      <selection pane="bottomRight" activeCell="F4" sqref="F4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9" t="str" cm="1">
        <f t="array" ref="A1">portfolio</f>
        <v>Silicon Ranch</v>
      </c>
      <c r="B1" s="99"/>
      <c r="C1" s="99"/>
      <c r="D1" s="100" t="s">
        <v>77</v>
      </c>
      <c r="E1" s="100"/>
      <c r="F1" s="100"/>
      <c r="G1" s="98" t="s">
        <v>78</v>
      </c>
      <c r="H1" s="98"/>
      <c r="I1" s="98"/>
      <c r="J1" s="4"/>
      <c r="K1" s="4"/>
    </row>
    <row r="2" spans="1:11" ht="19.5" customHeight="1">
      <c r="A2" s="101" t="s">
        <v>2</v>
      </c>
      <c r="B2" s="101"/>
      <c r="C2" s="5">
        <f>SUM(C4:C100)</f>
        <v>1219814</v>
      </c>
      <c r="D2" s="5">
        <f>SUM(D4:D100)</f>
        <v>0</v>
      </c>
      <c r="E2" s="5">
        <f>C2-D2</f>
        <v>1219814</v>
      </c>
      <c r="F2" s="6">
        <f>IFERROR(E2/D2, 0)</f>
        <v>0</v>
      </c>
      <c r="G2" s="5">
        <f>SUM(G4:G100)</f>
        <v>1290222</v>
      </c>
      <c r="H2" s="7">
        <f>C2-G2</f>
        <v>-70408</v>
      </c>
      <c r="I2" s="6">
        <f>IFERROR(H2/G2, 0)</f>
        <v>-5.4570453766871127E-2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35782</v>
      </c>
      <c r="D4" s="13">
        <v>0</v>
      </c>
      <c r="E4" s="13">
        <f>IF(AND(ISNUMBER(C4),ISNUMBER(D4)), C4-D4, "")</f>
        <v>35782</v>
      </c>
      <c r="F4" s="14" t="str">
        <f>IFERROR(E4/D4, "")</f>
        <v/>
      </c>
      <c r="G4" s="15">
        <v>35953</v>
      </c>
      <c r="H4" s="15">
        <f>IF(AND(ISNUMBER(C4),ISNUMBER(G4)), C4-G4, "")</f>
        <v>-171</v>
      </c>
      <c r="I4" s="16">
        <f>IFERROR(H4/G4, "")</f>
        <v>-4.7562094957305373E-3</v>
      </c>
      <c r="J4" s="41"/>
      <c r="K4" s="41"/>
    </row>
    <row r="5" spans="1:11" ht="15.75">
      <c r="A5" s="30" t="str">
        <v>Kohls - Auburn</v>
      </c>
      <c r="B5" s="31" t="str">
        <v>NY</v>
      </c>
      <c r="C5" s="11">
        <v>43412</v>
      </c>
      <c r="D5" s="18">
        <v>0</v>
      </c>
      <c r="E5" s="18">
        <f t="shared" ref="E5:E25" si="0">IF(AND(ISNUMBER(C5),ISNUMBER(D5)), C5-D5, "")</f>
        <v>43412</v>
      </c>
      <c r="F5" s="19" t="str">
        <f>IFERROR(E5/D5, "")</f>
        <v/>
      </c>
      <c r="G5" s="20">
        <v>44557</v>
      </c>
      <c r="H5" s="20">
        <f t="shared" ref="H5:H25" si="1">IF(AND(ISNUMBER(C5),ISNUMBER(G5)), C5-G5, "")</f>
        <v>-1145</v>
      </c>
      <c r="I5" s="19">
        <f t="shared" ref="I5:I25" si="2">IFERROR(H5/G5, "")</f>
        <v>-2.5697421280606862E-2</v>
      </c>
      <c r="J5" s="42"/>
      <c r="K5" s="42"/>
    </row>
    <row r="6" spans="1:11" ht="15.75">
      <c r="A6" s="28" t="str">
        <v>Kohls - Bensalem</v>
      </c>
      <c r="B6" s="29" t="str">
        <v>PA</v>
      </c>
      <c r="C6" s="24">
        <v>42901</v>
      </c>
      <c r="D6" s="13">
        <v>0</v>
      </c>
      <c r="E6" s="13">
        <f t="shared" si="0"/>
        <v>42901</v>
      </c>
      <c r="F6" s="14" t="str">
        <f t="shared" ref="F6:F25" si="3">IFERROR(E6/D6, "")</f>
        <v/>
      </c>
      <c r="G6" s="15">
        <v>39812</v>
      </c>
      <c r="H6" s="15">
        <f t="shared" si="1"/>
        <v>3089</v>
      </c>
      <c r="I6" s="16">
        <f t="shared" si="2"/>
        <v>7.758967145584246E-2</v>
      </c>
      <c r="J6" s="41"/>
      <c r="K6" s="41"/>
    </row>
    <row r="7" spans="1:11" ht="15.75">
      <c r="A7" s="30" t="str">
        <v>Kohls - Brick</v>
      </c>
      <c r="B7" s="31" t="str">
        <v>NJ</v>
      </c>
      <c r="C7" s="11">
        <v>51013</v>
      </c>
      <c r="D7" s="18">
        <v>0</v>
      </c>
      <c r="E7" s="18">
        <f t="shared" si="0"/>
        <v>51013</v>
      </c>
      <c r="F7" s="19" t="str">
        <f t="shared" si="3"/>
        <v/>
      </c>
      <c r="G7" s="20">
        <v>49484</v>
      </c>
      <c r="H7" s="20">
        <f t="shared" si="1"/>
        <v>1529</v>
      </c>
      <c r="I7" s="19">
        <f t="shared" si="2"/>
        <v>3.0898876404494381E-2</v>
      </c>
      <c r="J7" s="42"/>
      <c r="K7" s="43"/>
    </row>
    <row r="8" spans="1:11" ht="42.75">
      <c r="A8" s="28" t="str">
        <v>Kohls - Buffalo</v>
      </c>
      <c r="B8" s="29" t="str">
        <v>NY</v>
      </c>
      <c r="C8" s="24">
        <v>65280</v>
      </c>
      <c r="D8" s="13">
        <v>0</v>
      </c>
      <c r="E8" s="13">
        <f t="shared" si="0"/>
        <v>65280</v>
      </c>
      <c r="F8" s="14" t="str">
        <f t="shared" si="3"/>
        <v/>
      </c>
      <c r="G8" s="15">
        <v>52881</v>
      </c>
      <c r="H8" s="15">
        <f t="shared" si="1"/>
        <v>12399</v>
      </c>
      <c r="I8" s="16">
        <f t="shared" si="2"/>
        <v>0.23446984739320362</v>
      </c>
      <c r="J8" s="41" t="s">
        <v>79</v>
      </c>
      <c r="K8" s="41" t="s">
        <v>80</v>
      </c>
    </row>
    <row r="9" spans="1:11" ht="15.75">
      <c r="A9" s="30" t="str">
        <v>Kohls - Canton</v>
      </c>
      <c r="B9" s="31" t="str">
        <v>CT</v>
      </c>
      <c r="C9" s="11">
        <v>17428</v>
      </c>
      <c r="D9" s="18">
        <v>0</v>
      </c>
      <c r="E9" s="18">
        <f t="shared" si="0"/>
        <v>17428</v>
      </c>
      <c r="F9" s="19" t="str">
        <f t="shared" si="3"/>
        <v/>
      </c>
      <c r="G9" s="20">
        <v>16394</v>
      </c>
      <c r="H9" s="20">
        <f t="shared" si="1"/>
        <v>1034</v>
      </c>
      <c r="I9" s="19">
        <f t="shared" si="2"/>
        <v>6.3071855556911069E-2</v>
      </c>
      <c r="J9" s="42" t="s">
        <v>81</v>
      </c>
      <c r="K9" s="43" t="s">
        <v>82</v>
      </c>
    </row>
    <row r="10" spans="1:11" ht="15.75">
      <c r="A10" s="28" t="str">
        <v>Kohls - East Amherst</v>
      </c>
      <c r="B10" s="29" t="str">
        <v>NY</v>
      </c>
      <c r="C10" s="24">
        <v>47699</v>
      </c>
      <c r="D10" s="13">
        <v>0</v>
      </c>
      <c r="E10" s="13">
        <f t="shared" si="0"/>
        <v>47699</v>
      </c>
      <c r="F10" s="14" t="str">
        <f t="shared" si="3"/>
        <v/>
      </c>
      <c r="G10" s="15">
        <v>48565</v>
      </c>
      <c r="H10" s="15">
        <f t="shared" si="1"/>
        <v>-866</v>
      </c>
      <c r="I10" s="16">
        <f t="shared" si="2"/>
        <v>-1.7831771852156904E-2</v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>
        <v>59413</v>
      </c>
      <c r="D11" s="18">
        <v>0</v>
      </c>
      <c r="E11" s="18">
        <f t="shared" si="0"/>
        <v>59413</v>
      </c>
      <c r="F11" s="19" t="str">
        <f t="shared" si="3"/>
        <v/>
      </c>
      <c r="G11" s="20">
        <v>61415</v>
      </c>
      <c r="H11" s="20">
        <f t="shared" si="1"/>
        <v>-2002</v>
      </c>
      <c r="I11" s="19">
        <f t="shared" si="2"/>
        <v>-3.259789953594399E-2</v>
      </c>
      <c r="J11" s="42"/>
      <c r="K11" s="43"/>
    </row>
    <row r="12" spans="1:11" ht="57">
      <c r="A12" s="28" t="str">
        <v>Kohls - Edgewood</v>
      </c>
      <c r="B12" s="29" t="str">
        <v>MD</v>
      </c>
      <c r="C12" s="24">
        <v>282815</v>
      </c>
      <c r="D12" s="13">
        <v>0</v>
      </c>
      <c r="E12" s="13">
        <f t="shared" si="0"/>
        <v>282815</v>
      </c>
      <c r="F12" s="14" t="str">
        <f t="shared" si="3"/>
        <v/>
      </c>
      <c r="G12" s="15">
        <v>324326</v>
      </c>
      <c r="H12" s="15">
        <f t="shared" si="1"/>
        <v>-41511</v>
      </c>
      <c r="I12" s="16">
        <f t="shared" si="2"/>
        <v>-0.127991588710125</v>
      </c>
      <c r="J12" s="41" t="s">
        <v>83</v>
      </c>
      <c r="K12" s="41" t="s">
        <v>84</v>
      </c>
    </row>
    <row r="13" spans="1:11" ht="15.75">
      <c r="A13" s="30" t="str">
        <v>Kohls - Granite Run</v>
      </c>
      <c r="B13" s="31" t="str">
        <v>PA</v>
      </c>
      <c r="C13" s="11">
        <v>41499</v>
      </c>
      <c r="D13" s="18">
        <v>0</v>
      </c>
      <c r="E13" s="18">
        <f t="shared" si="0"/>
        <v>41499</v>
      </c>
      <c r="F13" s="19" t="str">
        <f t="shared" si="3"/>
        <v/>
      </c>
      <c r="G13" s="20">
        <v>39471</v>
      </c>
      <c r="H13" s="20">
        <f t="shared" si="1"/>
        <v>2028</v>
      </c>
      <c r="I13" s="19">
        <f t="shared" si="2"/>
        <v>5.1379493805578783E-2</v>
      </c>
      <c r="J13" s="42"/>
      <c r="K13" s="43"/>
    </row>
    <row r="14" spans="1:11" ht="15.75">
      <c r="A14" s="28" t="str">
        <v>Kohls - Greece</v>
      </c>
      <c r="B14" s="29" t="str">
        <v>NY</v>
      </c>
      <c r="C14" s="24">
        <v>32688</v>
      </c>
      <c r="D14" s="13">
        <v>0</v>
      </c>
      <c r="E14" s="13">
        <f t="shared" si="0"/>
        <v>32688</v>
      </c>
      <c r="F14" s="14" t="str">
        <f t="shared" si="3"/>
        <v/>
      </c>
      <c r="G14" s="15">
        <v>50411</v>
      </c>
      <c r="H14" s="15">
        <f t="shared" si="1"/>
        <v>-17723</v>
      </c>
      <c r="I14" s="16">
        <f t="shared" si="2"/>
        <v>-0.35157009382872784</v>
      </c>
      <c r="J14" s="41"/>
      <c r="K14" s="41"/>
    </row>
    <row r="15" spans="1:11" ht="15.75">
      <c r="A15" s="30" t="str">
        <v>Kohls - Hanover</v>
      </c>
      <c r="B15" s="31" t="str">
        <v>PA</v>
      </c>
      <c r="C15" s="11">
        <v>33019</v>
      </c>
      <c r="D15" s="18">
        <v>0</v>
      </c>
      <c r="E15" s="18">
        <f t="shared" si="0"/>
        <v>33019</v>
      </c>
      <c r="F15" s="19" t="str">
        <f t="shared" si="3"/>
        <v/>
      </c>
      <c r="G15" s="20">
        <v>44333</v>
      </c>
      <c r="H15" s="20">
        <f t="shared" si="1"/>
        <v>-11314</v>
      </c>
      <c r="I15" s="19">
        <f t="shared" si="2"/>
        <v>-0.25520492635282971</v>
      </c>
      <c r="J15" s="42" t="s">
        <v>85</v>
      </c>
      <c r="K15" s="43" t="s">
        <v>86</v>
      </c>
    </row>
    <row r="16" spans="1:11" ht="15.75">
      <c r="A16" s="28" t="str">
        <v>Kohls - Horsehead</v>
      </c>
      <c r="B16" s="29" t="str">
        <v>NY</v>
      </c>
      <c r="C16" s="24">
        <v>37604</v>
      </c>
      <c r="D16" s="13">
        <v>0</v>
      </c>
      <c r="E16" s="13">
        <f t="shared" si="0"/>
        <v>37604</v>
      </c>
      <c r="F16" s="14" t="str">
        <f t="shared" si="3"/>
        <v/>
      </c>
      <c r="G16" s="15">
        <v>37006</v>
      </c>
      <c r="H16" s="15">
        <f t="shared" si="1"/>
        <v>598</v>
      </c>
      <c r="I16" s="16">
        <f t="shared" si="2"/>
        <v>1.61595416959412E-2</v>
      </c>
      <c r="J16" s="41"/>
      <c r="K16" s="41"/>
    </row>
    <row r="17" spans="1:11" ht="15.75">
      <c r="A17" s="30" t="str">
        <v>Kohls - Hudson</v>
      </c>
      <c r="B17" s="31" t="str">
        <v>NY</v>
      </c>
      <c r="C17" s="11">
        <v>42163</v>
      </c>
      <c r="D17" s="18">
        <v>0</v>
      </c>
      <c r="E17" s="18">
        <f t="shared" si="0"/>
        <v>42163</v>
      </c>
      <c r="F17" s="19" t="str">
        <f t="shared" si="3"/>
        <v/>
      </c>
      <c r="G17" s="20">
        <v>41900</v>
      </c>
      <c r="H17" s="20">
        <f t="shared" si="1"/>
        <v>263</v>
      </c>
      <c r="I17" s="19">
        <f t="shared" si="2"/>
        <v>6.2768496420047733E-3</v>
      </c>
      <c r="J17" s="54" t="s">
        <v>87</v>
      </c>
      <c r="K17" s="43" t="s">
        <v>88</v>
      </c>
    </row>
    <row r="18" spans="1:11" ht="12.75" customHeight="1">
      <c r="A18" s="32" t="str">
        <v>Kohls - Ithaca</v>
      </c>
      <c r="B18" s="29" t="str">
        <v>NY</v>
      </c>
      <c r="C18" s="24">
        <v>39218</v>
      </c>
      <c r="D18" s="13">
        <v>0</v>
      </c>
      <c r="E18" s="13">
        <f t="shared" si="0"/>
        <v>39218</v>
      </c>
      <c r="F18" s="14" t="str">
        <f t="shared" si="3"/>
        <v/>
      </c>
      <c r="G18" s="15">
        <v>42348</v>
      </c>
      <c r="H18" s="15">
        <f t="shared" si="1"/>
        <v>-3130</v>
      </c>
      <c r="I18" s="16">
        <f t="shared" si="2"/>
        <v>-7.3911400774534813E-2</v>
      </c>
      <c r="J18" s="41"/>
      <c r="K18" s="41"/>
    </row>
    <row r="19" spans="1:11" ht="15.75">
      <c r="A19" s="30" t="str">
        <v>Kohls - Kingston</v>
      </c>
      <c r="B19" s="31" t="str">
        <v>NY</v>
      </c>
      <c r="C19" s="11">
        <v>57863</v>
      </c>
      <c r="D19" s="18">
        <v>0</v>
      </c>
      <c r="E19" s="18">
        <f t="shared" si="0"/>
        <v>57863</v>
      </c>
      <c r="F19" s="19" t="str">
        <f t="shared" si="3"/>
        <v/>
      </c>
      <c r="G19" s="20">
        <v>61988</v>
      </c>
      <c r="H19" s="20">
        <f t="shared" si="1"/>
        <v>-4125</v>
      </c>
      <c r="I19" s="19">
        <f t="shared" si="2"/>
        <v>-6.6545137768600368E-2</v>
      </c>
      <c r="J19" s="42"/>
      <c r="K19" s="42"/>
    </row>
    <row r="20" spans="1:11" ht="15.75">
      <c r="A20" s="28" t="str">
        <v>Kohls - Mechanicsburg</v>
      </c>
      <c r="B20" s="29" t="str">
        <v>PA</v>
      </c>
      <c r="C20" s="24">
        <v>53334</v>
      </c>
      <c r="D20" s="13">
        <v>0</v>
      </c>
      <c r="E20" s="13">
        <f t="shared" si="0"/>
        <v>53334</v>
      </c>
      <c r="F20" s="14" t="str">
        <f t="shared" si="3"/>
        <v/>
      </c>
      <c r="G20" s="15">
        <v>51760</v>
      </c>
      <c r="H20" s="15">
        <f t="shared" si="1"/>
        <v>1574</v>
      </c>
      <c r="I20" s="16">
        <f t="shared" si="2"/>
        <v>3.0409582689335395E-2</v>
      </c>
      <c r="J20" s="41"/>
      <c r="K20" s="41"/>
    </row>
    <row r="21" spans="1:11" ht="15.75">
      <c r="A21" s="30" t="str">
        <v>Kohls - Middletown</v>
      </c>
      <c r="B21" s="31" t="str">
        <v>NJ</v>
      </c>
      <c r="C21" s="11">
        <v>76290</v>
      </c>
      <c r="D21" s="18">
        <v>0</v>
      </c>
      <c r="E21" s="18">
        <f t="shared" si="0"/>
        <v>76290</v>
      </c>
      <c r="F21" s="19" t="str">
        <f t="shared" si="3"/>
        <v/>
      </c>
      <c r="G21" s="20">
        <v>70863</v>
      </c>
      <c r="H21" s="20">
        <f t="shared" si="1"/>
        <v>5427</v>
      </c>
      <c r="I21" s="19">
        <f t="shared" si="2"/>
        <v>7.6584395241522371E-2</v>
      </c>
      <c r="J21" s="42"/>
      <c r="K21" s="43"/>
    </row>
    <row r="22" spans="1:11" ht="28.5">
      <c r="A22" s="28" t="str">
        <v>Kohls - North Amherst</v>
      </c>
      <c r="B22" s="29" t="str">
        <v>NY</v>
      </c>
      <c r="C22" s="24">
        <v>35059</v>
      </c>
      <c r="D22" s="13">
        <v>0</v>
      </c>
      <c r="E22" s="13">
        <f t="shared" si="0"/>
        <v>35059</v>
      </c>
      <c r="F22" s="14" t="str">
        <f t="shared" si="3"/>
        <v/>
      </c>
      <c r="G22" s="15">
        <v>45023</v>
      </c>
      <c r="H22" s="15">
        <f t="shared" si="1"/>
        <v>-9964</v>
      </c>
      <c r="I22" s="16">
        <f t="shared" si="2"/>
        <v>-0.22130910867778691</v>
      </c>
      <c r="J22" s="41" t="s">
        <v>89</v>
      </c>
      <c r="K22" s="41" t="s">
        <v>90</v>
      </c>
    </row>
    <row r="23" spans="1:11" ht="42.75">
      <c r="A23" s="30" t="str">
        <v>Kohls - Staten Island</v>
      </c>
      <c r="B23" s="31" t="str">
        <v>NY</v>
      </c>
      <c r="C23" s="11">
        <v>36847</v>
      </c>
      <c r="D23" s="18">
        <v>0</v>
      </c>
      <c r="E23" s="18">
        <f t="shared" si="0"/>
        <v>36847</v>
      </c>
      <c r="F23" s="19" t="str">
        <f t="shared" si="3"/>
        <v/>
      </c>
      <c r="G23" s="20">
        <v>40968</v>
      </c>
      <c r="H23" s="20">
        <f t="shared" si="1"/>
        <v>-4121</v>
      </c>
      <c r="I23" s="19">
        <f t="shared" si="2"/>
        <v>-0.10059070494044133</v>
      </c>
      <c r="J23" s="42" t="s">
        <v>91</v>
      </c>
      <c r="K23" s="63" t="s">
        <v>92</v>
      </c>
    </row>
    <row r="24" spans="1:11" ht="15.75">
      <c r="A24" s="28" t="str">
        <v>Kohls - Warminster</v>
      </c>
      <c r="B24" s="29" t="str">
        <v>PA</v>
      </c>
      <c r="C24" s="24">
        <v>49126</v>
      </c>
      <c r="D24" s="13">
        <v>0</v>
      </c>
      <c r="E24" s="13">
        <f t="shared" si="0"/>
        <v>49126</v>
      </c>
      <c r="F24" s="14" t="str">
        <f t="shared" si="3"/>
        <v/>
      </c>
      <c r="G24" s="15">
        <v>48666</v>
      </c>
      <c r="H24" s="15">
        <f t="shared" si="1"/>
        <v>460</v>
      </c>
      <c r="I24" s="16">
        <f t="shared" si="2"/>
        <v>9.4521842764969388E-3</v>
      </c>
      <c r="J24" s="41" t="s">
        <v>93</v>
      </c>
      <c r="K24" s="41" t="s">
        <v>94</v>
      </c>
    </row>
    <row r="25" spans="1:11" ht="15.75">
      <c r="A25" s="30" t="str">
        <v xml:space="preserve">Kohls - Waterbury </v>
      </c>
      <c r="B25" s="31" t="str">
        <v>CT</v>
      </c>
      <c r="C25" s="11">
        <v>39361</v>
      </c>
      <c r="D25" s="18">
        <v>0</v>
      </c>
      <c r="E25" s="18">
        <f t="shared" si="0"/>
        <v>39361</v>
      </c>
      <c r="F25" s="19" t="str">
        <f t="shared" si="3"/>
        <v/>
      </c>
      <c r="G25" s="20">
        <v>42098</v>
      </c>
      <c r="H25" s="20">
        <f t="shared" si="1"/>
        <v>-2737</v>
      </c>
      <c r="I25" s="19">
        <f t="shared" si="2"/>
        <v>-6.5014965081476556E-2</v>
      </c>
      <c r="J25" s="42" t="s">
        <v>95</v>
      </c>
      <c r="K25" s="43" t="s">
        <v>96</v>
      </c>
    </row>
    <row r="26" spans="1:11" ht="15.75">
      <c r="A26" s="28" t="str">
        <v>Mojave Water Agency - Headquarters</v>
      </c>
      <c r="B26" s="29" t="str">
        <v>CA</v>
      </c>
      <c r="C26" s="24"/>
      <c r="D26" s="13"/>
      <c r="E26" s="13" t="str">
        <f t="shared" ref="E26:E68" si="4">IF(AND(ISNUMBER(C26),ISNUMBER(D26)), C26-D26, "")</f>
        <v/>
      </c>
      <c r="F26" s="14" t="str">
        <f t="shared" ref="F26:F68" si="5">IFERROR(E26/D26, "")</f>
        <v/>
      </c>
      <c r="G26" s="15"/>
      <c r="H26" s="15" t="str">
        <f t="shared" ref="H26:H68" si="6">IF(AND(ISNUMBER(C26),ISNUMBER(G26)), C26-G26, "")</f>
        <v/>
      </c>
      <c r="I26" s="16" t="str">
        <f t="shared" ref="I26:I68" si="7">IFERROR(H26/G26, "")</f>
        <v/>
      </c>
      <c r="J26" s="41"/>
      <c r="K26" s="41"/>
    </row>
    <row r="27" spans="1:11" ht="15.75">
      <c r="A27" s="30" t="str">
        <v>CSU - Bakersfield</v>
      </c>
      <c r="B27" s="31" t="str">
        <v>CA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75">
      <c r="A28" s="28" t="str">
        <v>Greenfield USD - Fairfield ES</v>
      </c>
      <c r="B28" s="29" t="str">
        <v>CA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75">
      <c r="A29" s="30" t="str">
        <v>Greenfield USD - Granite Point ES</v>
      </c>
      <c r="B29" s="31" t="str">
        <v>CA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75">
      <c r="A30" s="28" t="str">
        <v>Greenfield USD - Greenfield MS</v>
      </c>
      <c r="B30" s="29" t="str">
        <v>CA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75">
      <c r="A31" s="30" t="str">
        <v>Greenfield USD - Horizon ES</v>
      </c>
      <c r="B31" s="31" t="str">
        <v>CA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75">
      <c r="A32" s="28" t="str">
        <v>Greenfield USD - McKee MS</v>
      </c>
      <c r="B32" s="29" t="str">
        <v>CA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75">
      <c r="A33" s="30" t="str">
        <v>Greenfield USD - Plantation ES</v>
      </c>
      <c r="B33" s="31" t="str">
        <v>CA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75">
      <c r="A34" s="28" t="str">
        <v>Greenfield USD - Planz ES</v>
      </c>
      <c r="B34" s="29" t="str">
        <v>CA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75">
      <c r="A35" s="30" t="str">
        <v>Greenfield USD - Raffaello Palla ES</v>
      </c>
      <c r="B35" s="31" t="str">
        <v>CA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75">
      <c r="A36" s="28" t="str">
        <v>Greenfield USD - Valle Verde ES</v>
      </c>
      <c r="B36" s="29" t="str">
        <v>CA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75">
      <c r="A37" s="30" t="str">
        <v>Greenfield USD - W.A. Kendrick ES</v>
      </c>
      <c r="B37" s="31" t="str">
        <v>CA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>
      <c r="A38" s="28" t="str">
        <v>Muroc Joint USD - Boron HS</v>
      </c>
      <c r="B38" s="29" t="str">
        <v>CA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5.75">
      <c r="A39" s="30" t="str">
        <v>Muroc Joint USD - W. Boron ES</v>
      </c>
      <c r="B39" s="31" t="str">
        <v>CA</v>
      </c>
      <c r="C39" s="11"/>
      <c r="D39" s="18"/>
      <c r="E39" s="18" t="str">
        <f t="shared" si="4"/>
        <v/>
      </c>
      <c r="F39" s="19" t="str">
        <f t="shared" si="5"/>
        <v/>
      </c>
      <c r="G39" s="20"/>
      <c r="H39" s="20" t="str">
        <f t="shared" si="6"/>
        <v/>
      </c>
      <c r="I39" s="19" t="str">
        <f t="shared" si="7"/>
        <v/>
      </c>
      <c r="J39" s="42"/>
      <c r="K39" s="43"/>
    </row>
    <row r="40" spans="1:11" ht="15.75">
      <c r="A40" s="28" t="str">
        <v>Colusa - WTP</v>
      </c>
      <c r="B40" s="29" t="str">
        <v>CA</v>
      </c>
      <c r="C40" s="24"/>
      <c r="D40" s="13"/>
      <c r="E40" s="13" t="str">
        <f t="shared" si="4"/>
        <v/>
      </c>
      <c r="F40" s="14" t="str">
        <f t="shared" si="5"/>
        <v/>
      </c>
      <c r="G40" s="15"/>
      <c r="H40" s="15" t="str">
        <f t="shared" si="6"/>
        <v/>
      </c>
      <c r="I40" s="16" t="str">
        <f t="shared" si="7"/>
        <v/>
      </c>
      <c r="J40" s="41"/>
      <c r="K40" s="41"/>
    </row>
    <row r="41" spans="1:11" ht="15.75">
      <c r="A41" s="30" t="str">
        <v>CDCR-North Kern State Prision</v>
      </c>
      <c r="B41" s="31" t="str">
        <v>CA</v>
      </c>
      <c r="C41" s="11"/>
      <c r="D41" s="18"/>
      <c r="E41" s="18" t="str">
        <f t="shared" si="4"/>
        <v/>
      </c>
      <c r="F41" s="19" t="str">
        <f t="shared" si="5"/>
        <v/>
      </c>
      <c r="G41" s="20"/>
      <c r="H41" s="20" t="str">
        <f t="shared" si="6"/>
        <v/>
      </c>
      <c r="I41" s="19" t="str">
        <f t="shared" si="7"/>
        <v/>
      </c>
      <c r="J41" s="42"/>
      <c r="K41" s="43"/>
    </row>
    <row r="42" spans="1:11" ht="15.75">
      <c r="A42" s="28" t="str">
        <v>Muroc Joint USD - District Office</v>
      </c>
      <c r="B42" s="29" t="str">
        <v>CA</v>
      </c>
      <c r="C42" s="24"/>
      <c r="D42" s="13"/>
      <c r="E42" s="13" t="str">
        <f t="shared" si="4"/>
        <v/>
      </c>
      <c r="F42" s="14" t="str">
        <f t="shared" si="5"/>
        <v/>
      </c>
      <c r="G42" s="15"/>
      <c r="H42" s="15" t="str">
        <f t="shared" si="6"/>
        <v/>
      </c>
      <c r="I42" s="16" t="str">
        <f t="shared" si="7"/>
        <v/>
      </c>
      <c r="J42" s="41"/>
      <c r="K42" s="41"/>
    </row>
    <row r="43" spans="1:11" ht="15.75">
      <c r="A43" s="30" t="str">
        <v>Whole Foods - Manhattan Beach</v>
      </c>
      <c r="B43" s="31" t="str">
        <v>CA</v>
      </c>
      <c r="C43" s="11"/>
      <c r="D43" s="18"/>
      <c r="E43" s="18" t="str">
        <f t="shared" si="4"/>
        <v/>
      </c>
      <c r="F43" s="19" t="str">
        <f t="shared" si="5"/>
        <v/>
      </c>
      <c r="G43" s="20"/>
      <c r="H43" s="20" t="str">
        <f t="shared" si="6"/>
        <v/>
      </c>
      <c r="I43" s="19" t="str">
        <f t="shared" si="7"/>
        <v/>
      </c>
      <c r="J43" s="42"/>
      <c r="K43" s="43"/>
    </row>
    <row r="44" spans="1:11" ht="15.75">
      <c r="A44" s="28" t="str">
        <v>Pioneer USD - Frontier ES</v>
      </c>
      <c r="B44" s="29" t="str">
        <v>CA</v>
      </c>
      <c r="C44" s="24"/>
      <c r="D44" s="13"/>
      <c r="E44" s="13" t="str">
        <f t="shared" si="4"/>
        <v/>
      </c>
      <c r="F44" s="14" t="str">
        <f t="shared" si="5"/>
        <v/>
      </c>
      <c r="G44" s="15"/>
      <c r="H44" s="15" t="str">
        <f t="shared" si="6"/>
        <v/>
      </c>
      <c r="I44" s="16" t="str">
        <f t="shared" si="7"/>
        <v/>
      </c>
      <c r="J44" s="41"/>
      <c r="K44" s="41"/>
    </row>
    <row r="45" spans="1:11" ht="15.75">
      <c r="A45" s="30" t="str">
        <v>Pioneer USD - Pioneer ES</v>
      </c>
      <c r="B45" s="31" t="str">
        <v>CA</v>
      </c>
      <c r="C45" s="11"/>
      <c r="D45" s="18"/>
      <c r="E45" s="18" t="str">
        <f t="shared" si="4"/>
        <v/>
      </c>
      <c r="F45" s="19" t="str">
        <f t="shared" si="5"/>
        <v/>
      </c>
      <c r="G45" s="20"/>
      <c r="H45" s="20" t="str">
        <f t="shared" si="6"/>
        <v/>
      </c>
      <c r="I45" s="19" t="str">
        <f t="shared" si="7"/>
        <v/>
      </c>
      <c r="J45" s="42"/>
      <c r="K45" s="43"/>
    </row>
    <row r="46" spans="1:11" ht="15.75">
      <c r="A46" s="28" t="str">
        <v>Pioneer USD - Pioneer MS</v>
      </c>
      <c r="B46" s="29" t="str">
        <v>CA</v>
      </c>
      <c r="C46" s="24"/>
      <c r="D46" s="13"/>
      <c r="E46" s="13" t="str">
        <f t="shared" si="4"/>
        <v/>
      </c>
      <c r="F46" s="14" t="str">
        <f t="shared" si="5"/>
        <v/>
      </c>
      <c r="G46" s="15"/>
      <c r="H46" s="15" t="str">
        <f t="shared" si="6"/>
        <v/>
      </c>
      <c r="I46" s="16" t="str">
        <f t="shared" si="7"/>
        <v/>
      </c>
      <c r="J46" s="41"/>
      <c r="K46" s="41"/>
    </row>
    <row r="47" spans="1:11" ht="15.75">
      <c r="A47" s="30" t="str">
        <v>Kingsburg Joint UHSD - Kingsburg HS</v>
      </c>
      <c r="B47" s="31" t="str">
        <v>CA</v>
      </c>
      <c r="C47" s="11"/>
      <c r="D47" s="18"/>
      <c r="E47" s="18" t="str">
        <f t="shared" si="4"/>
        <v/>
      </c>
      <c r="F47" s="19" t="str">
        <f t="shared" si="5"/>
        <v/>
      </c>
      <c r="G47" s="20"/>
      <c r="H47" s="20" t="str">
        <f t="shared" si="6"/>
        <v/>
      </c>
      <c r="I47" s="19" t="str">
        <f t="shared" si="7"/>
        <v/>
      </c>
      <c r="J47" s="42"/>
      <c r="K47" s="43"/>
    </row>
    <row r="48" spans="1:11" ht="15.75">
      <c r="A48" s="28" t="str">
        <v>CADRB</v>
      </c>
      <c r="B48" s="29" t="str">
        <v>CA</v>
      </c>
      <c r="C48" s="24"/>
      <c r="D48" s="13"/>
      <c r="E48" s="13" t="str">
        <f t="shared" si="4"/>
        <v/>
      </c>
      <c r="F48" s="14" t="str">
        <f t="shared" si="5"/>
        <v/>
      </c>
      <c r="G48" s="15"/>
      <c r="H48" s="15" t="str">
        <f t="shared" si="6"/>
        <v/>
      </c>
      <c r="I48" s="16" t="str">
        <f t="shared" si="7"/>
        <v/>
      </c>
      <c r="J48" s="41"/>
      <c r="K48" s="41"/>
    </row>
    <row r="49" spans="1:11" ht="15.75">
      <c r="A49" s="30" t="str">
        <v>CDCR-CA State Prison LA County</v>
      </c>
      <c r="B49" s="31" t="str">
        <v>CA</v>
      </c>
      <c r="C49" s="11"/>
      <c r="D49" s="18"/>
      <c r="E49" s="18" t="str">
        <f t="shared" si="4"/>
        <v/>
      </c>
      <c r="F49" s="19" t="str">
        <f t="shared" si="5"/>
        <v/>
      </c>
      <c r="G49" s="20"/>
      <c r="H49" s="20" t="str">
        <f t="shared" si="6"/>
        <v/>
      </c>
      <c r="I49" s="19" t="str">
        <f t="shared" si="7"/>
        <v/>
      </c>
      <c r="J49" s="42"/>
      <c r="K49" s="43"/>
    </row>
    <row r="50" spans="1:11" ht="15.75">
      <c r="A50" s="28" t="str">
        <v>Central USD Akers ES</v>
      </c>
      <c r="B50" s="29" t="str">
        <v>CA</v>
      </c>
      <c r="C50" s="24"/>
      <c r="D50" s="13"/>
      <c r="E50" s="13" t="str">
        <f t="shared" si="4"/>
        <v/>
      </c>
      <c r="F50" s="14" t="str">
        <f t="shared" si="5"/>
        <v/>
      </c>
      <c r="G50" s="15"/>
      <c r="H50" s="15" t="str">
        <f t="shared" si="6"/>
        <v/>
      </c>
      <c r="I50" s="16" t="str">
        <f t="shared" si="7"/>
        <v/>
      </c>
      <c r="J50" s="41"/>
      <c r="K50" s="41"/>
    </row>
    <row r="51" spans="1:11" ht="15.75">
      <c r="A51" s="30" t="str">
        <v>CUSD - District Office</v>
      </c>
      <c r="B51" s="31" t="str">
        <v>CA</v>
      </c>
      <c r="C51" s="11"/>
      <c r="D51" s="18"/>
      <c r="E51" s="18" t="str">
        <f t="shared" si="4"/>
        <v/>
      </c>
      <c r="F51" s="19" t="str">
        <f t="shared" si="5"/>
        <v/>
      </c>
      <c r="G51" s="20"/>
      <c r="H51" s="20" t="str">
        <f t="shared" si="6"/>
        <v/>
      </c>
      <c r="I51" s="19" t="str">
        <f t="shared" si="7"/>
        <v/>
      </c>
      <c r="J51" s="42"/>
      <c r="K51" s="43"/>
    </row>
    <row r="52" spans="1:11" ht="15.75">
      <c r="A52" s="28" t="str">
        <v>Parlier - WTP</v>
      </c>
      <c r="B52" s="29" t="str">
        <v>CA</v>
      </c>
      <c r="C52" s="24"/>
      <c r="D52" s="13"/>
      <c r="E52" s="13" t="str">
        <f t="shared" si="4"/>
        <v/>
      </c>
      <c r="F52" s="14" t="str">
        <f t="shared" si="5"/>
        <v/>
      </c>
      <c r="G52" s="15"/>
      <c r="H52" s="15" t="str">
        <f t="shared" si="6"/>
        <v/>
      </c>
      <c r="I52" s="16" t="str">
        <f t="shared" si="7"/>
        <v/>
      </c>
      <c r="J52" s="41"/>
      <c r="K52" s="41"/>
    </row>
    <row r="53" spans="1:11" ht="15.75">
      <c r="A53" s="30" t="str">
        <v>Snowline SD - Quail Valley MS</v>
      </c>
      <c r="B53" s="31" t="str">
        <v>CA</v>
      </c>
      <c r="C53" s="11"/>
      <c r="D53" s="18"/>
      <c r="E53" s="18" t="str">
        <f t="shared" si="4"/>
        <v/>
      </c>
      <c r="F53" s="19" t="str">
        <f t="shared" si="5"/>
        <v/>
      </c>
      <c r="G53" s="20"/>
      <c r="H53" s="20" t="str">
        <f t="shared" si="6"/>
        <v/>
      </c>
      <c r="I53" s="19" t="str">
        <f t="shared" si="7"/>
        <v/>
      </c>
      <c r="J53" s="42"/>
      <c r="K53" s="43"/>
    </row>
    <row r="54" spans="1:11" ht="15.75">
      <c r="A54" s="28" t="str">
        <v>Snowline SD - Serrano HS - Middle Lot</v>
      </c>
      <c r="B54" s="29" t="str">
        <v>CA</v>
      </c>
      <c r="C54" s="24"/>
      <c r="D54" s="13"/>
      <c r="E54" s="13" t="str">
        <f t="shared" si="4"/>
        <v/>
      </c>
      <c r="F54" s="14" t="str">
        <f t="shared" si="5"/>
        <v/>
      </c>
      <c r="G54" s="15"/>
      <c r="H54" s="15" t="str">
        <f t="shared" si="6"/>
        <v/>
      </c>
      <c r="I54" s="16" t="str">
        <f t="shared" si="7"/>
        <v/>
      </c>
      <c r="J54" s="41"/>
      <c r="K54" s="41"/>
    </row>
    <row r="55" spans="1:11" ht="15.75">
      <c r="A55" s="30" t="str">
        <v>Snowline SD - Pinon Hills ES</v>
      </c>
      <c r="B55" s="31" t="str">
        <v>CA</v>
      </c>
      <c r="C55" s="11"/>
      <c r="D55" s="18"/>
      <c r="E55" s="18" t="str">
        <f t="shared" si="4"/>
        <v/>
      </c>
      <c r="F55" s="19" t="str">
        <f t="shared" si="5"/>
        <v/>
      </c>
      <c r="G55" s="20"/>
      <c r="H55" s="20" t="str">
        <f t="shared" si="6"/>
        <v/>
      </c>
      <c r="I55" s="19" t="str">
        <f t="shared" si="7"/>
        <v/>
      </c>
      <c r="J55" s="42"/>
      <c r="K55" s="43"/>
    </row>
    <row r="56" spans="1:11" ht="15.75">
      <c r="A56" s="28" t="str">
        <v>Ramona - Santa Maria WTP</v>
      </c>
      <c r="B56" s="29" t="str">
        <v>CA</v>
      </c>
      <c r="C56" s="24"/>
      <c r="D56" s="13"/>
      <c r="E56" s="13" t="str">
        <f t="shared" si="4"/>
        <v/>
      </c>
      <c r="F56" s="14" t="str">
        <f t="shared" si="5"/>
        <v/>
      </c>
      <c r="G56" s="15"/>
      <c r="H56" s="15" t="str">
        <f t="shared" si="6"/>
        <v/>
      </c>
      <c r="I56" s="16" t="str">
        <f t="shared" si="7"/>
        <v/>
      </c>
      <c r="J56" s="41"/>
      <c r="K56" s="41"/>
    </row>
    <row r="57" spans="1:11" ht="15.75">
      <c r="A57" s="30" t="str">
        <v>Kohls - Redding</v>
      </c>
      <c r="B57" s="31" t="str">
        <v>CA</v>
      </c>
      <c r="C57" s="11"/>
      <c r="D57" s="18"/>
      <c r="E57" s="18" t="str">
        <f t="shared" si="4"/>
        <v/>
      </c>
      <c r="F57" s="19" t="str">
        <f t="shared" si="5"/>
        <v/>
      </c>
      <c r="G57" s="20"/>
      <c r="H57" s="20" t="str">
        <f t="shared" si="6"/>
        <v/>
      </c>
      <c r="I57" s="19" t="str">
        <f t="shared" si="7"/>
        <v/>
      </c>
      <c r="J57" s="42"/>
      <c r="K57" s="43"/>
    </row>
    <row r="58" spans="1:11" ht="15.75">
      <c r="A58" s="28" t="str">
        <v>Kohls - Salinas</v>
      </c>
      <c r="B58" s="29" t="str">
        <v>CA</v>
      </c>
      <c r="C58" s="24"/>
      <c r="D58" s="13"/>
      <c r="E58" s="13" t="str">
        <f t="shared" si="4"/>
        <v/>
      </c>
      <c r="F58" s="14" t="str">
        <f t="shared" si="5"/>
        <v/>
      </c>
      <c r="G58" s="15"/>
      <c r="H58" s="15" t="str">
        <f t="shared" si="6"/>
        <v/>
      </c>
      <c r="I58" s="16" t="str">
        <f t="shared" si="7"/>
        <v/>
      </c>
      <c r="J58" s="41"/>
      <c r="K58" s="41"/>
    </row>
    <row r="59" spans="1:11" ht="15.75">
      <c r="A59" s="30" t="str">
        <v>Kohls - San Bernardino - Central</v>
      </c>
      <c r="B59" s="31" t="str">
        <v>CA</v>
      </c>
      <c r="C59" s="11"/>
      <c r="D59" s="18"/>
      <c r="E59" s="18" t="str">
        <f t="shared" si="4"/>
        <v/>
      </c>
      <c r="F59" s="19" t="str">
        <f t="shared" si="5"/>
        <v/>
      </c>
      <c r="G59" s="20"/>
      <c r="H59" s="20" t="str">
        <f t="shared" si="6"/>
        <v/>
      </c>
      <c r="I59" s="19" t="str">
        <f t="shared" si="7"/>
        <v/>
      </c>
      <c r="J59" s="42"/>
      <c r="K59" s="43"/>
    </row>
    <row r="60" spans="1:11" ht="15.75">
      <c r="A60" s="28" t="str">
        <v>Kohls - Sonora</v>
      </c>
      <c r="B60" s="29" t="str">
        <v>CA</v>
      </c>
      <c r="C60" s="24"/>
      <c r="D60" s="13"/>
      <c r="E60" s="13" t="str">
        <f t="shared" si="4"/>
        <v/>
      </c>
      <c r="F60" s="14" t="str">
        <f t="shared" si="5"/>
        <v/>
      </c>
      <c r="G60" s="15"/>
      <c r="H60" s="15" t="str">
        <f t="shared" si="6"/>
        <v/>
      </c>
      <c r="I60" s="16" t="str">
        <f t="shared" si="7"/>
        <v/>
      </c>
      <c r="J60" s="41"/>
      <c r="K60" s="41"/>
    </row>
    <row r="61" spans="1:11" ht="15.75">
      <c r="A61" s="30" t="str">
        <v>CUSD - Stratford ES</v>
      </c>
      <c r="B61" s="31" t="str">
        <v>CA</v>
      </c>
      <c r="C61" s="11"/>
      <c r="D61" s="18"/>
      <c r="E61" s="18" t="str">
        <f t="shared" si="4"/>
        <v/>
      </c>
      <c r="F61" s="19" t="str">
        <f t="shared" si="5"/>
        <v/>
      </c>
      <c r="G61" s="20"/>
      <c r="H61" s="20" t="str">
        <f t="shared" si="6"/>
        <v/>
      </c>
      <c r="I61" s="19" t="str">
        <f t="shared" si="7"/>
        <v/>
      </c>
      <c r="J61" s="42"/>
      <c r="K61" s="43"/>
    </row>
    <row r="62" spans="1:11" ht="15.75">
      <c r="A62" s="28" t="str">
        <v>Taft - City Hall</v>
      </c>
      <c r="B62" s="29" t="str">
        <v>CA</v>
      </c>
      <c r="C62" s="24"/>
      <c r="D62" s="13"/>
      <c r="E62" s="13" t="str">
        <f t="shared" si="4"/>
        <v/>
      </c>
      <c r="F62" s="14" t="str">
        <f t="shared" si="5"/>
        <v/>
      </c>
      <c r="G62" s="15"/>
      <c r="H62" s="15" t="str">
        <f t="shared" si="6"/>
        <v/>
      </c>
      <c r="I62" s="16" t="str">
        <f t="shared" si="7"/>
        <v/>
      </c>
      <c r="J62" s="41"/>
      <c r="K62" s="41"/>
    </row>
    <row r="63" spans="1:11" ht="15.75">
      <c r="A63" s="30" t="str">
        <v>Taft - Federal Prison</v>
      </c>
      <c r="B63" s="31" t="str">
        <v>CA</v>
      </c>
      <c r="C63" s="11"/>
      <c r="D63" s="18"/>
      <c r="E63" s="18" t="str">
        <f t="shared" si="4"/>
        <v/>
      </c>
      <c r="F63" s="19" t="str">
        <f t="shared" si="5"/>
        <v/>
      </c>
      <c r="G63" s="20"/>
      <c r="H63" s="20" t="str">
        <f t="shared" si="6"/>
        <v/>
      </c>
      <c r="I63" s="19" t="str">
        <f t="shared" si="7"/>
        <v/>
      </c>
      <c r="J63" s="42"/>
      <c r="K63" s="43"/>
    </row>
    <row r="64" spans="1:11" ht="15.75">
      <c r="A64" s="28" t="str">
        <v>Taft - Police Department</v>
      </c>
      <c r="B64" s="29" t="str">
        <v>CA</v>
      </c>
      <c r="C64" s="24"/>
      <c r="D64" s="13"/>
      <c r="E64" s="13" t="str">
        <f t="shared" si="4"/>
        <v/>
      </c>
      <c r="F64" s="14" t="str">
        <f t="shared" si="5"/>
        <v/>
      </c>
      <c r="G64" s="15"/>
      <c r="H64" s="15" t="str">
        <f t="shared" si="6"/>
        <v/>
      </c>
      <c r="I64" s="16" t="str">
        <f t="shared" si="7"/>
        <v/>
      </c>
      <c r="J64" s="41"/>
      <c r="K64" s="41"/>
    </row>
    <row r="65" spans="1:11" ht="15.75">
      <c r="A65" s="30" t="str">
        <v>Taft - WTP</v>
      </c>
      <c r="B65" s="31" t="str">
        <v>CA</v>
      </c>
      <c r="C65" s="11"/>
      <c r="D65" s="18"/>
      <c r="E65" s="18" t="str">
        <f t="shared" si="4"/>
        <v/>
      </c>
      <c r="F65" s="19" t="str">
        <f t="shared" si="5"/>
        <v/>
      </c>
      <c r="G65" s="20"/>
      <c r="H65" s="20" t="str">
        <f t="shared" si="6"/>
        <v/>
      </c>
      <c r="I65" s="19" t="str">
        <f t="shared" si="7"/>
        <v/>
      </c>
      <c r="J65" s="42"/>
      <c r="K65" s="43"/>
    </row>
    <row r="66" spans="1:11" ht="15.75">
      <c r="A66" s="28" t="str">
        <v>CDCR - CA Correctional Institution</v>
      </c>
      <c r="B66" s="29" t="str">
        <v>CA</v>
      </c>
      <c r="C66" s="24"/>
      <c r="D66" s="13"/>
      <c r="E66" s="13" t="str">
        <f t="shared" si="4"/>
        <v/>
      </c>
      <c r="F66" s="14" t="str">
        <f t="shared" si="5"/>
        <v/>
      </c>
      <c r="G66" s="15"/>
      <c r="H66" s="15" t="str">
        <f t="shared" si="6"/>
        <v/>
      </c>
      <c r="I66" s="16" t="str">
        <f t="shared" si="7"/>
        <v/>
      </c>
      <c r="J66" s="41"/>
      <c r="K66" s="41"/>
    </row>
    <row r="67" spans="1:11" ht="15.75">
      <c r="A67" s="30" t="str">
        <v>CDCR - CA Correctional Institution II</v>
      </c>
      <c r="B67" s="31" t="str">
        <v>CA</v>
      </c>
      <c r="C67" s="11"/>
      <c r="D67" s="18"/>
      <c r="E67" s="18" t="str">
        <f t="shared" si="4"/>
        <v/>
      </c>
      <c r="F67" s="19" t="str">
        <f t="shared" si="5"/>
        <v/>
      </c>
      <c r="G67" s="20"/>
      <c r="H67" s="20" t="str">
        <f t="shared" si="6"/>
        <v/>
      </c>
      <c r="I67" s="19" t="str">
        <f t="shared" si="7"/>
        <v/>
      </c>
      <c r="J67" s="42"/>
      <c r="K67" s="43"/>
    </row>
    <row r="68" spans="1:11" ht="15.75">
      <c r="A68" s="28" t="str">
        <v>Snowline SD - Vista Verde ES</v>
      </c>
      <c r="B68" s="29" t="str">
        <v>CA</v>
      </c>
      <c r="C68" s="24"/>
      <c r="D68" s="13"/>
      <c r="E68" s="13" t="str">
        <f t="shared" si="4"/>
        <v/>
      </c>
      <c r="F68" s="14" t="str">
        <f t="shared" si="5"/>
        <v/>
      </c>
      <c r="G68" s="15"/>
      <c r="H68" s="15" t="str">
        <f t="shared" si="6"/>
        <v/>
      </c>
      <c r="I68" s="16" t="str">
        <f t="shared" si="7"/>
        <v/>
      </c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phoneticPr fontId="40" type="noConversion"/>
  <conditionalFormatting sqref="F2 I2">
    <cfRule type="cellIs" dxfId="28" priority="3" stopIfTrue="1" operator="lessThanOrEqual">
      <formula>-0.1</formula>
    </cfRule>
    <cfRule type="expression" dxfId="27" priority="4">
      <formula>AND(ISNUMBER(F2), F2&gt;=0.1)</formula>
    </cfRule>
  </conditionalFormatting>
  <conditionalFormatting sqref="F4:F100 I4:I100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zoomScale="85" zoomScaleNormal="80" workbookViewId="0">
      <pane xSplit="2" ySplit="3" topLeftCell="G43" activePane="bottomRight" state="frozen"/>
      <selection pane="bottomRight" activeCell="J52" sqref="J52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9" t="str" cm="1">
        <f t="array" ref="A1">portfolio</f>
        <v>Silicon Ranch</v>
      </c>
      <c r="B1" s="99"/>
      <c r="C1" s="99"/>
      <c r="D1" s="100" t="s">
        <v>97</v>
      </c>
      <c r="E1" s="100"/>
      <c r="F1" s="100"/>
      <c r="G1" s="98" t="s">
        <v>98</v>
      </c>
      <c r="H1" s="98"/>
      <c r="I1" s="98"/>
      <c r="J1" s="4"/>
      <c r="K1" s="4"/>
    </row>
    <row r="2" spans="1:11" ht="19.5" customHeight="1">
      <c r="A2" s="101" t="s">
        <v>2</v>
      </c>
      <c r="B2" s="101"/>
      <c r="C2" s="5">
        <f>SUM(C4:C100)</f>
        <v>3139844</v>
      </c>
      <c r="D2" s="5">
        <f>SUM(D4:D100)</f>
        <v>0</v>
      </c>
      <c r="E2" s="5">
        <f>C2-D2</f>
        <v>3139844</v>
      </c>
      <c r="F2" s="6">
        <f>IFERROR(E2/D2, 0)</f>
        <v>0</v>
      </c>
      <c r="G2" s="5">
        <f>SUM(G4:G100)</f>
        <v>4879636.3030000022</v>
      </c>
      <c r="H2" s="7">
        <f>C2-G2</f>
        <v>-1739792.3030000022</v>
      </c>
      <c r="I2" s="6">
        <f>IFERROR(H2/G2, 0)</f>
        <v>-0.35654138853143158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tr" cm="1">
        <f t="array" ref="A3">portfolio</f>
        <v>Silicon Ranch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31134</v>
      </c>
      <c r="D4" s="13">
        <v>0</v>
      </c>
      <c r="E4" s="13">
        <f t="shared" ref="E4:E10" si="0">IF(AND(ISNUMBER(C4),ISNUMBER(D4)), C4-D4, "")</f>
        <v>31134</v>
      </c>
      <c r="F4" s="14" t="str">
        <f t="shared" ref="F4:F11" si="1">IFERROR(E4/D4, "")</f>
        <v/>
      </c>
      <c r="G4" s="15">
        <v>32647.29</v>
      </c>
      <c r="H4" s="15">
        <f t="shared" ref="H4:H10" si="2">IF(AND(ISNUMBER(C4),ISNUMBER(G4)), C4-G4, "")</f>
        <v>-1513.2900000000009</v>
      </c>
      <c r="I4" s="16">
        <f t="shared" ref="I4:I10" si="3">IFERROR(H4/G4, "")</f>
        <v>-4.6352698799808523E-2</v>
      </c>
      <c r="J4" s="41"/>
      <c r="K4" s="41"/>
    </row>
    <row r="5" spans="1:11" ht="15.75">
      <c r="A5" s="30" t="str">
        <v>Kohls - Auburn</v>
      </c>
      <c r="B5" s="31" t="str">
        <v>NY</v>
      </c>
      <c r="C5" s="11">
        <v>35466</v>
      </c>
      <c r="D5" s="18">
        <v>0</v>
      </c>
      <c r="E5" s="18">
        <f t="shared" si="0"/>
        <v>35466</v>
      </c>
      <c r="F5" s="19" t="str">
        <f t="shared" si="1"/>
        <v/>
      </c>
      <c r="G5" s="20">
        <v>40166.959999999999</v>
      </c>
      <c r="H5" s="20">
        <f t="shared" si="2"/>
        <v>-4700.9599999999991</v>
      </c>
      <c r="I5" s="19">
        <f t="shared" si="3"/>
        <v>-0.11703549384867561</v>
      </c>
      <c r="J5" s="42"/>
      <c r="K5" s="42"/>
    </row>
    <row r="6" spans="1:11" ht="15.75">
      <c r="A6" s="28" t="str">
        <v>Kohls - Bensalem</v>
      </c>
      <c r="B6" s="29" t="str">
        <v>PA</v>
      </c>
      <c r="C6" s="24">
        <v>39773</v>
      </c>
      <c r="D6" s="13">
        <v>0</v>
      </c>
      <c r="E6" s="13">
        <f t="shared" si="0"/>
        <v>39773</v>
      </c>
      <c r="F6" s="14" t="str">
        <f t="shared" si="1"/>
        <v/>
      </c>
      <c r="G6" s="15">
        <v>38397.449999999997</v>
      </c>
      <c r="H6" s="15">
        <f t="shared" si="2"/>
        <v>1375.5500000000029</v>
      </c>
      <c r="I6" s="16">
        <f t="shared" si="3"/>
        <v>3.5823993520403129E-2</v>
      </c>
      <c r="J6" s="41"/>
      <c r="K6" s="41"/>
    </row>
    <row r="7" spans="1:11" ht="15.75">
      <c r="A7" s="30" t="str">
        <v>Kohls - Brick</v>
      </c>
      <c r="B7" s="31" t="str">
        <v>NJ</v>
      </c>
      <c r="C7" s="11">
        <v>47399</v>
      </c>
      <c r="D7" s="18">
        <v>0</v>
      </c>
      <c r="E7" s="18">
        <f t="shared" si="0"/>
        <v>47399</v>
      </c>
      <c r="F7" s="19" t="str">
        <f t="shared" si="1"/>
        <v/>
      </c>
      <c r="G7" s="20">
        <v>42300.23</v>
      </c>
      <c r="H7" s="20">
        <f t="shared" si="2"/>
        <v>5098.7699999999968</v>
      </c>
      <c r="I7" s="19">
        <f t="shared" si="3"/>
        <v>0.12053764246671936</v>
      </c>
      <c r="J7" s="42"/>
      <c r="K7" s="43"/>
    </row>
    <row r="8" spans="1:11" ht="15.75">
      <c r="A8" s="28" t="str">
        <v>Kohls - Buffalo</v>
      </c>
      <c r="B8" s="29" t="str">
        <v>NY</v>
      </c>
      <c r="C8" s="24">
        <v>42103</v>
      </c>
      <c r="D8" s="13">
        <v>0</v>
      </c>
      <c r="E8" s="13">
        <f t="shared" si="0"/>
        <v>42103</v>
      </c>
      <c r="F8" s="14" t="str">
        <f t="shared" si="1"/>
        <v/>
      </c>
      <c r="G8" s="15">
        <v>48752.2</v>
      </c>
      <c r="H8" s="15">
        <f t="shared" si="2"/>
        <v>-6649.1999999999971</v>
      </c>
      <c r="I8" s="16">
        <f t="shared" si="3"/>
        <v>-0.13638769122213967</v>
      </c>
      <c r="J8" s="41" t="s">
        <v>99</v>
      </c>
      <c r="K8" s="41" t="s">
        <v>100</v>
      </c>
    </row>
    <row r="9" spans="1:11" ht="15.75">
      <c r="A9" s="30" t="str">
        <v>Kohls - Canton</v>
      </c>
      <c r="B9" s="31" t="str">
        <v>CT</v>
      </c>
      <c r="C9" s="11">
        <v>15464</v>
      </c>
      <c r="D9" s="18">
        <v>0</v>
      </c>
      <c r="E9" s="18">
        <f t="shared" si="0"/>
        <v>15464</v>
      </c>
      <c r="F9" s="19" t="str">
        <f t="shared" si="1"/>
        <v/>
      </c>
      <c r="G9" s="20">
        <v>15010.35</v>
      </c>
      <c r="H9" s="20">
        <f t="shared" si="2"/>
        <v>453.64999999999964</v>
      </c>
      <c r="I9" s="19">
        <f t="shared" si="3"/>
        <v>3.0222479822255951E-2</v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>
        <v>38077</v>
      </c>
      <c r="D10" s="13">
        <v>0</v>
      </c>
      <c r="E10" s="13">
        <f t="shared" si="0"/>
        <v>38077</v>
      </c>
      <c r="F10" s="14" t="str">
        <f t="shared" si="1"/>
        <v/>
      </c>
      <c r="G10" s="15">
        <v>42693.13</v>
      </c>
      <c r="H10" s="15">
        <f t="shared" si="2"/>
        <v>-4616.1299999999974</v>
      </c>
      <c r="I10" s="16">
        <f t="shared" si="3"/>
        <v>-0.10812348497287497</v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>
        <v>52428</v>
      </c>
      <c r="D11" s="18">
        <v>0</v>
      </c>
      <c r="E11" s="18">
        <f t="shared" ref="E11:E17" si="4">IF(AND(ISNUMBER(C11),ISNUMBER(D11)), C11-D11, "")</f>
        <v>52428</v>
      </c>
      <c r="F11" s="19" t="str">
        <f t="shared" si="1"/>
        <v/>
      </c>
      <c r="G11" s="20">
        <v>54698.89</v>
      </c>
      <c r="H11" s="20">
        <f t="shared" ref="H11:H17" si="5">IF(AND(ISNUMBER(C11),ISNUMBER(G11)), C11-G11, "")</f>
        <v>-2270.8899999999994</v>
      </c>
      <c r="I11" s="19">
        <f t="shared" ref="I11:I17" si="6">IFERROR(H11/G11, "")</f>
        <v>-4.1516198957602238E-2</v>
      </c>
      <c r="J11" s="42"/>
      <c r="K11" s="43"/>
    </row>
    <row r="12" spans="1:11" ht="15.75">
      <c r="A12" s="28" t="str">
        <v>Kohls - Edgewood</v>
      </c>
      <c r="B12" s="29" t="str">
        <v>MD</v>
      </c>
      <c r="C12" s="24">
        <v>275040</v>
      </c>
      <c r="D12" s="13">
        <v>0</v>
      </c>
      <c r="E12" s="13">
        <f t="shared" si="4"/>
        <v>275040</v>
      </c>
      <c r="F12" s="14" t="str">
        <f t="shared" ref="F12:F17" si="7">IFERROR(E12/D12, "")</f>
        <v/>
      </c>
      <c r="G12" s="15">
        <v>288701.82</v>
      </c>
      <c r="H12" s="15">
        <f t="shared" si="5"/>
        <v>-13661.820000000007</v>
      </c>
      <c r="I12" s="16">
        <f t="shared" si="6"/>
        <v>-4.7321558277672121E-2</v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>
        <v>36675</v>
      </c>
      <c r="D13" s="18">
        <v>0</v>
      </c>
      <c r="E13" s="18">
        <f t="shared" si="4"/>
        <v>36675</v>
      </c>
      <c r="F13" s="19" t="str">
        <f t="shared" si="7"/>
        <v/>
      </c>
      <c r="G13" s="20">
        <v>37691</v>
      </c>
      <c r="H13" s="20">
        <f t="shared" si="5"/>
        <v>-1016</v>
      </c>
      <c r="I13" s="19">
        <f t="shared" si="6"/>
        <v>-2.6956037250271948E-2</v>
      </c>
      <c r="J13" s="42"/>
      <c r="K13" s="43"/>
    </row>
    <row r="14" spans="1:11" ht="15.75">
      <c r="A14" s="28" t="str">
        <v>Kohls - Greece</v>
      </c>
      <c r="B14" s="29" t="str">
        <v>NY</v>
      </c>
      <c r="C14" s="24">
        <v>27051</v>
      </c>
      <c r="D14" s="13">
        <v>0</v>
      </c>
      <c r="E14" s="13">
        <f t="shared" si="4"/>
        <v>27051</v>
      </c>
      <c r="F14" s="14" t="str">
        <f t="shared" si="7"/>
        <v/>
      </c>
      <c r="G14" s="15">
        <v>45648.09</v>
      </c>
      <c r="H14" s="15">
        <f t="shared" si="5"/>
        <v>-18597.089999999997</v>
      </c>
      <c r="I14" s="16">
        <f t="shared" si="6"/>
        <v>-0.40740127352535449</v>
      </c>
      <c r="J14" s="41"/>
      <c r="K14" s="41"/>
    </row>
    <row r="15" spans="1:11" ht="15.75">
      <c r="A15" s="30" t="str">
        <v>Kohls - Hanover</v>
      </c>
      <c r="B15" s="31" t="str">
        <v>PA</v>
      </c>
      <c r="C15" s="11">
        <v>13530</v>
      </c>
      <c r="D15" s="18">
        <v>0</v>
      </c>
      <c r="E15" s="18">
        <f t="shared" si="4"/>
        <v>13530</v>
      </c>
      <c r="F15" s="19" t="str">
        <f t="shared" si="7"/>
        <v/>
      </c>
      <c r="G15" s="20">
        <v>39416.97</v>
      </c>
      <c r="H15" s="20">
        <f t="shared" si="5"/>
        <v>-25886.97</v>
      </c>
      <c r="I15" s="19">
        <f t="shared" si="6"/>
        <v>-0.65674682757198233</v>
      </c>
      <c r="J15" s="55" t="s">
        <v>101</v>
      </c>
      <c r="K15" s="55" t="s">
        <v>86</v>
      </c>
    </row>
    <row r="16" spans="1:11" ht="15.75">
      <c r="A16" s="28" t="str">
        <v>Kohls - Horsehead</v>
      </c>
      <c r="B16" s="29" t="str">
        <v>NY</v>
      </c>
      <c r="C16" s="24">
        <v>28363</v>
      </c>
      <c r="D16" s="13">
        <v>0</v>
      </c>
      <c r="E16" s="13">
        <f t="shared" si="4"/>
        <v>28363</v>
      </c>
      <c r="F16" s="14" t="str">
        <f t="shared" si="7"/>
        <v/>
      </c>
      <c r="G16" s="15">
        <v>33464.699999999997</v>
      </c>
      <c r="H16" s="15">
        <f t="shared" si="5"/>
        <v>-5101.6999999999971</v>
      </c>
      <c r="I16" s="16">
        <f t="shared" si="6"/>
        <v>-0.15245019378628816</v>
      </c>
      <c r="J16" s="41"/>
      <c r="K16" s="41"/>
    </row>
    <row r="17" spans="1:11" ht="42.75">
      <c r="A17" s="30" t="str">
        <v>Kohls - Hudson</v>
      </c>
      <c r="B17" s="31" t="str">
        <v>NY</v>
      </c>
      <c r="C17" s="11">
        <v>32446</v>
      </c>
      <c r="D17" s="18">
        <v>0</v>
      </c>
      <c r="E17" s="18">
        <f t="shared" si="4"/>
        <v>32446</v>
      </c>
      <c r="F17" s="19" t="str">
        <f t="shared" si="7"/>
        <v/>
      </c>
      <c r="G17" s="20">
        <v>38526.35</v>
      </c>
      <c r="H17" s="20">
        <f t="shared" si="5"/>
        <v>-6080.3499999999985</v>
      </c>
      <c r="I17" s="19">
        <f t="shared" si="6"/>
        <v>-0.15782315220621726</v>
      </c>
      <c r="J17" s="42" t="s">
        <v>102</v>
      </c>
      <c r="K17" s="55" t="s">
        <v>103</v>
      </c>
    </row>
    <row r="18" spans="1:11" ht="12.75" customHeight="1">
      <c r="A18" s="32" t="str">
        <v>Kohls - Ithaca</v>
      </c>
      <c r="B18" s="29" t="str">
        <v>NY</v>
      </c>
      <c r="C18" s="24">
        <v>30408</v>
      </c>
      <c r="D18" s="13">
        <v>0</v>
      </c>
      <c r="E18" s="13">
        <f t="shared" ref="E18:E68" si="8">IF(AND(ISNUMBER(C18),ISNUMBER(D18)), C18-D18, "")</f>
        <v>30408</v>
      </c>
      <c r="F18" s="14" t="str">
        <f t="shared" ref="F18:F68" si="9">IFERROR(E18/D18, "")</f>
        <v/>
      </c>
      <c r="G18" s="15">
        <v>39654.269999999997</v>
      </c>
      <c r="H18" s="15">
        <f t="shared" ref="H18:H68" si="10">IF(AND(ISNUMBER(C18),ISNUMBER(G18)), C18-G18, "")</f>
        <v>-9246.2699999999968</v>
      </c>
      <c r="I18" s="16">
        <f t="shared" ref="I18:I68" si="11">IFERROR(H18/G18, "")</f>
        <v>-0.23317211488195339</v>
      </c>
      <c r="J18" s="41"/>
      <c r="K18" s="41"/>
    </row>
    <row r="19" spans="1:11" ht="15.75">
      <c r="A19" s="30" t="str">
        <v>Kohls - Kingston</v>
      </c>
      <c r="B19" s="31" t="str">
        <v>NY</v>
      </c>
      <c r="C19" s="11">
        <v>47188</v>
      </c>
      <c r="D19" s="18">
        <v>0</v>
      </c>
      <c r="E19" s="18">
        <f t="shared" si="8"/>
        <v>47188</v>
      </c>
      <c r="F19" s="19" t="str">
        <f t="shared" si="9"/>
        <v/>
      </c>
      <c r="G19" s="20">
        <v>56955.241000000002</v>
      </c>
      <c r="H19" s="20">
        <f t="shared" si="10"/>
        <v>-9767.2410000000018</v>
      </c>
      <c r="I19" s="19">
        <f t="shared" si="11"/>
        <v>-0.17148976685042913</v>
      </c>
      <c r="J19" s="42"/>
      <c r="K19" s="42"/>
    </row>
    <row r="20" spans="1:11" ht="15.75">
      <c r="A20" s="28" t="str">
        <v>Kohls - Mechanicsburg</v>
      </c>
      <c r="B20" s="29" t="str">
        <v>PA</v>
      </c>
      <c r="C20" s="24">
        <v>45422</v>
      </c>
      <c r="D20" s="13">
        <v>0</v>
      </c>
      <c r="E20" s="13">
        <f t="shared" si="8"/>
        <v>45422</v>
      </c>
      <c r="F20" s="14" t="str">
        <f t="shared" si="9"/>
        <v/>
      </c>
      <c r="G20" s="15">
        <v>46027.839999999997</v>
      </c>
      <c r="H20" s="15">
        <f t="shared" si="10"/>
        <v>-605.83999999999651</v>
      </c>
      <c r="I20" s="16">
        <f t="shared" si="11"/>
        <v>-1.3162468627682649E-2</v>
      </c>
      <c r="J20" s="41"/>
      <c r="K20" s="41"/>
    </row>
    <row r="21" spans="1:11" ht="15.75">
      <c r="A21" s="30" t="str">
        <v>Kohls - Middletown</v>
      </c>
      <c r="B21" s="31" t="str">
        <v>NJ</v>
      </c>
      <c r="C21" s="11">
        <v>69153</v>
      </c>
      <c r="D21" s="18">
        <v>0</v>
      </c>
      <c r="E21" s="18">
        <f t="shared" si="8"/>
        <v>69153</v>
      </c>
      <c r="F21" s="19" t="str">
        <f t="shared" si="9"/>
        <v/>
      </c>
      <c r="G21" s="20">
        <v>66245.31</v>
      </c>
      <c r="H21" s="20">
        <f t="shared" si="10"/>
        <v>2907.6900000000023</v>
      </c>
      <c r="I21" s="19">
        <f t="shared" si="11"/>
        <v>4.3892767654042264E-2</v>
      </c>
      <c r="J21" s="42"/>
      <c r="K21" s="43"/>
    </row>
    <row r="22" spans="1:11" ht="28.5">
      <c r="A22" s="28" t="str">
        <v>Kohls - North Amherst</v>
      </c>
      <c r="B22" s="29" t="str">
        <v>NY</v>
      </c>
      <c r="C22" s="24">
        <v>9529</v>
      </c>
      <c r="D22" s="13">
        <v>0</v>
      </c>
      <c r="E22" s="13">
        <f t="shared" si="8"/>
        <v>9529</v>
      </c>
      <c r="F22" s="14" t="str">
        <f t="shared" si="9"/>
        <v/>
      </c>
      <c r="G22" s="15">
        <v>40642.370000000003</v>
      </c>
      <c r="H22" s="15">
        <f t="shared" si="10"/>
        <v>-31113.370000000003</v>
      </c>
      <c r="I22" s="16">
        <f t="shared" si="11"/>
        <v>-0.76554024777590479</v>
      </c>
      <c r="J22" s="41" t="s">
        <v>104</v>
      </c>
      <c r="K22" s="41" t="s">
        <v>105</v>
      </c>
    </row>
    <row r="23" spans="1:11" ht="15.75">
      <c r="A23" s="30" t="str">
        <v>Kohls - Staten Island</v>
      </c>
      <c r="B23" s="31" t="str">
        <v>NY</v>
      </c>
      <c r="C23" s="11">
        <v>16302</v>
      </c>
      <c r="D23" s="18">
        <v>0</v>
      </c>
      <c r="E23" s="18">
        <f t="shared" si="8"/>
        <v>16302</v>
      </c>
      <c r="F23" s="19" t="str">
        <f t="shared" si="9"/>
        <v/>
      </c>
      <c r="G23" s="20">
        <v>38451.050000000003</v>
      </c>
      <c r="H23" s="20">
        <f t="shared" si="10"/>
        <v>-22149.050000000003</v>
      </c>
      <c r="I23" s="19">
        <f t="shared" si="11"/>
        <v>-0.57603238403112533</v>
      </c>
      <c r="J23" s="42" t="s">
        <v>106</v>
      </c>
      <c r="K23" s="43" t="s">
        <v>107</v>
      </c>
    </row>
    <row r="24" spans="1:11" ht="15.75">
      <c r="A24" s="28" t="str">
        <v>Kohls - Warminster</v>
      </c>
      <c r="B24" s="29" t="str">
        <v>PA</v>
      </c>
      <c r="C24" s="24">
        <v>46528</v>
      </c>
      <c r="D24" s="13">
        <v>0</v>
      </c>
      <c r="E24" s="13">
        <f t="shared" si="8"/>
        <v>46528</v>
      </c>
      <c r="F24" s="14" t="str">
        <f t="shared" si="9"/>
        <v/>
      </c>
      <c r="G24" s="15">
        <v>46945.13</v>
      </c>
      <c r="H24" s="15">
        <f t="shared" si="10"/>
        <v>-417.12999999999738</v>
      </c>
      <c r="I24" s="16">
        <f t="shared" si="11"/>
        <v>-8.8854797079057496E-3</v>
      </c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>
        <v>37940</v>
      </c>
      <c r="D25" s="18">
        <v>0</v>
      </c>
      <c r="E25" s="18">
        <f t="shared" si="8"/>
        <v>37940</v>
      </c>
      <c r="F25" s="19" t="str">
        <f t="shared" si="9"/>
        <v/>
      </c>
      <c r="G25" s="20">
        <v>38854.629999999997</v>
      </c>
      <c r="H25" s="20">
        <f t="shared" si="10"/>
        <v>-914.62999999999738</v>
      </c>
      <c r="I25" s="19">
        <f t="shared" si="11"/>
        <v>-2.3539794356554095E-2</v>
      </c>
      <c r="J25" s="42"/>
      <c r="K25" s="43"/>
    </row>
    <row r="26" spans="1:11" ht="15.75">
      <c r="A26" s="28" t="str">
        <v>Mojave Water Agency - Headquarters</v>
      </c>
      <c r="B26" s="29" t="str">
        <v>CA</v>
      </c>
      <c r="C26" s="24">
        <v>47225</v>
      </c>
      <c r="D26" s="13">
        <v>0</v>
      </c>
      <c r="E26" s="13">
        <f t="shared" si="8"/>
        <v>47225</v>
      </c>
      <c r="F26" s="14" t="str">
        <f t="shared" si="9"/>
        <v/>
      </c>
      <c r="G26" s="15">
        <v>38126</v>
      </c>
      <c r="H26" s="15">
        <f t="shared" si="10"/>
        <v>9099</v>
      </c>
      <c r="I26" s="16">
        <f t="shared" si="11"/>
        <v>0.23865603525153439</v>
      </c>
      <c r="J26" s="41"/>
      <c r="K26" s="41"/>
    </row>
    <row r="27" spans="1:11" ht="15.75">
      <c r="A27" s="30" t="str">
        <v>CSU - Bakersfield</v>
      </c>
      <c r="B27" s="31" t="str">
        <v>CA</v>
      </c>
      <c r="C27" s="11">
        <v>12502</v>
      </c>
      <c r="D27" s="18">
        <v>0</v>
      </c>
      <c r="E27" s="18">
        <f t="shared" si="8"/>
        <v>12502</v>
      </c>
      <c r="F27" s="19" t="str">
        <f t="shared" si="9"/>
        <v/>
      </c>
      <c r="G27" s="20">
        <v>175723.62</v>
      </c>
      <c r="H27" s="20">
        <f t="shared" si="10"/>
        <v>-163221.62</v>
      </c>
      <c r="I27" s="19">
        <f t="shared" si="11"/>
        <v>-0.92885418590853064</v>
      </c>
      <c r="J27" s="42"/>
      <c r="K27" s="43"/>
    </row>
    <row r="28" spans="1:11" ht="15.75">
      <c r="A28" s="28" t="str">
        <v>Greenfield USD - Fairfield ES</v>
      </c>
      <c r="B28" s="29" t="str">
        <v>CA</v>
      </c>
      <c r="C28" s="24">
        <v>5479</v>
      </c>
      <c r="D28" s="13">
        <v>0</v>
      </c>
      <c r="E28" s="13">
        <f t="shared" si="8"/>
        <v>5479</v>
      </c>
      <c r="F28" s="14" t="str">
        <f t="shared" si="9"/>
        <v/>
      </c>
      <c r="G28" s="15">
        <v>16661.509999999998</v>
      </c>
      <c r="H28" s="15">
        <f t="shared" si="10"/>
        <v>-11182.509999999998</v>
      </c>
      <c r="I28" s="16">
        <f t="shared" si="11"/>
        <v>-0.6711582563645192</v>
      </c>
      <c r="J28" s="41"/>
      <c r="K28" s="41"/>
    </row>
    <row r="29" spans="1:11" ht="42.75">
      <c r="A29" s="30" t="str">
        <v>Greenfield USD - Granite Point ES</v>
      </c>
      <c r="B29" s="31" t="str">
        <v>CA</v>
      </c>
      <c r="C29" s="11">
        <v>25332</v>
      </c>
      <c r="D29" s="18">
        <v>0</v>
      </c>
      <c r="E29" s="18">
        <f t="shared" si="8"/>
        <v>25332</v>
      </c>
      <c r="F29" s="19" t="str">
        <f t="shared" si="9"/>
        <v/>
      </c>
      <c r="G29" s="20">
        <v>44010.44</v>
      </c>
      <c r="H29" s="20">
        <f t="shared" si="10"/>
        <v>-18678.440000000002</v>
      </c>
      <c r="I29" s="19">
        <f t="shared" si="11"/>
        <v>-0.42440929924808751</v>
      </c>
      <c r="J29" s="42" t="s">
        <v>108</v>
      </c>
      <c r="K29" s="42" t="s">
        <v>109</v>
      </c>
    </row>
    <row r="30" spans="1:11" ht="42.75">
      <c r="A30" s="28" t="str">
        <v>Greenfield USD - Greenfield MS</v>
      </c>
      <c r="B30" s="29" t="str">
        <v>CA</v>
      </c>
      <c r="C30" s="24">
        <v>15624</v>
      </c>
      <c r="D30" s="13">
        <v>0</v>
      </c>
      <c r="E30" s="13">
        <f t="shared" si="8"/>
        <v>15624</v>
      </c>
      <c r="F30" s="14" t="str">
        <f t="shared" si="9"/>
        <v/>
      </c>
      <c r="G30" s="15">
        <v>29990.71</v>
      </c>
      <c r="H30" s="15">
        <f t="shared" si="10"/>
        <v>-14366.71</v>
      </c>
      <c r="I30" s="16">
        <f t="shared" si="11"/>
        <v>-0.47903867564322417</v>
      </c>
      <c r="J30" s="41" t="s">
        <v>110</v>
      </c>
      <c r="K30" s="41" t="s">
        <v>111</v>
      </c>
    </row>
    <row r="31" spans="1:11" ht="42.75">
      <c r="A31" s="30" t="str">
        <v>Greenfield USD - Horizon ES</v>
      </c>
      <c r="B31" s="31" t="str">
        <v>CA</v>
      </c>
      <c r="C31" s="11">
        <v>24256</v>
      </c>
      <c r="D31" s="18">
        <v>0</v>
      </c>
      <c r="E31" s="18">
        <f t="shared" si="8"/>
        <v>24256</v>
      </c>
      <c r="F31" s="19" t="str">
        <f t="shared" si="9"/>
        <v/>
      </c>
      <c r="G31" s="20">
        <v>45661.78</v>
      </c>
      <c r="H31" s="20">
        <f t="shared" si="10"/>
        <v>-21405.78</v>
      </c>
      <c r="I31" s="19">
        <f t="shared" si="11"/>
        <v>-0.46878987196732147</v>
      </c>
      <c r="J31" s="42" t="s">
        <v>112</v>
      </c>
      <c r="K31" s="55" t="s">
        <v>113</v>
      </c>
    </row>
    <row r="32" spans="1:11" ht="15.75">
      <c r="A32" s="28" t="str">
        <v>Greenfield USD - McKee MS</v>
      </c>
      <c r="B32" s="29" t="str">
        <v>CA</v>
      </c>
      <c r="C32" s="24">
        <v>17189</v>
      </c>
      <c r="D32" s="13">
        <v>0</v>
      </c>
      <c r="E32" s="13">
        <f t="shared" si="8"/>
        <v>17189</v>
      </c>
      <c r="F32" s="14" t="str">
        <f t="shared" si="9"/>
        <v/>
      </c>
      <c r="G32" s="15">
        <v>27880.25</v>
      </c>
      <c r="H32" s="15">
        <f t="shared" si="10"/>
        <v>-10691.25</v>
      </c>
      <c r="I32" s="16">
        <f t="shared" si="11"/>
        <v>-0.38347037777638293</v>
      </c>
      <c r="J32" s="41"/>
      <c r="K32" s="41"/>
    </row>
    <row r="33" spans="1:11" ht="15.75">
      <c r="A33" s="30" t="str">
        <v>Greenfield USD - Plantation ES</v>
      </c>
      <c r="B33" s="31" t="str">
        <v>CA</v>
      </c>
      <c r="C33" s="11">
        <v>9374</v>
      </c>
      <c r="D33" s="18">
        <v>0</v>
      </c>
      <c r="E33" s="18">
        <f t="shared" si="8"/>
        <v>9374</v>
      </c>
      <c r="F33" s="19" t="str">
        <f t="shared" si="9"/>
        <v/>
      </c>
      <c r="G33" s="20">
        <v>19929.009999999998</v>
      </c>
      <c r="H33" s="20">
        <f t="shared" si="10"/>
        <v>-10555.009999999998</v>
      </c>
      <c r="I33" s="19">
        <f t="shared" si="11"/>
        <v>-0.52963042318710263</v>
      </c>
      <c r="J33" s="42" t="s">
        <v>114</v>
      </c>
      <c r="K33" s="43" t="s">
        <v>115</v>
      </c>
    </row>
    <row r="34" spans="1:11" ht="15.75">
      <c r="A34" s="28" t="str">
        <v>Greenfield USD - Planz ES</v>
      </c>
      <c r="B34" s="29" t="str">
        <v>CA</v>
      </c>
      <c r="C34" s="24">
        <v>6294</v>
      </c>
      <c r="D34" s="13">
        <v>0</v>
      </c>
      <c r="E34" s="13">
        <f t="shared" si="8"/>
        <v>6294</v>
      </c>
      <c r="F34" s="14" t="str">
        <f t="shared" si="9"/>
        <v/>
      </c>
      <c r="G34" s="15">
        <v>22548.57</v>
      </c>
      <c r="H34" s="15">
        <f t="shared" si="10"/>
        <v>-16254.57</v>
      </c>
      <c r="I34" s="16">
        <f t="shared" si="11"/>
        <v>-0.72086921698360473</v>
      </c>
      <c r="J34" s="41"/>
      <c r="K34" s="41"/>
    </row>
    <row r="35" spans="1:11" ht="15.75">
      <c r="A35" s="30" t="str">
        <v>Greenfield USD - Raffaello Palla ES</v>
      </c>
      <c r="B35" s="31" t="str">
        <v>CA</v>
      </c>
      <c r="C35" s="11">
        <v>34936</v>
      </c>
      <c r="D35" s="18">
        <v>0</v>
      </c>
      <c r="E35" s="18">
        <f t="shared" si="8"/>
        <v>34936</v>
      </c>
      <c r="F35" s="19" t="str">
        <f t="shared" si="9"/>
        <v/>
      </c>
      <c r="G35" s="20">
        <v>49336.57</v>
      </c>
      <c r="H35" s="20">
        <f t="shared" si="10"/>
        <v>-14400.57</v>
      </c>
      <c r="I35" s="19">
        <f t="shared" si="11"/>
        <v>-0.29188429596950094</v>
      </c>
      <c r="J35" s="42"/>
      <c r="K35" s="43"/>
    </row>
    <row r="36" spans="1:11" ht="15.75">
      <c r="A36" s="28" t="str">
        <v>Greenfield USD - Valle Verde ES</v>
      </c>
      <c r="B36" s="29" t="str">
        <v>CA</v>
      </c>
      <c r="C36" s="24">
        <v>38421</v>
      </c>
      <c r="D36" s="13">
        <v>0</v>
      </c>
      <c r="E36" s="13">
        <f t="shared" si="8"/>
        <v>38421</v>
      </c>
      <c r="F36" s="14" t="str">
        <f t="shared" si="9"/>
        <v/>
      </c>
      <c r="G36" s="15">
        <v>45985.760000000002</v>
      </c>
      <c r="H36" s="15">
        <f t="shared" si="10"/>
        <v>-7564.760000000002</v>
      </c>
      <c r="I36" s="16">
        <f t="shared" si="11"/>
        <v>-0.16450222851595803</v>
      </c>
      <c r="J36" s="41"/>
      <c r="K36" s="41"/>
    </row>
    <row r="37" spans="1:11" ht="15.75">
      <c r="A37" s="30" t="str">
        <v>Greenfield USD - W.A. Kendrick ES</v>
      </c>
      <c r="B37" s="31" t="str">
        <v>CA</v>
      </c>
      <c r="C37" s="11">
        <v>0</v>
      </c>
      <c r="D37" s="18">
        <v>0</v>
      </c>
      <c r="E37" s="18">
        <f t="shared" si="8"/>
        <v>0</v>
      </c>
      <c r="F37" s="19" t="str">
        <f t="shared" si="9"/>
        <v/>
      </c>
      <c r="G37" s="20">
        <v>17725.990000000002</v>
      </c>
      <c r="H37" s="20">
        <f t="shared" si="10"/>
        <v>-17725.990000000002</v>
      </c>
      <c r="I37" s="19">
        <f t="shared" si="11"/>
        <v>-1</v>
      </c>
      <c r="J37" s="42"/>
      <c r="K37" s="43"/>
    </row>
    <row r="38" spans="1:11" ht="15.75">
      <c r="A38" s="28" t="str">
        <v>Muroc Joint USD - Boron HS</v>
      </c>
      <c r="B38" s="29" t="str">
        <v>CA</v>
      </c>
      <c r="C38" s="24">
        <v>0</v>
      </c>
      <c r="D38" s="13">
        <v>0</v>
      </c>
      <c r="E38" s="13">
        <f t="shared" si="8"/>
        <v>0</v>
      </c>
      <c r="F38" s="14" t="str">
        <f t="shared" si="9"/>
        <v/>
      </c>
      <c r="G38" s="15">
        <v>38193</v>
      </c>
      <c r="H38" s="15">
        <f t="shared" si="10"/>
        <v>-38193</v>
      </c>
      <c r="I38" s="16">
        <f t="shared" si="11"/>
        <v>-1</v>
      </c>
      <c r="J38" s="41" t="s">
        <v>116</v>
      </c>
      <c r="K38" s="41" t="s">
        <v>117</v>
      </c>
    </row>
    <row r="39" spans="1:11" ht="15.75">
      <c r="A39" s="30" t="str">
        <v>Muroc Joint USD - W. Boron ES</v>
      </c>
      <c r="B39" s="31" t="str">
        <v>CA</v>
      </c>
      <c r="C39" s="11">
        <v>7600</v>
      </c>
      <c r="D39" s="18">
        <v>0</v>
      </c>
      <c r="E39" s="18">
        <f t="shared" si="8"/>
        <v>7600</v>
      </c>
      <c r="F39" s="19" t="str">
        <f t="shared" si="9"/>
        <v/>
      </c>
      <c r="G39" s="20">
        <v>14088.83</v>
      </c>
      <c r="H39" s="20">
        <f t="shared" si="10"/>
        <v>-6488.83</v>
      </c>
      <c r="I39" s="19">
        <f t="shared" si="11"/>
        <v>-0.46056556861002651</v>
      </c>
      <c r="J39" s="42" t="s">
        <v>118</v>
      </c>
      <c r="K39" s="43" t="s">
        <v>119</v>
      </c>
    </row>
    <row r="40" spans="1:11" ht="15.75">
      <c r="A40" s="28" t="str">
        <v>Colusa - WTP</v>
      </c>
      <c r="B40" s="29" t="str">
        <v>CA</v>
      </c>
      <c r="C40" s="24">
        <v>0</v>
      </c>
      <c r="D40" s="13">
        <v>0</v>
      </c>
      <c r="E40" s="13">
        <f t="shared" si="8"/>
        <v>0</v>
      </c>
      <c r="F40" s="14" t="str">
        <f t="shared" si="9"/>
        <v/>
      </c>
      <c r="G40" s="15">
        <v>57962.212</v>
      </c>
      <c r="H40" s="15">
        <f t="shared" si="10"/>
        <v>-57962.212</v>
      </c>
      <c r="I40" s="16">
        <f t="shared" si="11"/>
        <v>-1</v>
      </c>
      <c r="J40" s="41" t="s">
        <v>120</v>
      </c>
      <c r="K40" s="41" t="s">
        <v>121</v>
      </c>
    </row>
    <row r="41" spans="1:11" ht="15.75">
      <c r="A41" s="30" t="str">
        <v>CDCR-North Kern State Prision</v>
      </c>
      <c r="B41" s="31" t="str">
        <v>CA</v>
      </c>
      <c r="C41" s="11">
        <v>99430</v>
      </c>
      <c r="D41" s="18">
        <v>0</v>
      </c>
      <c r="E41" s="18">
        <f t="shared" si="8"/>
        <v>99430</v>
      </c>
      <c r="F41" s="19" t="str">
        <f t="shared" si="9"/>
        <v/>
      </c>
      <c r="G41" s="20">
        <v>250932.45</v>
      </c>
      <c r="H41" s="20">
        <f t="shared" si="10"/>
        <v>-151502.45000000001</v>
      </c>
      <c r="I41" s="19">
        <f t="shared" si="11"/>
        <v>-0.60375790377051675</v>
      </c>
      <c r="J41" s="42" t="s">
        <v>122</v>
      </c>
      <c r="K41" s="43" t="s">
        <v>123</v>
      </c>
    </row>
    <row r="42" spans="1:11" ht="15.75">
      <c r="A42" s="28" t="str">
        <v>Muroc Joint USD - District Office</v>
      </c>
      <c r="B42" s="29" t="str">
        <v>CA</v>
      </c>
      <c r="C42" s="24">
        <v>3768</v>
      </c>
      <c r="D42" s="13">
        <v>0</v>
      </c>
      <c r="E42" s="13">
        <f t="shared" si="8"/>
        <v>3768</v>
      </c>
      <c r="F42" s="14" t="str">
        <f t="shared" si="9"/>
        <v/>
      </c>
      <c r="G42" s="15">
        <v>9935.02</v>
      </c>
      <c r="H42" s="15">
        <f t="shared" si="10"/>
        <v>-6167.02</v>
      </c>
      <c r="I42" s="16">
        <f t="shared" si="11"/>
        <v>-0.62073553953590432</v>
      </c>
      <c r="J42" s="41" t="s">
        <v>124</v>
      </c>
      <c r="K42" s="41" t="s">
        <v>125</v>
      </c>
    </row>
    <row r="43" spans="1:11" ht="15.75">
      <c r="A43" s="30" t="str">
        <v>Whole Foods - Manhattan Beach</v>
      </c>
      <c r="B43" s="31" t="str">
        <v>CA</v>
      </c>
      <c r="C43" s="11">
        <v>20073</v>
      </c>
      <c r="D43" s="18">
        <v>0</v>
      </c>
      <c r="E43" s="18">
        <f t="shared" si="8"/>
        <v>20073</v>
      </c>
      <c r="F43" s="19" t="str">
        <f t="shared" si="9"/>
        <v/>
      </c>
      <c r="G43" s="20">
        <v>21967.919999999998</v>
      </c>
      <c r="H43" s="20">
        <f t="shared" si="10"/>
        <v>-1894.9199999999983</v>
      </c>
      <c r="I43" s="19">
        <f t="shared" si="11"/>
        <v>-8.6258507860552947E-2</v>
      </c>
      <c r="J43" s="42" t="s">
        <v>126</v>
      </c>
      <c r="K43" s="43" t="s">
        <v>127</v>
      </c>
    </row>
    <row r="44" spans="1:11" ht="15.75">
      <c r="A44" s="28" t="str">
        <v>Pioneer USD - Frontier ES</v>
      </c>
      <c r="B44" s="29" t="str">
        <v>CA</v>
      </c>
      <c r="C44" s="24">
        <v>32052</v>
      </c>
      <c r="D44" s="13">
        <v>0</v>
      </c>
      <c r="E44" s="13">
        <f t="shared" si="8"/>
        <v>32052</v>
      </c>
      <c r="F44" s="14" t="str">
        <f t="shared" si="9"/>
        <v/>
      </c>
      <c r="G44" s="15">
        <v>39025.040000000001</v>
      </c>
      <c r="H44" s="15">
        <f t="shared" si="10"/>
        <v>-6973.0400000000009</v>
      </c>
      <c r="I44" s="16">
        <f t="shared" si="11"/>
        <v>-0.17868117495843697</v>
      </c>
      <c r="J44" s="41"/>
      <c r="K44" s="41"/>
    </row>
    <row r="45" spans="1:11" ht="15.75">
      <c r="A45" s="30" t="str">
        <v>Pioneer USD - Pioneer ES</v>
      </c>
      <c r="B45" s="31" t="str">
        <v>CA</v>
      </c>
      <c r="C45" s="11">
        <v>18816</v>
      </c>
      <c r="D45" s="18">
        <v>0</v>
      </c>
      <c r="E45" s="18">
        <f t="shared" si="8"/>
        <v>18816</v>
      </c>
      <c r="F45" s="19" t="str">
        <f t="shared" si="9"/>
        <v/>
      </c>
      <c r="G45" s="20">
        <v>39672.160000000003</v>
      </c>
      <c r="H45" s="20">
        <f t="shared" si="10"/>
        <v>-20856.160000000003</v>
      </c>
      <c r="I45" s="19">
        <f t="shared" si="11"/>
        <v>-0.52571274163040282</v>
      </c>
      <c r="J45" s="42" t="s">
        <v>128</v>
      </c>
      <c r="K45" s="43" t="s">
        <v>129</v>
      </c>
    </row>
    <row r="46" spans="1:11" ht="42.75">
      <c r="A46" s="28" t="str">
        <v>Pioneer USD - Pioneer MS</v>
      </c>
      <c r="B46" s="29" t="str">
        <v>CA</v>
      </c>
      <c r="C46" s="24">
        <v>40716</v>
      </c>
      <c r="D46" s="13">
        <v>0</v>
      </c>
      <c r="E46" s="13">
        <f t="shared" si="8"/>
        <v>40716</v>
      </c>
      <c r="F46" s="14" t="str">
        <f t="shared" si="9"/>
        <v/>
      </c>
      <c r="G46" s="15">
        <v>53195.61</v>
      </c>
      <c r="H46" s="15">
        <f t="shared" si="10"/>
        <v>-12479.61</v>
      </c>
      <c r="I46" s="16">
        <f t="shared" si="11"/>
        <v>-0.23459849412385722</v>
      </c>
      <c r="J46" s="41" t="s">
        <v>130</v>
      </c>
      <c r="K46" s="41" t="s">
        <v>131</v>
      </c>
    </row>
    <row r="47" spans="1:11" ht="28.5">
      <c r="A47" s="30" t="str">
        <v>Kingsburg Joint UHSD - Kingsburg HS</v>
      </c>
      <c r="B47" s="31" t="str">
        <v>CA</v>
      </c>
      <c r="C47" s="11">
        <v>61245</v>
      </c>
      <c r="D47" s="18">
        <v>0</v>
      </c>
      <c r="E47" s="18">
        <f t="shared" si="8"/>
        <v>61245</v>
      </c>
      <c r="F47" s="19" t="str">
        <f t="shared" si="9"/>
        <v/>
      </c>
      <c r="G47" s="20">
        <v>91972.44</v>
      </c>
      <c r="H47" s="20">
        <f t="shared" si="10"/>
        <v>-30727.440000000002</v>
      </c>
      <c r="I47" s="19">
        <f t="shared" si="11"/>
        <v>-0.33409399598401435</v>
      </c>
      <c r="J47" s="42" t="s">
        <v>132</v>
      </c>
      <c r="K47" s="43" t="s">
        <v>133</v>
      </c>
    </row>
    <row r="48" spans="1:11" ht="15.75">
      <c r="A48" s="28" t="str">
        <v>CADRB</v>
      </c>
      <c r="B48" s="29" t="str">
        <v>CA</v>
      </c>
      <c r="C48" s="24">
        <v>649009</v>
      </c>
      <c r="D48" s="13">
        <v>0</v>
      </c>
      <c r="E48" s="13">
        <f t="shared" si="8"/>
        <v>649009</v>
      </c>
      <c r="F48" s="14" t="str">
        <f t="shared" si="9"/>
        <v/>
      </c>
      <c r="G48" s="15">
        <v>838748</v>
      </c>
      <c r="H48" s="15">
        <f t="shared" si="10"/>
        <v>-189739</v>
      </c>
      <c r="I48" s="16">
        <f t="shared" si="11"/>
        <v>-0.22621693285706793</v>
      </c>
      <c r="J48" s="41" t="s">
        <v>134</v>
      </c>
      <c r="K48" s="41" t="s">
        <v>135</v>
      </c>
    </row>
    <row r="49" spans="1:11" ht="15.75">
      <c r="A49" s="30" t="str">
        <v>CDCR-CA State Prison LA County</v>
      </c>
      <c r="B49" s="31" t="str">
        <v>CA</v>
      </c>
      <c r="C49" s="11">
        <v>304987</v>
      </c>
      <c r="D49" s="18">
        <v>0</v>
      </c>
      <c r="E49" s="18">
        <f t="shared" si="8"/>
        <v>304987</v>
      </c>
      <c r="F49" s="19" t="str">
        <f t="shared" si="9"/>
        <v/>
      </c>
      <c r="G49" s="20">
        <v>530579</v>
      </c>
      <c r="H49" s="20">
        <f t="shared" si="10"/>
        <v>-225592</v>
      </c>
      <c r="I49" s="19">
        <f t="shared" si="11"/>
        <v>-0.42518079305814971</v>
      </c>
      <c r="J49" s="42" t="s">
        <v>136</v>
      </c>
      <c r="K49" s="43" t="s">
        <v>137</v>
      </c>
    </row>
    <row r="50" spans="1:11" ht="15.75">
      <c r="A50" s="28" t="str">
        <v>Central USD Akers ES</v>
      </c>
      <c r="B50" s="29" t="str">
        <v>CA</v>
      </c>
      <c r="C50" s="24">
        <v>30828</v>
      </c>
      <c r="D50" s="13">
        <v>0</v>
      </c>
      <c r="E50" s="13">
        <f t="shared" si="8"/>
        <v>30828</v>
      </c>
      <c r="F50" s="14" t="str">
        <f t="shared" si="9"/>
        <v/>
      </c>
      <c r="G50" s="15">
        <v>40023</v>
      </c>
      <c r="H50" s="15">
        <f t="shared" si="10"/>
        <v>-9195</v>
      </c>
      <c r="I50" s="16">
        <f t="shared" si="11"/>
        <v>-0.2297428978337456</v>
      </c>
      <c r="J50" s="41" t="s">
        <v>138</v>
      </c>
      <c r="K50" s="41" t="s">
        <v>139</v>
      </c>
    </row>
    <row r="51" spans="1:11" ht="15.75">
      <c r="A51" s="30" t="str">
        <v>CUSD - District Office</v>
      </c>
      <c r="B51" s="31" t="str">
        <v>CA</v>
      </c>
      <c r="C51" s="11">
        <v>25512</v>
      </c>
      <c r="D51" s="18">
        <v>0</v>
      </c>
      <c r="E51" s="18">
        <f t="shared" si="8"/>
        <v>25512</v>
      </c>
      <c r="F51" s="19" t="str">
        <f t="shared" si="9"/>
        <v/>
      </c>
      <c r="G51" s="20">
        <v>33540.14</v>
      </c>
      <c r="H51" s="20">
        <f t="shared" si="10"/>
        <v>-8028.1399999999994</v>
      </c>
      <c r="I51" s="19">
        <f t="shared" si="11"/>
        <v>-0.23935916785081993</v>
      </c>
      <c r="J51" s="42" t="s">
        <v>140</v>
      </c>
      <c r="K51" s="43" t="s">
        <v>141</v>
      </c>
    </row>
    <row r="52" spans="1:11" ht="15.75">
      <c r="A52" s="28" t="str">
        <v>Parlier - WTP</v>
      </c>
      <c r="B52" s="29" t="str">
        <v>CA</v>
      </c>
      <c r="C52" s="24">
        <v>43735</v>
      </c>
      <c r="D52" s="13">
        <v>0</v>
      </c>
      <c r="E52" s="13">
        <f t="shared" si="8"/>
        <v>43735</v>
      </c>
      <c r="F52" s="14" t="str">
        <f t="shared" si="9"/>
        <v/>
      </c>
      <c r="G52" s="15">
        <v>105214</v>
      </c>
      <c r="H52" s="15">
        <f t="shared" si="10"/>
        <v>-61479</v>
      </c>
      <c r="I52" s="16">
        <f t="shared" si="11"/>
        <v>-0.58432337901800135</v>
      </c>
      <c r="J52" s="41"/>
      <c r="K52" s="41"/>
    </row>
    <row r="53" spans="1:11" ht="15.75">
      <c r="A53" s="30" t="str">
        <v>Snowline SD - Quail Valley MS</v>
      </c>
      <c r="B53" s="31" t="str">
        <v>CA</v>
      </c>
      <c r="C53" s="11">
        <v>46328</v>
      </c>
      <c r="D53" s="18">
        <v>0</v>
      </c>
      <c r="E53" s="18">
        <f t="shared" si="8"/>
        <v>46328</v>
      </c>
      <c r="F53" s="19" t="str">
        <f t="shared" si="9"/>
        <v/>
      </c>
      <c r="G53" s="20">
        <v>46059.09</v>
      </c>
      <c r="H53" s="20">
        <f t="shared" si="10"/>
        <v>268.91000000000349</v>
      </c>
      <c r="I53" s="19">
        <f t="shared" si="11"/>
        <v>5.8383697984481136E-3</v>
      </c>
      <c r="J53" s="42"/>
      <c r="K53" s="43"/>
    </row>
    <row r="54" spans="1:11" ht="15.75">
      <c r="A54" s="28" t="str">
        <v>Snowline SD - Serrano HS - Middle Lot</v>
      </c>
      <c r="B54" s="29" t="str">
        <v>CA</v>
      </c>
      <c r="C54" s="24">
        <v>39558</v>
      </c>
      <c r="D54" s="13">
        <v>0</v>
      </c>
      <c r="E54" s="13">
        <f t="shared" si="8"/>
        <v>39558</v>
      </c>
      <c r="F54" s="14" t="str">
        <f t="shared" si="9"/>
        <v/>
      </c>
      <c r="G54" s="15">
        <v>55638</v>
      </c>
      <c r="H54" s="15">
        <f t="shared" si="10"/>
        <v>-16080</v>
      </c>
      <c r="I54" s="16">
        <f t="shared" si="11"/>
        <v>-0.2890111075164456</v>
      </c>
      <c r="J54" s="41"/>
      <c r="K54" s="41"/>
    </row>
    <row r="55" spans="1:11" ht="15.75">
      <c r="A55" s="30" t="str">
        <v>Snowline SD - Pinon Hills ES</v>
      </c>
      <c r="B55" s="31" t="str">
        <v>CA</v>
      </c>
      <c r="C55" s="11">
        <v>0</v>
      </c>
      <c r="D55" s="18">
        <v>0</v>
      </c>
      <c r="E55" s="18">
        <f t="shared" si="8"/>
        <v>0</v>
      </c>
      <c r="F55" s="19" t="str">
        <f t="shared" si="9"/>
        <v/>
      </c>
      <c r="G55" s="20">
        <v>25006.66</v>
      </c>
      <c r="H55" s="20">
        <f t="shared" si="10"/>
        <v>-25006.66</v>
      </c>
      <c r="I55" s="19">
        <f t="shared" si="11"/>
        <v>-1</v>
      </c>
      <c r="J55" t="s">
        <v>142</v>
      </c>
      <c r="K55" s="43" t="s">
        <v>143</v>
      </c>
    </row>
    <row r="56" spans="1:11" ht="15.75">
      <c r="A56" s="28" t="str">
        <v>Ramona - Santa Maria WTP</v>
      </c>
      <c r="B56" s="29" t="str">
        <v>CA</v>
      </c>
      <c r="C56" s="24">
        <v>75841</v>
      </c>
      <c r="D56" s="13">
        <v>0</v>
      </c>
      <c r="E56" s="13">
        <f t="shared" si="8"/>
        <v>75841</v>
      </c>
      <c r="F56" s="14" t="str">
        <f t="shared" si="9"/>
        <v/>
      </c>
      <c r="G56" s="15">
        <v>85658.65</v>
      </c>
      <c r="H56" s="15">
        <f t="shared" si="10"/>
        <v>-9817.6499999999942</v>
      </c>
      <c r="I56" s="16">
        <f t="shared" si="11"/>
        <v>-0.114613643805967</v>
      </c>
      <c r="J56" s="41"/>
      <c r="K56" s="41"/>
    </row>
    <row r="57" spans="1:11" ht="15.75">
      <c r="A57" s="30" t="str">
        <v>Kohls - Redding</v>
      </c>
      <c r="B57" s="31" t="str">
        <v>CA</v>
      </c>
      <c r="C57" s="11">
        <v>3328</v>
      </c>
      <c r="D57" s="18">
        <v>0</v>
      </c>
      <c r="E57" s="18">
        <f t="shared" si="8"/>
        <v>3328</v>
      </c>
      <c r="F57" s="19" t="str">
        <f t="shared" si="9"/>
        <v/>
      </c>
      <c r="G57" s="20">
        <v>34726.47</v>
      </c>
      <c r="H57" s="20">
        <f t="shared" si="10"/>
        <v>-31398.47</v>
      </c>
      <c r="I57" s="19">
        <f t="shared" si="11"/>
        <v>-0.90416532403091932</v>
      </c>
      <c r="J57" s="42" t="s">
        <v>144</v>
      </c>
      <c r="K57" s="43" t="s">
        <v>145</v>
      </c>
    </row>
    <row r="58" spans="1:11" ht="15.75">
      <c r="A58" s="28" t="str">
        <v>Kohls - Salinas</v>
      </c>
      <c r="B58" s="29" t="str">
        <v>CA</v>
      </c>
      <c r="C58" s="24">
        <v>40543</v>
      </c>
      <c r="D58" s="13">
        <v>0</v>
      </c>
      <c r="E58" s="13">
        <f t="shared" si="8"/>
        <v>40543</v>
      </c>
      <c r="F58" s="14" t="str">
        <f t="shared" si="9"/>
        <v/>
      </c>
      <c r="G58" s="15">
        <v>50234.44</v>
      </c>
      <c r="H58" s="15">
        <f t="shared" si="10"/>
        <v>-9691.4400000000023</v>
      </c>
      <c r="I58" s="16">
        <f t="shared" si="11"/>
        <v>-0.1929242169316509</v>
      </c>
      <c r="J58" s="41" t="s">
        <v>146</v>
      </c>
      <c r="K58" s="41" t="s">
        <v>147</v>
      </c>
    </row>
    <row r="59" spans="1:11" ht="15.75">
      <c r="A59" s="30" t="str">
        <v>Kohls - San Bernardino - Central</v>
      </c>
      <c r="B59" s="31" t="str">
        <v>CA</v>
      </c>
      <c r="C59" s="11">
        <v>133441</v>
      </c>
      <c r="D59" s="18">
        <v>0</v>
      </c>
      <c r="E59" s="18">
        <f t="shared" si="8"/>
        <v>133441</v>
      </c>
      <c r="F59" s="19" t="str">
        <f t="shared" si="9"/>
        <v/>
      </c>
      <c r="G59" s="20">
        <v>160429.9</v>
      </c>
      <c r="H59" s="20">
        <f t="shared" si="10"/>
        <v>-26988.899999999994</v>
      </c>
      <c r="I59" s="19">
        <f t="shared" si="11"/>
        <v>-0.1682286157380887</v>
      </c>
      <c r="J59" s="42"/>
      <c r="K59" s="43"/>
    </row>
    <row r="60" spans="1:11" ht="15.75">
      <c r="A60" s="28" t="str">
        <v>Kohls - Sonora</v>
      </c>
      <c r="B60" s="29" t="str">
        <v>CA</v>
      </c>
      <c r="C60" s="24">
        <v>32035</v>
      </c>
      <c r="D60" s="13">
        <v>0</v>
      </c>
      <c r="E60" s="13">
        <f t="shared" si="8"/>
        <v>32035</v>
      </c>
      <c r="F60" s="14" t="str">
        <f t="shared" si="9"/>
        <v/>
      </c>
      <c r="G60" s="15">
        <v>35172.44</v>
      </c>
      <c r="H60" s="15">
        <f t="shared" si="10"/>
        <v>-3137.4400000000023</v>
      </c>
      <c r="I60" s="16">
        <f t="shared" si="11"/>
        <v>-8.9201659026214908E-2</v>
      </c>
      <c r="J60" s="41" t="s">
        <v>148</v>
      </c>
      <c r="K60" s="41"/>
    </row>
    <row r="61" spans="1:11" ht="15.75">
      <c r="A61" s="30" t="str">
        <v>CUSD - Stratford ES</v>
      </c>
      <c r="B61" s="31" t="str">
        <v>CA</v>
      </c>
      <c r="C61" s="11">
        <v>24519</v>
      </c>
      <c r="D61" s="18">
        <v>0</v>
      </c>
      <c r="E61" s="18">
        <f t="shared" si="8"/>
        <v>24519</v>
      </c>
      <c r="F61" s="19" t="str">
        <f t="shared" si="9"/>
        <v/>
      </c>
      <c r="G61" s="20">
        <v>24455.16</v>
      </c>
      <c r="H61" s="20">
        <f t="shared" si="10"/>
        <v>63.840000000000146</v>
      </c>
      <c r="I61" s="19">
        <f t="shared" si="11"/>
        <v>2.6104920188622827E-3</v>
      </c>
      <c r="J61" s="42"/>
      <c r="K61" s="43"/>
    </row>
    <row r="62" spans="1:11" ht="15.75">
      <c r="A62" s="28" t="str">
        <v>Taft - City Hall</v>
      </c>
      <c r="B62" s="29" t="str">
        <v>CA</v>
      </c>
      <c r="C62" s="24">
        <v>7913</v>
      </c>
      <c r="D62" s="13">
        <v>0</v>
      </c>
      <c r="E62" s="13">
        <f t="shared" si="8"/>
        <v>7913</v>
      </c>
      <c r="F62" s="14" t="str">
        <f t="shared" si="9"/>
        <v/>
      </c>
      <c r="G62" s="15">
        <v>10929.73</v>
      </c>
      <c r="H62" s="15">
        <f t="shared" si="10"/>
        <v>-3016.7299999999996</v>
      </c>
      <c r="I62" s="16">
        <f t="shared" si="11"/>
        <v>-0.27601139277914455</v>
      </c>
      <c r="J62" s="41" t="s">
        <v>149</v>
      </c>
      <c r="K62" s="41" t="s">
        <v>150</v>
      </c>
    </row>
    <row r="63" spans="1:11" ht="42.75">
      <c r="A63" s="30" t="str">
        <v>Taft - Federal Prison</v>
      </c>
      <c r="B63" s="31" t="str">
        <v>CA</v>
      </c>
      <c r="C63" s="11">
        <v>8481</v>
      </c>
      <c r="D63" s="18">
        <v>0</v>
      </c>
      <c r="E63" s="18">
        <f t="shared" si="8"/>
        <v>8481</v>
      </c>
      <c r="F63" s="19" t="str">
        <f t="shared" si="9"/>
        <v/>
      </c>
      <c r="G63" s="20">
        <v>17202.07</v>
      </c>
      <c r="H63" s="20">
        <f t="shared" si="10"/>
        <v>-8721.07</v>
      </c>
      <c r="I63" s="19">
        <f t="shared" si="11"/>
        <v>-0.50697793928288859</v>
      </c>
      <c r="J63" s="42" t="s">
        <v>151</v>
      </c>
      <c r="K63" s="43" t="s">
        <v>152</v>
      </c>
    </row>
    <row r="64" spans="1:11" ht="15.75">
      <c r="A64" s="28" t="str">
        <v>Taft - Police Department</v>
      </c>
      <c r="B64" s="29" t="str">
        <v>CA</v>
      </c>
      <c r="C64" s="24">
        <v>13121</v>
      </c>
      <c r="D64" s="13">
        <v>0</v>
      </c>
      <c r="E64" s="13">
        <f t="shared" si="8"/>
        <v>13121</v>
      </c>
      <c r="F64" s="14" t="str">
        <f t="shared" si="9"/>
        <v/>
      </c>
      <c r="G64" s="15">
        <v>12499.65</v>
      </c>
      <c r="H64" s="15">
        <f t="shared" si="10"/>
        <v>621.35000000000036</v>
      </c>
      <c r="I64" s="16">
        <f t="shared" si="11"/>
        <v>4.9709391862972192E-2</v>
      </c>
      <c r="J64" s="41"/>
      <c r="K64" s="41"/>
    </row>
    <row r="65" spans="1:11" ht="15.75">
      <c r="A65" s="30" t="str">
        <v>Taft - WTP</v>
      </c>
      <c r="B65" s="31" t="str">
        <v>CA</v>
      </c>
      <c r="C65" s="11">
        <v>0</v>
      </c>
      <c r="D65" s="18">
        <v>0</v>
      </c>
      <c r="E65" s="18">
        <f t="shared" si="8"/>
        <v>0</v>
      </c>
      <c r="F65" s="19" t="str">
        <f t="shared" si="9"/>
        <v/>
      </c>
      <c r="G65" s="20"/>
      <c r="H65" s="20" t="str">
        <f t="shared" si="10"/>
        <v/>
      </c>
      <c r="I65" s="19" t="str">
        <f t="shared" si="11"/>
        <v/>
      </c>
      <c r="J65" s="42" t="s">
        <v>153</v>
      </c>
      <c r="K65" s="43" t="s">
        <v>154</v>
      </c>
    </row>
    <row r="66" spans="1:11" ht="28.5">
      <c r="A66" s="28" t="str">
        <v>CDCR - CA Correctional Institution</v>
      </c>
      <c r="B66" s="29" t="str">
        <v>CA</v>
      </c>
      <c r="C66" s="24">
        <v>7488</v>
      </c>
      <c r="D66" s="13">
        <v>0</v>
      </c>
      <c r="E66" s="13">
        <f t="shared" si="8"/>
        <v>7488</v>
      </c>
      <c r="F66" s="14" t="str">
        <f t="shared" si="9"/>
        <v/>
      </c>
      <c r="G66" s="15">
        <v>26205.7</v>
      </c>
      <c r="H66" s="15">
        <f t="shared" si="10"/>
        <v>-18717.7</v>
      </c>
      <c r="I66" s="16">
        <f t="shared" si="11"/>
        <v>-0.71426063795281181</v>
      </c>
      <c r="J66" s="41" t="s">
        <v>155</v>
      </c>
      <c r="K66" s="41" t="s">
        <v>156</v>
      </c>
    </row>
    <row r="67" spans="1:11" ht="31.5">
      <c r="A67" s="30" t="str">
        <v>CDCR - CA Correctional Institution II</v>
      </c>
      <c r="B67" s="31" t="str">
        <v>CA</v>
      </c>
      <c r="C67" s="11">
        <v>81731</v>
      </c>
      <c r="D67" s="18">
        <v>0</v>
      </c>
      <c r="E67" s="18">
        <f t="shared" si="8"/>
        <v>81731</v>
      </c>
      <c r="F67" s="19" t="str">
        <f t="shared" si="9"/>
        <v/>
      </c>
      <c r="G67" s="20">
        <v>390993</v>
      </c>
      <c r="H67" s="20">
        <f t="shared" si="10"/>
        <v>-309262</v>
      </c>
      <c r="I67" s="19">
        <f t="shared" si="11"/>
        <v>-0.79096556715849131</v>
      </c>
      <c r="J67" s="42" t="s">
        <v>157</v>
      </c>
      <c r="K67" s="59" t="s">
        <v>158</v>
      </c>
    </row>
    <row r="68" spans="1:11" ht="15.75">
      <c r="A68" s="28" t="str">
        <v>Snowline SD - Vista Verde ES</v>
      </c>
      <c r="B68" s="29" t="str">
        <v>CA</v>
      </c>
      <c r="C68" s="24">
        <v>33695</v>
      </c>
      <c r="D68" s="13">
        <v>0</v>
      </c>
      <c r="E68" s="13">
        <f t="shared" si="8"/>
        <v>33695</v>
      </c>
      <c r="F68" s="14" t="str">
        <f t="shared" si="9"/>
        <v/>
      </c>
      <c r="G68" s="15">
        <v>33905.040000000001</v>
      </c>
      <c r="H68" s="15">
        <f t="shared" si="10"/>
        <v>-210.04000000000087</v>
      </c>
      <c r="I68" s="16">
        <f t="shared" si="11"/>
        <v>-6.194949187495454E-3</v>
      </c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conditionalFormatting sqref="F4:F100 I4:I100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zoomScale="90" zoomScaleNormal="90" workbookViewId="0">
      <pane xSplit="2" ySplit="3" topLeftCell="C39" activePane="bottomRight" state="frozen"/>
      <selection pane="bottomRight" activeCell="J52" sqref="J52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8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9" t="str" cm="1">
        <f t="array" ref="A1">portfolio</f>
        <v>Silicon Ranch</v>
      </c>
      <c r="B1" s="99"/>
      <c r="C1" s="99"/>
      <c r="D1" s="100" t="s">
        <v>159</v>
      </c>
      <c r="E1" s="100"/>
      <c r="F1" s="100"/>
      <c r="G1" s="98" t="s">
        <v>160</v>
      </c>
      <c r="H1" s="98"/>
      <c r="I1" s="98"/>
      <c r="J1" s="4"/>
      <c r="K1" s="4"/>
    </row>
    <row r="2" spans="1:11" ht="19.5" customHeight="1">
      <c r="A2" s="101" t="s">
        <v>2</v>
      </c>
      <c r="B2" s="101"/>
      <c r="C2" s="5">
        <f>SUM(C4:C100)</f>
        <v>2619960</v>
      </c>
      <c r="D2" s="5">
        <f>SUM(D4:D100)</f>
        <v>0</v>
      </c>
      <c r="E2" s="5">
        <f>C2-D2</f>
        <v>2619960</v>
      </c>
      <c r="F2" s="6">
        <f>IFERROR(E2/D2, 0)</f>
        <v>0</v>
      </c>
      <c r="G2" s="5">
        <f>SUM(G4:G100)</f>
        <v>4336866.9170000013</v>
      </c>
      <c r="H2" s="7">
        <f>C2-G2</f>
        <v>-1716906.9170000013</v>
      </c>
      <c r="I2" s="6">
        <f>IFERROR(H2/G2, 0)</f>
        <v>-0.39588646593464299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75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76" t="str" cm="1">
        <f t="array" ref="B4:B68">Sites[State]</f>
        <v>CT</v>
      </c>
      <c r="C4" s="24">
        <v>27638</v>
      </c>
      <c r="D4" s="13">
        <v>0</v>
      </c>
      <c r="E4" s="13">
        <f>IF(AND(ISNUMBER(C4),ISNUMBER(D4)), C4-D4, "")</f>
        <v>27638</v>
      </c>
      <c r="F4" s="14" t="str">
        <f>IFERROR(E4/D4, "")</f>
        <v/>
      </c>
      <c r="G4" s="15">
        <v>26362.2</v>
      </c>
      <c r="H4" s="15">
        <f>IF(AND(ISNUMBER(C4),ISNUMBER(G4)), C4-G4, "")</f>
        <v>1275.7999999999993</v>
      </c>
      <c r="I4" s="16">
        <f>IFERROR(H4/G4, "")</f>
        <v>4.8395050488957647E-2</v>
      </c>
      <c r="J4" s="41"/>
      <c r="K4" s="41"/>
    </row>
    <row r="5" spans="1:11" ht="15.75">
      <c r="A5" s="30" t="str">
        <v>Kohls - Auburn</v>
      </c>
      <c r="B5" s="77" t="str">
        <v>NY</v>
      </c>
      <c r="C5" s="11">
        <v>32620</v>
      </c>
      <c r="D5" s="18">
        <v>0</v>
      </c>
      <c r="E5" s="18">
        <f t="shared" ref="E5:E17" si="0">IF(AND(ISNUMBER(C5),ISNUMBER(D5)), C5-D5, "")</f>
        <v>32620</v>
      </c>
      <c r="F5" s="19" t="str">
        <f>IFERROR(E5/D5, "")</f>
        <v/>
      </c>
      <c r="G5" s="20">
        <v>31190.22</v>
      </c>
      <c r="H5" s="20">
        <f t="shared" ref="H5:H17" si="1">IF(AND(ISNUMBER(C5),ISNUMBER(G5)), C5-G5, "")</f>
        <v>1429.7799999999988</v>
      </c>
      <c r="I5" s="19">
        <f t="shared" ref="I5:I17" si="2">IFERROR(H5/G5, "")</f>
        <v>4.5840651332372737E-2</v>
      </c>
      <c r="J5" s="42"/>
      <c r="K5" s="42"/>
    </row>
    <row r="6" spans="1:11" ht="15.75">
      <c r="A6" s="28" t="str">
        <v>Kohls - Bensalem</v>
      </c>
      <c r="B6" s="76" t="str">
        <v>PA</v>
      </c>
      <c r="C6" s="24">
        <v>31638</v>
      </c>
      <c r="D6" s="13">
        <v>0</v>
      </c>
      <c r="E6" s="13">
        <f t="shared" si="0"/>
        <v>31638</v>
      </c>
      <c r="F6" s="14" t="str">
        <f t="shared" ref="F6:F16" si="3">IFERROR(E6/D6, "")</f>
        <v/>
      </c>
      <c r="G6" s="15">
        <v>29962.04</v>
      </c>
      <c r="H6" s="15">
        <f t="shared" si="1"/>
        <v>1675.9599999999991</v>
      </c>
      <c r="I6" s="16">
        <f t="shared" si="2"/>
        <v>5.5936111159320227E-2</v>
      </c>
      <c r="J6" s="41"/>
      <c r="K6" s="41"/>
    </row>
    <row r="7" spans="1:11" ht="15.75">
      <c r="A7" s="30" t="str">
        <v>Kohls - Brick</v>
      </c>
      <c r="B7" s="77" t="str">
        <v>NJ</v>
      </c>
      <c r="C7" s="11">
        <v>36941</v>
      </c>
      <c r="D7" s="18">
        <v>0</v>
      </c>
      <c r="E7" s="18">
        <f t="shared" si="0"/>
        <v>36941</v>
      </c>
      <c r="F7" s="19" t="str">
        <f t="shared" si="3"/>
        <v/>
      </c>
      <c r="G7" s="20">
        <v>36517.019999999997</v>
      </c>
      <c r="H7" s="20">
        <f t="shared" si="1"/>
        <v>423.9800000000032</v>
      </c>
      <c r="I7" s="19">
        <f t="shared" si="2"/>
        <v>1.161047642989497E-2</v>
      </c>
      <c r="J7" s="42"/>
      <c r="K7" s="43"/>
    </row>
    <row r="8" spans="1:11" ht="15.75">
      <c r="A8" s="28" t="str">
        <v>Kohls - Buffalo</v>
      </c>
      <c r="B8" s="76" t="str">
        <v>NY</v>
      </c>
      <c r="C8" s="24">
        <v>37035</v>
      </c>
      <c r="D8" s="13">
        <v>0</v>
      </c>
      <c r="E8" s="13">
        <f t="shared" si="0"/>
        <v>37035</v>
      </c>
      <c r="F8" s="14" t="str">
        <f t="shared" si="3"/>
        <v/>
      </c>
      <c r="G8" s="15">
        <v>38218.74</v>
      </c>
      <c r="H8" s="15">
        <f t="shared" si="1"/>
        <v>-1183.739999999998</v>
      </c>
      <c r="I8" s="16">
        <f t="shared" si="2"/>
        <v>-3.0972763623290513E-2</v>
      </c>
      <c r="J8" s="41" t="s">
        <v>99</v>
      </c>
      <c r="K8" s="41" t="s">
        <v>100</v>
      </c>
    </row>
    <row r="9" spans="1:11" ht="15.75">
      <c r="A9" s="30" t="str">
        <v>Kohls - Canton</v>
      </c>
      <c r="B9" s="77" t="str">
        <v>CT</v>
      </c>
      <c r="C9" s="11">
        <v>14230</v>
      </c>
      <c r="D9" s="18">
        <v>0</v>
      </c>
      <c r="E9" s="18">
        <f t="shared" si="0"/>
        <v>14230</v>
      </c>
      <c r="F9" s="19" t="str">
        <f t="shared" si="3"/>
        <v/>
      </c>
      <c r="G9" s="20">
        <v>12435.32</v>
      </c>
      <c r="H9" s="20">
        <f t="shared" si="1"/>
        <v>1794.6800000000003</v>
      </c>
      <c r="I9" s="19">
        <f t="shared" si="2"/>
        <v>0.14432117549045786</v>
      </c>
      <c r="J9" s="42"/>
      <c r="K9" s="43"/>
    </row>
    <row r="10" spans="1:11" ht="15.75">
      <c r="A10" s="28" t="str">
        <v>Kohls - East Amherst</v>
      </c>
      <c r="B10" s="76" t="str">
        <v>NY</v>
      </c>
      <c r="C10" s="24">
        <v>35218</v>
      </c>
      <c r="D10" s="13">
        <v>0</v>
      </c>
      <c r="E10" s="13">
        <f t="shared" si="0"/>
        <v>35218</v>
      </c>
      <c r="F10" s="14" t="str">
        <f t="shared" si="3"/>
        <v/>
      </c>
      <c r="G10" s="15">
        <v>33464.699999999997</v>
      </c>
      <c r="H10" s="15">
        <f t="shared" si="1"/>
        <v>1753.3000000000029</v>
      </c>
      <c r="I10" s="16">
        <f t="shared" si="2"/>
        <v>5.2392521074445704E-2</v>
      </c>
      <c r="J10" s="41"/>
      <c r="K10" s="41"/>
    </row>
    <row r="11" spans="1:11" ht="15.75">
      <c r="A11" s="30" t="str">
        <v>Kohls - East Brunswick</v>
      </c>
      <c r="B11" s="77" t="str">
        <v>NJ</v>
      </c>
      <c r="C11" s="11">
        <v>43979</v>
      </c>
      <c r="D11" s="18">
        <v>0</v>
      </c>
      <c r="E11" s="18">
        <f t="shared" si="0"/>
        <v>43979</v>
      </c>
      <c r="F11" s="19" t="str">
        <f t="shared" si="3"/>
        <v/>
      </c>
      <c r="G11" s="20">
        <v>47955.32</v>
      </c>
      <c r="H11" s="20">
        <f t="shared" si="1"/>
        <v>-3976.3199999999997</v>
      </c>
      <c r="I11" s="19">
        <f t="shared" si="2"/>
        <v>-8.2917182076983315E-2</v>
      </c>
      <c r="J11" s="42"/>
      <c r="K11" s="43"/>
    </row>
    <row r="12" spans="1:11" ht="15.75">
      <c r="A12" s="28" t="str">
        <v>Kohls - Edgewood</v>
      </c>
      <c r="B12" s="76" t="str">
        <v>MD</v>
      </c>
      <c r="C12" s="24">
        <v>217074</v>
      </c>
      <c r="D12" s="13">
        <v>0</v>
      </c>
      <c r="E12" s="13">
        <f t="shared" si="0"/>
        <v>217074</v>
      </c>
      <c r="F12" s="14" t="str">
        <f t="shared" si="3"/>
        <v/>
      </c>
      <c r="G12" s="15">
        <v>241640.98</v>
      </c>
      <c r="H12" s="15">
        <f t="shared" si="1"/>
        <v>-24566.98000000001</v>
      </c>
      <c r="I12" s="16">
        <f t="shared" si="2"/>
        <v>-0.10166727514513478</v>
      </c>
      <c r="J12" s="41"/>
      <c r="K12" s="41"/>
    </row>
    <row r="13" spans="1:11" ht="15.75">
      <c r="A13" s="30" t="str">
        <v>Kohls - Granite Run</v>
      </c>
      <c r="B13" s="77" t="str">
        <v>PA</v>
      </c>
      <c r="C13" s="11">
        <v>27914</v>
      </c>
      <c r="D13" s="18">
        <v>0</v>
      </c>
      <c r="E13" s="18">
        <f t="shared" si="0"/>
        <v>27914</v>
      </c>
      <c r="F13" s="19" t="str">
        <f t="shared" si="3"/>
        <v/>
      </c>
      <c r="G13" s="20">
        <v>29859.82</v>
      </c>
      <c r="H13" s="20">
        <f t="shared" si="1"/>
        <v>-1945.8199999999997</v>
      </c>
      <c r="I13" s="19">
        <f t="shared" si="2"/>
        <v>-6.5165161745784128E-2</v>
      </c>
      <c r="J13" s="42"/>
      <c r="K13" s="43"/>
    </row>
    <row r="14" spans="1:11" ht="15.75">
      <c r="A14" s="28" t="str">
        <v>Kohls - Greece</v>
      </c>
      <c r="B14" s="76" t="str">
        <v>NY</v>
      </c>
      <c r="C14" s="24">
        <v>24196</v>
      </c>
      <c r="D14" s="13">
        <v>0</v>
      </c>
      <c r="E14" s="13">
        <f t="shared" si="0"/>
        <v>24196</v>
      </c>
      <c r="F14" s="14" t="str">
        <f t="shared" si="3"/>
        <v/>
      </c>
      <c r="G14" s="15">
        <v>37266.230000000003</v>
      </c>
      <c r="H14" s="15">
        <f t="shared" si="1"/>
        <v>-13070.230000000003</v>
      </c>
      <c r="I14" s="16">
        <f t="shared" si="2"/>
        <v>-0.35072584481982755</v>
      </c>
      <c r="J14" s="41"/>
      <c r="K14" s="41"/>
    </row>
    <row r="15" spans="1:11" ht="15.75">
      <c r="A15" s="30" t="str">
        <v>Kohls - Hanover</v>
      </c>
      <c r="B15" s="77" t="str">
        <v>PA</v>
      </c>
      <c r="C15" s="11">
        <v>7877</v>
      </c>
      <c r="D15" s="18">
        <v>0</v>
      </c>
      <c r="E15" s="18">
        <f t="shared" si="0"/>
        <v>7877</v>
      </c>
      <c r="F15" s="19" t="str">
        <f t="shared" si="3"/>
        <v/>
      </c>
      <c r="G15" s="20">
        <v>32459.26</v>
      </c>
      <c r="H15" s="20">
        <f t="shared" si="1"/>
        <v>-24582.26</v>
      </c>
      <c r="I15" s="19">
        <f t="shared" si="2"/>
        <v>-0.75732656875110527</v>
      </c>
      <c r="J15" s="42"/>
      <c r="K15" s="43"/>
    </row>
    <row r="16" spans="1:11" ht="15.75">
      <c r="A16" s="28" t="str">
        <v>Kohls - Horsehead</v>
      </c>
      <c r="B16" s="76" t="str">
        <v>NY</v>
      </c>
      <c r="C16" s="24">
        <v>26157</v>
      </c>
      <c r="D16" s="13">
        <v>0</v>
      </c>
      <c r="E16" s="13">
        <f t="shared" si="0"/>
        <v>26157</v>
      </c>
      <c r="F16" s="14" t="str">
        <f t="shared" si="3"/>
        <v/>
      </c>
      <c r="G16" s="15">
        <v>27028.66</v>
      </c>
      <c r="H16" s="15">
        <f t="shared" si="1"/>
        <v>-871.65999999999985</v>
      </c>
      <c r="I16" s="16">
        <f t="shared" si="2"/>
        <v>-3.2249471486932753E-2</v>
      </c>
      <c r="J16" s="41"/>
      <c r="K16" s="41"/>
    </row>
    <row r="17" spans="1:11" ht="15.75">
      <c r="A17" s="30" t="str">
        <v>Kohls - Hudson</v>
      </c>
      <c r="B17" s="77" t="str">
        <v>NY</v>
      </c>
      <c r="C17" s="11">
        <v>2433</v>
      </c>
      <c r="D17" s="18">
        <v>0</v>
      </c>
      <c r="E17" s="18">
        <f t="shared" si="0"/>
        <v>2433</v>
      </c>
      <c r="F17" s="65" t="str">
        <f>IFERROR(E17/D17, "")</f>
        <v/>
      </c>
      <c r="G17" s="20">
        <v>31907.99</v>
      </c>
      <c r="H17" s="20">
        <f t="shared" si="1"/>
        <v>-29474.99</v>
      </c>
      <c r="I17" s="19">
        <f t="shared" si="2"/>
        <v>-0.92374950600147487</v>
      </c>
      <c r="J17" s="42" t="s">
        <v>161</v>
      </c>
      <c r="K17" s="43" t="s">
        <v>103</v>
      </c>
    </row>
    <row r="18" spans="1:11" ht="12.75" customHeight="1">
      <c r="A18" s="28" t="str">
        <v>Kohls - Ithaca</v>
      </c>
      <c r="B18" s="76" t="str">
        <v>NY</v>
      </c>
      <c r="C18" s="24">
        <v>28124</v>
      </c>
      <c r="D18" s="13">
        <v>0</v>
      </c>
      <c r="E18" s="13">
        <f>IF(AND(ISNUMBER(C18),ISNUMBER(D18)), C18-D18, "")</f>
        <v>28124</v>
      </c>
      <c r="F18" s="14" t="str">
        <f>IFERROR(E18/D18, "")</f>
        <v/>
      </c>
      <c r="G18" s="15">
        <v>30083.27</v>
      </c>
      <c r="H18" s="67">
        <f>IF(AND(ISNUMBER(C18),ISNUMBER(G18)), C18-G18, "")</f>
        <v>-1959.2700000000004</v>
      </c>
      <c r="I18" s="68">
        <f t="shared" ref="I18:I56" si="4">IFERROR(H18/G18, "")</f>
        <v>-6.5128225754713512E-2</v>
      </c>
      <c r="J18" s="41" t="s">
        <v>162</v>
      </c>
      <c r="K18" s="41" t="s">
        <v>163</v>
      </c>
    </row>
    <row r="19" spans="1:11" ht="12.75" customHeight="1">
      <c r="A19" s="30" t="str">
        <v>Kohls - Kingston</v>
      </c>
      <c r="B19" s="77" t="str">
        <v>NY</v>
      </c>
      <c r="C19" s="11">
        <v>44776</v>
      </c>
      <c r="D19" s="18">
        <v>0</v>
      </c>
      <c r="E19" s="18">
        <f t="shared" ref="E19:E20" si="5">IF(AND(ISNUMBER(C19),ISNUMBER(D19)), C19-D19, "")</f>
        <v>44776</v>
      </c>
      <c r="F19" s="65"/>
      <c r="G19" s="65">
        <v>46874.368999999999</v>
      </c>
      <c r="H19" s="20">
        <f t="shared" ref="H19:H20" si="6">IF(AND(ISNUMBER(C19),ISNUMBER(G19)), C19-G19, "")</f>
        <v>-2098.3689999999988</v>
      </c>
      <c r="I19" s="68">
        <f t="shared" si="4"/>
        <v>-4.4765807940795939E-2</v>
      </c>
      <c r="J19" s="42"/>
      <c r="K19" s="43"/>
    </row>
    <row r="20" spans="1:11" ht="12.75" customHeight="1">
      <c r="A20" s="28" t="str">
        <v>Kohls - Mechanicsburg</v>
      </c>
      <c r="B20" s="76" t="str">
        <v>PA</v>
      </c>
      <c r="C20" s="24">
        <v>35945</v>
      </c>
      <c r="D20" s="13">
        <v>0</v>
      </c>
      <c r="E20" s="13">
        <f t="shared" si="5"/>
        <v>35945</v>
      </c>
      <c r="F20" s="14"/>
      <c r="G20" s="15">
        <v>37881.760000000002</v>
      </c>
      <c r="H20" s="67">
        <f t="shared" si="6"/>
        <v>-1936.760000000002</v>
      </c>
      <c r="I20" s="68">
        <f t="shared" si="4"/>
        <v>-5.1126452414037835E-2</v>
      </c>
      <c r="J20" s="41"/>
      <c r="K20" s="41"/>
    </row>
    <row r="21" spans="1:11" ht="15.75">
      <c r="A21" s="30" t="str">
        <v>Kohls - Middletown</v>
      </c>
      <c r="B21" s="77" t="str">
        <v>NJ</v>
      </c>
      <c r="C21" s="71">
        <v>57157</v>
      </c>
      <c r="D21" s="18">
        <v>0</v>
      </c>
      <c r="E21" s="18">
        <f t="shared" ref="E21:E68" si="7">IF(AND(ISNUMBER(C21),ISNUMBER(D21)), C21-D21, "")</f>
        <v>57157</v>
      </c>
      <c r="F21" s="65" t="str">
        <f t="shared" ref="F21:F68" si="8">IFERROR(E21/D21, "")</f>
        <v/>
      </c>
      <c r="G21" s="20">
        <v>56934.86</v>
      </c>
      <c r="H21" s="65">
        <f t="shared" ref="H21:H27" si="9">IF(AND(ISNUMBER(C21),ISNUMBER(G21)), C21-G21, "")</f>
        <v>222.13999999999942</v>
      </c>
      <c r="I21" s="68">
        <f t="shared" si="4"/>
        <v>3.9016518175332198E-3</v>
      </c>
      <c r="J21" s="42"/>
      <c r="K21" s="43"/>
    </row>
    <row r="22" spans="1:11" ht="28.5">
      <c r="A22" s="28" t="str">
        <v>Kohls - North Amherst</v>
      </c>
      <c r="B22" s="76" t="str">
        <v>NY</v>
      </c>
      <c r="C22" s="24">
        <v>0</v>
      </c>
      <c r="D22" s="13">
        <v>0</v>
      </c>
      <c r="E22" s="13">
        <f t="shared" si="7"/>
        <v>0</v>
      </c>
      <c r="F22" s="14" t="str">
        <f t="shared" si="8"/>
        <v/>
      </c>
      <c r="G22" s="15">
        <v>33415.58</v>
      </c>
      <c r="H22" s="67">
        <f t="shared" si="9"/>
        <v>-33415.58</v>
      </c>
      <c r="I22" s="68">
        <f t="shared" si="4"/>
        <v>-1</v>
      </c>
      <c r="J22" s="41" t="s">
        <v>104</v>
      </c>
      <c r="K22" s="41" t="s">
        <v>105</v>
      </c>
    </row>
    <row r="23" spans="1:11" ht="15.75">
      <c r="A23" s="30" t="str">
        <v>Kohls - Staten Island</v>
      </c>
      <c r="B23" s="77" t="str">
        <v>NY</v>
      </c>
      <c r="C23" s="11">
        <v>102</v>
      </c>
      <c r="D23" s="18">
        <v>0</v>
      </c>
      <c r="E23" s="18">
        <f t="shared" si="7"/>
        <v>102</v>
      </c>
      <c r="F23" s="65" t="str">
        <f t="shared" si="8"/>
        <v/>
      </c>
      <c r="G23" s="20">
        <v>31508.76</v>
      </c>
      <c r="H23" s="20">
        <f t="shared" si="9"/>
        <v>-31406.76</v>
      </c>
      <c r="I23" s="19">
        <f t="shared" si="4"/>
        <v>-0.99676280501041614</v>
      </c>
      <c r="J23" s="42" t="s">
        <v>106</v>
      </c>
      <c r="K23" s="43" t="s">
        <v>107</v>
      </c>
    </row>
    <row r="24" spans="1:11" ht="15.75">
      <c r="A24" s="28" t="str">
        <v>Kohls - Warminster</v>
      </c>
      <c r="B24" s="76" t="str">
        <v>PA</v>
      </c>
      <c r="C24" s="24">
        <v>37758</v>
      </c>
      <c r="D24" s="13">
        <v>0</v>
      </c>
      <c r="E24" s="13">
        <f t="shared" si="7"/>
        <v>37758</v>
      </c>
      <c r="F24" s="14" t="str">
        <f t="shared" si="8"/>
        <v/>
      </c>
      <c r="G24" s="15">
        <v>36722.6</v>
      </c>
      <c r="H24" s="67">
        <f t="shared" si="9"/>
        <v>1035.4000000000015</v>
      </c>
      <c r="I24" s="68">
        <f t="shared" si="4"/>
        <v>2.8195171365861936E-2</v>
      </c>
      <c r="J24" s="41"/>
      <c r="K24" s="41"/>
    </row>
    <row r="25" spans="1:11" ht="15.75">
      <c r="A25" s="30" t="str">
        <v xml:space="preserve">Kohls - Waterbury </v>
      </c>
      <c r="B25" s="77" t="str">
        <v>CT</v>
      </c>
      <c r="C25" s="11">
        <v>34680</v>
      </c>
      <c r="D25" s="18">
        <v>0</v>
      </c>
      <c r="E25" s="18">
        <f t="shared" si="7"/>
        <v>34680</v>
      </c>
      <c r="F25" s="65" t="str">
        <f t="shared" si="8"/>
        <v/>
      </c>
      <c r="G25">
        <v>31542</v>
      </c>
      <c r="H25" s="20">
        <f t="shared" si="9"/>
        <v>3138</v>
      </c>
      <c r="I25" s="19">
        <f t="shared" si="4"/>
        <v>9.9486399086931715E-2</v>
      </c>
      <c r="J25" s="42"/>
      <c r="K25" s="43"/>
    </row>
    <row r="26" spans="1:11" ht="15.75">
      <c r="A26" s="28" t="str">
        <v>Mojave Water Agency - Headquarters</v>
      </c>
      <c r="B26" s="76" t="str">
        <v>CA</v>
      </c>
      <c r="C26" s="24">
        <v>38418</v>
      </c>
      <c r="D26" s="13">
        <v>0</v>
      </c>
      <c r="E26" s="13">
        <f t="shared" si="7"/>
        <v>38418</v>
      </c>
      <c r="F26" s="14" t="str">
        <f t="shared" si="8"/>
        <v/>
      </c>
      <c r="G26" s="15">
        <v>34263.279999999999</v>
      </c>
      <c r="H26" s="67">
        <f t="shared" si="9"/>
        <v>4154.7200000000012</v>
      </c>
      <c r="I26" s="68">
        <f t="shared" si="4"/>
        <v>0.121258676927603</v>
      </c>
      <c r="J26" s="41"/>
      <c r="K26" s="41"/>
    </row>
    <row r="27" spans="1:11" ht="15.75">
      <c r="A27" s="30" t="str">
        <v>CSU - Bakersfield</v>
      </c>
      <c r="B27" s="77" t="str">
        <v>CA</v>
      </c>
      <c r="C27" s="11">
        <v>0</v>
      </c>
      <c r="D27" s="18">
        <v>0</v>
      </c>
      <c r="E27" s="18">
        <f t="shared" si="7"/>
        <v>0</v>
      </c>
      <c r="F27" s="65" t="str">
        <f t="shared" si="8"/>
        <v/>
      </c>
      <c r="G27" s="20">
        <v>142101.70000000001</v>
      </c>
      <c r="H27" s="20">
        <f t="shared" si="9"/>
        <v>-142101.70000000001</v>
      </c>
      <c r="I27" s="19">
        <f t="shared" si="4"/>
        <v>-1</v>
      </c>
      <c r="J27" s="42"/>
      <c r="K27" s="43"/>
    </row>
    <row r="28" spans="1:11" ht="15.75">
      <c r="A28" s="28" t="str">
        <v>Greenfield USD - Fairfield ES</v>
      </c>
      <c r="B28" s="76" t="str">
        <v>CA</v>
      </c>
      <c r="C28" s="24">
        <v>10171</v>
      </c>
      <c r="D28" s="13">
        <v>0</v>
      </c>
      <c r="E28" s="13">
        <f t="shared" si="7"/>
        <v>10171</v>
      </c>
      <c r="F28" s="14" t="str">
        <f t="shared" si="8"/>
        <v/>
      </c>
      <c r="G28" s="15">
        <v>14495.51</v>
      </c>
      <c r="H28" s="15">
        <f t="shared" ref="H28:H29" si="10">IF(AND(ISNUMBER(C28),ISNUMBER(G28)), C28-G28, "")</f>
        <v>-4324.51</v>
      </c>
      <c r="I28" s="19">
        <f t="shared" si="4"/>
        <v>-0.29833444977099804</v>
      </c>
      <c r="J28" s="41"/>
      <c r="K28" s="41"/>
    </row>
    <row r="29" spans="1:11" ht="15.75">
      <c r="A29" s="30" t="str">
        <v>Greenfield USD - Granite Point ES</v>
      </c>
      <c r="B29" s="77" t="str">
        <v>CA</v>
      </c>
      <c r="C29" s="11">
        <v>33770</v>
      </c>
      <c r="D29" s="18">
        <v>0</v>
      </c>
      <c r="E29" s="18">
        <f t="shared" si="7"/>
        <v>33770</v>
      </c>
      <c r="F29" s="65" t="str">
        <f t="shared" si="8"/>
        <v/>
      </c>
      <c r="G29" s="20">
        <v>38120.6</v>
      </c>
      <c r="H29" s="20">
        <f t="shared" si="10"/>
        <v>-4350.5999999999985</v>
      </c>
      <c r="I29" s="19">
        <f t="shared" si="4"/>
        <v>-0.11412726977015049</v>
      </c>
      <c r="J29" s="42"/>
      <c r="K29" s="43"/>
    </row>
    <row r="30" spans="1:11" ht="15.75">
      <c r="A30" s="28" t="str">
        <v>Greenfield USD - Greenfield MS</v>
      </c>
      <c r="B30" s="76" t="str">
        <v>CA</v>
      </c>
      <c r="C30" s="24">
        <v>18299</v>
      </c>
      <c r="D30" s="13">
        <v>0</v>
      </c>
      <c r="E30" s="13">
        <f t="shared" si="7"/>
        <v>18299</v>
      </c>
      <c r="F30" s="14" t="str">
        <f t="shared" si="8"/>
        <v/>
      </c>
      <c r="G30" s="15">
        <v>26084.511999999999</v>
      </c>
      <c r="H30" s="67">
        <f t="shared" ref="H30:H56" si="11">IF(AND(ISNUMBER(C30),ISNUMBER(G30)), C30-G30, "")</f>
        <v>-7785.5119999999988</v>
      </c>
      <c r="I30" s="66">
        <f t="shared" si="4"/>
        <v>-0.29847259553868594</v>
      </c>
      <c r="J30" s="41"/>
      <c r="K30" s="41"/>
    </row>
    <row r="31" spans="1:11" ht="15.75">
      <c r="A31" s="30" t="str">
        <v>Greenfield USD - Horizon ES</v>
      </c>
      <c r="B31" s="77" t="str">
        <v>CA</v>
      </c>
      <c r="C31" s="11">
        <v>8746</v>
      </c>
      <c r="D31" s="18">
        <v>0</v>
      </c>
      <c r="E31" s="18">
        <f t="shared" si="7"/>
        <v>8746</v>
      </c>
      <c r="F31" s="65" t="str">
        <f t="shared" si="8"/>
        <v/>
      </c>
      <c r="G31" s="20">
        <v>39265.61</v>
      </c>
      <c r="H31" s="20">
        <f t="shared" si="11"/>
        <v>-30519.61</v>
      </c>
      <c r="I31" s="19">
        <f t="shared" si="4"/>
        <v>-0.77726055955835149</v>
      </c>
      <c r="J31" s="54" t="s">
        <v>164</v>
      </c>
      <c r="K31" s="63" t="s">
        <v>113</v>
      </c>
    </row>
    <row r="32" spans="1:11" ht="15.75">
      <c r="A32" s="28" t="str">
        <v>Greenfield USD - McKee MS</v>
      </c>
      <c r="B32" s="76" t="str">
        <v>CA</v>
      </c>
      <c r="C32" s="24">
        <v>13159</v>
      </c>
      <c r="D32" s="13">
        <v>0</v>
      </c>
      <c r="E32" s="13">
        <f t="shared" si="7"/>
        <v>13159</v>
      </c>
      <c r="F32" s="14" t="str">
        <f t="shared" si="8"/>
        <v/>
      </c>
      <c r="G32" s="15">
        <v>24029.59</v>
      </c>
      <c r="H32" s="67">
        <f t="shared" si="11"/>
        <v>-10870.59</v>
      </c>
      <c r="I32" s="66">
        <f t="shared" si="4"/>
        <v>-0.45238349884454959</v>
      </c>
      <c r="J32" s="41"/>
      <c r="K32" s="41"/>
    </row>
    <row r="33" spans="1:11" ht="28.5">
      <c r="A33" s="30" t="str">
        <v>Greenfield USD - Plantation ES</v>
      </c>
      <c r="B33" s="77" t="str">
        <v>CA</v>
      </c>
      <c r="C33" s="11">
        <v>14580</v>
      </c>
      <c r="D33" s="18">
        <v>0</v>
      </c>
      <c r="E33" s="18">
        <f t="shared" si="7"/>
        <v>14580</v>
      </c>
      <c r="F33" s="65" t="str">
        <f t="shared" si="8"/>
        <v/>
      </c>
      <c r="G33" s="65">
        <v>17115.07</v>
      </c>
      <c r="H33" s="20">
        <f t="shared" si="11"/>
        <v>-2535.0699999999997</v>
      </c>
      <c r="I33" s="19">
        <f t="shared" si="4"/>
        <v>-0.14811917216815354</v>
      </c>
      <c r="J33" s="42" t="s">
        <v>165</v>
      </c>
      <c r="K33" s="59" t="s">
        <v>166</v>
      </c>
    </row>
    <row r="34" spans="1:11" ht="15.75">
      <c r="A34" s="28" t="str">
        <v>Greenfield USD - Planz ES</v>
      </c>
      <c r="B34" s="76" t="str">
        <v>CA</v>
      </c>
      <c r="C34" s="24">
        <v>5417</v>
      </c>
      <c r="D34" s="13">
        <v>0</v>
      </c>
      <c r="E34" s="13">
        <f t="shared" si="7"/>
        <v>5417</v>
      </c>
      <c r="F34" s="14" t="str">
        <f t="shared" si="8"/>
        <v/>
      </c>
      <c r="G34" s="15">
        <v>19725.37</v>
      </c>
      <c r="H34" s="67">
        <f t="shared" si="11"/>
        <v>-14308.369999999999</v>
      </c>
      <c r="I34" s="66">
        <f t="shared" si="4"/>
        <v>-0.7253790423196117</v>
      </c>
      <c r="J34" s="41"/>
      <c r="K34" s="41"/>
    </row>
    <row r="35" spans="1:11" ht="14.25">
      <c r="A35" s="65" t="str">
        <v>Greenfield USD - Raffaello Palla ES</v>
      </c>
      <c r="B35" s="78" t="str">
        <v>CA</v>
      </c>
      <c r="C35" s="65">
        <v>17238</v>
      </c>
      <c r="D35" s="65">
        <v>0</v>
      </c>
      <c r="E35" s="65">
        <f t="shared" si="7"/>
        <v>17238</v>
      </c>
      <c r="F35" s="65" t="str">
        <f t="shared" si="8"/>
        <v/>
      </c>
      <c r="G35" s="65">
        <v>42894.12</v>
      </c>
      <c r="H35" s="65">
        <f t="shared" si="11"/>
        <v>-25656.120000000003</v>
      </c>
      <c r="I35" s="66">
        <f t="shared" si="4"/>
        <v>-0.59812673625196178</v>
      </c>
      <c r="J35" s="65"/>
      <c r="K35" s="65"/>
    </row>
    <row r="36" spans="1:11" ht="15.75">
      <c r="A36" s="28" t="str">
        <v>Greenfield USD - Valle Verde ES</v>
      </c>
      <c r="B36" s="76" t="str">
        <v>CA</v>
      </c>
      <c r="C36" s="24">
        <v>30928</v>
      </c>
      <c r="D36" s="13">
        <v>0</v>
      </c>
      <c r="E36" s="13">
        <f t="shared" si="7"/>
        <v>30928</v>
      </c>
      <c r="F36" s="14" t="str">
        <f t="shared" si="8"/>
        <v/>
      </c>
      <c r="G36" s="15">
        <v>40043.15</v>
      </c>
      <c r="H36" s="67">
        <f t="shared" si="11"/>
        <v>-9115.1500000000015</v>
      </c>
      <c r="I36" s="66">
        <f t="shared" si="4"/>
        <v>-0.22763319069553722</v>
      </c>
      <c r="J36" s="41"/>
      <c r="K36" s="41"/>
    </row>
    <row r="37" spans="1:11" ht="14.25">
      <c r="A37" s="65" t="str">
        <v>Greenfield USD - W.A. Kendrick ES</v>
      </c>
      <c r="B37" s="78" t="str">
        <v>CA</v>
      </c>
      <c r="C37" s="65">
        <v>0</v>
      </c>
      <c r="D37" s="65">
        <v>0</v>
      </c>
      <c r="E37" s="65">
        <f t="shared" si="7"/>
        <v>0</v>
      </c>
      <c r="F37" s="65" t="str">
        <f t="shared" si="8"/>
        <v/>
      </c>
      <c r="G37" s="20">
        <v>15421.15</v>
      </c>
      <c r="H37" s="65">
        <f t="shared" si="11"/>
        <v>-15421.15</v>
      </c>
      <c r="I37" s="66">
        <f t="shared" si="4"/>
        <v>-1</v>
      </c>
      <c r="J37" s="65"/>
      <c r="K37" s="65"/>
    </row>
    <row r="38" spans="1:11" ht="15.75">
      <c r="A38" s="28" t="str">
        <v>Muroc Joint USD - Boron HS</v>
      </c>
      <c r="B38" s="76" t="str">
        <v>CA</v>
      </c>
      <c r="C38" s="24">
        <v>0</v>
      </c>
      <c r="D38" s="13">
        <v>0</v>
      </c>
      <c r="E38" s="13">
        <f t="shared" si="7"/>
        <v>0</v>
      </c>
      <c r="F38" s="14" t="str">
        <f t="shared" si="8"/>
        <v/>
      </c>
      <c r="G38" s="15">
        <v>34849.69</v>
      </c>
      <c r="H38" s="67">
        <f t="shared" si="11"/>
        <v>-34849.69</v>
      </c>
      <c r="I38" s="66">
        <f t="shared" si="4"/>
        <v>-1</v>
      </c>
      <c r="J38" s="70"/>
      <c r="K38" s="41"/>
    </row>
    <row r="39" spans="1:11" ht="15.75">
      <c r="A39" s="30" t="str">
        <v>Muroc Joint USD - W. Boron ES</v>
      </c>
      <c r="B39" s="77" t="str">
        <v>CA</v>
      </c>
      <c r="C39" s="11">
        <v>12443</v>
      </c>
      <c r="D39" s="18">
        <v>0</v>
      </c>
      <c r="E39" s="18">
        <f t="shared" si="7"/>
        <v>12443</v>
      </c>
      <c r="F39" s="65" t="str">
        <f t="shared" si="8"/>
        <v/>
      </c>
      <c r="G39" s="81">
        <v>12816</v>
      </c>
      <c r="H39" s="20">
        <f t="shared" si="11"/>
        <v>-373</v>
      </c>
      <c r="I39" s="19">
        <f t="shared" si="4"/>
        <v>-2.9104244694132336E-2</v>
      </c>
      <c r="J39" s="42"/>
      <c r="K39" s="43"/>
    </row>
    <row r="40" spans="1:11" ht="15.75">
      <c r="A40" s="28" t="str">
        <v>Colusa - WTP</v>
      </c>
      <c r="B40" s="76" t="str">
        <v>CA</v>
      </c>
      <c r="C40" s="24">
        <v>0</v>
      </c>
      <c r="D40" s="13">
        <v>0</v>
      </c>
      <c r="E40" s="13">
        <f t="shared" si="7"/>
        <v>0</v>
      </c>
      <c r="F40" s="14" t="str">
        <f t="shared" si="8"/>
        <v/>
      </c>
      <c r="G40" s="15">
        <v>45088.644999999997</v>
      </c>
      <c r="H40" s="67">
        <f t="shared" si="11"/>
        <v>-45088.644999999997</v>
      </c>
      <c r="I40" s="66">
        <f t="shared" si="4"/>
        <v>-1</v>
      </c>
      <c r="J40" s="41" t="s">
        <v>120</v>
      </c>
      <c r="K40" s="41" t="s">
        <v>121</v>
      </c>
    </row>
    <row r="41" spans="1:11" ht="15.75">
      <c r="A41" s="30" t="str">
        <v>CDCR-North Kern State Prision</v>
      </c>
      <c r="B41" s="77" t="str">
        <v>CA</v>
      </c>
      <c r="C41" s="11">
        <v>48376</v>
      </c>
      <c r="D41" s="18">
        <v>0</v>
      </c>
      <c r="E41" s="18">
        <f t="shared" si="7"/>
        <v>48376</v>
      </c>
      <c r="F41" s="65" t="str">
        <f t="shared" si="8"/>
        <v/>
      </c>
      <c r="G41" s="20">
        <v>204972.6</v>
      </c>
      <c r="H41" s="20">
        <f t="shared" si="11"/>
        <v>-156596.6</v>
      </c>
      <c r="I41" s="19">
        <f t="shared" si="4"/>
        <v>-0.76398796717219764</v>
      </c>
      <c r="J41" s="42" t="s">
        <v>122</v>
      </c>
      <c r="K41" s="43" t="s">
        <v>123</v>
      </c>
    </row>
    <row r="42" spans="1:11" ht="15.75">
      <c r="A42" s="28" t="str">
        <v>Muroc Joint USD - District Office</v>
      </c>
      <c r="B42" s="76" t="str">
        <v>CA</v>
      </c>
      <c r="C42" s="24">
        <v>6209</v>
      </c>
      <c r="D42" s="13">
        <v>0</v>
      </c>
      <c r="E42" s="13">
        <f t="shared" si="7"/>
        <v>6209</v>
      </c>
      <c r="F42" s="14" t="str">
        <f t="shared" si="8"/>
        <v/>
      </c>
      <c r="G42" s="15">
        <v>9064.2800000000007</v>
      </c>
      <c r="H42" s="67">
        <f t="shared" si="11"/>
        <v>-2855.2800000000007</v>
      </c>
      <c r="I42" s="19">
        <f t="shared" si="4"/>
        <v>-0.31500350827644341</v>
      </c>
      <c r="J42" s="41"/>
      <c r="K42" s="41"/>
    </row>
    <row r="43" spans="1:11" ht="15.75">
      <c r="A43" s="30" t="str">
        <v>Whole Foods - Manhattan Beach</v>
      </c>
      <c r="B43" s="77" t="str">
        <v>CA</v>
      </c>
      <c r="C43" s="11">
        <v>15888</v>
      </c>
      <c r="D43" s="18">
        <v>0</v>
      </c>
      <c r="E43" s="18">
        <f t="shared" si="7"/>
        <v>15888</v>
      </c>
      <c r="F43" s="65" t="str">
        <f t="shared" si="8"/>
        <v/>
      </c>
      <c r="G43" s="20">
        <v>17188.29</v>
      </c>
      <c r="H43" s="20">
        <f t="shared" si="11"/>
        <v>-1300.2900000000009</v>
      </c>
      <c r="I43" s="19">
        <f t="shared" si="4"/>
        <v>-7.5649759225612373E-2</v>
      </c>
      <c r="J43" s="42" t="s">
        <v>126</v>
      </c>
      <c r="K43" s="42" t="s">
        <v>167</v>
      </c>
    </row>
    <row r="44" spans="1:11" ht="15.75">
      <c r="A44" s="28" t="str">
        <v>Pioneer USD - Frontier ES</v>
      </c>
      <c r="B44" s="76" t="str">
        <v>CA</v>
      </c>
      <c r="C44" s="24">
        <v>23858</v>
      </c>
      <c r="D44" s="13">
        <v>0</v>
      </c>
      <c r="E44" s="13">
        <f t="shared" si="7"/>
        <v>23858</v>
      </c>
      <c r="F44" s="14" t="str">
        <f t="shared" si="8"/>
        <v/>
      </c>
      <c r="G44" s="15">
        <v>34120.85</v>
      </c>
      <c r="H44" s="67">
        <f t="shared" si="11"/>
        <v>-10262.849999999999</v>
      </c>
      <c r="I44" s="66">
        <f t="shared" si="4"/>
        <v>-0.30077943544782731</v>
      </c>
      <c r="J44" s="41"/>
      <c r="K44" s="41"/>
    </row>
    <row r="45" spans="1:11" ht="15.75">
      <c r="A45" s="30" t="str">
        <v>Pioneer USD - Pioneer ES</v>
      </c>
      <c r="B45" s="77" t="str">
        <v>CA</v>
      </c>
      <c r="C45" s="11">
        <v>5663</v>
      </c>
      <c r="D45" s="18">
        <v>0</v>
      </c>
      <c r="E45" s="18">
        <f t="shared" si="7"/>
        <v>5663</v>
      </c>
      <c r="F45" s="65" t="str">
        <f t="shared" si="8"/>
        <v/>
      </c>
      <c r="G45" s="20">
        <v>34834.14</v>
      </c>
      <c r="H45" s="20">
        <f t="shared" si="11"/>
        <v>-29171.14</v>
      </c>
      <c r="I45" s="19">
        <f t="shared" si="4"/>
        <v>-0.83742960210873585</v>
      </c>
      <c r="J45" s="42" t="s">
        <v>128</v>
      </c>
      <c r="K45" s="42" t="s">
        <v>129</v>
      </c>
    </row>
    <row r="46" spans="1:11" ht="15.75">
      <c r="A46" s="28" t="str">
        <v>Pioneer USD - Pioneer MS</v>
      </c>
      <c r="B46" s="76" t="str">
        <v>CA</v>
      </c>
      <c r="C46" s="24">
        <v>30366</v>
      </c>
      <c r="D46" s="13">
        <v>0</v>
      </c>
      <c r="E46" s="13">
        <f t="shared" si="7"/>
        <v>30366</v>
      </c>
      <c r="F46" s="14" t="str">
        <f t="shared" si="8"/>
        <v/>
      </c>
      <c r="G46" s="15">
        <v>46766.06</v>
      </c>
      <c r="H46" s="67">
        <f t="shared" si="11"/>
        <v>-16400.059999999998</v>
      </c>
      <c r="I46" s="66">
        <f t="shared" si="4"/>
        <v>-0.35068295255148707</v>
      </c>
      <c r="J46" s="41" t="s">
        <v>128</v>
      </c>
      <c r="K46" s="41" t="s">
        <v>168</v>
      </c>
    </row>
    <row r="47" spans="1:11" ht="42.75">
      <c r="A47" s="30" t="str">
        <v>Kingsburg Joint UHSD - Kingsburg HS</v>
      </c>
      <c r="B47" s="77" t="str">
        <v>CA</v>
      </c>
      <c r="C47" s="11">
        <v>21281</v>
      </c>
      <c r="D47" s="18">
        <v>0</v>
      </c>
      <c r="E47" s="18">
        <f t="shared" si="7"/>
        <v>21281</v>
      </c>
      <c r="F47" s="65" t="str">
        <f t="shared" si="8"/>
        <v/>
      </c>
      <c r="G47" s="20">
        <v>83165.899999999994</v>
      </c>
      <c r="H47" s="20">
        <f t="shared" si="11"/>
        <v>-61884.899999999994</v>
      </c>
      <c r="I47" s="19">
        <f t="shared" si="4"/>
        <v>-0.74411387359482672</v>
      </c>
      <c r="J47" s="42" t="s">
        <v>169</v>
      </c>
      <c r="K47" s="63" t="s">
        <v>170</v>
      </c>
    </row>
    <row r="48" spans="1:11" ht="57">
      <c r="A48" s="28" t="str">
        <v>CADRB</v>
      </c>
      <c r="B48" s="76" t="str">
        <v>CA</v>
      </c>
      <c r="C48" s="24">
        <v>526254</v>
      </c>
      <c r="D48" s="13">
        <v>0</v>
      </c>
      <c r="E48" s="13">
        <f t="shared" si="7"/>
        <v>526254</v>
      </c>
      <c r="F48" s="14" t="str">
        <f t="shared" si="8"/>
        <v/>
      </c>
      <c r="G48" s="15">
        <v>723561</v>
      </c>
      <c r="H48" s="67">
        <f t="shared" si="11"/>
        <v>-197307</v>
      </c>
      <c r="I48" s="19">
        <f t="shared" si="4"/>
        <v>-0.27268882651220838</v>
      </c>
      <c r="J48" s="41" t="s">
        <v>171</v>
      </c>
      <c r="K48" s="41" t="s">
        <v>172</v>
      </c>
    </row>
    <row r="49" spans="1:11" ht="15.75">
      <c r="A49" s="30" t="str">
        <v>CDCR-CA State Prison LA County</v>
      </c>
      <c r="B49" s="77" t="str">
        <v>CA</v>
      </c>
      <c r="C49" s="11">
        <v>254730</v>
      </c>
      <c r="D49" s="18">
        <v>0</v>
      </c>
      <c r="E49" s="18">
        <f t="shared" si="7"/>
        <v>254730</v>
      </c>
      <c r="F49" s="65" t="str">
        <f t="shared" si="8"/>
        <v/>
      </c>
      <c r="G49" s="20">
        <v>431625.6</v>
      </c>
      <c r="H49" s="20">
        <f t="shared" si="11"/>
        <v>-176895.59999999998</v>
      </c>
      <c r="I49" s="19">
        <f t="shared" si="4"/>
        <v>-0.40983574653588661</v>
      </c>
      <c r="J49" s="42" t="s">
        <v>173</v>
      </c>
      <c r="K49" s="43" t="s">
        <v>174</v>
      </c>
    </row>
    <row r="50" spans="1:11" ht="15.75">
      <c r="A50" s="28" t="str">
        <v>Central USD Akers ES</v>
      </c>
      <c r="B50" s="76" t="str">
        <v>CA</v>
      </c>
      <c r="C50" s="24">
        <v>26547</v>
      </c>
      <c r="D50" s="13">
        <v>0</v>
      </c>
      <c r="E50" s="13">
        <f t="shared" si="7"/>
        <v>26547</v>
      </c>
      <c r="F50" s="14" t="str">
        <f t="shared" si="8"/>
        <v/>
      </c>
      <c r="G50" s="15">
        <v>33556.68</v>
      </c>
      <c r="H50" s="67">
        <f t="shared" si="11"/>
        <v>-7009.68</v>
      </c>
      <c r="I50" s="66">
        <f t="shared" si="4"/>
        <v>-0.20889074842922484</v>
      </c>
      <c r="J50" s="41" t="s">
        <v>175</v>
      </c>
      <c r="K50" s="41"/>
    </row>
    <row r="51" spans="1:11" ht="15.75">
      <c r="A51" s="30" t="str">
        <v>CUSD - District Office</v>
      </c>
      <c r="B51" s="77" t="str">
        <v>CA</v>
      </c>
      <c r="C51" s="11">
        <v>21190</v>
      </c>
      <c r="D51" s="18">
        <v>0</v>
      </c>
      <c r="E51" s="18">
        <f t="shared" si="7"/>
        <v>21190</v>
      </c>
      <c r="F51" s="65" t="str">
        <f t="shared" si="8"/>
        <v/>
      </c>
      <c r="G51" s="20">
        <v>9064.2800000000007</v>
      </c>
      <c r="H51" s="20">
        <f t="shared" si="11"/>
        <v>12125.72</v>
      </c>
      <c r="I51" s="19">
        <f t="shared" si="4"/>
        <v>1.3377477306526275</v>
      </c>
      <c r="J51" s="42"/>
      <c r="K51" s="43"/>
    </row>
    <row r="52" spans="1:11" ht="15.75">
      <c r="A52" s="28" t="str">
        <v>Parlier - WTP</v>
      </c>
      <c r="B52" s="76" t="str">
        <v>CA</v>
      </c>
      <c r="C52" s="24">
        <v>25875</v>
      </c>
      <c r="D52" s="13">
        <v>0</v>
      </c>
      <c r="E52" s="13">
        <f t="shared" si="7"/>
        <v>25875</v>
      </c>
      <c r="F52" s="14" t="str">
        <f t="shared" si="8"/>
        <v/>
      </c>
      <c r="G52" s="15">
        <v>80249.570000000007</v>
      </c>
      <c r="H52" s="67">
        <f t="shared" si="11"/>
        <v>-54374.570000000007</v>
      </c>
      <c r="I52" s="19">
        <f t="shared" si="4"/>
        <v>-0.67756836578688218</v>
      </c>
      <c r="J52" s="41"/>
      <c r="K52" s="41"/>
    </row>
    <row r="53" spans="1:11" ht="15.75">
      <c r="A53" s="30" t="str">
        <v>Snowline SD - Quail Valley MS</v>
      </c>
      <c r="B53" s="77" t="str">
        <v>CA</v>
      </c>
      <c r="C53" s="11">
        <v>35969</v>
      </c>
      <c r="D53" s="18">
        <v>0</v>
      </c>
      <c r="E53" s="18">
        <f t="shared" si="7"/>
        <v>35969</v>
      </c>
      <c r="F53" s="65" t="str">
        <f t="shared" si="8"/>
        <v/>
      </c>
      <c r="G53" s="20">
        <v>38471.379999999997</v>
      </c>
      <c r="H53" s="20">
        <f t="shared" si="11"/>
        <v>-2502.3799999999974</v>
      </c>
      <c r="I53" s="19">
        <f t="shared" si="4"/>
        <v>-6.50452362249547E-2</v>
      </c>
      <c r="J53" s="42" t="s">
        <v>176</v>
      </c>
      <c r="K53" s="43" t="s">
        <v>177</v>
      </c>
    </row>
    <row r="54" spans="1:11" ht="14.25">
      <c r="A54" s="29" t="str">
        <v>Snowline SD - Serrano HS - Middle Lot</v>
      </c>
      <c r="B54" s="76" t="str">
        <v>CA</v>
      </c>
      <c r="C54" s="69">
        <v>29062</v>
      </c>
      <c r="D54" s="13">
        <v>0</v>
      </c>
      <c r="E54" s="13">
        <f t="shared" si="7"/>
        <v>29062</v>
      </c>
      <c r="F54" s="13" t="str">
        <f t="shared" si="8"/>
        <v/>
      </c>
      <c r="G54" s="67">
        <v>45725</v>
      </c>
      <c r="H54" s="67">
        <f t="shared" si="11"/>
        <v>-16663</v>
      </c>
      <c r="I54" s="19">
        <f t="shared" si="4"/>
        <v>-0.36441771459814104</v>
      </c>
      <c r="J54" s="70"/>
      <c r="K54" s="70"/>
    </row>
    <row r="55" spans="1:11" ht="15.75">
      <c r="A55" s="30" t="str">
        <v>Snowline SD - Pinon Hills ES</v>
      </c>
      <c r="B55" s="77" t="str">
        <v>CA</v>
      </c>
      <c r="C55" s="11">
        <v>9423</v>
      </c>
      <c r="D55" s="18">
        <v>0</v>
      </c>
      <c r="E55" s="18">
        <f t="shared" si="7"/>
        <v>9423</v>
      </c>
      <c r="F55" s="65" t="str">
        <f t="shared" si="8"/>
        <v/>
      </c>
      <c r="G55" s="20">
        <v>22988.18</v>
      </c>
      <c r="H55" s="20">
        <f t="shared" si="11"/>
        <v>-13565.18</v>
      </c>
      <c r="I55" s="19">
        <f t="shared" si="4"/>
        <v>-0.59009369162761038</v>
      </c>
      <c r="J55" s="42" t="s">
        <v>178</v>
      </c>
      <c r="K55" s="43" t="s">
        <v>143</v>
      </c>
    </row>
    <row r="56" spans="1:11" ht="15.75">
      <c r="A56" s="28" t="str">
        <v>Ramona - Santa Maria WTP</v>
      </c>
      <c r="B56" s="76" t="str">
        <v>CA</v>
      </c>
      <c r="C56" s="24">
        <v>17920</v>
      </c>
      <c r="D56" s="13">
        <v>0</v>
      </c>
      <c r="E56" s="13">
        <f t="shared" si="7"/>
        <v>17920</v>
      </c>
      <c r="F56" s="14" t="str">
        <f t="shared" si="8"/>
        <v/>
      </c>
      <c r="G56" s="15">
        <v>74060.39</v>
      </c>
      <c r="H56" s="67">
        <f t="shared" si="11"/>
        <v>-56140.39</v>
      </c>
      <c r="I56" s="19">
        <f t="shared" si="4"/>
        <v>-0.75803530065126579</v>
      </c>
      <c r="J56" s="41" t="s">
        <v>179</v>
      </c>
      <c r="K56" s="41" t="s">
        <v>180</v>
      </c>
    </row>
    <row r="57" spans="1:11" ht="28.5">
      <c r="A57" s="30" t="str">
        <v>Kohls - Redding</v>
      </c>
      <c r="B57" s="77" t="str">
        <v>CA</v>
      </c>
      <c r="C57" s="11">
        <v>37782</v>
      </c>
      <c r="D57" s="18">
        <v>0</v>
      </c>
      <c r="E57" s="18">
        <f t="shared" si="7"/>
        <v>37782</v>
      </c>
      <c r="F57" s="65" t="str">
        <f t="shared" si="8"/>
        <v/>
      </c>
      <c r="G57" s="20">
        <v>29833.35</v>
      </c>
      <c r="H57" s="20">
        <f t="shared" ref="H57:H58" si="12">IF(AND(ISNUMBER(C57),ISNUMBER(G57)), C57-G57, "")</f>
        <v>7948.6500000000015</v>
      </c>
      <c r="I57" s="19">
        <f t="shared" ref="I57:I68" si="13">IFERROR(H57/G57, "")</f>
        <v>0.26643504668433154</v>
      </c>
      <c r="J57" s="42" t="s">
        <v>181</v>
      </c>
      <c r="K57" s="42" t="s">
        <v>182</v>
      </c>
    </row>
    <row r="58" spans="1:11" ht="28.5">
      <c r="A58" s="28" t="str">
        <v>Kohls - Salinas</v>
      </c>
      <c r="B58" s="76" t="str">
        <v>CA</v>
      </c>
      <c r="C58" s="24">
        <v>31143</v>
      </c>
      <c r="D58" s="13">
        <v>0</v>
      </c>
      <c r="E58" s="13">
        <f t="shared" si="7"/>
        <v>31143</v>
      </c>
      <c r="F58" s="14" t="str">
        <f t="shared" si="8"/>
        <v/>
      </c>
      <c r="G58" s="15">
        <v>42851.23</v>
      </c>
      <c r="H58" s="67">
        <f t="shared" si="12"/>
        <v>-11708.230000000003</v>
      </c>
      <c r="I58" s="19">
        <f t="shared" si="13"/>
        <v>-0.27322972992840583</v>
      </c>
      <c r="J58" s="41" t="s">
        <v>183</v>
      </c>
      <c r="K58" s="41" t="s">
        <v>184</v>
      </c>
    </row>
    <row r="59" spans="1:11" ht="15.75">
      <c r="A59" s="30" t="str">
        <v>Kohls - San Bernardino - Central</v>
      </c>
      <c r="B59" s="77" t="str">
        <v>CA</v>
      </c>
      <c r="C59" s="11">
        <v>126806</v>
      </c>
      <c r="D59" s="18">
        <v>0</v>
      </c>
      <c r="E59" s="18">
        <f t="shared" si="7"/>
        <v>126806</v>
      </c>
      <c r="F59" s="65" t="str">
        <f t="shared" si="8"/>
        <v/>
      </c>
      <c r="G59" s="20">
        <v>140317</v>
      </c>
      <c r="H59" s="20">
        <f t="shared" ref="H59:H68" si="14">IF(AND(ISNUMBER(C59),ISNUMBER(G59)), C59-G59, "")</f>
        <v>-13511</v>
      </c>
      <c r="I59" s="19">
        <f t="shared" si="13"/>
        <v>-9.6289116785564122E-2</v>
      </c>
      <c r="J59" s="42"/>
      <c r="K59" s="43"/>
    </row>
    <row r="60" spans="1:11" ht="15.75">
      <c r="A60" s="28" t="str">
        <v>Kohls - Sonora</v>
      </c>
      <c r="B60" s="76" t="str">
        <v>CA</v>
      </c>
      <c r="C60" s="24">
        <v>27863</v>
      </c>
      <c r="D60" s="13">
        <v>0</v>
      </c>
      <c r="E60" s="13">
        <f t="shared" si="7"/>
        <v>27863</v>
      </c>
      <c r="F60" s="14" t="str">
        <f t="shared" si="8"/>
        <v/>
      </c>
      <c r="G60" s="15">
        <v>29667.66</v>
      </c>
      <c r="H60" s="67">
        <f t="shared" si="14"/>
        <v>-1804.6599999999999</v>
      </c>
      <c r="I60" s="19">
        <f t="shared" si="13"/>
        <v>-6.0829199202094127E-2</v>
      </c>
      <c r="J60" s="41" t="s">
        <v>185</v>
      </c>
      <c r="K60" s="41" t="s">
        <v>186</v>
      </c>
    </row>
    <row r="61" spans="1:11" ht="15.75">
      <c r="A61" s="30" t="str">
        <v>CUSD - Stratford ES</v>
      </c>
      <c r="B61" s="77" t="str">
        <v>CA</v>
      </c>
      <c r="C61" s="11">
        <v>20828</v>
      </c>
      <c r="D61" s="18">
        <v>0</v>
      </c>
      <c r="E61" s="18">
        <f t="shared" si="7"/>
        <v>20828</v>
      </c>
      <c r="F61" s="65" t="str">
        <f t="shared" si="8"/>
        <v/>
      </c>
      <c r="G61" s="20">
        <v>21367.71</v>
      </c>
      <c r="H61" s="20">
        <f t="shared" si="14"/>
        <v>-539.70999999999913</v>
      </c>
      <c r="I61" s="19">
        <f t="shared" si="13"/>
        <v>-2.5258205020566037E-2</v>
      </c>
      <c r="J61" s="42" t="s">
        <v>187</v>
      </c>
      <c r="K61" s="43" t="s">
        <v>188</v>
      </c>
    </row>
    <row r="62" spans="1:11" ht="15.75">
      <c r="A62" s="28" t="str">
        <v>Taft - City Hall</v>
      </c>
      <c r="B62" s="76" t="str">
        <v>CA</v>
      </c>
      <c r="C62" s="24">
        <v>5728</v>
      </c>
      <c r="D62" s="13">
        <v>0</v>
      </c>
      <c r="E62" s="13">
        <f t="shared" si="7"/>
        <v>5728</v>
      </c>
      <c r="F62" s="14" t="str">
        <f t="shared" si="8"/>
        <v/>
      </c>
      <c r="G62" s="15">
        <v>9308.33</v>
      </c>
      <c r="H62" s="67">
        <f t="shared" si="14"/>
        <v>-3580.33</v>
      </c>
      <c r="I62" s="19">
        <f t="shared" si="13"/>
        <v>-0.3846372013024893</v>
      </c>
      <c r="J62" s="41"/>
      <c r="K62" s="41"/>
    </row>
    <row r="63" spans="1:11" ht="15.75">
      <c r="A63" s="30" t="str">
        <v>Taft - Federal Prison</v>
      </c>
      <c r="B63" s="77" t="str">
        <v>CA</v>
      </c>
      <c r="C63" s="11">
        <v>4910</v>
      </c>
      <c r="D63" s="18">
        <v>0</v>
      </c>
      <c r="E63" s="18">
        <f t="shared" si="7"/>
        <v>4910</v>
      </c>
      <c r="F63" s="65" t="str">
        <f t="shared" si="8"/>
        <v/>
      </c>
      <c r="G63" s="65">
        <v>15318.72</v>
      </c>
      <c r="H63" s="20">
        <f t="shared" si="14"/>
        <v>-10408.719999999999</v>
      </c>
      <c r="I63" s="19">
        <f t="shared" si="13"/>
        <v>-0.67947713647093233</v>
      </c>
      <c r="J63" s="42" t="s">
        <v>189</v>
      </c>
      <c r="K63" s="43" t="s">
        <v>190</v>
      </c>
    </row>
    <row r="64" spans="1:11" ht="15.75">
      <c r="A64" s="28" t="str">
        <v>Taft - Police Department</v>
      </c>
      <c r="B64" s="76" t="str">
        <v>CA</v>
      </c>
      <c r="C64" s="24">
        <v>11206</v>
      </c>
      <c r="D64" s="13">
        <v>0</v>
      </c>
      <c r="E64" s="13">
        <f t="shared" si="7"/>
        <v>11206</v>
      </c>
      <c r="F64" s="14" t="str">
        <f t="shared" si="8"/>
        <v/>
      </c>
      <c r="G64" s="15">
        <v>10649.38</v>
      </c>
      <c r="H64" s="67">
        <f t="shared" si="14"/>
        <v>556.6200000000008</v>
      </c>
      <c r="I64" s="19">
        <f t="shared" si="13"/>
        <v>5.226783155451311E-2</v>
      </c>
      <c r="J64" s="41"/>
      <c r="K64" s="41"/>
    </row>
    <row r="65" spans="1:11" ht="14.25">
      <c r="A65" s="72" t="str">
        <v>Taft - WTP</v>
      </c>
      <c r="B65" s="78" t="str">
        <v>CA</v>
      </c>
      <c r="C65" s="65">
        <v>0</v>
      </c>
      <c r="D65" s="65">
        <v>0</v>
      </c>
      <c r="E65" s="65">
        <f t="shared" si="7"/>
        <v>0</v>
      </c>
      <c r="F65" s="65" t="str">
        <f t="shared" si="8"/>
        <v/>
      </c>
      <c r="G65" s="65">
        <v>68067.8</v>
      </c>
      <c r="H65" s="65">
        <f t="shared" si="14"/>
        <v>-68067.8</v>
      </c>
      <c r="I65" s="19">
        <f t="shared" si="13"/>
        <v>-1</v>
      </c>
      <c r="J65" s="65" t="s">
        <v>153</v>
      </c>
      <c r="K65" s="65" t="s">
        <v>154</v>
      </c>
    </row>
    <row r="66" spans="1:11" ht="42.75">
      <c r="A66" s="28" t="str">
        <v>CDCR - CA Correctional Institution</v>
      </c>
      <c r="B66" s="76" t="str">
        <v>CA</v>
      </c>
      <c r="C66" s="24">
        <v>111841</v>
      </c>
      <c r="D66" s="13">
        <v>0</v>
      </c>
      <c r="E66" s="13">
        <f t="shared" si="7"/>
        <v>111841</v>
      </c>
      <c r="F66" s="14" t="str">
        <f t="shared" si="8"/>
        <v/>
      </c>
      <c r="G66" s="15">
        <v>208097.76</v>
      </c>
      <c r="H66" s="67">
        <f t="shared" si="14"/>
        <v>-96256.760000000009</v>
      </c>
      <c r="I66" s="19">
        <f t="shared" si="13"/>
        <v>-0.4625554835381217</v>
      </c>
      <c r="J66" s="41" t="s">
        <v>191</v>
      </c>
      <c r="K66" s="41" t="s">
        <v>192</v>
      </c>
    </row>
    <row r="67" spans="1:11" ht="42.75">
      <c r="A67" s="65" t="str">
        <v>CDCR - CA Correctional Institution II</v>
      </c>
      <c r="B67" s="78" t="str">
        <v>CA</v>
      </c>
      <c r="C67" s="65">
        <v>110217</v>
      </c>
      <c r="D67" s="65">
        <v>0</v>
      </c>
      <c r="E67" s="65">
        <f t="shared" si="7"/>
        <v>110217</v>
      </c>
      <c r="F67" s="65" t="str">
        <f t="shared" si="8"/>
        <v/>
      </c>
      <c r="G67" s="65">
        <v>336377.28100000002</v>
      </c>
      <c r="H67" s="65">
        <f t="shared" si="14"/>
        <v>-226160.28100000002</v>
      </c>
      <c r="I67" s="19">
        <f t="shared" si="13"/>
        <v>-0.67234112936420343</v>
      </c>
      <c r="J67" s="73" t="s">
        <v>193</v>
      </c>
      <c r="K67" s="74" t="s">
        <v>194</v>
      </c>
    </row>
    <row r="68" spans="1:11" ht="15.75">
      <c r="A68" s="28" t="str">
        <v>Snowline SD - Vista Verde ES</v>
      </c>
      <c r="B68" s="76" t="str">
        <v>CA</v>
      </c>
      <c r="C68" s="24">
        <v>26364</v>
      </c>
      <c r="D68" s="13">
        <v>0</v>
      </c>
      <c r="E68" s="13">
        <f t="shared" si="7"/>
        <v>26364</v>
      </c>
      <c r="F68" s="64" t="str">
        <f t="shared" si="8"/>
        <v/>
      </c>
      <c r="G68" s="15">
        <v>28050.799999999999</v>
      </c>
      <c r="H68" s="67">
        <f t="shared" si="14"/>
        <v>-1686.7999999999993</v>
      </c>
      <c r="I68" s="19">
        <f t="shared" si="13"/>
        <v>-6.0133757325994242E-2</v>
      </c>
      <c r="J68" s="41"/>
      <c r="K68" s="41"/>
    </row>
    <row r="69" spans="1:11" ht="14.25">
      <c r="A69" s="21"/>
      <c r="B69" s="79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79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79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79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79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79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79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79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79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79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79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79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79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79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79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79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79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79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79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79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79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79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79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79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79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79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79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79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79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79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79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79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79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79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79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79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79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79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79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79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79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79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79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79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79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79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79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79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79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79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79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79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79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79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79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79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79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79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79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79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79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79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79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79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79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79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79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79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79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79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79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79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79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79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79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79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79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79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79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79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79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79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79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79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79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79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79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79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79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79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79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79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79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79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79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79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79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79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79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79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79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79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79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79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79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79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79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79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79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79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79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79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79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79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79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79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79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79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79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79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79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79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79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79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79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79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79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79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79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79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79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79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79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79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79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79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79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79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79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79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79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79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79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79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79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79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79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79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79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79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79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79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79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79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79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79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79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79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79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79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79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79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79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79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79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79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79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79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79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79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79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79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79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79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79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79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79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79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79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79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79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79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79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79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79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79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79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79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79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79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79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79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79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79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79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79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79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79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79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79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79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79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79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79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79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79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79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79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79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79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79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79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79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79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79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79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79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79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79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79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79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79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79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79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79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79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79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79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79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79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79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79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79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79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79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79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79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79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79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79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79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79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79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79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79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79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79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79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79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79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79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79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79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79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79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79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79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79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79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79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79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79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79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79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79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79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79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79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79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79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79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79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79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16 F18 F20 F22 F24 F26 F28 F30 F32 F34 F36 F38 F40 F42 F44 F46 F48 F50 F52 F56 F58 F60 F62 F64 F66 F68:F100">
    <cfRule type="cellIs" dxfId="18" priority="3" stopIfTrue="1" operator="lessThanOrEqual">
      <formula>-0.1</formula>
    </cfRule>
    <cfRule type="expression" dxfId="17" priority="4">
      <formula>AND(ISNUMBER(F4), F4&gt;=0.1)</formula>
    </cfRule>
  </conditionalFormatting>
  <conditionalFormatting sqref="I4:I100">
    <cfRule type="cellIs" dxfId="16" priority="1" stopIfTrue="1" operator="lessThanOrEqual">
      <formula>-0.1</formula>
    </cfRule>
    <cfRule type="expression" dxfId="15" priority="2">
      <formula>AND(ISNUMBER(I4), I4&gt;=0.1)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zoomScale="70" zoomScaleNormal="70" workbookViewId="0">
      <pane xSplit="2" ySplit="3" topLeftCell="C44" activePane="bottomRight" state="frozen"/>
      <selection pane="bottomRight" activeCell="J50" sqref="J50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9" t="str" cm="1">
        <f t="array" ref="A1">portfolio</f>
        <v>Silicon Ranch</v>
      </c>
      <c r="B1" s="99"/>
      <c r="C1" s="99"/>
      <c r="D1" s="100" t="s">
        <v>195</v>
      </c>
      <c r="E1" s="100"/>
      <c r="F1" s="100"/>
      <c r="G1" s="98" t="s">
        <v>196</v>
      </c>
      <c r="H1" s="98"/>
      <c r="I1" s="98"/>
      <c r="J1" s="4"/>
      <c r="K1" s="4"/>
    </row>
    <row r="2" spans="1:11" ht="19.5" customHeight="1">
      <c r="A2" s="101" t="s">
        <v>2</v>
      </c>
      <c r="B2" s="101"/>
      <c r="C2" s="5">
        <f>SUM(C4:C100)</f>
        <v>2250351.1799999997</v>
      </c>
      <c r="D2" s="5">
        <f>SUM(D4:D100)</f>
        <v>0</v>
      </c>
      <c r="E2" s="5">
        <f>C2-D2</f>
        <v>2250351.1799999997</v>
      </c>
      <c r="F2" s="6">
        <f>IFERROR(E2/D2, 0)</f>
        <v>0</v>
      </c>
      <c r="G2" s="5">
        <f>SUM(G4:G100)</f>
        <v>3639868.1669999994</v>
      </c>
      <c r="H2" s="7">
        <f>C2-G2</f>
        <v>-1389516.9869999997</v>
      </c>
      <c r="I2" s="6">
        <f>IFERROR(H2/G2, 0)</f>
        <v>-0.38174926212925114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25140</v>
      </c>
      <c r="D4" s="13">
        <v>0</v>
      </c>
      <c r="E4" s="13">
        <f>IF(AND(ISNUMBER(C4),ISNUMBER(D4)), C4-D4, "")</f>
        <v>25140</v>
      </c>
      <c r="F4" s="14" t="str">
        <f>IFERROR(E4/D4, "")</f>
        <v/>
      </c>
      <c r="G4" s="15">
        <v>20345.55</v>
      </c>
      <c r="H4" s="15">
        <f>IF(AND(ISNUMBER(C4),ISNUMBER(G4)), C4-G4, "")</f>
        <v>4794.4500000000007</v>
      </c>
      <c r="I4" s="16">
        <f>IFERROR(H4/G4, "")</f>
        <v>0.2356510391707278</v>
      </c>
      <c r="J4" s="41"/>
      <c r="K4" s="41"/>
    </row>
    <row r="5" spans="1:11" ht="15.75">
      <c r="A5" s="30" t="str">
        <v>Kohls - Auburn</v>
      </c>
      <c r="B5" s="31" t="str">
        <v>NY</v>
      </c>
      <c r="C5" s="11">
        <v>27151</v>
      </c>
      <c r="D5" s="18">
        <v>0</v>
      </c>
      <c r="E5" s="18">
        <f t="shared" ref="E5:E68" si="0">IF(AND(ISNUMBER(C5),ISNUMBER(D5)), C5-D5, "")</f>
        <v>27151</v>
      </c>
      <c r="F5" s="19" t="str">
        <f>IFERROR(E5/D5, "")</f>
        <v/>
      </c>
      <c r="G5" s="20">
        <v>22807.75</v>
      </c>
      <c r="H5" s="20">
        <f t="shared" ref="H5:H68" si="1">IF(AND(ISNUMBER(C5),ISNUMBER(G5)), C5-G5, "")</f>
        <v>4343.25</v>
      </c>
      <c r="I5" s="19">
        <f t="shared" ref="I5:I68" si="2">IFERROR(H5/G5, "")</f>
        <v>0.19042869200162227</v>
      </c>
      <c r="J5" s="42"/>
      <c r="K5" s="42"/>
    </row>
    <row r="6" spans="1:11" ht="15.75">
      <c r="A6" s="28" t="str">
        <v>Kohls - Bensalem</v>
      </c>
      <c r="B6" s="29" t="str">
        <v>PA</v>
      </c>
      <c r="C6" s="24">
        <v>33857</v>
      </c>
      <c r="D6" s="13">
        <v>0</v>
      </c>
      <c r="E6" s="13">
        <f t="shared" si="0"/>
        <v>33857</v>
      </c>
      <c r="F6" s="14" t="str">
        <f t="shared" ref="F6:F17" si="3">IFERROR(E6/D6, "")</f>
        <v/>
      </c>
      <c r="G6" s="15">
        <v>25194.880000000001</v>
      </c>
      <c r="H6" s="15">
        <f t="shared" si="1"/>
        <v>8662.119999999999</v>
      </c>
      <c r="I6" s="16">
        <f t="shared" si="2"/>
        <v>0.34380477303325113</v>
      </c>
      <c r="J6" s="41"/>
      <c r="K6" s="41"/>
    </row>
    <row r="7" spans="1:11" ht="15.75">
      <c r="A7" s="30" t="str">
        <v>Kohls - Brick</v>
      </c>
      <c r="B7" s="31" t="str">
        <v>NJ</v>
      </c>
      <c r="C7" s="11">
        <v>40162</v>
      </c>
      <c r="D7" s="18">
        <v>0</v>
      </c>
      <c r="E7" s="18">
        <f t="shared" si="0"/>
        <v>40162</v>
      </c>
      <c r="F7" s="19" t="str">
        <f t="shared" si="3"/>
        <v/>
      </c>
      <c r="G7" s="20">
        <v>29382.87</v>
      </c>
      <c r="H7" s="20">
        <f t="shared" si="1"/>
        <v>10779.130000000001</v>
      </c>
      <c r="I7" s="19">
        <f t="shared" si="2"/>
        <v>0.36685082158414073</v>
      </c>
      <c r="J7" s="54" t="s">
        <v>197</v>
      </c>
      <c r="K7" s="54" t="s">
        <v>198</v>
      </c>
    </row>
    <row r="8" spans="1:11" ht="15.75">
      <c r="A8" s="28" t="str">
        <v>Kohls - Buffalo</v>
      </c>
      <c r="B8" s="29" t="str">
        <v>NY</v>
      </c>
      <c r="C8" s="24">
        <v>31115</v>
      </c>
      <c r="D8" s="13">
        <v>0</v>
      </c>
      <c r="E8" s="13">
        <f t="shared" si="0"/>
        <v>31115</v>
      </c>
      <c r="F8" s="14" t="str">
        <f t="shared" si="3"/>
        <v/>
      </c>
      <c r="G8" s="15">
        <v>26138</v>
      </c>
      <c r="H8" s="15">
        <f t="shared" si="1"/>
        <v>4977</v>
      </c>
      <c r="I8" s="16">
        <f t="shared" si="2"/>
        <v>0.19041242635243708</v>
      </c>
      <c r="J8" s="41"/>
      <c r="K8" s="41"/>
    </row>
    <row r="9" spans="1:11" ht="15.75">
      <c r="A9" s="30" t="str">
        <v>Kohls - Canton</v>
      </c>
      <c r="B9" s="31" t="str">
        <v>CT</v>
      </c>
      <c r="C9" s="11">
        <v>13538</v>
      </c>
      <c r="D9" s="18">
        <v>0</v>
      </c>
      <c r="E9" s="18">
        <f t="shared" si="0"/>
        <v>13538</v>
      </c>
      <c r="F9" s="19" t="str">
        <f t="shared" si="3"/>
        <v/>
      </c>
      <c r="G9" s="20">
        <v>9805.2999999999993</v>
      </c>
      <c r="H9" s="20">
        <f t="shared" si="1"/>
        <v>3732.7000000000007</v>
      </c>
      <c r="I9" s="19">
        <f t="shared" si="2"/>
        <v>0.38068187612821647</v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>
        <v>29126</v>
      </c>
      <c r="D10" s="13">
        <v>0</v>
      </c>
      <c r="E10" s="13">
        <f t="shared" si="0"/>
        <v>29126</v>
      </c>
      <c r="F10" s="14" t="str">
        <f t="shared" si="3"/>
        <v/>
      </c>
      <c r="G10" s="15">
        <v>22465.16</v>
      </c>
      <c r="H10" s="15">
        <f t="shared" si="1"/>
        <v>6660.84</v>
      </c>
      <c r="I10" s="16">
        <f t="shared" si="2"/>
        <v>0.29649644160112815</v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>
        <v>47425</v>
      </c>
      <c r="D11" s="18">
        <v>0</v>
      </c>
      <c r="E11" s="18">
        <f t="shared" si="0"/>
        <v>47425</v>
      </c>
      <c r="F11" s="19" t="str">
        <f t="shared" si="3"/>
        <v/>
      </c>
      <c r="G11" s="20">
        <v>37481.589999999997</v>
      </c>
      <c r="H11" s="20">
        <f t="shared" si="1"/>
        <v>9943.4100000000035</v>
      </c>
      <c r="I11" s="19">
        <f t="shared" si="2"/>
        <v>0.26528783864291788</v>
      </c>
      <c r="J11" s="42"/>
      <c r="K11" s="43"/>
    </row>
    <row r="12" spans="1:11" ht="15.75">
      <c r="A12" s="28" t="str">
        <v>Kohls - Edgewood</v>
      </c>
      <c r="B12" s="29" t="str">
        <v>MD</v>
      </c>
      <c r="C12" s="24">
        <v>241133</v>
      </c>
      <c r="D12" s="13">
        <v>0</v>
      </c>
      <c r="E12" s="13">
        <f t="shared" si="0"/>
        <v>241133</v>
      </c>
      <c r="F12" s="14" t="str">
        <f t="shared" si="3"/>
        <v/>
      </c>
      <c r="G12" s="15">
        <v>222708.51</v>
      </c>
      <c r="H12" s="15">
        <f t="shared" si="1"/>
        <v>18424.489999999991</v>
      </c>
      <c r="I12" s="16">
        <f t="shared" si="2"/>
        <v>8.2729169172745087E-2</v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>
        <v>31303</v>
      </c>
      <c r="D13" s="18">
        <v>0</v>
      </c>
      <c r="E13" s="18">
        <f t="shared" si="0"/>
        <v>31303</v>
      </c>
      <c r="F13" s="19" t="str">
        <f t="shared" si="3"/>
        <v/>
      </c>
      <c r="G13" s="20">
        <v>25269.72</v>
      </c>
      <c r="H13" s="20">
        <f t="shared" si="1"/>
        <v>6033.2799999999988</v>
      </c>
      <c r="I13" s="19">
        <f t="shared" si="2"/>
        <v>0.23875531663983607</v>
      </c>
      <c r="J13" s="42"/>
      <c r="K13" s="43"/>
    </row>
    <row r="14" spans="1:11" ht="55.5" customHeight="1">
      <c r="A14" s="28" t="str">
        <v>Kohls - Greece</v>
      </c>
      <c r="B14" s="29" t="str">
        <v>NY</v>
      </c>
      <c r="C14" s="24">
        <v>18182</v>
      </c>
      <c r="D14" s="13">
        <v>0</v>
      </c>
      <c r="E14" s="13">
        <f t="shared" si="0"/>
        <v>18182</v>
      </c>
      <c r="F14" s="14" t="str">
        <f t="shared" si="3"/>
        <v/>
      </c>
      <c r="G14" s="15">
        <v>25020</v>
      </c>
      <c r="H14" s="15">
        <f t="shared" si="1"/>
        <v>-6838</v>
      </c>
      <c r="I14" s="16">
        <f t="shared" si="2"/>
        <v>-0.27330135891286972</v>
      </c>
      <c r="J14" s="41" t="s">
        <v>199</v>
      </c>
      <c r="K14" s="41" t="s">
        <v>200</v>
      </c>
    </row>
    <row r="15" spans="1:11" ht="15.75">
      <c r="A15" s="30" t="str">
        <v>Kohls - Hanover</v>
      </c>
      <c r="B15" s="31" t="str">
        <v>PA</v>
      </c>
      <c r="C15" s="11">
        <v>29105</v>
      </c>
      <c r="D15" s="18">
        <v>0</v>
      </c>
      <c r="E15" s="18">
        <f t="shared" si="0"/>
        <v>29105</v>
      </c>
      <c r="F15" s="19" t="str">
        <f t="shared" si="3"/>
        <v/>
      </c>
      <c r="G15" s="20">
        <v>27409.15</v>
      </c>
      <c r="H15" s="20">
        <f t="shared" si="1"/>
        <v>1695.8499999999985</v>
      </c>
      <c r="I15" s="19">
        <f t="shared" si="2"/>
        <v>6.1871674240171565E-2</v>
      </c>
      <c r="J15" s="54" t="s">
        <v>201</v>
      </c>
      <c r="K15" s="54" t="s">
        <v>202</v>
      </c>
    </row>
    <row r="16" spans="1:11" ht="15.75">
      <c r="A16" s="28" t="str">
        <v>Kohls - Horsehead</v>
      </c>
      <c r="B16" s="29" t="str">
        <v>NY</v>
      </c>
      <c r="C16" s="24">
        <v>23925</v>
      </c>
      <c r="D16" s="13">
        <v>0</v>
      </c>
      <c r="E16" s="13">
        <f t="shared" si="0"/>
        <v>23925</v>
      </c>
      <c r="F16" s="14" t="str">
        <f t="shared" si="3"/>
        <v/>
      </c>
      <c r="G16" s="15">
        <v>20734.3</v>
      </c>
      <c r="H16" s="15">
        <f t="shared" si="1"/>
        <v>3190.7000000000007</v>
      </c>
      <c r="I16" s="16">
        <f t="shared" si="2"/>
        <v>0.15388510825057999</v>
      </c>
      <c r="J16" s="41"/>
      <c r="K16" s="41"/>
    </row>
    <row r="17" spans="1:11" ht="15.75">
      <c r="A17" s="30" t="str">
        <v>Kohls - Hudson</v>
      </c>
      <c r="B17" s="31" t="str">
        <v>NY</v>
      </c>
      <c r="C17" s="11">
        <v>29274</v>
      </c>
      <c r="D17" s="18">
        <v>0</v>
      </c>
      <c r="E17" s="18">
        <f t="shared" si="0"/>
        <v>29274</v>
      </c>
      <c r="F17" s="19" t="str">
        <f t="shared" si="3"/>
        <v/>
      </c>
      <c r="G17" s="20">
        <v>23537.15</v>
      </c>
      <c r="H17" s="20">
        <f t="shared" si="1"/>
        <v>5736.8499999999985</v>
      </c>
      <c r="I17" s="19">
        <f t="shared" si="2"/>
        <v>0.2437359663340718</v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>
        <v>23326</v>
      </c>
      <c r="D18" s="13">
        <v>0</v>
      </c>
      <c r="E18" s="13">
        <f t="shared" si="0"/>
        <v>23326</v>
      </c>
      <c r="F18" s="14"/>
      <c r="G18" s="15">
        <v>25168.13</v>
      </c>
      <c r="H18" s="15">
        <f t="shared" si="1"/>
        <v>-1842.130000000001</v>
      </c>
      <c r="I18" s="19">
        <f t="shared" si="2"/>
        <v>-7.3192962687335175E-2</v>
      </c>
      <c r="J18" s="41"/>
      <c r="K18" s="41"/>
    </row>
    <row r="19" spans="1:11" ht="15.75">
      <c r="A19" s="30" t="str">
        <v>Kohls - Kingston</v>
      </c>
      <c r="B19" s="31" t="str">
        <v>NY</v>
      </c>
      <c r="C19" s="11">
        <v>38330</v>
      </c>
      <c r="D19" s="18">
        <v>0</v>
      </c>
      <c r="E19" s="18">
        <f t="shared" si="0"/>
        <v>38330</v>
      </c>
      <c r="F19" s="19"/>
      <c r="G19" s="20">
        <v>37099.620000000003</v>
      </c>
      <c r="H19" s="20">
        <f t="shared" si="1"/>
        <v>1230.3799999999974</v>
      </c>
      <c r="I19" s="16">
        <f t="shared" si="2"/>
        <v>3.3164221089056901E-2</v>
      </c>
      <c r="J19" s="42" t="s">
        <v>203</v>
      </c>
      <c r="K19" s="42" t="s">
        <v>204</v>
      </c>
    </row>
    <row r="20" spans="1:11" ht="15.75">
      <c r="A20" s="28" t="str">
        <v>Kohls - Mechanicsburg</v>
      </c>
      <c r="B20" s="29" t="str">
        <v>PA</v>
      </c>
      <c r="C20" s="24">
        <v>38446</v>
      </c>
      <c r="D20" s="13">
        <v>0</v>
      </c>
      <c r="E20" s="13">
        <f t="shared" si="0"/>
        <v>38446</v>
      </c>
      <c r="F20" s="14"/>
      <c r="G20" s="15">
        <v>32050.36</v>
      </c>
      <c r="H20" s="15">
        <f t="shared" si="1"/>
        <v>6395.6399999999994</v>
      </c>
      <c r="I20" s="19">
        <f t="shared" si="2"/>
        <v>0.19954970864601831</v>
      </c>
      <c r="J20" s="41"/>
      <c r="K20" s="41"/>
    </row>
    <row r="21" spans="1:11" ht="15.75">
      <c r="A21" s="30" t="str">
        <v>Kohls - Middletown</v>
      </c>
      <c r="B21" s="31" t="str">
        <v>NJ</v>
      </c>
      <c r="C21" s="11">
        <v>58440</v>
      </c>
      <c r="D21" s="18">
        <v>0</v>
      </c>
      <c r="E21" s="18">
        <f t="shared" si="0"/>
        <v>58440</v>
      </c>
      <c r="F21" s="19"/>
      <c r="G21" s="20">
        <v>46891</v>
      </c>
      <c r="H21" s="20">
        <f t="shared" si="1"/>
        <v>11549</v>
      </c>
      <c r="I21" s="19">
        <f t="shared" si="2"/>
        <v>0.2462945981105116</v>
      </c>
      <c r="J21" s="42"/>
      <c r="K21" s="43"/>
    </row>
    <row r="22" spans="1:11" ht="28.5">
      <c r="A22" s="28" t="str">
        <v>Kohls - North Amherst</v>
      </c>
      <c r="B22" s="29" t="str">
        <v>NY</v>
      </c>
      <c r="C22" s="24">
        <v>0</v>
      </c>
      <c r="D22" s="13">
        <v>0</v>
      </c>
      <c r="E22" s="13">
        <f t="shared" si="0"/>
        <v>0</v>
      </c>
      <c r="F22" s="14"/>
      <c r="G22" s="15">
        <v>21845</v>
      </c>
      <c r="H22" s="15">
        <f t="shared" si="1"/>
        <v>-21845</v>
      </c>
      <c r="I22" s="16">
        <f t="shared" si="2"/>
        <v>-1</v>
      </c>
      <c r="J22" s="41" t="s">
        <v>205</v>
      </c>
      <c r="K22" s="41" t="s">
        <v>105</v>
      </c>
    </row>
    <row r="23" spans="1:11" ht="15.75">
      <c r="A23" s="30" t="str">
        <v>Kohls - Staten Island</v>
      </c>
      <c r="B23" s="31" t="str">
        <v>NY</v>
      </c>
      <c r="C23" s="11">
        <v>0</v>
      </c>
      <c r="D23" s="18">
        <v>0</v>
      </c>
      <c r="E23" s="18">
        <f t="shared" si="0"/>
        <v>0</v>
      </c>
      <c r="F23" s="19"/>
      <c r="G23" s="20">
        <v>29148.38</v>
      </c>
      <c r="H23" s="20">
        <f t="shared" si="1"/>
        <v>-29148.38</v>
      </c>
      <c r="I23" s="19">
        <f t="shared" si="2"/>
        <v>-1</v>
      </c>
      <c r="J23" s="42" t="s">
        <v>206</v>
      </c>
      <c r="K23" s="42" t="s">
        <v>107</v>
      </c>
    </row>
    <row r="24" spans="1:11" ht="15.75">
      <c r="A24" s="28" t="str">
        <v>Kohls - Warminster</v>
      </c>
      <c r="B24" s="29" t="str">
        <v>PA</v>
      </c>
      <c r="C24" s="24">
        <v>40216</v>
      </c>
      <c r="D24" s="13">
        <v>0</v>
      </c>
      <c r="E24" s="13">
        <f t="shared" si="0"/>
        <v>40216</v>
      </c>
      <c r="F24" s="14"/>
      <c r="G24" s="15">
        <v>30992.5</v>
      </c>
      <c r="H24" s="15">
        <f t="shared" si="1"/>
        <v>9223.5</v>
      </c>
      <c r="I24" s="19">
        <f t="shared" si="2"/>
        <v>0.29760425909494231</v>
      </c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>
        <v>33364</v>
      </c>
      <c r="D25" s="18">
        <v>0</v>
      </c>
      <c r="E25" s="18">
        <f t="shared" si="0"/>
        <v>33364</v>
      </c>
      <c r="F25" s="19"/>
      <c r="G25" s="20">
        <v>26850</v>
      </c>
      <c r="H25" s="20">
        <f t="shared" si="1"/>
        <v>6514</v>
      </c>
      <c r="I25" s="16">
        <f t="shared" si="2"/>
        <v>0.2426070763500931</v>
      </c>
      <c r="J25" s="42"/>
      <c r="K25" s="43"/>
    </row>
    <row r="26" spans="1:11" ht="15.75">
      <c r="A26" s="28" t="str">
        <v>Mojave Water Agency - Headquarters</v>
      </c>
      <c r="B26" s="29" t="str">
        <v>CA</v>
      </c>
      <c r="C26" s="24">
        <v>34879</v>
      </c>
      <c r="D26" s="13">
        <v>0</v>
      </c>
      <c r="E26" s="13">
        <f t="shared" si="0"/>
        <v>34879</v>
      </c>
      <c r="F26" s="14"/>
      <c r="G26" s="15">
        <v>31892.25</v>
      </c>
      <c r="H26" s="15">
        <f t="shared" si="1"/>
        <v>2986.75</v>
      </c>
      <c r="I26" s="19">
        <f t="shared" si="2"/>
        <v>9.3651278915724043E-2</v>
      </c>
      <c r="J26" s="41"/>
      <c r="K26" s="41"/>
    </row>
    <row r="27" spans="1:11" ht="15.75">
      <c r="A27" s="30" t="str">
        <v>CSU - Bakersfield</v>
      </c>
      <c r="B27" s="31" t="str">
        <v>CA</v>
      </c>
      <c r="C27" s="11">
        <v>76523</v>
      </c>
      <c r="D27" s="18">
        <v>0</v>
      </c>
      <c r="E27" s="18">
        <f t="shared" si="0"/>
        <v>76523</v>
      </c>
      <c r="F27" s="19"/>
      <c r="G27" s="20">
        <v>112301.3</v>
      </c>
      <c r="H27" s="20">
        <f t="shared" si="1"/>
        <v>-35778.300000000003</v>
      </c>
      <c r="I27" s="16">
        <f t="shared" si="2"/>
        <v>-0.31859203767008931</v>
      </c>
      <c r="J27" s="42" t="s">
        <v>207</v>
      </c>
      <c r="K27" s="43" t="s">
        <v>208</v>
      </c>
    </row>
    <row r="28" spans="1:11" ht="15.75">
      <c r="A28" s="28" t="str">
        <v>Greenfield USD - Fairfield ES</v>
      </c>
      <c r="B28" s="29" t="str">
        <v>CA</v>
      </c>
      <c r="C28" s="24">
        <v>8191</v>
      </c>
      <c r="D28" s="13">
        <v>0</v>
      </c>
      <c r="E28" s="13">
        <f t="shared" si="0"/>
        <v>8191</v>
      </c>
      <c r="F28" s="14"/>
      <c r="G28" s="15">
        <v>12153.64</v>
      </c>
      <c r="H28" s="15">
        <f t="shared" si="1"/>
        <v>-3962.6399999999994</v>
      </c>
      <c r="I28" s="19">
        <f t="shared" si="2"/>
        <v>-0.32604553039254081</v>
      </c>
      <c r="J28" s="41"/>
      <c r="K28" s="41"/>
    </row>
    <row r="29" spans="1:11" ht="15.75">
      <c r="A29" s="30" t="str">
        <v>Greenfield USD - Granite Point ES</v>
      </c>
      <c r="B29" s="31" t="str">
        <v>CA</v>
      </c>
      <c r="C29" s="11">
        <v>25226</v>
      </c>
      <c r="D29" s="18">
        <v>0</v>
      </c>
      <c r="E29" s="18">
        <f t="shared" si="0"/>
        <v>25226</v>
      </c>
      <c r="F29" s="19"/>
      <c r="G29" s="20">
        <v>31854.95</v>
      </c>
      <c r="H29" s="20">
        <f t="shared" si="1"/>
        <v>-6628.9500000000007</v>
      </c>
      <c r="I29" s="16">
        <f t="shared" si="2"/>
        <v>-0.20809795651853166</v>
      </c>
      <c r="J29" s="42"/>
      <c r="K29" s="43"/>
    </row>
    <row r="30" spans="1:11" ht="15.75">
      <c r="A30" s="28" t="str">
        <v>Greenfield USD - Greenfield MS</v>
      </c>
      <c r="B30" s="29" t="str">
        <v>CA</v>
      </c>
      <c r="C30" s="24">
        <v>14311</v>
      </c>
      <c r="D30" s="13">
        <v>0</v>
      </c>
      <c r="E30" s="13">
        <f t="shared" si="0"/>
        <v>14311</v>
      </c>
      <c r="F30" s="14"/>
      <c r="G30" s="15">
        <v>21891.366999999998</v>
      </c>
      <c r="H30" s="15">
        <f t="shared" si="1"/>
        <v>-7580.3669999999984</v>
      </c>
      <c r="I30" s="19">
        <f t="shared" si="2"/>
        <v>-0.34627198018287297</v>
      </c>
      <c r="J30" s="41"/>
      <c r="K30" s="41"/>
    </row>
    <row r="31" spans="1:11" ht="15.75">
      <c r="A31" s="30" t="str">
        <v>Greenfield USD - Horizon ES</v>
      </c>
      <c r="B31" s="31" t="str">
        <v>CA</v>
      </c>
      <c r="C31" s="11">
        <v>5706</v>
      </c>
      <c r="D31" s="18">
        <v>0</v>
      </c>
      <c r="E31" s="18">
        <f t="shared" si="0"/>
        <v>5706</v>
      </c>
      <c r="F31" s="19"/>
      <c r="G31" s="20">
        <v>32601.01</v>
      </c>
      <c r="H31" s="20">
        <f t="shared" si="1"/>
        <v>-26895.01</v>
      </c>
      <c r="I31" s="16">
        <f t="shared" si="2"/>
        <v>-0.82497474771487145</v>
      </c>
      <c r="J31" s="54" t="s">
        <v>209</v>
      </c>
      <c r="K31" s="54" t="s">
        <v>113</v>
      </c>
    </row>
    <row r="32" spans="1:11" ht="15.75">
      <c r="A32" s="28" t="str">
        <v>Greenfield USD - McKee MS</v>
      </c>
      <c r="B32" s="29" t="str">
        <v>CA</v>
      </c>
      <c r="C32" s="24">
        <v>8694</v>
      </c>
      <c r="D32" s="13">
        <v>0</v>
      </c>
      <c r="E32" s="13">
        <f t="shared" si="0"/>
        <v>8694</v>
      </c>
      <c r="F32" s="14"/>
      <c r="G32" s="15">
        <v>19956.78</v>
      </c>
      <c r="H32" s="15">
        <f t="shared" si="1"/>
        <v>-11262.779999999999</v>
      </c>
      <c r="I32" s="19">
        <f t="shared" si="2"/>
        <v>-0.56435857888897911</v>
      </c>
      <c r="J32" s="41"/>
      <c r="K32" s="41"/>
    </row>
    <row r="33" spans="1:11" ht="15.75">
      <c r="A33" s="30" t="str">
        <v>Greenfield USD - Plantation ES</v>
      </c>
      <c r="B33" s="31" t="str">
        <v>CA</v>
      </c>
      <c r="C33" s="11">
        <v>11303</v>
      </c>
      <c r="D33" s="18">
        <v>0</v>
      </c>
      <c r="E33" s="18">
        <f t="shared" si="0"/>
        <v>11303</v>
      </c>
      <c r="F33" s="19"/>
      <c r="G33" s="20">
        <v>14190.05</v>
      </c>
      <c r="H33" s="20">
        <f t="shared" si="1"/>
        <v>-2887.0499999999993</v>
      </c>
      <c r="I33" s="16">
        <f t="shared" si="2"/>
        <v>-0.2034559427204273</v>
      </c>
      <c r="J33" s="42"/>
      <c r="K33" s="43"/>
    </row>
    <row r="34" spans="1:11" ht="15.75">
      <c r="A34" s="28" t="str">
        <v>Greenfield USD - Planz ES</v>
      </c>
      <c r="B34" s="29" t="str">
        <v>CA</v>
      </c>
      <c r="C34" s="24">
        <v>4420</v>
      </c>
      <c r="D34" s="13">
        <v>0</v>
      </c>
      <c r="E34" s="13">
        <f t="shared" si="0"/>
        <v>4420</v>
      </c>
      <c r="F34" s="14"/>
      <c r="G34" s="15">
        <v>16874.400000000001</v>
      </c>
      <c r="H34" s="15">
        <f t="shared" si="1"/>
        <v>-12454.400000000001</v>
      </c>
      <c r="I34" s="19">
        <f t="shared" si="2"/>
        <v>-0.73806476082112549</v>
      </c>
      <c r="J34" s="41"/>
      <c r="K34" s="41"/>
    </row>
    <row r="35" spans="1:11" ht="28.5">
      <c r="A35" s="30" t="str">
        <v>Greenfield USD - Raffaello Palla ES</v>
      </c>
      <c r="B35" s="31" t="str">
        <v>CA</v>
      </c>
      <c r="C35" s="11">
        <v>13511</v>
      </c>
      <c r="D35" s="18">
        <v>0</v>
      </c>
      <c r="E35" s="18">
        <f t="shared" si="0"/>
        <v>13511</v>
      </c>
      <c r="F35" s="19"/>
      <c r="G35" s="20">
        <v>36062.9</v>
      </c>
      <c r="H35" s="20">
        <f t="shared" si="1"/>
        <v>-22551.9</v>
      </c>
      <c r="I35" s="16">
        <f t="shared" si="2"/>
        <v>-0.62534904292222759</v>
      </c>
      <c r="J35" s="42" t="s">
        <v>210</v>
      </c>
      <c r="K35" s="54" t="s">
        <v>211</v>
      </c>
    </row>
    <row r="36" spans="1:11" ht="15.75">
      <c r="A36" s="28" t="str">
        <v>Greenfield USD - Valle Verde ES</v>
      </c>
      <c r="B36" s="29" t="str">
        <v>CA</v>
      </c>
      <c r="C36" s="24">
        <v>22720</v>
      </c>
      <c r="D36" s="13">
        <v>0</v>
      </c>
      <c r="E36" s="13">
        <f t="shared" si="0"/>
        <v>22720</v>
      </c>
      <c r="F36" s="14"/>
      <c r="G36" s="15">
        <v>33619.22</v>
      </c>
      <c r="H36" s="15">
        <f t="shared" si="1"/>
        <v>-10899.220000000001</v>
      </c>
      <c r="I36" s="19">
        <f t="shared" si="2"/>
        <v>-0.32419609973104674</v>
      </c>
      <c r="J36" s="41"/>
      <c r="K36" s="41"/>
    </row>
    <row r="37" spans="1:11" ht="28.5">
      <c r="A37" s="30" t="str">
        <v>Greenfield USD - W.A. Kendrick ES</v>
      </c>
      <c r="B37" s="31" t="str">
        <v>CA</v>
      </c>
      <c r="C37" s="11">
        <v>4670.18</v>
      </c>
      <c r="D37" s="18">
        <v>0</v>
      </c>
      <c r="E37" s="18">
        <f t="shared" si="0"/>
        <v>4670.18</v>
      </c>
      <c r="F37" s="19"/>
      <c r="G37" s="20">
        <v>12940.44</v>
      </c>
      <c r="H37" s="20">
        <f t="shared" si="1"/>
        <v>-8270.26</v>
      </c>
      <c r="I37" s="16">
        <f t="shared" si="2"/>
        <v>-0.63910191616359258</v>
      </c>
      <c r="J37" s="42" t="s">
        <v>212</v>
      </c>
      <c r="K37" s="82" t="s">
        <v>213</v>
      </c>
    </row>
    <row r="38" spans="1:11" ht="15.75">
      <c r="A38" s="28" t="str">
        <v>Muroc Joint USD - Boron HS</v>
      </c>
      <c r="B38" s="29" t="str">
        <v>CA</v>
      </c>
      <c r="C38" s="24">
        <v>0</v>
      </c>
      <c r="D38" s="13">
        <v>0</v>
      </c>
      <c r="E38" s="13">
        <f t="shared" si="0"/>
        <v>0</v>
      </c>
      <c r="F38" s="14"/>
      <c r="G38" s="15">
        <v>31712.65</v>
      </c>
      <c r="H38" s="15">
        <f t="shared" si="1"/>
        <v>-31712.65</v>
      </c>
      <c r="I38" s="19">
        <f t="shared" si="2"/>
        <v>-1</v>
      </c>
      <c r="J38" s="41" t="s">
        <v>120</v>
      </c>
      <c r="K38" s="41" t="s">
        <v>214</v>
      </c>
    </row>
    <row r="39" spans="1:11" ht="15.75">
      <c r="A39" s="30" t="str">
        <v>Muroc Joint USD - W. Boron ES</v>
      </c>
      <c r="B39" s="31" t="str">
        <v>CA</v>
      </c>
      <c r="C39" s="11">
        <v>11543</v>
      </c>
      <c r="D39" s="18">
        <v>0</v>
      </c>
      <c r="E39" s="18">
        <f t="shared" si="0"/>
        <v>11543</v>
      </c>
      <c r="F39" s="19"/>
      <c r="G39" s="20">
        <v>11734.91</v>
      </c>
      <c r="H39" s="20">
        <f t="shared" si="1"/>
        <v>-191.90999999999985</v>
      </c>
      <c r="I39" s="16">
        <f t="shared" si="2"/>
        <v>-1.6353768371465981E-2</v>
      </c>
      <c r="J39" s="42"/>
      <c r="K39" s="43"/>
    </row>
    <row r="40" spans="1:11" ht="15.75">
      <c r="A40" s="28" t="str">
        <v>Colusa - WTP</v>
      </c>
      <c r="B40" s="29" t="str">
        <v>CA</v>
      </c>
      <c r="C40" s="24">
        <v>0</v>
      </c>
      <c r="D40" s="13">
        <v>0</v>
      </c>
      <c r="E40" s="13">
        <f t="shared" si="0"/>
        <v>0</v>
      </c>
      <c r="F40" s="14"/>
      <c r="G40" s="15">
        <v>36153</v>
      </c>
      <c r="H40" s="15">
        <f t="shared" si="1"/>
        <v>-36153</v>
      </c>
      <c r="I40" s="19">
        <f t="shared" si="2"/>
        <v>-1</v>
      </c>
      <c r="J40" s="41" t="s">
        <v>120</v>
      </c>
      <c r="K40" s="41" t="s">
        <v>121</v>
      </c>
    </row>
    <row r="41" spans="1:11" ht="28.5">
      <c r="A41" s="30" t="str">
        <v>CDCR-North Kern State Prision</v>
      </c>
      <c r="B41" s="31" t="str">
        <v>CA</v>
      </c>
      <c r="C41" s="11">
        <v>33262</v>
      </c>
      <c r="D41" s="18">
        <v>0</v>
      </c>
      <c r="E41" s="18">
        <f t="shared" si="0"/>
        <v>33262</v>
      </c>
      <c r="F41" s="19"/>
      <c r="G41" s="20">
        <v>156257.15</v>
      </c>
      <c r="H41" s="20">
        <f t="shared" si="1"/>
        <v>-122995.15</v>
      </c>
      <c r="I41" s="16">
        <f t="shared" si="2"/>
        <v>-0.7871329407966291</v>
      </c>
      <c r="J41" s="42" t="s">
        <v>215</v>
      </c>
      <c r="K41" s="84" t="s">
        <v>123</v>
      </c>
    </row>
    <row r="42" spans="1:11" ht="15.75">
      <c r="A42" s="28" t="str">
        <v>Muroc Joint USD - District Office</v>
      </c>
      <c r="B42" s="29" t="str">
        <v>CA</v>
      </c>
      <c r="C42" s="24">
        <v>5851</v>
      </c>
      <c r="D42" s="13">
        <v>0</v>
      </c>
      <c r="E42" s="13">
        <f t="shared" si="0"/>
        <v>5851</v>
      </c>
      <c r="F42" s="14"/>
      <c r="G42" s="15">
        <v>8253.7800000000007</v>
      </c>
      <c r="H42" s="15">
        <f t="shared" si="1"/>
        <v>-2402.7800000000007</v>
      </c>
      <c r="I42" s="19">
        <f t="shared" si="2"/>
        <v>-0.2911126780699268</v>
      </c>
      <c r="J42" s="41"/>
      <c r="K42" s="41"/>
    </row>
    <row r="43" spans="1:11" ht="15.75">
      <c r="A43" s="30" t="str">
        <v>Whole Foods - Manhattan Beach</v>
      </c>
      <c r="B43" s="31" t="str">
        <v>CA</v>
      </c>
      <c r="C43" s="11">
        <v>14239</v>
      </c>
      <c r="D43" s="18">
        <v>0</v>
      </c>
      <c r="E43" s="18">
        <f t="shared" si="0"/>
        <v>14239</v>
      </c>
      <c r="F43" s="19"/>
      <c r="G43" s="20">
        <v>17280.2</v>
      </c>
      <c r="H43" s="20">
        <f t="shared" si="1"/>
        <v>-3041.2000000000007</v>
      </c>
      <c r="I43" s="16">
        <f t="shared" si="2"/>
        <v>-0.17599333341049297</v>
      </c>
      <c r="J43" s="54" t="s">
        <v>126</v>
      </c>
      <c r="K43" s="54" t="s">
        <v>167</v>
      </c>
    </row>
    <row r="44" spans="1:11" ht="15.75">
      <c r="A44" s="28" t="str">
        <v>Pioneer USD - Frontier ES</v>
      </c>
      <c r="B44" s="29" t="str">
        <v>CA</v>
      </c>
      <c r="C44" s="24">
        <v>17138</v>
      </c>
      <c r="D44" s="13">
        <v>0</v>
      </c>
      <c r="E44" s="13">
        <f t="shared" si="0"/>
        <v>17138</v>
      </c>
      <c r="F44" s="14"/>
      <c r="G44" s="15">
        <v>30064.09</v>
      </c>
      <c r="H44" s="15">
        <f t="shared" si="1"/>
        <v>-12926.09</v>
      </c>
      <c r="I44" s="19">
        <f t="shared" si="2"/>
        <v>-0.4299511476981342</v>
      </c>
      <c r="J44" s="41" t="s">
        <v>216</v>
      </c>
      <c r="K44" s="41" t="s">
        <v>217</v>
      </c>
    </row>
    <row r="45" spans="1:11" ht="42.75">
      <c r="A45" s="30" t="str">
        <v>Pioneer USD - Pioneer ES</v>
      </c>
      <c r="B45" s="31" t="str">
        <v>CA</v>
      </c>
      <c r="C45" s="11">
        <v>3736</v>
      </c>
      <c r="D45" s="18">
        <v>0</v>
      </c>
      <c r="E45" s="18">
        <f t="shared" si="0"/>
        <v>3736</v>
      </c>
      <c r="F45" s="19"/>
      <c r="G45" s="20">
        <v>30481</v>
      </c>
      <c r="H45" s="20">
        <f t="shared" si="1"/>
        <v>-26745</v>
      </c>
      <c r="I45" s="16">
        <f t="shared" si="2"/>
        <v>-0.87743184278731012</v>
      </c>
      <c r="J45" s="42" t="s">
        <v>218</v>
      </c>
      <c r="K45" s="42" t="s">
        <v>219</v>
      </c>
    </row>
    <row r="46" spans="1:11" ht="15.75">
      <c r="A46" s="28" t="str">
        <v>Pioneer USD - Pioneer MS</v>
      </c>
      <c r="B46" s="29" t="str">
        <v>CA</v>
      </c>
      <c r="C46" s="24">
        <v>20048</v>
      </c>
      <c r="D46" s="13">
        <v>0</v>
      </c>
      <c r="E46" s="13">
        <f t="shared" si="0"/>
        <v>20048</v>
      </c>
      <c r="F46" s="14"/>
      <c r="G46" s="15">
        <v>41077.89</v>
      </c>
      <c r="H46" s="15">
        <f t="shared" si="1"/>
        <v>-21029.89</v>
      </c>
      <c r="I46" s="19">
        <f t="shared" si="2"/>
        <v>-0.51195156323754698</v>
      </c>
      <c r="J46" s="41" t="s">
        <v>216</v>
      </c>
      <c r="K46" s="41" t="s">
        <v>220</v>
      </c>
    </row>
    <row r="47" spans="1:11" ht="57">
      <c r="A47" s="30" t="str">
        <v>Kingsburg Joint UHSD - Kingsburg HS</v>
      </c>
      <c r="B47" s="31" t="str">
        <v>CA</v>
      </c>
      <c r="C47" s="11">
        <v>2619</v>
      </c>
      <c r="D47" s="18">
        <v>0</v>
      </c>
      <c r="E47" s="18">
        <f t="shared" si="0"/>
        <v>2619</v>
      </c>
      <c r="F47" s="19"/>
      <c r="G47" s="20">
        <v>74894.39</v>
      </c>
      <c r="H47" s="20">
        <f t="shared" si="1"/>
        <v>-72275.39</v>
      </c>
      <c r="I47" s="16">
        <f t="shared" si="2"/>
        <v>-0.9650307586456075</v>
      </c>
      <c r="J47" s="42" t="s">
        <v>221</v>
      </c>
      <c r="K47" s="54" t="s">
        <v>222</v>
      </c>
    </row>
    <row r="48" spans="1:11" ht="57">
      <c r="A48" s="28" t="str">
        <v>CADRB</v>
      </c>
      <c r="B48" s="29" t="str">
        <v>CA</v>
      </c>
      <c r="C48" s="24">
        <v>205381</v>
      </c>
      <c r="D48" s="13">
        <v>0</v>
      </c>
      <c r="E48" s="13">
        <f t="shared" si="0"/>
        <v>205381</v>
      </c>
      <c r="F48" s="14"/>
      <c r="G48" s="15">
        <v>612719</v>
      </c>
      <c r="H48" s="15">
        <f t="shared" si="1"/>
        <v>-407338</v>
      </c>
      <c r="I48" s="19">
        <f t="shared" si="2"/>
        <v>-0.66480393132904314</v>
      </c>
      <c r="J48" s="41" t="s">
        <v>223</v>
      </c>
      <c r="K48" s="41" t="s">
        <v>224</v>
      </c>
    </row>
    <row r="49" spans="1:11" ht="15.75">
      <c r="A49" s="30" t="str">
        <v>CDCR-CA State Prison LA County</v>
      </c>
      <c r="B49" s="31" t="str">
        <v>CA</v>
      </c>
      <c r="C49" s="11">
        <v>210201</v>
      </c>
      <c r="D49" s="18">
        <v>0</v>
      </c>
      <c r="E49" s="18">
        <f t="shared" si="0"/>
        <v>210201</v>
      </c>
      <c r="F49" s="19"/>
      <c r="G49" s="20">
        <v>361554.67</v>
      </c>
      <c r="H49" s="20">
        <f t="shared" si="1"/>
        <v>-151353.66999999998</v>
      </c>
      <c r="I49" s="16">
        <f t="shared" si="2"/>
        <v>-0.41861904314498272</v>
      </c>
      <c r="J49" s="42"/>
      <c r="K49" s="43"/>
    </row>
    <row r="50" spans="1:11" ht="15.75">
      <c r="A50" s="28" t="str">
        <v>Central USD Akers ES</v>
      </c>
      <c r="B50" s="29" t="str">
        <v>CA</v>
      </c>
      <c r="C50" s="24">
        <v>21890</v>
      </c>
      <c r="D50" s="13">
        <v>0</v>
      </c>
      <c r="E50" s="13">
        <f t="shared" si="0"/>
        <v>21890</v>
      </c>
      <c r="F50" s="14"/>
      <c r="G50" s="15">
        <v>27997.61</v>
      </c>
      <c r="H50" s="15">
        <f t="shared" si="1"/>
        <v>-6107.6100000000006</v>
      </c>
      <c r="I50" s="19">
        <f t="shared" si="2"/>
        <v>-0.21814754902293448</v>
      </c>
      <c r="J50" s="41"/>
      <c r="K50" s="41"/>
    </row>
    <row r="51" spans="1:11" ht="15.75">
      <c r="A51" s="30" t="str">
        <v>CUSD - District Office</v>
      </c>
      <c r="B51" s="31" t="str">
        <v>CA</v>
      </c>
      <c r="C51" s="11">
        <v>17102</v>
      </c>
      <c r="D51" s="18">
        <v>0</v>
      </c>
      <c r="E51" s="18">
        <f t="shared" si="0"/>
        <v>17102</v>
      </c>
      <c r="F51" s="19"/>
      <c r="G51" s="20">
        <v>21181.119999999999</v>
      </c>
      <c r="H51" s="20">
        <f t="shared" si="1"/>
        <v>-4079.119999999999</v>
      </c>
      <c r="I51" s="16">
        <f t="shared" si="2"/>
        <v>-0.19258282848121341</v>
      </c>
      <c r="J51" s="42"/>
      <c r="K51" s="43"/>
    </row>
    <row r="52" spans="1:11" ht="57">
      <c r="A52" s="28" t="str">
        <v>Parlier - WTP</v>
      </c>
      <c r="B52" s="29" t="str">
        <v>CA</v>
      </c>
      <c r="C52" s="24">
        <v>12634</v>
      </c>
      <c r="D52" s="13">
        <v>0</v>
      </c>
      <c r="E52" s="13">
        <f t="shared" si="0"/>
        <v>12634</v>
      </c>
      <c r="F52" s="14"/>
      <c r="G52" s="15">
        <v>63569.5</v>
      </c>
      <c r="H52" s="15">
        <f t="shared" si="1"/>
        <v>-50935.5</v>
      </c>
      <c r="I52" s="19">
        <f t="shared" si="2"/>
        <v>-0.80125689206301765</v>
      </c>
      <c r="J52" s="41" t="s">
        <v>225</v>
      </c>
      <c r="K52" s="41" t="s">
        <v>226</v>
      </c>
    </row>
    <row r="53" spans="1:11" ht="15.75">
      <c r="A53" s="30" t="str">
        <v>Snowline SD - Quail Valley MS</v>
      </c>
      <c r="B53" s="31" t="str">
        <v>CA</v>
      </c>
      <c r="C53" s="11">
        <v>28593</v>
      </c>
      <c r="D53" s="18">
        <v>0</v>
      </c>
      <c r="E53" s="18">
        <f t="shared" si="0"/>
        <v>28593</v>
      </c>
      <c r="F53" s="19"/>
      <c r="G53" s="20">
        <v>33022</v>
      </c>
      <c r="H53" s="20">
        <f t="shared" si="1"/>
        <v>-4429</v>
      </c>
      <c r="I53" s="16">
        <f t="shared" si="2"/>
        <v>-0.13412270607473806</v>
      </c>
      <c r="J53" s="42" t="s">
        <v>227</v>
      </c>
      <c r="K53" s="43" t="s">
        <v>177</v>
      </c>
    </row>
    <row r="54" spans="1:11" ht="15.75">
      <c r="A54" s="28" t="str">
        <v>Snowline SD - Serrano HS - Middle Lot</v>
      </c>
      <c r="B54" s="29" t="str">
        <v>CA</v>
      </c>
      <c r="C54" s="24">
        <v>24694</v>
      </c>
      <c r="D54" s="13">
        <v>0</v>
      </c>
      <c r="E54" s="13">
        <f t="shared" si="0"/>
        <v>24694</v>
      </c>
      <c r="F54" s="14"/>
      <c r="G54" s="15">
        <v>38150.11</v>
      </c>
      <c r="H54" s="15">
        <f t="shared" si="1"/>
        <v>-13456.11</v>
      </c>
      <c r="I54" s="19">
        <f t="shared" si="2"/>
        <v>-0.35271484145130905</v>
      </c>
      <c r="J54" s="41"/>
      <c r="K54" s="41"/>
    </row>
    <row r="55" spans="1:11" ht="15.75">
      <c r="A55" s="30" t="str">
        <v>Snowline SD - Pinon Hills ES</v>
      </c>
      <c r="B55" s="31" t="str">
        <v>CA</v>
      </c>
      <c r="C55" s="11">
        <v>10815</v>
      </c>
      <c r="D55" s="18">
        <v>0</v>
      </c>
      <c r="E55" s="18">
        <f t="shared" si="0"/>
        <v>10815</v>
      </c>
      <c r="F55" s="19"/>
      <c r="G55" s="20">
        <v>20916.400000000001</v>
      </c>
      <c r="H55" s="20">
        <f t="shared" si="1"/>
        <v>-10101.400000000001</v>
      </c>
      <c r="I55" s="16">
        <f t="shared" si="2"/>
        <v>-0.48294161519190687</v>
      </c>
      <c r="J55" s="42" t="s">
        <v>228</v>
      </c>
      <c r="K55" s="43" t="s">
        <v>229</v>
      </c>
    </row>
    <row r="56" spans="1:11" ht="28.5">
      <c r="A56" s="28" t="str">
        <v>Ramona - Santa Maria WTP</v>
      </c>
      <c r="B56" s="29" t="str">
        <v>CA</v>
      </c>
      <c r="C56" s="24">
        <v>10132</v>
      </c>
      <c r="D56" s="13">
        <v>0</v>
      </c>
      <c r="E56" s="13">
        <f t="shared" si="0"/>
        <v>10132</v>
      </c>
      <c r="F56" s="14"/>
      <c r="G56" s="15">
        <v>58973.29</v>
      </c>
      <c r="H56" s="15">
        <f t="shared" si="1"/>
        <v>-48841.29</v>
      </c>
      <c r="I56" s="19">
        <f t="shared" si="2"/>
        <v>-0.82819340755789617</v>
      </c>
      <c r="J56" s="41" t="s">
        <v>230</v>
      </c>
      <c r="K56" s="41" t="s">
        <v>231</v>
      </c>
    </row>
    <row r="57" spans="1:11" ht="28.5">
      <c r="A57" s="30" t="str">
        <v>Kohls - Redding</v>
      </c>
      <c r="B57" s="31" t="str">
        <v>CA</v>
      </c>
      <c r="C57" s="11">
        <v>30550</v>
      </c>
      <c r="D57" s="18">
        <v>0</v>
      </c>
      <c r="E57" s="18">
        <f t="shared" si="0"/>
        <v>30550</v>
      </c>
      <c r="F57" s="19"/>
      <c r="G57" s="20">
        <v>25665.84</v>
      </c>
      <c r="H57" s="20">
        <f t="shared" si="1"/>
        <v>4884.16</v>
      </c>
      <c r="I57" s="16">
        <f t="shared" si="2"/>
        <v>0.19029807713287389</v>
      </c>
      <c r="J57" s="42" t="s">
        <v>181</v>
      </c>
      <c r="K57" s="54" t="s">
        <v>182</v>
      </c>
    </row>
    <row r="58" spans="1:11" ht="28.5">
      <c r="A58" s="28" t="str">
        <v>Kohls - Salinas</v>
      </c>
      <c r="B58" s="29" t="str">
        <v>CA</v>
      </c>
      <c r="C58" s="24">
        <v>30574</v>
      </c>
      <c r="D58" s="13">
        <v>0</v>
      </c>
      <c r="E58" s="13">
        <f t="shared" si="0"/>
        <v>30574</v>
      </c>
      <c r="F58" s="14"/>
      <c r="G58" s="15">
        <v>36619.32</v>
      </c>
      <c r="H58" s="15">
        <f t="shared" si="1"/>
        <v>-6045.32</v>
      </c>
      <c r="I58" s="19">
        <f t="shared" si="2"/>
        <v>-0.1650855340841938</v>
      </c>
      <c r="J58" s="41" t="s">
        <v>183</v>
      </c>
      <c r="K58" s="41" t="s">
        <v>232</v>
      </c>
    </row>
    <row r="59" spans="1:11" ht="15.75">
      <c r="A59" s="30" t="str">
        <v>Kohls - San Bernardino - Central</v>
      </c>
      <c r="B59" s="31" t="str">
        <v>CA</v>
      </c>
      <c r="C59" s="11">
        <v>128566</v>
      </c>
      <c r="D59" s="18">
        <v>0</v>
      </c>
      <c r="E59" s="18">
        <f t="shared" si="0"/>
        <v>128566</v>
      </c>
      <c r="F59" s="19"/>
      <c r="G59" s="20">
        <v>135949.24</v>
      </c>
      <c r="H59" s="20">
        <f t="shared" si="1"/>
        <v>-7383.2399999999907</v>
      </c>
      <c r="I59" s="16">
        <f t="shared" si="2"/>
        <v>-5.43087993724716E-2</v>
      </c>
      <c r="J59" s="42"/>
      <c r="K59" s="43"/>
    </row>
    <row r="60" spans="1:11" ht="15.75">
      <c r="A60" s="28" t="str">
        <v>Kohls - Sonora</v>
      </c>
      <c r="B60" s="29" t="str">
        <v>CA</v>
      </c>
      <c r="C60" s="24">
        <v>23837</v>
      </c>
      <c r="D60" s="13">
        <v>0</v>
      </c>
      <c r="E60" s="13">
        <f t="shared" si="0"/>
        <v>23837</v>
      </c>
      <c r="F60" s="14"/>
      <c r="G60" s="15">
        <v>27367</v>
      </c>
      <c r="H60" s="15">
        <f t="shared" si="1"/>
        <v>-3530</v>
      </c>
      <c r="I60" s="19">
        <f t="shared" si="2"/>
        <v>-0.12898746665692257</v>
      </c>
      <c r="J60" s="41" t="s">
        <v>185</v>
      </c>
      <c r="K60" s="41" t="s">
        <v>233</v>
      </c>
    </row>
    <row r="61" spans="1:11" ht="15.75">
      <c r="A61" s="30" t="str">
        <v>CUSD - Stratford ES</v>
      </c>
      <c r="B61" s="31" t="str">
        <v>CA</v>
      </c>
      <c r="C61" s="11">
        <v>19473</v>
      </c>
      <c r="D61" s="18">
        <v>0</v>
      </c>
      <c r="E61" s="18">
        <f t="shared" si="0"/>
        <v>19473</v>
      </c>
      <c r="F61" s="19"/>
      <c r="G61" s="20">
        <v>18690.189999999999</v>
      </c>
      <c r="H61" s="20">
        <f t="shared" si="1"/>
        <v>782.81000000000131</v>
      </c>
      <c r="I61" s="16">
        <f t="shared" si="2"/>
        <v>4.188346934942884E-2</v>
      </c>
      <c r="J61" s="42"/>
      <c r="K61" s="43"/>
    </row>
    <row r="62" spans="1:11" ht="15.75">
      <c r="A62" s="28" t="str">
        <v>Taft - City Hall</v>
      </c>
      <c r="B62" s="29" t="str">
        <v>CA</v>
      </c>
      <c r="C62" s="24">
        <v>3904</v>
      </c>
      <c r="D62" s="13">
        <v>0</v>
      </c>
      <c r="E62" s="13">
        <f t="shared" si="0"/>
        <v>3904</v>
      </c>
      <c r="F62" s="14"/>
      <c r="G62" s="15">
        <v>7643.73</v>
      </c>
      <c r="H62" s="15">
        <f t="shared" si="1"/>
        <v>-3739.7299999999996</v>
      </c>
      <c r="I62" s="19">
        <f t="shared" si="2"/>
        <v>-0.48925459167186697</v>
      </c>
      <c r="J62" s="41"/>
      <c r="K62" s="41"/>
    </row>
    <row r="63" spans="1:11" ht="29.25" customHeight="1">
      <c r="A63" s="30" t="str">
        <v>Taft - Federal Prison</v>
      </c>
      <c r="B63" s="31" t="str">
        <v>CA</v>
      </c>
      <c r="C63" s="11">
        <v>12715</v>
      </c>
      <c r="D63" s="18">
        <v>0</v>
      </c>
      <c r="E63" s="18">
        <f t="shared" si="0"/>
        <v>12715</v>
      </c>
      <c r="F63" s="19"/>
      <c r="G63" s="20">
        <v>13120</v>
      </c>
      <c r="H63" s="20">
        <f t="shared" si="1"/>
        <v>-405</v>
      </c>
      <c r="I63" s="16">
        <f t="shared" si="2"/>
        <v>-3.086890243902439E-2</v>
      </c>
      <c r="J63" s="42" t="s">
        <v>234</v>
      </c>
      <c r="K63" s="43" t="s">
        <v>152</v>
      </c>
    </row>
    <row r="64" spans="1:11" ht="15.75">
      <c r="A64" s="28" t="str">
        <v>Taft - Police Department</v>
      </c>
      <c r="B64" s="29" t="str">
        <v>CA</v>
      </c>
      <c r="C64" s="24">
        <v>8853</v>
      </c>
      <c r="D64" s="13">
        <v>0</v>
      </c>
      <c r="E64" s="13">
        <f t="shared" si="0"/>
        <v>8853</v>
      </c>
      <c r="F64" s="14"/>
      <c r="G64" s="15">
        <v>8755</v>
      </c>
      <c r="H64" s="15">
        <f t="shared" si="1"/>
        <v>98</v>
      </c>
      <c r="I64" s="19">
        <f t="shared" si="2"/>
        <v>1.1193603655054256E-2</v>
      </c>
      <c r="J64" s="41"/>
      <c r="K64" s="41"/>
    </row>
    <row r="65" spans="1:11" ht="28.5">
      <c r="A65" s="30" t="str">
        <v>Taft - WTP</v>
      </c>
      <c r="B65" s="31" t="str">
        <v>CA</v>
      </c>
      <c r="C65" s="11">
        <v>0</v>
      </c>
      <c r="D65" s="18">
        <v>0</v>
      </c>
      <c r="E65" s="18">
        <f t="shared" si="0"/>
        <v>0</v>
      </c>
      <c r="F65" s="19"/>
      <c r="G65" s="20">
        <v>58242.14</v>
      </c>
      <c r="H65" s="20">
        <f t="shared" si="1"/>
        <v>-58242.14</v>
      </c>
      <c r="I65" s="16">
        <f t="shared" si="2"/>
        <v>-1</v>
      </c>
      <c r="J65" s="83" t="s">
        <v>153</v>
      </c>
      <c r="K65" s="54" t="s">
        <v>235</v>
      </c>
    </row>
    <row r="66" spans="1:11" ht="42.75">
      <c r="A66" s="28" t="str">
        <v>CDCR - CA Correctional Institution</v>
      </c>
      <c r="B66" s="29" t="str">
        <v>CA</v>
      </c>
      <c r="C66" s="24">
        <v>121952</v>
      </c>
      <c r="D66" s="13">
        <v>0</v>
      </c>
      <c r="E66" s="13">
        <f t="shared" si="0"/>
        <v>121952</v>
      </c>
      <c r="F66" s="14"/>
      <c r="G66" s="15">
        <v>171974.78</v>
      </c>
      <c r="H66" s="15">
        <f t="shared" si="1"/>
        <v>-50022.78</v>
      </c>
      <c r="I66" s="19">
        <f t="shared" si="2"/>
        <v>-0.29087276634399534</v>
      </c>
      <c r="J66" s="41" t="s">
        <v>236</v>
      </c>
      <c r="K66" s="41" t="s">
        <v>237</v>
      </c>
    </row>
    <row r="67" spans="1:11" ht="96" customHeight="1">
      <c r="A67" s="30" t="str">
        <v>CDCR - CA Correctional Institution II</v>
      </c>
      <c r="B67" s="31" t="str">
        <v>CA</v>
      </c>
      <c r="C67" s="11">
        <v>114834</v>
      </c>
      <c r="D67" s="18">
        <v>0</v>
      </c>
      <c r="E67" s="18">
        <f t="shared" si="0"/>
        <v>114834</v>
      </c>
      <c r="F67" s="19"/>
      <c r="G67" s="20">
        <v>271212.28000000003</v>
      </c>
      <c r="H67" s="20">
        <f t="shared" si="1"/>
        <v>-156378.28000000003</v>
      </c>
      <c r="I67" s="16">
        <f t="shared" si="2"/>
        <v>-0.57658996856632017</v>
      </c>
      <c r="J67" s="42" t="s">
        <v>238</v>
      </c>
      <c r="K67" s="63" t="s">
        <v>239</v>
      </c>
    </row>
    <row r="68" spans="1:11" ht="15.75">
      <c r="A68" s="28" t="str">
        <v>Snowline SD - Vista Verde ES</v>
      </c>
      <c r="B68" s="29" t="str">
        <v>CA</v>
      </c>
      <c r="C68" s="24">
        <v>22503</v>
      </c>
      <c r="D68" s="13">
        <v>0</v>
      </c>
      <c r="E68" s="13">
        <f t="shared" si="0"/>
        <v>22503</v>
      </c>
      <c r="F68" s="14"/>
      <c r="G68" s="15">
        <v>23952.66</v>
      </c>
      <c r="H68" s="15">
        <f t="shared" si="1"/>
        <v>-1449.6599999999999</v>
      </c>
      <c r="I68" s="19">
        <f t="shared" si="2"/>
        <v>-6.0521879407130559E-2</v>
      </c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conditionalFormatting sqref="F4:F100 I4:I100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zoomScale="60" zoomScaleNormal="60" workbookViewId="0">
      <pane xSplit="2" ySplit="3" topLeftCell="C48" activePane="bottomRight" state="frozen"/>
      <selection pane="bottomRight" activeCell="J37" sqref="J37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9" t="str" cm="1">
        <f t="array" ref="A1">portfolio</f>
        <v>Silicon Ranch</v>
      </c>
      <c r="B1" s="99"/>
      <c r="C1" s="99"/>
      <c r="D1" s="100" t="s">
        <v>240</v>
      </c>
      <c r="E1" s="100"/>
      <c r="F1" s="100"/>
      <c r="G1" s="98" t="s">
        <v>241</v>
      </c>
      <c r="H1" s="98"/>
      <c r="I1" s="98"/>
      <c r="J1" s="4"/>
      <c r="K1" s="4"/>
    </row>
    <row r="2" spans="1:11" ht="19.5" customHeight="1">
      <c r="A2" s="101" t="s">
        <v>2</v>
      </c>
      <c r="B2" s="101"/>
      <c r="C2" s="5">
        <f>SUM(C4:C100)</f>
        <v>1520702.8399999999</v>
      </c>
      <c r="D2" s="5">
        <f>SUM(D4:D100)</f>
        <v>0</v>
      </c>
      <c r="E2" s="5">
        <f>C2-D2</f>
        <v>1520702.8399999999</v>
      </c>
      <c r="F2" s="6">
        <f>IFERROR(E2/D2, 0)</f>
        <v>0</v>
      </c>
      <c r="G2" s="5">
        <f>SUM(G4:G100)</f>
        <v>2579113.2499999995</v>
      </c>
      <c r="H2" s="7">
        <f>C2-G2</f>
        <v>-1058410.4099999997</v>
      </c>
      <c r="I2" s="6">
        <f>IFERROR(H2/G2, 0)</f>
        <v>-0.41037764045452441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15869</v>
      </c>
      <c r="D4" s="13">
        <v>0</v>
      </c>
      <c r="E4" s="13">
        <f>IF(AND(ISNUMBER(C4),ISNUMBER(D4)), C4-D4, "")</f>
        <v>15869</v>
      </c>
      <c r="F4" s="14" t="str">
        <f>IFERROR(E4/D4, "")</f>
        <v/>
      </c>
      <c r="G4" s="15">
        <v>13218.1</v>
      </c>
      <c r="H4" s="15">
        <f>IF(AND(ISNUMBER(C4),ISNUMBER(G4)), C4-G4, "")</f>
        <v>2650.8999999999996</v>
      </c>
      <c r="I4" s="16">
        <f>IFERROR(H4/G4, "")</f>
        <v>0.20055075994280566</v>
      </c>
      <c r="J4" s="85"/>
      <c r="K4" s="85"/>
    </row>
    <row r="5" spans="1:11" ht="15.75">
      <c r="A5" s="30" t="str">
        <v>Kohls - Auburn</v>
      </c>
      <c r="B5" s="31" t="str">
        <v>NY</v>
      </c>
      <c r="C5" s="11">
        <v>14277</v>
      </c>
      <c r="D5" s="18">
        <v>0</v>
      </c>
      <c r="E5" s="18">
        <f t="shared" ref="E5:E68" si="0">IF(AND(ISNUMBER(C5),ISNUMBER(D5)), C5-D5, "")</f>
        <v>14277</v>
      </c>
      <c r="F5" s="19" t="str">
        <f>IFERROR(E5/D5, "")</f>
        <v/>
      </c>
      <c r="G5" s="18">
        <v>12551.6</v>
      </c>
      <c r="H5" s="20">
        <f t="shared" ref="H5:H68" si="1">IF(AND(ISNUMBER(C5),ISNUMBER(G5)), C5-G5, "")</f>
        <v>1725.3999999999996</v>
      </c>
      <c r="I5" s="19">
        <f t="shared" ref="I5:I68" si="2">IFERROR(H5/G5, "")</f>
        <v>0.1374645463526562</v>
      </c>
      <c r="J5" s="102"/>
      <c r="K5" s="102"/>
    </row>
    <row r="6" spans="1:11" ht="15.75">
      <c r="A6" s="28" t="str">
        <v>Kohls - Bensalem</v>
      </c>
      <c r="B6" s="29" t="str">
        <v>PA</v>
      </c>
      <c r="C6" s="24">
        <v>20898</v>
      </c>
      <c r="D6" s="13">
        <v>0</v>
      </c>
      <c r="E6" s="13">
        <f t="shared" si="0"/>
        <v>20898</v>
      </c>
      <c r="F6" s="14" t="str">
        <f t="shared" ref="F6:F17" si="3">IFERROR(E6/D6, "")</f>
        <v/>
      </c>
      <c r="G6" s="15">
        <v>16413.5</v>
      </c>
      <c r="H6" s="15">
        <f t="shared" si="1"/>
        <v>4484.5</v>
      </c>
      <c r="I6" s="16">
        <f t="shared" si="2"/>
        <v>0.27322021506686567</v>
      </c>
      <c r="J6" s="85"/>
      <c r="K6" s="85"/>
    </row>
    <row r="7" spans="1:11" ht="15.75">
      <c r="A7" s="30" t="str">
        <v>Kohls - Brick</v>
      </c>
      <c r="B7" s="31" t="str">
        <v>NJ</v>
      </c>
      <c r="C7" s="11">
        <v>25391</v>
      </c>
      <c r="D7" s="18">
        <v>0</v>
      </c>
      <c r="E7" s="18">
        <f t="shared" si="0"/>
        <v>25391</v>
      </c>
      <c r="F7" s="19" t="str">
        <f t="shared" si="3"/>
        <v/>
      </c>
      <c r="G7" s="20">
        <v>20638</v>
      </c>
      <c r="H7" s="20">
        <f t="shared" si="1"/>
        <v>4753</v>
      </c>
      <c r="I7" s="19">
        <f t="shared" si="2"/>
        <v>0.23030332396550054</v>
      </c>
      <c r="J7" s="102"/>
      <c r="K7" s="86"/>
    </row>
    <row r="8" spans="1:11" ht="15.75">
      <c r="A8" s="28" t="str">
        <v>Kohls - Buffalo</v>
      </c>
      <c r="B8" s="29" t="str">
        <v>NY</v>
      </c>
      <c r="C8" s="24">
        <v>16225</v>
      </c>
      <c r="D8" s="13">
        <v>0</v>
      </c>
      <c r="E8" s="13">
        <f t="shared" si="0"/>
        <v>16225</v>
      </c>
      <c r="F8" s="14" t="str">
        <f t="shared" si="3"/>
        <v/>
      </c>
      <c r="G8" s="15">
        <v>14644.3</v>
      </c>
      <c r="H8" s="15">
        <f t="shared" si="1"/>
        <v>1580.7000000000007</v>
      </c>
      <c r="I8" s="16">
        <f t="shared" si="2"/>
        <v>0.10793960790205068</v>
      </c>
      <c r="J8" s="85"/>
      <c r="K8" s="85"/>
    </row>
    <row r="9" spans="1:11" ht="15.75">
      <c r="A9" s="30" t="str">
        <v>Kohls - Canton</v>
      </c>
      <c r="B9" s="31" t="str">
        <v>CT</v>
      </c>
      <c r="C9" s="11">
        <v>8912</v>
      </c>
      <c r="D9" s="18">
        <v>0</v>
      </c>
      <c r="E9" s="18">
        <f t="shared" si="0"/>
        <v>8912</v>
      </c>
      <c r="F9" s="19" t="str">
        <f t="shared" si="3"/>
        <v/>
      </c>
      <c r="G9" s="20">
        <v>6057.2</v>
      </c>
      <c r="H9" s="20">
        <f t="shared" si="1"/>
        <v>2854.8</v>
      </c>
      <c r="I9" s="19">
        <f t="shared" si="2"/>
        <v>0.47130687446344849</v>
      </c>
      <c r="J9" s="102"/>
      <c r="K9" s="86"/>
    </row>
    <row r="10" spans="1:11" ht="15.75">
      <c r="A10" s="28" t="str">
        <v>Kohls - East Amherst</v>
      </c>
      <c r="B10" s="29" t="str">
        <v>NY</v>
      </c>
      <c r="C10" s="24">
        <v>15323</v>
      </c>
      <c r="D10" s="13">
        <v>0</v>
      </c>
      <c r="E10" s="13">
        <f t="shared" si="0"/>
        <v>15323</v>
      </c>
      <c r="F10" s="14" t="str">
        <f t="shared" si="3"/>
        <v/>
      </c>
      <c r="G10" s="15">
        <v>14262.1</v>
      </c>
      <c r="H10" s="15">
        <f t="shared" si="1"/>
        <v>1060.8999999999996</v>
      </c>
      <c r="I10" s="16">
        <f t="shared" si="2"/>
        <v>7.4385959991866535E-2</v>
      </c>
      <c r="J10" s="85"/>
      <c r="K10" s="85"/>
    </row>
    <row r="11" spans="1:11" ht="15.75">
      <c r="A11" s="30" t="str">
        <v>Kohls - East Brunswick</v>
      </c>
      <c r="B11" s="31" t="str">
        <v>NJ</v>
      </c>
      <c r="C11" s="11">
        <v>29690</v>
      </c>
      <c r="D11" s="18">
        <v>0</v>
      </c>
      <c r="E11" s="18">
        <f t="shared" si="0"/>
        <v>29690</v>
      </c>
      <c r="F11" s="19" t="str">
        <f t="shared" si="3"/>
        <v/>
      </c>
      <c r="G11" s="20">
        <v>26543.7</v>
      </c>
      <c r="H11" s="20">
        <f t="shared" si="1"/>
        <v>3146.2999999999993</v>
      </c>
      <c r="I11" s="19">
        <f t="shared" si="2"/>
        <v>0.11853283453324139</v>
      </c>
      <c r="J11" s="102"/>
      <c r="K11" s="86"/>
    </row>
    <row r="12" spans="1:11" ht="15.75">
      <c r="A12" s="28" t="str">
        <v>Kohls - Edgewood</v>
      </c>
      <c r="B12" s="29" t="str">
        <v>MD</v>
      </c>
      <c r="C12" s="24">
        <v>156228</v>
      </c>
      <c r="D12" s="13">
        <v>0</v>
      </c>
      <c r="E12" s="13">
        <f t="shared" si="0"/>
        <v>156228</v>
      </c>
      <c r="F12" s="14" t="str">
        <f t="shared" si="3"/>
        <v/>
      </c>
      <c r="G12" s="15">
        <v>147523</v>
      </c>
      <c r="H12" s="15">
        <f t="shared" si="1"/>
        <v>8705</v>
      </c>
      <c r="I12" s="16">
        <f t="shared" si="2"/>
        <v>5.9007747944388331E-2</v>
      </c>
      <c r="J12" s="85"/>
      <c r="K12" s="85"/>
    </row>
    <row r="13" spans="1:11" ht="15.75">
      <c r="A13" s="30" t="str">
        <v>Kohls - Granite Run</v>
      </c>
      <c r="B13" s="31" t="str">
        <v>PA</v>
      </c>
      <c r="C13" s="11">
        <v>19349</v>
      </c>
      <c r="D13" s="18">
        <v>0</v>
      </c>
      <c r="E13" s="18">
        <f t="shared" si="0"/>
        <v>19349</v>
      </c>
      <c r="F13" s="19" t="str">
        <f t="shared" si="3"/>
        <v/>
      </c>
      <c r="G13" s="20">
        <v>16586.900000000001</v>
      </c>
      <c r="H13" s="20">
        <f t="shared" si="1"/>
        <v>2762.0999999999985</v>
      </c>
      <c r="I13" s="19">
        <f t="shared" si="2"/>
        <v>0.16652297897738566</v>
      </c>
      <c r="J13" s="102"/>
      <c r="K13" s="86"/>
    </row>
    <row r="14" spans="1:11" ht="39" customHeight="1">
      <c r="A14" s="28" t="str">
        <v>Kohls - Greece</v>
      </c>
      <c r="B14" s="29" t="str">
        <v>NY</v>
      </c>
      <c r="C14" s="24">
        <v>4258</v>
      </c>
      <c r="D14" s="13">
        <v>0</v>
      </c>
      <c r="E14" s="13">
        <f t="shared" si="0"/>
        <v>4258</v>
      </c>
      <c r="F14" s="14" t="str">
        <f t="shared" si="3"/>
        <v/>
      </c>
      <c r="G14" s="15">
        <v>14921.3</v>
      </c>
      <c r="H14" s="15">
        <f t="shared" si="1"/>
        <v>-10663.3</v>
      </c>
      <c r="I14" s="16">
        <f t="shared" si="2"/>
        <v>-0.7146361241982937</v>
      </c>
      <c r="J14" s="85" t="s">
        <v>242</v>
      </c>
      <c r="K14" s="85" t="s">
        <v>200</v>
      </c>
    </row>
    <row r="15" spans="1:11" ht="31.5" customHeight="1">
      <c r="A15" s="30" t="str">
        <v>Kohls - Hanover</v>
      </c>
      <c r="B15" s="31" t="str">
        <v>PA</v>
      </c>
      <c r="C15" s="11">
        <v>16960</v>
      </c>
      <c r="D15" s="18">
        <v>0</v>
      </c>
      <c r="E15" s="18">
        <f t="shared" si="0"/>
        <v>16960</v>
      </c>
      <c r="F15" s="19" t="str">
        <f t="shared" si="3"/>
        <v/>
      </c>
      <c r="G15" s="20">
        <v>17294.3</v>
      </c>
      <c r="H15" s="20">
        <f t="shared" si="1"/>
        <v>-334.29999999999927</v>
      </c>
      <c r="I15" s="19">
        <f t="shared" si="2"/>
        <v>-1.9330068288395556E-2</v>
      </c>
      <c r="J15" s="102" t="s">
        <v>243</v>
      </c>
      <c r="K15" s="102" t="s">
        <v>244</v>
      </c>
    </row>
    <row r="16" spans="1:11" ht="15.75">
      <c r="A16" s="28" t="str">
        <v>Kohls - Horsehead</v>
      </c>
      <c r="B16" s="29" t="str">
        <v>NY</v>
      </c>
      <c r="C16" s="24">
        <v>12885</v>
      </c>
      <c r="D16" s="13">
        <v>0</v>
      </c>
      <c r="E16" s="13">
        <f t="shared" si="0"/>
        <v>12885</v>
      </c>
      <c r="F16" s="14" t="str">
        <f t="shared" si="3"/>
        <v/>
      </c>
      <c r="G16" s="15">
        <v>12588.6</v>
      </c>
      <c r="H16" s="15">
        <f t="shared" si="1"/>
        <v>296.39999999999964</v>
      </c>
      <c r="I16" s="16">
        <f t="shared" si="2"/>
        <v>2.3545112244411581E-2</v>
      </c>
      <c r="J16" s="85"/>
      <c r="K16" s="85"/>
    </row>
    <row r="17" spans="1:11" ht="15.75">
      <c r="A17" s="30" t="str">
        <v>Kohls - Hudson</v>
      </c>
      <c r="B17" s="31" t="str">
        <v>NY</v>
      </c>
      <c r="C17" s="11">
        <v>17601</v>
      </c>
      <c r="D17" s="18">
        <v>0</v>
      </c>
      <c r="E17" s="18">
        <f t="shared" si="0"/>
        <v>17601</v>
      </c>
      <c r="F17" s="19" t="str">
        <f t="shared" si="3"/>
        <v/>
      </c>
      <c r="G17" s="20">
        <v>15483.2</v>
      </c>
      <c r="H17" s="20">
        <f t="shared" si="1"/>
        <v>2117.7999999999993</v>
      </c>
      <c r="I17" s="19">
        <f t="shared" si="2"/>
        <v>0.13678051048878778</v>
      </c>
      <c r="J17" s="102"/>
      <c r="K17" s="86"/>
    </row>
    <row r="18" spans="1:11" ht="12.75" customHeight="1">
      <c r="A18" s="32" t="str">
        <v>Kohls - Ithaca</v>
      </c>
      <c r="B18" s="29" t="str">
        <v>NY</v>
      </c>
      <c r="C18" s="24">
        <v>12374</v>
      </c>
      <c r="D18" s="13">
        <v>0</v>
      </c>
      <c r="E18" s="13">
        <f t="shared" si="0"/>
        <v>12374</v>
      </c>
      <c r="F18" s="14"/>
      <c r="G18" s="15">
        <v>14384.4</v>
      </c>
      <c r="H18" s="15">
        <f t="shared" si="1"/>
        <v>-2010.3999999999996</v>
      </c>
      <c r="I18" s="16">
        <f t="shared" si="2"/>
        <v>-0.13976252050832844</v>
      </c>
      <c r="J18" s="85"/>
      <c r="K18" s="85"/>
    </row>
    <row r="19" spans="1:11" ht="15.75">
      <c r="A19" s="30" t="str">
        <v>Kohls - Kingston</v>
      </c>
      <c r="B19" s="31" t="str">
        <v>NY</v>
      </c>
      <c r="C19" s="11">
        <v>24104</v>
      </c>
      <c r="D19" s="18">
        <v>0</v>
      </c>
      <c r="E19" s="18">
        <f t="shared" si="0"/>
        <v>24104</v>
      </c>
      <c r="F19" s="19"/>
      <c r="G19" s="20">
        <v>24214.7</v>
      </c>
      <c r="H19" s="20">
        <f t="shared" si="1"/>
        <v>-110.70000000000073</v>
      </c>
      <c r="I19" s="19">
        <f t="shared" si="2"/>
        <v>-4.5716031997092973E-3</v>
      </c>
      <c r="J19" s="102"/>
      <c r="K19" s="102"/>
    </row>
    <row r="20" spans="1:11" ht="15.75">
      <c r="A20" s="28" t="str">
        <v>Kohls - Mechanicsburg</v>
      </c>
      <c r="B20" s="29" t="str">
        <v>PA</v>
      </c>
      <c r="C20" s="24">
        <v>24324</v>
      </c>
      <c r="D20" s="13">
        <v>0</v>
      </c>
      <c r="E20" s="13">
        <f t="shared" si="0"/>
        <v>24324</v>
      </c>
      <c r="F20" s="14"/>
      <c r="G20" s="15">
        <v>20058</v>
      </c>
      <c r="H20" s="15">
        <f t="shared" si="1"/>
        <v>4266</v>
      </c>
      <c r="I20" s="16">
        <f t="shared" si="2"/>
        <v>0.21268321866586898</v>
      </c>
      <c r="J20" s="85"/>
      <c r="K20" s="85"/>
    </row>
    <row r="21" spans="1:11" ht="15.75">
      <c r="A21" s="30" t="str">
        <v>Kohls - Middletown</v>
      </c>
      <c r="B21" s="31" t="str">
        <v>NJ</v>
      </c>
      <c r="C21" s="11">
        <v>36922</v>
      </c>
      <c r="D21" s="18">
        <v>0</v>
      </c>
      <c r="E21" s="18">
        <f t="shared" si="0"/>
        <v>36922</v>
      </c>
      <c r="F21" s="19"/>
      <c r="G21" s="20">
        <v>29131.8</v>
      </c>
      <c r="H21" s="20">
        <f t="shared" si="1"/>
        <v>7790.2000000000007</v>
      </c>
      <c r="I21" s="19">
        <f t="shared" si="2"/>
        <v>0.26741224366499844</v>
      </c>
      <c r="J21" s="102"/>
      <c r="K21" s="86"/>
    </row>
    <row r="22" spans="1:11" ht="34.5" customHeight="1">
      <c r="A22" s="28" t="str">
        <v>Kohls - North Amherst</v>
      </c>
      <c r="B22" s="29" t="str">
        <v>NY</v>
      </c>
      <c r="C22" s="24">
        <v>0</v>
      </c>
      <c r="D22" s="13">
        <v>0</v>
      </c>
      <c r="E22" s="13">
        <f t="shared" si="0"/>
        <v>0</v>
      </c>
      <c r="F22" s="14"/>
      <c r="G22" s="15">
        <v>12866.39</v>
      </c>
      <c r="H22" s="15">
        <f t="shared" si="1"/>
        <v>-12866.39</v>
      </c>
      <c r="I22" s="16">
        <f t="shared" si="2"/>
        <v>-1</v>
      </c>
      <c r="J22" s="92" t="s">
        <v>245</v>
      </c>
      <c r="K22" s="85" t="s">
        <v>246</v>
      </c>
    </row>
    <row r="23" spans="1:11" ht="15.75">
      <c r="A23" s="30" t="str">
        <v>Kohls - Staten Island</v>
      </c>
      <c r="B23" s="31" t="str">
        <v>NY</v>
      </c>
      <c r="C23" s="11">
        <v>0</v>
      </c>
      <c r="D23" s="18">
        <v>0</v>
      </c>
      <c r="E23" s="18">
        <f t="shared" si="0"/>
        <v>0</v>
      </c>
      <c r="F23" s="19"/>
      <c r="G23" s="20">
        <v>17707.400000000001</v>
      </c>
      <c r="H23" s="20">
        <f t="shared" si="1"/>
        <v>-17707.400000000001</v>
      </c>
      <c r="I23" s="19">
        <f t="shared" si="2"/>
        <v>-1</v>
      </c>
      <c r="J23" s="94" t="s">
        <v>247</v>
      </c>
      <c r="K23" s="102" t="s">
        <v>248</v>
      </c>
    </row>
    <row r="24" spans="1:11" ht="15.75">
      <c r="A24" s="28" t="str">
        <v>Kohls - Warminster</v>
      </c>
      <c r="B24" s="29" t="str">
        <v>PA</v>
      </c>
      <c r="C24" s="24">
        <v>25581</v>
      </c>
      <c r="D24" s="13">
        <v>0</v>
      </c>
      <c r="E24" s="13">
        <f t="shared" si="0"/>
        <v>25581</v>
      </c>
      <c r="F24" s="14"/>
      <c r="G24" s="15">
        <v>20268.900000000001</v>
      </c>
      <c r="H24" s="15">
        <f t="shared" si="1"/>
        <v>5312.0999999999985</v>
      </c>
      <c r="I24" s="16">
        <f t="shared" si="2"/>
        <v>0.26208131669700863</v>
      </c>
      <c r="J24" s="85"/>
      <c r="K24" s="85"/>
    </row>
    <row r="25" spans="1:11" ht="15.75">
      <c r="A25" s="30" t="str">
        <v xml:space="preserve">Kohls - Waterbury </v>
      </c>
      <c r="B25" s="31" t="str">
        <v>CT</v>
      </c>
      <c r="C25" s="11">
        <v>22054</v>
      </c>
      <c r="D25" s="18">
        <v>0</v>
      </c>
      <c r="E25" s="18">
        <f t="shared" si="0"/>
        <v>22054</v>
      </c>
      <c r="F25" s="19"/>
      <c r="G25" s="20">
        <v>16522.38</v>
      </c>
      <c r="H25" s="20">
        <f t="shared" si="1"/>
        <v>5531.619999999999</v>
      </c>
      <c r="I25" s="19">
        <f t="shared" si="2"/>
        <v>0.33479559240254725</v>
      </c>
      <c r="J25" s="102"/>
      <c r="K25" s="86"/>
    </row>
    <row r="26" spans="1:11" ht="15.75">
      <c r="A26" s="28" t="str">
        <v>Mojave Water Agency - Headquarters</v>
      </c>
      <c r="B26" s="29" t="str">
        <v>CA</v>
      </c>
      <c r="C26" s="24">
        <v>26084</v>
      </c>
      <c r="D26" s="13">
        <v>0</v>
      </c>
      <c r="E26" s="13">
        <f t="shared" si="0"/>
        <v>26084</v>
      </c>
      <c r="F26" s="14"/>
      <c r="G26" s="15">
        <v>26875.1</v>
      </c>
      <c r="H26" s="15">
        <f t="shared" si="1"/>
        <v>-791.09999999999854</v>
      </c>
      <c r="I26" s="16">
        <f t="shared" si="2"/>
        <v>-2.9436169539834217E-2</v>
      </c>
      <c r="J26" s="85"/>
      <c r="K26" s="85"/>
    </row>
    <row r="27" spans="1:11" ht="15.75">
      <c r="A27" s="30" t="str">
        <v>CSU - Bakersfield</v>
      </c>
      <c r="B27" s="31" t="str">
        <v>CA</v>
      </c>
      <c r="C27" s="11">
        <v>46920</v>
      </c>
      <c r="D27" s="18">
        <v>0</v>
      </c>
      <c r="E27" s="18">
        <f t="shared" si="0"/>
        <v>46920</v>
      </c>
      <c r="F27" s="19"/>
      <c r="G27" s="20">
        <v>74602.23</v>
      </c>
      <c r="H27" s="20">
        <f t="shared" si="1"/>
        <v>-27682.229999999996</v>
      </c>
      <c r="I27" s="19">
        <f t="shared" si="2"/>
        <v>-0.37106437703001638</v>
      </c>
      <c r="J27" s="102" t="s">
        <v>249</v>
      </c>
      <c r="K27" s="87" t="s">
        <v>250</v>
      </c>
    </row>
    <row r="28" spans="1:11" ht="15.75">
      <c r="A28" s="28" t="str">
        <v>Greenfield USD - Fairfield ES</v>
      </c>
      <c r="B28" s="29" t="str">
        <v>CA</v>
      </c>
      <c r="C28" s="24">
        <v>7196</v>
      </c>
      <c r="D28" s="13">
        <v>0</v>
      </c>
      <c r="E28" s="13">
        <f t="shared" si="0"/>
        <v>7196</v>
      </c>
      <c r="F28" s="14"/>
      <c r="G28" s="15">
        <v>8867.6</v>
      </c>
      <c r="H28" s="15">
        <f t="shared" si="1"/>
        <v>-1671.6000000000004</v>
      </c>
      <c r="I28" s="16">
        <f t="shared" si="2"/>
        <v>-0.18850647300284185</v>
      </c>
      <c r="J28" s="85"/>
      <c r="K28" s="85"/>
    </row>
    <row r="29" spans="1:11" ht="15.75">
      <c r="A29" s="30" t="str">
        <v>Greenfield USD - Granite Point ES</v>
      </c>
      <c r="B29" s="31" t="str">
        <v>CA</v>
      </c>
      <c r="C29" s="11">
        <v>20728</v>
      </c>
      <c r="D29" s="18">
        <v>0</v>
      </c>
      <c r="E29" s="18">
        <f t="shared" si="0"/>
        <v>20728</v>
      </c>
      <c r="F29" s="19"/>
      <c r="G29" s="20">
        <v>23164.12</v>
      </c>
      <c r="H29" s="20">
        <f t="shared" si="1"/>
        <v>-2436.119999999999</v>
      </c>
      <c r="I29" s="19">
        <f t="shared" si="2"/>
        <v>-0.10516781988696307</v>
      </c>
      <c r="J29" s="88"/>
      <c r="K29" s="86"/>
    </row>
    <row r="30" spans="1:11" ht="15.75">
      <c r="A30" s="28" t="str">
        <v>Greenfield USD - Greenfield MS</v>
      </c>
      <c r="B30" s="29" t="str">
        <v>CA</v>
      </c>
      <c r="C30" s="24">
        <v>11844</v>
      </c>
      <c r="D30" s="13">
        <v>0</v>
      </c>
      <c r="E30" s="13">
        <f t="shared" si="0"/>
        <v>11844</v>
      </c>
      <c r="F30" s="14"/>
      <c r="G30" s="15">
        <v>15995.05</v>
      </c>
      <c r="H30" s="15">
        <f t="shared" si="1"/>
        <v>-4151.0499999999993</v>
      </c>
      <c r="I30" s="16">
        <f t="shared" si="2"/>
        <v>-0.25952091428285623</v>
      </c>
      <c r="J30" s="85"/>
      <c r="K30" s="85"/>
    </row>
    <row r="31" spans="1:11" ht="28.5">
      <c r="A31" s="30" t="str">
        <v>Greenfield USD - Horizon ES</v>
      </c>
      <c r="B31" s="31" t="str">
        <v>CA</v>
      </c>
      <c r="C31" s="11">
        <v>14985</v>
      </c>
      <c r="D31" s="18">
        <v>0</v>
      </c>
      <c r="E31" s="18">
        <f t="shared" si="0"/>
        <v>14985</v>
      </c>
      <c r="F31" s="19"/>
      <c r="G31" s="20">
        <v>23501.98</v>
      </c>
      <c r="H31" s="20">
        <f t="shared" si="1"/>
        <v>-8516.98</v>
      </c>
      <c r="I31" s="19">
        <f t="shared" si="2"/>
        <v>-0.3623941472165324</v>
      </c>
      <c r="J31" s="94" t="s">
        <v>251</v>
      </c>
      <c r="K31" s="102" t="s">
        <v>252</v>
      </c>
    </row>
    <row r="32" spans="1:11" ht="15.75">
      <c r="A32" s="28" t="str">
        <v>Greenfield USD - McKee MS</v>
      </c>
      <c r="B32" s="29" t="str">
        <v>CA</v>
      </c>
      <c r="C32" s="24">
        <v>7699</v>
      </c>
      <c r="D32" s="13">
        <v>0</v>
      </c>
      <c r="E32" s="13">
        <f t="shared" si="0"/>
        <v>7699</v>
      </c>
      <c r="F32" s="14"/>
      <c r="G32" s="15">
        <v>14402.95</v>
      </c>
      <c r="H32" s="15">
        <f t="shared" si="1"/>
        <v>-6703.9500000000007</v>
      </c>
      <c r="I32" s="16">
        <f t="shared" si="2"/>
        <v>-0.46545672935058446</v>
      </c>
      <c r="J32" s="85"/>
      <c r="K32" s="85"/>
    </row>
    <row r="33" spans="1:11" ht="15.75">
      <c r="A33" s="30" t="str">
        <v>Greenfield USD - Plantation ES</v>
      </c>
      <c r="B33" s="31" t="str">
        <v>CA</v>
      </c>
      <c r="C33" s="11">
        <v>8782</v>
      </c>
      <c r="D33" s="18">
        <v>0</v>
      </c>
      <c r="E33" s="18">
        <f t="shared" si="0"/>
        <v>8782</v>
      </c>
      <c r="F33" s="19"/>
      <c r="G33" s="20">
        <v>10256.08</v>
      </c>
      <c r="H33" s="20">
        <f t="shared" si="1"/>
        <v>-1474.08</v>
      </c>
      <c r="I33" s="19">
        <f t="shared" si="2"/>
        <v>-0.14372742802318234</v>
      </c>
      <c r="J33" s="102"/>
      <c r="K33" s="102"/>
    </row>
    <row r="34" spans="1:11" ht="15.75">
      <c r="A34" s="28" t="str">
        <v>Greenfield USD - Planz ES</v>
      </c>
      <c r="B34" s="29" t="str">
        <v>CA</v>
      </c>
      <c r="C34" s="24">
        <v>3199</v>
      </c>
      <c r="D34" s="13">
        <v>0</v>
      </c>
      <c r="E34" s="13">
        <f t="shared" si="0"/>
        <v>3199</v>
      </c>
      <c r="F34" s="14"/>
      <c r="G34" s="15">
        <v>10274.6</v>
      </c>
      <c r="H34" s="15">
        <f t="shared" si="1"/>
        <v>-7075.6</v>
      </c>
      <c r="I34" s="16">
        <f t="shared" si="2"/>
        <v>-0.68864967979288727</v>
      </c>
      <c r="J34" s="85"/>
      <c r="K34" s="85"/>
    </row>
    <row r="35" spans="1:11" ht="15.75">
      <c r="A35" s="30" t="str">
        <v>Greenfield USD - Raffaello Palla ES</v>
      </c>
      <c r="B35" s="31" t="str">
        <v>CA</v>
      </c>
      <c r="C35" s="11">
        <v>19279</v>
      </c>
      <c r="D35" s="18">
        <v>0</v>
      </c>
      <c r="E35" s="18">
        <f t="shared" si="0"/>
        <v>19279</v>
      </c>
      <c r="F35" s="19"/>
      <c r="G35" s="20">
        <v>26214.1</v>
      </c>
      <c r="H35" s="20">
        <f t="shared" si="1"/>
        <v>-6935.0999999999985</v>
      </c>
      <c r="I35" s="19">
        <f t="shared" si="2"/>
        <v>-0.2645560976726265</v>
      </c>
      <c r="J35" s="102"/>
      <c r="K35" s="86"/>
    </row>
    <row r="36" spans="1:11" ht="15.75">
      <c r="A36" s="28" t="str">
        <v>Greenfield USD - Valle Verde ES</v>
      </c>
      <c r="B36" s="29" t="str">
        <v>CA</v>
      </c>
      <c r="C36" s="24">
        <v>20977</v>
      </c>
      <c r="D36" s="13">
        <v>0</v>
      </c>
      <c r="E36" s="13">
        <f t="shared" si="0"/>
        <v>20977</v>
      </c>
      <c r="F36" s="14"/>
      <c r="G36" s="15">
        <v>24547.95</v>
      </c>
      <c r="H36" s="15">
        <f t="shared" si="1"/>
        <v>-3570.9500000000007</v>
      </c>
      <c r="I36" s="16">
        <f t="shared" si="2"/>
        <v>-0.1454683588649969</v>
      </c>
      <c r="J36" s="85"/>
      <c r="K36" s="85"/>
    </row>
    <row r="37" spans="1:11" ht="15.75">
      <c r="A37" s="30" t="str">
        <v>Greenfield USD - W.A. Kendrick ES</v>
      </c>
      <c r="B37" s="31" t="str">
        <v>CA</v>
      </c>
      <c r="C37" s="11">
        <v>3751.84</v>
      </c>
      <c r="D37" s="18">
        <v>0</v>
      </c>
      <c r="E37" s="18">
        <f t="shared" si="0"/>
        <v>3751.84</v>
      </c>
      <c r="F37" s="19"/>
      <c r="G37" s="20">
        <v>9450.7800000000007</v>
      </c>
      <c r="H37" s="20">
        <f t="shared" si="1"/>
        <v>-5698.9400000000005</v>
      </c>
      <c r="I37" s="19">
        <f t="shared" si="2"/>
        <v>-0.60301266138879539</v>
      </c>
      <c r="J37" s="102"/>
      <c r="K37" s="86"/>
    </row>
    <row r="38" spans="1:11" ht="51" customHeight="1">
      <c r="A38" s="28" t="str">
        <v>Muroc Joint USD - Boron HS</v>
      </c>
      <c r="B38" s="29" t="str">
        <v>CA</v>
      </c>
      <c r="C38" s="24">
        <v>0</v>
      </c>
      <c r="D38" s="13">
        <v>0</v>
      </c>
      <c r="E38" s="13">
        <f t="shared" si="0"/>
        <v>0</v>
      </c>
      <c r="F38" s="14"/>
      <c r="G38" s="15">
        <v>26132.25</v>
      </c>
      <c r="H38" s="15">
        <f t="shared" si="1"/>
        <v>-26132.25</v>
      </c>
      <c r="I38" s="16">
        <f t="shared" si="2"/>
        <v>-1</v>
      </c>
      <c r="J38" s="85" t="s">
        <v>253</v>
      </c>
      <c r="K38" s="85" t="s">
        <v>254</v>
      </c>
    </row>
    <row r="39" spans="1:11" ht="15.75">
      <c r="A39" s="30" t="str">
        <v>Muroc Joint USD - W. Boron ES</v>
      </c>
      <c r="B39" s="31" t="str">
        <v>CA</v>
      </c>
      <c r="C39" s="11">
        <v>9492</v>
      </c>
      <c r="D39" s="18">
        <v>0</v>
      </c>
      <c r="E39" s="18">
        <f t="shared" si="0"/>
        <v>9492</v>
      </c>
      <c r="F39" s="19"/>
      <c r="G39" s="20">
        <v>9670.33</v>
      </c>
      <c r="H39" s="20">
        <f t="shared" si="1"/>
        <v>-178.32999999999993</v>
      </c>
      <c r="I39" s="19">
        <f t="shared" si="2"/>
        <v>-1.8440942553149677E-2</v>
      </c>
      <c r="J39" s="102"/>
      <c r="K39" s="86"/>
    </row>
    <row r="40" spans="1:11" ht="28.5">
      <c r="A40" s="28" t="str">
        <v>Colusa - WTP</v>
      </c>
      <c r="B40" s="29" t="str">
        <v>CA</v>
      </c>
      <c r="C40" s="24">
        <v>0</v>
      </c>
      <c r="D40" s="13">
        <v>0</v>
      </c>
      <c r="E40" s="13">
        <f t="shared" si="0"/>
        <v>0</v>
      </c>
      <c r="F40" s="14"/>
      <c r="G40" s="15">
        <v>23164.98</v>
      </c>
      <c r="H40" s="15">
        <f t="shared" si="1"/>
        <v>-23164.98</v>
      </c>
      <c r="I40" s="16">
        <f t="shared" si="2"/>
        <v>-1</v>
      </c>
      <c r="J40" s="89" t="s">
        <v>255</v>
      </c>
      <c r="K40" s="85" t="s">
        <v>256</v>
      </c>
    </row>
    <row r="41" spans="1:11" ht="15.75">
      <c r="A41" s="30" t="str">
        <v>CDCR-North Kern State Prision</v>
      </c>
      <c r="B41" s="31" t="str">
        <v>CA</v>
      </c>
      <c r="C41" s="11">
        <v>39078</v>
      </c>
      <c r="D41" s="18">
        <v>0</v>
      </c>
      <c r="E41" s="18">
        <f t="shared" si="0"/>
        <v>39078</v>
      </c>
      <c r="F41" s="19"/>
      <c r="G41" s="20">
        <v>106622.53</v>
      </c>
      <c r="H41" s="20">
        <f t="shared" si="1"/>
        <v>-67544.53</v>
      </c>
      <c r="I41" s="19">
        <f t="shared" si="2"/>
        <v>-0.63349209590130717</v>
      </c>
      <c r="J41" s="102" t="s">
        <v>257</v>
      </c>
      <c r="K41" s="90" t="s">
        <v>258</v>
      </c>
    </row>
    <row r="42" spans="1:11" ht="15.75">
      <c r="A42" s="28" t="str">
        <v>Muroc Joint USD - District Office</v>
      </c>
      <c r="B42" s="29" t="str">
        <v>CA</v>
      </c>
      <c r="C42" s="24">
        <v>4715</v>
      </c>
      <c r="D42" s="13">
        <v>0</v>
      </c>
      <c r="E42" s="13">
        <f t="shared" si="0"/>
        <v>4715</v>
      </c>
      <c r="F42" s="14"/>
      <c r="G42" s="15">
        <v>6811.67</v>
      </c>
      <c r="H42" s="15">
        <f t="shared" si="1"/>
        <v>-2096.67</v>
      </c>
      <c r="I42" s="16">
        <f t="shared" si="2"/>
        <v>-0.30780557484434801</v>
      </c>
      <c r="J42" s="85"/>
      <c r="K42" s="85"/>
    </row>
    <row r="43" spans="1:11" ht="15.75">
      <c r="A43" s="30" t="str">
        <v>Whole Foods - Manhattan Beach</v>
      </c>
      <c r="B43" s="31" t="str">
        <v>CA</v>
      </c>
      <c r="C43" s="11">
        <v>12815</v>
      </c>
      <c r="D43" s="18">
        <v>0</v>
      </c>
      <c r="E43" s="18">
        <f t="shared" si="0"/>
        <v>12815</v>
      </c>
      <c r="F43" s="19"/>
      <c r="G43">
        <v>14522.72</v>
      </c>
      <c r="H43" s="20">
        <f t="shared" si="1"/>
        <v>-1707.7199999999993</v>
      </c>
      <c r="I43" s="19">
        <f t="shared" si="2"/>
        <v>-0.11758954245485691</v>
      </c>
      <c r="J43" s="94" t="s">
        <v>126</v>
      </c>
      <c r="K43" s="94" t="s">
        <v>259</v>
      </c>
    </row>
    <row r="44" spans="1:11" ht="15.75">
      <c r="A44" s="28" t="str">
        <v>Pioneer USD - Frontier ES</v>
      </c>
      <c r="B44" s="29" t="str">
        <v>CA</v>
      </c>
      <c r="C44" s="24">
        <v>18398</v>
      </c>
      <c r="D44" s="13">
        <v>0</v>
      </c>
      <c r="E44" s="13">
        <f t="shared" si="0"/>
        <v>18398</v>
      </c>
      <c r="F44" s="14"/>
      <c r="G44" s="15">
        <v>19384.73</v>
      </c>
      <c r="H44" s="15">
        <f t="shared" si="1"/>
        <v>-986.72999999999956</v>
      </c>
      <c r="I44" s="16">
        <f t="shared" si="2"/>
        <v>-5.0902437124478887E-2</v>
      </c>
      <c r="J44" s="92" t="s">
        <v>216</v>
      </c>
      <c r="K44" s="92" t="s">
        <v>217</v>
      </c>
    </row>
    <row r="45" spans="1:11" ht="51.75" customHeight="1">
      <c r="A45" s="30" t="str">
        <v>Pioneer USD - Pioneer ES</v>
      </c>
      <c r="B45" s="31" t="str">
        <v>CA</v>
      </c>
      <c r="C45" s="11">
        <v>4673</v>
      </c>
      <c r="D45" s="18">
        <v>0</v>
      </c>
      <c r="E45" s="18">
        <f t="shared" si="0"/>
        <v>4673</v>
      </c>
      <c r="F45" s="19"/>
      <c r="G45" s="20">
        <v>19711.91</v>
      </c>
      <c r="H45" s="20">
        <f t="shared" si="1"/>
        <v>-15038.91</v>
      </c>
      <c r="I45" s="19">
        <f t="shared" si="2"/>
        <v>-0.76293520008969196</v>
      </c>
      <c r="J45" s="102" t="s">
        <v>218</v>
      </c>
      <c r="K45" s="102" t="s">
        <v>260</v>
      </c>
    </row>
    <row r="46" spans="1:11" ht="15.75">
      <c r="A46" s="28" t="str">
        <v>Pioneer USD - Pioneer MS</v>
      </c>
      <c r="B46" s="29" t="str">
        <v>CA</v>
      </c>
      <c r="C46" s="24">
        <v>24452</v>
      </c>
      <c r="D46" s="13">
        <v>0</v>
      </c>
      <c r="E46" s="13">
        <f t="shared" si="0"/>
        <v>24452</v>
      </c>
      <c r="F46" s="14"/>
      <c r="G46" s="15">
        <v>26631.79</v>
      </c>
      <c r="H46" s="15">
        <f t="shared" si="1"/>
        <v>-2179.7900000000009</v>
      </c>
      <c r="I46" s="16">
        <f t="shared" si="2"/>
        <v>-8.1849173487775359E-2</v>
      </c>
      <c r="J46" s="85" t="s">
        <v>216</v>
      </c>
      <c r="K46" s="85" t="s">
        <v>261</v>
      </c>
    </row>
    <row r="47" spans="1:11" ht="28.5">
      <c r="A47" s="30" t="str">
        <v>Kingsburg Joint UHSD - Kingsburg HS</v>
      </c>
      <c r="B47" s="31" t="str">
        <v>CA</v>
      </c>
      <c r="C47" s="11">
        <v>41663</v>
      </c>
      <c r="D47" s="18">
        <v>0</v>
      </c>
      <c r="E47" s="18">
        <f t="shared" si="0"/>
        <v>41663</v>
      </c>
      <c r="F47" s="19"/>
      <c r="G47" s="20">
        <v>36267.47</v>
      </c>
      <c r="H47" s="20">
        <f t="shared" si="1"/>
        <v>5395.5299999999988</v>
      </c>
      <c r="I47" s="19">
        <f t="shared" si="2"/>
        <v>0.14877050977087727</v>
      </c>
      <c r="J47" s="102" t="s">
        <v>132</v>
      </c>
      <c r="K47" s="102" t="s">
        <v>133</v>
      </c>
    </row>
    <row r="48" spans="1:11" ht="71.25">
      <c r="A48" s="28" t="str">
        <v>CADRB</v>
      </c>
      <c r="B48" s="29" t="str">
        <v>CA</v>
      </c>
      <c r="C48" s="24">
        <v>0</v>
      </c>
      <c r="D48" s="13">
        <v>0</v>
      </c>
      <c r="E48" s="13">
        <f t="shared" si="0"/>
        <v>0</v>
      </c>
      <c r="F48" s="14"/>
      <c r="G48" s="15">
        <v>456015</v>
      </c>
      <c r="H48" s="15">
        <f t="shared" si="1"/>
        <v>-456015</v>
      </c>
      <c r="I48" s="16">
        <f t="shared" si="2"/>
        <v>-1</v>
      </c>
      <c r="J48" s="85" t="s">
        <v>262</v>
      </c>
      <c r="K48" s="85" t="s">
        <v>263</v>
      </c>
    </row>
    <row r="49" spans="1:11" ht="15.75">
      <c r="A49" s="30" t="str">
        <v>CDCR-CA State Prison LA County</v>
      </c>
      <c r="B49" s="31" t="str">
        <v>CA</v>
      </c>
      <c r="C49" s="11">
        <v>150907</v>
      </c>
      <c r="D49" s="18">
        <v>0</v>
      </c>
      <c r="E49" s="18">
        <f t="shared" si="0"/>
        <v>150907</v>
      </c>
      <c r="F49" s="19"/>
      <c r="G49" s="20">
        <v>286115.07</v>
      </c>
      <c r="H49" s="20">
        <f t="shared" si="1"/>
        <v>-135208.07</v>
      </c>
      <c r="I49" s="19">
        <f t="shared" si="2"/>
        <v>-0.472565356309264</v>
      </c>
      <c r="J49" s="102"/>
      <c r="K49" s="86"/>
    </row>
    <row r="50" spans="1:11" ht="15.75">
      <c r="A50" s="28" t="str">
        <v>Central USD Akers ES</v>
      </c>
      <c r="B50" s="29" t="str">
        <v>CA</v>
      </c>
      <c r="C50" s="24">
        <v>17125</v>
      </c>
      <c r="D50" s="13">
        <v>0</v>
      </c>
      <c r="E50" s="13">
        <f t="shared" si="0"/>
        <v>17125</v>
      </c>
      <c r="F50" s="14"/>
      <c r="G50" s="15">
        <v>18579.89</v>
      </c>
      <c r="H50" s="15">
        <f t="shared" si="1"/>
        <v>-1454.8899999999994</v>
      </c>
      <c r="I50" s="16">
        <f t="shared" si="2"/>
        <v>-7.8304554009738458E-2</v>
      </c>
      <c r="J50" s="85"/>
      <c r="K50" s="85"/>
    </row>
    <row r="51" spans="1:11" ht="15.75">
      <c r="A51" s="30" t="str">
        <v>CUSD - District Office</v>
      </c>
      <c r="B51" s="31" t="str">
        <v>CA</v>
      </c>
      <c r="C51" s="11">
        <v>12843</v>
      </c>
      <c r="D51" s="18">
        <v>0</v>
      </c>
      <c r="E51" s="18">
        <f t="shared" si="0"/>
        <v>12843</v>
      </c>
      <c r="F51" s="19"/>
      <c r="G51" s="20">
        <v>13359.07</v>
      </c>
      <c r="H51" s="20">
        <f t="shared" si="1"/>
        <v>-516.06999999999971</v>
      </c>
      <c r="I51" s="19">
        <f t="shared" si="2"/>
        <v>-3.863068312390007E-2</v>
      </c>
      <c r="J51" s="102" t="s">
        <v>264</v>
      </c>
      <c r="K51" s="102" t="s">
        <v>265</v>
      </c>
    </row>
    <row r="52" spans="1:11" ht="28.5">
      <c r="A52" s="28" t="str">
        <v>Parlier - WTP</v>
      </c>
      <c r="B52" s="29" t="str">
        <v>CA</v>
      </c>
      <c r="C52" s="24">
        <v>8569</v>
      </c>
      <c r="D52" s="13">
        <v>0</v>
      </c>
      <c r="E52" s="13">
        <f t="shared" si="0"/>
        <v>8569</v>
      </c>
      <c r="F52" s="14"/>
      <c r="G52" s="15">
        <v>37842.519999999997</v>
      </c>
      <c r="H52" s="15">
        <f t="shared" si="1"/>
        <v>-29273.519999999997</v>
      </c>
      <c r="I52" s="16">
        <f t="shared" si="2"/>
        <v>-0.77356159156419813</v>
      </c>
      <c r="J52" s="85" t="s">
        <v>266</v>
      </c>
      <c r="K52" s="85" t="s">
        <v>267</v>
      </c>
    </row>
    <row r="53" spans="1:11" ht="15.75">
      <c r="A53" s="30" t="str">
        <v>Snowline SD - Quail Valley MS</v>
      </c>
      <c r="B53" s="31" t="str">
        <v>CA</v>
      </c>
      <c r="C53" s="11">
        <v>16403</v>
      </c>
      <c r="D53" s="18">
        <v>0</v>
      </c>
      <c r="E53" s="18">
        <f t="shared" si="0"/>
        <v>16403</v>
      </c>
      <c r="F53" s="19"/>
      <c r="G53" s="20">
        <v>24880.9</v>
      </c>
      <c r="H53" s="20">
        <f t="shared" si="1"/>
        <v>-8477.9000000000015</v>
      </c>
      <c r="I53" s="19">
        <f t="shared" si="2"/>
        <v>-0.3407392819391582</v>
      </c>
      <c r="J53" s="102" t="s">
        <v>227</v>
      </c>
      <c r="K53" s="91" t="s">
        <v>177</v>
      </c>
    </row>
    <row r="54" spans="1:11" ht="15.75">
      <c r="A54" s="28" t="str">
        <v>Snowline SD - Serrano HS - Middle Lot</v>
      </c>
      <c r="B54" s="29" t="str">
        <v>CA</v>
      </c>
      <c r="C54" s="24">
        <v>17586</v>
      </c>
      <c r="D54" s="13">
        <v>0</v>
      </c>
      <c r="E54" s="13">
        <f t="shared" si="0"/>
        <v>17586</v>
      </c>
      <c r="F54" s="14"/>
      <c r="G54" s="15">
        <v>28143.89</v>
      </c>
      <c r="H54" s="15">
        <f t="shared" si="1"/>
        <v>-10557.89</v>
      </c>
      <c r="I54" s="16">
        <f t="shared" si="2"/>
        <v>-0.37513968395982217</v>
      </c>
      <c r="J54" s="85"/>
      <c r="K54" s="85"/>
    </row>
    <row r="55" spans="1:11" ht="15.75">
      <c r="A55" s="30" t="str">
        <v>Snowline SD - Pinon Hills ES</v>
      </c>
      <c r="B55" s="31" t="str">
        <v>CA</v>
      </c>
      <c r="C55" s="11">
        <v>9275</v>
      </c>
      <c r="D55" s="18">
        <v>0</v>
      </c>
      <c r="E55" s="18">
        <f t="shared" si="0"/>
        <v>9275</v>
      </c>
      <c r="F55" s="19"/>
      <c r="G55" s="20">
        <v>16487.89</v>
      </c>
      <c r="H55" s="20">
        <f t="shared" si="1"/>
        <v>-7212.8899999999994</v>
      </c>
      <c r="I55" s="19">
        <f t="shared" si="2"/>
        <v>-0.43746592195847983</v>
      </c>
      <c r="J55" s="102" t="s">
        <v>228</v>
      </c>
      <c r="K55" s="102" t="s">
        <v>229</v>
      </c>
    </row>
    <row r="56" spans="1:11" ht="15.75">
      <c r="A56" s="28" t="str">
        <v>Ramona - Santa Maria WTP</v>
      </c>
      <c r="B56" s="29" t="str">
        <v>CA</v>
      </c>
      <c r="C56" s="24">
        <v>19050</v>
      </c>
      <c r="D56" s="13">
        <v>0</v>
      </c>
      <c r="E56" s="13">
        <f t="shared" si="0"/>
        <v>19050</v>
      </c>
      <c r="F56" s="14"/>
      <c r="G56" s="15">
        <v>53991.44</v>
      </c>
      <c r="H56" s="15">
        <f t="shared" si="1"/>
        <v>-34941.440000000002</v>
      </c>
      <c r="I56" s="16">
        <f t="shared" si="2"/>
        <v>-0.64716629154547467</v>
      </c>
      <c r="J56" s="89" t="s">
        <v>268</v>
      </c>
      <c r="K56" s="85" t="s">
        <v>269</v>
      </c>
    </row>
    <row r="57" spans="1:11" ht="28.5">
      <c r="A57" s="30" t="str">
        <v>Kohls - Redding</v>
      </c>
      <c r="B57" s="31" t="str">
        <v>CA</v>
      </c>
      <c r="C57" s="11">
        <v>16580</v>
      </c>
      <c r="D57" s="18">
        <v>0</v>
      </c>
      <c r="E57" s="18">
        <f t="shared" si="0"/>
        <v>16580</v>
      </c>
      <c r="F57" s="19"/>
      <c r="G57" s="20">
        <v>16012.86</v>
      </c>
      <c r="H57" s="20">
        <f t="shared" si="1"/>
        <v>567.13999999999942</v>
      </c>
      <c r="I57" s="19">
        <f t="shared" si="2"/>
        <v>3.5417782956948314E-2</v>
      </c>
      <c r="J57" s="102" t="s">
        <v>181</v>
      </c>
      <c r="K57" s="102" t="s">
        <v>270</v>
      </c>
    </row>
    <row r="58" spans="1:11" ht="28.5">
      <c r="A58" s="28" t="str">
        <v>Kohls - Salinas</v>
      </c>
      <c r="B58" s="29" t="str">
        <v>CA</v>
      </c>
      <c r="C58" s="24">
        <v>23053</v>
      </c>
      <c r="D58" s="13">
        <v>0</v>
      </c>
      <c r="E58" s="13">
        <f t="shared" si="0"/>
        <v>23053</v>
      </c>
      <c r="F58" s="14"/>
      <c r="G58" s="15">
        <v>28604.25</v>
      </c>
      <c r="H58" s="15">
        <f t="shared" si="1"/>
        <v>-5551.25</v>
      </c>
      <c r="I58" s="16">
        <f t="shared" si="2"/>
        <v>-0.19407081115568492</v>
      </c>
      <c r="J58" s="85" t="s">
        <v>183</v>
      </c>
      <c r="K58" s="85" t="s">
        <v>232</v>
      </c>
    </row>
    <row r="59" spans="1:11" ht="15.75">
      <c r="A59" s="30" t="str">
        <v>Kohls - San Bernardino - Central</v>
      </c>
      <c r="B59" s="31" t="str">
        <v>CA</v>
      </c>
      <c r="C59" s="11">
        <v>103238</v>
      </c>
      <c r="D59" s="18">
        <v>0</v>
      </c>
      <c r="E59" s="18">
        <f t="shared" si="0"/>
        <v>103238</v>
      </c>
      <c r="F59" s="19"/>
      <c r="G59" s="20">
        <v>111926.08</v>
      </c>
      <c r="H59" s="20">
        <f t="shared" si="1"/>
        <v>-8688.0800000000017</v>
      </c>
      <c r="I59" s="19">
        <f t="shared" si="2"/>
        <v>-7.7623374284170418E-2</v>
      </c>
      <c r="J59" s="102"/>
      <c r="K59" s="86"/>
    </row>
    <row r="60" spans="1:11" ht="15.75">
      <c r="A60" s="28" t="str">
        <v>Kohls - Sonora</v>
      </c>
      <c r="B60" s="29" t="str">
        <v>CA</v>
      </c>
      <c r="C60" s="24">
        <v>15604</v>
      </c>
      <c r="D60" s="13">
        <v>0</v>
      </c>
      <c r="E60" s="13">
        <f t="shared" si="0"/>
        <v>15604</v>
      </c>
      <c r="F60" s="14"/>
      <c r="G60" s="15">
        <v>17725</v>
      </c>
      <c r="H60" s="15">
        <f t="shared" si="1"/>
        <v>-2121</v>
      </c>
      <c r="I60" s="16">
        <f t="shared" si="2"/>
        <v>-0.11966149506346968</v>
      </c>
      <c r="J60" s="85" t="s">
        <v>185</v>
      </c>
      <c r="K60" s="85" t="s">
        <v>233</v>
      </c>
    </row>
    <row r="61" spans="1:11" ht="15.75">
      <c r="A61" s="30" t="str">
        <v>CUSD - Stratford ES</v>
      </c>
      <c r="B61" s="31" t="str">
        <v>CA</v>
      </c>
      <c r="C61" s="11">
        <v>13610</v>
      </c>
      <c r="D61" s="18">
        <v>0</v>
      </c>
      <c r="E61" s="18">
        <f t="shared" si="0"/>
        <v>13610</v>
      </c>
      <c r="F61" s="19"/>
      <c r="G61" s="20">
        <v>12744.1</v>
      </c>
      <c r="H61" s="20">
        <f t="shared" si="1"/>
        <v>865.89999999999964</v>
      </c>
      <c r="I61" s="19">
        <f t="shared" si="2"/>
        <v>6.7945166783060368E-2</v>
      </c>
      <c r="J61" s="102"/>
      <c r="K61" s="86"/>
    </row>
    <row r="62" spans="1:11" ht="15.75">
      <c r="A62" s="28" t="str">
        <v>Taft - City Hall</v>
      </c>
      <c r="B62" s="29" t="str">
        <v>CA</v>
      </c>
      <c r="C62" s="24">
        <v>3435</v>
      </c>
      <c r="D62" s="13">
        <v>0</v>
      </c>
      <c r="E62" s="13">
        <f t="shared" si="0"/>
        <v>3435</v>
      </c>
      <c r="F62" s="14"/>
      <c r="G62" s="15">
        <v>5439.59</v>
      </c>
      <c r="H62" s="15">
        <f t="shared" si="1"/>
        <v>-2004.5900000000001</v>
      </c>
      <c r="I62" s="16">
        <f t="shared" si="2"/>
        <v>-0.36851858320204284</v>
      </c>
      <c r="J62" s="85"/>
      <c r="K62" s="85"/>
    </row>
    <row r="63" spans="1:11" ht="15.75">
      <c r="A63" s="30" t="str">
        <v>Taft - Federal Prison</v>
      </c>
      <c r="B63" s="31" t="str">
        <v>CA</v>
      </c>
      <c r="C63" s="11">
        <v>10480</v>
      </c>
      <c r="D63" s="18">
        <v>0</v>
      </c>
      <c r="E63" s="18">
        <f t="shared" si="0"/>
        <v>10480</v>
      </c>
      <c r="F63" s="19"/>
      <c r="G63" s="20">
        <v>9766.99</v>
      </c>
      <c r="H63" s="20">
        <f t="shared" si="1"/>
        <v>713.01000000000022</v>
      </c>
      <c r="I63" s="19">
        <f t="shared" si="2"/>
        <v>7.3002020069642765E-2</v>
      </c>
      <c r="J63" s="102"/>
      <c r="K63" s="86"/>
    </row>
    <row r="64" spans="1:11" ht="15.75">
      <c r="A64" s="28" t="str">
        <v>Taft - Police Department</v>
      </c>
      <c r="B64" s="29" t="str">
        <v>CA</v>
      </c>
      <c r="C64" s="24">
        <v>6613</v>
      </c>
      <c r="D64" s="13">
        <v>0</v>
      </c>
      <c r="E64" s="13">
        <f t="shared" si="0"/>
        <v>6613</v>
      </c>
      <c r="F64" s="14"/>
      <c r="G64" s="15">
        <v>6246.61</v>
      </c>
      <c r="H64" s="15">
        <f t="shared" si="1"/>
        <v>366.39000000000033</v>
      </c>
      <c r="I64" s="16">
        <f t="shared" si="2"/>
        <v>5.8654214045698441E-2</v>
      </c>
      <c r="J64" s="85"/>
      <c r="K64" s="85"/>
    </row>
    <row r="65" spans="1:11" ht="15.75">
      <c r="A65" s="30" t="str">
        <v>Taft - WTP</v>
      </c>
      <c r="B65" s="31" t="str">
        <v>CA</v>
      </c>
      <c r="C65" s="11">
        <v>0</v>
      </c>
      <c r="D65" s="18">
        <v>0</v>
      </c>
      <c r="E65" s="18">
        <f t="shared" si="0"/>
        <v>0</v>
      </c>
      <c r="F65" s="19"/>
      <c r="G65" s="20">
        <v>43308.81</v>
      </c>
      <c r="H65" s="20">
        <f t="shared" si="1"/>
        <v>-43308.81</v>
      </c>
      <c r="I65" s="19">
        <f t="shared" si="2"/>
        <v>-1</v>
      </c>
      <c r="J65" s="102" t="s">
        <v>271</v>
      </c>
      <c r="K65" s="90" t="s">
        <v>272</v>
      </c>
    </row>
    <row r="66" spans="1:11" ht="28.5">
      <c r="A66" s="28" t="str">
        <v>CDCR - CA Correctional Institution</v>
      </c>
      <c r="B66" s="29" t="str">
        <v>CA</v>
      </c>
      <c r="C66" s="24">
        <v>103989</v>
      </c>
      <c r="D66" s="13">
        <v>0</v>
      </c>
      <c r="E66" s="13">
        <f t="shared" si="0"/>
        <v>103989</v>
      </c>
      <c r="F66" s="14"/>
      <c r="G66" s="15">
        <v>123443.15</v>
      </c>
      <c r="H66" s="15">
        <f t="shared" si="1"/>
        <v>-19454.149999999994</v>
      </c>
      <c r="I66" s="16">
        <f t="shared" si="2"/>
        <v>-0.15759602699704273</v>
      </c>
      <c r="J66" s="85" t="s">
        <v>273</v>
      </c>
      <c r="K66" s="85" t="s">
        <v>274</v>
      </c>
    </row>
    <row r="67" spans="1:11" ht="85.5">
      <c r="A67" s="30" t="str">
        <v>CDCR - CA Correctional Institution II</v>
      </c>
      <c r="B67" s="31" t="str">
        <v>CA</v>
      </c>
      <c r="C67" s="11">
        <v>89914</v>
      </c>
      <c r="D67" s="18">
        <v>0</v>
      </c>
      <c r="E67" s="18">
        <f t="shared" si="0"/>
        <v>89914</v>
      </c>
      <c r="F67" s="19"/>
      <c r="G67" s="20">
        <v>189478.3</v>
      </c>
      <c r="H67" s="20">
        <f t="shared" si="1"/>
        <v>-99564.299999999988</v>
      </c>
      <c r="I67" s="19">
        <f t="shared" si="2"/>
        <v>-0.5254654490778099</v>
      </c>
      <c r="J67" s="94" t="s">
        <v>275</v>
      </c>
      <c r="K67" s="95" t="s">
        <v>276</v>
      </c>
    </row>
    <row r="68" spans="1:11" ht="15.75">
      <c r="A68" s="28" t="str">
        <v>Snowline SD - Vista Verde ES</v>
      </c>
      <c r="B68" s="29" t="str">
        <v>CA</v>
      </c>
      <c r="C68" s="24">
        <v>16473</v>
      </c>
      <c r="D68" s="13">
        <v>0</v>
      </c>
      <c r="E68" s="13">
        <f t="shared" si="0"/>
        <v>16473</v>
      </c>
      <c r="F68" s="14"/>
      <c r="G68" s="15">
        <v>18049.150000000001</v>
      </c>
      <c r="H68" s="15">
        <f t="shared" si="1"/>
        <v>-1576.1500000000015</v>
      </c>
      <c r="I68" s="16">
        <f t="shared" si="2"/>
        <v>-8.7325441918317551E-2</v>
      </c>
      <c r="J68" s="85"/>
      <c r="K68" s="85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conditionalFormatting sqref="F4:F100 I4:I100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tabSelected="1" zoomScale="70" zoomScaleNormal="70" workbookViewId="0">
      <pane xSplit="2" ySplit="3" topLeftCell="C25" activePane="bottomRight" state="frozen"/>
      <selection pane="bottomRight" activeCell="D39" sqref="D39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6.7109375" style="1" customWidth="1"/>
    <col min="10" max="10" width="71.5703125" customWidth="1"/>
    <col min="11" max="11" width="21.28515625" customWidth="1"/>
  </cols>
  <sheetData>
    <row r="1" spans="1:11" ht="19.5" customHeight="1">
      <c r="A1" s="99" t="str" cm="1">
        <f t="array" ref="A1">portfolio</f>
        <v>Silicon Ranch</v>
      </c>
      <c r="B1" s="99"/>
      <c r="C1" s="99"/>
      <c r="D1" s="100" t="s">
        <v>277</v>
      </c>
      <c r="E1" s="100"/>
      <c r="F1" s="100"/>
      <c r="G1" s="98" t="s">
        <v>278</v>
      </c>
      <c r="H1" s="98"/>
      <c r="I1" s="98"/>
      <c r="J1" s="4"/>
      <c r="K1" s="4"/>
    </row>
    <row r="2" spans="1:11" ht="19.5" customHeight="1">
      <c r="A2" s="101" t="s">
        <v>2</v>
      </c>
      <c r="B2" s="101"/>
      <c r="C2" s="5">
        <f>SUM(C4:C100)</f>
        <v>1200419.3799999999</v>
      </c>
      <c r="D2" s="5">
        <f>SUM(D4:D100)</f>
        <v>0</v>
      </c>
      <c r="E2" s="5">
        <f>C2-D2</f>
        <v>1200419.3799999999</v>
      </c>
      <c r="F2" s="6">
        <f>IFERROR(E2/D2, 0)</f>
        <v>0</v>
      </c>
      <c r="G2" s="5">
        <f>SUM(G4:G100)</f>
        <v>2125346.696</v>
      </c>
      <c r="H2" s="7">
        <f>C2-G2</f>
        <v>-924927.31600000011</v>
      </c>
      <c r="I2" s="6">
        <f>IFERROR(H2/G2, 0)</f>
        <v>-0.43518891188000325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10681</v>
      </c>
      <c r="D4" s="13">
        <v>0</v>
      </c>
      <c r="E4" s="13">
        <f>IF(AND(ISNUMBER(C4),ISNUMBER(D4)), C4-D4, "")</f>
        <v>10681</v>
      </c>
      <c r="F4" s="14" t="str">
        <f>IFERROR(E4/D4, "")</f>
        <v/>
      </c>
      <c r="G4" s="15">
        <v>11135.44</v>
      </c>
      <c r="H4" s="15">
        <f>IF(AND(ISNUMBER(C4),ISNUMBER(G4)), C4-G4, "")</f>
        <v>-454.44000000000051</v>
      </c>
      <c r="I4" s="16">
        <f>IFERROR(H4/G4, "")</f>
        <v>-4.0810241894348176E-2</v>
      </c>
      <c r="J4" s="41"/>
      <c r="K4" s="41"/>
    </row>
    <row r="5" spans="1:11" ht="15.75">
      <c r="A5" s="30" t="str">
        <v>Kohls - Auburn</v>
      </c>
      <c r="B5" s="31" t="str">
        <v>NY</v>
      </c>
      <c r="C5" s="11">
        <v>5214</v>
      </c>
      <c r="D5" s="18">
        <v>0</v>
      </c>
      <c r="E5" s="18">
        <f t="shared" ref="E5:E68" si="0">IF(AND(ISNUMBER(C5),ISNUMBER(D5)), C5-D5, "")</f>
        <v>5214</v>
      </c>
      <c r="F5" s="19" t="str">
        <f>IFERROR(E5/D5, "")</f>
        <v/>
      </c>
      <c r="G5" s="20">
        <v>6886.76</v>
      </c>
      <c r="H5" s="20">
        <f t="shared" ref="H5:H68" si="1">IF(AND(ISNUMBER(C5),ISNUMBER(G5)), C5-G5, "")</f>
        <v>-1672.7600000000002</v>
      </c>
      <c r="I5" s="19">
        <f t="shared" ref="I5:I68" si="2">IFERROR(H5/G5, "")</f>
        <v>-0.24289506240960917</v>
      </c>
      <c r="J5" s="42"/>
      <c r="K5" s="42"/>
    </row>
    <row r="6" spans="1:11" ht="15.75">
      <c r="A6" s="28" t="str">
        <v>Kohls - Bensalem</v>
      </c>
      <c r="B6" s="29" t="str">
        <v>PA</v>
      </c>
      <c r="C6" s="24">
        <v>13932</v>
      </c>
      <c r="D6" s="13">
        <v>0</v>
      </c>
      <c r="E6" s="13">
        <f t="shared" si="0"/>
        <v>13932</v>
      </c>
      <c r="F6" s="14" t="str">
        <f t="shared" ref="F6:F17" si="3">IFERROR(E6/D6, "")</f>
        <v/>
      </c>
      <c r="G6" s="15">
        <v>12714.27</v>
      </c>
      <c r="H6" s="15">
        <f t="shared" si="1"/>
        <v>1217.7299999999996</v>
      </c>
      <c r="I6" s="16">
        <f t="shared" si="2"/>
        <v>9.5776635229549129E-2</v>
      </c>
      <c r="J6" s="41"/>
      <c r="K6" s="41"/>
    </row>
    <row r="7" spans="1:11" ht="28.5">
      <c r="A7" s="30" t="str">
        <v>Kohls - Brick</v>
      </c>
      <c r="B7" s="31" t="str">
        <v>NJ</v>
      </c>
      <c r="C7" s="11">
        <v>18586</v>
      </c>
      <c r="D7" s="18">
        <v>0</v>
      </c>
      <c r="E7" s="18">
        <f t="shared" si="0"/>
        <v>18586</v>
      </c>
      <c r="F7" s="19" t="str">
        <f t="shared" si="3"/>
        <v/>
      </c>
      <c r="G7" s="20">
        <v>16597.82</v>
      </c>
      <c r="H7" s="20">
        <f t="shared" si="1"/>
        <v>1988.1800000000003</v>
      </c>
      <c r="I7" s="19">
        <f t="shared" si="2"/>
        <v>0.11978561039943803</v>
      </c>
      <c r="J7" s="55" t="s">
        <v>279</v>
      </c>
      <c r="K7" s="55" t="s">
        <v>280</v>
      </c>
    </row>
    <row r="8" spans="1:11" ht="28.5">
      <c r="A8" s="28" t="str">
        <v>Kohls - Buffalo</v>
      </c>
      <c r="B8" s="29" t="str">
        <v>NY</v>
      </c>
      <c r="C8" s="24">
        <v>4467</v>
      </c>
      <c r="D8" s="13">
        <v>0</v>
      </c>
      <c r="E8" s="13">
        <f t="shared" si="0"/>
        <v>4467</v>
      </c>
      <c r="F8" s="14" t="str">
        <f t="shared" si="3"/>
        <v/>
      </c>
      <c r="G8" s="15">
        <v>7858.68</v>
      </c>
      <c r="H8" s="15">
        <f t="shared" si="1"/>
        <v>-3391.6800000000003</v>
      </c>
      <c r="I8" s="16">
        <f t="shared" si="2"/>
        <v>-0.43158393012566998</v>
      </c>
      <c r="J8" s="57" t="s">
        <v>281</v>
      </c>
      <c r="K8" s="57" t="s">
        <v>282</v>
      </c>
    </row>
    <row r="9" spans="1:11" ht="15.75">
      <c r="A9" s="30" t="str">
        <v>Kohls - Canton</v>
      </c>
      <c r="B9" s="31" t="str">
        <v>CT</v>
      </c>
      <c r="C9" s="11">
        <v>5830</v>
      </c>
      <c r="D9" s="18">
        <v>0</v>
      </c>
      <c r="E9" s="18">
        <f t="shared" si="0"/>
        <v>5830</v>
      </c>
      <c r="F9" s="19" t="str">
        <f t="shared" si="3"/>
        <v/>
      </c>
      <c r="G9" s="20">
        <v>4640.84</v>
      </c>
      <c r="H9" s="20">
        <f t="shared" si="1"/>
        <v>1189.1599999999999</v>
      </c>
      <c r="I9" s="19">
        <f t="shared" si="2"/>
        <v>0.25623809482766047</v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>
        <v>6097</v>
      </c>
      <c r="D10" s="13">
        <v>0</v>
      </c>
      <c r="E10" s="13">
        <f t="shared" si="0"/>
        <v>6097</v>
      </c>
      <c r="F10" s="14" t="str">
        <f t="shared" si="3"/>
        <v/>
      </c>
      <c r="G10" s="15">
        <v>8330.75</v>
      </c>
      <c r="H10" s="15">
        <f t="shared" si="1"/>
        <v>-2233.75</v>
      </c>
      <c r="I10" s="16">
        <f t="shared" si="2"/>
        <v>-0.26813312126759298</v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>
        <v>19616</v>
      </c>
      <c r="D11" s="18">
        <v>0</v>
      </c>
      <c r="E11" s="18">
        <f t="shared" si="0"/>
        <v>19616</v>
      </c>
      <c r="F11" s="19" t="str">
        <f t="shared" si="3"/>
        <v/>
      </c>
      <c r="G11" s="20">
        <v>21739.14</v>
      </c>
      <c r="H11" s="20">
        <f t="shared" si="1"/>
        <v>-2123.1399999999994</v>
      </c>
      <c r="I11" s="19">
        <f t="shared" si="2"/>
        <v>-9.7664397027665287E-2</v>
      </c>
      <c r="J11" s="42"/>
      <c r="K11" s="43"/>
    </row>
    <row r="12" spans="1:11" ht="15.75">
      <c r="A12" s="28" t="str">
        <v>Kohls - Edgewood</v>
      </c>
      <c r="B12" s="29" t="str">
        <v>MD</v>
      </c>
      <c r="C12" s="24">
        <v>113070</v>
      </c>
      <c r="D12" s="13">
        <v>0</v>
      </c>
      <c r="E12" s="13">
        <f t="shared" si="0"/>
        <v>113070</v>
      </c>
      <c r="F12" s="14" t="str">
        <f t="shared" si="3"/>
        <v/>
      </c>
      <c r="G12" s="15">
        <v>112735.95</v>
      </c>
      <c r="H12" s="15">
        <f t="shared" si="1"/>
        <v>334.05000000000291</v>
      </c>
      <c r="I12" s="16">
        <f t="shared" si="2"/>
        <v>2.9631186857431275E-3</v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>
        <v>13683</v>
      </c>
      <c r="D13" s="18">
        <v>0</v>
      </c>
      <c r="E13" s="18">
        <f t="shared" si="0"/>
        <v>13683</v>
      </c>
      <c r="F13" s="19" t="str">
        <f t="shared" si="3"/>
        <v/>
      </c>
      <c r="G13" s="20">
        <v>12717.92</v>
      </c>
      <c r="H13" s="20">
        <f t="shared" si="1"/>
        <v>965.07999999999993</v>
      </c>
      <c r="I13" s="19">
        <f t="shared" si="2"/>
        <v>7.5883477801401478E-2</v>
      </c>
      <c r="J13" s="42"/>
      <c r="K13" s="43"/>
    </row>
    <row r="14" spans="1:11" ht="15.75">
      <c r="A14" s="28" t="str">
        <v>Kohls - Greece</v>
      </c>
      <c r="B14" s="29" t="str">
        <v>NY</v>
      </c>
      <c r="C14" s="24">
        <v>5358</v>
      </c>
      <c r="D14" s="13">
        <v>0</v>
      </c>
      <c r="E14" s="13">
        <f t="shared" si="0"/>
        <v>5358</v>
      </c>
      <c r="F14" s="14" t="str">
        <f t="shared" si="3"/>
        <v/>
      </c>
      <c r="G14" s="15">
        <v>9922.85</v>
      </c>
      <c r="H14" s="15">
        <f t="shared" si="1"/>
        <v>-4564.8500000000004</v>
      </c>
      <c r="I14" s="16">
        <f t="shared" si="2"/>
        <v>-0.4600341635719577</v>
      </c>
      <c r="J14" s="41"/>
      <c r="K14" s="41"/>
    </row>
    <row r="15" spans="1:11" ht="28.5">
      <c r="A15" s="30" t="str">
        <v>Kohls - Hanover</v>
      </c>
      <c r="B15" s="31" t="str">
        <v>PA</v>
      </c>
      <c r="C15" s="11">
        <v>10833</v>
      </c>
      <c r="D15" s="18">
        <v>0</v>
      </c>
      <c r="E15" s="18">
        <f t="shared" si="0"/>
        <v>10833</v>
      </c>
      <c r="F15" s="19" t="str">
        <f t="shared" si="3"/>
        <v/>
      </c>
      <c r="G15" s="20">
        <v>14467.61</v>
      </c>
      <c r="H15" s="20">
        <f t="shared" si="1"/>
        <v>-3634.6100000000006</v>
      </c>
      <c r="I15" s="19">
        <f t="shared" si="2"/>
        <v>-0.25122394092735428</v>
      </c>
      <c r="J15" s="55" t="s">
        <v>283</v>
      </c>
      <c r="K15" s="97" t="s">
        <v>244</v>
      </c>
    </row>
    <row r="16" spans="1:11" ht="15.75">
      <c r="A16" s="28" t="str">
        <v>Kohls - Horsehead</v>
      </c>
      <c r="B16" s="29" t="str">
        <v>NY</v>
      </c>
      <c r="C16" s="24">
        <v>5701</v>
      </c>
      <c r="D16" s="13">
        <v>0</v>
      </c>
      <c r="E16" s="13">
        <f t="shared" si="0"/>
        <v>5701</v>
      </c>
      <c r="F16" s="14" t="str">
        <f t="shared" si="3"/>
        <v/>
      </c>
      <c r="G16" s="15">
        <v>9904.34</v>
      </c>
      <c r="H16" s="15">
        <f t="shared" si="1"/>
        <v>-4203.34</v>
      </c>
      <c r="I16" s="16">
        <f t="shared" si="2"/>
        <v>-0.42439375061841578</v>
      </c>
      <c r="J16" s="41"/>
      <c r="K16" s="41"/>
    </row>
    <row r="17" spans="1:11" ht="15.75">
      <c r="A17" s="30" t="str">
        <v>Kohls - Hudson</v>
      </c>
      <c r="B17" s="31" t="str">
        <v>NY</v>
      </c>
      <c r="C17" s="11">
        <v>9995</v>
      </c>
      <c r="D17" s="18">
        <v>0</v>
      </c>
      <c r="E17" s="18">
        <f t="shared" si="0"/>
        <v>9995</v>
      </c>
      <c r="F17" s="19" t="str">
        <f t="shared" si="3"/>
        <v/>
      </c>
      <c r="G17" s="20">
        <v>11579.75</v>
      </c>
      <c r="H17" s="20">
        <f t="shared" si="1"/>
        <v>-1584.75</v>
      </c>
      <c r="I17" s="19">
        <f t="shared" si="2"/>
        <v>-0.13685528616766338</v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>
        <v>5817</v>
      </c>
      <c r="D18" s="13">
        <v>0</v>
      </c>
      <c r="E18" s="13">
        <f t="shared" si="0"/>
        <v>5817</v>
      </c>
      <c r="F18" s="14"/>
      <c r="G18" s="15">
        <v>9932.11</v>
      </c>
      <c r="H18" s="15">
        <f t="shared" si="1"/>
        <v>-4115.1100000000006</v>
      </c>
      <c r="I18" s="16">
        <f t="shared" si="2"/>
        <v>-0.41432384458085947</v>
      </c>
      <c r="J18" s="41"/>
      <c r="K18" s="41"/>
    </row>
    <row r="19" spans="1:11" ht="15.75">
      <c r="A19" s="30" t="str">
        <v>Kohls - Kingston</v>
      </c>
      <c r="B19" s="31" t="str">
        <v>NY</v>
      </c>
      <c r="C19" s="11">
        <v>13764</v>
      </c>
      <c r="D19" s="18">
        <v>0</v>
      </c>
      <c r="E19" s="18">
        <f t="shared" si="0"/>
        <v>13764</v>
      </c>
      <c r="F19" s="19"/>
      <c r="G19" s="20">
        <v>19493.960999999999</v>
      </c>
      <c r="H19" s="20">
        <f t="shared" si="1"/>
        <v>-5729.9609999999993</v>
      </c>
      <c r="I19" s="19">
        <f t="shared" si="2"/>
        <v>-0.29393518331138546</v>
      </c>
      <c r="J19" s="42"/>
      <c r="K19" s="42"/>
    </row>
    <row r="20" spans="1:11" ht="15.75">
      <c r="A20" s="28" t="str">
        <v>Kohls - Mechanicsburg</v>
      </c>
      <c r="B20" s="29" t="str">
        <v>PA</v>
      </c>
      <c r="C20" s="24">
        <v>16302</v>
      </c>
      <c r="D20" s="13">
        <v>0</v>
      </c>
      <c r="E20" s="13">
        <f t="shared" si="0"/>
        <v>16302</v>
      </c>
      <c r="F20" s="14"/>
      <c r="G20" s="15">
        <v>16596.09</v>
      </c>
      <c r="H20" s="15">
        <f t="shared" si="1"/>
        <v>-294.09000000000015</v>
      </c>
      <c r="I20" s="16">
        <f t="shared" si="2"/>
        <v>-1.7720438970866038E-2</v>
      </c>
      <c r="J20" s="41"/>
      <c r="K20" s="41"/>
    </row>
    <row r="21" spans="1:11" ht="28.5">
      <c r="A21" s="30" t="str">
        <v>Kohls - Middletown</v>
      </c>
      <c r="B21" s="31" t="str">
        <v>NJ</v>
      </c>
      <c r="C21" s="11">
        <v>24876</v>
      </c>
      <c r="D21" s="18">
        <v>0</v>
      </c>
      <c r="E21" s="18">
        <f t="shared" si="0"/>
        <v>24876</v>
      </c>
      <c r="F21" s="19"/>
      <c r="G21" s="20">
        <v>24696.54</v>
      </c>
      <c r="H21" s="20">
        <f t="shared" si="1"/>
        <v>179.45999999999913</v>
      </c>
      <c r="I21" s="19">
        <f t="shared" si="2"/>
        <v>7.266604957617509E-3</v>
      </c>
      <c r="J21" s="55" t="s">
        <v>284</v>
      </c>
      <c r="K21" s="55" t="s">
        <v>285</v>
      </c>
    </row>
    <row r="22" spans="1:11" ht="28.5">
      <c r="A22" s="28" t="str">
        <v>Kohls - North Amherst</v>
      </c>
      <c r="B22" s="29" t="str">
        <v>NY</v>
      </c>
      <c r="C22" s="24">
        <v>0</v>
      </c>
      <c r="D22" s="13">
        <v>0</v>
      </c>
      <c r="E22" s="13">
        <f t="shared" si="0"/>
        <v>0</v>
      </c>
      <c r="F22" s="14"/>
      <c r="G22" s="15">
        <v>6664.6</v>
      </c>
      <c r="H22" s="15">
        <f t="shared" si="1"/>
        <v>-6664.6</v>
      </c>
      <c r="I22" s="16">
        <f t="shared" si="2"/>
        <v>-1</v>
      </c>
      <c r="J22" s="41" t="s">
        <v>286</v>
      </c>
      <c r="K22" s="85" t="s">
        <v>246</v>
      </c>
    </row>
    <row r="23" spans="1:11" ht="15.75">
      <c r="A23" s="30" t="str">
        <v>Kohls - Staten Island</v>
      </c>
      <c r="B23" s="31" t="str">
        <v>NY</v>
      </c>
      <c r="C23" s="11">
        <v>102</v>
      </c>
      <c r="D23" s="18">
        <v>0</v>
      </c>
      <c r="E23" s="18">
        <f t="shared" si="0"/>
        <v>102</v>
      </c>
      <c r="F23" s="19"/>
      <c r="G23" s="20">
        <v>14504.34</v>
      </c>
      <c r="H23" s="20">
        <f t="shared" si="1"/>
        <v>-14402.34</v>
      </c>
      <c r="I23" s="19">
        <f t="shared" si="2"/>
        <v>-0.99296762210483203</v>
      </c>
      <c r="J23" s="42" t="s">
        <v>247</v>
      </c>
      <c r="K23" s="102" t="s">
        <v>248</v>
      </c>
    </row>
    <row r="24" spans="1:11" ht="15.75">
      <c r="A24" s="28" t="str">
        <v>Kohls - Warminster</v>
      </c>
      <c r="B24" s="29" t="str">
        <v>PA</v>
      </c>
      <c r="C24" s="24">
        <v>16600</v>
      </c>
      <c r="D24" s="13">
        <v>0</v>
      </c>
      <c r="E24" s="13">
        <f t="shared" si="0"/>
        <v>16600</v>
      </c>
      <c r="F24" s="14"/>
      <c r="G24" s="15">
        <v>15727.18</v>
      </c>
      <c r="H24" s="15">
        <f t="shared" si="1"/>
        <v>872.81999999999971</v>
      </c>
      <c r="I24" s="16">
        <f t="shared" si="2"/>
        <v>5.5497552644530025E-2</v>
      </c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>
        <v>14314</v>
      </c>
      <c r="D25" s="18">
        <v>0</v>
      </c>
      <c r="E25" s="18">
        <f t="shared" si="0"/>
        <v>14314</v>
      </c>
      <c r="F25" s="19"/>
      <c r="G25" s="20">
        <v>14020.66</v>
      </c>
      <c r="H25" s="20">
        <f t="shared" si="1"/>
        <v>293.34000000000015</v>
      </c>
      <c r="I25" s="19">
        <f t="shared" si="2"/>
        <v>2.0921982274728874E-2</v>
      </c>
      <c r="J25" s="42"/>
      <c r="K25" s="43"/>
    </row>
    <row r="26" spans="1:11" ht="15.75">
      <c r="A26" s="28" t="str">
        <v>Mojave Water Agency - Headquarters</v>
      </c>
      <c r="B26" s="29" t="str">
        <v>CA</v>
      </c>
      <c r="C26" s="24">
        <v>20665</v>
      </c>
      <c r="D26" s="13">
        <v>0</v>
      </c>
      <c r="E26" s="13">
        <f t="shared" si="0"/>
        <v>20665</v>
      </c>
      <c r="F26" s="14"/>
      <c r="G26" s="15">
        <v>25425.97</v>
      </c>
      <c r="H26" s="15">
        <f t="shared" si="1"/>
        <v>-4760.9700000000012</v>
      </c>
      <c r="I26" s="16">
        <f t="shared" si="2"/>
        <v>-0.18724831343700951</v>
      </c>
      <c r="J26" s="41"/>
      <c r="K26" s="41"/>
    </row>
    <row r="27" spans="1:11" ht="15.75">
      <c r="A27" s="30" t="str">
        <v>CSU - Bakersfield</v>
      </c>
      <c r="B27" s="31" t="str">
        <v>CA</v>
      </c>
      <c r="C27" s="11">
        <v>58598</v>
      </c>
      <c r="D27" s="18">
        <v>0</v>
      </c>
      <c r="E27" s="18">
        <f t="shared" si="0"/>
        <v>58598</v>
      </c>
      <c r="F27" s="19"/>
      <c r="G27" s="20">
        <v>55229</v>
      </c>
      <c r="H27" s="20">
        <f t="shared" si="1"/>
        <v>3369</v>
      </c>
      <c r="I27" s="19">
        <f t="shared" si="2"/>
        <v>6.1000561299317385E-2</v>
      </c>
      <c r="J27" s="42"/>
      <c r="K27" s="43"/>
    </row>
    <row r="28" spans="1:11" ht="15.75">
      <c r="A28" s="28" t="str">
        <v>Greenfield USD - Fairfield ES</v>
      </c>
      <c r="B28" s="29" t="str">
        <v>CA</v>
      </c>
      <c r="C28" s="24">
        <v>6838</v>
      </c>
      <c r="D28" s="13">
        <v>0</v>
      </c>
      <c r="E28" s="13">
        <f t="shared" si="0"/>
        <v>6838</v>
      </c>
      <c r="F28" s="14"/>
      <c r="G28" s="15">
        <v>6775.68</v>
      </c>
      <c r="H28" s="15">
        <f t="shared" si="1"/>
        <v>62.319999999999709</v>
      </c>
      <c r="I28" s="16">
        <f t="shared" si="2"/>
        <v>9.1976008312080419E-3</v>
      </c>
      <c r="J28" s="41"/>
      <c r="K28" s="41"/>
    </row>
    <row r="29" spans="1:11" ht="15.75">
      <c r="A29" s="30" t="str">
        <v>Greenfield USD - Granite Point ES</v>
      </c>
      <c r="B29" s="31" t="str">
        <v>CA</v>
      </c>
      <c r="C29" s="11">
        <v>18859</v>
      </c>
      <c r="D29" s="18">
        <v>0</v>
      </c>
      <c r="E29" s="18">
        <f t="shared" si="0"/>
        <v>18859</v>
      </c>
      <c r="F29" s="19"/>
      <c r="G29" s="20">
        <v>17711.18</v>
      </c>
      <c r="H29" s="20">
        <f t="shared" si="1"/>
        <v>1147.8199999999997</v>
      </c>
      <c r="I29" s="19">
        <f t="shared" si="2"/>
        <v>6.4807652567474311E-2</v>
      </c>
      <c r="J29" s="42"/>
      <c r="K29" s="43"/>
    </row>
    <row r="30" spans="1:11" ht="15.75">
      <c r="A30" s="28" t="str">
        <v>Greenfield USD - Greenfield MS</v>
      </c>
      <c r="B30" s="29" t="str">
        <v>CA</v>
      </c>
      <c r="C30" s="24">
        <v>11676</v>
      </c>
      <c r="D30" s="13">
        <v>0</v>
      </c>
      <c r="E30" s="13">
        <f t="shared" si="0"/>
        <v>11676</v>
      </c>
      <c r="F30" s="14"/>
      <c r="G30" s="15">
        <v>12236.95</v>
      </c>
      <c r="H30" s="15">
        <f t="shared" si="1"/>
        <v>-560.95000000000073</v>
      </c>
      <c r="I30" s="16">
        <f t="shared" si="2"/>
        <v>-4.5840671082255029E-2</v>
      </c>
      <c r="J30" s="41"/>
      <c r="K30" s="41"/>
    </row>
    <row r="31" spans="1:11" ht="42.75">
      <c r="A31" s="30" t="str">
        <v>Greenfield USD - Horizon ES</v>
      </c>
      <c r="B31" s="31" t="str">
        <v>CA</v>
      </c>
      <c r="C31" s="11">
        <v>13406</v>
      </c>
      <c r="D31" s="18">
        <v>0</v>
      </c>
      <c r="E31" s="18">
        <f t="shared" si="0"/>
        <v>13406</v>
      </c>
      <c r="F31" s="19"/>
      <c r="G31" s="20">
        <v>17938.89</v>
      </c>
      <c r="H31" s="20">
        <f t="shared" si="1"/>
        <v>-4532.8899999999994</v>
      </c>
      <c r="I31" s="19">
        <f t="shared" si="2"/>
        <v>-0.25268508809630918</v>
      </c>
      <c r="J31" s="42" t="s">
        <v>287</v>
      </c>
      <c r="K31" s="55" t="s">
        <v>252</v>
      </c>
    </row>
    <row r="32" spans="1:11" ht="15.75">
      <c r="A32" s="28" t="str">
        <v>Greenfield USD - McKee MS</v>
      </c>
      <c r="B32" s="29" t="str">
        <v>CA</v>
      </c>
      <c r="C32" s="24">
        <v>7987</v>
      </c>
      <c r="D32" s="13">
        <v>0</v>
      </c>
      <c r="E32" s="13">
        <f t="shared" si="0"/>
        <v>7987</v>
      </c>
      <c r="F32" s="14"/>
      <c r="G32" s="15">
        <v>10978.08</v>
      </c>
      <c r="H32" s="15">
        <f t="shared" si="1"/>
        <v>-2991.08</v>
      </c>
      <c r="I32" s="16">
        <f t="shared" si="2"/>
        <v>-0.27245930071560781</v>
      </c>
      <c r="J32" s="41"/>
      <c r="K32" s="41"/>
    </row>
    <row r="33" spans="1:11" ht="15.75">
      <c r="A33" s="30" t="str">
        <v>Greenfield USD - Plantation ES</v>
      </c>
      <c r="B33" s="31" t="str">
        <v>CA</v>
      </c>
      <c r="C33" s="11">
        <v>8018</v>
      </c>
      <c r="D33" s="18">
        <v>0</v>
      </c>
      <c r="E33" s="18">
        <f t="shared" si="0"/>
        <v>8018</v>
      </c>
      <c r="F33" s="19"/>
      <c r="G33" s="20">
        <v>7849.42</v>
      </c>
      <c r="H33" s="20">
        <f t="shared" si="1"/>
        <v>168.57999999999993</v>
      </c>
      <c r="I33" s="19">
        <f t="shared" si="2"/>
        <v>2.1476746052574575E-2</v>
      </c>
      <c r="J33" s="42"/>
      <c r="K33" s="43"/>
    </row>
    <row r="34" spans="1:11" ht="15.75">
      <c r="A34" s="28" t="str">
        <v>Greenfield USD - Planz ES</v>
      </c>
      <c r="B34" s="29" t="str">
        <v>CA</v>
      </c>
      <c r="C34" s="24">
        <v>2640</v>
      </c>
      <c r="D34" s="13">
        <v>0</v>
      </c>
      <c r="E34" s="13">
        <f t="shared" si="0"/>
        <v>2640</v>
      </c>
      <c r="F34" s="14"/>
      <c r="G34" s="15">
        <v>9561.85</v>
      </c>
      <c r="H34" s="15">
        <f t="shared" si="1"/>
        <v>-6921.85</v>
      </c>
      <c r="I34" s="16">
        <f t="shared" si="2"/>
        <v>-0.72390280123616246</v>
      </c>
      <c r="J34" s="41"/>
      <c r="K34" s="41"/>
    </row>
    <row r="35" spans="1:11" ht="15.75">
      <c r="A35" s="30" t="str">
        <v>Greenfield USD - Raffaello Palla ES</v>
      </c>
      <c r="B35" s="31" t="str">
        <v>CA</v>
      </c>
      <c r="C35" s="11">
        <v>18522</v>
      </c>
      <c r="D35" s="18">
        <v>0</v>
      </c>
      <c r="E35" s="18">
        <f t="shared" si="0"/>
        <v>18522</v>
      </c>
      <c r="F35" s="19"/>
      <c r="G35" s="20">
        <v>19966.04</v>
      </c>
      <c r="H35" s="20">
        <f t="shared" si="1"/>
        <v>-1444.0400000000009</v>
      </c>
      <c r="I35" s="19">
        <f t="shared" si="2"/>
        <v>-7.2324807523174398E-2</v>
      </c>
      <c r="J35" s="42"/>
      <c r="K35" s="43"/>
    </row>
    <row r="36" spans="1:11" ht="15.75">
      <c r="A36" s="28" t="str">
        <v>Greenfield USD - Valle Verde ES</v>
      </c>
      <c r="B36" s="29" t="str">
        <v>CA</v>
      </c>
      <c r="C36" s="24">
        <v>20035</v>
      </c>
      <c r="D36" s="13">
        <v>0</v>
      </c>
      <c r="E36" s="13">
        <f t="shared" si="0"/>
        <v>20035</v>
      </c>
      <c r="F36" s="14"/>
      <c r="G36" s="15">
        <v>18762.71</v>
      </c>
      <c r="H36" s="15">
        <f t="shared" si="1"/>
        <v>1272.2900000000009</v>
      </c>
      <c r="I36" s="16">
        <f t="shared" si="2"/>
        <v>6.7809500866346115E-2</v>
      </c>
      <c r="J36" s="41"/>
      <c r="K36" s="41"/>
    </row>
    <row r="37" spans="1:11" ht="15.75">
      <c r="A37" s="30" t="str">
        <v>Greenfield USD - W.A. Kendrick ES</v>
      </c>
      <c r="B37" s="31" t="str">
        <v>CA</v>
      </c>
      <c r="C37" s="11">
        <v>3448.38</v>
      </c>
      <c r="D37" s="18">
        <v>0</v>
      </c>
      <c r="E37" s="18">
        <f t="shared" si="0"/>
        <v>3448.38</v>
      </c>
      <c r="F37" s="19"/>
      <c r="G37" s="20">
        <v>7229.24</v>
      </c>
      <c r="H37" s="20">
        <f t="shared" si="1"/>
        <v>-3780.8599999999997</v>
      </c>
      <c r="I37" s="19">
        <f t="shared" si="2"/>
        <v>-0.52299550160182806</v>
      </c>
      <c r="J37" s="42"/>
      <c r="K37" s="43"/>
    </row>
    <row r="38" spans="1:11" ht="28.5">
      <c r="A38" s="28" t="str">
        <v>Muroc Joint USD - Boron HS</v>
      </c>
      <c r="B38" s="29" t="str">
        <v>CA</v>
      </c>
      <c r="C38" s="24">
        <v>0</v>
      </c>
      <c r="D38" s="13">
        <v>0</v>
      </c>
      <c r="E38" s="13">
        <f t="shared" si="0"/>
        <v>0</v>
      </c>
      <c r="F38" s="14"/>
      <c r="G38" s="15">
        <v>23996.47</v>
      </c>
      <c r="H38" s="15">
        <f t="shared" si="1"/>
        <v>-23996.47</v>
      </c>
      <c r="I38" s="16">
        <f t="shared" si="2"/>
        <v>-1</v>
      </c>
      <c r="J38" s="41" t="s">
        <v>288</v>
      </c>
      <c r="K38" s="41" t="s">
        <v>254</v>
      </c>
    </row>
    <row r="39" spans="1:11" ht="15.75">
      <c r="A39" s="30" t="str">
        <v>Muroc Joint USD - W. Boron ES</v>
      </c>
      <c r="B39" s="31" t="str">
        <v>CA</v>
      </c>
      <c r="C39" s="11">
        <v>8371</v>
      </c>
      <c r="D39" s="18">
        <v>0</v>
      </c>
      <c r="E39" s="18">
        <f t="shared" si="0"/>
        <v>8371</v>
      </c>
      <c r="F39" s="19"/>
      <c r="G39" s="20">
        <v>8554.98</v>
      </c>
      <c r="H39" s="20">
        <f t="shared" si="1"/>
        <v>-183.97999999999956</v>
      </c>
      <c r="I39" s="19">
        <f t="shared" si="2"/>
        <v>-2.150560258469331E-2</v>
      </c>
      <c r="J39" s="42"/>
      <c r="K39" s="43"/>
    </row>
    <row r="40" spans="1:11" ht="28.5">
      <c r="A40" s="28" t="str">
        <v>Colusa - WTP</v>
      </c>
      <c r="B40" s="29" t="str">
        <v>CA</v>
      </c>
      <c r="C40" s="24">
        <v>0</v>
      </c>
      <c r="D40" s="13">
        <v>0</v>
      </c>
      <c r="E40" s="13">
        <f t="shared" si="0"/>
        <v>0</v>
      </c>
      <c r="F40" s="14"/>
      <c r="G40" s="15">
        <v>17095.349999999999</v>
      </c>
      <c r="H40" s="15">
        <f t="shared" si="1"/>
        <v>-17095.349999999999</v>
      </c>
      <c r="I40" s="16">
        <f t="shared" si="2"/>
        <v>-1</v>
      </c>
      <c r="J40" s="41" t="s">
        <v>255</v>
      </c>
      <c r="K40" s="85" t="s">
        <v>256</v>
      </c>
    </row>
    <row r="41" spans="1:11" ht="42.75">
      <c r="A41" s="30" t="str">
        <v>CDCR-North Kern State Prision</v>
      </c>
      <c r="B41" s="31" t="str">
        <v>CA</v>
      </c>
      <c r="C41" s="11">
        <v>43387</v>
      </c>
      <c r="D41" s="18">
        <v>0</v>
      </c>
      <c r="E41" s="18">
        <f t="shared" si="0"/>
        <v>43387</v>
      </c>
      <c r="F41" s="19"/>
      <c r="G41" s="20">
        <v>76668.95</v>
      </c>
      <c r="H41" s="20">
        <f t="shared" si="1"/>
        <v>-33281.949999999997</v>
      </c>
      <c r="I41" s="19">
        <f t="shared" si="2"/>
        <v>-0.43409946268991551</v>
      </c>
      <c r="J41" s="55" t="s">
        <v>289</v>
      </c>
      <c r="K41" s="55" t="s">
        <v>290</v>
      </c>
    </row>
    <row r="42" spans="1:11" ht="15.75">
      <c r="A42" s="28" t="str">
        <v>Muroc Joint USD - District Office</v>
      </c>
      <c r="B42" s="29" t="str">
        <v>CA</v>
      </c>
      <c r="C42" s="24">
        <v>4069</v>
      </c>
      <c r="D42" s="13">
        <v>0</v>
      </c>
      <c r="E42" s="13">
        <f t="shared" si="0"/>
        <v>4069</v>
      </c>
      <c r="F42" s="14"/>
      <c r="G42" s="15">
        <v>6065.06</v>
      </c>
      <c r="H42" s="15">
        <f t="shared" si="1"/>
        <v>-1996.0600000000004</v>
      </c>
      <c r="I42" s="16">
        <f t="shared" si="2"/>
        <v>-0.32910803850250453</v>
      </c>
      <c r="J42" s="41"/>
      <c r="K42" s="41"/>
    </row>
    <row r="43" spans="1:11" ht="15.75">
      <c r="A43" s="30" t="str">
        <v>Whole Foods - Manhattan Beach</v>
      </c>
      <c r="B43" s="31" t="str">
        <v>CA</v>
      </c>
      <c r="C43" s="11">
        <v>9339</v>
      </c>
      <c r="D43" s="18">
        <v>0</v>
      </c>
      <c r="E43" s="18">
        <f t="shared" si="0"/>
        <v>9339</v>
      </c>
      <c r="F43" s="19"/>
      <c r="G43" s="20">
        <v>13511.65</v>
      </c>
      <c r="H43" s="20">
        <f t="shared" si="1"/>
        <v>-4172.6499999999996</v>
      </c>
      <c r="I43" s="19">
        <f t="shared" si="2"/>
        <v>-0.30881868609681273</v>
      </c>
      <c r="J43" s="55" t="s">
        <v>291</v>
      </c>
      <c r="K43" s="55" t="s">
        <v>259</v>
      </c>
    </row>
    <row r="44" spans="1:11" ht="15.75">
      <c r="A44" s="28" t="str">
        <v>Pioneer USD - Frontier ES</v>
      </c>
      <c r="B44" s="29" t="str">
        <v>CA</v>
      </c>
      <c r="C44" s="24">
        <v>13418</v>
      </c>
      <c r="D44" s="13">
        <v>0</v>
      </c>
      <c r="E44" s="13">
        <f t="shared" si="0"/>
        <v>13418</v>
      </c>
      <c r="F44" s="14"/>
      <c r="G44" s="15">
        <v>14511.35</v>
      </c>
      <c r="H44" s="15">
        <f t="shared" si="1"/>
        <v>-1093.3500000000004</v>
      </c>
      <c r="I44" s="16">
        <f t="shared" si="2"/>
        <v>-7.5344471741085453E-2</v>
      </c>
      <c r="J44" s="41" t="s">
        <v>216</v>
      </c>
      <c r="K44" s="41" t="s">
        <v>217</v>
      </c>
    </row>
    <row r="45" spans="1:11" ht="42.75">
      <c r="A45" s="30" t="str">
        <v>Pioneer USD - Pioneer ES</v>
      </c>
      <c r="B45" s="31" t="str">
        <v>CA</v>
      </c>
      <c r="C45" s="11">
        <v>3450</v>
      </c>
      <c r="D45" s="18">
        <v>0</v>
      </c>
      <c r="E45" s="18">
        <f t="shared" si="0"/>
        <v>3450</v>
      </c>
      <c r="F45" s="19"/>
      <c r="G45" s="20">
        <v>14915.58</v>
      </c>
      <c r="H45" s="20">
        <f t="shared" si="1"/>
        <v>-11465.58</v>
      </c>
      <c r="I45" s="19">
        <f t="shared" si="2"/>
        <v>-0.768698233659033</v>
      </c>
      <c r="J45" s="102" t="s">
        <v>218</v>
      </c>
      <c r="K45" s="102" t="s">
        <v>260</v>
      </c>
    </row>
    <row r="46" spans="1:11" ht="15.75">
      <c r="A46" s="28" t="str">
        <v>Pioneer USD - Pioneer MS</v>
      </c>
      <c r="B46" s="29" t="str">
        <v>CA</v>
      </c>
      <c r="C46" s="24">
        <v>18254</v>
      </c>
      <c r="D46" s="13">
        <v>0</v>
      </c>
      <c r="E46" s="13">
        <f t="shared" si="0"/>
        <v>18254</v>
      </c>
      <c r="F46" s="14"/>
      <c r="G46" s="15">
        <v>20142.419999999998</v>
      </c>
      <c r="H46" s="15">
        <f t="shared" si="1"/>
        <v>-1888.4199999999983</v>
      </c>
      <c r="I46" s="16">
        <f t="shared" si="2"/>
        <v>-9.3753382165598698E-2</v>
      </c>
      <c r="J46" s="85" t="s">
        <v>216</v>
      </c>
      <c r="K46" s="85" t="s">
        <v>261</v>
      </c>
    </row>
    <row r="47" spans="1:11" ht="15.75">
      <c r="A47" s="30" t="str">
        <v>Kingsburg Joint UHSD - Kingsburg HS</v>
      </c>
      <c r="B47" s="31" t="str">
        <v>CA</v>
      </c>
      <c r="C47" s="11">
        <v>28415</v>
      </c>
      <c r="D47" s="18">
        <v>0</v>
      </c>
      <c r="E47" s="18">
        <f t="shared" si="0"/>
        <v>28415</v>
      </c>
      <c r="F47" s="19"/>
      <c r="G47" s="20">
        <v>44185.39</v>
      </c>
      <c r="H47" s="20">
        <f t="shared" si="1"/>
        <v>-15770.39</v>
      </c>
      <c r="I47" s="19">
        <f t="shared" si="2"/>
        <v>-0.35691412930835281</v>
      </c>
      <c r="J47" s="102" t="s">
        <v>292</v>
      </c>
      <c r="K47" s="102" t="s">
        <v>133</v>
      </c>
    </row>
    <row r="48" spans="1:11" ht="71.25">
      <c r="A48" s="28" t="str">
        <v>CADRB</v>
      </c>
      <c r="B48" s="29" t="str">
        <v>CA</v>
      </c>
      <c r="C48" s="24">
        <v>0</v>
      </c>
      <c r="D48" s="13">
        <v>0</v>
      </c>
      <c r="E48" s="13">
        <f t="shared" si="0"/>
        <v>0</v>
      </c>
      <c r="F48" s="14"/>
      <c r="G48" s="15">
        <v>402139</v>
      </c>
      <c r="H48" s="15">
        <f t="shared" si="1"/>
        <v>-402139</v>
      </c>
      <c r="I48" s="16">
        <f t="shared" si="2"/>
        <v>-1</v>
      </c>
      <c r="J48" s="85" t="s">
        <v>262</v>
      </c>
      <c r="K48" s="85" t="s">
        <v>263</v>
      </c>
    </row>
    <row r="49" spans="1:11" ht="15.75">
      <c r="A49" s="30" t="str">
        <v>CDCR-CA State Prison LA County</v>
      </c>
      <c r="B49" s="31" t="str">
        <v>CA</v>
      </c>
      <c r="C49" s="11">
        <v>128339</v>
      </c>
      <c r="D49" s="18">
        <v>0</v>
      </c>
      <c r="E49" s="18">
        <f t="shared" si="0"/>
        <v>128339</v>
      </c>
      <c r="F49" s="19"/>
      <c r="G49" s="20">
        <v>242382.42</v>
      </c>
      <c r="H49" s="20">
        <f t="shared" si="1"/>
        <v>-114043.42000000001</v>
      </c>
      <c r="I49" s="19">
        <f t="shared" si="2"/>
        <v>-0.47051027875701551</v>
      </c>
      <c r="J49" s="42"/>
      <c r="K49" s="43"/>
    </row>
    <row r="50" spans="1:11" ht="48.75" customHeight="1">
      <c r="A50" s="28" t="str">
        <v>Central USD Akers ES</v>
      </c>
      <c r="B50" s="29" t="str">
        <v>CA</v>
      </c>
      <c r="C50" s="24">
        <v>3489</v>
      </c>
      <c r="D50" s="13">
        <v>0</v>
      </c>
      <c r="E50" s="13">
        <f t="shared" si="0"/>
        <v>3489</v>
      </c>
      <c r="F50" s="14"/>
      <c r="G50" s="15">
        <v>16463.07</v>
      </c>
      <c r="H50" s="15">
        <f t="shared" si="1"/>
        <v>-12974.07</v>
      </c>
      <c r="I50" s="16">
        <f t="shared" si="2"/>
        <v>-0.78807111917765038</v>
      </c>
      <c r="J50" s="41" t="s">
        <v>293</v>
      </c>
      <c r="K50" s="41" t="s">
        <v>294</v>
      </c>
    </row>
    <row r="51" spans="1:11" ht="28.5">
      <c r="A51" s="30" t="str">
        <v>CUSD - District Office</v>
      </c>
      <c r="B51" s="31" t="str">
        <v>CA</v>
      </c>
      <c r="C51" s="11">
        <v>9626</v>
      </c>
      <c r="D51" s="18">
        <v>0</v>
      </c>
      <c r="E51" s="18">
        <f t="shared" si="0"/>
        <v>9626</v>
      </c>
      <c r="F51" s="19"/>
      <c r="G51" s="20">
        <v>11926.1</v>
      </c>
      <c r="H51" s="20">
        <f t="shared" si="1"/>
        <v>-2300.1000000000004</v>
      </c>
      <c r="I51" s="19">
        <f t="shared" si="2"/>
        <v>-0.19286271287344567</v>
      </c>
      <c r="J51" s="42" t="s">
        <v>295</v>
      </c>
      <c r="K51" s="102" t="s">
        <v>296</v>
      </c>
    </row>
    <row r="52" spans="1:11" ht="15.75">
      <c r="A52" s="28" t="str">
        <v>Parlier - WTP</v>
      </c>
      <c r="B52" s="29" t="str">
        <v>CA</v>
      </c>
      <c r="C52" s="24">
        <v>13342</v>
      </c>
      <c r="D52" s="13">
        <v>0</v>
      </c>
      <c r="E52" s="13">
        <f t="shared" si="0"/>
        <v>13342</v>
      </c>
      <c r="F52" s="14"/>
      <c r="G52" s="15">
        <v>26483.65</v>
      </c>
      <c r="H52" s="15">
        <f t="shared" si="1"/>
        <v>-13141.650000000001</v>
      </c>
      <c r="I52" s="16">
        <f t="shared" si="2"/>
        <v>-0.49621747757578738</v>
      </c>
      <c r="J52" s="57" t="s">
        <v>297</v>
      </c>
      <c r="K52" s="85" t="s">
        <v>267</v>
      </c>
    </row>
    <row r="53" spans="1:11" ht="28.5">
      <c r="A53" s="30" t="str">
        <v>Snowline SD - Quail Valley MS</v>
      </c>
      <c r="B53" s="31" t="str">
        <v>CA</v>
      </c>
      <c r="C53" s="11">
        <v>9272</v>
      </c>
      <c r="D53" s="18">
        <v>0</v>
      </c>
      <c r="E53" s="18">
        <f t="shared" si="0"/>
        <v>9272</v>
      </c>
      <c r="F53" s="19"/>
      <c r="G53" s="20">
        <v>22243.119999999999</v>
      </c>
      <c r="H53" s="20">
        <f t="shared" si="1"/>
        <v>-12971.119999999999</v>
      </c>
      <c r="I53" s="19">
        <f t="shared" si="2"/>
        <v>-0.5831520038555742</v>
      </c>
      <c r="J53" s="102" t="s">
        <v>227</v>
      </c>
      <c r="K53" s="93" t="s">
        <v>298</v>
      </c>
    </row>
    <row r="54" spans="1:11" ht="15.75">
      <c r="A54" s="28" t="str">
        <v>Snowline SD - Serrano HS - Middle Lot</v>
      </c>
      <c r="B54" s="29" t="str">
        <v>CA</v>
      </c>
      <c r="C54" s="24">
        <v>12970</v>
      </c>
      <c r="D54" s="13">
        <v>0</v>
      </c>
      <c r="E54" s="13">
        <f t="shared" si="0"/>
        <v>12970</v>
      </c>
      <c r="F54" s="14"/>
      <c r="G54" s="15">
        <v>24660.933000000001</v>
      </c>
      <c r="H54" s="15">
        <f t="shared" si="1"/>
        <v>-11690.933000000001</v>
      </c>
      <c r="I54" s="16">
        <f t="shared" si="2"/>
        <v>-0.47406693818113049</v>
      </c>
      <c r="J54" s="41"/>
      <c r="K54" s="41"/>
    </row>
    <row r="55" spans="1:11" ht="15.75">
      <c r="A55" s="30" t="str">
        <v>Snowline SD - Pinon Hills ES</v>
      </c>
      <c r="B55" s="31" t="str">
        <v>CA</v>
      </c>
      <c r="C55" s="11">
        <v>8110</v>
      </c>
      <c r="D55" s="18">
        <v>0</v>
      </c>
      <c r="E55" s="18">
        <f t="shared" si="0"/>
        <v>8110</v>
      </c>
      <c r="F55" s="19"/>
      <c r="G55" s="20">
        <v>14627.51</v>
      </c>
      <c r="H55" s="20">
        <f t="shared" si="1"/>
        <v>-6517.51</v>
      </c>
      <c r="I55" s="19">
        <f t="shared" si="2"/>
        <v>-0.44556523974346968</v>
      </c>
      <c r="J55" s="102" t="s">
        <v>228</v>
      </c>
      <c r="K55" s="102" t="s">
        <v>229</v>
      </c>
    </row>
    <row r="56" spans="1:11" ht="28.5">
      <c r="A56" s="28" t="str">
        <v>Ramona - Santa Maria WTP</v>
      </c>
      <c r="B56" s="29" t="str">
        <v>CA</v>
      </c>
      <c r="C56" s="24">
        <v>20931</v>
      </c>
      <c r="D56" s="13">
        <v>0</v>
      </c>
      <c r="E56" s="13">
        <f t="shared" si="0"/>
        <v>20931</v>
      </c>
      <c r="F56" s="14"/>
      <c r="G56" s="15">
        <v>54074.17</v>
      </c>
      <c r="H56" s="15">
        <f t="shared" si="1"/>
        <v>-33143.17</v>
      </c>
      <c r="I56" s="16">
        <f t="shared" si="2"/>
        <v>-0.61292054968203857</v>
      </c>
      <c r="J56" s="57" t="s">
        <v>299</v>
      </c>
      <c r="K56" s="57" t="s">
        <v>300</v>
      </c>
    </row>
    <row r="57" spans="1:11" ht="28.5">
      <c r="A57" s="30" t="str">
        <v>Kohls - Redding</v>
      </c>
      <c r="B57" s="31" t="str">
        <v>CA</v>
      </c>
      <c r="C57" s="11">
        <v>9474</v>
      </c>
      <c r="D57" s="18">
        <v>0</v>
      </c>
      <c r="E57" s="18">
        <f t="shared" si="0"/>
        <v>9474</v>
      </c>
      <c r="F57" s="19"/>
      <c r="G57" s="20">
        <v>14269.55</v>
      </c>
      <c r="H57" s="20">
        <f t="shared" si="1"/>
        <v>-4795.5499999999993</v>
      </c>
      <c r="I57" s="19">
        <f t="shared" si="2"/>
        <v>-0.33606876180398115</v>
      </c>
      <c r="J57" s="55" t="s">
        <v>181</v>
      </c>
      <c r="K57" s="55" t="s">
        <v>270</v>
      </c>
    </row>
    <row r="58" spans="1:11" ht="28.5">
      <c r="A58" s="28" t="str">
        <v>Kohls - Salinas</v>
      </c>
      <c r="B58" s="29" t="str">
        <v>CA</v>
      </c>
      <c r="C58" s="24">
        <v>17986</v>
      </c>
      <c r="D58" s="13">
        <v>0</v>
      </c>
      <c r="E58" s="13">
        <f t="shared" si="0"/>
        <v>17986</v>
      </c>
      <c r="F58" s="14"/>
      <c r="G58" s="15">
        <v>24210.67</v>
      </c>
      <c r="H58" s="15">
        <f t="shared" si="1"/>
        <v>-6224.6699999999983</v>
      </c>
      <c r="I58" s="16">
        <f t="shared" si="2"/>
        <v>-0.25710440892383396</v>
      </c>
      <c r="J58" s="85" t="s">
        <v>183</v>
      </c>
      <c r="K58" s="85" t="s">
        <v>232</v>
      </c>
    </row>
    <row r="59" spans="1:11" ht="15.75">
      <c r="A59" s="30" t="str">
        <v>Kohls - San Bernardino - Central</v>
      </c>
      <c r="B59" s="31" t="str">
        <v>CA</v>
      </c>
      <c r="C59" s="11">
        <v>79567</v>
      </c>
      <c r="D59" s="18">
        <v>0</v>
      </c>
      <c r="E59" s="18">
        <f t="shared" si="0"/>
        <v>79567</v>
      </c>
      <c r="F59" s="19"/>
      <c r="G59" s="20">
        <v>91451.8</v>
      </c>
      <c r="H59" s="20">
        <f t="shared" si="1"/>
        <v>-11884.800000000003</v>
      </c>
      <c r="I59" s="19">
        <f t="shared" si="2"/>
        <v>-0.12995698280405638</v>
      </c>
      <c r="J59" s="42"/>
      <c r="K59" s="43"/>
    </row>
    <row r="60" spans="1:11" ht="15.75">
      <c r="A60" s="28" t="str">
        <v>Kohls - Sonora</v>
      </c>
      <c r="B60" s="29" t="str">
        <v>CA</v>
      </c>
      <c r="C60" s="24">
        <v>12427</v>
      </c>
      <c r="D60" s="13">
        <v>0</v>
      </c>
      <c r="E60" s="13">
        <f t="shared" si="0"/>
        <v>12427</v>
      </c>
      <c r="F60" s="14"/>
      <c r="G60" s="15">
        <v>13919.76</v>
      </c>
      <c r="H60" s="15">
        <f t="shared" si="1"/>
        <v>-1492.7600000000002</v>
      </c>
      <c r="I60" s="16">
        <f t="shared" si="2"/>
        <v>-0.10724035471875953</v>
      </c>
      <c r="J60" s="85" t="s">
        <v>185</v>
      </c>
      <c r="K60" s="85" t="s">
        <v>233</v>
      </c>
    </row>
    <row r="61" spans="1:11" ht="15.75">
      <c r="A61" s="30" t="str">
        <v>CUSD - Stratford ES</v>
      </c>
      <c r="B61" s="31" t="str">
        <v>CA</v>
      </c>
      <c r="C61" s="11">
        <v>12227</v>
      </c>
      <c r="D61" s="18">
        <v>0</v>
      </c>
      <c r="E61" s="18">
        <f t="shared" si="0"/>
        <v>12227</v>
      </c>
      <c r="F61" s="19"/>
      <c r="G61" s="96">
        <v>11403.1</v>
      </c>
      <c r="H61" s="20">
        <f t="shared" si="1"/>
        <v>823.89999999999964</v>
      </c>
      <c r="I61" s="19">
        <f t="shared" si="2"/>
        <v>7.225228227411841E-2</v>
      </c>
      <c r="J61" s="55"/>
      <c r="K61" s="43"/>
    </row>
    <row r="62" spans="1:11" ht="15.75">
      <c r="A62" s="28" t="str">
        <v>Taft - City Hall</v>
      </c>
      <c r="B62" s="29" t="str">
        <v>CA</v>
      </c>
      <c r="C62" s="24">
        <v>2374</v>
      </c>
      <c r="D62" s="13">
        <v>0</v>
      </c>
      <c r="E62" s="13">
        <f t="shared" si="0"/>
        <v>2374</v>
      </c>
      <c r="F62" s="14"/>
      <c r="G62" s="15">
        <v>4140.82</v>
      </c>
      <c r="H62" s="15">
        <f t="shared" si="1"/>
        <v>-1766.8199999999997</v>
      </c>
      <c r="I62" s="16">
        <f t="shared" si="2"/>
        <v>-0.426683603730662</v>
      </c>
      <c r="J62" s="41"/>
      <c r="K62" s="41"/>
    </row>
    <row r="63" spans="1:11" ht="15.75">
      <c r="A63" s="30" t="str">
        <v>Taft - Federal Prison</v>
      </c>
      <c r="B63" s="31" t="str">
        <v>CA</v>
      </c>
      <c r="C63" s="11">
        <v>9502</v>
      </c>
      <c r="D63" s="18">
        <v>0</v>
      </c>
      <c r="E63" s="18">
        <f t="shared" si="0"/>
        <v>9502</v>
      </c>
      <c r="F63" s="19"/>
      <c r="G63" s="20">
        <v>7450.71</v>
      </c>
      <c r="H63" s="20">
        <f t="shared" si="1"/>
        <v>2051.29</v>
      </c>
      <c r="I63" s="19">
        <f t="shared" si="2"/>
        <v>0.27531470155193261</v>
      </c>
      <c r="J63" s="42"/>
      <c r="K63" s="43"/>
    </row>
    <row r="64" spans="1:11" ht="15.75">
      <c r="A64" s="28" t="str">
        <v>Taft - Police Department</v>
      </c>
      <c r="B64" s="29" t="str">
        <v>CA</v>
      </c>
      <c r="C64" s="24">
        <v>5863</v>
      </c>
      <c r="D64" s="13">
        <v>0</v>
      </c>
      <c r="E64" s="13">
        <f t="shared" si="0"/>
        <v>5863</v>
      </c>
      <c r="F64" s="14"/>
      <c r="G64" s="15">
        <v>4765.84</v>
      </c>
      <c r="H64" s="15">
        <f t="shared" si="1"/>
        <v>1097.1599999999999</v>
      </c>
      <c r="I64" s="16">
        <f t="shared" si="2"/>
        <v>0.23021335168616652</v>
      </c>
      <c r="J64" s="41"/>
      <c r="K64" s="41"/>
    </row>
    <row r="65" spans="1:11" ht="36.75" customHeight="1">
      <c r="A65" s="30" t="str">
        <v>Taft - WTP</v>
      </c>
      <c r="B65" s="31" t="str">
        <v>CA</v>
      </c>
      <c r="C65" s="11">
        <v>0</v>
      </c>
      <c r="D65" s="18">
        <v>0</v>
      </c>
      <c r="E65" s="18">
        <f t="shared" si="0"/>
        <v>0</v>
      </c>
      <c r="F65" s="19"/>
      <c r="G65" s="20">
        <v>32761.61</v>
      </c>
      <c r="H65" s="20">
        <f t="shared" si="1"/>
        <v>-32761.61</v>
      </c>
      <c r="I65" s="19">
        <f t="shared" si="2"/>
        <v>-1</v>
      </c>
      <c r="J65" s="55" t="s">
        <v>301</v>
      </c>
      <c r="K65" s="55" t="s">
        <v>302</v>
      </c>
    </row>
    <row r="66" spans="1:11" ht="28.5">
      <c r="A66" s="28" t="str">
        <v>CDCR - CA Correctional Institution</v>
      </c>
      <c r="B66" s="29" t="str">
        <v>CA</v>
      </c>
      <c r="C66" s="24">
        <v>94353</v>
      </c>
      <c r="D66" s="13">
        <v>0</v>
      </c>
      <c r="E66" s="13">
        <f t="shared" si="0"/>
        <v>94353</v>
      </c>
      <c r="F66" s="14"/>
      <c r="G66" s="15">
        <v>100372.24</v>
      </c>
      <c r="H66" s="15">
        <f t="shared" si="1"/>
        <v>-6019.2400000000052</v>
      </c>
      <c r="I66" s="16">
        <f t="shared" si="2"/>
        <v>-5.9969170758767613E-2</v>
      </c>
      <c r="J66" s="57" t="s">
        <v>303</v>
      </c>
      <c r="K66" s="57" t="s">
        <v>304</v>
      </c>
    </row>
    <row r="67" spans="1:11" ht="42.75">
      <c r="A67" s="30" t="str">
        <v>CDCR - CA Correctional Institution II</v>
      </c>
      <c r="B67" s="31" t="str">
        <v>CA</v>
      </c>
      <c r="C67" s="11">
        <v>83059</v>
      </c>
      <c r="D67" s="18">
        <v>0</v>
      </c>
      <c r="E67" s="18">
        <f t="shared" si="0"/>
        <v>83059</v>
      </c>
      <c r="F67" s="19"/>
      <c r="G67" s="20">
        <v>157358.66200000001</v>
      </c>
      <c r="H67" s="20">
        <f t="shared" si="1"/>
        <v>-74299.662000000011</v>
      </c>
      <c r="I67" s="19">
        <f t="shared" si="2"/>
        <v>-0.4721676014250808</v>
      </c>
      <c r="J67" s="55" t="s">
        <v>305</v>
      </c>
      <c r="K67" s="55" t="s">
        <v>306</v>
      </c>
    </row>
    <row r="68" spans="1:11" ht="15.75">
      <c r="A68" s="28" t="str">
        <v>Snowline SD - Vista Verde ES</v>
      </c>
      <c r="B68" s="29" t="str">
        <v>CA</v>
      </c>
      <c r="C68" s="24">
        <v>13275</v>
      </c>
      <c r="D68" s="13">
        <v>0</v>
      </c>
      <c r="E68" s="13">
        <f t="shared" si="0"/>
        <v>13275</v>
      </c>
      <c r="F68" s="14"/>
      <c r="G68" s="15">
        <v>16062.15</v>
      </c>
      <c r="H68" s="15">
        <f t="shared" si="1"/>
        <v>-2787.1499999999996</v>
      </c>
      <c r="I68" s="16">
        <f t="shared" si="2"/>
        <v>-0.17352284719044458</v>
      </c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F4:F100 I4:I100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68"/>
  <sheetViews>
    <sheetView workbookViewId="0">
      <pane ySplit="3" topLeftCell="A21" activePane="bottomLeft" state="frozen"/>
      <selection pane="bottomLeft" activeCell="A43" sqref="A43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307</v>
      </c>
      <c r="B1" t="s">
        <v>308</v>
      </c>
    </row>
    <row r="3" spans="1:12">
      <c r="A3" t="s">
        <v>309</v>
      </c>
      <c r="B3" t="s">
        <v>3</v>
      </c>
      <c r="C3" t="s">
        <v>4</v>
      </c>
      <c r="D3" t="s">
        <v>310</v>
      </c>
      <c r="E3" s="2" t="s">
        <v>311</v>
      </c>
    </row>
    <row r="4" spans="1:12" ht="14.25">
      <c r="A4" s="50" t="s">
        <v>312</v>
      </c>
      <c r="B4" t="s">
        <v>313</v>
      </c>
      <c r="C4" s="47" t="s">
        <v>314</v>
      </c>
      <c r="D4" s="46" t="s">
        <v>315</v>
      </c>
      <c r="E4" t="s">
        <v>316</v>
      </c>
      <c r="G4" s="3"/>
    </row>
    <row r="5" spans="1:12" ht="14.25">
      <c r="A5" s="50" t="s">
        <v>317</v>
      </c>
      <c r="B5" t="s">
        <v>318</v>
      </c>
      <c r="C5" s="47" t="s">
        <v>319</v>
      </c>
      <c r="D5" s="46" t="s">
        <v>315</v>
      </c>
      <c r="E5" t="s">
        <v>316</v>
      </c>
      <c r="G5" s="3"/>
    </row>
    <row r="6" spans="1:12" ht="14.25">
      <c r="A6" s="50" t="s">
        <v>320</v>
      </c>
      <c r="B6" t="s">
        <v>321</v>
      </c>
      <c r="C6" s="47" t="s">
        <v>322</v>
      </c>
      <c r="D6" s="46" t="s">
        <v>315</v>
      </c>
      <c r="E6" t="s">
        <v>316</v>
      </c>
      <c r="G6" s="3"/>
    </row>
    <row r="7" spans="1:12" ht="12.75" customHeight="1">
      <c r="A7" s="50" t="s">
        <v>323</v>
      </c>
      <c r="B7" t="s">
        <v>324</v>
      </c>
      <c r="C7" s="47" t="s">
        <v>325</v>
      </c>
      <c r="D7" s="46" t="s">
        <v>315</v>
      </c>
      <c r="E7" t="s">
        <v>316</v>
      </c>
    </row>
    <row r="8" spans="1:12" ht="12.75" customHeight="1">
      <c r="A8" s="50" t="s">
        <v>326</v>
      </c>
      <c r="B8" t="s">
        <v>327</v>
      </c>
      <c r="C8" s="47" t="s">
        <v>319</v>
      </c>
      <c r="D8" s="46" t="s">
        <v>315</v>
      </c>
      <c r="E8" t="s">
        <v>316</v>
      </c>
    </row>
    <row r="9" spans="1:12" ht="12.75" customHeight="1">
      <c r="A9" s="50" t="s">
        <v>328</v>
      </c>
      <c r="B9" t="s">
        <v>329</v>
      </c>
      <c r="C9" s="47" t="s">
        <v>314</v>
      </c>
      <c r="D9" s="46" t="s">
        <v>315</v>
      </c>
      <c r="E9" t="s">
        <v>316</v>
      </c>
    </row>
    <row r="10" spans="1:12" ht="12.75" customHeight="1">
      <c r="A10" s="50" t="s">
        <v>330</v>
      </c>
      <c r="B10" t="s">
        <v>331</v>
      </c>
      <c r="C10" s="47" t="s">
        <v>319</v>
      </c>
      <c r="D10" s="46" t="s">
        <v>315</v>
      </c>
      <c r="E10" t="s">
        <v>316</v>
      </c>
      <c r="K10" s="44"/>
      <c r="L10" s="44"/>
    </row>
    <row r="11" spans="1:12" ht="12.75" customHeight="1">
      <c r="A11" s="50" t="s">
        <v>332</v>
      </c>
      <c r="B11" t="s">
        <v>333</v>
      </c>
      <c r="C11" s="47" t="s">
        <v>325</v>
      </c>
      <c r="D11" s="46" t="s">
        <v>315</v>
      </c>
      <c r="E11" t="s">
        <v>316</v>
      </c>
      <c r="K11" s="44"/>
      <c r="L11" s="44"/>
    </row>
    <row r="12" spans="1:12" ht="12.75" customHeight="1">
      <c r="A12" s="50" t="s">
        <v>334</v>
      </c>
      <c r="B12" t="s">
        <v>335</v>
      </c>
      <c r="C12" s="47" t="s">
        <v>336</v>
      </c>
      <c r="D12" s="46" t="s">
        <v>315</v>
      </c>
      <c r="E12" t="s">
        <v>316</v>
      </c>
      <c r="K12" s="44"/>
      <c r="L12" s="44"/>
    </row>
    <row r="13" spans="1:12" ht="12.75" customHeight="1">
      <c r="A13" s="50" t="s">
        <v>337</v>
      </c>
      <c r="B13" t="s">
        <v>338</v>
      </c>
      <c r="C13" s="47" t="s">
        <v>322</v>
      </c>
      <c r="D13" s="46" t="s">
        <v>315</v>
      </c>
      <c r="E13" t="s">
        <v>316</v>
      </c>
      <c r="K13" s="44"/>
      <c r="L13" s="44"/>
    </row>
    <row r="14" spans="1:12" ht="12.75" customHeight="1">
      <c r="A14" s="50" t="s">
        <v>339</v>
      </c>
      <c r="B14" t="s">
        <v>340</v>
      </c>
      <c r="C14" s="47" t="s">
        <v>319</v>
      </c>
      <c r="D14" s="46" t="s">
        <v>315</v>
      </c>
      <c r="E14" t="s">
        <v>316</v>
      </c>
      <c r="K14" s="44"/>
      <c r="L14" s="44"/>
    </row>
    <row r="15" spans="1:12" ht="12.75" customHeight="1">
      <c r="A15" s="50" t="s">
        <v>341</v>
      </c>
      <c r="B15" t="s">
        <v>342</v>
      </c>
      <c r="C15" s="47" t="s">
        <v>322</v>
      </c>
      <c r="D15" s="46" t="s">
        <v>315</v>
      </c>
      <c r="E15" t="s">
        <v>316</v>
      </c>
      <c r="K15" s="44"/>
      <c r="L15" s="44"/>
    </row>
    <row r="16" spans="1:12" ht="12.75" customHeight="1">
      <c r="A16" s="50" t="s">
        <v>343</v>
      </c>
      <c r="B16" t="s">
        <v>344</v>
      </c>
      <c r="C16" s="47" t="s">
        <v>319</v>
      </c>
      <c r="D16" s="46" t="s">
        <v>315</v>
      </c>
      <c r="E16" t="s">
        <v>316</v>
      </c>
      <c r="K16" s="44"/>
      <c r="L16" s="44"/>
    </row>
    <row r="17" spans="1:12" ht="12.75" customHeight="1">
      <c r="A17" s="50" t="s">
        <v>345</v>
      </c>
      <c r="B17" t="s">
        <v>346</v>
      </c>
      <c r="C17" s="47" t="s">
        <v>319</v>
      </c>
      <c r="D17" s="46" t="s">
        <v>315</v>
      </c>
      <c r="E17" t="s">
        <v>316</v>
      </c>
      <c r="K17" s="44"/>
      <c r="L17" s="44"/>
    </row>
    <row r="18" spans="1:12" ht="12.75" customHeight="1">
      <c r="A18" s="50" t="s">
        <v>347</v>
      </c>
      <c r="B18" t="s">
        <v>348</v>
      </c>
      <c r="C18" s="47" t="s">
        <v>319</v>
      </c>
      <c r="D18" s="46" t="s">
        <v>315</v>
      </c>
      <c r="E18" t="s">
        <v>316</v>
      </c>
      <c r="K18" s="44"/>
      <c r="L18" s="44"/>
    </row>
    <row r="19" spans="1:12" ht="12.75" customHeight="1">
      <c r="A19" s="50" t="s">
        <v>349</v>
      </c>
      <c r="B19" t="s">
        <v>350</v>
      </c>
      <c r="C19" s="47" t="s">
        <v>319</v>
      </c>
      <c r="D19" s="46" t="s">
        <v>315</v>
      </c>
      <c r="E19" t="s">
        <v>316</v>
      </c>
      <c r="K19" s="44"/>
      <c r="L19" s="44"/>
    </row>
    <row r="20" spans="1:12" ht="12.75" customHeight="1">
      <c r="A20" s="50" t="s">
        <v>351</v>
      </c>
      <c r="B20" t="s">
        <v>352</v>
      </c>
      <c r="C20" s="47" t="s">
        <v>322</v>
      </c>
      <c r="D20" s="46" t="s">
        <v>315</v>
      </c>
      <c r="E20" t="s">
        <v>316</v>
      </c>
      <c r="K20" s="44"/>
      <c r="L20" s="44"/>
    </row>
    <row r="21" spans="1:12" ht="12.75" customHeight="1">
      <c r="A21" s="50" t="s">
        <v>353</v>
      </c>
      <c r="B21" t="s">
        <v>354</v>
      </c>
      <c r="C21" s="47" t="s">
        <v>325</v>
      </c>
      <c r="D21" s="46" t="s">
        <v>315</v>
      </c>
      <c r="E21" t="s">
        <v>316</v>
      </c>
      <c r="K21" s="44"/>
      <c r="L21" s="44"/>
    </row>
    <row r="22" spans="1:12" ht="12.75" customHeight="1">
      <c r="A22" s="50" t="s">
        <v>355</v>
      </c>
      <c r="B22" t="s">
        <v>356</v>
      </c>
      <c r="C22" s="47" t="s">
        <v>319</v>
      </c>
      <c r="D22" s="46" t="s">
        <v>315</v>
      </c>
      <c r="E22" t="s">
        <v>316</v>
      </c>
      <c r="K22" s="44"/>
      <c r="L22" s="44"/>
    </row>
    <row r="23" spans="1:12" ht="12.75" customHeight="1">
      <c r="A23" s="50" t="s">
        <v>357</v>
      </c>
      <c r="B23" t="s">
        <v>358</v>
      </c>
      <c r="C23" s="47" t="s">
        <v>319</v>
      </c>
      <c r="D23" s="46" t="s">
        <v>315</v>
      </c>
      <c r="E23" t="s">
        <v>316</v>
      </c>
      <c r="K23" s="44"/>
      <c r="L23" s="44"/>
    </row>
    <row r="24" spans="1:12" ht="12.75" customHeight="1">
      <c r="A24" s="50" t="s">
        <v>359</v>
      </c>
      <c r="B24" t="s">
        <v>360</v>
      </c>
      <c r="C24" s="47" t="s">
        <v>322</v>
      </c>
      <c r="D24" s="46" t="s">
        <v>315</v>
      </c>
      <c r="E24" t="s">
        <v>316</v>
      </c>
      <c r="K24" s="44"/>
      <c r="L24" s="44"/>
    </row>
    <row r="25" spans="1:12" ht="12.75" customHeight="1">
      <c r="A25" s="50" t="s">
        <v>361</v>
      </c>
      <c r="B25" t="s">
        <v>362</v>
      </c>
      <c r="C25" s="47" t="s">
        <v>314</v>
      </c>
      <c r="D25" s="46" t="s">
        <v>315</v>
      </c>
      <c r="E25" t="s">
        <v>316</v>
      </c>
      <c r="K25" s="44"/>
      <c r="L25" s="44"/>
    </row>
    <row r="26" spans="1:12" ht="12.75" customHeight="1">
      <c r="A26" t="s">
        <v>363</v>
      </c>
      <c r="B26" t="s">
        <v>364</v>
      </c>
      <c r="C26" s="47" t="s">
        <v>365</v>
      </c>
      <c r="D26" t="s">
        <v>315</v>
      </c>
      <c r="E26" t="s">
        <v>316</v>
      </c>
      <c r="K26" s="44"/>
      <c r="L26" s="44"/>
    </row>
    <row r="27" spans="1:12" ht="12.75" customHeight="1">
      <c r="A27" t="s">
        <v>366</v>
      </c>
      <c r="B27" t="s">
        <v>367</v>
      </c>
      <c r="C27" s="47" t="s">
        <v>365</v>
      </c>
      <c r="D27" t="s">
        <v>315</v>
      </c>
      <c r="E27" t="s">
        <v>316</v>
      </c>
      <c r="K27" s="44"/>
      <c r="L27" s="44"/>
    </row>
    <row r="28" spans="1:12" ht="12.75" customHeight="1">
      <c r="A28" t="s">
        <v>368</v>
      </c>
      <c r="B28" t="s">
        <v>369</v>
      </c>
      <c r="C28" s="47" t="s">
        <v>365</v>
      </c>
      <c r="D28" t="s">
        <v>315</v>
      </c>
      <c r="E28" t="s">
        <v>316</v>
      </c>
      <c r="K28" s="44"/>
      <c r="L28" s="44"/>
    </row>
    <row r="29" spans="1:12" ht="12.75" customHeight="1">
      <c r="A29" t="s">
        <v>370</v>
      </c>
      <c r="B29" t="s">
        <v>371</v>
      </c>
      <c r="C29" s="47" t="s">
        <v>365</v>
      </c>
      <c r="D29" t="s">
        <v>315</v>
      </c>
      <c r="E29" t="s">
        <v>316</v>
      </c>
      <c r="K29" s="44"/>
      <c r="L29" s="44"/>
    </row>
    <row r="30" spans="1:12" ht="12.75" customHeight="1">
      <c r="A30" t="s">
        <v>372</v>
      </c>
      <c r="B30" t="s">
        <v>373</v>
      </c>
      <c r="C30" s="47" t="s">
        <v>365</v>
      </c>
      <c r="D30" t="s">
        <v>315</v>
      </c>
      <c r="E30" t="s">
        <v>316</v>
      </c>
      <c r="K30" s="44"/>
      <c r="L30" s="44"/>
    </row>
    <row r="31" spans="1:12" ht="12.75" customHeight="1">
      <c r="A31" t="s">
        <v>374</v>
      </c>
      <c r="B31" t="s">
        <v>375</v>
      </c>
      <c r="C31" s="47" t="s">
        <v>365</v>
      </c>
      <c r="D31" t="s">
        <v>315</v>
      </c>
      <c r="E31" t="s">
        <v>316</v>
      </c>
      <c r="K31" s="44"/>
      <c r="L31" s="44"/>
    </row>
    <row r="32" spans="1:12" ht="12.75" customHeight="1">
      <c r="A32" t="s">
        <v>376</v>
      </c>
      <c r="B32" t="s">
        <v>377</v>
      </c>
      <c r="C32" s="47" t="s">
        <v>365</v>
      </c>
      <c r="D32" t="s">
        <v>315</v>
      </c>
      <c r="E32" t="s">
        <v>316</v>
      </c>
    </row>
    <row r="33" spans="1:5" ht="12.75" customHeight="1">
      <c r="A33" t="s">
        <v>378</v>
      </c>
      <c r="B33" t="s">
        <v>379</v>
      </c>
      <c r="C33" s="47" t="s">
        <v>365</v>
      </c>
      <c r="D33" t="s">
        <v>315</v>
      </c>
      <c r="E33" t="s">
        <v>316</v>
      </c>
    </row>
    <row r="34" spans="1:5" ht="12.75" customHeight="1">
      <c r="A34" t="s">
        <v>380</v>
      </c>
      <c r="B34" t="s">
        <v>381</v>
      </c>
      <c r="C34" s="47" t="s">
        <v>365</v>
      </c>
      <c r="D34" t="s">
        <v>315</v>
      </c>
      <c r="E34" t="s">
        <v>316</v>
      </c>
    </row>
    <row r="35" spans="1:5" ht="12.75" customHeight="1">
      <c r="A35" t="s">
        <v>382</v>
      </c>
      <c r="B35" t="s">
        <v>383</v>
      </c>
      <c r="C35" s="47" t="s">
        <v>365</v>
      </c>
      <c r="D35" t="s">
        <v>315</v>
      </c>
      <c r="E35" t="s">
        <v>316</v>
      </c>
    </row>
    <row r="36" spans="1:5" ht="12.75" customHeight="1">
      <c r="A36" t="s">
        <v>384</v>
      </c>
      <c r="B36" t="s">
        <v>385</v>
      </c>
      <c r="C36" s="47" t="s">
        <v>365</v>
      </c>
      <c r="D36" t="s">
        <v>315</v>
      </c>
      <c r="E36" t="s">
        <v>316</v>
      </c>
    </row>
    <row r="37" spans="1:5" ht="12.75" customHeight="1">
      <c r="A37" t="s">
        <v>386</v>
      </c>
      <c r="B37" t="s">
        <v>387</v>
      </c>
      <c r="C37" s="47" t="s">
        <v>365</v>
      </c>
      <c r="D37" t="s">
        <v>315</v>
      </c>
      <c r="E37" t="s">
        <v>316</v>
      </c>
    </row>
    <row r="38" spans="1:5" ht="12.75" customHeight="1">
      <c r="A38" t="s">
        <v>388</v>
      </c>
      <c r="B38" t="s">
        <v>389</v>
      </c>
      <c r="C38" s="47" t="s">
        <v>365</v>
      </c>
      <c r="D38" t="s">
        <v>315</v>
      </c>
      <c r="E38" t="s">
        <v>316</v>
      </c>
    </row>
    <row r="39" spans="1:5" ht="12.75" customHeight="1">
      <c r="A39" t="s">
        <v>390</v>
      </c>
      <c r="B39" t="s">
        <v>391</v>
      </c>
      <c r="C39" s="47" t="s">
        <v>365</v>
      </c>
      <c r="D39" t="s">
        <v>315</v>
      </c>
      <c r="E39" t="s">
        <v>316</v>
      </c>
    </row>
    <row r="40" spans="1:5" ht="12.75" customHeight="1">
      <c r="A40" t="s">
        <v>392</v>
      </c>
      <c r="B40" t="s">
        <v>393</v>
      </c>
      <c r="C40" s="47" t="s">
        <v>365</v>
      </c>
      <c r="D40" t="s">
        <v>315</v>
      </c>
      <c r="E40" t="s">
        <v>316</v>
      </c>
    </row>
    <row r="41" spans="1:5" ht="12.75" customHeight="1">
      <c r="A41" t="s">
        <v>394</v>
      </c>
      <c r="B41" t="s">
        <v>395</v>
      </c>
      <c r="C41" s="47" t="s">
        <v>365</v>
      </c>
      <c r="E41" t="s">
        <v>316</v>
      </c>
    </row>
    <row r="42" spans="1:5" ht="12.75" customHeight="1">
      <c r="A42" t="s">
        <v>396</v>
      </c>
      <c r="B42" t="s">
        <v>397</v>
      </c>
      <c r="C42" s="47" t="s">
        <v>365</v>
      </c>
      <c r="D42" t="s">
        <v>315</v>
      </c>
      <c r="E42" t="s">
        <v>316</v>
      </c>
    </row>
    <row r="43" spans="1:5" ht="12.75" customHeight="1">
      <c r="A43" t="s">
        <v>398</v>
      </c>
      <c r="B43" t="s">
        <v>399</v>
      </c>
      <c r="C43" s="47" t="s">
        <v>365</v>
      </c>
      <c r="D43" t="s">
        <v>315</v>
      </c>
      <c r="E43" t="s">
        <v>316</v>
      </c>
    </row>
    <row r="44" spans="1:5" ht="12.75" customHeight="1">
      <c r="A44" t="s">
        <v>400</v>
      </c>
      <c r="B44" t="s">
        <v>401</v>
      </c>
      <c r="C44" s="47" t="s">
        <v>365</v>
      </c>
      <c r="D44" t="s">
        <v>315</v>
      </c>
      <c r="E44" t="s">
        <v>316</v>
      </c>
    </row>
    <row r="45" spans="1:5" ht="12.75" customHeight="1">
      <c r="A45" t="s">
        <v>402</v>
      </c>
      <c r="B45" t="s">
        <v>403</v>
      </c>
      <c r="C45" s="47" t="s">
        <v>365</v>
      </c>
      <c r="D45" t="s">
        <v>315</v>
      </c>
      <c r="E45" t="s">
        <v>316</v>
      </c>
    </row>
    <row r="46" spans="1:5" ht="12.75" customHeight="1">
      <c r="A46" t="s">
        <v>404</v>
      </c>
      <c r="B46" t="s">
        <v>405</v>
      </c>
      <c r="C46" s="47" t="s">
        <v>365</v>
      </c>
      <c r="D46" t="s">
        <v>315</v>
      </c>
      <c r="E46" t="s">
        <v>316</v>
      </c>
    </row>
    <row r="47" spans="1:5" ht="12.75" customHeight="1">
      <c r="A47" t="s">
        <v>406</v>
      </c>
      <c r="B47" t="s">
        <v>407</v>
      </c>
      <c r="C47" s="47" t="s">
        <v>365</v>
      </c>
      <c r="D47" t="s">
        <v>315</v>
      </c>
      <c r="E47" t="s">
        <v>316</v>
      </c>
    </row>
    <row r="48" spans="1:5" ht="12.75" customHeight="1">
      <c r="A48" t="s">
        <v>408</v>
      </c>
      <c r="B48" t="s">
        <v>408</v>
      </c>
      <c r="C48" s="47" t="s">
        <v>365</v>
      </c>
      <c r="D48" t="s">
        <v>315</v>
      </c>
      <c r="E48" t="s">
        <v>316</v>
      </c>
    </row>
    <row r="49" spans="1:5" ht="12.75" customHeight="1">
      <c r="A49" t="s">
        <v>409</v>
      </c>
      <c r="B49" t="s">
        <v>410</v>
      </c>
      <c r="C49" s="47" t="s">
        <v>365</v>
      </c>
      <c r="E49" t="s">
        <v>316</v>
      </c>
    </row>
    <row r="50" spans="1:5" ht="12.75" customHeight="1">
      <c r="A50" t="s">
        <v>411</v>
      </c>
      <c r="B50" t="s">
        <v>412</v>
      </c>
      <c r="C50" s="47" t="s">
        <v>365</v>
      </c>
      <c r="E50" t="s">
        <v>316</v>
      </c>
    </row>
    <row r="51" spans="1:5" ht="12.75" customHeight="1">
      <c r="A51" t="s">
        <v>413</v>
      </c>
      <c r="B51" t="s">
        <v>414</v>
      </c>
      <c r="C51" s="47" t="s">
        <v>365</v>
      </c>
      <c r="D51" t="s">
        <v>315</v>
      </c>
      <c r="E51" t="s">
        <v>316</v>
      </c>
    </row>
    <row r="52" spans="1:5" ht="12.75" customHeight="1">
      <c r="A52" t="s">
        <v>415</v>
      </c>
      <c r="B52" t="s">
        <v>416</v>
      </c>
      <c r="C52" s="47" t="s">
        <v>365</v>
      </c>
      <c r="E52" t="s">
        <v>316</v>
      </c>
    </row>
    <row r="53" spans="1:5" ht="12.75" customHeight="1">
      <c r="A53" t="s">
        <v>417</v>
      </c>
      <c r="B53" t="s">
        <v>418</v>
      </c>
      <c r="C53" s="47" t="s">
        <v>365</v>
      </c>
      <c r="D53" t="s">
        <v>315</v>
      </c>
      <c r="E53" t="s">
        <v>316</v>
      </c>
    </row>
    <row r="54" spans="1:5" ht="12.75" customHeight="1">
      <c r="A54" t="s">
        <v>419</v>
      </c>
      <c r="B54" t="s">
        <v>420</v>
      </c>
      <c r="C54" s="47" t="s">
        <v>365</v>
      </c>
      <c r="E54" t="s">
        <v>316</v>
      </c>
    </row>
    <row r="55" spans="1:5" ht="12.75" customHeight="1">
      <c r="A55" t="s">
        <v>421</v>
      </c>
      <c r="B55" t="s">
        <v>422</v>
      </c>
      <c r="C55" s="47" t="s">
        <v>365</v>
      </c>
      <c r="D55" t="s">
        <v>315</v>
      </c>
      <c r="E55" t="s">
        <v>316</v>
      </c>
    </row>
    <row r="56" spans="1:5" ht="12.75" customHeight="1">
      <c r="A56" t="s">
        <v>423</v>
      </c>
      <c r="B56" t="s">
        <v>424</v>
      </c>
      <c r="C56" s="47" t="s">
        <v>365</v>
      </c>
      <c r="D56" t="s">
        <v>315</v>
      </c>
      <c r="E56" t="s">
        <v>316</v>
      </c>
    </row>
    <row r="57" spans="1:5" ht="12.75" customHeight="1">
      <c r="A57" t="s">
        <v>425</v>
      </c>
      <c r="B57" t="s">
        <v>426</v>
      </c>
      <c r="C57" s="47" t="s">
        <v>365</v>
      </c>
      <c r="D57" t="s">
        <v>315</v>
      </c>
      <c r="E57" t="s">
        <v>316</v>
      </c>
    </row>
    <row r="58" spans="1:5" ht="12.75" customHeight="1">
      <c r="A58" t="s">
        <v>427</v>
      </c>
      <c r="B58" t="s">
        <v>428</v>
      </c>
      <c r="C58" s="47" t="s">
        <v>365</v>
      </c>
      <c r="D58" t="s">
        <v>315</v>
      </c>
      <c r="E58" t="s">
        <v>316</v>
      </c>
    </row>
    <row r="59" spans="1:5" ht="12.75" customHeight="1">
      <c r="A59" t="s">
        <v>429</v>
      </c>
      <c r="B59" t="s">
        <v>430</v>
      </c>
      <c r="C59" s="47" t="s">
        <v>365</v>
      </c>
      <c r="E59" t="s">
        <v>316</v>
      </c>
    </row>
    <row r="60" spans="1:5" ht="12.75" customHeight="1">
      <c r="A60" t="s">
        <v>431</v>
      </c>
      <c r="B60" t="s">
        <v>432</v>
      </c>
      <c r="C60" s="47" t="s">
        <v>365</v>
      </c>
      <c r="D60" t="s">
        <v>315</v>
      </c>
      <c r="E60" t="s">
        <v>316</v>
      </c>
    </row>
    <row r="61" spans="1:5" ht="12.75" customHeight="1">
      <c r="A61" t="s">
        <v>433</v>
      </c>
      <c r="B61" t="s">
        <v>434</v>
      </c>
      <c r="C61" s="47" t="s">
        <v>365</v>
      </c>
      <c r="D61" t="s">
        <v>315</v>
      </c>
      <c r="E61" t="s">
        <v>316</v>
      </c>
    </row>
    <row r="62" spans="1:5" ht="12.75" customHeight="1">
      <c r="A62" t="s">
        <v>435</v>
      </c>
      <c r="B62" t="s">
        <v>436</v>
      </c>
      <c r="C62" s="47" t="s">
        <v>365</v>
      </c>
      <c r="D62" t="s">
        <v>315</v>
      </c>
      <c r="E62" t="s">
        <v>316</v>
      </c>
    </row>
    <row r="63" spans="1:5" ht="12.75" customHeight="1">
      <c r="A63" t="s">
        <v>437</v>
      </c>
      <c r="B63" t="s">
        <v>438</v>
      </c>
      <c r="C63" s="47" t="s">
        <v>365</v>
      </c>
      <c r="D63" t="s">
        <v>315</v>
      </c>
      <c r="E63" t="s">
        <v>316</v>
      </c>
    </row>
    <row r="64" spans="1:5" ht="12.75" customHeight="1">
      <c r="A64" t="s">
        <v>439</v>
      </c>
      <c r="B64" t="s">
        <v>440</v>
      </c>
      <c r="C64" s="47" t="s">
        <v>365</v>
      </c>
      <c r="D64" t="s">
        <v>315</v>
      </c>
      <c r="E64" t="s">
        <v>316</v>
      </c>
    </row>
    <row r="65" spans="1:5" ht="12.75" customHeight="1">
      <c r="A65" t="s">
        <v>392</v>
      </c>
      <c r="B65" t="s">
        <v>441</v>
      </c>
      <c r="C65" s="47" t="s">
        <v>365</v>
      </c>
      <c r="E65" t="s">
        <v>316</v>
      </c>
    </row>
    <row r="66" spans="1:5" ht="12.75" customHeight="1">
      <c r="A66" t="s">
        <v>442</v>
      </c>
      <c r="B66" t="s">
        <v>443</v>
      </c>
      <c r="C66" s="47" t="s">
        <v>365</v>
      </c>
      <c r="E66" t="s">
        <v>316</v>
      </c>
    </row>
    <row r="67" spans="1:5" ht="12.75" customHeight="1">
      <c r="A67" t="s">
        <v>444</v>
      </c>
      <c r="B67" t="s">
        <v>445</v>
      </c>
      <c r="C67" s="47" t="s">
        <v>365</v>
      </c>
      <c r="E67" t="s">
        <v>316</v>
      </c>
    </row>
    <row r="68" spans="1:5" ht="12.75" customHeight="1">
      <c r="A68" t="s">
        <v>446</v>
      </c>
      <c r="B68" t="s">
        <v>447</v>
      </c>
      <c r="C68" s="47" t="s">
        <v>365</v>
      </c>
      <c r="D68" t="s">
        <v>315</v>
      </c>
      <c r="E68" t="s">
        <v>316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D3A7101F-9A85-4235-8B03-415370C100B2}"/>
</file>

<file path=customXml/itemProps3.xml><?xml version="1.0" encoding="utf-8"?>
<ds:datastoreItem xmlns:ds="http://schemas.openxmlformats.org/officeDocument/2006/customXml" ds:itemID="{E20E8303-6A67-485C-B6F4-303542CC295C}"/>
</file>

<file path=customXml/itemProps4.xml><?xml version="1.0" encoding="utf-8"?>
<ds:datastoreItem xmlns:ds="http://schemas.openxmlformats.org/officeDocument/2006/customXml" ds:itemID="{89CF5C07-45EB-4100-9AFB-2C6AF77FA787}"/>
</file>

<file path=customXml/itemProps5.xml><?xml version="1.0" encoding="utf-8"?>
<ds:datastoreItem xmlns:ds="http://schemas.openxmlformats.org/officeDocument/2006/customXml" ds:itemID="{C44E1947-80AF-42FA-8E4F-0B8EFEE295EE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2BC74AAC-D69B-4AF1-9649-B21EF3C1C463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7946C510-7D04-49D8-9B25-EEC04582A1CA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E3716282-BFD2-4ED2-BA47-BFA1123827F0}"/>
</file>

<file path=customXml/itemProps12.xml><?xml version="1.0" encoding="utf-8"?>
<ds:datastoreItem xmlns:ds="http://schemas.openxmlformats.org/officeDocument/2006/customXml" ds:itemID="{3AEAA9D8-2182-46BA-A58E-96C72DDA1C54}"/>
</file>

<file path=customXml/itemProps13.xml><?xml version="1.0" encoding="utf-8"?>
<ds:datastoreItem xmlns:ds="http://schemas.openxmlformats.org/officeDocument/2006/customXml" ds:itemID="{66B09F59-6532-46F8-924A-9A02417E070D}"/>
</file>

<file path=customXml/itemProps14.xml><?xml version="1.0" encoding="utf-8"?>
<ds:datastoreItem xmlns:ds="http://schemas.openxmlformats.org/officeDocument/2006/customXml" ds:itemID="{F6B2B1A1-1C4B-4AC9-9A7D-7A102DD1C942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1954BBA4-0359-438C-B0EC-A756015F7C02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078388C9-06F9-42F4-B857-EF76B5CAF1FD}"/>
</file>

<file path=customXml/itemProps19.xml><?xml version="1.0" encoding="utf-8"?>
<ds:datastoreItem xmlns:ds="http://schemas.openxmlformats.org/officeDocument/2006/customXml" ds:itemID="{F12EFA50-0068-4A8C-85A0-F1B26389EBC3}"/>
</file>

<file path=customXml/itemProps20.xml><?xml version="1.0" encoding="utf-8"?>
<ds:datastoreItem xmlns:ds="http://schemas.openxmlformats.org/officeDocument/2006/customXml" ds:itemID="{CB52044A-5C0B-44A2-99D0-C1C315EC3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2026-01-14T15:00:35Z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2024-09-09T14:54:19Z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aa69ef55-c4c8-4461-ae67-71b5fea80fc0</vt:lpwstr>
  </property>
  <property fmtid="{D5CDD505-2E9C-101B-9397-08002B2CF9AE}" pid="9" name="MSIP_Label_9d817c99-0b37-4a07-8277-96aa1f96b74b_ContentBits">
    <vt:lpwstr>0</vt:lpwstr>
  </property>
</Properties>
</file>