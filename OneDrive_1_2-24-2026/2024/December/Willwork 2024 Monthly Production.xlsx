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7BE403B3-2C86-4526-BC0E-3FF12713E2AB}" xr6:coauthVersionLast="47" xr6:coauthVersionMax="47" xr10:uidLastSave="{00000000-0000-0000-0000-000000000000}"/>
  <bookViews>
    <workbookView xWindow="3444" yWindow="1416" windowWidth="17316" windowHeight="8892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D4" i="29"/>
  <c r="H4" i="19"/>
  <c r="G4" i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34"/>
  <c r="G2" i="34" s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E4" i="18" s="1"/>
  <c r="F4" i="18" s="1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I4" i="19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33" l="1"/>
  <c r="I2" i="33" s="1"/>
  <c r="C4" i="34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<sst xmlns="http://schemas.openxmlformats.org/spreadsheetml/2006/main" count="240" uniqueCount="54">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</sst>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3" sqref="G3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95431.059468261708</v>
      </c>
      <c r="D2" s="6">
        <f>SUM(D4:D60)</f>
        <v>0</v>
      </c>
      <c r="E2" s="6">
        <f>C2-D2</f>
        <v>95431.059468261708</v>
      </c>
      <c r="F2" s="7">
        <f>IFERROR(E2/D2, 0)</f>
        <v>0</v>
      </c>
      <c r="G2" s="6">
        <f>SUM(G4:G60)</f>
        <v>55361.959000000003</v>
      </c>
      <c r="H2" s="8">
        <f>C2-G2</f>
        <v>40069.100468261706</v>
      </c>
      <c r="I2" s="7">
        <f>IFERROR(H2/G2, 0)</f>
        <v>0.72376594311378517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95431.059468261708</v>
      </c>
      <c r="D4" s="14">
        <f>SUM('1st Qtr'!D4, '2nd Qtr'!D4, '3rd Qtr'!D4, '4th Qtr'!D4)</f>
        <v>0</v>
      </c>
      <c r="E4" s="14">
        <f>IF(AND(ISNUMBER(C4),ISNUMBER(D4)), C4-D4, "")</f>
        <v>95431.059468261708</v>
      </c>
      <c r="F4" s="15" t="str">
        <f>IFERROR(E4/D4, "")</f>
        <v/>
      </c>
      <c r="G4" s="16">
        <f>SUM('1st Qtr'!G4,'2nd Qtr'!G4,'3rd Qtr'!G4,'4th Qtr'!G4)</f>
        <v>55361.959000000003</v>
      </c>
      <c r="H4" s="16">
        <f>SUM('1st Qtr'!H4, '2nd Qtr'!H4, '3rd Qtr'!H4, '4th Qtr'!H4)</f>
        <v>40069.100468261706</v>
      </c>
      <c r="I4" s="17">
        <f>IFERROR(H4/G4, "")</f>
        <v>0.72376594311378517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15705.26751708984</v>
      </c>
      <c r="D2" s="6">
        <f>SUM(D4:D68)</f>
        <v>0</v>
      </c>
      <c r="E2" s="6">
        <f>C2-D2</f>
        <v>15705.26751708984</v>
      </c>
      <c r="F2" s="7">
        <f>IFERROR(E2/D2, 0)</f>
        <v>0</v>
      </c>
      <c r="G2" s="6">
        <f>SUM(G4:G68)</f>
        <v>10485</v>
      </c>
      <c r="H2" s="8">
        <f>C2-G2</f>
        <v>5220.2675170898401</v>
      </c>
      <c r="I2" s="7">
        <f>IFERROR(H2/G2, 0)</f>
        <v>0.4978795915202518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15705.26751708984</v>
      </c>
      <c r="D4" s="14">
        <f>SUM(Jan!D4, Feb!D4, Mar!D4)</f>
        <v>0</v>
      </c>
      <c r="E4" s="14">
        <f>IF(AND(ISNUMBER(C4),ISNUMBER(D4)), C4-D4, "")</f>
        <v>15705.26751708984</v>
      </c>
      <c r="F4" s="15" t="str">
        <f>IFERROR(E4/D4, "")</f>
        <v/>
      </c>
      <c r="G4" s="16">
        <f>SUM(Jan!G4, Feb!G4, Mar!G4)</f>
        <v>10485</v>
      </c>
      <c r="H4" s="16">
        <f>SUM(Jan!H4, Feb!H4, Mar!H4)</f>
        <v>5220.2675170898401</v>
      </c>
      <c r="I4" s="17">
        <f>IFERROR(H4/G4, "")</f>
        <v>0.4978795915202518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12" sqref="G1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33850.511978027338</v>
      </c>
      <c r="D2" s="6">
        <f>SUM(D4:D90)</f>
        <v>0</v>
      </c>
      <c r="E2" s="6">
        <f>C2-D2</f>
        <v>33850.511978027338</v>
      </c>
      <c r="F2" s="7">
        <f>IFERROR(E2/D2, 0)</f>
        <v>0</v>
      </c>
      <c r="G2" s="6">
        <f>SUM(G4:G90)</f>
        <v>19319.286</v>
      </c>
      <c r="H2" s="8">
        <f>C2-G2</f>
        <v>14531.225978027338</v>
      </c>
      <c r="I2" s="7">
        <f>IFERROR(H2/G2, 0)</f>
        <v>0.752161647072637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33850.511978027338</v>
      </c>
      <c r="D4" s="14">
        <f>SUM(Apr!D4, May!D4, Jun!D4)</f>
        <v>0</v>
      </c>
      <c r="E4" s="14">
        <f>IF(AND(ISNUMBER(C4),ISNUMBER(D4)), C4-D4, "")</f>
        <v>33850.511978027338</v>
      </c>
      <c r="F4" s="15" t="str">
        <f>IFERROR(E4/D4, "")</f>
        <v/>
      </c>
      <c r="G4" s="16">
        <f>SUM(Apr!G4+May!G4+Jun!G4)</f>
        <v>19319.286</v>
      </c>
      <c r="H4" s="16">
        <f>SUM(Apr!H4, May!H4, Jun!H4)</f>
        <v>14531.225978027342</v>
      </c>
      <c r="I4" s="17">
        <f>IFERROR(H4/G4, "")</f>
        <v>0.75216164707263722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30331.004999999997</v>
      </c>
      <c r="D2" s="6">
        <f>SUM(D4:D89)</f>
        <v>0</v>
      </c>
      <c r="E2" s="6">
        <f>C2-D2</f>
        <v>30331.004999999997</v>
      </c>
      <c r="F2" s="7">
        <f>IFERROR(E2/D2, 0)</f>
        <v>0</v>
      </c>
      <c r="G2" s="6">
        <f>SUM(G4:G89)</f>
        <v>17788.252</v>
      </c>
      <c r="H2" s="8">
        <f>C2-G2</f>
        <v>12542.752999999997</v>
      </c>
      <c r="I2" s="7">
        <f>IFERROR(H2/G2, 0)</f>
        <v>0.70511442046132455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30331.004999999997</v>
      </c>
      <c r="D4" s="14">
        <f>SUM(Jul!D4, Aug!D4, Sep!D4)</f>
        <v>0</v>
      </c>
      <c r="E4" s="14">
        <f>IF(AND(ISNUMBER(C4),ISNUMBER(D4)), C4-D4, "")</f>
        <v>30331.004999999997</v>
      </c>
      <c r="F4" s="15" t="str">
        <f>IFERROR(E4/D4, "")</f>
        <v/>
      </c>
      <c r="G4" s="16">
        <f>SUM(Jul!G4, Aug!G4, Sep!G4)</f>
        <v>17788.252</v>
      </c>
      <c r="H4" s="16">
        <f>SUM(Jul!H4, Aug!H4, Sep!H4)</f>
        <v>12542.752999999997</v>
      </c>
      <c r="I4" s="17">
        <f>IFERROR(H4/G4, "")</f>
        <v>0.70511442046132455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15544.274973144531</v>
      </c>
      <c r="D2" s="6">
        <f>SUM(D4:D89)</f>
        <v>0</v>
      </c>
      <c r="E2" s="6">
        <f>C2-D2</f>
        <v>15544.274973144531</v>
      </c>
      <c r="F2" s="7">
        <f>IFERROR(E2/D2, 0)</f>
        <v>0</v>
      </c>
      <c r="G2" s="6">
        <f>SUM(G4:G89)</f>
        <v>7769.4210000000003</v>
      </c>
      <c r="H2" s="8">
        <f>C2-G2</f>
        <v>7774.8539731445308</v>
      </c>
      <c r="I2" s="7">
        <f>IFERROR(H2/G2, 0)</f>
        <v>1.0006992764511706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15544.274973144531</v>
      </c>
      <c r="D4" s="14">
        <f>SUM(Oct!D4, Nov!D4, Dec!D4)</f>
        <v>0</v>
      </c>
      <c r="E4" s="14">
        <f>IF(AND(ISNUMBER(C4),ISNUMBER(D4)), C4-D4, "")</f>
        <v>15544.274973144531</v>
      </c>
      <c r="F4" s="15" t="str">
        <f>IFERROR(E4/D4, "")</f>
        <v/>
      </c>
      <c r="G4" s="16">
        <f>SUM(Oct!G4,Nov!G4,Dec!G4)</f>
        <v>7769.4210000000003</v>
      </c>
      <c r="H4" s="16">
        <f>SUM(Oct!H4, Nov!H4, Dec!H4)</f>
        <v>7774.8539731445308</v>
      </c>
      <c r="I4" s="17">
        <f>IFERROR(H4/G4, "")</f>
        <v>1.0006992764511706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E18" sqref="E1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2222.2675170898401</v>
      </c>
      <c r="D2" s="6">
        <f>SUM(D4:D89)</f>
        <v>0</v>
      </c>
      <c r="E2" s="6">
        <f>C2-D2</f>
        <v>2222.2675170898401</v>
      </c>
      <c r="F2" s="7">
        <f>IFERROR(E2/D2, 0)</f>
        <v>0</v>
      </c>
      <c r="G2" s="6">
        <f>SUM(G4:G89)</f>
        <v>2327</v>
      </c>
      <c r="H2" s="8">
        <f>C2-G2</f>
        <v>-104.73248291015989</v>
      </c>
      <c r="I2" s="7">
        <f>IFERROR(H2/G2, 0)</f>
        <v>-4.500751306839703E-2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2222.2675170898401</v>
      </c>
      <c r="D4" s="14">
        <v>0</v>
      </c>
      <c r="E4" s="14">
        <f>IF(AND(ISNUMBER(C4),ISNUMBER(D4)), C4-D4, "")</f>
        <v>2222.2675170898401</v>
      </c>
      <c r="F4" s="15" t="str">
        <f>IFERROR(E4/D4, "")</f>
        <v/>
      </c>
      <c r="G4" s="16">
        <v>2327</v>
      </c>
      <c r="H4" s="16">
        <f>IF(AND(ISNUMBER(C4),ISNUMBER(G4)), C4-G4, "")</f>
        <v>-104.73248291015989</v>
      </c>
      <c r="I4" s="17">
        <f>IFERROR(H4/G4, "")</f>
        <v>-4.500751306839703E-2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21" activePane="bottomLeft" state="frozen"/>
      <selection pane="bottomLeft" activeCell="E21" sqref="E2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5541</v>
      </c>
      <c r="D2" s="6">
        <f>SUM(D4:D85)</f>
        <v>0</v>
      </c>
      <c r="E2" s="6">
        <f>C2-D2</f>
        <v>5541</v>
      </c>
      <c r="F2" s="7">
        <f>IFERROR(E2/D2, 0)</f>
        <v>0</v>
      </c>
      <c r="G2" s="6">
        <f>SUM(G4:G85)</f>
        <v>3205</v>
      </c>
      <c r="H2" s="8">
        <f>C2-G2</f>
        <v>2336</v>
      </c>
      <c r="I2" s="7">
        <f>IFERROR(H2/G2, 0)</f>
        <v>0.72886115444617783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5541</v>
      </c>
      <c r="D4" s="14">
        <v>0</v>
      </c>
      <c r="E4" s="14">
        <f>IF(AND(ISNUMBER(C4),ISNUMBER(D4)), C4-D4, "")</f>
        <v>5541</v>
      </c>
      <c r="F4" s="15" t="str">
        <f>IFERROR(E4/D4, "")</f>
        <v/>
      </c>
      <c r="G4" s="16">
        <v>3205</v>
      </c>
      <c r="H4" s="16">
        <f>IF(AND(ISNUMBER(C4),ISNUMBER(G4)), C4-G4, "")</f>
        <v>2336</v>
      </c>
      <c r="I4" s="17">
        <f>IFERROR(H4/G4, "")</f>
        <v>0.72886115444617783</v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topLeftCell="B1"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7942</v>
      </c>
      <c r="D2" s="6">
        <f>SUM(D4:D90)</f>
        <v>0</v>
      </c>
      <c r="E2" s="6">
        <f>C2-D2</f>
        <v>7942</v>
      </c>
      <c r="F2" s="7">
        <f>IFERROR(E2/D2, 0)</f>
        <v>0</v>
      </c>
      <c r="G2" s="6">
        <f>SUM(G4:G90)</f>
        <v>4953</v>
      </c>
      <c r="H2" s="8">
        <f>C2-G2</f>
        <v>2989</v>
      </c>
      <c r="I2" s="7">
        <f>IFERROR(H2/G2, 0)</f>
        <v>0.60347264284272162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7942</v>
      </c>
      <c r="D4" s="14">
        <v>0</v>
      </c>
      <c r="E4" s="14">
        <f>IF(AND(ISNUMBER(C4),ISNUMBER(D4)), C4-D4, "")</f>
        <v>7942</v>
      </c>
      <c r="F4" s="15" t="str">
        <f>IFERROR(E4/D4, "")</f>
        <v/>
      </c>
      <c r="G4" s="16">
        <v>4953</v>
      </c>
      <c r="H4" s="16">
        <f>IF(AND(ISNUMBER(C4),ISNUMBER(G4)), C4-G4, "")</f>
        <v>2989</v>
      </c>
      <c r="I4" s="17">
        <f>IFERROR(H4/G4, "")</f>
        <v>0.60347264284272162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9" activePane="bottomLeft" state="frozen"/>
      <selection pane="bottomLeft" activeCell="F9" sqref="F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9930.5399780273401</v>
      </c>
      <c r="D2" s="6">
        <f>SUM(D4:D90)</f>
        <v>0</v>
      </c>
      <c r="E2" s="6">
        <f>C2-D2</f>
        <v>9930.5399780273401</v>
      </c>
      <c r="F2" s="7">
        <f>IFERROR(E2/D2, 0)</f>
        <v>0</v>
      </c>
      <c r="G2" s="6">
        <f>SUM(G4:G90)</f>
        <v>5706.3909999999996</v>
      </c>
      <c r="H2" s="8">
        <f>C2-G2</f>
        <v>4224.1489780273405</v>
      </c>
      <c r="I2" s="7">
        <f>IFERROR(H2/G2, 0)</f>
        <v>0.74024878036351538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9930.5399780273401</v>
      </c>
      <c r="D4" s="14">
        <v>0</v>
      </c>
      <c r="E4" s="14">
        <f>IF(AND(ISNUMBER(C4),ISNUMBER(D4)), C4-D4, "")</f>
        <v>9930.5399780273401</v>
      </c>
      <c r="F4" s="15" t="str">
        <f>IFERROR(E4/D4, "")</f>
        <v/>
      </c>
      <c r="G4" s="16">
        <v>5706.3909999999996</v>
      </c>
      <c r="H4" s="16">
        <f>IF(AND(ISNUMBER(C4),ISNUMBER(G4)), C4-G4, "")</f>
        <v>4224.1489780273405</v>
      </c>
      <c r="I4" s="17">
        <f>IFERROR(H4/G4, "")</f>
        <v>0.74024878036351538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C1" workbookViewId="0">
      <pane ySplit="2" topLeftCell="A3" activePane="bottomLeft" state="frozen"/>
      <selection pane="bottomLeft" activeCell="H25" sqref="H2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11234.79</v>
      </c>
      <c r="D2" s="6">
        <f>SUM(D4:D90)</f>
        <v>0</v>
      </c>
      <c r="E2" s="6">
        <f>C2-D2</f>
        <v>11234.79</v>
      </c>
      <c r="F2" s="7">
        <f>IFERROR(E2/D2, 0)</f>
        <v>0</v>
      </c>
      <c r="G2" s="6">
        <f>SUM(G4:G90)</f>
        <v>6792.8950000000004</v>
      </c>
      <c r="H2" s="8">
        <f>C2-G2</f>
        <v>4441.8950000000004</v>
      </c>
      <c r="I2" s="7">
        <f>IFERROR(H2/G2, 0)</f>
        <v>0.653903085503309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11234.79</v>
      </c>
      <c r="D4" s="14">
        <v>0</v>
      </c>
      <c r="E4" s="14">
        <f>IF(AND(ISNUMBER(C4),ISNUMBER(D4)), C4-D4, "")</f>
        <v>11234.79</v>
      </c>
      <c r="F4" s="15" t="str">
        <f>IFERROR(E4/D4, "")</f>
        <v/>
      </c>
      <c r="G4" s="16">
        <v>6792.8950000000004</v>
      </c>
      <c r="H4" s="16">
        <f>IF(AND(ISNUMBER(C4),ISNUMBER(G4)), C4-G4, "")</f>
        <v>4441.8950000000004</v>
      </c>
      <c r="I4" s="17">
        <f>IFERROR(H4/G4, "")</f>
        <v>0.653903085503309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B1" workbookViewId="0">
      <pane ySplit="2" topLeftCell="A11" activePane="bottomLeft" state="frozen"/>
      <selection pane="bottomLeft" activeCell="C11" sqref="C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12685.182000000001</v>
      </c>
      <c r="D2" s="6">
        <f>SUM(D4:D90)</f>
        <v>0</v>
      </c>
      <c r="E2" s="6">
        <f>C2-D2</f>
        <v>12685.182000000001</v>
      </c>
      <c r="F2" s="7">
        <f>IFERROR(E2/D2, 0)</f>
        <v>0</v>
      </c>
      <c r="G2" s="6">
        <f>SUM(G4:G90)</f>
        <v>6820</v>
      </c>
      <c r="H2" s="8">
        <f>C2-G2</f>
        <v>5865.1820000000007</v>
      </c>
      <c r="I2" s="7">
        <f>IFERROR(H2/G2, 0)</f>
        <v>0.85999736070381239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12685.182000000001</v>
      </c>
      <c r="D4" s="14">
        <v>0</v>
      </c>
      <c r="E4" s="14">
        <f>IF(AND(ISNUMBER(C4),ISNUMBER(D4)), C4-D4, "")</f>
        <v>12685.182000000001</v>
      </c>
      <c r="F4" s="15" t="str">
        <f>IFERROR(E4/D4, "")</f>
        <v/>
      </c>
      <c r="G4" s="16">
        <v>6820</v>
      </c>
      <c r="H4" s="16">
        <f>IF(AND(ISNUMBER(C4),ISNUMBER(G4)), C4-G4, "")</f>
        <v>5865.1820000000007</v>
      </c>
      <c r="I4" s="17">
        <f>IFERROR(H4/G4, "")</f>
        <v>0.85999736070381239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E9" sqref="E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11472.2</v>
      </c>
      <c r="D2" s="6">
        <f>SUM(D4:D90)</f>
        <v>0</v>
      </c>
      <c r="E2" s="6">
        <f>C2-D2</f>
        <v>11472.2</v>
      </c>
      <c r="F2" s="7">
        <f>IFERROR(E2/D2, 0)</f>
        <v>0</v>
      </c>
      <c r="G2" s="6">
        <f>SUM(G4:G90)</f>
        <v>6766.2830000000004</v>
      </c>
      <c r="H2" s="8">
        <f>C2-G2</f>
        <v>4705.9170000000004</v>
      </c>
      <c r="I2" s="7">
        <f>IFERROR(H2/G2, 0)</f>
        <v>0.69549514851802685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11472.2</v>
      </c>
      <c r="D4" s="14">
        <v>0</v>
      </c>
      <c r="E4" s="14">
        <f>IF(AND(ISNUMBER(C4),ISNUMBER(D4)), C4-D4, "")</f>
        <v>11472.2</v>
      </c>
      <c r="F4" s="15" t="str">
        <f>IFERROR(E4/D4, "")</f>
        <v/>
      </c>
      <c r="G4" s="16">
        <v>6766.2830000000004</v>
      </c>
      <c r="H4" s="16">
        <f>IF(AND(ISNUMBER(C4),ISNUMBER(G4)), C4-G4, "")</f>
        <v>4705.9170000000004</v>
      </c>
      <c r="I4" s="17">
        <f>IFERROR(H4/G4, "")</f>
        <v>0.69549514851802685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F11" sqref="F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10393.924999999999</v>
      </c>
      <c r="D2" s="6">
        <f>SUM(D4:D30)</f>
        <v>0</v>
      </c>
      <c r="E2" s="6">
        <f>C2-D2</f>
        <v>10393.924999999999</v>
      </c>
      <c r="F2" s="7">
        <f>IFERROR(E2/D2, 0)</f>
        <v>0</v>
      </c>
      <c r="G2" s="6">
        <f>SUM(G4:G30)</f>
        <v>6131.9740000000002</v>
      </c>
      <c r="H2" s="8">
        <f>C2-G2</f>
        <v>4261.9509999999991</v>
      </c>
      <c r="I2" s="7">
        <f>IFERROR(H2/G2, 0)</f>
        <v>0.6950373566489354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10393.924999999999</v>
      </c>
      <c r="D4" s="14">
        <v>0</v>
      </c>
      <c r="E4" s="14">
        <f>IF(AND(ISNUMBER(C4),ISNUMBER(D4)), C4-D4, "")</f>
        <v>10393.924999999999</v>
      </c>
      <c r="F4" s="15" t="str">
        <f>IFERROR(E4/D4, "")</f>
        <v/>
      </c>
      <c r="G4" s="16">
        <v>6131.9740000000002</v>
      </c>
      <c r="H4" s="16">
        <f>IF(AND(ISNUMBER(C4),ISNUMBER(G4)), C4-G4, "")</f>
        <v>4261.9509999999991</v>
      </c>
      <c r="I4" s="17">
        <f>IFERROR(H4/G4, "")</f>
        <v>0.6950373566489354</v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G14" sqref="G1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8464.8799999999992</v>
      </c>
      <c r="D2" s="6">
        <f>SUM(D4:D90)</f>
        <v>0</v>
      </c>
      <c r="E2" s="6">
        <f>C2-D2</f>
        <v>8464.8799999999992</v>
      </c>
      <c r="F2" s="7">
        <f>IFERROR(E2/D2, 0)</f>
        <v>0</v>
      </c>
      <c r="G2" s="6">
        <f>SUM(G4:G90)</f>
        <v>4889.9949999999999</v>
      </c>
      <c r="H2" s="8">
        <f>C2-G2</f>
        <v>3574.8849999999993</v>
      </c>
      <c r="I2" s="7">
        <f>IFERROR(H2/G2, 0)</f>
        <v>0.73106107470457526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8464.8799999999992</v>
      </c>
      <c r="D4" s="14">
        <v>0</v>
      </c>
      <c r="E4" s="14">
        <f>IF(AND(ISNUMBER(C4),ISNUMBER(D4)), C4-D4, "")</f>
        <v>8464.8799999999992</v>
      </c>
      <c r="F4" s="15" t="str">
        <f>IFERROR(E4/D4, "")</f>
        <v/>
      </c>
      <c r="G4" s="16">
        <v>4889.9949999999999</v>
      </c>
      <c r="H4" s="16">
        <f>IF(AND(ISNUMBER(C4),ISNUMBER(G4)), C4-G4, "")</f>
        <v>3574.8849999999993</v>
      </c>
      <c r="I4" s="17">
        <f>IFERROR(H4/G4, "")</f>
        <v>0.73106107470457526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C21" sqref="C20:C2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7513.2049560546902</v>
      </c>
      <c r="D2" s="6">
        <f>SUM(D4:D90)</f>
        <v>0</v>
      </c>
      <c r="E2" s="6">
        <f>C2-D2</f>
        <v>7513.2049560546902</v>
      </c>
      <c r="F2" s="7">
        <f>IFERROR(E2/D2, 0)</f>
        <v>0</v>
      </c>
      <c r="G2" s="6">
        <f>SUM(G4:G90)</f>
        <v>3692.4209999999998</v>
      </c>
      <c r="H2" s="8">
        <f>C2-G2</f>
        <v>3820.7839560546904</v>
      </c>
      <c r="I2" s="7">
        <f>IFERROR(H2/G2, 0)</f>
        <v>1.034763900447617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7513.2049560546902</v>
      </c>
      <c r="D4" s="14">
        <v>0</v>
      </c>
      <c r="E4" s="14">
        <f>IF(AND(ISNUMBER(C4),ISNUMBER(D4)), C4-D4, "")</f>
        <v>7513.2049560546902</v>
      </c>
      <c r="F4" s="15" t="str">
        <f>IFERROR(E4/D4, "")</f>
        <v/>
      </c>
      <c r="G4" s="16">
        <v>3692.4209999999998</v>
      </c>
      <c r="H4" s="16">
        <f>IF(AND(ISNUMBER(C4),ISNUMBER(G4)), C4-G4, "")</f>
        <v>3820.7839560546904</v>
      </c>
      <c r="I4" s="17">
        <f>IFERROR(H4/G4, "")</f>
        <v>1.034763900447617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I9" sqref="I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5118.3300170898401</v>
      </c>
      <c r="D2" s="6">
        <f>SUM(D4:D90)</f>
        <v>0</v>
      </c>
      <c r="E2" s="6">
        <f>C2-D2</f>
        <v>5118.3300170898401</v>
      </c>
      <c r="F2" s="7">
        <f>IFERROR(E2/D2, 0)</f>
        <v>0</v>
      </c>
      <c r="G2" s="6">
        <f>SUM(G4:G90)</f>
        <v>2230</v>
      </c>
      <c r="H2" s="8">
        <f>C2-G2</f>
        <v>2888.3300170898401</v>
      </c>
      <c r="I2" s="7">
        <f>IFERROR(H2/G2, 0)</f>
        <v>1.2952152543003768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5118.3300170898401</v>
      </c>
      <c r="D4" s="14">
        <v>0</v>
      </c>
      <c r="E4" s="14">
        <f>IF(AND(ISNUMBER(C4),ISNUMBER(D4)), C4-D4, "")</f>
        <v>5118.3300170898401</v>
      </c>
      <c r="F4" s="15" t="str">
        <f>IFERROR(E4/D4, "")</f>
        <v/>
      </c>
      <c r="G4" s="16">
        <v>2230</v>
      </c>
      <c r="H4" s="16">
        <f>IF(AND(ISNUMBER(C4),ISNUMBER(G4)), C4-G4, "")</f>
        <v>2888.3300170898401</v>
      </c>
      <c r="I4" s="17">
        <f>IFERROR(H4/G4, "")</f>
        <v>1.2952152543003768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tabSelected="1" workbookViewId="0">
      <pane ySplit="2" topLeftCell="A3" activePane="bottomLeft" state="frozen"/>
      <selection pane="bottomLeft" activeCell="F9" sqref="F9:F1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2912.74</v>
      </c>
      <c r="D2" s="6">
        <f>SUM(D4:D90)</f>
        <v>0</v>
      </c>
      <c r="E2" s="6">
        <f>C2-D2</f>
        <v>2912.74</v>
      </c>
      <c r="F2" s="7">
        <f>IFERROR(E2/D2, 0)</f>
        <v>0</v>
      </c>
      <c r="G2" s="6">
        <f>SUM(G4:G90)</f>
        <v>1847</v>
      </c>
      <c r="H2" s="8">
        <f>C2-G2</f>
        <v>1065.7399999999998</v>
      </c>
      <c r="I2" s="7">
        <f>IFERROR(H2/G2, 0)</f>
        <v>0.57701136978884671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2912.74</v>
      </c>
      <c r="D4" s="14">
        <v>0</v>
      </c>
      <c r="E4" s="14">
        <f>IF(AND(ISNUMBER(C4),ISNUMBER(D4)), C4-D4, "")</f>
        <v>2912.74</v>
      </c>
      <c r="F4" s="15" t="str">
        <f>IFERROR(E4/D4, "")</f>
        <v/>
      </c>
      <c r="G4" s="16">
        <v>1847</v>
      </c>
      <c r="H4" s="16">
        <f>IF(AND(ISNUMBER(C4),ISNUMBER(G4)), C4-G4, "")</f>
        <v>1065.7399999999998</v>
      </c>
      <c r="I4" s="17">
        <f>IFERROR(H4/G4, "")</f>
        <v>0.57701136978884671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0" sqref="B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50</v>
      </c>
      <c r="C4" s="4" t="s">
        <v>51</v>
      </c>
      <c r="D4" t="s">
        <v>52</v>
      </c>
      <c r="E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C0BCDC1E-6052-4E48-9BAF-94A40814E7C2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2025-04-17T05:12:55Z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