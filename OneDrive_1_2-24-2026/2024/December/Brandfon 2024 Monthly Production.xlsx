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06" documentId="13_ncr:1_{A8D24D54-1CD6-473E-B3D3-71D84CB62813}" xr6:coauthVersionLast="47" xr6:coauthVersionMax="47" xr10:uidLastSave="{D5E50C6E-33EE-4950-81F3-0695CFFAC31F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C5" i="34"/>
  <c r="C4" i="34"/>
  <c r="G4" i="29"/>
  <c r="G5" i="29"/>
  <c r="G5" i="18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29" l="1"/>
  <c r="D2" i="18"/>
  <c r="E5" i="18"/>
  <c r="F5" i="18" s="1"/>
  <c r="E5" i="30"/>
  <c r="F5" i="30" s="1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E4" i="34"/>
  <c r="F4" i="34" s="1"/>
  <c r="H5" i="18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18" l="1"/>
  <c r="H5" i="34"/>
  <c r="I5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<sst xmlns="http://schemas.openxmlformats.org/spreadsheetml/2006/main" count="269" uniqueCount="76">
  <si>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</si>
  <si>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</si>
  <si>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</si>
  <si>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</si>
  <si>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</si>
  <si>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</si>
  <si>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</si>
  <si>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</si>
  <si>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</si>
  <si>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</si>
  <si>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</si>
  <si>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</si>
  <si>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</si>
  <si>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</si>
  <si>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</si>
  <si>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</si>
  <si>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</si>
  <si>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</si>
  <si>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</si>
  <si>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</si>
  <si>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</si>
  <si>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</si>
  <si>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</si>
  <si>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</si>
  <si>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</si>
  <si>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</si>
  <si>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</si>
  <si>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</si>
  <si>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</si>
  <si>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</si>
  <si>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3 tripped offline at 13:45 from 05/28</t>
  </si>
  <si>
    <t>1. SR085236</t>
  </si>
  <si>
    <t>1.Site was offline due to utility outage at 07:00AM to 11:00AM on 05/30
2.Inverter 2 is derating by 2 kW on high irradiance days throughout the month</t>
  </si>
  <si>
    <t>1.SR085304
2.SR085289</t>
  </si>
  <si>
    <t>June Actual v. Expected</t>
  </si>
  <si>
    <t>June Actual v. Forecasted</t>
  </si>
  <si>
    <t>1. Inverter 3 tripped offline at 13:45 from 05/28 throughout the month</t>
  </si>
  <si>
    <t>1.SR085236</t>
  </si>
  <si>
    <t>1.Inverter 3 tripped offline at 8 pm on 6/4/24 throughout the month
2.inverter 2 is derating by 2 kW on high irradiance days throughout the month</t>
  </si>
  <si>
    <t>1.SR085598
2.SR085289</t>
  </si>
  <si>
    <t>July Actual v. Expected</t>
  </si>
  <si>
    <t>July Actual v. Forecasted</t>
  </si>
  <si>
    <t>August Actual v. Expected</t>
  </si>
  <si>
    <t>August Actual v. Forecasted</t>
  </si>
  <si>
    <t xml:space="preserve">1.Inverter 3 producing ~4kW down compared to peer inverters, possibly string down from 08/30/2024 </t>
  </si>
  <si>
    <t>1.SR089771</t>
  </si>
  <si>
    <t>September Actual v. Expected</t>
  </si>
  <si>
    <t>September Actual v. Forecasted</t>
  </si>
  <si>
    <t>1. Site offline from 10:45AM to 13:30 on 09/11</t>
  </si>
  <si>
    <t>1. SR090279</t>
  </si>
  <si>
    <t>October Actual v. Expected</t>
  </si>
  <si>
    <t>October Actual v. Forecasted</t>
  </si>
  <si>
    <t>1. Site was offline due to utility outage from 11:30AM to 14:30PM on 10/14
2. Inverter 3 is offline since 05/28/2024, through the month.</t>
  </si>
  <si>
    <t>1. SR092127
2. SR085236</t>
  </si>
  <si>
    <t>1.  Inverter 3 producing 4kW down compared to peer inverters, possibly a string down.
2. Inverter 2 is derating by 2 kW on high irradiance days.</t>
  </si>
  <si>
    <t>1. SR089771, SR084902
2. SR085289</t>
  </si>
  <si>
    <t>November Actual v. Expected</t>
  </si>
  <si>
    <t>November Actual v. Forecasted</t>
  </si>
  <si>
    <t>1. Inverter 3 is offline since 05/28/2024, through the month.</t>
  </si>
  <si>
    <t>December Actual v. Expected</t>
  </si>
  <si>
    <t>December Actual v. Forecasted</t>
  </si>
  <si>
    <t>1. Inverter 3 is offline since 05/28/2024, through the month.
2. Inverter 5 is offline since 12/28 and back online at 12:45 on 12/31.</t>
  </si>
  <si>
    <t>1. SR085236
2. SR095178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</si>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</sst>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I5" sqref="I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BRANDFON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SUM(C4:C65)</f>
        <v>281405.995</v>
      </c>
      <c r="D2" s="5">
        <f>SUM(D4:D65)</f>
        <v>0</v>
      </c>
      <c r="E2" s="5">
        <f>C2-D2</f>
        <v>281405.995</v>
      </c>
      <c r="F2" s="6">
        <f>IFERROR(E2/D2, 0)</f>
        <v>0</v>
      </c>
      <c r="G2" s="5">
        <f>SUM(G4:G65)</f>
        <v>153830.68100000001</v>
      </c>
      <c r="H2" s="7">
        <f>C2-G2</f>
        <v>127575.31399999998</v>
      </c>
      <c r="I2" s="6">
        <f>IFERROR(H2/G2, 0)</f>
        <v>0.82932294891160219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140975.07</v>
      </c>
      <c r="D4" s="13">
        <f>SUM('1st Qtr'!D4, '2nd Qtr'!D4, '3rd Qtr'!D4, '4th Qtr'!D4)</f>
        <v>0</v>
      </c>
      <c r="E4" s="13">
        <f>IF(AND(ISNUMBER(C4),ISNUMBER(D4)), C4-D4, "")</f>
        <v>140975.07</v>
      </c>
      <c r="F4" s="14" t="str">
        <f>IFERROR(E4/D4, "")</f>
        <v/>
      </c>
      <c r="G4" s="15">
        <f>SUM('1st Qtr'!G4, '2nd Qtr'!G4, '3rd Qtr'!G4, '4th Qtr'!G4)</f>
        <v>153830.68100000001</v>
      </c>
      <c r="H4" s="15">
        <f>SUM('1st Qtr'!H4, '2nd Qtr'!H4, '3rd Qtr'!H4, '4th Qtr'!H4)</f>
        <v>-18861.610999999997</v>
      </c>
      <c r="I4" s="16">
        <f>IFERROR(H4/G4, "")</f>
        <v>-0.12261280309875243</v>
      </c>
    </row>
    <row r="5" spans="1:9" ht="15.6">
      <c r="A5" s="17" t="str">
        <v>New Haven - Brandfon Hyundai</v>
      </c>
      <c r="B5" s="10" t="str">
        <v>CT</v>
      </c>
      <c r="C5" s="11">
        <f>SUM('1st Qtr'!C5, '2nd Qtr'!C5, '3rd Qtr'!C5, '4th Qtr'!C5)</f>
        <v>140430.92499999999</v>
      </c>
      <c r="D5" s="18">
        <f>SUM(Jan!D5, Feb!D5, Mar!D5)</f>
        <v>0</v>
      </c>
      <c r="E5" s="18">
        <f t="shared" ref="E5" si="0">IF(AND(ISNUMBER(C5),ISNUMBER(D5)), C5-D5, "")</f>
        <v>140430.92499999999</v>
      </c>
      <c r="F5" s="19" t="str">
        <f>IFERROR(E5/D5, "")</f>
        <v/>
      </c>
      <c r="G5" s="20">
        <f>SUM('1st Qtr'!G5, '2nd Qtr'!G5, '3rd Qtr'!G5, '4th Qtr'!G5)</f>
        <v>0</v>
      </c>
      <c r="H5" s="20">
        <f>SUM('1st Qtr'!H5, '2nd Qtr'!H5, '3rd Qtr'!H5, '4th Qtr'!H5)</f>
        <v>140430.92499999999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BRANDFON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SUM(C4:C65)</f>
        <v>52085.18</v>
      </c>
      <c r="D2" s="5">
        <f>SUM(D4:D65)</f>
        <v>0</v>
      </c>
      <c r="E2" s="5">
        <f>C2-D2</f>
        <v>52085.18</v>
      </c>
      <c r="F2" s="6">
        <f>IFERROR(E2/D2, 0)</f>
        <v>0</v>
      </c>
      <c r="G2" s="5">
        <f>SUM(G4:G65)</f>
        <v>30628.328999999998</v>
      </c>
      <c r="H2" s="7">
        <f>C2-G2</f>
        <v>21456.851000000002</v>
      </c>
      <c r="I2" s="6">
        <f>IFERROR(H2/G2, 0)</f>
        <v>0.70055571755155188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26769.93</v>
      </c>
      <c r="D4" s="13">
        <f>SUM(Jan!D4, Feb!D4, Mar!D4)</f>
        <v>0</v>
      </c>
      <c r="E4" s="13">
        <f>IF(AND(ISNUMBER(C4),ISNUMBER(D4)), C4-D4, "")</f>
        <v>26769.93</v>
      </c>
      <c r="F4" s="14" t="str">
        <f>IFERROR(E4/D4, "")</f>
        <v/>
      </c>
      <c r="G4" s="15">
        <f>SUM(Jan!G4, Feb!G4, Mar!G4)</f>
        <v>30628.328999999998</v>
      </c>
      <c r="H4" s="15">
        <f>SUM(Jan!H4, Feb!H4, Mar!H4)</f>
        <v>-3858.3989999999994</v>
      </c>
      <c r="I4" s="16">
        <f>IFERROR(H4/G4, "")</f>
        <v>-0.12597484505276144</v>
      </c>
    </row>
    <row r="5" spans="1:9" ht="15.6">
      <c r="A5" s="4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25315.25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C5" sqref="C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BRANDFON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SUM(C4:C65)</f>
        <v>92338.94</v>
      </c>
      <c r="D2" s="5">
        <f>SUM(D4:D65)</f>
        <v>0</v>
      </c>
      <c r="E2" s="5">
        <f>C2-D2</f>
        <v>92338.94</v>
      </c>
      <c r="F2" s="6">
        <f>IFERROR(E2/D2, 0)</f>
        <v>0</v>
      </c>
      <c r="G2" s="5">
        <f>SUM(G4:G65)</f>
        <v>55226.808000000005</v>
      </c>
      <c r="H2" s="7">
        <f>C2-G2</f>
        <v>37112.131999999998</v>
      </c>
      <c r="I2" s="6">
        <f>IFERROR(H2/G2, 0)</f>
        <v>0.67199487611161579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51369.79</v>
      </c>
      <c r="D4" s="13">
        <f>SUM(Apr!D4, May!D4, Jun!D4)</f>
        <v>0</v>
      </c>
      <c r="E4" s="13">
        <f>IF(AND(ISNUMBER(C4),ISNUMBER(D4)), C4-D4, "")</f>
        <v>51369.79</v>
      </c>
      <c r="F4" s="14" t="str">
        <f>IFERROR(E4/D4, "")</f>
        <v/>
      </c>
      <c r="G4" s="15">
        <f>SUM(Apr!G4,May!G4,Jun!G4)</f>
        <v>55226.808000000005</v>
      </c>
      <c r="H4" s="15">
        <f>SUM(Apr!H4, May!H4, Jun!H4)</f>
        <v>-3857.0180000000018</v>
      </c>
      <c r="I4" s="16">
        <f>IFERROR(H4/G4, "")</f>
        <v>-6.9839596740771281E-2</v>
      </c>
    </row>
    <row r="5" spans="1:9" ht="15.6">
      <c r="A5" s="47" t="str">
        <v>New Haven - Brandfon Hyundai</v>
      </c>
      <c r="B5" s="10" t="str">
        <v>CT</v>
      </c>
      <c r="C5" s="11">
        <f>SUM(Apr!C5, May!C5, Jun!C5)</f>
        <v>40969.15</v>
      </c>
      <c r="D5" s="18">
        <f>SUM(Apr!D5, May!D5, Jun!D5)</f>
        <v>0</v>
      </c>
      <c r="E5" s="18">
        <f t="shared" ref="E5" si="0">IF(AND(ISNUMBER(C5),ISNUMBER(D5)), C5-D5, "")</f>
        <v>40969.15</v>
      </c>
      <c r="F5" s="19" t="str">
        <f>IFERROR(E5/D5, "")</f>
        <v/>
      </c>
      <c r="G5" s="18">
        <f>SUM(Apr!G5,May!G5,Jun!G5)</f>
        <v>0</v>
      </c>
      <c r="H5" s="20">
        <f>SUM(Apr!H5, May!H5, Jun!H5)</f>
        <v>40969.15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H4" sqref="H4:H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BRANDFON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SUM(C4:C65)</f>
        <v>87773.695000000007</v>
      </c>
      <c r="D2" s="5">
        <f>SUM(D4:D65)</f>
        <v>0</v>
      </c>
      <c r="E2" s="5">
        <f>C2-D2</f>
        <v>87773.695000000007</v>
      </c>
      <c r="F2" s="6">
        <f>IFERROR(E2/D2, 0)</f>
        <v>0</v>
      </c>
      <c r="G2" s="5">
        <f>SUM(G4:G65)</f>
        <v>50230.18</v>
      </c>
      <c r="H2" s="7">
        <f>C2-G2</f>
        <v>37543.515000000007</v>
      </c>
      <c r="I2" s="6">
        <f>IFERROR(H2/G2, 0)</f>
        <v>0.74742943385829008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40790.239999999998</v>
      </c>
      <c r="D4" s="13">
        <f>SUM(Jul!D4, Aug!D4, Sep!D4)</f>
        <v>0</v>
      </c>
      <c r="E4" s="13">
        <f>IF(AND(ISNUMBER(C4),ISNUMBER(D4)), C4-D4, "")</f>
        <v>40790.239999999998</v>
      </c>
      <c r="F4" s="14" t="str">
        <f>IFERROR(E4/D4, "")</f>
        <v/>
      </c>
      <c r="G4" s="15">
        <f>SUM(Jul!G4,Aug!G4,Sep!G4)</f>
        <v>50230.18</v>
      </c>
      <c r="H4" s="15">
        <f>SUM(Jul!H4, Aug!H4, Sep!H4)</f>
        <v>-9439.9399999999987</v>
      </c>
      <c r="I4" s="16">
        <f>IFERROR(H4/G4, "")</f>
        <v>-0.18793362874670166</v>
      </c>
    </row>
    <row r="5" spans="1:9" ht="15.6">
      <c r="A5" s="47" t="str">
        <v>New Haven - Brandfon Hyundai</v>
      </c>
      <c r="B5" s="10" t="str">
        <v>CT</v>
      </c>
      <c r="C5" s="11">
        <f>SUM(Jul!C5, Aug!C5, Sep!C5)</f>
        <v>46983.455000000002</v>
      </c>
      <c r="D5" s="18">
        <f>SUM(Jul!D5, Aug!D5, Sep!D5)</f>
        <v>0</v>
      </c>
      <c r="E5" s="18">
        <f t="shared" ref="E5" si="0">IF(AND(ISNUMBER(C5),ISNUMBER(D5)), C5-D5, "")</f>
        <v>46983.455000000002</v>
      </c>
      <c r="F5" s="19" t="str">
        <f>IFERROR(E5/D5, "")</f>
        <v/>
      </c>
      <c r="G5" s="18">
        <f>SUM(Jul!G5,Aug!G5,Sep!G5)</f>
        <v>0</v>
      </c>
      <c r="H5" s="20">
        <f>SUM(Jul!H5, Aug!H5, Sep!H5)</f>
        <v>46983.455000000002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I5" sqref="I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BRANDFON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SUM(C4:C65)</f>
        <v>49208.18</v>
      </c>
      <c r="D2" s="5">
        <f>SUM(D4:D65)</f>
        <v>0</v>
      </c>
      <c r="E2" s="5">
        <f>C2-D2</f>
        <v>49208.18</v>
      </c>
      <c r="F2" s="6">
        <f>IFERROR(E2/D2, 0)</f>
        <v>0</v>
      </c>
      <c r="G2" s="5">
        <f>SUM(G4:G65)</f>
        <v>17745.364000000001</v>
      </c>
      <c r="H2" s="7">
        <f>C2-G2</f>
        <v>31462.815999999999</v>
      </c>
      <c r="I2" s="6">
        <f>IFERROR(H2/G2, 0)</f>
        <v>1.7730160959222925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22045.11</v>
      </c>
      <c r="D4" s="13">
        <f>SUM(Oct!D4, Nov!D4, Dec!D4)</f>
        <v>0</v>
      </c>
      <c r="E4" s="13">
        <f>IF(AND(ISNUMBER(C4),ISNUMBER(D4)), C4-D4, "")</f>
        <v>22045.11</v>
      </c>
      <c r="F4" s="14" t="str">
        <f>IFERROR(E4/D4, "")</f>
        <v/>
      </c>
      <c r="G4" s="15">
        <f>SUM(Oct!G4,Nov!G4,Dec!G40)</f>
        <v>17745.364000000001</v>
      </c>
      <c r="H4" s="15">
        <f>SUM(Oct!H4, Nov!H4, Dec!H4)</f>
        <v>-1706.253999999999</v>
      </c>
      <c r="I4" s="16">
        <f>IFERROR(H4/G4, "")</f>
        <v>-9.6152099218702922E-2</v>
      </c>
    </row>
    <row r="5" spans="1:9" ht="15.6">
      <c r="A5" s="47" t="str">
        <v>New Haven - Brandfon Hyundai</v>
      </c>
      <c r="B5" s="10" t="str">
        <v>CT</v>
      </c>
      <c r="C5" s="11">
        <f>SUM(Oct!C5, Nov!C5, Dec!C5)</f>
        <v>27163.07</v>
      </c>
      <c r="D5" s="18">
        <f>SUM(Oct!D5, Nov!D5, Dec!D5)</f>
        <v>0</v>
      </c>
      <c r="E5" s="18">
        <f t="shared" ref="E5" si="0">IF(AND(ISNUMBER(C5),ISNUMBER(D5)), C5-D5, "")</f>
        <v>27163.07</v>
      </c>
      <c r="F5" s="19" t="str">
        <f>IFERROR(E5/D5, "")</f>
        <v/>
      </c>
      <c r="G5" s="20">
        <f>SUM(Oct!G5,Nov!G5,Dec!G41)</f>
        <v>0</v>
      </c>
      <c r="H5" s="20">
        <f>SUM(Oct!H5, Nov!H5, Dec!H5)</f>
        <v>27163.07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H5" sqref="H5"/>
      <selection pane="bottomLeft" activeCell="B14" sqref="B14"/>
      <selection pane="topRight" activeCell="B14" sqref="B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SUM(C4:C64)</f>
        <v>8421</v>
      </c>
      <c r="D2" s="5">
        <f>SUM(D4:D64)</f>
        <v>0</v>
      </c>
      <c r="E2" s="5">
        <f>C2-D2</f>
        <v>8421</v>
      </c>
      <c r="F2" s="6">
        <f>IFERROR(E2/D2, 0)</f>
        <v>0</v>
      </c>
      <c r="G2" s="5">
        <f>SUM(G4:G64)</f>
        <v>6863</v>
      </c>
      <c r="H2" s="7">
        <f>C2-G2</f>
        <v>1558</v>
      </c>
      <c r="I2" s="6">
        <f>IFERROR(H2/G2, 0)</f>
        <v>0.22701442517849338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13">
        <v>4409</v>
      </c>
      <c r="D4" s="13">
        <v>0</v>
      </c>
      <c r="E4" s="13">
        <f>IF(AND(ISNUMBER(C4),ISNUMBER(D4)), C4-D4, "")</f>
        <v>4409</v>
      </c>
      <c r="F4" s="43" t="str">
        <f>IFERROR(E4/D4, "")</f>
        <v/>
      </c>
      <c r="G4" s="15">
        <v>6863</v>
      </c>
      <c r="H4" s="15">
        <f>IF(AND(ISNUMBER(C4),ISNUMBER(G4)), C4-G4, "")</f>
        <v>-2454</v>
      </c>
      <c r="I4" s="16">
        <f>IFERROR(H4/G4, "")</f>
        <v>-0.35756957598717765</v>
      </c>
      <c r="J4" s="40"/>
      <c r="K4" s="40"/>
    </row>
    <row r="5" spans="1:11" ht="15.6">
      <c r="A5" s="50" t="str">
        <v>New Haven - Brandfon Hyundai</v>
      </c>
      <c r="B5" s="30" t="str">
        <v>CT</v>
      </c>
      <c r="C5" s="18">
        <v>4012</v>
      </c>
      <c r="D5" s="18">
        <v>0</v>
      </c>
      <c r="E5" s="18">
        <f t="shared" ref="E5" si="0">IF(AND(ISNUMBER(C5),ISNUMBER(D5)), C5-D5, "")</f>
        <v>4012</v>
      </c>
      <c r="F5" s="22" t="str">
        <f t="shared" ref="F5" si="1">IFERROR(E5/D5, "")</f>
        <v/>
      </c>
      <c r="G5" s="20">
        <v>0</v>
      </c>
      <c r="H5" s="20">
        <f t="shared" ref="H5" si="2">IF(AND(ISNUMBER(C5),ISNUMBER(G5)), C5-G5, "")</f>
        <v>4012</v>
      </c>
      <c r="I5" s="19" t="str">
        <f t="shared" ref="I5" si="3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J24" sqref="J24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22</v>
      </c>
      <c r="E1" s="60"/>
      <c r="F1" s="60"/>
      <c r="G1" s="58" t="s">
        <v>23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14779.49</v>
      </c>
      <c r="D2" s="5">
        <f>SUM(D4:D65)</f>
        <v>0</v>
      </c>
      <c r="E2" s="5">
        <f>C2-D2</f>
        <v>14779.49</v>
      </c>
      <c r="F2" s="6">
        <f>IFERROR(E2/D2, 0)</f>
        <v>0</v>
      </c>
      <c r="G2" s="5">
        <f>SUM(G4:G65)</f>
        <v>9306.8150000000005</v>
      </c>
      <c r="H2" s="7">
        <f>C2-G2</f>
        <v>5472.6749999999993</v>
      </c>
      <c r="I2" s="6">
        <f>IFERROR(H2/G2, 0)</f>
        <v>0.58802877246404905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24">
        <v>7602.41</v>
      </c>
      <c r="D4" s="13">
        <v>0</v>
      </c>
      <c r="E4" s="13">
        <f>IF(AND(ISNUMBER(C4),ISNUMBER(D4)), C4-D4, "")</f>
        <v>7602.41</v>
      </c>
      <c r="F4" s="14" t="str">
        <f>IFERROR(E4/D4, "")</f>
        <v/>
      </c>
      <c r="G4" s="15">
        <v>9306.8150000000005</v>
      </c>
      <c r="H4" s="15">
        <f>IF(AND(ISNUMBER(C4),ISNUMBER(G4)), C4-G4, "")</f>
        <v>-1704.4050000000007</v>
      </c>
      <c r="I4" s="16">
        <f>IFERROR(H4/G4, "")</f>
        <v>-0.18313515418540077</v>
      </c>
      <c r="J4" s="40"/>
      <c r="K4" s="40"/>
    </row>
    <row r="5" spans="1:11" ht="15.6">
      <c r="A5" s="50" t="str">
        <v>New Haven - Brandfon Hyundai</v>
      </c>
      <c r="B5" s="30" t="str">
        <v>CT</v>
      </c>
      <c r="C5" s="11">
        <v>7177.08</v>
      </c>
      <c r="D5" s="18">
        <v>0</v>
      </c>
      <c r="E5" s="18">
        <f t="shared" ref="E5" si="0">IF(AND(ISNUMBER(C5),ISNUMBER(D5)), C5-D5, "")</f>
        <v>7177.08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7177.08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D4" activePane="bottomRight" state="frozen"/>
      <selection pane="bottomRight" activeCell="D20" sqref="D20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24</v>
      </c>
      <c r="E1" s="60"/>
      <c r="F1" s="60"/>
      <c r="G1" s="58" t="s">
        <v>25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28884.690000000002</v>
      </c>
      <c r="D2" s="5">
        <f>SUM(D4:D65)</f>
        <v>0</v>
      </c>
      <c r="E2" s="5">
        <f>C2-D2</f>
        <v>28884.690000000002</v>
      </c>
      <c r="F2" s="6">
        <f>IFERROR(E2/D2, 0)</f>
        <v>0</v>
      </c>
      <c r="G2" s="5">
        <f>SUM(G4:G65)</f>
        <v>14458.513999999999</v>
      </c>
      <c r="H2" s="7">
        <f>C2-G2</f>
        <v>14426.176000000003</v>
      </c>
      <c r="I2" s="6">
        <f>IFERROR(H2/G2, 0)</f>
        <v>0.99776339394214397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14758.52</v>
      </c>
      <c r="D4" s="13">
        <v>0</v>
      </c>
      <c r="E4" s="13">
        <f>IF(AND(ISNUMBER(C4),ISNUMBER(D4)), C4-D4, "")</f>
        <v>14758.52</v>
      </c>
      <c r="F4" s="14" t="str">
        <f>IFERROR(E4/D4, "")</f>
        <v/>
      </c>
      <c r="G4" s="15">
        <v>14458.513999999999</v>
      </c>
      <c r="H4" s="15">
        <f>IF(AND(ISNUMBER(C4),ISNUMBER(G4)), C4-G4, "")</f>
        <v>300.00600000000122</v>
      </c>
      <c r="I4" s="16">
        <f>IFERROR(H4/G4, "")</f>
        <v>2.0749435246250149E-2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14126.17</v>
      </c>
      <c r="D5" s="18">
        <v>0</v>
      </c>
      <c r="E5" s="18">
        <f t="shared" ref="E5" si="0">IF(AND(ISNUMBER(C5),ISNUMBER(D5)), C5-D5, "")</f>
        <v>14126.17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14126.17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26</v>
      </c>
      <c r="E1" s="60"/>
      <c r="F1" s="60"/>
      <c r="G1" s="58" t="s">
        <v>27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27367.41</v>
      </c>
      <c r="D2" s="5">
        <f>SUM(D4:D65)</f>
        <v>0</v>
      </c>
      <c r="E2" s="5">
        <f>C2-D2</f>
        <v>27367.41</v>
      </c>
      <c r="F2" s="6">
        <f>IFERROR(E2/D2, 0)</f>
        <v>0</v>
      </c>
      <c r="G2" s="5">
        <f>SUM(G4:G65)</f>
        <v>16433.060000000001</v>
      </c>
      <c r="H2" s="7">
        <f>C2-G2</f>
        <v>10934.349999999999</v>
      </c>
      <c r="I2" s="6">
        <f>IFERROR(H2/G2, 0)</f>
        <v>0.66538733504289505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15867.97</v>
      </c>
      <c r="D4" s="13">
        <v>0</v>
      </c>
      <c r="E4" s="13">
        <f>IF(AND(ISNUMBER(C4),ISNUMBER(D4)), C4-D4, "")</f>
        <v>15867.97</v>
      </c>
      <c r="F4" s="14" t="str">
        <f>IFERROR(E4/D4, "")</f>
        <v/>
      </c>
      <c r="G4" s="15">
        <v>16433.060000000001</v>
      </c>
      <c r="H4" s="15">
        <f>IF(AND(ISNUMBER(C4),ISNUMBER(G4)), C4-G4, "")</f>
        <v>-565.09000000000196</v>
      </c>
      <c r="I4" s="16">
        <f>IFERROR(H4/G4, "")</f>
        <v>-3.4387387376423009E-2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11499.44</v>
      </c>
      <c r="D5" s="18">
        <v>0</v>
      </c>
      <c r="E5" s="18">
        <f t="shared" ref="E5" si="0">IF(AND(ISNUMBER(C5),ISNUMBER(D5)), C5-D5, "")</f>
        <v>11499.44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11499.44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28</v>
      </c>
      <c r="E1" s="60"/>
      <c r="F1" s="60"/>
      <c r="G1" s="58" t="s">
        <v>29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32452.03</v>
      </c>
      <c r="D2" s="5">
        <f>SUM(D4:D65)</f>
        <v>0</v>
      </c>
      <c r="E2" s="5">
        <f>C2-D2</f>
        <v>32452.03</v>
      </c>
      <c r="F2" s="6">
        <f>IFERROR(E2/D2, 0)</f>
        <v>0</v>
      </c>
      <c r="G2" s="5">
        <f>SUM(G4:G65)</f>
        <v>19224.766</v>
      </c>
      <c r="H2" s="7">
        <f>C2-G2</f>
        <v>13227.263999999999</v>
      </c>
      <c r="I2" s="6">
        <f>IFERROR(H2/G2, 0)</f>
        <v>0.68803250973249819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18582.64</v>
      </c>
      <c r="D4" s="13">
        <v>0</v>
      </c>
      <c r="E4" s="13">
        <f>IF(AND(ISNUMBER(C4),ISNUMBER(D4)), C4-D4, "")</f>
        <v>18582.64</v>
      </c>
      <c r="F4" s="14" t="str">
        <f>IFERROR(E4/D4, "")</f>
        <v/>
      </c>
      <c r="G4" s="15">
        <v>19224.766</v>
      </c>
      <c r="H4" s="15">
        <f>IF(AND(ISNUMBER(C4),ISNUMBER(G4)), C4-G4, "")</f>
        <v>-642.1260000000002</v>
      </c>
      <c r="I4" s="16">
        <f>IFERROR(H4/G4, "")</f>
        <v>-3.3400978716724053E-2</v>
      </c>
      <c r="J4" s="40" t="s">
        <v>30</v>
      </c>
      <c r="K4" s="40" t="s">
        <v>31</v>
      </c>
    </row>
    <row r="5" spans="1:11" ht="28.9">
      <c r="A5" s="29" t="str">
        <v>New Haven - Brandfon Hyundai</v>
      </c>
      <c r="B5" s="30" t="str">
        <v>CT</v>
      </c>
      <c r="C5" s="11">
        <v>13869.39</v>
      </c>
      <c r="D5" s="18">
        <v>0</v>
      </c>
      <c r="E5" s="18">
        <f t="shared" ref="E5" si="0">IF(AND(ISNUMBER(C5),ISNUMBER(D5)), C5-D5, "")</f>
        <v>13869.39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13869.39</v>
      </c>
      <c r="I5" s="19" t="str">
        <f t="shared" ref="I5" si="2">IFERROR(H5/G5, "")</f>
        <v/>
      </c>
      <c r="J5" s="41" t="s">
        <v>32</v>
      </c>
      <c r="K5" s="41" t="s">
        <v>33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zoomScale="90" zoomScaleNormal="90"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34</v>
      </c>
      <c r="E1" s="60"/>
      <c r="F1" s="60"/>
      <c r="G1" s="58" t="s">
        <v>35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32519.5</v>
      </c>
      <c r="D2" s="5">
        <f>SUM(D4:D65)</f>
        <v>0</v>
      </c>
      <c r="E2" s="5">
        <f>C2-D2</f>
        <v>32519.5</v>
      </c>
      <c r="F2" s="6">
        <f>IFERROR(E2/D2, 0)</f>
        <v>0</v>
      </c>
      <c r="G2" s="5">
        <f>SUM(G4:G65)</f>
        <v>19568.982</v>
      </c>
      <c r="H2" s="7">
        <f>C2-G2</f>
        <v>12950.518</v>
      </c>
      <c r="I2" s="6">
        <f>IFERROR(H2/G2, 0)</f>
        <v>0.66178802760409305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16919.18</v>
      </c>
      <c r="D4" s="13">
        <v>0</v>
      </c>
      <c r="E4" s="13">
        <f>IF(AND(ISNUMBER(C4),ISNUMBER(D4)), C4-D4, "")</f>
        <v>16919.18</v>
      </c>
      <c r="F4" s="14" t="str">
        <f>IFERROR(E4/D4, "")</f>
        <v/>
      </c>
      <c r="G4" s="15">
        <v>19568.982</v>
      </c>
      <c r="H4" s="15">
        <f>IF(AND(ISNUMBER(C4),ISNUMBER(G4)), C4-G4, "")</f>
        <v>-2649.8019999999997</v>
      </c>
      <c r="I4" s="16">
        <f>IFERROR(H4/G4, "")</f>
        <v>-0.13540827008783593</v>
      </c>
      <c r="J4" s="40" t="s">
        <v>36</v>
      </c>
      <c r="K4" s="40" t="s">
        <v>37</v>
      </c>
    </row>
    <row r="5" spans="1:11" ht="28.9">
      <c r="A5" s="29" t="str">
        <v>New Haven - Brandfon Hyundai</v>
      </c>
      <c r="B5" s="30" t="str">
        <v>CT</v>
      </c>
      <c r="C5" s="11">
        <v>15600.32</v>
      </c>
      <c r="D5" s="18">
        <v>0</v>
      </c>
      <c r="E5" s="18">
        <f t="shared" ref="E5" si="0">IF(AND(ISNUMBER(C5),ISNUMBER(D5)), C5-D5, "")</f>
        <v>15600.32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15600.32</v>
      </c>
      <c r="I5" s="19" t="str">
        <f t="shared" ref="I5" si="2">IFERROR(H5/G5, "")</f>
        <v/>
      </c>
      <c r="J5" s="41" t="s">
        <v>38</v>
      </c>
      <c r="K5" s="41" t="s">
        <v>39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40</v>
      </c>
      <c r="E1" s="60"/>
      <c r="F1" s="60"/>
      <c r="G1" s="58" t="s">
        <v>41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29654.809999999998</v>
      </c>
      <c r="D2" s="5">
        <f>SUM(D4:D65)</f>
        <v>0</v>
      </c>
      <c r="E2" s="5">
        <f>C2-D2</f>
        <v>29654.809999999998</v>
      </c>
      <c r="F2" s="6">
        <f>IFERROR(E2/D2, 0)</f>
        <v>0</v>
      </c>
      <c r="G2" s="5">
        <f>SUM(G4:G65)</f>
        <v>18954.537</v>
      </c>
      <c r="H2" s="7">
        <f>C2-G2</f>
        <v>10700.272999999997</v>
      </c>
      <c r="I2" s="6">
        <f>IFERROR(H2/G2, 0)</f>
        <v>0.56452304796471664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15448.99</v>
      </c>
      <c r="D4" s="13">
        <v>0</v>
      </c>
      <c r="E4" s="13">
        <f>IF(AND(ISNUMBER(C4),ISNUMBER(D4)), C4-D4, "")</f>
        <v>15448.99</v>
      </c>
      <c r="F4" s="14" t="str">
        <f>IFERROR(E4/D4, "")</f>
        <v/>
      </c>
      <c r="G4" s="15">
        <v>18954.537</v>
      </c>
      <c r="H4" s="15">
        <f>IF(AND(ISNUMBER(C4),ISNUMBER(G4)), C4-G4, "")</f>
        <v>-3505.5470000000005</v>
      </c>
      <c r="I4" s="16">
        <f>IFERROR(H4/G4, "")</f>
        <v>-0.18494500815292933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14205.82</v>
      </c>
      <c r="D5" s="18">
        <v>0</v>
      </c>
      <c r="E5" s="18">
        <f t="shared" ref="E5" si="0">IF(AND(ISNUMBER(C5),ISNUMBER(D5)), C5-D5, "")</f>
        <v>14205.82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14205.82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42</v>
      </c>
      <c r="E1" s="60"/>
      <c r="F1" s="60"/>
      <c r="G1" s="58" t="s">
        <v>43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32953.154999999999</v>
      </c>
      <c r="D2" s="5">
        <f>SUM(D4:D65)</f>
        <v>0</v>
      </c>
      <c r="E2" s="5">
        <f>C2-D2</f>
        <v>32953.154999999999</v>
      </c>
      <c r="F2" s="6">
        <f>IFERROR(E2/D2, 0)</f>
        <v>0</v>
      </c>
      <c r="G2" s="5">
        <f>SUM(G4:G65)</f>
        <v>17226.330999999998</v>
      </c>
      <c r="H2" s="7">
        <f>C2-G2</f>
        <v>15726.824000000001</v>
      </c>
      <c r="I2" s="6">
        <f>IFERROR(H2/G2, 0)</f>
        <v>0.91295261887165657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13895.43</v>
      </c>
      <c r="D4" s="13">
        <v>0</v>
      </c>
      <c r="E4" s="13">
        <f>IF(AND(ISNUMBER(C4),ISNUMBER(D4)), C4-D4, "")</f>
        <v>13895.43</v>
      </c>
      <c r="F4" s="14" t="str">
        <f>IFERROR(E4/D4, "")</f>
        <v/>
      </c>
      <c r="G4" s="15">
        <v>17226.330999999998</v>
      </c>
      <c r="H4" s="15">
        <f>IF(AND(ISNUMBER(C4),ISNUMBER(G4)), C4-G4, "")</f>
        <v>-3330.900999999998</v>
      </c>
      <c r="I4" s="16">
        <f>IFERROR(H4/G4, "")</f>
        <v>-0.19336102388837173</v>
      </c>
      <c r="J4" s="40"/>
      <c r="K4" s="40"/>
    </row>
    <row r="5" spans="1:11" ht="30.75">
      <c r="A5" s="29" t="str">
        <v>New Haven - Brandfon Hyundai</v>
      </c>
      <c r="B5" s="30" t="str">
        <v>CT</v>
      </c>
      <c r="C5" s="11">
        <v>19057.724999999999</v>
      </c>
      <c r="D5" s="18">
        <v>0</v>
      </c>
      <c r="E5" s="18">
        <f t="shared" ref="E5" si="0">IF(AND(ISNUMBER(C5),ISNUMBER(D5)), C5-D5, "")</f>
        <v>19057.724999999999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19057.724999999999</v>
      </c>
      <c r="I5" s="19" t="str">
        <f t="shared" ref="I5" si="2">IFERROR(H5/G5, "")</f>
        <v/>
      </c>
      <c r="J5" s="41" t="s">
        <v>44</v>
      </c>
      <c r="K5" s="41" t="s">
        <v>45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46</v>
      </c>
      <c r="E1" s="60"/>
      <c r="F1" s="60"/>
      <c r="G1" s="58" t="s">
        <v>47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25165.73</v>
      </c>
      <c r="D2" s="5">
        <f>SUM(D4:D65)</f>
        <v>0</v>
      </c>
      <c r="E2" s="5">
        <f>C2-D2</f>
        <v>25165.73</v>
      </c>
      <c r="F2" s="6">
        <f>IFERROR(E2/D2, 0)</f>
        <v>0</v>
      </c>
      <c r="G2" s="5">
        <f>SUM(G4:G65)</f>
        <v>14049.312</v>
      </c>
      <c r="H2" s="7">
        <f>C2-G2</f>
        <v>11116.418</v>
      </c>
      <c r="I2" s="6">
        <f>IFERROR(H2/G2, 0)</f>
        <v>0.79124287367239043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11445.82</v>
      </c>
      <c r="D4" s="13">
        <v>0</v>
      </c>
      <c r="E4" s="13">
        <f>IF(AND(ISNUMBER(C4),ISNUMBER(D4)), C4-D4, "")</f>
        <v>11445.82</v>
      </c>
      <c r="F4" s="14" t="str">
        <f>IFERROR(E4/D4, "")</f>
        <v/>
      </c>
      <c r="G4" s="15">
        <v>14049.312</v>
      </c>
      <c r="H4" s="15">
        <f>IF(AND(ISNUMBER(C4),ISNUMBER(G4)), C4-G4, "")</f>
        <v>-2603.4920000000002</v>
      </c>
      <c r="I4" s="16">
        <f>IFERROR(H4/G4, "")</f>
        <v>-0.18531099601176201</v>
      </c>
      <c r="J4" s="40" t="s">
        <v>48</v>
      </c>
      <c r="K4" s="40" t="s">
        <v>49</v>
      </c>
    </row>
    <row r="5" spans="1:11" ht="15.75">
      <c r="A5" s="29" t="str">
        <v>New Haven - Brandfon Hyundai</v>
      </c>
      <c r="B5" s="30" t="str">
        <v>CT</v>
      </c>
      <c r="C5" s="11">
        <v>13719.91</v>
      </c>
      <c r="D5" s="18">
        <v>0</v>
      </c>
      <c r="E5" s="18">
        <f t="shared" ref="E5" si="0">IF(AND(ISNUMBER(C5),ISNUMBER(D5)), C5-D5, "")</f>
        <v>13719.91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13719.91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50</v>
      </c>
      <c r="E1" s="60"/>
      <c r="F1" s="60"/>
      <c r="G1" s="58" t="s">
        <v>51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23358.34</v>
      </c>
      <c r="D2" s="5">
        <f>SUM(D4:D65)</f>
        <v>0</v>
      </c>
      <c r="E2" s="5">
        <f>C2-D2</f>
        <v>23358.34</v>
      </c>
      <c r="F2" s="6">
        <f>IFERROR(E2/D2, 0)</f>
        <v>0</v>
      </c>
      <c r="G2" s="5">
        <f>SUM(G4:G65)</f>
        <v>10900</v>
      </c>
      <c r="H2" s="7">
        <f>C2-G2</f>
        <v>12458.34</v>
      </c>
      <c r="I2" s="6">
        <f>IFERROR(H2/G2, 0)</f>
        <v>1.1429669724770641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0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10525.62</v>
      </c>
      <c r="D4" s="13">
        <v>0</v>
      </c>
      <c r="E4" s="13">
        <f>IF(AND(ISNUMBER(C4),ISNUMBER(D4)), C4-D4, "")</f>
        <v>10525.62</v>
      </c>
      <c r="F4" s="14" t="str">
        <f>IFERROR(E4/D4, "")</f>
        <v/>
      </c>
      <c r="G4" s="15">
        <v>10900</v>
      </c>
      <c r="H4" s="15">
        <f>IF(AND(ISNUMBER(C4),ISNUMBER(G4)), C4-G4, "")</f>
        <v>-374.3799999999992</v>
      </c>
      <c r="I4" s="16">
        <f>IFERROR(H4/G4, "")</f>
        <v>-3.4346788990825612E-2</v>
      </c>
      <c r="J4" s="40" t="s">
        <v>52</v>
      </c>
      <c r="K4" s="57" t="s">
        <v>53</v>
      </c>
    </row>
    <row r="5" spans="1:11" ht="45.75">
      <c r="A5" s="29" t="str">
        <v>New Haven - Brandfon Hyundai</v>
      </c>
      <c r="B5" s="30" t="str">
        <v>CT</v>
      </c>
      <c r="C5" s="11">
        <v>12832.72</v>
      </c>
      <c r="D5" s="18">
        <v>0</v>
      </c>
      <c r="E5" s="18">
        <f t="shared" ref="E5" si="0">IF(AND(ISNUMBER(C5),ISNUMBER(D5)), C5-D5, "")</f>
        <v>12832.72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12832.72</v>
      </c>
      <c r="I5" s="19" t="str">
        <f t="shared" ref="I5" si="2">IFERROR(H5/G5, "")</f>
        <v/>
      </c>
      <c r="J5" s="56" t="s">
        <v>54</v>
      </c>
      <c r="K5" s="56" t="s">
        <v>55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G5" sqref="G5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56</v>
      </c>
      <c r="E1" s="60"/>
      <c r="F1" s="60"/>
      <c r="G1" s="58" t="s">
        <v>57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14381.01</v>
      </c>
      <c r="D2" s="5">
        <f>SUM(D4:D65)</f>
        <v>0</v>
      </c>
      <c r="E2" s="5">
        <f>C2-D2</f>
        <v>14381.01</v>
      </c>
      <c r="F2" s="6">
        <f>IFERROR(E2/D2, 0)</f>
        <v>0</v>
      </c>
      <c r="G2" s="5">
        <f>SUM(G4:G65)</f>
        <v>6845.3639999999996</v>
      </c>
      <c r="H2" s="7">
        <f>C2-G2</f>
        <v>7535.6460000000006</v>
      </c>
      <c r="I2" s="6">
        <f>IFERROR(H2/G2, 0)</f>
        <v>1.1008393417793416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6390.99</v>
      </c>
      <c r="D4" s="13">
        <v>0</v>
      </c>
      <c r="E4" s="13">
        <f>IF(AND(ISNUMBER(C4),ISNUMBER(D4)), C4-D4, "")</f>
        <v>6390.99</v>
      </c>
      <c r="F4" s="14" t="str">
        <f>IFERROR(E4/D4, "")</f>
        <v/>
      </c>
      <c r="G4" s="15">
        <v>6845.3639999999996</v>
      </c>
      <c r="H4" s="15">
        <f>IF(AND(ISNUMBER(C4),ISNUMBER(G4)), C4-G4, "")</f>
        <v>-454.3739999999998</v>
      </c>
      <c r="I4" s="16">
        <f>IFERROR(H4/G4, "")</f>
        <v>-6.6376893909513041E-2</v>
      </c>
      <c r="J4" s="40" t="s">
        <v>58</v>
      </c>
      <c r="K4" s="40" t="s">
        <v>31</v>
      </c>
    </row>
    <row r="5" spans="1:11" ht="45.75">
      <c r="A5" s="29" t="str">
        <v>New Haven - Brandfon Hyundai</v>
      </c>
      <c r="B5" s="30" t="str">
        <v>CT</v>
      </c>
      <c r="C5" s="11">
        <v>7990.02</v>
      </c>
      <c r="D5" s="18">
        <v>0</v>
      </c>
      <c r="E5" s="18">
        <f t="shared" ref="E5" si="0">IF(AND(ISNUMBER(C5),ISNUMBER(D5)), C5-D5, "")</f>
        <v>7990.02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7990.02</v>
      </c>
      <c r="I5" s="19" t="str">
        <f t="shared" ref="I5" si="2">IFERROR(H5/G5, "")</f>
        <v/>
      </c>
      <c r="J5" s="56" t="s">
        <v>54</v>
      </c>
      <c r="K5" s="56" t="s">
        <v>55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H14" sqref="H14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BRANDFON</v>
      </c>
      <c r="B1" s="59"/>
      <c r="C1" s="59"/>
      <c r="D1" s="60" t="s">
        <v>59</v>
      </c>
      <c r="E1" s="60"/>
      <c r="F1" s="60"/>
      <c r="G1" s="58" t="s">
        <v>60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SUM(C4:C65)</f>
        <v>11468.83</v>
      </c>
      <c r="D2" s="5">
        <f>SUM(D4:D65)</f>
        <v>0</v>
      </c>
      <c r="E2" s="5">
        <f>C2-D2</f>
        <v>11468.83</v>
      </c>
      <c r="F2" s="6">
        <f>IFERROR(E2/D2, 0)</f>
        <v>0</v>
      </c>
      <c r="G2" s="5">
        <f>SUM(G4:G65)</f>
        <v>6006</v>
      </c>
      <c r="H2" s="7">
        <f>C2-G2</f>
        <v>5462.83</v>
      </c>
      <c r="I2" s="6">
        <f>IFERROR(H2/G2, 0)</f>
        <v>0.90956210456210451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0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5128.5</v>
      </c>
      <c r="D4" s="13">
        <v>0</v>
      </c>
      <c r="E4" s="13">
        <f>IF(AND(ISNUMBER(C4),ISNUMBER(D4)), C4-D4, "")</f>
        <v>5128.5</v>
      </c>
      <c r="F4" s="14" t="str">
        <f>IFERROR(E4/D4, "")</f>
        <v/>
      </c>
      <c r="G4" s="15">
        <v>6006</v>
      </c>
      <c r="H4" s="15">
        <f>IF(AND(ISNUMBER(C4),ISNUMBER(G4)), C4-G4, "")</f>
        <v>-877.5</v>
      </c>
      <c r="I4" s="16">
        <f>IFERROR(H4/G4, "")</f>
        <v>-0.1461038961038961</v>
      </c>
      <c r="J4" s="40" t="s">
        <v>61</v>
      </c>
      <c r="K4" s="40" t="s">
        <v>62</v>
      </c>
    </row>
    <row r="5" spans="1:11" ht="45.75">
      <c r="A5" s="29" t="str">
        <v>New Haven - Brandfon Hyundai</v>
      </c>
      <c r="B5" s="30" t="str">
        <v>CT</v>
      </c>
      <c r="C5" s="11">
        <v>6340.33</v>
      </c>
      <c r="D5" s="18">
        <v>0</v>
      </c>
      <c r="E5" s="18">
        <f t="shared" ref="E5" si="0">IF(AND(ISNUMBER(C5),ISNUMBER(D5)), C5-D5, "")</f>
        <v>6340.33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6340.33</v>
      </c>
      <c r="I5" s="19" t="str">
        <f t="shared" ref="I5" si="2">IFERROR(H5/G5, "")</f>
        <v/>
      </c>
      <c r="J5" s="56" t="s">
        <v>54</v>
      </c>
      <c r="K5" s="56" t="s">
        <v>55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63</v>
      </c>
      <c r="B1" t="s">
        <v>64</v>
      </c>
    </row>
    <row r="3" spans="1:12" ht="13.15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12" ht="14.45">
      <c r="A4" s="51" t="s">
        <v>68</v>
      </c>
      <c r="B4" s="52" t="s">
        <v>69</v>
      </c>
      <c r="C4" s="52" t="s">
        <v>70</v>
      </c>
      <c r="D4" t="s">
        <v>71</v>
      </c>
      <c r="E4" t="s">
        <v>72</v>
      </c>
      <c r="G4" s="3"/>
    </row>
    <row r="5" spans="1:12" ht="14.45">
      <c r="A5" s="53" t="s">
        <v>73</v>
      </c>
      <c r="B5" s="54" t="s">
        <v>74</v>
      </c>
      <c r="C5" s="55" t="s">
        <v>70</v>
      </c>
      <c r="D5" t="s">
        <v>75</v>
      </c>
      <c r="E5" t="s">
        <v>72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E06140C8-FAB0-433B-B8AC-B0E63CD4817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