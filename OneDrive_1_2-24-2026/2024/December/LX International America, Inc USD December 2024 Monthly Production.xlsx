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8" documentId="13_ncr:1_{AE8569C7-C93B-49C0-9856-6C8D180CD7CE}" xr6:coauthVersionLast="47" xr6:coauthVersionMax="47" xr10:uidLastSave="{F9828C75-0FEF-4779-A390-55AD7C058AF6}"/>
  <bookViews>
    <workbookView xWindow="-108" yWindow="-108" windowWidth="23256" windowHeight="12456" tabRatio="866" firstSheet="16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8" l="1"/>
  <c r="G7" i="18"/>
  <c r="G5" i="18"/>
  <c r="G4" i="18"/>
  <c r="G6" i="30"/>
  <c r="G7" i="30"/>
  <c r="G5" i="30"/>
  <c r="G4" i="30"/>
  <c r="G6" i="29"/>
  <c r="G7" i="29"/>
  <c r="G4" i="29"/>
  <c r="G5" i="29"/>
  <c r="I7" i="72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D6" i="34" l="1"/>
  <c r="G2" i="30"/>
  <c r="H2" i="33"/>
  <c r="I2" i="33" s="1"/>
  <c r="C7" i="34"/>
  <c r="D7" i="34"/>
  <c r="H2" i="32"/>
  <c r="I2" i="32" s="1"/>
  <c r="C5" i="34"/>
  <c r="D5" i="34"/>
  <c r="E5" i="34" s="1"/>
  <c r="F5" i="34" s="1"/>
  <c r="H2" i="31"/>
  <c r="I2" i="31" s="1"/>
  <c r="E6" i="29"/>
  <c r="F6" i="29" s="1"/>
  <c r="C6" i="34"/>
  <c r="E6" i="34" s="1"/>
  <c r="F6" i="34" s="1"/>
  <c r="H7" i="29"/>
  <c r="I7" i="29" s="1"/>
  <c r="D2" i="29"/>
  <c r="E5" i="29"/>
  <c r="F5" i="29" s="1"/>
  <c r="E6" i="18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I8" i="29"/>
  <c r="J2" i="26"/>
  <c r="H2" i="20"/>
  <c r="I2" i="20" s="1"/>
  <c r="H2" i="27"/>
  <c r="I2" i="27" s="1"/>
  <c r="E5" i="18"/>
  <c r="F5" i="18" s="1"/>
  <c r="J2" i="28"/>
  <c r="D2" i="30"/>
  <c r="J2" i="31"/>
  <c r="H6" i="30"/>
  <c r="J2" i="32"/>
  <c r="E6" i="30"/>
  <c r="F6" i="30" s="1"/>
  <c r="I6" i="33"/>
  <c r="D4" i="34"/>
  <c r="E4" i="30"/>
  <c r="F4" i="30" s="1"/>
  <c r="H2" i="3"/>
  <c r="I2" i="3" s="1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H5" i="30"/>
  <c r="E7" i="29"/>
  <c r="F7" i="29" s="1"/>
  <c r="I6" i="26"/>
  <c r="I8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6" i="30" l="1"/>
  <c r="H6" i="34"/>
  <c r="I6" i="34" s="1"/>
  <c r="I5" i="30"/>
  <c r="H5" i="34"/>
  <c r="I5" i="34" s="1"/>
  <c r="I7" i="30"/>
  <c r="H7" i="34"/>
  <c r="I7" i="34" s="1"/>
  <c r="D2" i="34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<sst xmlns="http://schemas.openxmlformats.org/spreadsheetml/2006/main" count="331" uniqueCount="83">
  <si>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</si>
  <si>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</si>
  <si>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</si>
  <si>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</si>
  <si>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</si>
  <si>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</si>
  <si>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</si>
  <si>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</si>
  <si>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</si>
  <si>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</si>
  <si>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</si>
  <si>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</si>
  <si>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</si>
  <si>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</si>
  <si>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</si>
  <si>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</si>
  <si>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</si>
  <si>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</si>
  <si>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</si>
  <si>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</si>
  <si>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</si>
  <si>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</si>
  <si>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</si>
  <si>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</si>
  <si>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</si>
  <si>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</si>
  <si>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</si>
  <si>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</si>
  <si>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</si>
  <si>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</si>
  <si>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</si>
  <si>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</si>
  <si>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</si>
  <si>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</si>
  <si>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</si>
  <si>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</si>
  <si>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</si>
  <si>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</si>
  <si>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</si>
  <si>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</si>
  <si>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</si>
  <si>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</si>
  <si>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</si>
  <si>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</si>
  <si>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1. Weather station data is virtually taken from the LHC Police station, resulting in
 expected energy values that are too high.</t>
  </si>
  <si>
    <t>June Actual v. Expected</t>
  </si>
  <si>
    <t>June Actual v. Forecasted</t>
  </si>
  <si>
    <t>July Actual v. Expected</t>
  </si>
  <si>
    <t>July Actual v. Forecasted</t>
  </si>
  <si>
    <t xml:space="preserve">1. Weather station is reporting 0 irradiance for whole month. </t>
  </si>
  <si>
    <t>1. SR087716</t>
  </si>
  <si>
    <t>August Actual v. Expected</t>
  </si>
  <si>
    <t>August Actual v. Forecasted</t>
  </si>
  <si>
    <t>1. Inverter 3 is offline</t>
  </si>
  <si>
    <t>1. SR081340</t>
  </si>
  <si>
    <t>September Actual v. Expected</t>
  </si>
  <si>
    <t>September Actual v. Forecasted</t>
  </si>
  <si>
    <t xml:space="preserve">1. Inverter 3 is offline </t>
  </si>
  <si>
    <t>1. SR081340, SR086335</t>
  </si>
  <si>
    <t>1. Weather station is reporting 0 irradiance. Weather station being RMA'd.</t>
  </si>
  <si>
    <t>October Actual v. Expected</t>
  </si>
  <si>
    <t>October Actual v. Forecasted</t>
  </si>
  <si>
    <t>1. Weather station reporting erroneous  values from 10/29 throughout the day</t>
  </si>
  <si>
    <t>1. SR092908</t>
  </si>
  <si>
    <t>1. Weather station was replaced on 10/3</t>
  </si>
  <si>
    <t>November Actual v. Expected</t>
  </si>
  <si>
    <t>November Actual v. Forecasted</t>
  </si>
  <si>
    <t>1. The weather station has been reporting erroneous values since 10/29 throughout the day, causing the expected energy values to be too low.</t>
  </si>
  <si>
    <t>1.	SR092908</t>
  </si>
  <si>
    <t>December Actual v. Expected</t>
  </si>
  <si>
    <t>December Actual v. Forecasted</t>
  </si>
  <si>
    <t>1. The weather station stopped communicating on 10/29 and needs to be replaced. More information is available in SR092908.</t>
  </si>
  <si>
    <t>1. SR094976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</si>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</sst>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H4" sqref="H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6">
        <f>SUM(C4:C92)</f>
        <v>1292650.48</v>
      </c>
      <c r="D2" s="6">
        <f>SUM(D4:D92)</f>
        <v>1467675.1303000001</v>
      </c>
      <c r="E2" s="6">
        <f>C2-D2</f>
        <v>-175024.6503000001</v>
      </c>
      <c r="F2" s="7">
        <f>IFERROR(E2/D2, 0)</f>
        <v>-0.11925299181449248</v>
      </c>
      <c r="G2" s="6">
        <f>SUM(G4:G92)</f>
        <v>0</v>
      </c>
      <c r="H2" s="8">
        <f>C2-G2</f>
        <v>1292650.48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483215.63</v>
      </c>
      <c r="D4" s="14">
        <f>SUM('1st Qtr'!D4, '2nd Qtr'!D4, '3rd Qtr'!D4, '4th Qtr'!D4)</f>
        <v>653200.28639999998</v>
      </c>
      <c r="E4" s="14">
        <f>IF(AND(ISNUMBER(C4),ISNUMBER(D4)), C4-D4, "")</f>
        <v>-169984.65639999998</v>
      </c>
      <c r="F4" s="15">
        <f>IFERROR(E4/D4, "")</f>
        <v>-0.26023359134889684</v>
      </c>
      <c r="G4" s="16">
        <f>SUM('1st Qtr'!G4, '2nd Qtr'!G4, '3rd Qtr'!G4, '4th Qtr'!G4)</f>
        <v>0</v>
      </c>
      <c r="H4" s="16">
        <f>SUM('1st Qtr'!H4, '2nd Qtr'!H4, '3rd Qtr'!H4, '4th Qtr'!H4)</f>
        <v>483215.63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SUM('1st Qtr'!C5, '2nd Qtr'!C5, '3rd Qtr'!C5, '4th Qtr'!C5)</f>
        <v>490651</v>
      </c>
      <c r="D5" s="20">
        <f>SUM('1st Qtr'!D5, '2nd Qtr'!D5, '3rd Qtr'!D5, '4th Qtr'!D5)</f>
        <v>553351.16779999994</v>
      </c>
      <c r="E5" s="20">
        <f t="shared" ref="E5:E7" si="0">IF(AND(ISNUMBER(C5),ISNUMBER(D5)), C5-D5, "")</f>
        <v>-62700.167799999937</v>
      </c>
      <c r="F5" s="21">
        <f>IFERROR(E5/D5, "")</f>
        <v>-0.11330990417763413</v>
      </c>
      <c r="G5" s="22">
        <f>SUM('1st Qtr'!G5, '2nd Qtr'!G5, '3rd Qtr'!G5, '4th Qtr'!G5)</f>
        <v>0</v>
      </c>
      <c r="H5" s="22">
        <f>SUM('1st Qtr'!H5, '2nd Qtr'!H5, '3rd Qtr'!H5, '4th Qtr'!H5)</f>
        <v>490651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SUM('1st Qtr'!C6, '2nd Qtr'!C6, '3rd Qtr'!C6, '4th Qtr'!C6)</f>
        <v>198914</v>
      </c>
      <c r="D6" s="14">
        <f>SUM('1st Qtr'!D6, '2nd Qtr'!D6, '3rd Qtr'!D6, '4th Qtr'!D6)</f>
        <v>233413.64609999998</v>
      </c>
      <c r="E6" s="14">
        <f t="shared" si="0"/>
        <v>-34499.646099999984</v>
      </c>
      <c r="F6" s="15">
        <f t="shared" ref="F6:F7" si="1">IFERROR(E6/D6, "")</f>
        <v>-0.14780475210613656</v>
      </c>
      <c r="G6" s="16">
        <f>SUM('1st Qtr'!G6, '2nd Qtr'!G6, '3rd Qtr'!G6, '4th Qtr'!G6)</f>
        <v>0</v>
      </c>
      <c r="H6" s="16">
        <f>SUM('1st Qtr'!H6, '2nd Qtr'!H6, '3rd Qtr'!H6, '4th Qtr'!H6)</f>
        <v>198914</v>
      </c>
      <c r="I6" s="17" t="str">
        <f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SUM('1st Qtr'!C7, '2nd Qtr'!C7, '3rd Qtr'!C7, '4th Qtr'!C7)</f>
        <v>119869.84999999999</v>
      </c>
      <c r="D7" s="20">
        <f>SUM('1st Qtr'!D7, '2nd Qtr'!D7, '3rd Qtr'!D7, '4th Qtr'!D7)</f>
        <v>27710.03</v>
      </c>
      <c r="E7" s="20">
        <f t="shared" si="0"/>
        <v>92159.819999999992</v>
      </c>
      <c r="F7" s="21">
        <f t="shared" si="1"/>
        <v>3.325865038760333</v>
      </c>
      <c r="G7" s="22">
        <f>SUM('1st Qtr'!G7, '2nd Qtr'!G7, '3rd Qtr'!G7, '4th Qtr'!G7)</f>
        <v>0</v>
      </c>
      <c r="H7" s="22">
        <f>SUM('1st Qtr'!H7, '2nd Qtr'!H7, '3rd Qtr'!H7, '4th Qtr'!H7)</f>
        <v>119869.84999999999</v>
      </c>
      <c r="I7" s="21" t="str">
        <f>IFERROR(H7/G7, "")</f>
        <v/>
      </c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8" activePane="bottomLeft" state="frozen"/>
      <selection pane="bottomLeft" activeCell="I8" sqref="I8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6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G4" sqref="G4:G7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6">
        <f>SUM(C4:C93)</f>
        <v>405380.08999999997</v>
      </c>
      <c r="D2" s="6">
        <f>SUM(D4:D93)</f>
        <v>709269.28999999992</v>
      </c>
      <c r="E2" s="6">
        <f>C2-D2</f>
        <v>-303889.19999999995</v>
      </c>
      <c r="F2" s="7">
        <f>IFERROR(E2/D2, 0)</f>
        <v>-0.4284539092338257</v>
      </c>
      <c r="G2" s="6">
        <f>SUM(G4:G93)</f>
        <v>0</v>
      </c>
      <c r="H2" s="8">
        <f>C2-G2</f>
        <v>405380.08999999997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144342</v>
      </c>
      <c r="D4" s="14">
        <f>SUM(Apr!D4, May!D4, Jun!D4)</f>
        <v>322778.90999999997</v>
      </c>
      <c r="E4" s="14">
        <f>IF(AND(ISNUMBER(C4),ISNUMBER(D4)), C4-D4, "")</f>
        <v>-178436.90999999997</v>
      </c>
      <c r="F4" s="15">
        <f>IFERROR(E4/D4, "")</f>
        <v>-0.55281464950730519</v>
      </c>
      <c r="G4" s="16">
        <f>SUM(Apr!G4,May!G4,Jun!G4)</f>
        <v>0</v>
      </c>
      <c r="H4" s="16">
        <f>SUM(Apr!H4, May!H4, Jun!H4)</f>
        <v>144342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162858.5</v>
      </c>
      <c r="D5" s="20">
        <f>SUM(Apr!D5, May!D5, Jun!D5)</f>
        <v>279326.34999999998</v>
      </c>
      <c r="E5" s="20">
        <f t="shared" ref="E5:E7" si="0">IF(AND(ISNUMBER(C5),ISNUMBER(D5)), C5-D5, "")</f>
        <v>-116467.84999999998</v>
      </c>
      <c r="F5" s="21">
        <f>IFERROR(E5/D5, "")</f>
        <v>-0.41695976766960935</v>
      </c>
      <c r="G5" s="22">
        <f>SUM(Apr!G5,May!G5,Jun!G5)</f>
        <v>0</v>
      </c>
      <c r="H5" s="22">
        <f>SUM(Apr!H5, May!H5, Jun!H5)</f>
        <v>162858.5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59647.75</v>
      </c>
      <c r="D6" s="14">
        <f>SUM(Apr!D6, May!D6, Jun!D6)</f>
        <v>107062.59</v>
      </c>
      <c r="E6" s="14">
        <f t="shared" si="0"/>
        <v>-47414.84</v>
      </c>
      <c r="F6" s="15">
        <f t="shared" ref="F6:F7" si="1">IFERROR(E6/D6, "")</f>
        <v>-0.44287028737115364</v>
      </c>
      <c r="G6" s="16">
        <f>SUM(Apr!G6,May!G6,Jun!G6)</f>
        <v>0</v>
      </c>
      <c r="H6" s="16">
        <f>SUM(Apr!H6, May!H6, Jun!H6)</f>
        <v>59647.75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38531.839999999997</v>
      </c>
      <c r="D7" s="20">
        <f>SUM(Apr!D7, May!D7, Jun!D7)</f>
        <v>101.44</v>
      </c>
      <c r="E7" s="20">
        <f t="shared" si="0"/>
        <v>38430.399999999994</v>
      </c>
      <c r="F7" s="21">
        <f t="shared" si="1"/>
        <v>378.84858044164031</v>
      </c>
      <c r="G7" s="22">
        <f>SUM(Apr!G7,May!G7,Jun!G7)</f>
        <v>0</v>
      </c>
      <c r="H7" s="22">
        <f>SUM(Apr!H7, May!H7, Jun!H7)</f>
        <v>38531.839999999997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I16" sqref="I16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6">
        <f>SUM(C4:C93)</f>
        <v>366467.22</v>
      </c>
      <c r="D2" s="6">
        <f>SUM(D4:D93)</f>
        <v>562529</v>
      </c>
      <c r="E2" s="6">
        <f>C2-D2</f>
        <v>-196061.78000000003</v>
      </c>
      <c r="F2" s="7">
        <f>IFERROR(E2/D2, 0)</f>
        <v>-0.34853630657263895</v>
      </c>
      <c r="G2" s="6">
        <f>SUM(G4:G93)</f>
        <v>0</v>
      </c>
      <c r="H2" s="8">
        <f>C2-G2</f>
        <v>366467.22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130588.75</v>
      </c>
      <c r="D4" s="14">
        <f>SUM(Jul!D4, Aug!D4, Sep!D4)</f>
        <v>256239</v>
      </c>
      <c r="E4" s="14">
        <f>IF(AND(ISNUMBER(C4),ISNUMBER(D4)), C4-D4, "")</f>
        <v>-125650.25</v>
      </c>
      <c r="F4" s="15">
        <f>IFERROR(E4/D4, "")</f>
        <v>-0.49036348877415226</v>
      </c>
      <c r="G4" s="16">
        <f>SUM(Jul!G4,Aug!G4,Sep!G4)</f>
        <v>0</v>
      </c>
      <c r="H4" s="16">
        <f>SUM(Jul!H4, Aug!H4, Sep!H4)</f>
        <v>130588.75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148533</v>
      </c>
      <c r="D5" s="20">
        <f>SUM(Jul!D5, Aug!D5, Sep!D5)</f>
        <v>220141</v>
      </c>
      <c r="E5" s="20">
        <f t="shared" ref="E5:E7" si="0">IF(AND(ISNUMBER(C5),ISNUMBER(D5)), C5-D5, "")</f>
        <v>-71608</v>
      </c>
      <c r="F5" s="21">
        <f>IFERROR(E5/D5, "")</f>
        <v>-0.32528243262272816</v>
      </c>
      <c r="G5" s="22">
        <f>SUM(Jul!G5,Aug!G5,Sep!G5)</f>
        <v>0</v>
      </c>
      <c r="H5" s="22">
        <f>SUM(Jul!H5, Aug!H5, Sep!H5)</f>
        <v>148533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53856.75</v>
      </c>
      <c r="D6" s="14">
        <f>SUM(Jul!D6, Aug!D6, Sep!D6)</f>
        <v>86148</v>
      </c>
      <c r="E6" s="14">
        <f t="shared" si="0"/>
        <v>-32291.25</v>
      </c>
      <c r="F6" s="15">
        <f t="shared" ref="F6:F7" si="1">IFERROR(E6/D6, "")</f>
        <v>-0.37483458698983146</v>
      </c>
      <c r="G6" s="16">
        <f>SUM(Jul!G6,Aug!G6,Sep!G6)</f>
        <v>0</v>
      </c>
      <c r="H6" s="16">
        <f>SUM(Jul!H6, Aug!H6, Sep!H6)</f>
        <v>53856.75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33488.720000000001</v>
      </c>
      <c r="D7" s="20">
        <f>SUM(Jul!D7, Aug!D7, Sep!D7)</f>
        <v>1</v>
      </c>
      <c r="E7" s="20">
        <f t="shared" si="0"/>
        <v>33487.72</v>
      </c>
      <c r="F7" s="21">
        <f t="shared" si="1"/>
        <v>33487.72</v>
      </c>
      <c r="G7" s="22">
        <f>SUM(Jul!G7,Aug!G7,Sep!G7)</f>
        <v>0</v>
      </c>
      <c r="H7" s="22">
        <f>SUM(Jul!H7, Aug!H7, Sep!H7)</f>
        <v>33488.720000000001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I4" sqref="I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LX International America, Inc.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6">
        <f>SUM(C4:C90)</f>
        <v>262612.52</v>
      </c>
      <c r="D2" s="6">
        <f>SUM(D4:D90)</f>
        <v>110565.34999999999</v>
      </c>
      <c r="E2" s="6">
        <f>C2-D2</f>
        <v>152047.17000000004</v>
      </c>
      <c r="F2" s="7">
        <f>IFERROR(E2/D2, 0)</f>
        <v>1.3751792039730355</v>
      </c>
      <c r="G2" s="6">
        <f>SUM(G4:G90)</f>
        <v>0</v>
      </c>
      <c r="H2" s="8">
        <f>C2-G2</f>
        <v>262612.52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112697.75</v>
      </c>
      <c r="D4" s="14">
        <f>SUM(Oct!D4, Nov!D4, Dec!D4)</f>
        <v>39222.49</v>
      </c>
      <c r="E4" s="14">
        <f>IF(AND(ISNUMBER(C4),ISNUMBER(D4)), C4-D4, "")</f>
        <v>73475.260000000009</v>
      </c>
      <c r="F4" s="15">
        <f>IFERROR(E4/D4, "")</f>
        <v>1.8732941228361588</v>
      </c>
      <c r="G4" s="16">
        <f>SUM(Oct!G4,Nov!G4,Dec!G4)</f>
        <v>0</v>
      </c>
      <c r="H4" s="16">
        <f>SUM(Oct!H4, Nov!H4, Dec!H4)</f>
        <v>112697.75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95384.5</v>
      </c>
      <c r="D5" s="20">
        <f>SUM(Oct!D5, Nov!D5, Dec!D5)</f>
        <v>33276.93</v>
      </c>
      <c r="E5" s="20">
        <f t="shared" ref="E5:E7" si="0">IF(AND(ISNUMBER(C5),ISNUMBER(D5)), C5-D5, "")</f>
        <v>62107.57</v>
      </c>
      <c r="F5" s="21">
        <f>IFERROR(E5/D5, "")</f>
        <v>1.8663852104145424</v>
      </c>
      <c r="G5" s="22">
        <f>SUM(Oct!G5,Nov!G5,Dec!G5)</f>
        <v>0</v>
      </c>
      <c r="H5" s="22">
        <f>SUM(Oct!H5, Nov!H5, Dec!H5)</f>
        <v>95384.5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31952.25</v>
      </c>
      <c r="D6" s="14">
        <f>SUM(Oct!D6, Nov!D6, Dec!D6)</f>
        <v>12234.34</v>
      </c>
      <c r="E6" s="14">
        <f t="shared" si="0"/>
        <v>19717.91</v>
      </c>
      <c r="F6" s="15">
        <f t="shared" ref="F6:F7" si="1">IFERROR(E6/D6, "")</f>
        <v>1.6116856324084503</v>
      </c>
      <c r="G6" s="16">
        <f>SUM(Oct!G6,Nov!G6,Dec!G6)</f>
        <v>0</v>
      </c>
      <c r="H6" s="16">
        <f>SUM(Oct!H6, Nov!H6, Dec!H6)</f>
        <v>31952.25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22578.02</v>
      </c>
      <c r="D7" s="20">
        <f>SUM(Oct!D7, Nov!D7, Dec!D7)</f>
        <v>25831.59</v>
      </c>
      <c r="E7" s="20">
        <f t="shared" si="0"/>
        <v>-3253.5699999999997</v>
      </c>
      <c r="F7" s="21">
        <f t="shared" si="1"/>
        <v>-0.12595314496707324</v>
      </c>
      <c r="G7" s="22">
        <f>SUM(Oct!G7,Nov!G7,Dec!G7)</f>
        <v>0</v>
      </c>
      <c r="H7" s="22">
        <f>SUM(Oct!H7, Nov!H7, Dec!H7)</f>
        <v>22578.02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6" activePane="bottomLeft" state="frozen"/>
      <selection pane="bottomLeft" activeCell="K7" sqref="K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9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9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6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4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3.1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3.1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3.1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K7" sqref="K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3.1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3.1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9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D7" sqref="D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141493</v>
      </c>
      <c r="D2" s="6">
        <f>SUM(D4:D93)</f>
        <v>235615</v>
      </c>
      <c r="E2" s="6">
        <f>C2-D2</f>
        <v>-94122</v>
      </c>
      <c r="F2" s="7">
        <f>IFERROR(E2/D2, 0)</f>
        <v>-0.39947371771746282</v>
      </c>
      <c r="G2" s="6">
        <f>SUM(G4:G93)</f>
        <v>0</v>
      </c>
      <c r="H2" s="8">
        <f>C2-G2</f>
        <v>141493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50781</v>
      </c>
      <c r="D4" s="14">
        <v>107267</v>
      </c>
      <c r="E4" s="14">
        <f>IF(AND(ISNUMBER(C4),ISNUMBER(D4)), C4-D4, "")</f>
        <v>-56486</v>
      </c>
      <c r="F4" s="15">
        <f>IFERROR(E4/D4, "")</f>
        <v>-0.52659252146512903</v>
      </c>
      <c r="G4" s="16">
        <v>0</v>
      </c>
      <c r="H4" s="16">
        <f>IF(AND(ISNUMBER(C4),ISNUMBER(G4)), C4-G4, "")</f>
        <v>50781</v>
      </c>
      <c r="I4" s="17" t="str">
        <f>IFERROR(H4/G4, "")</f>
        <v/>
      </c>
      <c r="J4" s="18" t="s">
        <v>40</v>
      </c>
      <c r="K4" s="18" t="s">
        <v>30</v>
      </c>
    </row>
    <row r="5" spans="1:11" ht="49.5" customHeight="1">
      <c r="A5" s="32" t="str">
        <v>AZ: Lake Havasu City - Aquatic Center</v>
      </c>
      <c r="B5" s="33" t="str">
        <v>AZ</v>
      </c>
      <c r="C5" s="12">
        <v>56251</v>
      </c>
      <c r="D5" s="20">
        <v>92798</v>
      </c>
      <c r="E5" s="20">
        <f t="shared" ref="E5:E8" si="0">IF(AND(ISNUMBER(C5),ISNUMBER(D5)), C5-D5, "")</f>
        <v>-36547</v>
      </c>
      <c r="F5" s="21">
        <f>IFERROR(E5/D5, "")</f>
        <v>-0.39383391883445762</v>
      </c>
      <c r="G5" s="22">
        <v>0</v>
      </c>
      <c r="H5" s="22">
        <f t="shared" ref="H5:H8" si="1">IF(AND(ISNUMBER(C5),ISNUMBER(G5)), C5-G5, "")</f>
        <v>56251</v>
      </c>
      <c r="I5" s="21" t="str">
        <f t="shared" ref="I5:I8" si="2">IFERROR(H5/G5, "")</f>
        <v/>
      </c>
      <c r="J5" s="48" t="s">
        <v>44</v>
      </c>
      <c r="K5" s="49" t="s">
        <v>32</v>
      </c>
    </row>
    <row r="6" spans="1:11" ht="43.5" customHeight="1">
      <c r="A6" s="30" t="str">
        <v>AZ: Lake Havasu City - City Hall</v>
      </c>
      <c r="B6" s="31" t="str">
        <v>AZ</v>
      </c>
      <c r="C6" s="26">
        <v>21077</v>
      </c>
      <c r="D6" s="14">
        <v>35543</v>
      </c>
      <c r="E6" s="14">
        <f t="shared" si="0"/>
        <v>-14466</v>
      </c>
      <c r="F6" s="15">
        <f t="shared" ref="F6:F8" si="3">IFERROR(E6/D6, "")</f>
        <v>-0.40699997186506487</v>
      </c>
      <c r="G6" s="16">
        <v>0</v>
      </c>
      <c r="H6" s="16">
        <f t="shared" si="1"/>
        <v>21077</v>
      </c>
      <c r="I6" s="17" t="str">
        <f t="shared" si="2"/>
        <v/>
      </c>
      <c r="J6" s="18" t="s">
        <v>44</v>
      </c>
      <c r="K6" s="18" t="s">
        <v>32</v>
      </c>
    </row>
    <row r="7" spans="1:11" ht="28.9">
      <c r="A7" s="32" t="str">
        <v>AZ: Lake Havasu City - Public Works</v>
      </c>
      <c r="B7" s="33" t="str">
        <v>AZ</v>
      </c>
      <c r="C7" s="12">
        <v>13384</v>
      </c>
      <c r="D7" s="20">
        <v>7</v>
      </c>
      <c r="E7" s="20">
        <f t="shared" si="0"/>
        <v>13377</v>
      </c>
      <c r="F7" s="21">
        <f t="shared" si="3"/>
        <v>1911</v>
      </c>
      <c r="G7" s="22">
        <v>0</v>
      </c>
      <c r="H7" s="22">
        <f t="shared" si="1"/>
        <v>13384</v>
      </c>
      <c r="I7" s="21" t="str">
        <f t="shared" si="2"/>
        <v/>
      </c>
      <c r="J7" s="43" t="s">
        <v>34</v>
      </c>
      <c r="K7" s="44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tabSelected="1" zoomScale="80" zoomScaleNormal="80" workbookViewId="0">
      <pane ySplit="2" topLeftCell="A4" activePane="bottomLeft" state="frozen"/>
      <selection pane="bottomLeft" activeCell="K7" sqref="K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133474.06</v>
      </c>
      <c r="D2" s="6">
        <f>SUM(D4:D93)</f>
        <v>255697.24000000002</v>
      </c>
      <c r="E2" s="6">
        <f>C2-D2</f>
        <v>-122223.18000000002</v>
      </c>
      <c r="F2" s="7">
        <f>IFERROR(E2/D2, 0)</f>
        <v>-0.47799960609664777</v>
      </c>
      <c r="G2" s="6">
        <f>SUM(G4:G93)</f>
        <v>0</v>
      </c>
      <c r="H2" s="8">
        <f>C2-G2</f>
        <v>133474.06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46859.5</v>
      </c>
      <c r="D4" s="14">
        <v>116334.54</v>
      </c>
      <c r="E4" s="14">
        <f>IF(AND(ISNUMBER(C4),ISNUMBER(D4)), C4-D4, "")</f>
        <v>-69475.039999999994</v>
      </c>
      <c r="F4" s="15">
        <f>IFERROR(E4/D4, "")</f>
        <v>-0.59720045310704795</v>
      </c>
      <c r="G4" s="16">
        <v>0</v>
      </c>
      <c r="H4" s="16">
        <f>IF(AND(ISNUMBER(C4),ISNUMBER(G4)), C4-G4, "")</f>
        <v>46859.5</v>
      </c>
      <c r="I4" s="17" t="str">
        <f>IFERROR(H4/G4, "")</f>
        <v/>
      </c>
      <c r="J4" s="18" t="s">
        <v>40</v>
      </c>
      <c r="K4" s="18" t="s">
        <v>30</v>
      </c>
    </row>
    <row r="5" spans="1:11" ht="28.9">
      <c r="A5" s="32" t="str">
        <v>AZ: Lake Havasu City - Aquatic Center</v>
      </c>
      <c r="B5" s="33" t="str">
        <v>AZ</v>
      </c>
      <c r="C5" s="12">
        <v>54726</v>
      </c>
      <c r="D5" s="20">
        <v>100718.97</v>
      </c>
      <c r="E5" s="20">
        <f t="shared" ref="E5:E8" si="0">IF(AND(ISNUMBER(C5),ISNUMBER(D5)), C5-D5, "")</f>
        <v>-45992.97</v>
      </c>
      <c r="F5" s="21">
        <f>IFERROR(E5/D5, "")</f>
        <v>-0.45664654831160406</v>
      </c>
      <c r="G5" s="22">
        <v>0</v>
      </c>
      <c r="H5" s="22">
        <f t="shared" ref="H5:H8" si="1">IF(AND(ISNUMBER(C5),ISNUMBER(G5)), C5-G5, "")</f>
        <v>54726</v>
      </c>
      <c r="I5" s="21" t="str">
        <f t="shared" ref="I5:I8" si="2">IFERROR(H5/G5, "")</f>
        <v/>
      </c>
      <c r="J5" s="43" t="s">
        <v>44</v>
      </c>
      <c r="K5" s="49" t="s">
        <v>32</v>
      </c>
    </row>
    <row r="6" spans="1:11" ht="28.9">
      <c r="A6" s="30" t="str">
        <v>AZ: Lake Havasu City - City Hall</v>
      </c>
      <c r="B6" s="31" t="str">
        <v>AZ</v>
      </c>
      <c r="C6" s="26">
        <v>19328</v>
      </c>
      <c r="D6" s="14">
        <v>38643.730000000003</v>
      </c>
      <c r="E6" s="14">
        <f t="shared" si="0"/>
        <v>-19315.730000000003</v>
      </c>
      <c r="F6" s="15">
        <f t="shared" ref="F6:F8" si="3">IFERROR(E6/D6, "")</f>
        <v>-0.49984124203331309</v>
      </c>
      <c r="G6" s="16">
        <v>0</v>
      </c>
      <c r="H6" s="16">
        <f t="shared" si="1"/>
        <v>19328</v>
      </c>
      <c r="I6" s="17" t="str">
        <f t="shared" si="2"/>
        <v/>
      </c>
      <c r="J6" s="18" t="s">
        <v>44</v>
      </c>
      <c r="K6" s="18" t="s">
        <v>32</v>
      </c>
    </row>
    <row r="7" spans="1:11" ht="42.75" customHeight="1">
      <c r="A7" s="32" t="str">
        <v>AZ: Lake Havasu City - Public Works</v>
      </c>
      <c r="B7" s="33" t="str">
        <v>AZ</v>
      </c>
      <c r="C7" s="12">
        <v>12560.56</v>
      </c>
      <c r="D7" s="20">
        <v>0</v>
      </c>
      <c r="E7" s="20">
        <f t="shared" si="0"/>
        <v>12560.56</v>
      </c>
      <c r="F7" s="21" t="str">
        <f t="shared" si="3"/>
        <v/>
      </c>
      <c r="G7" s="22">
        <v>0</v>
      </c>
      <c r="H7" s="22">
        <f t="shared" si="1"/>
        <v>12560.56</v>
      </c>
      <c r="I7" s="21" t="str">
        <f t="shared" si="2"/>
        <v/>
      </c>
      <c r="J7" s="43" t="s">
        <v>34</v>
      </c>
      <c r="K7" s="44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4" sqref="J4:K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47</v>
      </c>
      <c r="E1" s="54"/>
      <c r="F1" s="54"/>
      <c r="G1" s="52" t="s">
        <v>48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131670.22</v>
      </c>
      <c r="D2" s="6">
        <f>SUM(D4:D93)</f>
        <v>261135</v>
      </c>
      <c r="E2" s="6">
        <f>C2-D2</f>
        <v>-129464.78</v>
      </c>
      <c r="F2" s="7">
        <f>IFERROR(E2/D2, 0)</f>
        <v>-0.49577720336224557</v>
      </c>
      <c r="G2" s="6">
        <f>SUM(G4:G93)</f>
        <v>0</v>
      </c>
      <c r="H2" s="8">
        <f>C2-G2</f>
        <v>131670.22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46849.75</v>
      </c>
      <c r="D4" s="14">
        <v>118817</v>
      </c>
      <c r="E4" s="14">
        <f>IF(AND(ISNUMBER(C4),ISNUMBER(D4)), C4-D4, "")</f>
        <v>-71967.25</v>
      </c>
      <c r="F4" s="15">
        <f>IFERROR(E4/D4, "")</f>
        <v>-0.60569825866668914</v>
      </c>
      <c r="G4" s="16">
        <v>0</v>
      </c>
      <c r="H4" s="16">
        <f>IF(AND(ISNUMBER(C4),ISNUMBER(G4)), C4-G4, "")</f>
        <v>46849.75</v>
      </c>
      <c r="I4" s="17" t="str">
        <f>IFERROR(H4/G4, "")</f>
        <v/>
      </c>
      <c r="J4" s="18" t="s">
        <v>40</v>
      </c>
      <c r="K4" s="18" t="s">
        <v>30</v>
      </c>
    </row>
    <row r="5" spans="1:11" ht="28.9">
      <c r="A5" s="32" t="str">
        <v>AZ: Lake Havasu City - Aquatic Center</v>
      </c>
      <c r="B5" s="33" t="str">
        <v>AZ</v>
      </c>
      <c r="C5" s="12">
        <v>53557</v>
      </c>
      <c r="D5" s="20">
        <v>102861</v>
      </c>
      <c r="E5" s="20">
        <f t="shared" ref="E5:E8" si="0">IF(AND(ISNUMBER(C5),ISNUMBER(D5)), C5-D5, "")</f>
        <v>-49304</v>
      </c>
      <c r="F5" s="21">
        <f>IFERROR(E5/D5, "")</f>
        <v>-0.47932646970183063</v>
      </c>
      <c r="G5" s="22">
        <v>0</v>
      </c>
      <c r="H5" s="22">
        <f t="shared" ref="H5:H8" si="1">IF(AND(ISNUMBER(C5),ISNUMBER(G5)), C5-G5, "")</f>
        <v>53557</v>
      </c>
      <c r="I5" s="21" t="str">
        <f t="shared" ref="I5:I8" si="2">IFERROR(H5/G5, "")</f>
        <v/>
      </c>
      <c r="J5" s="43" t="s">
        <v>44</v>
      </c>
      <c r="K5" s="43" t="s">
        <v>32</v>
      </c>
    </row>
    <row r="6" spans="1:11" ht="28.9">
      <c r="A6" s="30" t="str">
        <v>AZ: Lake Havasu City - City Hall</v>
      </c>
      <c r="B6" s="31" t="str">
        <v>AZ</v>
      </c>
      <c r="C6" s="26">
        <v>19060.75</v>
      </c>
      <c r="D6" s="14">
        <v>39457</v>
      </c>
      <c r="E6" s="14">
        <f t="shared" si="0"/>
        <v>-20396.25</v>
      </c>
      <c r="F6" s="15">
        <f t="shared" ref="F6:F8" si="3">IFERROR(E6/D6, "")</f>
        <v>-0.51692348632688745</v>
      </c>
      <c r="G6" s="16">
        <v>0</v>
      </c>
      <c r="H6" s="16">
        <f t="shared" si="1"/>
        <v>19060.75</v>
      </c>
      <c r="I6" s="17" t="str">
        <f t="shared" si="2"/>
        <v/>
      </c>
      <c r="J6" s="18" t="s">
        <v>44</v>
      </c>
      <c r="K6" s="18" t="s">
        <v>32</v>
      </c>
    </row>
    <row r="7" spans="1:11" ht="15.6">
      <c r="A7" s="32" t="str">
        <v>AZ: Lake Havasu City - Public Works</v>
      </c>
      <c r="B7" s="33" t="str">
        <v>AZ</v>
      </c>
      <c r="C7" s="12">
        <v>12202.72</v>
      </c>
      <c r="D7" s="20">
        <v>0</v>
      </c>
      <c r="E7" s="20">
        <f t="shared" si="0"/>
        <v>12202.72</v>
      </c>
      <c r="F7" s="21" t="str">
        <f t="shared" si="3"/>
        <v/>
      </c>
      <c r="G7" s="22">
        <v>0</v>
      </c>
      <c r="H7" s="22">
        <f t="shared" si="1"/>
        <v>12202.72</v>
      </c>
      <c r="I7" s="21" t="str">
        <f t="shared" si="2"/>
        <v/>
      </c>
      <c r="J7" s="47" t="s">
        <v>49</v>
      </c>
      <c r="K7" s="47" t="s">
        <v>50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4" sqref="J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51</v>
      </c>
      <c r="E1" s="54"/>
      <c r="F1" s="54"/>
      <c r="G1" s="52" t="s">
        <v>52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122090</v>
      </c>
      <c r="D2" s="6">
        <f>SUM(D4:D93)</f>
        <v>183699</v>
      </c>
      <c r="E2" s="6">
        <f>C2-D2</f>
        <v>-61609</v>
      </c>
      <c r="F2" s="7">
        <f>IFERROR(E2/D2, 0)</f>
        <v>-0.33538015993554676</v>
      </c>
      <c r="G2" s="6">
        <f>SUM(G4:G93)</f>
        <v>0</v>
      </c>
      <c r="H2" s="8">
        <f>C2-G2</f>
        <v>122090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0">
        <v>43768</v>
      </c>
      <c r="D4" s="14">
        <v>82274</v>
      </c>
      <c r="E4" s="14">
        <f>IF(AND(ISNUMBER(C4),ISNUMBER(D4)), C4-D4, "")</f>
        <v>-38506</v>
      </c>
      <c r="F4" s="15">
        <f>IFERROR(E4/D4, "")</f>
        <v>-0.46802148917033326</v>
      </c>
      <c r="G4" s="16">
        <v>0</v>
      </c>
      <c r="H4" s="16">
        <f>IF(AND(ISNUMBER(C4),ISNUMBER(G4)), C4-G4, "")</f>
        <v>43768</v>
      </c>
      <c r="I4" s="17" t="str">
        <f>IFERROR(H4/G4, "")</f>
        <v/>
      </c>
      <c r="J4" s="18" t="s">
        <v>53</v>
      </c>
      <c r="K4" s="18" t="s">
        <v>54</v>
      </c>
    </row>
    <row r="5" spans="1:11" ht="15.6">
      <c r="A5" s="32" t="str">
        <v>AZ: Lake Havasu City - Aquatic Center</v>
      </c>
      <c r="B5" s="33" t="str">
        <v>AZ</v>
      </c>
      <c r="C5" s="12">
        <v>49693</v>
      </c>
      <c r="D5" s="20">
        <v>70497</v>
      </c>
      <c r="E5" s="20">
        <f t="shared" ref="E5:E8" si="0">IF(AND(ISNUMBER(C5),ISNUMBER(D5)), C5-D5, "")</f>
        <v>-20804</v>
      </c>
      <c r="F5" s="21">
        <f>IFERROR(E5/D5, "")</f>
        <v>-0.2951047562307616</v>
      </c>
      <c r="G5" s="22">
        <v>0</v>
      </c>
      <c r="H5" s="22">
        <f t="shared" ref="H5:H8" si="1">IF(AND(ISNUMBER(C5),ISNUMBER(G5)), C5-G5, "")</f>
        <v>49693</v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>
        <v>17598</v>
      </c>
      <c r="D6" s="14">
        <v>30928</v>
      </c>
      <c r="E6" s="14">
        <f t="shared" si="0"/>
        <v>-13330</v>
      </c>
      <c r="F6" s="15">
        <f t="shared" ref="F6:F8" si="3">IFERROR(E6/D6, "")</f>
        <v>-0.43100103466114847</v>
      </c>
      <c r="G6" s="16">
        <v>0</v>
      </c>
      <c r="H6" s="16">
        <f t="shared" si="1"/>
        <v>17598</v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>
        <v>11031</v>
      </c>
      <c r="D7" s="20">
        <v>0</v>
      </c>
      <c r="E7" s="20">
        <f t="shared" si="0"/>
        <v>11031</v>
      </c>
      <c r="F7" s="21" t="str">
        <f t="shared" si="3"/>
        <v/>
      </c>
      <c r="G7" s="22">
        <v>0</v>
      </c>
      <c r="H7" s="22">
        <f t="shared" si="1"/>
        <v>11031</v>
      </c>
      <c r="I7" s="21" t="str">
        <f t="shared" si="2"/>
        <v/>
      </c>
      <c r="J7" s="47" t="s">
        <v>49</v>
      </c>
      <c r="K7" s="47" t="s">
        <v>50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7" sqref="J1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55</v>
      </c>
      <c r="E1" s="54"/>
      <c r="F1" s="54"/>
      <c r="G1" s="52" t="s">
        <v>56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112707</v>
      </c>
      <c r="D2" s="6">
        <f>SUM(D4:D93)</f>
        <v>117695</v>
      </c>
      <c r="E2" s="6">
        <f>C2-D2</f>
        <v>-4988</v>
      </c>
      <c r="F2" s="7">
        <f>IFERROR(E2/D2, 0)</f>
        <v>-4.2380729852585071E-2</v>
      </c>
      <c r="G2" s="6">
        <f>SUM(G4:G93)</f>
        <v>0</v>
      </c>
      <c r="H2" s="8">
        <f>C2-G2</f>
        <v>112707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39971</v>
      </c>
      <c r="D4" s="14">
        <v>55148</v>
      </c>
      <c r="E4" s="14">
        <f>IF(AND(ISNUMBER(C4),ISNUMBER(D4)), C4-D4, "")</f>
        <v>-15177</v>
      </c>
      <c r="F4" s="15">
        <f>IFERROR(E4/D4, "")</f>
        <v>-0.27520490316965257</v>
      </c>
      <c r="G4" s="16">
        <v>0</v>
      </c>
      <c r="H4" s="16">
        <f>IF(AND(ISNUMBER(C4),ISNUMBER(G4)), C4-G4, "")</f>
        <v>39971</v>
      </c>
      <c r="I4" s="17" t="str">
        <f>IFERROR(H4/G4, "")</f>
        <v/>
      </c>
      <c r="J4" s="18" t="s">
        <v>57</v>
      </c>
      <c r="K4" s="18" t="s">
        <v>58</v>
      </c>
    </row>
    <row r="5" spans="1:11" ht="15.6">
      <c r="A5" s="32" t="str">
        <v>AZ: Lake Havasu City - Aquatic Center</v>
      </c>
      <c r="B5" s="33" t="str">
        <v>AZ</v>
      </c>
      <c r="C5" s="12">
        <v>45283</v>
      </c>
      <c r="D5" s="20">
        <v>46783</v>
      </c>
      <c r="E5" s="20">
        <f t="shared" ref="E5:E8" si="0">IF(AND(ISNUMBER(C5),ISNUMBER(D5)), C5-D5, "")</f>
        <v>-1500</v>
      </c>
      <c r="F5" s="21">
        <f>IFERROR(E5/D5, "")</f>
        <v>-3.2062928841673256E-2</v>
      </c>
      <c r="G5" s="22">
        <v>0</v>
      </c>
      <c r="H5" s="22">
        <f t="shared" ref="H5:H8" si="1">IF(AND(ISNUMBER(C5),ISNUMBER(G5)), C5-G5, "")</f>
        <v>45283</v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>
        <v>17198</v>
      </c>
      <c r="D6" s="14">
        <v>15763</v>
      </c>
      <c r="E6" s="14">
        <f t="shared" si="0"/>
        <v>1435</v>
      </c>
      <c r="F6" s="15">
        <f t="shared" ref="F6:F8" si="3">IFERROR(E6/D6, "")</f>
        <v>9.1035970310220135E-2</v>
      </c>
      <c r="G6" s="16">
        <v>0</v>
      </c>
      <c r="H6" s="16">
        <f t="shared" si="1"/>
        <v>17198</v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>
        <v>10255</v>
      </c>
      <c r="D7" s="20">
        <v>1</v>
      </c>
      <c r="E7" s="20">
        <f t="shared" si="0"/>
        <v>10254</v>
      </c>
      <c r="F7" s="21">
        <f t="shared" si="3"/>
        <v>10254</v>
      </c>
      <c r="G7" s="22">
        <v>0</v>
      </c>
      <c r="H7" s="22">
        <f t="shared" si="1"/>
        <v>10255</v>
      </c>
      <c r="I7" s="21" t="str">
        <f t="shared" si="2"/>
        <v/>
      </c>
      <c r="J7" s="47" t="s">
        <v>59</v>
      </c>
      <c r="K7" s="47" t="s">
        <v>50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8" sqref="J18"/>
      <selection activeCell="A8" sqref="A8:XFD1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60</v>
      </c>
      <c r="E1" s="54"/>
      <c r="F1" s="54"/>
      <c r="G1" s="52" t="s">
        <v>61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SUM(C4:C91)</f>
        <v>107349.41</v>
      </c>
      <c r="D2" s="6">
        <f>SUM(D4:D91)</f>
        <v>94962.77</v>
      </c>
      <c r="E2" s="6">
        <f>C2-D2</f>
        <v>12386.64</v>
      </c>
      <c r="F2" s="7">
        <f>IFERROR(E2/D2, 0)</f>
        <v>0.13043680170660565</v>
      </c>
      <c r="G2" s="6">
        <f>SUM(G4:G91)</f>
        <v>0</v>
      </c>
      <c r="H2" s="8">
        <f>C2-G2</f>
        <v>107349.41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46260.75</v>
      </c>
      <c r="D4" s="14">
        <v>38844.559999999998</v>
      </c>
      <c r="E4" s="14">
        <f>IF(AND(ISNUMBER(C4),ISNUMBER(D4)), C4-D4, "")</f>
        <v>7416.1900000000023</v>
      </c>
      <c r="F4" s="15">
        <f>IFERROR(E4/D4, "")</f>
        <v>0.19091965515892065</v>
      </c>
      <c r="G4" s="16">
        <v>0</v>
      </c>
      <c r="H4" s="16">
        <f>IF(AND(ISNUMBER(C4),ISNUMBER(G4)), C4-G4, "")</f>
        <v>46260.75</v>
      </c>
      <c r="I4" s="17" t="str">
        <f>IFERROR(H4/G4, "")</f>
        <v/>
      </c>
      <c r="J4" s="18" t="s">
        <v>62</v>
      </c>
      <c r="K4" s="18" t="s">
        <v>63</v>
      </c>
    </row>
    <row r="5" spans="1:11" ht="21.75" customHeight="1">
      <c r="A5" s="32" t="str">
        <v>AZ: Lake Havasu City - Aquatic Center</v>
      </c>
      <c r="B5" s="33" t="str">
        <v>AZ</v>
      </c>
      <c r="C5" s="12">
        <v>38520</v>
      </c>
      <c r="D5" s="20">
        <v>32956.35</v>
      </c>
      <c r="E5" s="20">
        <f t="shared" ref="E5:E7" si="0">IF(AND(ISNUMBER(C5),ISNUMBER(D5)), C5-D5, "")</f>
        <v>5563.6500000000015</v>
      </c>
      <c r="F5" s="21">
        <f>IFERROR(E5/D5, "")</f>
        <v>0.1688187557177904</v>
      </c>
      <c r="G5" s="22">
        <v>0</v>
      </c>
      <c r="H5" s="22">
        <f t="shared" ref="H5:H7" si="1">IF(AND(ISNUMBER(C5),ISNUMBER(G5)), C5-G5, "")</f>
        <v>38520</v>
      </c>
      <c r="I5" s="21" t="str">
        <f t="shared" ref="I5:I7" si="2">IFERROR(H5/G5, "")</f>
        <v/>
      </c>
      <c r="J5" s="51" t="s">
        <v>62</v>
      </c>
      <c r="K5" s="44" t="s">
        <v>63</v>
      </c>
    </row>
    <row r="6" spans="1:11" ht="15.6">
      <c r="A6" s="30" t="str">
        <v>AZ: Lake Havasu City - City Hall</v>
      </c>
      <c r="B6" s="31" t="str">
        <v>AZ</v>
      </c>
      <c r="C6" s="26">
        <v>13676.5</v>
      </c>
      <c r="D6" s="14">
        <v>12116.49</v>
      </c>
      <c r="E6" s="14">
        <f t="shared" si="0"/>
        <v>1560.0100000000002</v>
      </c>
      <c r="F6" s="15">
        <f t="shared" ref="F6:F7" si="3">IFERROR(E6/D6, "")</f>
        <v>0.12875098316426625</v>
      </c>
      <c r="G6" s="16">
        <v>0</v>
      </c>
      <c r="H6" s="16">
        <f t="shared" si="1"/>
        <v>13676.5</v>
      </c>
      <c r="I6" s="17" t="str">
        <f t="shared" si="2"/>
        <v/>
      </c>
      <c r="J6" s="18" t="s">
        <v>62</v>
      </c>
      <c r="K6" s="18" t="s">
        <v>63</v>
      </c>
    </row>
    <row r="7" spans="1:11" ht="15.6">
      <c r="A7" s="32" t="str">
        <v>AZ: Lake Havasu City - Public Works</v>
      </c>
      <c r="B7" s="33" t="str">
        <v>AZ</v>
      </c>
      <c r="C7" s="12">
        <v>8892.16</v>
      </c>
      <c r="D7" s="20">
        <v>11045.37</v>
      </c>
      <c r="E7" s="20">
        <f t="shared" si="0"/>
        <v>-2153.2100000000009</v>
      </c>
      <c r="F7" s="21">
        <f t="shared" si="3"/>
        <v>-0.19494231519632216</v>
      </c>
      <c r="G7" s="22">
        <v>0</v>
      </c>
      <c r="H7" s="22">
        <f t="shared" si="1"/>
        <v>8892.16</v>
      </c>
      <c r="I7" s="21" t="str">
        <f t="shared" si="2"/>
        <v/>
      </c>
      <c r="J7" s="47" t="s">
        <v>64</v>
      </c>
      <c r="K7" s="44" t="s">
        <v>50</v>
      </c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K6" sqref="K6"/>
      <selection activeCell="A6" sqref="A6:A15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65</v>
      </c>
      <c r="E1" s="54"/>
      <c r="F1" s="54"/>
      <c r="G1" s="52" t="s">
        <v>66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85269.79</v>
      </c>
      <c r="D2" s="6">
        <f>SUM(D4:D93)</f>
        <v>9206.51</v>
      </c>
      <c r="E2" s="6">
        <f>C2-D2</f>
        <v>76063.28</v>
      </c>
      <c r="F2" s="7">
        <f>IFERROR(E2/D2, 0)</f>
        <v>8.2619016326490708</v>
      </c>
      <c r="G2" s="6">
        <f>SUM(G4:G93)</f>
        <v>0</v>
      </c>
      <c r="H2" s="8">
        <f>C2-G2</f>
        <v>85269.79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37157.25</v>
      </c>
      <c r="D4" s="14">
        <v>377.93</v>
      </c>
      <c r="E4" s="14">
        <f>IF(AND(ISNUMBER(C4),ISNUMBER(D4)), C4-D4, "")</f>
        <v>36779.32</v>
      </c>
      <c r="F4" s="15">
        <f>IFERROR(E4/D4, "")</f>
        <v>97.317810176487711</v>
      </c>
      <c r="G4" s="16">
        <v>0</v>
      </c>
      <c r="H4" s="16">
        <f>IF(AND(ISNUMBER(C4),ISNUMBER(G4)), C4-G4, "")</f>
        <v>37157.25</v>
      </c>
      <c r="I4" s="17" t="str">
        <f>IFERROR(H4/G4, "")</f>
        <v/>
      </c>
      <c r="J4" s="18" t="s">
        <v>67</v>
      </c>
      <c r="K4" s="18" t="s">
        <v>68</v>
      </c>
    </row>
    <row r="5" spans="1:11" ht="40.5" customHeight="1">
      <c r="A5" s="32" t="str">
        <v>AZ: Lake Havasu City - Aquatic Center</v>
      </c>
      <c r="B5" s="33" t="str">
        <v>AZ</v>
      </c>
      <c r="C5" s="12">
        <v>30583</v>
      </c>
      <c r="D5" s="20">
        <v>320.58</v>
      </c>
      <c r="E5" s="20">
        <f t="shared" ref="E5:E8" si="0">IF(AND(ISNUMBER(C5),ISNUMBER(D5)), C5-D5, "")</f>
        <v>30262.42</v>
      </c>
      <c r="F5" s="21">
        <f>IFERROR(E5/D5, "")</f>
        <v>94.398964377066562</v>
      </c>
      <c r="G5" s="22">
        <v>0</v>
      </c>
      <c r="H5" s="22">
        <f t="shared" ref="H5:H8" si="1">IF(AND(ISNUMBER(C5),ISNUMBER(G5)), C5-G5, "")</f>
        <v>30583</v>
      </c>
      <c r="I5" s="21" t="str">
        <f t="shared" ref="I5:I8" si="2">IFERROR(H5/G5, "")</f>
        <v/>
      </c>
      <c r="J5" s="48" t="s">
        <v>67</v>
      </c>
      <c r="K5" s="47" t="s">
        <v>63</v>
      </c>
    </row>
    <row r="6" spans="1:11" ht="28.9">
      <c r="A6" s="30" t="str">
        <v>AZ: Lake Havasu City - City Hall</v>
      </c>
      <c r="B6" s="31" t="str">
        <v>AZ</v>
      </c>
      <c r="C6" s="26">
        <v>10567</v>
      </c>
      <c r="D6" s="14">
        <v>117.85</v>
      </c>
      <c r="E6" s="14">
        <f t="shared" si="0"/>
        <v>10449.15</v>
      </c>
      <c r="F6" s="15">
        <f t="shared" ref="F6:F8" si="3">IFERROR(E6/D6, "")</f>
        <v>88.664828171404324</v>
      </c>
      <c r="G6" s="16">
        <v>0</v>
      </c>
      <c r="H6" s="16">
        <f t="shared" si="1"/>
        <v>10567</v>
      </c>
      <c r="I6" s="17" t="str">
        <f t="shared" si="2"/>
        <v/>
      </c>
      <c r="J6" s="18" t="s">
        <v>67</v>
      </c>
      <c r="K6" s="18" t="s">
        <v>63</v>
      </c>
    </row>
    <row r="7" spans="1:11" ht="15.6">
      <c r="A7" s="32" t="str">
        <v>AZ: Lake Havasu City - Public Works</v>
      </c>
      <c r="B7" s="33" t="str">
        <v>AZ</v>
      </c>
      <c r="C7" s="12">
        <v>6962.54</v>
      </c>
      <c r="D7" s="20">
        <v>8390.15</v>
      </c>
      <c r="E7" s="20">
        <f t="shared" si="0"/>
        <v>-1427.6099999999997</v>
      </c>
      <c r="F7" s="21">
        <f t="shared" si="3"/>
        <v>-0.17015309619017535</v>
      </c>
      <c r="G7" s="22">
        <v>0</v>
      </c>
      <c r="H7" s="22">
        <f t="shared" si="1"/>
        <v>6962.54</v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I12" sqref="I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LX International America, Inc.</v>
      </c>
      <c r="B1" s="53"/>
      <c r="C1" s="53"/>
      <c r="D1" s="54" t="s">
        <v>69</v>
      </c>
      <c r="E1" s="54"/>
      <c r="F1" s="54"/>
      <c r="G1" s="52" t="s">
        <v>70</v>
      </c>
      <c r="H1" s="52"/>
      <c r="I1" s="52"/>
      <c r="J1" s="5"/>
      <c r="K1" s="5"/>
    </row>
    <row r="2" spans="1:11" ht="19.5" customHeight="1">
      <c r="A2" s="55" t="s">
        <v>2</v>
      </c>
      <c r="B2" s="55"/>
      <c r="C2" s="6">
        <f>SUM(C4:C93)</f>
        <v>69993.320000000007</v>
      </c>
      <c r="D2" s="6">
        <f>SUM(D4:D93)</f>
        <v>6396.07</v>
      </c>
      <c r="E2" s="6">
        <f>C2-D2</f>
        <v>63597.250000000007</v>
      </c>
      <c r="F2" s="7">
        <f>IFERROR(E2/D2, 0)</f>
        <v>9.9431760440395447</v>
      </c>
      <c r="G2" s="6">
        <f>SUM(G4:G93)</f>
        <v>0</v>
      </c>
      <c r="H2" s="8">
        <f>C2-G2</f>
        <v>69993.320000000007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29279.75</v>
      </c>
      <c r="D4" s="14">
        <v>0</v>
      </c>
      <c r="E4" s="14">
        <f>IF(AND(ISNUMBER(C4),ISNUMBER(D4)), C4-D4, "")</f>
        <v>29279.75</v>
      </c>
      <c r="F4" s="15" t="str">
        <f>IFERROR(E4/D4, "")</f>
        <v/>
      </c>
      <c r="G4" s="16">
        <v>0</v>
      </c>
      <c r="H4" s="16">
        <f>IF(AND(ISNUMBER(C4),ISNUMBER(G4)), C4-G4, "")</f>
        <v>29279.75</v>
      </c>
      <c r="I4" s="17" t="str">
        <f>IFERROR(H4/G4, "")</f>
        <v/>
      </c>
      <c r="J4" s="18" t="s">
        <v>71</v>
      </c>
      <c r="K4" s="18" t="s">
        <v>72</v>
      </c>
    </row>
    <row r="5" spans="1:11" ht="30.75">
      <c r="A5" s="32" t="str">
        <v>AZ: Lake Havasu City - Aquatic Center</v>
      </c>
      <c r="B5" s="33" t="str">
        <v>AZ</v>
      </c>
      <c r="C5" s="12">
        <v>26281.5</v>
      </c>
      <c r="D5" s="20">
        <v>0</v>
      </c>
      <c r="E5" s="20">
        <f t="shared" ref="E5:E8" si="0">IF(AND(ISNUMBER(C5),ISNUMBER(D5)), C5-D5, "")</f>
        <v>26281.5</v>
      </c>
      <c r="F5" s="21" t="str">
        <f>IFERROR(E5/D5, "")</f>
        <v/>
      </c>
      <c r="G5" s="22">
        <v>0</v>
      </c>
      <c r="H5" s="22">
        <f t="shared" ref="H5:H8" si="1">IF(AND(ISNUMBER(C5),ISNUMBER(G5)), C5-G5, "")</f>
        <v>26281.5</v>
      </c>
      <c r="I5" s="21" t="str">
        <f t="shared" ref="I5:I8" si="2">IFERROR(H5/G5, "")</f>
        <v/>
      </c>
      <c r="J5" s="48" t="s">
        <v>71</v>
      </c>
      <c r="K5" s="47" t="s">
        <v>72</v>
      </c>
    </row>
    <row r="6" spans="1:11" ht="30.75">
      <c r="A6" s="30" t="str">
        <v>AZ: Lake Havasu City - City Hall</v>
      </c>
      <c r="B6" s="31" t="str">
        <v>AZ</v>
      </c>
      <c r="C6" s="26">
        <v>7708.75</v>
      </c>
      <c r="D6" s="14">
        <v>0</v>
      </c>
      <c r="E6" s="14">
        <f t="shared" si="0"/>
        <v>7708.75</v>
      </c>
      <c r="F6" s="15" t="str">
        <f t="shared" ref="F6:F8" si="3">IFERROR(E6/D6, "")</f>
        <v/>
      </c>
      <c r="G6" s="16">
        <v>0</v>
      </c>
      <c r="H6" s="16">
        <f t="shared" si="1"/>
        <v>7708.75</v>
      </c>
      <c r="I6" s="17" t="str">
        <f t="shared" si="2"/>
        <v/>
      </c>
      <c r="J6" s="18" t="s">
        <v>71</v>
      </c>
      <c r="K6" s="18" t="s">
        <v>72</v>
      </c>
    </row>
    <row r="7" spans="1:11" ht="15.6">
      <c r="A7" s="32" t="str">
        <v>AZ: Lake Havasu City - Public Works</v>
      </c>
      <c r="B7" s="33" t="str">
        <v>AZ</v>
      </c>
      <c r="C7" s="12">
        <v>6723.32</v>
      </c>
      <c r="D7" s="20">
        <v>6396.07</v>
      </c>
      <c r="E7" s="20">
        <f t="shared" si="0"/>
        <v>327.25</v>
      </c>
      <c r="F7" s="21">
        <f t="shared" si="3"/>
        <v>5.1164230535313091E-2</v>
      </c>
      <c r="G7" s="22">
        <v>0</v>
      </c>
      <c r="H7" s="22">
        <f t="shared" si="1"/>
        <v>6723.32</v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73</v>
      </c>
      <c r="B1" t="s">
        <v>74</v>
      </c>
    </row>
    <row r="3" spans="1:7" ht="13.15">
      <c r="A3" t="s">
        <v>75</v>
      </c>
      <c r="B3" t="s">
        <v>3</v>
      </c>
      <c r="C3" t="s">
        <v>4</v>
      </c>
      <c r="D3" t="s">
        <v>76</v>
      </c>
      <c r="E3" s="2" t="s">
        <v>77</v>
      </c>
    </row>
    <row r="4" spans="1:7" ht="14.45">
      <c r="A4" t="s">
        <v>78</v>
      </c>
      <c r="B4" t="s">
        <v>78</v>
      </c>
      <c r="C4" s="4" t="s">
        <v>79</v>
      </c>
      <c r="G4" s="3"/>
    </row>
    <row r="5" spans="1:7" ht="14.45">
      <c r="A5" t="s">
        <v>80</v>
      </c>
      <c r="B5" t="s">
        <v>80</v>
      </c>
      <c r="C5" s="4" t="s">
        <v>79</v>
      </c>
      <c r="G5" s="3"/>
    </row>
    <row r="6" spans="1:7" ht="14.45">
      <c r="A6" t="s">
        <v>81</v>
      </c>
      <c r="B6" t="s">
        <v>81</v>
      </c>
      <c r="C6" s="4" t="s">
        <v>79</v>
      </c>
      <c r="G6" s="3"/>
    </row>
    <row r="7" spans="1:7" ht="12.75" customHeight="1">
      <c r="A7" t="s">
        <v>82</v>
      </c>
      <c r="B7" t="s">
        <v>82</v>
      </c>
      <c r="C7" s="4" t="s">
        <v>79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AA4FE45B-7C68-4663-BD77-C68A607A4D8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2025-07-01T14:00:20Z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