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3A9B569C-773D-423F-A99D-871C6109A874}" xr6:coauthVersionLast="47" xr6:coauthVersionMax="47" xr10:uidLastSave="{00000000-0000-0000-0000-000000000000}"/>
  <bookViews>
    <workbookView xWindow="-98" yWindow="-98" windowWidth="21795" windowHeight="12975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33" l="1"/>
  <c r="I10" i="33" s="1"/>
  <c r="H11" i="33"/>
  <c r="I11" i="33" s="1"/>
  <c r="E10" i="33"/>
  <c r="E11" i="33"/>
  <c r="F10" i="33"/>
  <c r="F11" i="33"/>
  <c r="I7" i="18"/>
  <c r="I8" i="18"/>
  <c r="I9" i="18"/>
  <c r="I10" i="18"/>
  <c r="I11" i="18"/>
  <c r="H10" i="18"/>
  <c r="H11" i="18"/>
  <c r="G10" i="18"/>
  <c r="G11" i="18"/>
  <c r="F7" i="18"/>
  <c r="F8" i="18"/>
  <c r="F9" i="18"/>
  <c r="F10" i="18"/>
  <c r="F11" i="18"/>
  <c r="E10" i="18"/>
  <c r="E11" i="18"/>
  <c r="D10" i="18"/>
  <c r="D11" i="18"/>
  <c r="C10" i="18"/>
  <c r="C11" i="18"/>
  <c r="I7" i="1"/>
  <c r="I8" i="1"/>
  <c r="I9" i="1"/>
  <c r="I10" i="1"/>
  <c r="I11" i="1"/>
  <c r="H10" i="1"/>
  <c r="H11" i="1"/>
  <c r="G10" i="1"/>
  <c r="G11" i="1"/>
  <c r="F7" i="1"/>
  <c r="F8" i="1"/>
  <c r="F9" i="1"/>
  <c r="F10" i="1"/>
  <c r="F11" i="1"/>
  <c r="E10" i="1"/>
  <c r="E11" i="1"/>
  <c r="D10" i="1"/>
  <c r="D11" i="1"/>
  <c r="C10" i="1"/>
  <c r="C11" i="1"/>
  <c r="D8" i="1"/>
  <c r="E8" i="1"/>
  <c r="G8" i="1"/>
  <c r="H8" i="1"/>
  <c r="D9" i="1"/>
  <c r="E9" i="1"/>
  <c r="G9" i="1"/>
  <c r="H9" i="1"/>
  <c r="C10" i="30"/>
  <c r="C10" i="34" s="1"/>
  <c r="C11" i="30"/>
  <c r="C11" i="34" s="1"/>
  <c r="I7" i="29"/>
  <c r="I8" i="29"/>
  <c r="I9" i="29"/>
  <c r="I10" i="29"/>
  <c r="I11" i="29"/>
  <c r="F7" i="29"/>
  <c r="F8" i="29"/>
  <c r="F9" i="29"/>
  <c r="F10" i="29"/>
  <c r="F11" i="29"/>
  <c r="E7" i="29"/>
  <c r="E8" i="29"/>
  <c r="E9" i="29"/>
  <c r="E10" i="29"/>
  <c r="E11" i="29"/>
  <c r="D7" i="29"/>
  <c r="D8" i="29"/>
  <c r="D9" i="29"/>
  <c r="D10" i="29"/>
  <c r="D11" i="29"/>
  <c r="C7" i="29"/>
  <c r="C8" i="29"/>
  <c r="C9" i="29"/>
  <c r="C10" i="29"/>
  <c r="C11" i="29"/>
  <c r="F5" i="29"/>
  <c r="H7" i="29"/>
  <c r="H8" i="29"/>
  <c r="H9" i="29"/>
  <c r="H10" i="29"/>
  <c r="H11" i="29"/>
  <c r="G7" i="29"/>
  <c r="G8" i="29"/>
  <c r="G9" i="29"/>
  <c r="G10" i="29"/>
  <c r="G11" i="29"/>
  <c r="H8" i="32"/>
  <c r="E8" i="32"/>
  <c r="H7" i="32"/>
  <c r="E7" i="32"/>
  <c r="H6" i="32"/>
  <c r="E6" i="32"/>
  <c r="H5" i="32"/>
  <c r="E5" i="32"/>
  <c r="H4" i="32"/>
  <c r="E4" i="32"/>
  <c r="H10" i="32"/>
  <c r="E10" i="32"/>
  <c r="H9" i="32"/>
  <c r="E9" i="32"/>
  <c r="H11" i="30"/>
  <c r="H11" i="34" s="1"/>
  <c r="D10" i="30"/>
  <c r="D11" i="30"/>
  <c r="G10" i="30"/>
  <c r="G10" i="34" s="1"/>
  <c r="G11" i="30"/>
  <c r="G11" i="34" s="1"/>
  <c r="I11" i="34" s="1"/>
  <c r="F10" i="32"/>
  <c r="C8" i="1"/>
  <c r="C9" i="1"/>
  <c r="C9" i="18"/>
  <c r="D9" i="18"/>
  <c r="E9" i="18"/>
  <c r="G9" i="18"/>
  <c r="H9" i="18"/>
  <c r="C7" i="18"/>
  <c r="D7" i="18"/>
  <c r="E7" i="18"/>
  <c r="G7" i="18"/>
  <c r="H7" i="18"/>
  <c r="C8" i="18"/>
  <c r="D8" i="18"/>
  <c r="E8" i="18"/>
  <c r="G8" i="18"/>
  <c r="H8" i="18"/>
  <c r="E8" i="72"/>
  <c r="F8" i="72"/>
  <c r="H8" i="72"/>
  <c r="I8" i="72"/>
  <c r="E9" i="72"/>
  <c r="F9" i="72"/>
  <c r="H9" i="72"/>
  <c r="I9" i="72"/>
  <c r="E8" i="3"/>
  <c r="F8" i="3"/>
  <c r="H8" i="3"/>
  <c r="I8" i="3"/>
  <c r="E9" i="3"/>
  <c r="F9" i="3"/>
  <c r="H9" i="3"/>
  <c r="I9" i="3"/>
  <c r="E8" i="4"/>
  <c r="F8" i="4"/>
  <c r="H8" i="4"/>
  <c r="I8" i="4"/>
  <c r="E9" i="4"/>
  <c r="F9" i="4"/>
  <c r="H9" i="4"/>
  <c r="I9" i="4"/>
  <c r="E8" i="21"/>
  <c r="F8" i="21"/>
  <c r="H8" i="21"/>
  <c r="I8" i="21"/>
  <c r="E9" i="21"/>
  <c r="F9" i="21"/>
  <c r="H9" i="21"/>
  <c r="I9" i="21"/>
  <c r="E8" i="20"/>
  <c r="F8" i="20"/>
  <c r="H8" i="20"/>
  <c r="I8" i="20"/>
  <c r="E9" i="20"/>
  <c r="F9" i="20"/>
  <c r="H9" i="20"/>
  <c r="I9" i="20"/>
  <c r="E8" i="19"/>
  <c r="F8" i="19"/>
  <c r="H8" i="19"/>
  <c r="I8" i="19"/>
  <c r="E9" i="19"/>
  <c r="F9" i="19"/>
  <c r="H9" i="19"/>
  <c r="I9" i="19"/>
  <c r="E8" i="26"/>
  <c r="F8" i="26"/>
  <c r="H8" i="26"/>
  <c r="I8" i="26"/>
  <c r="E9" i="26"/>
  <c r="F9" i="26"/>
  <c r="H9" i="26"/>
  <c r="I9" i="26"/>
  <c r="E8" i="27"/>
  <c r="F8" i="27"/>
  <c r="H8" i="27"/>
  <c r="I8" i="27"/>
  <c r="E9" i="27"/>
  <c r="F9" i="27"/>
  <c r="H9" i="27"/>
  <c r="I9" i="27"/>
  <c r="F8" i="32"/>
  <c r="I8" i="32"/>
  <c r="F9" i="32"/>
  <c r="I9" i="32"/>
  <c r="E8" i="33"/>
  <c r="F8" i="33"/>
  <c r="H8" i="33"/>
  <c r="I8" i="33"/>
  <c r="E9" i="33"/>
  <c r="F9" i="33" s="1"/>
  <c r="H9" i="33"/>
  <c r="G5" i="30"/>
  <c r="G5" i="34" s="1"/>
  <c r="G6" i="30"/>
  <c r="G6" i="34" s="1"/>
  <c r="G7" i="30"/>
  <c r="G8" i="30"/>
  <c r="G8" i="34" s="1"/>
  <c r="G9" i="30"/>
  <c r="G9" i="34" s="1"/>
  <c r="G4" i="29"/>
  <c r="C8" i="30"/>
  <c r="C8" i="34" s="1"/>
  <c r="D8" i="30"/>
  <c r="D8" i="34" s="1"/>
  <c r="H8" i="30"/>
  <c r="H8" i="34" s="1"/>
  <c r="C9" i="30"/>
  <c r="C9" i="34" s="1"/>
  <c r="D9" i="30"/>
  <c r="D9" i="34" s="1"/>
  <c r="E9" i="30"/>
  <c r="F9" i="30" s="1"/>
  <c r="E8" i="28"/>
  <c r="F8" i="28"/>
  <c r="H8" i="28"/>
  <c r="I8" i="28"/>
  <c r="E9" i="28"/>
  <c r="F9" i="28"/>
  <c r="H9" i="28"/>
  <c r="I9" i="28"/>
  <c r="I8" i="31"/>
  <c r="H7" i="31"/>
  <c r="I7" i="31" s="1"/>
  <c r="H8" i="31"/>
  <c r="H9" i="31"/>
  <c r="I9" i="31" s="1"/>
  <c r="F7" i="31"/>
  <c r="F8" i="31"/>
  <c r="E7" i="31"/>
  <c r="E8" i="31"/>
  <c r="E9" i="31"/>
  <c r="F9" i="31" s="1"/>
  <c r="E7" i="33"/>
  <c r="F7" i="33"/>
  <c r="H7" i="33"/>
  <c r="H7" i="30" s="1"/>
  <c r="H7" i="34" s="1"/>
  <c r="I7" i="33"/>
  <c r="F7" i="32"/>
  <c r="I7" i="32"/>
  <c r="E7" i="28"/>
  <c r="F7" i="28"/>
  <c r="H7" i="28"/>
  <c r="I7" i="28"/>
  <c r="C7" i="30"/>
  <c r="D7" i="30"/>
  <c r="C7" i="34"/>
  <c r="D7" i="34"/>
  <c r="C7" i="1"/>
  <c r="D7" i="1"/>
  <c r="E7" i="1"/>
  <c r="G7" i="1"/>
  <c r="H7" i="1"/>
  <c r="H7" i="27"/>
  <c r="I7" i="27"/>
  <c r="E7" i="27"/>
  <c r="F7" i="27"/>
  <c r="E7" i="21"/>
  <c r="F7" i="21"/>
  <c r="H7" i="21"/>
  <c r="I7" i="21"/>
  <c r="E7" i="4"/>
  <c r="F7" i="4"/>
  <c r="H7" i="4"/>
  <c r="I7" i="4"/>
  <c r="E7" i="3"/>
  <c r="F7" i="3"/>
  <c r="H7" i="3"/>
  <c r="I7" i="3"/>
  <c r="E7" i="72"/>
  <c r="F7" i="72"/>
  <c r="H7" i="72"/>
  <c r="I7" i="72"/>
  <c r="E7" i="20"/>
  <c r="F7" i="20"/>
  <c r="H7" i="20"/>
  <c r="I7" i="20"/>
  <c r="E7" i="19"/>
  <c r="F7" i="19"/>
  <c r="H7" i="19"/>
  <c r="I7" i="19"/>
  <c r="E7" i="26"/>
  <c r="F7" i="26"/>
  <c r="H7" i="26"/>
  <c r="G5" i="29"/>
  <c r="G6" i="29"/>
  <c r="D4" i="29"/>
  <c r="G6" i="18"/>
  <c r="G5" i="18"/>
  <c r="G4" i="18"/>
  <c r="E6" i="72"/>
  <c r="F6" i="72"/>
  <c r="E5" i="72"/>
  <c r="F5" i="72"/>
  <c r="E4" i="72"/>
  <c r="F4" i="72"/>
  <c r="B4" i="33" a="1"/>
  <c r="B4" i="33"/>
  <c r="A4" i="33" a="1"/>
  <c r="A4" i="33"/>
  <c r="B4" i="32" a="1"/>
  <c r="B4" i="32"/>
  <c r="A4" i="32" a="1"/>
  <c r="A4" i="32"/>
  <c r="B4" i="31" a="1"/>
  <c r="B4" i="31"/>
  <c r="A4" i="31" a="1"/>
  <c r="A4" i="3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B4" i="26" a="1"/>
  <c r="B4" i="26"/>
  <c r="A4" i="26" a="1"/>
  <c r="A4" i="26"/>
  <c r="A4" i="72" a="1"/>
  <c r="A4" i="72"/>
  <c r="A4" i="30" a="1"/>
  <c r="A4" i="30"/>
  <c r="B4" i="72" a="1"/>
  <c r="B4" i="72"/>
  <c r="E4" i="3"/>
  <c r="F4" i="3"/>
  <c r="H4" i="3"/>
  <c r="I4" i="3"/>
  <c r="E5" i="3"/>
  <c r="F5" i="3"/>
  <c r="H5" i="3"/>
  <c r="I5" i="3"/>
  <c r="E6" i="3"/>
  <c r="F6" i="3"/>
  <c r="H6" i="3"/>
  <c r="I6" i="3"/>
  <c r="G6" i="1"/>
  <c r="G5" i="1"/>
  <c r="G4" i="1"/>
  <c r="B4" i="34" a="1"/>
  <c r="B4" i="34"/>
  <c r="A4" i="34" a="1"/>
  <c r="A4" i="34"/>
  <c r="A1" i="34" a="1"/>
  <c r="A1" i="34"/>
  <c r="D6" i="30"/>
  <c r="C6" i="30"/>
  <c r="E6" i="30" s="1"/>
  <c r="F6" i="30" s="1"/>
  <c r="D5" i="30"/>
  <c r="C5" i="30"/>
  <c r="D4" i="30"/>
  <c r="C4" i="30"/>
  <c r="E4" i="30"/>
  <c r="F4" i="30"/>
  <c r="D6" i="29"/>
  <c r="D6" i="34"/>
  <c r="C6" i="29"/>
  <c r="D5" i="29"/>
  <c r="D5" i="34"/>
  <c r="C5" i="29"/>
  <c r="C4" i="29"/>
  <c r="D6" i="18"/>
  <c r="C6" i="18"/>
  <c r="D5" i="18"/>
  <c r="C5" i="18"/>
  <c r="E5" i="18"/>
  <c r="F5" i="18"/>
  <c r="D4" i="18"/>
  <c r="C4" i="18"/>
  <c r="B4" i="30" a="1"/>
  <c r="B4" i="30"/>
  <c r="A1" i="30" a="1"/>
  <c r="A1" i="30"/>
  <c r="B4" i="29" a="1"/>
  <c r="B4" i="29"/>
  <c r="A4" i="29" a="1"/>
  <c r="A4" i="29"/>
  <c r="A1" i="29" a="1"/>
  <c r="A1" i="29"/>
  <c r="B4" i="18" a="1"/>
  <c r="B4" i="18"/>
  <c r="A4" i="18" a="1"/>
  <c r="A4" i="18"/>
  <c r="A1" i="18" a="1"/>
  <c r="A1" i="18"/>
  <c r="C6" i="1"/>
  <c r="C5" i="1"/>
  <c r="C4" i="1"/>
  <c r="D6" i="1"/>
  <c r="D5" i="1"/>
  <c r="D4" i="1"/>
  <c r="B4" i="1" a="1"/>
  <c r="B4" i="1"/>
  <c r="A4" i="1" a="1"/>
  <c r="A4" i="1"/>
  <c r="A1" i="1" a="1"/>
  <c r="A1" i="1"/>
  <c r="H6" i="33"/>
  <c r="I6" i="33" s="1"/>
  <c r="E6" i="33"/>
  <c r="F6" i="33"/>
  <c r="H5" i="33"/>
  <c r="I5" i="33" s="1"/>
  <c r="E5" i="33"/>
  <c r="F5" i="33"/>
  <c r="E4" i="33"/>
  <c r="F4" i="33"/>
  <c r="D2" i="33"/>
  <c r="C2" i="33"/>
  <c r="E2" i="33" s="1"/>
  <c r="F2" i="33" s="1"/>
  <c r="A1" i="33" a="1"/>
  <c r="A1" i="33"/>
  <c r="I6" i="32"/>
  <c r="F6" i="32"/>
  <c r="H5" i="30"/>
  <c r="I5" i="32"/>
  <c r="F5" i="32"/>
  <c r="I4" i="32"/>
  <c r="F4" i="32"/>
  <c r="G2" i="32"/>
  <c r="D2" i="32"/>
  <c r="C2" i="32"/>
  <c r="J2" i="32" s="1"/>
  <c r="A1" i="32" a="1"/>
  <c r="A1" i="32"/>
  <c r="H6" i="31"/>
  <c r="I6" i="31"/>
  <c r="E6" i="31"/>
  <c r="F6" i="31"/>
  <c r="H5" i="31"/>
  <c r="I5" i="31"/>
  <c r="E5" i="31"/>
  <c r="F5" i="31"/>
  <c r="H4" i="31"/>
  <c r="I4" i="31"/>
  <c r="E4" i="31"/>
  <c r="F4" i="31"/>
  <c r="G2" i="31"/>
  <c r="D2" i="31"/>
  <c r="C2" i="31"/>
  <c r="A1" i="31" a="1"/>
  <c r="A1" i="31"/>
  <c r="H6" i="28"/>
  <c r="I6" i="28"/>
  <c r="E6" i="28"/>
  <c r="F6" i="28"/>
  <c r="H5" i="28"/>
  <c r="I5" i="28"/>
  <c r="E5" i="28"/>
  <c r="F5" i="28"/>
  <c r="H4" i="28"/>
  <c r="I4" i="28"/>
  <c r="E4" i="28"/>
  <c r="F4" i="28"/>
  <c r="B4" i="28" a="1"/>
  <c r="B4" i="28"/>
  <c r="A4" i="28" a="1"/>
  <c r="A4" i="28"/>
  <c r="G2" i="28"/>
  <c r="D2" i="28"/>
  <c r="C2" i="28"/>
  <c r="A1" i="28" a="1"/>
  <c r="A1" i="28"/>
  <c r="H6" i="27"/>
  <c r="I6" i="27"/>
  <c r="E6" i="27"/>
  <c r="F6" i="27"/>
  <c r="H5" i="27"/>
  <c r="I5" i="27"/>
  <c r="E5" i="27"/>
  <c r="F5" i="27"/>
  <c r="H4" i="27"/>
  <c r="I4" i="27"/>
  <c r="E4" i="27"/>
  <c r="F4" i="27"/>
  <c r="G2" i="27"/>
  <c r="D2" i="27"/>
  <c r="C2" i="27"/>
  <c r="A1" i="27" a="1"/>
  <c r="A1" i="27"/>
  <c r="H6" i="26"/>
  <c r="E6" i="26"/>
  <c r="F6" i="26"/>
  <c r="H5" i="26"/>
  <c r="I5" i="26"/>
  <c r="E5" i="26"/>
  <c r="F5" i="26"/>
  <c r="H4" i="26"/>
  <c r="I4" i="26"/>
  <c r="E4" i="26"/>
  <c r="F4" i="26"/>
  <c r="G2" i="26"/>
  <c r="D2" i="26"/>
  <c r="C2" i="26"/>
  <c r="A1" i="26" a="1"/>
  <c r="A1" i="26"/>
  <c r="H6" i="19"/>
  <c r="I6" i="19"/>
  <c r="E6" i="19"/>
  <c r="F6" i="19"/>
  <c r="H5" i="19"/>
  <c r="I5" i="19"/>
  <c r="E5" i="19"/>
  <c r="F5" i="19"/>
  <c r="H4" i="19"/>
  <c r="I4" i="19"/>
  <c r="E4" i="19"/>
  <c r="F4" i="19"/>
  <c r="G2" i="19"/>
  <c r="D2" i="19"/>
  <c r="C2" i="19"/>
  <c r="A1" i="19" a="1"/>
  <c r="A1" i="19"/>
  <c r="H6" i="20"/>
  <c r="I6" i="20"/>
  <c r="E6" i="20"/>
  <c r="F6" i="20"/>
  <c r="H5" i="20"/>
  <c r="I5" i="20"/>
  <c r="E5" i="20"/>
  <c r="F5" i="20"/>
  <c r="H4" i="20"/>
  <c r="I4" i="20"/>
  <c r="E4" i="20"/>
  <c r="F4" i="20"/>
  <c r="G2" i="20"/>
  <c r="D2" i="20"/>
  <c r="C2" i="20"/>
  <c r="A1" i="20" a="1"/>
  <c r="A1" i="20"/>
  <c r="H6" i="21"/>
  <c r="I6" i="21"/>
  <c r="E6" i="21"/>
  <c r="F6" i="21"/>
  <c r="H5" i="21"/>
  <c r="I5" i="21"/>
  <c r="E5" i="21"/>
  <c r="F5" i="21"/>
  <c r="H4" i="21"/>
  <c r="I4" i="21"/>
  <c r="E4" i="21"/>
  <c r="F4" i="21"/>
  <c r="G2" i="21"/>
  <c r="D2" i="21"/>
  <c r="C2" i="21"/>
  <c r="A1" i="21" a="1"/>
  <c r="A1" i="21"/>
  <c r="H6" i="4"/>
  <c r="I6" i="4"/>
  <c r="E6" i="4"/>
  <c r="F6" i="4"/>
  <c r="H5" i="4"/>
  <c r="I5" i="4"/>
  <c r="E5" i="4"/>
  <c r="F5" i="4"/>
  <c r="H4" i="4"/>
  <c r="I4" i="4"/>
  <c r="E4" i="4"/>
  <c r="F4" i="4"/>
  <c r="G2" i="4"/>
  <c r="D2" i="4"/>
  <c r="C2" i="4"/>
  <c r="A1" i="4" a="1"/>
  <c r="A1" i="4"/>
  <c r="G2" i="3"/>
  <c r="D2" i="3"/>
  <c r="C2" i="3"/>
  <c r="J2" i="3"/>
  <c r="A1" i="3" a="1"/>
  <c r="A1" i="3"/>
  <c r="H6" i="72"/>
  <c r="I6" i="72"/>
  <c r="H5" i="72"/>
  <c r="I5" i="72"/>
  <c r="H4" i="72"/>
  <c r="I4" i="72"/>
  <c r="G2" i="72"/>
  <c r="D2" i="72"/>
  <c r="C2" i="72"/>
  <c r="J2" i="72"/>
  <c r="A1" i="72" a="1"/>
  <c r="A1" i="72"/>
  <c r="E7" i="34"/>
  <c r="F7" i="34" s="1"/>
  <c r="I7" i="26"/>
  <c r="E7" i="30"/>
  <c r="F7" i="30" s="1"/>
  <c r="G2" i="29"/>
  <c r="H6" i="29"/>
  <c r="E5" i="29"/>
  <c r="D2" i="29"/>
  <c r="C5" i="34"/>
  <c r="E6" i="18"/>
  <c r="F6" i="18"/>
  <c r="D2" i="18"/>
  <c r="G2" i="18"/>
  <c r="E4" i="18"/>
  <c r="F4" i="18"/>
  <c r="C4" i="34"/>
  <c r="E6" i="29"/>
  <c r="F6" i="29"/>
  <c r="D4" i="34"/>
  <c r="E5" i="30"/>
  <c r="F5" i="30" s="1"/>
  <c r="H2" i="31"/>
  <c r="I2" i="31"/>
  <c r="J2" i="31"/>
  <c r="H2" i="28"/>
  <c r="I2" i="28"/>
  <c r="J2" i="28"/>
  <c r="E2" i="28"/>
  <c r="F2" i="28"/>
  <c r="H2" i="27"/>
  <c r="I2" i="27"/>
  <c r="J2" i="27"/>
  <c r="H2" i="26"/>
  <c r="I2" i="26"/>
  <c r="J2" i="26"/>
  <c r="H2" i="19"/>
  <c r="I2" i="19"/>
  <c r="J2" i="19"/>
  <c r="E2" i="20"/>
  <c r="F2" i="20"/>
  <c r="J2" i="20"/>
  <c r="H2" i="20"/>
  <c r="I2" i="20"/>
  <c r="H2" i="21"/>
  <c r="I2" i="21"/>
  <c r="J2" i="21"/>
  <c r="H2" i="4"/>
  <c r="I2" i="4"/>
  <c r="J2" i="4"/>
  <c r="H2" i="3"/>
  <c r="I2" i="3"/>
  <c r="E5" i="34"/>
  <c r="F5" i="34"/>
  <c r="G2" i="1"/>
  <c r="E5" i="1"/>
  <c r="F5" i="1"/>
  <c r="E6" i="1"/>
  <c r="F6" i="1"/>
  <c r="I6" i="26"/>
  <c r="H4" i="29"/>
  <c r="I4" i="29"/>
  <c r="H5" i="29"/>
  <c r="H6" i="18"/>
  <c r="I6" i="18"/>
  <c r="H4" i="18"/>
  <c r="I4" i="18"/>
  <c r="H5" i="18"/>
  <c r="I5" i="18"/>
  <c r="C2" i="29"/>
  <c r="E4" i="29"/>
  <c r="F4" i="29"/>
  <c r="C2" i="18"/>
  <c r="H4" i="1"/>
  <c r="H5" i="1"/>
  <c r="I5" i="1"/>
  <c r="H6" i="1"/>
  <c r="I6" i="1"/>
  <c r="C2" i="1"/>
  <c r="E2" i="3"/>
  <c r="F2" i="3"/>
  <c r="E4" i="1"/>
  <c r="F4" i="1"/>
  <c r="D2" i="1"/>
  <c r="E2" i="31"/>
  <c r="F2" i="31"/>
  <c r="E2" i="27"/>
  <c r="F2" i="27"/>
  <c r="E2" i="26"/>
  <c r="F2" i="26"/>
  <c r="E2" i="19"/>
  <c r="F2" i="19"/>
  <c r="E2" i="21"/>
  <c r="F2" i="21"/>
  <c r="E2" i="4"/>
  <c r="F2" i="4"/>
  <c r="H2" i="72"/>
  <c r="I5" i="29"/>
  <c r="I6" i="29"/>
  <c r="E2" i="29"/>
  <c r="F2" i="29"/>
  <c r="H2" i="1"/>
  <c r="I2" i="1"/>
  <c r="I4" i="1"/>
  <c r="H2" i="29"/>
  <c r="I2" i="29"/>
  <c r="H2" i="18"/>
  <c r="I2" i="18"/>
  <c r="E2" i="18"/>
  <c r="F2" i="18"/>
  <c r="E2" i="1"/>
  <c r="F2" i="1"/>
  <c r="I2" i="72"/>
  <c r="E2" i="72"/>
  <c r="F2" i="72"/>
  <c r="H4" i="33"/>
  <c r="H4" i="30" s="1"/>
  <c r="I4" i="33"/>
  <c r="G2" i="33"/>
  <c r="G4" i="30"/>
  <c r="G4" i="34"/>
  <c r="H9" i="30" l="1"/>
  <c r="I9" i="33"/>
  <c r="E10" i="30"/>
  <c r="F10" i="30" s="1"/>
  <c r="D10" i="34"/>
  <c r="E10" i="34"/>
  <c r="F10" i="34" s="1"/>
  <c r="E11" i="30"/>
  <c r="F11" i="30" s="1"/>
  <c r="D11" i="34"/>
  <c r="E11" i="34"/>
  <c r="F11" i="34" s="1"/>
  <c r="J2" i="33"/>
  <c r="E8" i="30"/>
  <c r="F8" i="30" s="1"/>
  <c r="D2" i="30"/>
  <c r="H2" i="33"/>
  <c r="I2" i="33" s="1"/>
  <c r="I11" i="30"/>
  <c r="H9" i="34"/>
  <c r="I9" i="34" s="1"/>
  <c r="I9" i="30"/>
  <c r="I7" i="30"/>
  <c r="I10" i="32"/>
  <c r="H10" i="30"/>
  <c r="G7" i="34"/>
  <c r="I7" i="34" s="1"/>
  <c r="H6" i="30"/>
  <c r="C6" i="34"/>
  <c r="E6" i="34" s="1"/>
  <c r="F6" i="34" s="1"/>
  <c r="H5" i="34"/>
  <c r="I5" i="34" s="1"/>
  <c r="I5" i="30"/>
  <c r="E4" i="34"/>
  <c r="F4" i="34" s="1"/>
  <c r="D2" i="34"/>
  <c r="C2" i="30"/>
  <c r="E2" i="30" s="1"/>
  <c r="F2" i="30" s="1"/>
  <c r="I8" i="30"/>
  <c r="G2" i="30"/>
  <c r="I8" i="34"/>
  <c r="H2" i="32"/>
  <c r="I2" i="32" s="1"/>
  <c r="E2" i="32"/>
  <c r="F2" i="32" s="1"/>
  <c r="E9" i="34"/>
  <c r="F9" i="34" s="1"/>
  <c r="E8" i="34"/>
  <c r="F8" i="34" s="1"/>
  <c r="H4" i="34"/>
  <c r="I4" i="34" s="1"/>
  <c r="I4" i="30"/>
  <c r="I10" i="30" l="1"/>
  <c r="H10" i="34"/>
  <c r="I10" i="34" s="1"/>
  <c r="G2" i="34"/>
  <c r="H6" i="34"/>
  <c r="I6" i="34" s="1"/>
  <c r="I6" i="30"/>
  <c r="C2" i="34"/>
  <c r="H2" i="30"/>
  <c r="I2" i="30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<sst xmlns="http://schemas.openxmlformats.org/spreadsheetml/2006/main" count="330" uniqueCount="127">
  <si>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</si>
  <si>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</si>
  <si>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</si>
  <si>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</si>
  <si>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</si>
  <si>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</si>
  <si>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</si>
  <si>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</si>
  <si>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</si>
  <si>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</si>
  <si>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</si>
  <si>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</si>
  <si>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</si>
  <si>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</si>
  <si>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</si>
  <si>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</si>
  <si>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</si>
  <si>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</si>
  <si>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</si>
  <si>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</si>
  <si>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</si>
  <si>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</si>
  <si>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1.Site tripped offline on 01/10/2024 at 01:31 &amp; back online at 08:45</t>
  </si>
  <si>
    <t>1.SR080111</t>
  </si>
  <si>
    <t xml:space="preserve">1. Site tripped offline on 01/09/2024 at 14:30 &amp; back online on 01/12/2024 at 17:00. 
2. Inverter 2 tripped offline on 01/24/2024 at 14:00 &amp; back online on 01/25 at 10:00 </t>
  </si>
  <si>
    <t>1. SR080100
2. SR080446</t>
  </si>
  <si>
    <t>1. Site came back online from 02/29/2024</t>
  </si>
  <si>
    <t>1. SR079012</t>
  </si>
  <si>
    <t>February Actual v. Expected</t>
  </si>
  <si>
    <t>February Actual v. Forecasted</t>
  </si>
  <si>
    <t>1. Site tripped offline 2 times on 02/27 due to battery &amp; SEL relay settings and got autoreclosed on same day.</t>
  </si>
  <si>
    <t>1. 	SR080479</t>
  </si>
  <si>
    <t>1. Site is underproducing due to broken modules. 23 modules being replaced</t>
  </si>
  <si>
    <t>1. 	SR079138,SR079012</t>
  </si>
  <si>
    <t>March Actual v. Expected</t>
  </si>
  <si>
    <t>March Actual v. Forecasted</t>
  </si>
  <si>
    <t xml:space="preserve">1. Site was offline from 07:00 to 15:15 on 03/20/2024. 
</t>
  </si>
  <si>
    <t>1.SR082491</t>
  </si>
  <si>
    <t xml:space="preserve">1. inverters 22,23,24,25,26,27, and 28 are underproducing from 12 pm to the end of the day on 03/11, 03/12 , 03/13, &amp; continued from 03/24 throughout the month. </t>
  </si>
  <si>
    <t>1.SR081903</t>
  </si>
  <si>
    <t>April Actual v. Expected</t>
  </si>
  <si>
    <t>April Actual v. Forecasted</t>
  </si>
  <si>
    <t>1. Site tripped offline at 09:50 on 04/11 &amp; back online 04/12. 
2.Inverters 22,23,24,25,26,27, and 28 are underproducing from 12 pm most of the days till 04/16</t>
  </si>
  <si>
    <t>1.SR083325
2.SR081903</t>
  </si>
  <si>
    <t>May Actual v. Expected</t>
  </si>
  <si>
    <t>May Actual v. Forecasted</t>
  </si>
  <si>
    <t>1. Site tripped offline at 06:15AM on 05/25 and back online on 05/28 at 08:40 AM.</t>
  </si>
  <si>
    <t>1.SR085147</t>
  </si>
  <si>
    <t>June Actual v. Expected</t>
  </si>
  <si>
    <t>June Actual v. Forecasted</t>
  </si>
  <si>
    <t>1. Site tripped offline from 22:45 on 06/05 and back online at 08:30 on 06/06
2. Inverters 2,20,21 are underperforming compared to its peers 10 kW each and resolved on 06/27.</t>
  </si>
  <si>
    <t>1. SR085608
2. 	SR086331</t>
  </si>
  <si>
    <t>1. Inverter 23 is started to overheat and underperforming 40kW from 10:00AM on 06/17 and resolved on 06/18. 
2. Site tripped offline from 02:00AM on 06/24 and back online at 07:30 on 06/25</t>
  </si>
  <si>
    <t>1. SR086327
2. SR086819</t>
  </si>
  <si>
    <t>July Actual v. Expected</t>
  </si>
  <si>
    <t>July Actual v. Forecasted</t>
  </si>
  <si>
    <t>1.Inverter  8 has started to derate by approximately 25 kW and also inverter having some rapid tripping events during high irradiance  from 07/08.
2.Site tripped offline at 15:00PM on 07/15 and back online at 16:45PM on 07/15.</t>
  </si>
  <si>
    <t>1.SR087484
2.SR087726</t>
  </si>
  <si>
    <t>1.Inverter 1 offline from 07/02 and back online on 07/25.</t>
  </si>
  <si>
    <t>1.SR087306,SR088250</t>
  </si>
  <si>
    <t>August Actual v. Expected</t>
  </si>
  <si>
    <t>August Actual v. Forecasted</t>
  </si>
  <si>
    <t>1. Site tripped offline at 15:30 on 08/17 and was re-energized at 09:00 on 08/18. Site was offline from morning and back online at 12:00PM on 08/19 
2. Inverters started late for production throughout the month. Technician updated the ISO parameters and resolved the issue on 08/28</t>
  </si>
  <si>
    <t>1. SR089200
2. SR089393</t>
  </si>
  <si>
    <t xml:space="preserve">1. Inverter 24 had tripping event on 08/12,08/15 and was offline from 08/17. Technician replaced connector and inverter is back online at 08:30 on 08/22 </t>
  </si>
  <si>
    <t>1. 	SR088921</t>
  </si>
  <si>
    <t>September Actual v. Expected</t>
  </si>
  <si>
    <t>September Actual v. Forecasted</t>
  </si>
  <si>
    <t>1.Inverters 1,5 are offline from 9/20 and back online on 9/21  and also inveretrs 3,4,6,7 are offline from 9/20 back online on 9/22</t>
  </si>
  <si>
    <t>1.SR090992</t>
  </si>
  <si>
    <t>1.Inverter 17 tripped offline at 07:30 on 9/7 and backonline at 12:30 on 9/20
2.Inverter 15 derating by 30 kW. 
   Inverter 16 derating by 40 kW.
   Inverter 19 derating by 25 kW. 
   Inverter 20 derating by 5 kW.</t>
  </si>
  <si>
    <t>1.SR090012
2. 	SR090011</t>
  </si>
  <si>
    <t>October Actual v. Expected</t>
  </si>
  <si>
    <t>October Actual v. Forecasted</t>
  </si>
  <si>
    <t>1. Relay stopped communicating from 05/23</t>
  </si>
  <si>
    <t>1.SR087895</t>
  </si>
  <si>
    <t>1.Inverter 22 tripped offline on 10/18 and back online at 13:15 on 10/21
2. Site was kept offline by UNSE on 10/28 at 13:45 and back online at 12:15 on 10/29</t>
  </si>
  <si>
    <t>1.SR092300
2.SR091553</t>
  </si>
  <si>
    <t>1. Inverter 24 is offline from 7:00AM to 15:15 on 10/05 and inverter again offline from 7:00AM to 14:30 on 10/07.
2.Site was offline from 10/10 at 14:00 and back online on 10/11 at 12:15 and again site tripped offline from 10/12 at 06:00 and back online on 10/13 at 14:45
3.Inverter 15 derating by 30 kW. 
   Inverter 16 derating by 40 kW.
   Inverter 19 derating by 25 kW. 
   Inverter 20 derating by 5 kW.</t>
  </si>
  <si>
    <t>1. SR091811
2.SR092004
3.SR090011</t>
  </si>
  <si>
    <t xml:space="preserve"> 1. Inverter 05 tripped offline at 11:00 AM on 10/3 and back online at 07:00AM 10/22. </t>
  </si>
  <si>
    <t>1. SR093071</t>
  </si>
  <si>
    <t>November Actual v. Expected</t>
  </si>
  <si>
    <t>November Actual v. Forecasted</t>
  </si>
  <si>
    <t>1. Site tripped offline at 22:00 on 11/21 and back online at 16:30 on 11/22.
2. Due to techncian dispatch site is offline from 08:00AM to 08:30AM on 11/18.</t>
  </si>
  <si>
    <t>1. SR093511
2. PM7552, SR093373</t>
  </si>
  <si>
    <t>1. Due to techncian disptach site is offline from 12:00PM to 15:45 on 11/25.
2. Site tripped offline at 22:15 on 11/07 and back online at 11:15AM on 11/08.
3. Inverter 17 is offline 11/21 and back online on 11/22 and again offline on 11/28 and back online on 11/29</t>
  </si>
  <si>
    <t>1. SR092336, SR092337
2. SR093048
3. SR093499</t>
  </si>
  <si>
    <t xml:space="preserve">1. Site offline from 08:00 to 14:45 on 11/20.
2. Inverters 21 and 22 are offline from 08:00AM on 11/20 and back online at 09:00AM on 11/21.
3. Tracker TCU 39 is currently stuck from 11/2 at 10:15 and being RMAD
</t>
  </si>
  <si>
    <t>1. SR093457, SR093477
2. SR093477, SR093457
3.	SR093615</t>
  </si>
  <si>
    <t>1. Inverter 3 is offline on 11/10 and back online on 11/11.</t>
  </si>
  <si>
    <t>1. SR093119</t>
  </si>
  <si>
    <t>December Actual v. Expected</t>
  </si>
  <si>
    <t>December Actual v. Forecasted</t>
  </si>
  <si>
    <t>1. Inverter 17 is offline on 12/11 and back online on 12/12/2024, again offline on 12/24 and back online on 12/25/2024.</t>
  </si>
  <si>
    <t>1. SR094412</t>
  </si>
  <si>
    <t>1. Tracker TCU 39 is currently stuck from 11/2 at 10:15 and being RMA'd</t>
  </si>
  <si>
    <t>1. SR093615</t>
  </si>
  <si>
    <t>1. EPC taken site offline from 14:00 to 15:30 on 12/23/2024, to take photos of the equipment.
2. URE site was taken offline at 10:30 AM on 12/17/2024 and brought back online at 10:15 AM on 12/18/2024. However, Inverter 8 was brought back online at 14:45 on 12/18/2024 due to work on sealing the transformer</t>
  </si>
  <si>
    <t>1. SR094826
2. SR094826</t>
  </si>
  <si>
    <t>1. Site tripped offline from 06:15AM to 12:45PM on 12/30/2024.</t>
  </si>
  <si>
    <t>1. SR095144</t>
  </si>
  <si>
    <t>Portfolio:</t>
  </si>
  <si>
    <t>Renewable Properties</t>
  </si>
  <si>
    <t>Site DAS Name</t>
  </si>
  <si>
    <t>Update</t>
  </si>
  <si>
    <t>DAS</t>
  </si>
  <si>
    <t>60 Cedar Swamp Rd. (Renewable Properties)</t>
  </si>
  <si>
    <t>Cedar Swamp Rd</t>
  </si>
  <si>
    <t>MA</t>
  </si>
  <si>
    <t>PowerTrack</t>
  </si>
  <si>
    <t>Bullis</t>
  </si>
  <si>
    <t>NY</t>
  </si>
  <si>
    <t>Rock Island NY (Renew Prop)</t>
  </si>
  <si>
    <t>Rock Island</t>
  </si>
  <si>
    <t>Roderick Road</t>
  </si>
  <si>
    <t>Winslow - Roderick</t>
  </si>
  <si>
    <t>ME</t>
  </si>
  <si>
    <t>AEF</t>
  </si>
  <si>
    <t>Clemons Road</t>
  </si>
  <si>
    <t>Minoa - Clemons Rd</t>
  </si>
  <si>
    <t>Western Ave Solar</t>
  </si>
  <si>
    <t>Manchester - Western</t>
  </si>
  <si>
    <t>AF</t>
  </si>
  <si>
    <t>Batavia - Pike Rd</t>
  </si>
  <si>
    <t xml:space="preserve"> Lockport - Slayton A &amp; B</t>
  </si>
  <si>
    <t>Slayton A &amp;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</si>
</sst>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2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7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49" fontId="27" fillId="40" borderId="1" xfId="0" applyNumberFormat="1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164" fontId="28" fillId="44" borderId="1" xfId="1" applyNumberFormat="1" applyFont="1" applyFill="1" applyBorder="1" applyAlignment="1">
      <alignment horizontal="center" vertical="center"/>
    </xf>
    <xf numFmtId="3" fontId="30" fillId="3" borderId="1" xfId="0" applyNumberFormat="1" applyFont="1" applyFill="1" applyBorder="1" applyAlignment="1">
      <alignment horizontal="right" vertical="center"/>
    </xf>
    <xf numFmtId="9" fontId="30" fillId="3" borderId="1" xfId="2" applyFont="1" applyFill="1" applyBorder="1" applyAlignment="1">
      <alignment horizontal="center" vertical="center"/>
    </xf>
    <xf numFmtId="3" fontId="30" fillId="4" borderId="1" xfId="1" applyNumberFormat="1" applyFont="1" applyFill="1" applyBorder="1" applyAlignment="1">
      <alignment vertical="center"/>
    </xf>
    <xf numFmtId="9" fontId="30" fillId="37" borderId="1" xfId="2" applyFont="1" applyFill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Border="1" applyAlignment="1">
      <alignment horizontal="center" vertical="center"/>
    </xf>
    <xf numFmtId="3" fontId="30" fillId="0" borderId="1" xfId="0" applyNumberFormat="1" applyFont="1" applyBorder="1" applyAlignment="1">
      <alignment horizontal="right" vertical="center"/>
    </xf>
    <xf numFmtId="9" fontId="30" fillId="0" borderId="1" xfId="2" applyFont="1" applyFill="1" applyBorder="1" applyAlignment="1">
      <alignment horizontal="center" vertical="center"/>
    </xf>
    <xf numFmtId="3" fontId="30" fillId="0" borderId="1" xfId="1" applyNumberFormat="1" applyFont="1" applyFill="1" applyBorder="1" applyAlignment="1">
      <alignment vertical="center"/>
    </xf>
    <xf numFmtId="49" fontId="27" fillId="40" borderId="1" xfId="0" applyNumberFormat="1" applyFont="1" applyFill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center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9" fontId="24" fillId="41" borderId="11" xfId="2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0" fontId="24" fillId="42" borderId="11" xfId="0" applyFont="1" applyFill="1" applyBorder="1" applyAlignment="1">
      <alignment horizontal="center" vertical="center" wrapText="1"/>
    </xf>
    <xf numFmtId="9" fontId="24" fillId="42" borderId="11" xfId="2" applyFont="1" applyFill="1" applyBorder="1" applyAlignment="1">
      <alignment horizontal="center" vertical="center" wrapText="1"/>
    </xf>
    <xf numFmtId="0" fontId="5" fillId="45" borderId="11" xfId="0" applyFont="1" applyFill="1" applyBorder="1" applyAlignment="1">
      <alignment horizontal="center" vertical="center"/>
    </xf>
    <xf numFmtId="0" fontId="24" fillId="42" borderId="11" xfId="0" applyFont="1" applyFill="1" applyBorder="1" applyAlignment="1">
      <alignment horizontal="center"/>
    </xf>
    <xf numFmtId="0" fontId="34" fillId="40" borderId="1" xfId="0" applyFont="1" applyFill="1" applyBorder="1" applyAlignment="1">
      <alignment horizontal="left"/>
    </xf>
    <xf numFmtId="0" fontId="28" fillId="40" borderId="1" xfId="0" applyFont="1" applyFill="1" applyBorder="1" applyAlignment="1">
      <alignment horizontal="center" vertical="center"/>
    </xf>
    <xf numFmtId="49" fontId="30" fillId="38" borderId="1" xfId="2" applyNumberFormat="1" applyFont="1" applyFill="1" applyBorder="1" applyAlignment="1">
      <alignment vertical="top" wrapText="1"/>
    </xf>
    <xf numFmtId="0" fontId="27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49" fontId="28" fillId="0" borderId="1" xfId="0" applyNumberFormat="1" applyFont="1" applyBorder="1" applyAlignment="1">
      <alignment vertical="center" wrapText="1"/>
    </xf>
    <xf numFmtId="0" fontId="27" fillId="40" borderId="1" xfId="0" applyFont="1" applyFill="1" applyBorder="1" applyAlignment="1">
      <alignment horizontal="left" vertical="center"/>
    </xf>
    <xf numFmtId="0" fontId="34" fillId="40" borderId="1" xfId="0" applyFont="1" applyFill="1" applyBorder="1" applyAlignment="1">
      <alignment horizontal="center"/>
    </xf>
    <xf numFmtId="0" fontId="27" fillId="0" borderId="1" xfId="0" applyFont="1" applyBorder="1" applyAlignment="1">
      <alignment horizontal="center" vertical="center"/>
    </xf>
    <xf numFmtId="0" fontId="27" fillId="40" borderId="1" xfId="0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left" vertical="top" wrapText="1"/>
    </xf>
    <xf numFmtId="49" fontId="28" fillId="0" borderId="1" xfId="0" applyNumberFormat="1" applyFont="1" applyBorder="1" applyAlignment="1">
      <alignment vertical="top" wrapText="1"/>
    </xf>
    <xf numFmtId="0" fontId="22" fillId="0" borderId="0" xfId="43" applyFont="1"/>
    <xf numFmtId="9" fontId="30" fillId="3" borderId="12" xfId="2" applyFont="1" applyFill="1" applyBorder="1" applyAlignment="1">
      <alignment horizontal="center" vertical="center"/>
    </xf>
    <xf numFmtId="0" fontId="32" fillId="0" borderId="1" xfId="0" applyFont="1" applyBorder="1"/>
    <xf numFmtId="0" fontId="22" fillId="0" borderId="0" xfId="43" applyFont="1" applyAlignment="1">
      <alignment horizontal="left" vertical="top" wrapText="1"/>
    </xf>
    <xf numFmtId="0" fontId="35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/>
    </xf>
    <xf numFmtId="49" fontId="30" fillId="38" borderId="1" xfId="2" applyNumberFormat="1" applyFont="1" applyFill="1" applyBorder="1" applyAlignment="1">
      <alignment horizontal="left" vertical="top" wrapText="1"/>
    </xf>
    <xf numFmtId="0" fontId="22" fillId="0" borderId="0" xfId="43" applyFont="1" applyAlignment="1">
      <alignment horizontal="left" wrapText="1"/>
    </xf>
    <xf numFmtId="0" fontId="32" fillId="0" borderId="13" xfId="0" applyFont="1" applyBorder="1"/>
    <xf numFmtId="3" fontId="30" fillId="4" borderId="11" xfId="1" applyNumberFormat="1" applyFont="1" applyFill="1" applyBorder="1" applyAlignment="1">
      <alignment vertical="center"/>
    </xf>
    <xf numFmtId="9" fontId="30" fillId="0" borderId="12" xfId="2" applyFont="1" applyFill="1" applyBorder="1" applyAlignment="1">
      <alignment horizontal="center" vertical="center"/>
    </xf>
    <xf numFmtId="3" fontId="30" fillId="0" borderId="14" xfId="1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1" totalsRowShown="0">
  <autoFilter ref="A3:E11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C4" activePane="bottomRight" state="frozen"/>
      <selection pane="bottomRight" activeCell="H17" sqref="H17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3" t="str" cm="1">
        <f t="array" ref="A1">portfolio</f>
        <v>Renewable Properties</v>
      </c>
      <c r="B1" s="73"/>
      <c r="C1" s="73"/>
      <c r="D1" s="74" t="s">
        <v>0</v>
      </c>
      <c r="E1" s="74"/>
      <c r="F1" s="74"/>
      <c r="G1" s="72" t="s">
        <v>1</v>
      </c>
      <c r="H1" s="72"/>
      <c r="I1" s="72"/>
    </row>
    <row r="2" spans="1:9" ht="19.5" customHeight="1">
      <c r="A2" s="75" t="s">
        <v>2</v>
      </c>
      <c r="B2" s="75"/>
      <c r="C2" s="5">
        <f>SUM(C4:C80)</f>
        <v>16233366.237029999</v>
      </c>
      <c r="D2" s="5">
        <f>SUM(D4:D80)</f>
        <v>16901024.013099998</v>
      </c>
      <c r="E2" s="5">
        <f>C2-D2</f>
        <v>-667657.77606999874</v>
      </c>
      <c r="F2" s="6">
        <f>IFERROR(E2/D2, 0)</f>
        <v>-3.9503983637470527E-2</v>
      </c>
      <c r="G2" s="5">
        <f>SUM(G4:G80)</f>
        <v>17961770.344000001</v>
      </c>
      <c r="H2" s="7">
        <f>C2-G2</f>
        <v>-1728404.106970001</v>
      </c>
      <c r="I2" s="6">
        <f>IFERROR(H2/G2, 0)</f>
        <v>-9.622682362974104E-2</v>
      </c>
    </row>
    <row r="3" spans="1:9" ht="14.25" customHeight="1">
      <c r="A3" s="8" t="s">
        <v>3</v>
      </c>
      <c r="B3" s="8" t="s">
        <v>4</v>
      </c>
      <c r="C3" s="11" t="s">
        <v>5</v>
      </c>
      <c r="D3" s="16" t="s">
        <v>6</v>
      </c>
      <c r="E3" s="16" t="s">
        <v>7</v>
      </c>
      <c r="F3" s="17" t="s">
        <v>8</v>
      </c>
      <c r="G3" s="18" t="s">
        <v>9</v>
      </c>
      <c r="H3" s="19" t="s">
        <v>7</v>
      </c>
      <c r="I3" s="20" t="s">
        <v>8</v>
      </c>
    </row>
    <row r="4" spans="1:9" ht="15.75">
      <c r="A4" s="25" t="str" cm="1">
        <f t="array" ref="A4:A11">Sites[Site]</f>
        <v>Cedar Swamp Rd</v>
      </c>
      <c r="B4" s="26" t="str" cm="1">
        <f t="array" ref="B4:B11">Sites[State]</f>
        <v>MA</v>
      </c>
      <c r="C4" s="27">
        <f>SUM('1st Qtr'!C4, '2nd Qtr'!C4, '3rd Qtr'!C4, '4th Qtr'!C4)</f>
        <v>1282910.5</v>
      </c>
      <c r="D4" s="28">
        <f>SUM('1st Qtr'!D4, '2nd Qtr'!D4, '3rd Qtr'!D4, '4th Qtr'!D4)</f>
        <v>1193897.6030000001</v>
      </c>
      <c r="E4" s="28">
        <f>IF(AND(ISNUMBER(C4),ISNUMBER(D4)), C4-D4, "")</f>
        <v>89012.896999999881</v>
      </c>
      <c r="F4" s="29">
        <f>IFERROR(E4/D4, "")</f>
        <v>7.4556558934644135E-2</v>
      </c>
      <c r="G4" s="30">
        <f>SUM('1st Qtr'!G4, '2nd Qtr'!G4, '3rd Qtr'!G4, '4th Qtr'!G4)</f>
        <v>1148916.4140000001</v>
      </c>
      <c r="H4" s="30">
        <f>SUM('1st Qtr'!H4, '2nd Qtr'!H4, '3rd Qtr'!H4, '4th Qtr'!H4)</f>
        <v>133994.08600000001</v>
      </c>
      <c r="I4" s="31">
        <f>IFERROR(H4/G4, "")</f>
        <v>0.11662648767763187</v>
      </c>
    </row>
    <row r="5" spans="1:9" ht="15.75">
      <c r="A5" s="32" t="str">
        <v>Bullis</v>
      </c>
      <c r="B5" s="33" t="str">
        <v>NY</v>
      </c>
      <c r="C5" s="35">
        <f>SUM('1st Qtr'!C5, '2nd Qtr'!C5, '3rd Qtr'!C5, '4th Qtr'!C5)</f>
        <v>7141430.5</v>
      </c>
      <c r="D5" s="35">
        <f>SUM('1st Qtr'!D5, '2nd Qtr'!D5, '3rd Qtr'!D5, '4th Qtr'!D5)</f>
        <v>7121179.5489999996</v>
      </c>
      <c r="E5" s="35">
        <f t="shared" ref="E5:E6" si="0">IF(AND(ISNUMBER(C5),ISNUMBER(D5)), C5-D5, "")</f>
        <v>20250.95100000035</v>
      </c>
      <c r="F5" s="36">
        <f>IFERROR(E5/D5, "")</f>
        <v>2.8437635732473723E-3</v>
      </c>
      <c r="G5" s="37">
        <f>SUM('1st Qtr'!G5, '2nd Qtr'!G5, '3rd Qtr'!G5, '4th Qtr'!G5)</f>
        <v>8105129.1600000011</v>
      </c>
      <c r="H5" s="37">
        <f>SUM('1st Qtr'!H5, '2nd Qtr'!H5, '3rd Qtr'!H5, '4th Qtr'!H5)</f>
        <v>-963698.65999999992</v>
      </c>
      <c r="I5" s="36">
        <f>IFERROR(H5/G5, "")</f>
        <v>-0.1188998523004413</v>
      </c>
    </row>
    <row r="6" spans="1:9" ht="15.75">
      <c r="A6" s="25" t="str">
        <v>Rock Island</v>
      </c>
      <c r="B6" s="26" t="str">
        <v>NY</v>
      </c>
      <c r="C6" s="27">
        <f>SUM('1st Qtr'!C6, '2nd Qtr'!C6, '3rd Qtr'!C6, '4th Qtr'!C6)</f>
        <v>5850707</v>
      </c>
      <c r="D6" s="28">
        <f>SUM('1st Qtr'!D6, '2nd Qtr'!D6, '3rd Qtr'!D6, '4th Qtr'!D6)</f>
        <v>6360084.2611000007</v>
      </c>
      <c r="E6" s="28">
        <f t="shared" si="0"/>
        <v>-509377.2611000007</v>
      </c>
      <c r="F6" s="29">
        <f t="shared" ref="F6" si="1">IFERROR(E6/D6, "")</f>
        <v>-8.0089703247406663E-2</v>
      </c>
      <c r="G6" s="30">
        <f>SUM('1st Qtr'!G6, '2nd Qtr'!G6, '3rd Qtr'!G6, '4th Qtr'!G6)</f>
        <v>6740144.0699999994</v>
      </c>
      <c r="H6" s="30">
        <f>SUM('1st Qtr'!H6, '2nd Qtr'!H6, '3rd Qtr'!H6, '4th Qtr'!H6)</f>
        <v>-889437.07</v>
      </c>
      <c r="I6" s="31">
        <f t="shared" ref="I6" si="2">IFERROR(H6/G6, "")</f>
        <v>-0.13196113625505931</v>
      </c>
    </row>
    <row r="7" spans="1:9" ht="15.75">
      <c r="A7" s="32" t="str">
        <v>Winslow - Roderick</v>
      </c>
      <c r="B7" s="33" t="str">
        <v>ME</v>
      </c>
      <c r="C7" s="35">
        <f>SUM('1st Qtr'!C7, '2nd Qtr'!C7, '3rd Qtr'!C7, '4th Qtr'!C7)</f>
        <v>571699</v>
      </c>
      <c r="D7" s="35">
        <f>SUM('1st Qtr'!D7, '2nd Qtr'!D7, '3rd Qtr'!D7, '4th Qtr'!D7)</f>
        <v>746633.7</v>
      </c>
      <c r="E7" s="35">
        <f t="shared" ref="E7" si="3">IF(AND(ISNUMBER(C7),ISNUMBER(D7)), C7-D7, "")</f>
        <v>-174934.69999999995</v>
      </c>
      <c r="F7" s="36">
        <f t="shared" ref="F7:F11" si="4">IFERROR(E7/D7, "")</f>
        <v>-0.23429788931305937</v>
      </c>
      <c r="G7" s="37">
        <f>SUM('1st Qtr'!G7, '2nd Qtr'!G7, '3rd Qtr'!G7, '4th Qtr'!G7)</f>
        <v>640597</v>
      </c>
      <c r="H7" s="37">
        <f>SUM('1st Qtr'!H7, '2nd Qtr'!H7, '3rd Qtr'!H7, '4th Qtr'!H7)</f>
        <v>-68898</v>
      </c>
      <c r="I7" s="36">
        <f t="shared" ref="I7:I11" si="5">IFERROR(H7/G7, "")</f>
        <v>-0.10755279840523761</v>
      </c>
    </row>
    <row r="8" spans="1:9" ht="15.75">
      <c r="A8" s="25" t="str">
        <v>Minoa - Clemons Rd</v>
      </c>
      <c r="B8" s="26" t="str">
        <v>NY</v>
      </c>
      <c r="C8" s="27">
        <f>SUM('1st Qtr'!C8, '2nd Qtr'!C8, '3rd Qtr'!C8, '4th Qtr'!C8)</f>
        <v>598745.97139999981</v>
      </c>
      <c r="D8" s="28">
        <f>SUM('1st Qtr'!D8, '2nd Qtr'!D8, '3rd Qtr'!D8, '4th Qtr'!D8)</f>
        <v>727615.99999999988</v>
      </c>
      <c r="E8" s="28">
        <f t="shared" ref="E8:E11" si="6">IF(AND(ISNUMBER(C8),ISNUMBER(D8)), C8-D8, "")</f>
        <v>-128870.02860000008</v>
      </c>
      <c r="F8" s="29">
        <f t="shared" ref="F8:F10" si="7">IFERROR(E8/D8, "")</f>
        <v>-0.17711269213431274</v>
      </c>
      <c r="G8" s="30">
        <f>SUM('1st Qtr'!G8, '2nd Qtr'!G8, '3rd Qtr'!G8, '4th Qtr'!G8)</f>
        <v>662172.6</v>
      </c>
      <c r="H8" s="30">
        <f>SUM('1st Qtr'!H8, '2nd Qtr'!H8, '3rd Qtr'!H8, '4th Qtr'!H8)</f>
        <v>-63426.628600000229</v>
      </c>
      <c r="I8" s="31">
        <f t="shared" ref="I8:I10" si="8">IFERROR(H8/G8, "")</f>
        <v>-9.5785643501407683E-2</v>
      </c>
    </row>
    <row r="9" spans="1:9" ht="15.75">
      <c r="A9" s="32" t="str">
        <v>Manchester - Western</v>
      </c>
      <c r="B9" s="33" t="str">
        <v>ME</v>
      </c>
      <c r="C9" s="35">
        <f>SUM('1st Qtr'!C9, '2nd Qtr'!C9, '3rd Qtr'!C9, '4th Qtr'!C9)</f>
        <v>177136.01562999998</v>
      </c>
      <c r="D9" s="35">
        <f>SUM('1st Qtr'!D9, '2nd Qtr'!D9, '3rd Qtr'!D9, '4th Qtr'!D9)</f>
        <v>0</v>
      </c>
      <c r="E9" s="35">
        <f t="shared" si="6"/>
        <v>177136.01562999998</v>
      </c>
      <c r="F9" s="36" t="str">
        <f t="shared" si="4"/>
        <v/>
      </c>
      <c r="G9" s="37">
        <f>SUM('1st Qtr'!G9, '2nd Qtr'!G9, '3rd Qtr'!G9, '4th Qtr'!G9)</f>
        <v>0</v>
      </c>
      <c r="H9" s="37">
        <f>SUM('1st Qtr'!H9, '2nd Qtr'!H9, '3rd Qtr'!H9, '4th Qtr'!H9)</f>
        <v>177136.01562999998</v>
      </c>
      <c r="I9" s="36" t="str">
        <f t="shared" si="5"/>
        <v/>
      </c>
    </row>
    <row r="10" spans="1:9" ht="15.75">
      <c r="A10" s="25" t="str">
        <v>Batavia - Pike Rd</v>
      </c>
      <c r="B10" s="26" t="str">
        <v>NY</v>
      </c>
      <c r="C10" s="27">
        <f>SUM('1st Qtr'!C10, '2nd Qtr'!C10, '3rd Qtr'!C10, '4th Qtr'!C10)</f>
        <v>324063.25</v>
      </c>
      <c r="D10" s="28">
        <f>SUM('1st Qtr'!D10, '2nd Qtr'!D10, '3rd Qtr'!D10, '4th Qtr'!D10)</f>
        <v>377387.6</v>
      </c>
      <c r="E10" s="28">
        <f t="shared" si="6"/>
        <v>-53324.349999999977</v>
      </c>
      <c r="F10" s="29">
        <f t="shared" si="7"/>
        <v>-0.14129862772385732</v>
      </c>
      <c r="G10" s="30">
        <f>SUM('1st Qtr'!G10, '2nd Qtr'!G10, '3rd Qtr'!G10, '4th Qtr'!G10)</f>
        <v>367165.7</v>
      </c>
      <c r="H10" s="30">
        <f>SUM('1st Qtr'!H10, '2nd Qtr'!H10, '3rd Qtr'!H10, '4th Qtr'!H10)</f>
        <v>-43102.45</v>
      </c>
      <c r="I10" s="31">
        <f t="shared" si="8"/>
        <v>-0.11739236535438903</v>
      </c>
    </row>
    <row r="11" spans="1:9" ht="15.75">
      <c r="A11" s="32" t="str">
        <v>Slayton A &amp; B</v>
      </c>
      <c r="B11" s="33" t="str">
        <v>NY</v>
      </c>
      <c r="C11" s="35">
        <f>SUM('1st Qtr'!C11, '2nd Qtr'!C11, '3rd Qtr'!C11, '4th Qtr'!C11)</f>
        <v>286674</v>
      </c>
      <c r="D11" s="35">
        <f>SUM('1st Qtr'!D11, '2nd Qtr'!D11, '3rd Qtr'!D11, '4th Qtr'!D11)</f>
        <v>374225.3</v>
      </c>
      <c r="E11" s="35">
        <f t="shared" si="6"/>
        <v>-87551.299999999988</v>
      </c>
      <c r="F11" s="36">
        <f t="shared" si="4"/>
        <v>-0.23395344996717216</v>
      </c>
      <c r="G11" s="37">
        <f>SUM('1st Qtr'!G11, '2nd Qtr'!G11, '3rd Qtr'!G11, '4th Qtr'!G11)</f>
        <v>297645.40000000002</v>
      </c>
      <c r="H11" s="37">
        <f>SUM('1st Qtr'!H11, '2nd Qtr'!H11, '3rd Qtr'!H11, '4th Qtr'!H11)</f>
        <v>-10971.400000000023</v>
      </c>
      <c r="I11" s="36">
        <f t="shared" si="5"/>
        <v>-3.6860640211473193E-2</v>
      </c>
    </row>
    <row r="12" spans="1:9" ht="13.15">
      <c r="A12" s="9"/>
      <c r="B12" s="9"/>
      <c r="C12" s="9"/>
      <c r="D12" s="9"/>
      <c r="E12" s="9"/>
      <c r="F12" s="9"/>
      <c r="G12" s="9"/>
      <c r="H12" s="9"/>
      <c r="I12" s="9"/>
    </row>
    <row r="13" spans="1:9" ht="13.15">
      <c r="A13" s="9"/>
      <c r="B13" s="9"/>
      <c r="C13" s="9"/>
      <c r="D13" s="9"/>
      <c r="E13" s="9"/>
      <c r="F13" s="10"/>
      <c r="G13" s="9"/>
      <c r="H13" s="9"/>
      <c r="I13" s="10"/>
    </row>
    <row r="14" spans="1:9" ht="13.15">
      <c r="A14" s="9"/>
      <c r="B14" s="9"/>
      <c r="C14" s="9"/>
      <c r="D14" s="9"/>
      <c r="E14" s="9"/>
      <c r="F14" s="10"/>
      <c r="G14" s="9"/>
      <c r="H14" s="9"/>
      <c r="I14" s="10"/>
    </row>
    <row r="15" spans="1:9" ht="13.15">
      <c r="A15" s="9"/>
      <c r="B15" s="9"/>
      <c r="C15" s="9"/>
      <c r="D15" s="9"/>
      <c r="E15" s="9"/>
      <c r="F15" s="10"/>
      <c r="G15" s="9"/>
      <c r="H15" s="9"/>
      <c r="I15" s="10"/>
    </row>
    <row r="16" spans="1:9" ht="13.15">
      <c r="A16" s="9"/>
      <c r="B16" s="9"/>
      <c r="C16" s="9"/>
      <c r="D16" s="9"/>
      <c r="E16" s="9"/>
      <c r="F16" s="10"/>
      <c r="G16" s="9"/>
      <c r="H16" s="9"/>
      <c r="I16" s="10"/>
    </row>
    <row r="17" spans="1:9" ht="13.15">
      <c r="A17" s="9"/>
      <c r="B17" s="9"/>
      <c r="C17" s="9"/>
      <c r="D17" s="9"/>
      <c r="E17" s="9"/>
      <c r="F17" s="10"/>
      <c r="G17" s="9"/>
      <c r="H17" s="9"/>
      <c r="I17" s="10"/>
    </row>
    <row r="18" spans="1:9" ht="13.15">
      <c r="A18" s="9"/>
      <c r="B18" s="9"/>
      <c r="C18" s="9"/>
      <c r="D18" s="9"/>
      <c r="E18" s="9"/>
      <c r="F18" s="10"/>
      <c r="G18" s="9"/>
      <c r="H18" s="9"/>
      <c r="I18" s="10"/>
    </row>
    <row r="19" spans="1:9" ht="13.15">
      <c r="A19" s="9"/>
      <c r="B19" s="9"/>
      <c r="C19" s="9"/>
      <c r="D19" s="9"/>
      <c r="E19" s="9"/>
      <c r="F19" s="10"/>
      <c r="G19" s="9"/>
      <c r="H19" s="9"/>
      <c r="I19" s="10"/>
    </row>
    <row r="20" spans="1:9" ht="13.15">
      <c r="A20" s="9"/>
      <c r="B20" s="9"/>
      <c r="C20" s="9"/>
      <c r="D20" s="9"/>
      <c r="E20" s="9"/>
      <c r="F20" s="10"/>
      <c r="G20" s="9"/>
      <c r="H20" s="9"/>
      <c r="I20" s="10"/>
    </row>
    <row r="21" spans="1:9" ht="13.15">
      <c r="A21" s="9"/>
      <c r="B21" s="9"/>
      <c r="C21" s="9"/>
      <c r="D21" s="9"/>
      <c r="E21" s="9"/>
      <c r="F21" s="10"/>
      <c r="G21" s="9"/>
      <c r="H21" s="9"/>
      <c r="I21" s="10"/>
    </row>
    <row r="22" spans="1:9" ht="13.15">
      <c r="A22" s="9"/>
      <c r="B22" s="9"/>
      <c r="C22" s="9"/>
      <c r="D22" s="9"/>
      <c r="E22" s="9"/>
      <c r="F22" s="10"/>
      <c r="G22" s="9"/>
      <c r="H22" s="9"/>
      <c r="I22" s="10"/>
    </row>
    <row r="23" spans="1:9" ht="13.15">
      <c r="A23" s="9"/>
      <c r="B23" s="9"/>
      <c r="C23" s="9"/>
      <c r="D23" s="9"/>
      <c r="E23" s="9"/>
      <c r="F23" s="10"/>
      <c r="G23" s="9"/>
      <c r="H23" s="9"/>
      <c r="I23" s="10"/>
    </row>
    <row r="24" spans="1:9" ht="13.15">
      <c r="A24" s="9"/>
      <c r="B24" s="9"/>
      <c r="C24" s="9"/>
      <c r="D24" s="9"/>
      <c r="E24" s="9"/>
      <c r="F24" s="10"/>
      <c r="G24" s="9"/>
      <c r="H24" s="9"/>
      <c r="I24" s="10"/>
    </row>
    <row r="25" spans="1:9" ht="13.15">
      <c r="A25" s="9"/>
      <c r="B25" s="9"/>
      <c r="C25" s="9"/>
      <c r="D25" s="9"/>
      <c r="E25" s="9"/>
      <c r="F25" s="10"/>
      <c r="G25" s="9"/>
      <c r="H25" s="9"/>
      <c r="I25" s="10"/>
    </row>
    <row r="26" spans="1:9" ht="13.15">
      <c r="A26" s="9"/>
      <c r="B26" s="9"/>
      <c r="C26" s="9"/>
      <c r="D26" s="9"/>
      <c r="E26" s="9"/>
      <c r="F26" s="10"/>
      <c r="G26" s="9"/>
      <c r="H26" s="9"/>
      <c r="I26" s="10"/>
    </row>
    <row r="27" spans="1:9" ht="13.15">
      <c r="A27" s="9"/>
      <c r="B27" s="9"/>
      <c r="C27" s="9"/>
      <c r="D27" s="9"/>
      <c r="E27" s="9"/>
      <c r="F27" s="10"/>
      <c r="G27" s="9"/>
      <c r="H27" s="9"/>
      <c r="I27" s="10"/>
    </row>
    <row r="28" spans="1:9" ht="13.15">
      <c r="A28" s="9"/>
      <c r="B28" s="9"/>
      <c r="C28" s="9"/>
      <c r="D28" s="9"/>
      <c r="E28" s="9"/>
      <c r="F28" s="10"/>
      <c r="G28" s="9"/>
      <c r="H28" s="9"/>
      <c r="I28" s="10"/>
    </row>
    <row r="29" spans="1:9" ht="13.15">
      <c r="A29" s="9"/>
      <c r="B29" s="9"/>
      <c r="C29" s="9"/>
      <c r="D29" s="9"/>
      <c r="E29" s="9"/>
      <c r="F29" s="10"/>
      <c r="G29" s="9"/>
      <c r="H29" s="9"/>
      <c r="I29" s="10"/>
    </row>
    <row r="30" spans="1:9" ht="13.15">
      <c r="A30" s="9"/>
      <c r="B30" s="9"/>
      <c r="C30" s="9"/>
      <c r="D30" s="9"/>
      <c r="E30" s="9"/>
      <c r="F30" s="10"/>
      <c r="G30" s="9"/>
      <c r="H30" s="9"/>
      <c r="I30" s="10"/>
    </row>
    <row r="31" spans="1:9" ht="13.15">
      <c r="A31" s="9"/>
      <c r="B31" s="9"/>
      <c r="C31" s="9"/>
      <c r="D31" s="9"/>
      <c r="E31" s="9"/>
      <c r="F31" s="10"/>
      <c r="G31" s="9"/>
      <c r="H31" s="9"/>
      <c r="I31" s="10"/>
    </row>
    <row r="32" spans="1:9" ht="13.15">
      <c r="A32" s="9"/>
      <c r="B32" s="9"/>
      <c r="C32" s="9"/>
      <c r="D32" s="9"/>
      <c r="E32" s="9"/>
      <c r="F32" s="10"/>
      <c r="G32" s="9"/>
      <c r="H32" s="9"/>
      <c r="I32" s="10"/>
    </row>
    <row r="33" spans="1:9" ht="13.15">
      <c r="A33" s="9"/>
      <c r="B33" s="9"/>
      <c r="C33" s="9"/>
      <c r="D33" s="9"/>
      <c r="E33" s="9"/>
      <c r="F33" s="10"/>
      <c r="G33" s="9"/>
      <c r="H33" s="9"/>
      <c r="I33" s="10"/>
    </row>
    <row r="34" spans="1:9" ht="13.15">
      <c r="A34" s="9"/>
      <c r="B34" s="9"/>
      <c r="C34" s="9"/>
      <c r="D34" s="9"/>
      <c r="E34" s="9"/>
      <c r="F34" s="10"/>
      <c r="G34" s="9"/>
      <c r="H34" s="9"/>
      <c r="I34" s="10"/>
    </row>
    <row r="35" spans="1:9" ht="13.15">
      <c r="A35" s="9"/>
      <c r="B35" s="9"/>
      <c r="C35" s="9"/>
      <c r="D35" s="9"/>
      <c r="E35" s="9"/>
      <c r="F35" s="10"/>
      <c r="G35" s="9"/>
      <c r="H35" s="9"/>
      <c r="I35" s="10"/>
    </row>
    <row r="36" spans="1:9" ht="13.15">
      <c r="A36" s="9"/>
      <c r="B36" s="9"/>
      <c r="C36" s="9"/>
      <c r="D36" s="9"/>
      <c r="E36" s="9"/>
      <c r="F36" s="10"/>
      <c r="G36" s="9"/>
      <c r="H36" s="9"/>
      <c r="I36" s="10"/>
    </row>
    <row r="37" spans="1:9" ht="13.15">
      <c r="A37" s="9"/>
      <c r="B37" s="9"/>
      <c r="C37" s="9"/>
      <c r="D37" s="9"/>
      <c r="E37" s="9"/>
      <c r="F37" s="10"/>
      <c r="G37" s="9"/>
      <c r="H37" s="9"/>
      <c r="I37" s="10"/>
    </row>
    <row r="38" spans="1:9" ht="13.15">
      <c r="A38" s="9"/>
      <c r="B38" s="9"/>
      <c r="C38" s="9"/>
      <c r="D38" s="9"/>
      <c r="E38" s="9"/>
      <c r="F38" s="10"/>
      <c r="G38" s="9"/>
      <c r="H38" s="9"/>
      <c r="I38" s="10"/>
    </row>
    <row r="39" spans="1:9" ht="13.15">
      <c r="A39" s="9"/>
      <c r="B39" s="9"/>
      <c r="C39" s="9"/>
      <c r="D39" s="9"/>
      <c r="E39" s="9"/>
      <c r="F39" s="10"/>
      <c r="G39" s="9"/>
      <c r="H39" s="9"/>
      <c r="I39" s="10"/>
    </row>
    <row r="40" spans="1:9" ht="13.15">
      <c r="A40" s="9"/>
      <c r="B40" s="9"/>
      <c r="C40" s="9"/>
      <c r="D40" s="9"/>
      <c r="E40" s="9"/>
      <c r="F40" s="10"/>
      <c r="G40" s="9"/>
      <c r="H40" s="9"/>
      <c r="I40" s="10"/>
    </row>
    <row r="41" spans="1:9" ht="13.15">
      <c r="A41" s="9"/>
      <c r="B41" s="9"/>
      <c r="C41" s="9"/>
      <c r="D41" s="9"/>
      <c r="E41" s="9"/>
      <c r="F41" s="10"/>
      <c r="G41" s="9"/>
      <c r="H41" s="9"/>
      <c r="I41" s="10"/>
    </row>
    <row r="42" spans="1:9" ht="13.15">
      <c r="A42" s="9"/>
      <c r="B42" s="9"/>
      <c r="C42" s="9"/>
      <c r="D42" s="9"/>
      <c r="E42" s="9"/>
      <c r="F42" s="10"/>
      <c r="G42" s="9"/>
      <c r="H42" s="9"/>
      <c r="I42" s="10"/>
    </row>
    <row r="43" spans="1:9" ht="13.15">
      <c r="A43" s="9"/>
      <c r="B43" s="9"/>
      <c r="C43" s="9"/>
      <c r="D43" s="9"/>
      <c r="E43" s="9"/>
      <c r="F43" s="10"/>
      <c r="G43" s="9"/>
      <c r="H43" s="9"/>
      <c r="I43" s="10"/>
    </row>
    <row r="44" spans="1:9" ht="13.15">
      <c r="A44" s="9"/>
      <c r="B44" s="9"/>
      <c r="C44" s="9"/>
      <c r="D44" s="9"/>
      <c r="E44" s="9"/>
      <c r="F44" s="10"/>
      <c r="G44" s="9"/>
      <c r="H44" s="9"/>
      <c r="I44" s="10"/>
    </row>
    <row r="45" spans="1:9" ht="13.15">
      <c r="A45" s="9"/>
      <c r="B45" s="9"/>
      <c r="C45" s="9"/>
      <c r="D45" s="9"/>
      <c r="E45" s="9"/>
      <c r="F45" s="10"/>
      <c r="G45" s="9"/>
      <c r="H45" s="9"/>
      <c r="I45" s="10"/>
    </row>
    <row r="46" spans="1:9" ht="13.15">
      <c r="A46" s="9"/>
      <c r="B46" s="9"/>
      <c r="C46" s="9"/>
      <c r="D46" s="9"/>
      <c r="E46" s="9"/>
      <c r="F46" s="10"/>
      <c r="G46" s="9"/>
      <c r="H46" s="9"/>
      <c r="I46" s="10"/>
    </row>
    <row r="47" spans="1:9" ht="13.15">
      <c r="A47" s="9"/>
      <c r="B47" s="9"/>
      <c r="C47" s="9"/>
      <c r="D47" s="9"/>
      <c r="E47" s="9"/>
      <c r="F47" s="10"/>
      <c r="G47" s="9"/>
      <c r="H47" s="9"/>
      <c r="I47" s="10"/>
    </row>
    <row r="48" spans="1:9" ht="13.15">
      <c r="A48" s="9"/>
      <c r="B48" s="9"/>
      <c r="C48" s="9"/>
      <c r="D48" s="9"/>
      <c r="E48" s="9"/>
      <c r="F48" s="10"/>
      <c r="G48" s="9"/>
      <c r="H48" s="9"/>
      <c r="I48" s="10"/>
    </row>
    <row r="49" spans="1:9" ht="13.15">
      <c r="A49" s="9"/>
      <c r="B49" s="9"/>
      <c r="C49" s="9"/>
      <c r="D49" s="9"/>
      <c r="E49" s="9"/>
      <c r="F49" s="10"/>
      <c r="G49" s="9"/>
      <c r="H49" s="9"/>
      <c r="I49" s="10"/>
    </row>
    <row r="50" spans="1:9" ht="13.15">
      <c r="A50" s="9"/>
      <c r="B50" s="9"/>
      <c r="C50" s="9"/>
      <c r="D50" s="9"/>
      <c r="E50" s="9"/>
      <c r="F50" s="10"/>
      <c r="G50" s="9"/>
      <c r="H50" s="9"/>
      <c r="I50" s="10"/>
    </row>
    <row r="51" spans="1:9" ht="13.15">
      <c r="A51" s="9"/>
      <c r="B51" s="9"/>
      <c r="C51" s="9"/>
      <c r="D51" s="9"/>
      <c r="E51" s="9"/>
      <c r="F51" s="10"/>
      <c r="G51" s="9"/>
      <c r="H51" s="9"/>
      <c r="I51" s="10"/>
    </row>
    <row r="52" spans="1:9" ht="13.15">
      <c r="A52" s="9"/>
      <c r="B52" s="9"/>
      <c r="C52" s="9"/>
      <c r="D52" s="9"/>
      <c r="E52" s="9"/>
      <c r="F52" s="10"/>
      <c r="G52" s="9"/>
      <c r="H52" s="9"/>
      <c r="I52" s="10"/>
    </row>
    <row r="53" spans="1:9" ht="13.15">
      <c r="A53" s="9"/>
      <c r="B53" s="9"/>
      <c r="C53" s="9"/>
      <c r="D53" s="9"/>
      <c r="E53" s="9"/>
      <c r="F53" s="10"/>
      <c r="G53" s="9"/>
      <c r="H53" s="9"/>
      <c r="I53" s="10"/>
    </row>
    <row r="54" spans="1:9" ht="13.15">
      <c r="A54" s="9"/>
      <c r="B54" s="9"/>
      <c r="C54" s="9"/>
      <c r="D54" s="9"/>
      <c r="E54" s="9"/>
      <c r="F54" s="10"/>
      <c r="G54" s="9"/>
      <c r="H54" s="9"/>
      <c r="I54" s="10"/>
    </row>
    <row r="55" spans="1:9" ht="13.15">
      <c r="A55" s="9"/>
      <c r="B55" s="9"/>
      <c r="C55" s="9"/>
      <c r="D55" s="9"/>
      <c r="E55" s="9"/>
      <c r="F55" s="10"/>
      <c r="G55" s="9"/>
      <c r="H55" s="9"/>
      <c r="I55" s="10"/>
    </row>
    <row r="56" spans="1:9" ht="13.15">
      <c r="A56" s="9"/>
      <c r="B56" s="9"/>
      <c r="C56" s="9"/>
      <c r="D56" s="9"/>
      <c r="E56" s="9"/>
      <c r="F56" s="10"/>
      <c r="G56" s="9"/>
      <c r="H56" s="9"/>
      <c r="I56" s="10"/>
    </row>
    <row r="57" spans="1:9" ht="13.15">
      <c r="A57" s="9"/>
      <c r="B57" s="9"/>
      <c r="C57" s="9"/>
      <c r="D57" s="9"/>
      <c r="E57" s="9"/>
      <c r="F57" s="10"/>
      <c r="G57" s="9"/>
      <c r="H57" s="9"/>
      <c r="I57" s="10"/>
    </row>
    <row r="58" spans="1:9" ht="13.15">
      <c r="A58" s="9"/>
      <c r="B58" s="9"/>
      <c r="C58" s="9"/>
      <c r="D58" s="9"/>
      <c r="E58" s="9"/>
      <c r="F58" s="10"/>
      <c r="G58" s="9"/>
      <c r="H58" s="9"/>
      <c r="I58" s="10"/>
    </row>
    <row r="59" spans="1:9" ht="13.15">
      <c r="A59" s="9"/>
      <c r="B59" s="9"/>
      <c r="C59" s="9"/>
      <c r="D59" s="9"/>
      <c r="E59" s="9"/>
      <c r="F59" s="10"/>
      <c r="G59" s="9"/>
      <c r="H59" s="9"/>
      <c r="I59" s="10"/>
    </row>
    <row r="60" spans="1:9" ht="13.15">
      <c r="A60" s="9"/>
      <c r="B60" s="9"/>
      <c r="C60" s="9"/>
      <c r="D60" s="9"/>
      <c r="E60" s="9"/>
      <c r="F60" s="10"/>
      <c r="G60" s="9"/>
      <c r="H60" s="9"/>
      <c r="I60" s="10"/>
    </row>
    <row r="61" spans="1:9" ht="13.15">
      <c r="A61" s="9"/>
      <c r="B61" s="9"/>
      <c r="C61" s="9"/>
      <c r="D61" s="9"/>
      <c r="E61" s="9"/>
      <c r="F61" s="10"/>
      <c r="G61" s="9"/>
      <c r="H61" s="9"/>
      <c r="I61" s="10"/>
    </row>
    <row r="62" spans="1:9" ht="13.15">
      <c r="A62" s="9"/>
      <c r="B62" s="9"/>
      <c r="C62" s="9"/>
      <c r="D62" s="9"/>
      <c r="E62" s="9"/>
      <c r="F62" s="10"/>
      <c r="G62" s="9"/>
      <c r="H62" s="9"/>
      <c r="I62" s="10"/>
    </row>
    <row r="63" spans="1:9" ht="13.15">
      <c r="A63" s="9"/>
      <c r="B63" s="9"/>
      <c r="C63" s="9"/>
      <c r="D63" s="9"/>
      <c r="E63" s="9"/>
      <c r="F63" s="10"/>
      <c r="G63" s="9"/>
      <c r="H63" s="9"/>
      <c r="I63" s="10"/>
    </row>
    <row r="64" spans="1:9" ht="13.15">
      <c r="A64" s="9"/>
      <c r="B64" s="9"/>
      <c r="C64" s="9"/>
      <c r="D64" s="9"/>
      <c r="E64" s="9"/>
      <c r="F64" s="10"/>
      <c r="G64" s="9"/>
      <c r="H64" s="9"/>
      <c r="I64" s="10"/>
    </row>
    <row r="65" spans="1:9" ht="13.15">
      <c r="A65" s="9"/>
      <c r="B65" s="9"/>
      <c r="C65" s="9"/>
      <c r="D65" s="9"/>
      <c r="E65" s="9"/>
      <c r="F65" s="10"/>
      <c r="G65" s="9"/>
      <c r="H65" s="9"/>
      <c r="I65" s="10"/>
    </row>
    <row r="66" spans="1:9" ht="13.15">
      <c r="A66" s="9"/>
      <c r="B66" s="9"/>
      <c r="C66" s="9"/>
      <c r="D66" s="9"/>
      <c r="E66" s="9"/>
      <c r="F66" s="10"/>
      <c r="G66" s="9"/>
      <c r="H66" s="9"/>
      <c r="I66" s="10"/>
    </row>
    <row r="67" spans="1:9" ht="13.15">
      <c r="A67" s="9"/>
      <c r="B67" s="9"/>
      <c r="C67" s="9"/>
      <c r="D67" s="9"/>
      <c r="E67" s="9"/>
      <c r="F67" s="10"/>
      <c r="G67" s="9"/>
      <c r="H67" s="9"/>
      <c r="I67" s="10"/>
    </row>
    <row r="68" spans="1:9" ht="13.15">
      <c r="A68" s="9"/>
      <c r="B68" s="9"/>
      <c r="C68" s="9"/>
      <c r="D68" s="9"/>
      <c r="E68" s="9"/>
      <c r="F68" s="10"/>
      <c r="G68" s="9"/>
      <c r="H68" s="9"/>
      <c r="I68" s="10"/>
    </row>
    <row r="69" spans="1:9" ht="13.15">
      <c r="A69" s="9"/>
      <c r="B69" s="9"/>
      <c r="C69" s="9"/>
      <c r="D69" s="9"/>
      <c r="E69" s="9"/>
      <c r="F69" s="10"/>
      <c r="G69" s="9"/>
      <c r="H69" s="9"/>
      <c r="I69" s="10"/>
    </row>
    <row r="70" spans="1:9" ht="13.15">
      <c r="A70" s="9"/>
      <c r="B70" s="9"/>
      <c r="C70" s="9"/>
      <c r="D70" s="9"/>
      <c r="E70" s="9"/>
      <c r="F70" s="10"/>
      <c r="G70" s="9"/>
      <c r="H70" s="9"/>
      <c r="I70" s="10"/>
    </row>
    <row r="71" spans="1:9" ht="13.15">
      <c r="A71" s="9"/>
      <c r="B71" s="9"/>
      <c r="C71" s="9"/>
      <c r="D71" s="9"/>
      <c r="E71" s="9"/>
      <c r="F71" s="10"/>
      <c r="G71" s="9"/>
      <c r="H71" s="9"/>
      <c r="I71" s="10"/>
    </row>
    <row r="72" spans="1:9" ht="13.15">
      <c r="A72" s="9"/>
      <c r="B72" s="9"/>
      <c r="C72" s="9"/>
      <c r="D72" s="9"/>
      <c r="E72" s="9"/>
      <c r="F72" s="10"/>
      <c r="G72" s="9"/>
      <c r="H72" s="9"/>
      <c r="I72" s="10"/>
    </row>
    <row r="73" spans="1:9" ht="13.15">
      <c r="A73" s="9"/>
      <c r="B73" s="9"/>
      <c r="C73" s="9"/>
      <c r="D73" s="9"/>
      <c r="E73" s="9"/>
      <c r="F73" s="10"/>
      <c r="G73" s="9"/>
      <c r="H73" s="9"/>
      <c r="I73" s="10"/>
    </row>
    <row r="74" spans="1:9" ht="13.15">
      <c r="A74" s="9"/>
      <c r="B74" s="9"/>
      <c r="C74" s="9"/>
      <c r="D74" s="9"/>
      <c r="E74" s="9"/>
      <c r="F74" s="10"/>
      <c r="G74" s="9"/>
      <c r="H74" s="9"/>
      <c r="I74" s="10"/>
    </row>
    <row r="75" spans="1:9" ht="13.15">
      <c r="A75" s="9"/>
      <c r="B75" s="9"/>
      <c r="C75" s="9"/>
      <c r="D75" s="9"/>
      <c r="E75" s="9"/>
      <c r="F75" s="10"/>
      <c r="G75" s="9"/>
      <c r="H75" s="9"/>
      <c r="I75" s="10"/>
    </row>
    <row r="76" spans="1:9" ht="13.15">
      <c r="A76" s="9"/>
      <c r="B76" s="9"/>
      <c r="C76" s="9"/>
      <c r="D76" s="9"/>
      <c r="E76" s="9"/>
      <c r="F76" s="10"/>
      <c r="G76" s="9"/>
      <c r="H76" s="9"/>
      <c r="I76" s="10"/>
    </row>
    <row r="77" spans="1:9" ht="13.15">
      <c r="A77" s="9"/>
      <c r="B77" s="9"/>
      <c r="C77" s="9"/>
      <c r="D77" s="9"/>
      <c r="E77" s="9"/>
      <c r="F77" s="10"/>
      <c r="G77" s="9"/>
      <c r="H77" s="9"/>
      <c r="I77" s="10"/>
    </row>
    <row r="78" spans="1:9" ht="13.15">
      <c r="A78" s="9"/>
      <c r="B78" s="9"/>
      <c r="C78" s="9"/>
      <c r="D78" s="9"/>
      <c r="E78" s="9"/>
      <c r="F78" s="10"/>
      <c r="G78" s="9"/>
      <c r="H78" s="9"/>
      <c r="I78" s="10"/>
    </row>
    <row r="79" spans="1:9" ht="13.15">
      <c r="A79" s="9"/>
      <c r="B79" s="9"/>
      <c r="C79" s="9"/>
      <c r="D79" s="9"/>
      <c r="E79" s="9"/>
      <c r="F79" s="10"/>
      <c r="G79" s="9"/>
      <c r="H79" s="9"/>
      <c r="I79" s="10"/>
    </row>
    <row r="80" spans="1:9" ht="13.15">
      <c r="A80" s="9"/>
      <c r="B80" s="9"/>
      <c r="C80" s="9"/>
      <c r="D80" s="9"/>
      <c r="E80" s="9"/>
      <c r="F80" s="10"/>
      <c r="G80" s="9"/>
      <c r="H80" s="9"/>
      <c r="I80" s="10"/>
    </row>
    <row r="81" spans="1:9" ht="13.15">
      <c r="A81" s="9"/>
      <c r="B81" s="9"/>
      <c r="C81" s="9"/>
      <c r="D81" s="9"/>
      <c r="E81" s="9"/>
      <c r="F81" s="10"/>
      <c r="G81" s="9"/>
      <c r="H81" s="9"/>
      <c r="I81" s="10"/>
    </row>
    <row r="82" spans="1:9" ht="13.15">
      <c r="A82" s="9"/>
      <c r="B82" s="9"/>
      <c r="C82" s="9"/>
      <c r="D82" s="9"/>
      <c r="E82" s="9"/>
      <c r="F82" s="10"/>
      <c r="G82" s="9"/>
      <c r="H82" s="9"/>
      <c r="I82" s="10"/>
    </row>
    <row r="83" spans="1:9" ht="13.15">
      <c r="A83" s="9"/>
      <c r="B83" s="9"/>
      <c r="C83" s="9"/>
      <c r="D83" s="9"/>
      <c r="E83" s="9"/>
      <c r="F83" s="10"/>
      <c r="G83" s="9"/>
      <c r="H83" s="9"/>
      <c r="I83" s="10"/>
    </row>
    <row r="84" spans="1:9" ht="13.15">
      <c r="A84" s="9"/>
      <c r="B84" s="9"/>
      <c r="C84" s="9"/>
      <c r="D84" s="9"/>
      <c r="E84" s="9"/>
      <c r="F84" s="10"/>
      <c r="G84" s="9"/>
      <c r="H84" s="9"/>
      <c r="I84" s="10"/>
    </row>
    <row r="85" spans="1:9" ht="13.15">
      <c r="A85" s="9"/>
      <c r="B85" s="9"/>
      <c r="C85" s="9"/>
      <c r="D85" s="9"/>
      <c r="E85" s="9"/>
      <c r="F85" s="10"/>
      <c r="G85" s="9"/>
      <c r="H85" s="9"/>
      <c r="I85" s="10"/>
    </row>
    <row r="86" spans="1:9" ht="13.15">
      <c r="A86" s="9"/>
      <c r="B86" s="9"/>
      <c r="C86" s="9"/>
      <c r="D86" s="9"/>
      <c r="E86" s="9"/>
      <c r="F86" s="10"/>
      <c r="G86" s="9"/>
      <c r="H86" s="9"/>
      <c r="I86" s="10"/>
    </row>
    <row r="87" spans="1:9" ht="13.15">
      <c r="A87" s="9"/>
      <c r="B87" s="9"/>
      <c r="C87" s="9"/>
      <c r="D87" s="9"/>
      <c r="E87" s="9"/>
      <c r="F87" s="10"/>
      <c r="G87" s="9"/>
      <c r="H87" s="9"/>
      <c r="I87" s="10"/>
    </row>
    <row r="88" spans="1:9" ht="13.15">
      <c r="A88" s="9"/>
      <c r="B88" s="9"/>
      <c r="C88" s="9"/>
      <c r="D88" s="9"/>
      <c r="E88" s="9"/>
      <c r="F88" s="10"/>
      <c r="G88" s="9"/>
      <c r="H88" s="9"/>
      <c r="I88" s="10"/>
    </row>
    <row r="89" spans="1:9" ht="13.15">
      <c r="A89" s="9"/>
      <c r="B89" s="9"/>
      <c r="C89" s="9"/>
      <c r="D89" s="9"/>
      <c r="E89" s="9"/>
      <c r="F89" s="10"/>
      <c r="G89" s="9"/>
      <c r="H89" s="9"/>
      <c r="I89" s="10"/>
    </row>
    <row r="90" spans="1:9" ht="13.15">
      <c r="A90" s="9"/>
      <c r="B90" s="9"/>
      <c r="C90" s="9"/>
      <c r="D90" s="9"/>
      <c r="E90" s="9"/>
      <c r="F90" s="10"/>
      <c r="G90" s="9"/>
      <c r="H90" s="9"/>
      <c r="I90" s="10"/>
    </row>
    <row r="91" spans="1:9" ht="13.15">
      <c r="A91" s="9"/>
      <c r="B91" s="9"/>
      <c r="C91" s="9"/>
      <c r="D91" s="9"/>
      <c r="E91" s="9"/>
      <c r="F91" s="10"/>
      <c r="G91" s="9"/>
      <c r="H91" s="9"/>
      <c r="I91" s="10"/>
    </row>
    <row r="92" spans="1:9" ht="13.15">
      <c r="A92" s="9"/>
      <c r="B92" s="9"/>
      <c r="C92" s="9"/>
      <c r="D92" s="9"/>
      <c r="E92" s="9"/>
      <c r="F92" s="10"/>
      <c r="G92" s="9"/>
      <c r="H92" s="9"/>
      <c r="I92" s="10"/>
    </row>
    <row r="93" spans="1:9" ht="13.15">
      <c r="A93" s="9"/>
      <c r="B93" s="9"/>
      <c r="C93" s="9"/>
      <c r="D93" s="9"/>
      <c r="E93" s="9"/>
      <c r="F93" s="10"/>
      <c r="G93" s="9"/>
      <c r="H93" s="9"/>
      <c r="I93" s="10"/>
    </row>
    <row r="94" spans="1:9" ht="13.15">
      <c r="A94" s="9"/>
      <c r="B94" s="9"/>
      <c r="C94" s="9"/>
      <c r="D94" s="9"/>
      <c r="E94" s="9"/>
      <c r="F94" s="10"/>
      <c r="G94" s="9"/>
      <c r="H94" s="9"/>
      <c r="I94" s="10"/>
    </row>
    <row r="95" spans="1:9" ht="13.15">
      <c r="A95" s="9"/>
      <c r="B95" s="9"/>
      <c r="C95" s="9"/>
      <c r="D95" s="9"/>
      <c r="E95" s="9"/>
      <c r="F95" s="10"/>
      <c r="G95" s="9"/>
      <c r="H95" s="9"/>
      <c r="I95" s="10"/>
    </row>
    <row r="96" spans="1:9" ht="13.15">
      <c r="A96" s="9"/>
      <c r="B96" s="9"/>
      <c r="C96" s="9"/>
      <c r="D96" s="9"/>
      <c r="E96" s="9"/>
      <c r="F96" s="10"/>
      <c r="G96" s="9"/>
      <c r="H96" s="9"/>
      <c r="I96" s="10"/>
    </row>
    <row r="97" spans="1:9" ht="13.15">
      <c r="A97" s="9"/>
      <c r="B97" s="9"/>
      <c r="C97" s="9"/>
      <c r="D97" s="9"/>
      <c r="E97" s="9"/>
      <c r="F97" s="10"/>
      <c r="G97" s="9"/>
      <c r="H97" s="9"/>
      <c r="I97" s="10"/>
    </row>
    <row r="98" spans="1:9" ht="13.15">
      <c r="A98" s="9"/>
      <c r="B98" s="9"/>
      <c r="C98" s="9"/>
      <c r="D98" s="9"/>
      <c r="E98" s="9"/>
      <c r="F98" s="10"/>
      <c r="G98" s="9"/>
      <c r="H98" s="9"/>
      <c r="I98" s="10"/>
    </row>
    <row r="99" spans="1:9" ht="13.15">
      <c r="A99" s="9"/>
      <c r="B99" s="9"/>
      <c r="C99" s="9"/>
      <c r="D99" s="9"/>
      <c r="E99" s="9"/>
      <c r="F99" s="10"/>
      <c r="G99" s="9"/>
      <c r="H99" s="9"/>
      <c r="I99" s="10"/>
    </row>
    <row r="100" spans="1:9" ht="13.15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15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15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15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15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15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15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15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15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15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15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15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15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15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15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15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15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15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15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15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15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15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15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15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15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15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15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15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15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15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15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15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15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15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15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15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15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15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15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15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15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15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15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15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15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15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15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15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15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15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15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15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15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15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15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15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15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15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15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15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15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15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15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15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15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15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15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15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15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15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15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15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15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15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15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15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15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15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15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15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15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15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15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15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15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15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15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15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15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15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15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15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15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15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15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15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15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15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15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15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15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15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15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15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15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15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15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15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15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15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15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15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15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15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15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15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15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15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15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15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15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15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15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15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15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15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15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15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15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15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15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15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15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15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15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15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15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15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15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15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15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15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15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15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15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15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15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15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15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15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15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15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15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15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15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15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15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15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15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15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15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15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15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15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15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15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15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15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15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15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15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15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15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15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15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15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15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15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15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15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15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15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15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15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15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15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15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15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15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15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15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15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15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15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15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15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15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15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15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15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15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15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15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15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15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15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15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15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15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15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15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15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15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15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15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15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15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15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15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15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15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15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15">
      <c r="A322" s="9"/>
      <c r="B322" s="9"/>
      <c r="C322" s="9"/>
      <c r="D322" s="9"/>
      <c r="E322" s="9"/>
      <c r="F322" s="10"/>
      <c r="G322" s="9"/>
      <c r="H322" s="9"/>
      <c r="I322" s="10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bottomRight" activeCell="H18" sqref="H18"/>
      <selection pane="bottomLeft" activeCell="A4" sqref="A4:I6"/>
      <selection pane="topRight" activeCell="A4" sqref="A4:I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3" t="str" cm="1">
        <f t="array" ref="A1">portfolio</f>
        <v>Renewable Properties</v>
      </c>
      <c r="B1" s="73"/>
      <c r="C1" s="73"/>
      <c r="D1" s="74" t="s">
        <v>10</v>
      </c>
      <c r="E1" s="74"/>
      <c r="F1" s="74"/>
      <c r="G1" s="72" t="s">
        <v>11</v>
      </c>
      <c r="H1" s="72"/>
      <c r="I1" s="72"/>
    </row>
    <row r="2" spans="1:9" ht="19.5" customHeight="1">
      <c r="A2" s="75" t="s">
        <v>2</v>
      </c>
      <c r="B2" s="75"/>
      <c r="C2" s="5">
        <f>SUM(C4:C80)</f>
        <v>1856728</v>
      </c>
      <c r="D2" s="5">
        <f>SUM(D4:D80)</f>
        <v>1943166.5050999997</v>
      </c>
      <c r="E2" s="5">
        <f>C2-D2</f>
        <v>-86438.505099999718</v>
      </c>
      <c r="F2" s="6">
        <f>IFERROR(E2/D2, 0)</f>
        <v>-4.4483323931909478E-2</v>
      </c>
      <c r="G2" s="5">
        <f>SUM(G4:G80)</f>
        <v>2565446.4500000002</v>
      </c>
      <c r="H2" s="7">
        <f>C2-G2</f>
        <v>-708718.45000000019</v>
      </c>
      <c r="I2" s="6">
        <f>IFERROR(H2/G2, 0)</f>
        <v>-0.2762554057598825</v>
      </c>
    </row>
    <row r="3" spans="1:9" ht="14.25" customHeight="1">
      <c r="A3" s="8" t="s">
        <v>3</v>
      </c>
      <c r="B3" s="8" t="s">
        <v>4</v>
      </c>
      <c r="C3" s="11" t="s">
        <v>5</v>
      </c>
      <c r="D3" s="16" t="s">
        <v>6</v>
      </c>
      <c r="E3" s="16" t="s">
        <v>7</v>
      </c>
      <c r="F3" s="17" t="s">
        <v>8</v>
      </c>
      <c r="G3" s="18" t="s">
        <v>9</v>
      </c>
      <c r="H3" s="19" t="s">
        <v>7</v>
      </c>
      <c r="I3" s="20" t="s">
        <v>8</v>
      </c>
    </row>
    <row r="4" spans="1:9" ht="15.75">
      <c r="A4" s="38" t="str" cm="1">
        <f t="array" ref="A4:A11">Sites[Site]</f>
        <v>Cedar Swamp Rd</v>
      </c>
      <c r="B4" s="26" t="str" cm="1">
        <f t="array" ref="B4:B11">Sites[State]</f>
        <v>MA</v>
      </c>
      <c r="C4" s="27">
        <f>SUM(Jan!C4, Feb!C4, Mar!C4)</f>
        <v>229797.5</v>
      </c>
      <c r="D4" s="28">
        <f>SUM(Jan!D4, Feb!D4, Mar!D4)</f>
        <v>205242.87599999999</v>
      </c>
      <c r="E4" s="28">
        <f>IF(AND(ISNUMBER(C4),ISNUMBER(D4)), C4-D4, "")</f>
        <v>24554.624000000011</v>
      </c>
      <c r="F4" s="29">
        <f>IFERROR(E4/D4, "")</f>
        <v>0.11963691251334839</v>
      </c>
      <c r="G4" s="30">
        <f>SUM(Jan!G4, Feb!G4, Mar!G4)</f>
        <v>205591.58000000002</v>
      </c>
      <c r="H4" s="30">
        <f>SUM(Jan!H4, Feb!H4, Mar!H4)</f>
        <v>24205.919999999998</v>
      </c>
      <c r="I4" s="31">
        <f>IFERROR(H4/G4, "")</f>
        <v>0.11773789568619492</v>
      </c>
    </row>
    <row r="5" spans="1:9" ht="15.75">
      <c r="A5" s="39" t="str">
        <v>Bullis</v>
      </c>
      <c r="B5" s="33" t="str">
        <v>NY</v>
      </c>
      <c r="C5" s="34">
        <f>SUM(Jan!C5, Feb!C5, Mar!C5)</f>
        <v>1076204</v>
      </c>
      <c r="D5" s="35">
        <f>SUM(Jan!D5, Feb!D5, Mar!D5)</f>
        <v>1128123.0819999999</v>
      </c>
      <c r="E5" s="35">
        <f t="shared" ref="E5:E6" si="0">IF(AND(ISNUMBER(C5),ISNUMBER(D5)), C5-D5, "")</f>
        <v>-51919.081999999937</v>
      </c>
      <c r="F5" s="36">
        <f>IFERROR(E5/D5, "")</f>
        <v>-4.6022533204404324E-2</v>
      </c>
      <c r="G5" s="37">
        <f>SUM(Jan!G5, Feb!G5, Mar!G5)</f>
        <v>1369235.95</v>
      </c>
      <c r="H5" s="37">
        <f>SUM(Jan!H5, Feb!H5, Mar!H5)</f>
        <v>-293031.94999999995</v>
      </c>
      <c r="I5" s="36">
        <f>IFERROR(H5/G5, "")</f>
        <v>-0.21401128855841095</v>
      </c>
    </row>
    <row r="6" spans="1:9" ht="15.75">
      <c r="A6" s="38" t="str">
        <v>Rock Island</v>
      </c>
      <c r="B6" s="26" t="str">
        <v>NY</v>
      </c>
      <c r="C6" s="27">
        <f>SUM(Jan!C6, Feb!C6, Mar!C6)</f>
        <v>550726.5</v>
      </c>
      <c r="D6" s="28">
        <f>SUM(Jan!D6, Feb!D6, Mar!D6)</f>
        <v>609800.54709999997</v>
      </c>
      <c r="E6" s="28">
        <f t="shared" si="0"/>
        <v>-59074.047099999967</v>
      </c>
      <c r="F6" s="29">
        <f t="shared" ref="F6:F11" si="1">IFERROR(E6/D6, "")</f>
        <v>-9.6874375369021326E-2</v>
      </c>
      <c r="G6" s="30">
        <f>SUM(Jan!G6, Feb!G6, Mar!G6)</f>
        <v>990618.92</v>
      </c>
      <c r="H6" s="30">
        <f>SUM(Jan!H6, Feb!H6, Mar!H6)</f>
        <v>-439892.42000000004</v>
      </c>
      <c r="I6" s="31">
        <f t="shared" ref="I6:I11" si="2">IFERROR(H6/G6, "")</f>
        <v>-0.44405816517213303</v>
      </c>
    </row>
    <row r="7" spans="1:9" ht="15.75">
      <c r="A7" s="39" t="str">
        <v>Winslow - Roderick</v>
      </c>
      <c r="B7" s="33" t="str">
        <v>ME</v>
      </c>
      <c r="C7" s="34">
        <f>SUM(Jan!C7, Feb!C7, Mar!C7)</f>
        <v>0</v>
      </c>
      <c r="D7" s="35">
        <f>SUM(Jan!D7, Feb!D7, Mar!D7)</f>
        <v>0</v>
      </c>
      <c r="E7" s="35">
        <f t="shared" ref="E7:E10" si="3">IF(AND(ISNUMBER(C7),ISNUMBER(D7)), C7-D7, "")</f>
        <v>0</v>
      </c>
      <c r="F7" s="36" t="str">
        <f t="shared" si="1"/>
        <v/>
      </c>
      <c r="G7" s="37">
        <f>SUM(Jan!G7, Feb!G7, Mar!G7)</f>
        <v>0</v>
      </c>
      <c r="H7" s="37">
        <f>SUM(Jan!H7, Feb!H7, Mar!H7)</f>
        <v>0</v>
      </c>
      <c r="I7" s="36" t="str">
        <f t="shared" si="2"/>
        <v/>
      </c>
    </row>
    <row r="8" spans="1:9" ht="15.75">
      <c r="A8" s="38" t="str">
        <v>Minoa - Clemons Rd</v>
      </c>
      <c r="B8" s="26" t="str">
        <v>NY</v>
      </c>
      <c r="C8" s="27">
        <f>SUM(Jan!C8, Feb!C8, Mar!C8)</f>
        <v>0</v>
      </c>
      <c r="D8" s="28">
        <f>SUM(Jan!D8, Feb!D8, Mar!D8)</f>
        <v>0</v>
      </c>
      <c r="E8" s="28">
        <f t="shared" si="3"/>
        <v>0</v>
      </c>
      <c r="F8" s="29" t="str">
        <f t="shared" si="1"/>
        <v/>
      </c>
      <c r="G8" s="30">
        <f>SUM(Jan!G8, Feb!G8, Mar!G8)</f>
        <v>0</v>
      </c>
      <c r="H8" s="30">
        <f>SUM(Jan!H8, Feb!H8, Mar!H8)</f>
        <v>0</v>
      </c>
      <c r="I8" s="31" t="str">
        <f t="shared" si="2"/>
        <v/>
      </c>
    </row>
    <row r="9" spans="1:9" ht="15.75">
      <c r="A9" s="39" t="str">
        <v>Manchester - Western</v>
      </c>
      <c r="B9" s="33" t="str">
        <v>ME</v>
      </c>
      <c r="C9" s="34">
        <f>SUM(Jan!C9, Feb!C9, Mar!C9)</f>
        <v>0</v>
      </c>
      <c r="D9" s="35">
        <f>SUM(Jan!D9, Feb!D9, Mar!D9)</f>
        <v>0</v>
      </c>
      <c r="E9" s="35">
        <f t="shared" ref="E9:E11" si="4">IF(AND(ISNUMBER(C9),ISNUMBER(D9)), C9-D9, "")</f>
        <v>0</v>
      </c>
      <c r="F9" s="36" t="str">
        <f t="shared" si="1"/>
        <v/>
      </c>
      <c r="G9" s="37">
        <f>SUM(Jan!G9, Feb!G9, Mar!G9)</f>
        <v>0</v>
      </c>
      <c r="H9" s="37">
        <f>SUM(Jan!H9, Feb!H9, Mar!H9)</f>
        <v>0</v>
      </c>
      <c r="I9" s="36" t="str">
        <f t="shared" si="2"/>
        <v/>
      </c>
    </row>
    <row r="10" spans="1:9" ht="15.75">
      <c r="A10" s="38" t="str">
        <v>Batavia - Pike Rd</v>
      </c>
      <c r="B10" s="26" t="str">
        <v>NY</v>
      </c>
      <c r="C10" s="27">
        <f>SUM(Jan!C10, Feb!C10, Mar!C10)</f>
        <v>0</v>
      </c>
      <c r="D10" s="28">
        <f>SUM(Jan!D10, Feb!D10, Mar!D10)</f>
        <v>0</v>
      </c>
      <c r="E10" s="28">
        <f t="shared" si="3"/>
        <v>0</v>
      </c>
      <c r="F10" s="29" t="str">
        <f t="shared" si="1"/>
        <v/>
      </c>
      <c r="G10" s="30">
        <f>SUM(Jan!G10, Feb!G10, Mar!G10)</f>
        <v>0</v>
      </c>
      <c r="H10" s="30">
        <f>SUM(Jan!H10, Feb!H10, Mar!H10)</f>
        <v>0</v>
      </c>
      <c r="I10" s="31" t="str">
        <f t="shared" si="2"/>
        <v/>
      </c>
    </row>
    <row r="11" spans="1:9" ht="15.75">
      <c r="A11" s="39" t="str">
        <v>Slayton A &amp; B</v>
      </c>
      <c r="B11" s="33" t="str">
        <v>NY</v>
      </c>
      <c r="C11" s="34">
        <f>SUM(Jan!C11, Feb!C11, Mar!C11)</f>
        <v>0</v>
      </c>
      <c r="D11" s="35">
        <f>SUM(Jan!D11, Feb!D11, Mar!D11)</f>
        <v>0</v>
      </c>
      <c r="E11" s="35">
        <f t="shared" si="4"/>
        <v>0</v>
      </c>
      <c r="F11" s="36" t="str">
        <f t="shared" si="1"/>
        <v/>
      </c>
      <c r="G11" s="37">
        <f>SUM(Jan!G11, Feb!G11, Mar!G11)</f>
        <v>0</v>
      </c>
      <c r="H11" s="37">
        <f>SUM(Jan!H11, Feb!H11, Mar!H11)</f>
        <v>0</v>
      </c>
      <c r="I11" s="36" t="str">
        <f t="shared" si="2"/>
        <v/>
      </c>
    </row>
    <row r="12" spans="1:9" ht="13.15">
      <c r="A12" s="9"/>
      <c r="B12" s="9"/>
      <c r="C12" s="9"/>
      <c r="D12" s="9"/>
      <c r="E12" s="9"/>
      <c r="F12" s="9"/>
      <c r="G12" s="9"/>
      <c r="H12" s="9"/>
      <c r="I12" s="9"/>
    </row>
    <row r="13" spans="1:9" ht="13.15">
      <c r="A13" s="9"/>
      <c r="B13" s="9"/>
      <c r="C13" s="9"/>
      <c r="D13" s="9"/>
      <c r="E13" s="9"/>
      <c r="F13" s="10"/>
      <c r="G13" s="9"/>
      <c r="H13" s="9"/>
      <c r="I13" s="10"/>
    </row>
    <row r="14" spans="1:9" ht="13.15">
      <c r="A14" s="9"/>
      <c r="B14" s="9"/>
      <c r="C14" s="9"/>
      <c r="D14" s="9"/>
      <c r="E14" s="9"/>
      <c r="F14" s="10"/>
      <c r="G14" s="9"/>
      <c r="H14" s="9"/>
      <c r="I14" s="10"/>
    </row>
    <row r="15" spans="1:9" ht="13.15">
      <c r="A15" s="9"/>
      <c r="B15" s="9"/>
      <c r="C15" s="9"/>
      <c r="D15" s="9"/>
      <c r="E15" s="9"/>
      <c r="F15" s="10"/>
      <c r="G15" s="9"/>
      <c r="H15" s="9"/>
      <c r="I15" s="10"/>
    </row>
    <row r="16" spans="1:9" ht="13.15">
      <c r="A16" s="9"/>
      <c r="B16" s="9"/>
      <c r="C16" s="9"/>
      <c r="D16" s="9"/>
      <c r="E16" s="9"/>
      <c r="F16" s="10"/>
      <c r="G16" s="9"/>
      <c r="H16" s="9"/>
      <c r="I16" s="10"/>
    </row>
    <row r="17" spans="1:9" ht="13.15">
      <c r="A17" s="9"/>
      <c r="B17" s="9"/>
      <c r="C17" s="9"/>
      <c r="D17" s="9"/>
      <c r="E17" s="9"/>
      <c r="F17" s="10"/>
      <c r="G17" s="9"/>
      <c r="H17" s="9"/>
      <c r="I17" s="10"/>
    </row>
    <row r="18" spans="1:9" ht="13.15">
      <c r="A18" s="9"/>
      <c r="B18" s="9"/>
      <c r="C18" s="9"/>
      <c r="D18" s="9"/>
      <c r="E18" s="9"/>
      <c r="F18" s="10"/>
      <c r="G18" s="9"/>
      <c r="H18" s="9"/>
      <c r="I18" s="10"/>
    </row>
    <row r="19" spans="1:9" ht="13.15">
      <c r="A19" s="9"/>
      <c r="B19" s="9"/>
      <c r="C19" s="9"/>
      <c r="D19" s="9"/>
      <c r="E19" s="9"/>
      <c r="F19" s="10"/>
      <c r="G19" s="9"/>
      <c r="H19" s="9"/>
      <c r="I19" s="10"/>
    </row>
    <row r="20" spans="1:9" ht="13.15">
      <c r="A20" s="9"/>
      <c r="B20" s="9"/>
      <c r="C20" s="9"/>
      <c r="D20" s="9"/>
      <c r="E20" s="9"/>
      <c r="F20" s="10"/>
      <c r="G20" s="9"/>
      <c r="H20" s="9"/>
      <c r="I20" s="10"/>
    </row>
    <row r="21" spans="1:9" ht="13.15">
      <c r="A21" s="9"/>
      <c r="B21" s="9"/>
      <c r="C21" s="9"/>
      <c r="D21" s="9"/>
      <c r="E21" s="9"/>
      <c r="F21" s="10"/>
      <c r="G21" s="9"/>
      <c r="H21" s="9"/>
      <c r="I21" s="10"/>
    </row>
    <row r="22" spans="1:9" ht="13.15">
      <c r="A22" s="9"/>
      <c r="B22" s="9"/>
      <c r="C22" s="9"/>
      <c r="D22" s="9"/>
      <c r="E22" s="9"/>
      <c r="F22" s="10"/>
      <c r="G22" s="9"/>
      <c r="H22" s="9"/>
      <c r="I22" s="10"/>
    </row>
    <row r="23" spans="1:9" ht="13.15">
      <c r="A23" s="9"/>
      <c r="B23" s="9"/>
      <c r="C23" s="9"/>
      <c r="D23" s="9"/>
      <c r="E23" s="9"/>
      <c r="F23" s="10"/>
      <c r="G23" s="9"/>
      <c r="H23" s="9"/>
      <c r="I23" s="10"/>
    </row>
    <row r="24" spans="1:9" ht="13.15">
      <c r="A24" s="9"/>
      <c r="B24" s="9"/>
      <c r="C24" s="9"/>
      <c r="D24" s="9"/>
      <c r="E24" s="9"/>
      <c r="F24" s="10"/>
      <c r="G24" s="9"/>
      <c r="H24" s="9"/>
      <c r="I24" s="10"/>
    </row>
    <row r="25" spans="1:9" ht="13.15">
      <c r="A25" s="9"/>
      <c r="B25" s="9"/>
      <c r="C25" s="9"/>
      <c r="D25" s="9"/>
      <c r="E25" s="9"/>
      <c r="F25" s="10"/>
      <c r="G25" s="9"/>
      <c r="H25" s="9"/>
      <c r="I25" s="10"/>
    </row>
    <row r="26" spans="1:9" ht="13.15">
      <c r="A26" s="9"/>
      <c r="B26" s="9"/>
      <c r="C26" s="9"/>
      <c r="D26" s="9"/>
      <c r="E26" s="9"/>
      <c r="F26" s="10"/>
      <c r="G26" s="9"/>
      <c r="H26" s="9"/>
      <c r="I26" s="10"/>
    </row>
    <row r="27" spans="1:9" ht="13.15">
      <c r="A27" s="9"/>
      <c r="B27" s="9"/>
      <c r="C27" s="9"/>
      <c r="D27" s="9"/>
      <c r="E27" s="9"/>
      <c r="F27" s="10"/>
      <c r="G27" s="9"/>
      <c r="H27" s="9"/>
      <c r="I27" s="10"/>
    </row>
    <row r="28" spans="1:9" ht="13.15">
      <c r="A28" s="9"/>
      <c r="B28" s="9"/>
      <c r="C28" s="9"/>
      <c r="D28" s="9"/>
      <c r="E28" s="9"/>
      <c r="F28" s="10"/>
      <c r="G28" s="9"/>
      <c r="H28" s="9"/>
      <c r="I28" s="10"/>
    </row>
    <row r="29" spans="1:9" ht="13.15">
      <c r="A29" s="9"/>
      <c r="B29" s="9"/>
      <c r="C29" s="9"/>
      <c r="D29" s="9"/>
      <c r="E29" s="9"/>
      <c r="F29" s="10"/>
      <c r="G29" s="9"/>
      <c r="H29" s="9"/>
      <c r="I29" s="10"/>
    </row>
    <row r="30" spans="1:9" ht="13.15">
      <c r="A30" s="9"/>
      <c r="B30" s="9"/>
      <c r="C30" s="9"/>
      <c r="D30" s="9"/>
      <c r="E30" s="9"/>
      <c r="F30" s="10"/>
      <c r="G30" s="9"/>
      <c r="H30" s="9"/>
      <c r="I30" s="10"/>
    </row>
    <row r="31" spans="1:9" ht="13.15">
      <c r="A31" s="9"/>
      <c r="B31" s="9"/>
      <c r="C31" s="9"/>
      <c r="D31" s="9"/>
      <c r="E31" s="9"/>
      <c r="F31" s="10"/>
      <c r="G31" s="9"/>
      <c r="H31" s="9"/>
      <c r="I31" s="10"/>
    </row>
    <row r="32" spans="1:9" ht="13.15">
      <c r="A32" s="9"/>
      <c r="B32" s="9"/>
      <c r="C32" s="9"/>
      <c r="D32" s="9"/>
      <c r="E32" s="9"/>
      <c r="F32" s="10"/>
      <c r="G32" s="9"/>
      <c r="H32" s="9"/>
      <c r="I32" s="10"/>
    </row>
    <row r="33" spans="1:9" ht="13.15">
      <c r="A33" s="9"/>
      <c r="B33" s="9"/>
      <c r="C33" s="9"/>
      <c r="D33" s="9"/>
      <c r="E33" s="9"/>
      <c r="F33" s="10"/>
      <c r="G33" s="9"/>
      <c r="H33" s="9"/>
      <c r="I33" s="10"/>
    </row>
    <row r="34" spans="1:9" ht="13.15">
      <c r="A34" s="9"/>
      <c r="B34" s="9"/>
      <c r="C34" s="9"/>
      <c r="D34" s="9"/>
      <c r="E34" s="9"/>
      <c r="F34" s="10"/>
      <c r="G34" s="9"/>
      <c r="H34" s="9"/>
      <c r="I34" s="10"/>
    </row>
    <row r="35" spans="1:9" ht="13.15">
      <c r="A35" s="9"/>
      <c r="B35" s="9"/>
      <c r="C35" s="9"/>
      <c r="D35" s="9"/>
      <c r="E35" s="9"/>
      <c r="F35" s="10"/>
      <c r="G35" s="9"/>
      <c r="H35" s="9"/>
      <c r="I35" s="10"/>
    </row>
    <row r="36" spans="1:9" ht="13.15">
      <c r="A36" s="9"/>
      <c r="B36" s="9"/>
      <c r="C36" s="9"/>
      <c r="D36" s="9"/>
      <c r="E36" s="9"/>
      <c r="F36" s="10"/>
      <c r="G36" s="9"/>
      <c r="H36" s="9"/>
      <c r="I36" s="10"/>
    </row>
    <row r="37" spans="1:9" ht="13.15">
      <c r="A37" s="9"/>
      <c r="B37" s="9"/>
      <c r="C37" s="9"/>
      <c r="D37" s="9"/>
      <c r="E37" s="9"/>
      <c r="F37" s="10"/>
      <c r="G37" s="9"/>
      <c r="H37" s="9"/>
      <c r="I37" s="10"/>
    </row>
    <row r="38" spans="1:9" ht="13.15">
      <c r="A38" s="9"/>
      <c r="B38" s="9"/>
      <c r="C38" s="9"/>
      <c r="D38" s="9"/>
      <c r="E38" s="9"/>
      <c r="F38" s="10"/>
      <c r="G38" s="9"/>
      <c r="H38" s="9"/>
      <c r="I38" s="10"/>
    </row>
    <row r="39" spans="1:9" ht="13.15">
      <c r="A39" s="9"/>
      <c r="B39" s="9"/>
      <c r="C39" s="9"/>
      <c r="D39" s="9"/>
      <c r="E39" s="9"/>
      <c r="F39" s="10"/>
      <c r="G39" s="9"/>
      <c r="H39" s="9"/>
      <c r="I39" s="10"/>
    </row>
    <row r="40" spans="1:9" ht="13.15">
      <c r="A40" s="9"/>
      <c r="B40" s="9"/>
      <c r="C40" s="9"/>
      <c r="D40" s="9"/>
      <c r="E40" s="9"/>
      <c r="F40" s="10"/>
      <c r="G40" s="9"/>
      <c r="H40" s="9"/>
      <c r="I40" s="10"/>
    </row>
    <row r="41" spans="1:9" ht="13.15">
      <c r="A41" s="9"/>
      <c r="B41" s="9"/>
      <c r="C41" s="9"/>
      <c r="D41" s="9"/>
      <c r="E41" s="9"/>
      <c r="F41" s="10"/>
      <c r="G41" s="9"/>
      <c r="H41" s="9"/>
      <c r="I41" s="10"/>
    </row>
    <row r="42" spans="1:9" ht="13.15">
      <c r="A42" s="9"/>
      <c r="B42" s="9"/>
      <c r="C42" s="9"/>
      <c r="D42" s="9"/>
      <c r="E42" s="9"/>
      <c r="F42" s="10"/>
      <c r="G42" s="9"/>
      <c r="H42" s="9"/>
      <c r="I42" s="10"/>
    </row>
    <row r="43" spans="1:9" ht="13.15">
      <c r="A43" s="9"/>
      <c r="B43" s="9"/>
      <c r="C43" s="9"/>
      <c r="D43" s="9"/>
      <c r="E43" s="9"/>
      <c r="F43" s="10"/>
      <c r="G43" s="9"/>
      <c r="H43" s="9"/>
      <c r="I43" s="10"/>
    </row>
    <row r="44" spans="1:9" ht="13.15">
      <c r="A44" s="9"/>
      <c r="B44" s="9"/>
      <c r="C44" s="9"/>
      <c r="D44" s="9"/>
      <c r="E44" s="9"/>
      <c r="F44" s="10"/>
      <c r="G44" s="9"/>
      <c r="H44" s="9"/>
      <c r="I44" s="10"/>
    </row>
    <row r="45" spans="1:9" ht="13.15">
      <c r="A45" s="9"/>
      <c r="B45" s="9"/>
      <c r="C45" s="9"/>
      <c r="D45" s="9"/>
      <c r="E45" s="9"/>
      <c r="F45" s="10"/>
      <c r="G45" s="9"/>
      <c r="H45" s="9"/>
      <c r="I45" s="10"/>
    </row>
    <row r="46" spans="1:9" ht="13.15">
      <c r="A46" s="9"/>
      <c r="B46" s="9"/>
      <c r="C46" s="9"/>
      <c r="D46" s="9"/>
      <c r="E46" s="9"/>
      <c r="F46" s="10"/>
      <c r="G46" s="9"/>
      <c r="H46" s="9"/>
      <c r="I46" s="10"/>
    </row>
    <row r="47" spans="1:9" ht="13.15">
      <c r="A47" s="9"/>
      <c r="B47" s="9"/>
      <c r="C47" s="9"/>
      <c r="D47" s="9"/>
      <c r="E47" s="9"/>
      <c r="F47" s="10"/>
      <c r="G47" s="9"/>
      <c r="H47" s="9"/>
      <c r="I47" s="10"/>
    </row>
    <row r="48" spans="1:9" ht="13.15">
      <c r="A48" s="9"/>
      <c r="B48" s="9"/>
      <c r="C48" s="9"/>
      <c r="D48" s="9"/>
      <c r="E48" s="9"/>
      <c r="F48" s="10"/>
      <c r="G48" s="9"/>
      <c r="H48" s="9"/>
      <c r="I48" s="10"/>
    </row>
    <row r="49" spans="1:9" ht="13.15">
      <c r="A49" s="9"/>
      <c r="B49" s="9"/>
      <c r="C49" s="9"/>
      <c r="D49" s="9"/>
      <c r="E49" s="9"/>
      <c r="F49" s="10"/>
      <c r="G49" s="9"/>
      <c r="H49" s="9"/>
      <c r="I49" s="10"/>
    </row>
    <row r="50" spans="1:9" ht="13.15">
      <c r="A50" s="9"/>
      <c r="B50" s="9"/>
      <c r="C50" s="9"/>
      <c r="D50" s="9"/>
      <c r="E50" s="9"/>
      <c r="F50" s="10"/>
      <c r="G50" s="9"/>
      <c r="H50" s="9"/>
      <c r="I50" s="10"/>
    </row>
    <row r="51" spans="1:9" ht="13.15">
      <c r="A51" s="9"/>
      <c r="B51" s="9"/>
      <c r="C51" s="9"/>
      <c r="D51" s="9"/>
      <c r="E51" s="9"/>
      <c r="F51" s="10"/>
      <c r="G51" s="9"/>
      <c r="H51" s="9"/>
      <c r="I51" s="10"/>
    </row>
    <row r="52" spans="1:9" ht="13.15">
      <c r="A52" s="9"/>
      <c r="B52" s="9"/>
      <c r="C52" s="9"/>
      <c r="D52" s="9"/>
      <c r="E52" s="9"/>
      <c r="F52" s="10"/>
      <c r="G52" s="9"/>
      <c r="H52" s="9"/>
      <c r="I52" s="10"/>
    </row>
    <row r="53" spans="1:9" ht="13.15">
      <c r="A53" s="9"/>
      <c r="B53" s="9"/>
      <c r="C53" s="9"/>
      <c r="D53" s="9"/>
      <c r="E53" s="9"/>
      <c r="F53" s="10"/>
      <c r="G53" s="9"/>
      <c r="H53" s="9"/>
      <c r="I53" s="10"/>
    </row>
    <row r="54" spans="1:9" ht="13.15">
      <c r="A54" s="9"/>
      <c r="B54" s="9"/>
      <c r="C54" s="9"/>
      <c r="D54" s="9"/>
      <c r="E54" s="9"/>
      <c r="F54" s="10"/>
      <c r="G54" s="9"/>
      <c r="H54" s="9"/>
      <c r="I54" s="10"/>
    </row>
    <row r="55" spans="1:9" ht="13.15">
      <c r="A55" s="9"/>
      <c r="B55" s="9"/>
      <c r="C55" s="9"/>
      <c r="D55" s="9"/>
      <c r="E55" s="9"/>
      <c r="F55" s="10"/>
      <c r="G55" s="9"/>
      <c r="H55" s="9"/>
      <c r="I55" s="10"/>
    </row>
    <row r="56" spans="1:9" ht="13.15">
      <c r="A56" s="9"/>
      <c r="B56" s="9"/>
      <c r="C56" s="9"/>
      <c r="D56" s="9"/>
      <c r="E56" s="9"/>
      <c r="F56" s="10"/>
      <c r="G56" s="9"/>
      <c r="H56" s="9"/>
      <c r="I56" s="10"/>
    </row>
    <row r="57" spans="1:9" ht="13.15">
      <c r="A57" s="9"/>
      <c r="B57" s="9"/>
      <c r="C57" s="9"/>
      <c r="D57" s="9"/>
      <c r="E57" s="9"/>
      <c r="F57" s="10"/>
      <c r="G57" s="9"/>
      <c r="H57" s="9"/>
      <c r="I57" s="10"/>
    </row>
    <row r="58" spans="1:9" ht="13.15">
      <c r="A58" s="9"/>
      <c r="B58" s="9"/>
      <c r="C58" s="9"/>
      <c r="D58" s="9"/>
      <c r="E58" s="9"/>
      <c r="F58" s="10"/>
      <c r="G58" s="9"/>
      <c r="H58" s="9"/>
      <c r="I58" s="10"/>
    </row>
    <row r="59" spans="1:9" ht="13.15">
      <c r="A59" s="9"/>
      <c r="B59" s="9"/>
      <c r="C59" s="9"/>
      <c r="D59" s="9"/>
      <c r="E59" s="9"/>
      <c r="F59" s="10"/>
      <c r="G59" s="9"/>
      <c r="H59" s="9"/>
      <c r="I59" s="10"/>
    </row>
    <row r="60" spans="1:9" ht="13.15">
      <c r="A60" s="9"/>
      <c r="B60" s="9"/>
      <c r="C60" s="9"/>
      <c r="D60" s="9"/>
      <c r="E60" s="9"/>
      <c r="F60" s="10"/>
      <c r="G60" s="9"/>
      <c r="H60" s="9"/>
      <c r="I60" s="10"/>
    </row>
    <row r="61" spans="1:9" ht="13.15">
      <c r="A61" s="9"/>
      <c r="B61" s="9"/>
      <c r="C61" s="9"/>
      <c r="D61" s="9"/>
      <c r="E61" s="9"/>
      <c r="F61" s="10"/>
      <c r="G61" s="9"/>
      <c r="H61" s="9"/>
      <c r="I61" s="10"/>
    </row>
    <row r="62" spans="1:9" ht="13.15">
      <c r="A62" s="9"/>
      <c r="B62" s="9"/>
      <c r="C62" s="9"/>
      <c r="D62" s="9"/>
      <c r="E62" s="9"/>
      <c r="F62" s="10"/>
      <c r="G62" s="9"/>
      <c r="H62" s="9"/>
      <c r="I62" s="10"/>
    </row>
    <row r="63" spans="1:9" ht="13.15">
      <c r="A63" s="9"/>
      <c r="B63" s="9"/>
      <c r="C63" s="9"/>
      <c r="D63" s="9"/>
      <c r="E63" s="9"/>
      <c r="F63" s="10"/>
      <c r="G63" s="9"/>
      <c r="H63" s="9"/>
      <c r="I63" s="10"/>
    </row>
    <row r="64" spans="1:9" ht="13.15">
      <c r="A64" s="9"/>
      <c r="B64" s="9"/>
      <c r="C64" s="9"/>
      <c r="D64" s="9"/>
      <c r="E64" s="9"/>
      <c r="F64" s="10"/>
      <c r="G64" s="9"/>
      <c r="H64" s="9"/>
      <c r="I64" s="10"/>
    </row>
    <row r="65" spans="1:9" ht="13.15">
      <c r="A65" s="9"/>
      <c r="B65" s="9"/>
      <c r="C65" s="9"/>
      <c r="D65" s="9"/>
      <c r="E65" s="9"/>
      <c r="F65" s="10"/>
      <c r="G65" s="9"/>
      <c r="H65" s="9"/>
      <c r="I65" s="10"/>
    </row>
    <row r="66" spans="1:9" ht="13.15">
      <c r="A66" s="9"/>
      <c r="B66" s="9"/>
      <c r="C66" s="9"/>
      <c r="D66" s="9"/>
      <c r="E66" s="9"/>
      <c r="F66" s="10"/>
      <c r="G66" s="9"/>
      <c r="H66" s="9"/>
      <c r="I66" s="10"/>
    </row>
    <row r="67" spans="1:9" ht="13.15">
      <c r="A67" s="9"/>
      <c r="B67" s="9"/>
      <c r="C67" s="9"/>
      <c r="D67" s="9"/>
      <c r="E67" s="9"/>
      <c r="F67" s="10"/>
      <c r="G67" s="9"/>
      <c r="H67" s="9"/>
      <c r="I67" s="10"/>
    </row>
    <row r="68" spans="1:9" ht="13.15">
      <c r="A68" s="9"/>
      <c r="B68" s="9"/>
      <c r="C68" s="9"/>
      <c r="D68" s="9"/>
      <c r="E68" s="9"/>
      <c r="F68" s="10"/>
      <c r="G68" s="9"/>
      <c r="H68" s="9"/>
      <c r="I68" s="10"/>
    </row>
    <row r="69" spans="1:9" ht="13.15">
      <c r="A69" s="9"/>
      <c r="B69" s="9"/>
      <c r="C69" s="9"/>
      <c r="D69" s="9"/>
      <c r="E69" s="9"/>
      <c r="F69" s="10"/>
      <c r="G69" s="9"/>
      <c r="H69" s="9"/>
      <c r="I69" s="10"/>
    </row>
    <row r="70" spans="1:9" ht="13.15">
      <c r="A70" s="9"/>
      <c r="B70" s="9"/>
      <c r="C70" s="9"/>
      <c r="D70" s="9"/>
      <c r="E70" s="9"/>
      <c r="F70" s="10"/>
      <c r="G70" s="9"/>
      <c r="H70" s="9"/>
      <c r="I70" s="10"/>
    </row>
    <row r="71" spans="1:9" ht="13.15">
      <c r="A71" s="9"/>
      <c r="B71" s="9"/>
      <c r="C71" s="9"/>
      <c r="D71" s="9"/>
      <c r="E71" s="9"/>
      <c r="F71" s="10"/>
      <c r="G71" s="9"/>
      <c r="H71" s="9"/>
      <c r="I71" s="10"/>
    </row>
    <row r="72" spans="1:9" ht="13.15">
      <c r="A72" s="9"/>
      <c r="B72" s="9"/>
      <c r="C72" s="9"/>
      <c r="D72" s="9"/>
      <c r="E72" s="9"/>
      <c r="F72" s="10"/>
      <c r="G72" s="9"/>
      <c r="H72" s="9"/>
      <c r="I72" s="10"/>
    </row>
    <row r="73" spans="1:9" ht="13.15">
      <c r="A73" s="9"/>
      <c r="B73" s="9"/>
      <c r="C73" s="9"/>
      <c r="D73" s="9"/>
      <c r="E73" s="9"/>
      <c r="F73" s="10"/>
      <c r="G73" s="9"/>
      <c r="H73" s="9"/>
      <c r="I73" s="10"/>
    </row>
    <row r="74" spans="1:9" ht="13.15">
      <c r="A74" s="9"/>
      <c r="B74" s="9"/>
      <c r="C74" s="9"/>
      <c r="D74" s="9"/>
      <c r="E74" s="9"/>
      <c r="F74" s="10"/>
      <c r="G74" s="9"/>
      <c r="H74" s="9"/>
      <c r="I74" s="10"/>
    </row>
    <row r="75" spans="1:9" ht="13.15">
      <c r="A75" s="9"/>
      <c r="B75" s="9"/>
      <c r="C75" s="9"/>
      <c r="D75" s="9"/>
      <c r="E75" s="9"/>
      <c r="F75" s="10"/>
      <c r="G75" s="9"/>
      <c r="H75" s="9"/>
      <c r="I75" s="10"/>
    </row>
    <row r="76" spans="1:9" ht="13.15">
      <c r="A76" s="9"/>
      <c r="B76" s="9"/>
      <c r="C76" s="9"/>
      <c r="D76" s="9"/>
      <c r="E76" s="9"/>
      <c r="F76" s="10"/>
      <c r="G76" s="9"/>
      <c r="H76" s="9"/>
      <c r="I76" s="10"/>
    </row>
    <row r="77" spans="1:9" ht="13.15">
      <c r="A77" s="9"/>
      <c r="B77" s="9"/>
      <c r="C77" s="9"/>
      <c r="D77" s="9"/>
      <c r="E77" s="9"/>
      <c r="F77" s="10"/>
      <c r="G77" s="9"/>
      <c r="H77" s="9"/>
      <c r="I77" s="10"/>
    </row>
    <row r="78" spans="1:9" ht="13.15">
      <c r="A78" s="9"/>
      <c r="B78" s="9"/>
      <c r="C78" s="9"/>
      <c r="D78" s="9"/>
      <c r="E78" s="9"/>
      <c r="F78" s="10"/>
      <c r="G78" s="9"/>
      <c r="H78" s="9"/>
      <c r="I78" s="10"/>
    </row>
    <row r="79" spans="1:9" ht="13.15">
      <c r="A79" s="9"/>
      <c r="B79" s="9"/>
      <c r="C79" s="9"/>
      <c r="D79" s="9"/>
      <c r="E79" s="9"/>
      <c r="F79" s="10"/>
      <c r="G79" s="9"/>
      <c r="H79" s="9"/>
      <c r="I79" s="10"/>
    </row>
    <row r="80" spans="1:9" ht="13.15">
      <c r="A80" s="9"/>
      <c r="B80" s="9"/>
      <c r="C80" s="9"/>
      <c r="D80" s="9"/>
      <c r="E80" s="9"/>
      <c r="F80" s="10"/>
      <c r="G80" s="9"/>
      <c r="H80" s="9"/>
      <c r="I80" s="10"/>
    </row>
    <row r="81" spans="1:9" ht="13.15">
      <c r="A81" s="9"/>
      <c r="B81" s="9"/>
      <c r="C81" s="9"/>
      <c r="D81" s="9"/>
      <c r="E81" s="9"/>
      <c r="F81" s="10"/>
      <c r="G81" s="9"/>
      <c r="H81" s="9"/>
      <c r="I81" s="10"/>
    </row>
    <row r="82" spans="1:9" ht="13.15">
      <c r="A82" s="9"/>
      <c r="B82" s="9"/>
      <c r="C82" s="9"/>
      <c r="D82" s="9"/>
      <c r="E82" s="9"/>
      <c r="F82" s="10"/>
      <c r="G82" s="9"/>
      <c r="H82" s="9"/>
      <c r="I82" s="10"/>
    </row>
    <row r="83" spans="1:9" ht="13.15">
      <c r="A83" s="9"/>
      <c r="B83" s="9"/>
      <c r="C83" s="9"/>
      <c r="D83" s="9"/>
      <c r="E83" s="9"/>
      <c r="F83" s="10"/>
      <c r="G83" s="9"/>
      <c r="H83" s="9"/>
      <c r="I83" s="10"/>
    </row>
    <row r="84" spans="1:9" ht="13.15">
      <c r="A84" s="9"/>
      <c r="B84" s="9"/>
      <c r="C84" s="9"/>
      <c r="D84" s="9"/>
      <c r="E84" s="9"/>
      <c r="F84" s="10"/>
      <c r="G84" s="9"/>
      <c r="H84" s="9"/>
      <c r="I84" s="10"/>
    </row>
    <row r="85" spans="1:9" ht="13.15">
      <c r="A85" s="9"/>
      <c r="B85" s="9"/>
      <c r="C85" s="9"/>
      <c r="D85" s="9"/>
      <c r="E85" s="9"/>
      <c r="F85" s="10"/>
      <c r="G85" s="9"/>
      <c r="H85" s="9"/>
      <c r="I85" s="10"/>
    </row>
    <row r="86" spans="1:9" ht="13.15">
      <c r="A86" s="9"/>
      <c r="B86" s="9"/>
      <c r="C86" s="9"/>
      <c r="D86" s="9"/>
      <c r="E86" s="9"/>
      <c r="F86" s="10"/>
      <c r="G86" s="9"/>
      <c r="H86" s="9"/>
      <c r="I86" s="10"/>
    </row>
    <row r="87" spans="1:9" ht="13.15">
      <c r="A87" s="9"/>
      <c r="B87" s="9"/>
      <c r="C87" s="9"/>
      <c r="D87" s="9"/>
      <c r="E87" s="9"/>
      <c r="F87" s="10"/>
      <c r="G87" s="9"/>
      <c r="H87" s="9"/>
      <c r="I87" s="10"/>
    </row>
    <row r="88" spans="1:9" ht="13.15">
      <c r="A88" s="9"/>
      <c r="B88" s="9"/>
      <c r="C88" s="9"/>
      <c r="D88" s="9"/>
      <c r="E88" s="9"/>
      <c r="F88" s="10"/>
      <c r="G88" s="9"/>
      <c r="H88" s="9"/>
      <c r="I88" s="10"/>
    </row>
    <row r="89" spans="1:9" ht="13.15">
      <c r="A89" s="9"/>
      <c r="B89" s="9"/>
      <c r="C89" s="9"/>
      <c r="D89" s="9"/>
      <c r="E89" s="9"/>
      <c r="F89" s="10"/>
      <c r="G89" s="9"/>
      <c r="H89" s="9"/>
      <c r="I89" s="10"/>
    </row>
    <row r="90" spans="1:9" ht="13.15">
      <c r="A90" s="9"/>
      <c r="B90" s="9"/>
      <c r="C90" s="9"/>
      <c r="D90" s="9"/>
      <c r="E90" s="9"/>
      <c r="F90" s="10"/>
      <c r="G90" s="9"/>
      <c r="H90" s="9"/>
      <c r="I90" s="10"/>
    </row>
    <row r="91" spans="1:9" ht="13.15">
      <c r="A91" s="9"/>
      <c r="B91" s="9"/>
      <c r="C91" s="9"/>
      <c r="D91" s="9"/>
      <c r="E91" s="9"/>
      <c r="F91" s="10"/>
      <c r="G91" s="9"/>
      <c r="H91" s="9"/>
      <c r="I91" s="10"/>
    </row>
    <row r="92" spans="1:9" ht="13.15">
      <c r="A92" s="9"/>
      <c r="B92" s="9"/>
      <c r="C92" s="9"/>
      <c r="D92" s="9"/>
      <c r="E92" s="9"/>
      <c r="F92" s="10"/>
      <c r="G92" s="9"/>
      <c r="H92" s="9"/>
      <c r="I92" s="10"/>
    </row>
    <row r="93" spans="1:9" ht="13.15">
      <c r="A93" s="9"/>
      <c r="B93" s="9"/>
      <c r="C93" s="9"/>
      <c r="D93" s="9"/>
      <c r="E93" s="9"/>
      <c r="F93" s="10"/>
      <c r="G93" s="9"/>
      <c r="H93" s="9"/>
      <c r="I93" s="10"/>
    </row>
    <row r="94" spans="1:9" ht="13.15">
      <c r="A94" s="9"/>
      <c r="B94" s="9"/>
      <c r="C94" s="9"/>
      <c r="D94" s="9"/>
      <c r="E94" s="9"/>
      <c r="F94" s="10"/>
      <c r="G94" s="9"/>
      <c r="H94" s="9"/>
      <c r="I94" s="10"/>
    </row>
    <row r="95" spans="1:9" ht="13.15">
      <c r="A95" s="9"/>
      <c r="B95" s="9"/>
      <c r="C95" s="9"/>
      <c r="D95" s="9"/>
      <c r="E95" s="9"/>
      <c r="F95" s="10"/>
      <c r="G95" s="9"/>
      <c r="H95" s="9"/>
      <c r="I95" s="10"/>
    </row>
    <row r="96" spans="1:9" ht="13.15">
      <c r="A96" s="9"/>
      <c r="B96" s="9"/>
      <c r="C96" s="9"/>
      <c r="D96" s="9"/>
      <c r="E96" s="9"/>
      <c r="F96" s="10"/>
      <c r="G96" s="9"/>
      <c r="H96" s="9"/>
      <c r="I96" s="10"/>
    </row>
    <row r="97" spans="1:9" ht="13.15">
      <c r="A97" s="9"/>
      <c r="B97" s="9"/>
      <c r="C97" s="9"/>
      <c r="D97" s="9"/>
      <c r="E97" s="9"/>
      <c r="F97" s="10"/>
      <c r="G97" s="9"/>
      <c r="H97" s="9"/>
      <c r="I97" s="10"/>
    </row>
    <row r="98" spans="1:9" ht="13.15">
      <c r="A98" s="9"/>
      <c r="B98" s="9"/>
      <c r="C98" s="9"/>
      <c r="D98" s="9"/>
      <c r="E98" s="9"/>
      <c r="F98" s="10"/>
      <c r="G98" s="9"/>
      <c r="H98" s="9"/>
      <c r="I98" s="10"/>
    </row>
    <row r="99" spans="1:9" ht="13.15">
      <c r="A99" s="9"/>
      <c r="B99" s="9"/>
      <c r="C99" s="9"/>
      <c r="D99" s="9"/>
      <c r="E99" s="9"/>
      <c r="F99" s="10"/>
      <c r="G99" s="9"/>
      <c r="H99" s="9"/>
      <c r="I99" s="10"/>
    </row>
    <row r="100" spans="1:9" ht="13.15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15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15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15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15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15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15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15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15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15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15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15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15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15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15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15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15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15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15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15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15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15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15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15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15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15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15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15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15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15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15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15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15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15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15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15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15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15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15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15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15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15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15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15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15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15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15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15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15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15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15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15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15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15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15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15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15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15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15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15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15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15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15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15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15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15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15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15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15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15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15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15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15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15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15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15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15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15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15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15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15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15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15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15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15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15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15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15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15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15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15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15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15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15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15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15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15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15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15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15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15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15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15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15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15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15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15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15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15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15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15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15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15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15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15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15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15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15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15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15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15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15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15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15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15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15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15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15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15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15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15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15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15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15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15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15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15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15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15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15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15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15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15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15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15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15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15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15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15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15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15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15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15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15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15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15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15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15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15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15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15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15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15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15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15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15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15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15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15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15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15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15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15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15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15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15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15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15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15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15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15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15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15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15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15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15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15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15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15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15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15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15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15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15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15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15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15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15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15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15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15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15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15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15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15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15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15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15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15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15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15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15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15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15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15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15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15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15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15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15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15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15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15">
      <c r="A322" s="9"/>
      <c r="B322" s="9"/>
      <c r="C322" s="9"/>
      <c r="D322" s="9"/>
      <c r="E322" s="9"/>
      <c r="F322" s="10"/>
      <c r="G322" s="9"/>
      <c r="H322" s="9"/>
      <c r="I322" s="10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0 I4:I8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4" activePane="bottomRight" state="frozen"/>
      <selection pane="bottomRight" activeCell="G10" sqref="G10"/>
      <selection pane="bottomLeft" activeCell="A4" sqref="A4:I6"/>
      <selection pane="topRight" activeCell="A4" sqref="A4:I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3" t="str" cm="1">
        <f t="array" ref="A1">portfolio</f>
        <v>Renewable Properties</v>
      </c>
      <c r="B1" s="73"/>
      <c r="C1" s="73"/>
      <c r="D1" s="74" t="s">
        <v>12</v>
      </c>
      <c r="E1" s="74"/>
      <c r="F1" s="74"/>
      <c r="G1" s="72" t="s">
        <v>13</v>
      </c>
      <c r="H1" s="72"/>
      <c r="I1" s="72"/>
    </row>
    <row r="2" spans="1:9" ht="19.5" customHeight="1">
      <c r="A2" s="75" t="s">
        <v>2</v>
      </c>
      <c r="B2" s="75"/>
      <c r="C2" s="5">
        <f>SUM(C4:C80)</f>
        <v>5018618</v>
      </c>
      <c r="D2" s="5">
        <f>SUM(D4:D80)</f>
        <v>5107908.1109999996</v>
      </c>
      <c r="E2" s="5">
        <f>C2-D2</f>
        <v>-89290.110999999568</v>
      </c>
      <c r="F2" s="6">
        <f>IFERROR(E2/D2, 0)</f>
        <v>-1.7480759062151338E-2</v>
      </c>
      <c r="G2" s="5">
        <f>SUM(G4:G80)</f>
        <v>5594569.5639999993</v>
      </c>
      <c r="H2" s="7">
        <f>C2-G2</f>
        <v>-575951.56399999931</v>
      </c>
      <c r="I2" s="6">
        <f>IFERROR(H2/G2, 0)</f>
        <v>-0.10294832469438561</v>
      </c>
    </row>
    <row r="3" spans="1:9" ht="14.25" customHeight="1">
      <c r="A3" s="8" t="s">
        <v>3</v>
      </c>
      <c r="B3" s="8" t="s">
        <v>4</v>
      </c>
      <c r="C3" s="11" t="s">
        <v>5</v>
      </c>
      <c r="D3" s="16" t="s">
        <v>6</v>
      </c>
      <c r="E3" s="16" t="s">
        <v>7</v>
      </c>
      <c r="F3" s="17" t="s">
        <v>8</v>
      </c>
      <c r="G3" s="18" t="s">
        <v>9</v>
      </c>
      <c r="H3" s="19" t="s">
        <v>7</v>
      </c>
      <c r="I3" s="20" t="s">
        <v>8</v>
      </c>
    </row>
    <row r="4" spans="1:9" ht="15.75">
      <c r="A4" s="38" t="str" cm="1">
        <f t="array" ref="A4:A11">Sites[Site]</f>
        <v>Cedar Swamp Rd</v>
      </c>
      <c r="B4" s="26" t="str" cm="1">
        <f t="array" ref="B4:B11">Sites[State]</f>
        <v>MA</v>
      </c>
      <c r="C4" s="27">
        <f>SUM(Apr!C4, May!C4, Jun!C4)</f>
        <v>418829</v>
      </c>
      <c r="D4" s="28">
        <f>SUM(Apr!D4, May!D4, Jun!D4)</f>
        <v>374872.33</v>
      </c>
      <c r="E4" s="28">
        <f>IF(AND(ISNUMBER(C4),ISNUMBER(D4)), C4-D4, "")</f>
        <v>43956.669999999984</v>
      </c>
      <c r="F4" s="29">
        <f>IFERROR(E4/D4, "")</f>
        <v>0.11725770744402496</v>
      </c>
      <c r="G4" s="30">
        <f>SUM(Apr!G4, May!G4, Jun!G4)</f>
        <v>324449.804</v>
      </c>
      <c r="H4" s="30">
        <f>SUM(Apr!H4, May!H4, Jun!H4)</f>
        <v>94379.195999999996</v>
      </c>
      <c r="I4" s="31">
        <f>IFERROR(H4/G4, "")</f>
        <v>0.29088997692844959</v>
      </c>
    </row>
    <row r="5" spans="1:9" ht="15.75">
      <c r="A5" s="39" t="str">
        <v>Bullis</v>
      </c>
      <c r="B5" s="33" t="str">
        <v>NY</v>
      </c>
      <c r="C5" s="34">
        <f>SUM(Apr!C5, May!C5, Jun!C5)</f>
        <v>2515514</v>
      </c>
      <c r="D5" s="35">
        <f>SUM(Apr!D5, May!D5, Jun!D5)</f>
        <v>2470642.6669999999</v>
      </c>
      <c r="E5" s="35">
        <f t="shared" ref="E5:E6" si="0">IF(AND(ISNUMBER(C5),ISNUMBER(D5)), C5-D5, "")</f>
        <v>44871.333000000101</v>
      </c>
      <c r="F5" s="36">
        <f>IFERROR(E5/D5, "")</f>
        <v>1.816180607553642E-2</v>
      </c>
      <c r="G5" s="9">
        <f>SUM(Apr!G5, May!G5, Jun!G5)</f>
        <v>2874886.41</v>
      </c>
      <c r="H5" s="37">
        <f>SUM(Apr!H5, May!H5, Jun!H5)</f>
        <v>-359372.41000000003</v>
      </c>
      <c r="I5" s="36">
        <f>IFERROR(H5/G5, "")</f>
        <v>-0.12500403798562601</v>
      </c>
    </row>
    <row r="6" spans="1:9" ht="15.75">
      <c r="A6" s="38" t="str">
        <v>Rock Island</v>
      </c>
      <c r="B6" s="26" t="str">
        <v>NY</v>
      </c>
      <c r="C6" s="27">
        <f>SUM(Apr!C6, May!C6, Jun!C6)</f>
        <v>2084275</v>
      </c>
      <c r="D6" s="28">
        <f>SUM(Apr!D6, May!D6, Jun!D6)</f>
        <v>2262393.1140000001</v>
      </c>
      <c r="E6" s="28">
        <f t="shared" si="0"/>
        <v>-178118.11400000006</v>
      </c>
      <c r="F6" s="29">
        <f t="shared" ref="F6:F11" si="1">IFERROR(E6/D6, "")</f>
        <v>-7.8729957626630251E-2</v>
      </c>
      <c r="G6" s="30">
        <f>SUM(Apr!G6, May!G6, Jun!G6)</f>
        <v>2395233.3499999996</v>
      </c>
      <c r="H6" s="30">
        <f>SUM(Apr!H6, May!H6, Jun!H6)</f>
        <v>-310958.34999999998</v>
      </c>
      <c r="I6" s="31">
        <f t="shared" ref="I6:I11" si="2">IFERROR(H6/G6, "")</f>
        <v>-0.12982382280206645</v>
      </c>
    </row>
    <row r="7" spans="1:9" ht="15.75">
      <c r="A7" s="39" t="str">
        <v>Winslow - Roderick</v>
      </c>
      <c r="B7" s="33" t="str">
        <v>ME</v>
      </c>
      <c r="C7" s="34">
        <f>SUM(Apr!C7, May!C7, Jun!C7)</f>
        <v>0</v>
      </c>
      <c r="D7" s="35">
        <f>SUM(Apr!D7, May!D7, Jun!D7)</f>
        <v>0</v>
      </c>
      <c r="E7" s="35">
        <f t="shared" ref="E7:E11" si="3">IF(AND(ISNUMBER(C7),ISNUMBER(D7)), C7-D7, "")</f>
        <v>0</v>
      </c>
      <c r="F7" s="36" t="str">
        <f t="shared" si="1"/>
        <v/>
      </c>
      <c r="G7" s="9">
        <f>SUM(Apr!G7, May!G7, Jun!G7)</f>
        <v>0</v>
      </c>
      <c r="H7" s="37">
        <f>SUM(Apr!H7, May!H7, Jun!H7)</f>
        <v>0</v>
      </c>
      <c r="I7" s="36" t="str">
        <f t="shared" si="2"/>
        <v/>
      </c>
    </row>
    <row r="8" spans="1:9" ht="15.75">
      <c r="A8" s="38" t="str">
        <v>Minoa - Clemons Rd</v>
      </c>
      <c r="B8" s="26" t="str">
        <v>NY</v>
      </c>
      <c r="C8" s="27">
        <f>SUM(Apr!C8, May!C8, Jun!C8)</f>
        <v>0</v>
      </c>
      <c r="D8" s="28">
        <f>SUM(Apr!D8, May!D8, Jun!D8)</f>
        <v>0</v>
      </c>
      <c r="E8" s="28">
        <f t="shared" si="3"/>
        <v>0</v>
      </c>
      <c r="F8" s="29" t="str">
        <f t="shared" si="1"/>
        <v/>
      </c>
      <c r="G8" s="30">
        <f>SUM(Apr!G8, May!G8, Jun!G8)</f>
        <v>0</v>
      </c>
      <c r="H8" s="30">
        <f>SUM(Apr!H8, May!H8, Jun!H8)</f>
        <v>0</v>
      </c>
      <c r="I8" s="31" t="str">
        <f t="shared" si="2"/>
        <v/>
      </c>
    </row>
    <row r="9" spans="1:9" ht="15.75">
      <c r="A9" s="39" t="str">
        <v>Manchester - Western</v>
      </c>
      <c r="B9" s="33" t="str">
        <v>ME</v>
      </c>
      <c r="C9" s="34">
        <f>SUM(Apr!C9, May!C9, Jun!C9)</f>
        <v>0</v>
      </c>
      <c r="D9" s="35">
        <f>SUM(Apr!D9, May!D9, Jun!D9)</f>
        <v>0</v>
      </c>
      <c r="E9" s="35">
        <f t="shared" si="3"/>
        <v>0</v>
      </c>
      <c r="F9" s="36" t="str">
        <f t="shared" si="1"/>
        <v/>
      </c>
      <c r="G9" s="9">
        <f>SUM(Apr!G9, May!G9, Jun!G9)</f>
        <v>0</v>
      </c>
      <c r="H9" s="37">
        <f>SUM(Apr!H9, May!H9, Jun!H9)</f>
        <v>0</v>
      </c>
      <c r="I9" s="36" t="str">
        <f t="shared" si="2"/>
        <v/>
      </c>
    </row>
    <row r="10" spans="1:9" ht="15.75">
      <c r="A10" s="38" t="str">
        <v>Batavia - Pike Rd</v>
      </c>
      <c r="B10" s="26" t="str">
        <v>NY</v>
      </c>
      <c r="C10" s="27">
        <f>SUM(Apr!C10, May!C10, Jun!C10)</f>
        <v>0</v>
      </c>
      <c r="D10" s="28">
        <f>SUM(Apr!D10, May!D10, Jun!D10)</f>
        <v>0</v>
      </c>
      <c r="E10" s="28">
        <f t="shared" si="3"/>
        <v>0</v>
      </c>
      <c r="F10" s="29" t="str">
        <f t="shared" si="1"/>
        <v/>
      </c>
      <c r="G10" s="69">
        <f>SUM(Apr!G10, May!G10, Jun!G10)</f>
        <v>0</v>
      </c>
      <c r="H10" s="30">
        <f>SUM(Apr!H10, May!H10, Jun!H10)</f>
        <v>0</v>
      </c>
      <c r="I10" s="31" t="str">
        <f t="shared" si="2"/>
        <v/>
      </c>
    </row>
    <row r="11" spans="1:9" ht="15.75">
      <c r="A11" s="39" t="str">
        <v>Slayton A &amp; B</v>
      </c>
      <c r="B11" s="33" t="str">
        <v>NY</v>
      </c>
      <c r="C11" s="34">
        <f>SUM(Apr!C11, May!C11, Jun!C11)</f>
        <v>0</v>
      </c>
      <c r="D11" s="35">
        <f>SUM(Apr!D11, May!D11, Jun!D11)</f>
        <v>0</v>
      </c>
      <c r="E11" s="35">
        <f t="shared" si="3"/>
        <v>0</v>
      </c>
      <c r="F11" s="70" t="str">
        <f t="shared" si="1"/>
        <v/>
      </c>
      <c r="G11" s="68">
        <f>SUM(Apr!G11, May!G11, Jun!G11)</f>
        <v>0</v>
      </c>
      <c r="H11" s="71">
        <f>SUM(Apr!H11, May!H11, Jun!H11)</f>
        <v>0</v>
      </c>
      <c r="I11" s="36" t="str">
        <f t="shared" si="2"/>
        <v/>
      </c>
    </row>
    <row r="12" spans="1:9" ht="13.15">
      <c r="A12" s="9"/>
      <c r="B12" s="9"/>
      <c r="C12" s="9"/>
      <c r="D12" s="9"/>
      <c r="E12" s="9"/>
      <c r="F12" s="9"/>
      <c r="G12" s="9"/>
      <c r="H12" s="9"/>
      <c r="I12" s="9"/>
    </row>
    <row r="13" spans="1:9" ht="13.15">
      <c r="A13" s="9"/>
      <c r="B13" s="9"/>
      <c r="C13" s="9"/>
      <c r="D13" s="9"/>
      <c r="E13" s="9"/>
      <c r="F13" s="10"/>
      <c r="G13" s="9"/>
      <c r="H13" s="9"/>
      <c r="I13" s="10"/>
    </row>
    <row r="14" spans="1:9" ht="13.15">
      <c r="A14" s="9"/>
      <c r="B14" s="9"/>
      <c r="C14" s="9"/>
      <c r="D14" s="9"/>
      <c r="E14" s="9"/>
      <c r="F14" s="10"/>
      <c r="G14" s="9"/>
      <c r="H14" s="9"/>
      <c r="I14" s="10"/>
    </row>
    <row r="15" spans="1:9" ht="13.15">
      <c r="A15" s="9"/>
      <c r="B15" s="9"/>
      <c r="C15" s="9"/>
      <c r="D15" s="9"/>
      <c r="E15" s="9"/>
      <c r="F15" s="10"/>
      <c r="G15" s="9"/>
      <c r="H15" s="9"/>
      <c r="I15" s="10"/>
    </row>
    <row r="16" spans="1:9" ht="13.15">
      <c r="A16" s="9"/>
      <c r="B16" s="9"/>
      <c r="C16" s="9"/>
      <c r="D16" s="9"/>
      <c r="E16" s="9"/>
      <c r="F16" s="10"/>
      <c r="G16" s="9"/>
      <c r="H16" s="9"/>
      <c r="I16" s="10"/>
    </row>
    <row r="17" spans="1:9" ht="13.15">
      <c r="A17" s="9"/>
      <c r="B17" s="9"/>
      <c r="C17" s="9"/>
      <c r="D17" s="9"/>
      <c r="E17" s="9"/>
      <c r="F17" s="10"/>
      <c r="G17" s="9"/>
      <c r="H17" s="9"/>
      <c r="I17" s="10"/>
    </row>
    <row r="18" spans="1:9" ht="13.15">
      <c r="A18" s="9"/>
      <c r="B18" s="9"/>
      <c r="C18" s="9"/>
      <c r="D18" s="9"/>
      <c r="E18" s="9"/>
      <c r="F18" s="10"/>
      <c r="G18" s="9"/>
      <c r="H18" s="9"/>
      <c r="I18" s="10"/>
    </row>
    <row r="19" spans="1:9" ht="13.15">
      <c r="A19" s="9"/>
      <c r="B19" s="9"/>
      <c r="C19" s="9"/>
      <c r="D19" s="9"/>
      <c r="E19" s="9"/>
      <c r="F19" s="10"/>
      <c r="G19" s="9"/>
      <c r="H19" s="9"/>
      <c r="I19" s="10"/>
    </row>
    <row r="20" spans="1:9" ht="13.15">
      <c r="A20" s="9"/>
      <c r="B20" s="9"/>
      <c r="C20" s="9"/>
      <c r="D20" s="9"/>
      <c r="E20" s="9"/>
      <c r="F20" s="10"/>
      <c r="G20" s="9"/>
      <c r="H20" s="9"/>
      <c r="I20" s="10"/>
    </row>
    <row r="21" spans="1:9" ht="13.15">
      <c r="A21" s="9"/>
      <c r="B21" s="9"/>
      <c r="C21" s="9"/>
      <c r="D21" s="9"/>
      <c r="E21" s="9"/>
      <c r="F21" s="10"/>
      <c r="G21" s="9"/>
      <c r="H21" s="9"/>
      <c r="I21" s="10"/>
    </row>
    <row r="22" spans="1:9" ht="13.15">
      <c r="A22" s="9"/>
      <c r="B22" s="9"/>
      <c r="C22" s="9"/>
      <c r="D22" s="9"/>
      <c r="E22" s="9"/>
      <c r="F22" s="10"/>
      <c r="G22" s="9"/>
      <c r="H22" s="9"/>
      <c r="I22" s="10"/>
    </row>
    <row r="23" spans="1:9" ht="13.15">
      <c r="A23" s="9"/>
      <c r="B23" s="9"/>
      <c r="C23" s="9"/>
      <c r="D23" s="9"/>
      <c r="E23" s="9"/>
      <c r="F23" s="10"/>
      <c r="G23" s="9"/>
      <c r="H23" s="9"/>
      <c r="I23" s="10"/>
    </row>
    <row r="24" spans="1:9" ht="13.15">
      <c r="A24" s="9"/>
      <c r="B24" s="9"/>
      <c r="C24" s="9"/>
      <c r="D24" s="9"/>
      <c r="E24" s="9"/>
      <c r="F24" s="10"/>
      <c r="G24" s="9"/>
      <c r="H24" s="9"/>
      <c r="I24" s="10"/>
    </row>
    <row r="25" spans="1:9" ht="13.15">
      <c r="A25" s="9"/>
      <c r="B25" s="9"/>
      <c r="C25" s="9"/>
      <c r="D25" s="9"/>
      <c r="E25" s="9"/>
      <c r="F25" s="10"/>
      <c r="G25" s="9"/>
      <c r="H25" s="9"/>
      <c r="I25" s="10"/>
    </row>
    <row r="26" spans="1:9" ht="13.15">
      <c r="A26" s="9"/>
      <c r="B26" s="9"/>
      <c r="C26" s="9"/>
      <c r="D26" s="9"/>
      <c r="E26" s="9"/>
      <c r="F26" s="10"/>
      <c r="G26" s="9"/>
      <c r="H26" s="9"/>
      <c r="I26" s="10"/>
    </row>
    <row r="27" spans="1:9" ht="13.15">
      <c r="A27" s="9"/>
      <c r="B27" s="9"/>
      <c r="C27" s="9"/>
      <c r="D27" s="9"/>
      <c r="E27" s="9"/>
      <c r="F27" s="10"/>
      <c r="G27" s="9"/>
      <c r="H27" s="9"/>
      <c r="I27" s="10"/>
    </row>
    <row r="28" spans="1:9" ht="13.15">
      <c r="A28" s="9"/>
      <c r="B28" s="9"/>
      <c r="C28" s="9"/>
      <c r="D28" s="9"/>
      <c r="E28" s="9"/>
      <c r="F28" s="10"/>
      <c r="G28" s="9"/>
      <c r="H28" s="9"/>
      <c r="I28" s="10"/>
    </row>
    <row r="29" spans="1:9" ht="13.15">
      <c r="A29" s="9"/>
      <c r="B29" s="9"/>
      <c r="C29" s="9"/>
      <c r="D29" s="9"/>
      <c r="E29" s="9"/>
      <c r="F29" s="10"/>
      <c r="G29" s="9"/>
      <c r="H29" s="9"/>
      <c r="I29" s="10"/>
    </row>
    <row r="30" spans="1:9" ht="13.15">
      <c r="A30" s="9"/>
      <c r="B30" s="9"/>
      <c r="C30" s="9"/>
      <c r="D30" s="9"/>
      <c r="E30" s="9"/>
      <c r="F30" s="10"/>
      <c r="G30" s="9"/>
      <c r="H30" s="9"/>
      <c r="I30" s="10"/>
    </row>
    <row r="31" spans="1:9" ht="13.15">
      <c r="A31" s="9"/>
      <c r="B31" s="9"/>
      <c r="C31" s="9"/>
      <c r="D31" s="9"/>
      <c r="E31" s="9"/>
      <c r="F31" s="10"/>
      <c r="G31" s="9"/>
      <c r="H31" s="9"/>
      <c r="I31" s="10"/>
    </row>
    <row r="32" spans="1:9" ht="13.15">
      <c r="A32" s="9"/>
      <c r="B32" s="9"/>
      <c r="C32" s="9"/>
      <c r="D32" s="9"/>
      <c r="E32" s="9"/>
      <c r="F32" s="10"/>
      <c r="G32" s="9"/>
      <c r="H32" s="9"/>
      <c r="I32" s="10"/>
    </row>
    <row r="33" spans="1:9" ht="13.15">
      <c r="A33" s="9"/>
      <c r="B33" s="9"/>
      <c r="C33" s="9"/>
      <c r="D33" s="9"/>
      <c r="E33" s="9"/>
      <c r="F33" s="10"/>
      <c r="G33" s="9"/>
      <c r="H33" s="9"/>
      <c r="I33" s="10"/>
    </row>
    <row r="34" spans="1:9" ht="13.15">
      <c r="A34" s="9"/>
      <c r="B34" s="9"/>
      <c r="C34" s="9"/>
      <c r="D34" s="9"/>
      <c r="E34" s="9"/>
      <c r="F34" s="10"/>
      <c r="G34" s="9"/>
      <c r="H34" s="9"/>
      <c r="I34" s="10"/>
    </row>
    <row r="35" spans="1:9" ht="13.15">
      <c r="A35" s="9"/>
      <c r="B35" s="9"/>
      <c r="C35" s="9"/>
      <c r="D35" s="9"/>
      <c r="E35" s="9"/>
      <c r="F35" s="10"/>
      <c r="G35" s="9"/>
      <c r="H35" s="9"/>
      <c r="I35" s="10"/>
    </row>
    <row r="36" spans="1:9" ht="13.15">
      <c r="A36" s="9"/>
      <c r="B36" s="9"/>
      <c r="C36" s="9"/>
      <c r="D36" s="9"/>
      <c r="E36" s="9"/>
      <c r="F36" s="10"/>
      <c r="G36" s="9"/>
      <c r="H36" s="9"/>
      <c r="I36" s="10"/>
    </row>
    <row r="37" spans="1:9" ht="13.15">
      <c r="A37" s="9"/>
      <c r="B37" s="9"/>
      <c r="C37" s="9"/>
      <c r="D37" s="9"/>
      <c r="E37" s="9"/>
      <c r="F37" s="10"/>
      <c r="G37" s="9"/>
      <c r="H37" s="9"/>
      <c r="I37" s="10"/>
    </row>
    <row r="38" spans="1:9" ht="13.15">
      <c r="A38" s="9"/>
      <c r="B38" s="9"/>
      <c r="C38" s="9"/>
      <c r="D38" s="9"/>
      <c r="E38" s="9"/>
      <c r="F38" s="10"/>
      <c r="G38" s="9"/>
      <c r="H38" s="9"/>
      <c r="I38" s="10"/>
    </row>
    <row r="39" spans="1:9" ht="13.15">
      <c r="A39" s="9"/>
      <c r="B39" s="9"/>
      <c r="C39" s="9"/>
      <c r="D39" s="9"/>
      <c r="E39" s="9"/>
      <c r="F39" s="10"/>
      <c r="G39" s="9"/>
      <c r="H39" s="9"/>
      <c r="I39" s="10"/>
    </row>
    <row r="40" spans="1:9" ht="13.15">
      <c r="A40" s="9"/>
      <c r="B40" s="9"/>
      <c r="C40" s="9"/>
      <c r="D40" s="9"/>
      <c r="E40" s="9"/>
      <c r="F40" s="10"/>
      <c r="G40" s="9"/>
      <c r="H40" s="9"/>
      <c r="I40" s="10"/>
    </row>
    <row r="41" spans="1:9" ht="13.15">
      <c r="A41" s="9"/>
      <c r="B41" s="9"/>
      <c r="C41" s="9"/>
      <c r="D41" s="9"/>
      <c r="E41" s="9"/>
      <c r="F41" s="10"/>
      <c r="G41" s="9"/>
      <c r="H41" s="9"/>
      <c r="I41" s="10"/>
    </row>
    <row r="42" spans="1:9" ht="13.15">
      <c r="A42" s="9"/>
      <c r="B42" s="9"/>
      <c r="C42" s="9"/>
      <c r="D42" s="9"/>
      <c r="E42" s="9"/>
      <c r="F42" s="10"/>
      <c r="G42" s="9"/>
      <c r="H42" s="9"/>
      <c r="I42" s="10"/>
    </row>
    <row r="43" spans="1:9" ht="13.15">
      <c r="A43" s="9"/>
      <c r="B43" s="9"/>
      <c r="C43" s="9"/>
      <c r="D43" s="9"/>
      <c r="E43" s="9"/>
      <c r="F43" s="10"/>
      <c r="G43" s="9"/>
      <c r="H43" s="9"/>
      <c r="I43" s="10"/>
    </row>
    <row r="44" spans="1:9" ht="13.15">
      <c r="A44" s="9"/>
      <c r="B44" s="9"/>
      <c r="C44" s="9"/>
      <c r="D44" s="9"/>
      <c r="E44" s="9"/>
      <c r="F44" s="10"/>
      <c r="G44" s="9"/>
      <c r="H44" s="9"/>
      <c r="I44" s="10"/>
    </row>
    <row r="45" spans="1:9" ht="13.15">
      <c r="A45" s="9"/>
      <c r="B45" s="9"/>
      <c r="C45" s="9"/>
      <c r="D45" s="9"/>
      <c r="E45" s="9"/>
      <c r="F45" s="10"/>
      <c r="G45" s="9"/>
      <c r="H45" s="9"/>
      <c r="I45" s="10"/>
    </row>
    <row r="46" spans="1:9" ht="13.15">
      <c r="A46" s="9"/>
      <c r="B46" s="9"/>
      <c r="C46" s="9"/>
      <c r="D46" s="9"/>
      <c r="E46" s="9"/>
      <c r="F46" s="10"/>
      <c r="G46" s="9"/>
      <c r="H46" s="9"/>
      <c r="I46" s="10"/>
    </row>
    <row r="47" spans="1:9" ht="13.15">
      <c r="A47" s="9"/>
      <c r="B47" s="9"/>
      <c r="C47" s="9"/>
      <c r="D47" s="9"/>
      <c r="E47" s="9"/>
      <c r="F47" s="10"/>
      <c r="G47" s="9"/>
      <c r="H47" s="9"/>
      <c r="I47" s="10"/>
    </row>
    <row r="48" spans="1:9" ht="13.15">
      <c r="A48" s="9"/>
      <c r="B48" s="9"/>
      <c r="C48" s="9"/>
      <c r="D48" s="9"/>
      <c r="E48" s="9"/>
      <c r="F48" s="10"/>
      <c r="G48" s="9"/>
      <c r="H48" s="9"/>
      <c r="I48" s="10"/>
    </row>
    <row r="49" spans="1:9" ht="13.15">
      <c r="A49" s="9"/>
      <c r="B49" s="9"/>
      <c r="C49" s="9"/>
      <c r="D49" s="9"/>
      <c r="E49" s="9"/>
      <c r="F49" s="10"/>
      <c r="G49" s="9"/>
      <c r="H49" s="9"/>
      <c r="I49" s="10"/>
    </row>
    <row r="50" spans="1:9" ht="13.15">
      <c r="A50" s="9"/>
      <c r="B50" s="9"/>
      <c r="C50" s="9"/>
      <c r="D50" s="9"/>
      <c r="E50" s="9"/>
      <c r="F50" s="10"/>
      <c r="G50" s="9"/>
      <c r="H50" s="9"/>
      <c r="I50" s="10"/>
    </row>
    <row r="51" spans="1:9" ht="13.15">
      <c r="A51" s="9"/>
      <c r="B51" s="9"/>
      <c r="C51" s="9"/>
      <c r="D51" s="9"/>
      <c r="E51" s="9"/>
      <c r="F51" s="10"/>
      <c r="G51" s="9"/>
      <c r="H51" s="9"/>
      <c r="I51" s="10"/>
    </row>
    <row r="52" spans="1:9" ht="13.15">
      <c r="A52" s="9"/>
      <c r="B52" s="9"/>
      <c r="C52" s="9"/>
      <c r="D52" s="9"/>
      <c r="E52" s="9"/>
      <c r="F52" s="10"/>
      <c r="G52" s="9"/>
      <c r="H52" s="9"/>
      <c r="I52" s="10"/>
    </row>
    <row r="53" spans="1:9" ht="13.15">
      <c r="A53" s="9"/>
      <c r="B53" s="9"/>
      <c r="C53" s="9"/>
      <c r="D53" s="9"/>
      <c r="E53" s="9"/>
      <c r="F53" s="10"/>
      <c r="G53" s="9"/>
      <c r="H53" s="9"/>
      <c r="I53" s="10"/>
    </row>
    <row r="54" spans="1:9" ht="13.15">
      <c r="A54" s="9"/>
      <c r="B54" s="9"/>
      <c r="C54" s="9"/>
      <c r="D54" s="9"/>
      <c r="E54" s="9"/>
      <c r="F54" s="10"/>
      <c r="G54" s="9"/>
      <c r="H54" s="9"/>
      <c r="I54" s="10"/>
    </row>
    <row r="55" spans="1:9" ht="13.15">
      <c r="A55" s="9"/>
      <c r="B55" s="9"/>
      <c r="C55" s="9"/>
      <c r="D55" s="9"/>
      <c r="E55" s="9"/>
      <c r="F55" s="10"/>
      <c r="G55" s="9"/>
      <c r="H55" s="9"/>
      <c r="I55" s="10"/>
    </row>
    <row r="56" spans="1:9" ht="13.15">
      <c r="A56" s="9"/>
      <c r="B56" s="9"/>
      <c r="C56" s="9"/>
      <c r="D56" s="9"/>
      <c r="E56" s="9"/>
      <c r="F56" s="10"/>
      <c r="G56" s="9"/>
      <c r="H56" s="9"/>
      <c r="I56" s="10"/>
    </row>
    <row r="57" spans="1:9" ht="13.15">
      <c r="A57" s="9"/>
      <c r="B57" s="9"/>
      <c r="C57" s="9"/>
      <c r="D57" s="9"/>
      <c r="E57" s="9"/>
      <c r="F57" s="10"/>
      <c r="G57" s="9"/>
      <c r="H57" s="9"/>
      <c r="I57" s="10"/>
    </row>
    <row r="58" spans="1:9" ht="13.15">
      <c r="A58" s="9"/>
      <c r="B58" s="9"/>
      <c r="C58" s="9"/>
      <c r="D58" s="9"/>
      <c r="E58" s="9"/>
      <c r="F58" s="10"/>
      <c r="G58" s="9"/>
      <c r="H58" s="9"/>
      <c r="I58" s="10"/>
    </row>
    <row r="59" spans="1:9" ht="13.15">
      <c r="A59" s="9"/>
      <c r="B59" s="9"/>
      <c r="C59" s="9"/>
      <c r="D59" s="9"/>
      <c r="E59" s="9"/>
      <c r="F59" s="10"/>
      <c r="G59" s="9"/>
      <c r="H59" s="9"/>
      <c r="I59" s="10"/>
    </row>
    <row r="60" spans="1:9" ht="13.15">
      <c r="A60" s="9"/>
      <c r="B60" s="9"/>
      <c r="C60" s="9"/>
      <c r="D60" s="9"/>
      <c r="E60" s="9"/>
      <c r="F60" s="10"/>
      <c r="G60" s="9"/>
      <c r="H60" s="9"/>
      <c r="I60" s="10"/>
    </row>
    <row r="61" spans="1:9" ht="13.15">
      <c r="A61" s="9"/>
      <c r="B61" s="9"/>
      <c r="C61" s="9"/>
      <c r="D61" s="9"/>
      <c r="E61" s="9"/>
      <c r="F61" s="10"/>
      <c r="G61" s="9"/>
      <c r="H61" s="9"/>
      <c r="I61" s="10"/>
    </row>
    <row r="62" spans="1:9" ht="13.15">
      <c r="A62" s="9"/>
      <c r="B62" s="9"/>
      <c r="C62" s="9"/>
      <c r="D62" s="9"/>
      <c r="E62" s="9"/>
      <c r="F62" s="10"/>
      <c r="G62" s="9"/>
      <c r="H62" s="9"/>
      <c r="I62" s="10"/>
    </row>
    <row r="63" spans="1:9" ht="13.15">
      <c r="A63" s="9"/>
      <c r="B63" s="9"/>
      <c r="C63" s="9"/>
      <c r="D63" s="9"/>
      <c r="E63" s="9"/>
      <c r="F63" s="10"/>
      <c r="G63" s="9"/>
      <c r="H63" s="9"/>
      <c r="I63" s="10"/>
    </row>
    <row r="64" spans="1:9" ht="13.15">
      <c r="A64" s="9"/>
      <c r="B64" s="9"/>
      <c r="C64" s="9"/>
      <c r="D64" s="9"/>
      <c r="E64" s="9"/>
      <c r="F64" s="10"/>
      <c r="G64" s="9"/>
      <c r="H64" s="9"/>
      <c r="I64" s="10"/>
    </row>
    <row r="65" spans="1:9" ht="13.15">
      <c r="A65" s="9"/>
      <c r="B65" s="9"/>
      <c r="C65" s="9"/>
      <c r="D65" s="9"/>
      <c r="E65" s="9"/>
      <c r="F65" s="10"/>
      <c r="G65" s="9"/>
      <c r="H65" s="9"/>
      <c r="I65" s="10"/>
    </row>
    <row r="66" spans="1:9" ht="13.15">
      <c r="A66" s="9"/>
      <c r="B66" s="9"/>
      <c r="C66" s="9"/>
      <c r="D66" s="9"/>
      <c r="E66" s="9"/>
      <c r="F66" s="10"/>
      <c r="G66" s="9"/>
      <c r="H66" s="9"/>
      <c r="I66" s="10"/>
    </row>
    <row r="67" spans="1:9" ht="13.15">
      <c r="A67" s="9"/>
      <c r="B67" s="9"/>
      <c r="C67" s="9"/>
      <c r="D67" s="9"/>
      <c r="E67" s="9"/>
      <c r="F67" s="10"/>
      <c r="G67" s="9"/>
      <c r="H67" s="9"/>
      <c r="I67" s="10"/>
    </row>
    <row r="68" spans="1:9" ht="13.15">
      <c r="A68" s="9"/>
      <c r="B68" s="9"/>
      <c r="C68" s="9"/>
      <c r="D68" s="9"/>
      <c r="E68" s="9"/>
      <c r="F68" s="10"/>
      <c r="G68" s="9"/>
      <c r="H68" s="9"/>
      <c r="I68" s="10"/>
    </row>
    <row r="69" spans="1:9" ht="13.15">
      <c r="A69" s="9"/>
      <c r="B69" s="9"/>
      <c r="C69" s="9"/>
      <c r="D69" s="9"/>
      <c r="E69" s="9"/>
      <c r="F69" s="10"/>
      <c r="G69" s="9"/>
      <c r="H69" s="9"/>
      <c r="I69" s="10"/>
    </row>
    <row r="70" spans="1:9" ht="13.15">
      <c r="A70" s="9"/>
      <c r="B70" s="9"/>
      <c r="C70" s="9"/>
      <c r="D70" s="9"/>
      <c r="E70" s="9"/>
      <c r="F70" s="10"/>
      <c r="G70" s="9"/>
      <c r="H70" s="9"/>
      <c r="I70" s="10"/>
    </row>
    <row r="71" spans="1:9" ht="13.15">
      <c r="A71" s="9"/>
      <c r="B71" s="9"/>
      <c r="C71" s="9"/>
      <c r="D71" s="9"/>
      <c r="E71" s="9"/>
      <c r="F71" s="10"/>
      <c r="G71" s="9"/>
      <c r="H71" s="9"/>
      <c r="I71" s="10"/>
    </row>
    <row r="72" spans="1:9" ht="13.15">
      <c r="A72" s="9"/>
      <c r="B72" s="9"/>
      <c r="C72" s="9"/>
      <c r="D72" s="9"/>
      <c r="E72" s="9"/>
      <c r="F72" s="10"/>
      <c r="G72" s="9"/>
      <c r="H72" s="9"/>
      <c r="I72" s="10"/>
    </row>
    <row r="73" spans="1:9" ht="13.15">
      <c r="A73" s="9"/>
      <c r="B73" s="9"/>
      <c r="C73" s="9"/>
      <c r="D73" s="9"/>
      <c r="E73" s="9"/>
      <c r="F73" s="10"/>
      <c r="G73" s="9"/>
      <c r="H73" s="9"/>
      <c r="I73" s="10"/>
    </row>
    <row r="74" spans="1:9" ht="13.15">
      <c r="A74" s="9"/>
      <c r="B74" s="9"/>
      <c r="C74" s="9"/>
      <c r="D74" s="9"/>
      <c r="E74" s="9"/>
      <c r="F74" s="10"/>
      <c r="G74" s="9"/>
      <c r="H74" s="9"/>
      <c r="I74" s="10"/>
    </row>
    <row r="75" spans="1:9" ht="13.15">
      <c r="A75" s="9"/>
      <c r="B75" s="9"/>
      <c r="C75" s="9"/>
      <c r="D75" s="9"/>
      <c r="E75" s="9"/>
      <c r="F75" s="10"/>
      <c r="G75" s="9"/>
      <c r="H75" s="9"/>
      <c r="I75" s="10"/>
    </row>
    <row r="76" spans="1:9" ht="13.15">
      <c r="A76" s="9"/>
      <c r="B76" s="9"/>
      <c r="C76" s="9"/>
      <c r="D76" s="9"/>
      <c r="E76" s="9"/>
      <c r="F76" s="10"/>
      <c r="G76" s="9"/>
      <c r="H76" s="9"/>
      <c r="I76" s="10"/>
    </row>
    <row r="77" spans="1:9" ht="13.15">
      <c r="A77" s="9"/>
      <c r="B77" s="9"/>
      <c r="C77" s="9"/>
      <c r="D77" s="9"/>
      <c r="E77" s="9"/>
      <c r="F77" s="10"/>
      <c r="G77" s="9"/>
      <c r="H77" s="9"/>
      <c r="I77" s="10"/>
    </row>
    <row r="78" spans="1:9" ht="13.15">
      <c r="A78" s="9"/>
      <c r="B78" s="9"/>
      <c r="C78" s="9"/>
      <c r="D78" s="9"/>
      <c r="E78" s="9"/>
      <c r="F78" s="10"/>
      <c r="G78" s="9"/>
      <c r="H78" s="9"/>
      <c r="I78" s="10"/>
    </row>
    <row r="79" spans="1:9" ht="13.15">
      <c r="A79" s="9"/>
      <c r="B79" s="9"/>
      <c r="C79" s="9"/>
      <c r="D79" s="9"/>
      <c r="E79" s="9"/>
      <c r="F79" s="10"/>
      <c r="G79" s="9"/>
      <c r="H79" s="9"/>
      <c r="I79" s="10"/>
    </row>
    <row r="80" spans="1:9" ht="13.15">
      <c r="A80" s="9"/>
      <c r="B80" s="9"/>
      <c r="C80" s="9"/>
      <c r="D80" s="9"/>
      <c r="E80" s="9"/>
      <c r="F80" s="10"/>
      <c r="G80" s="9"/>
      <c r="H80" s="9"/>
      <c r="I80" s="10"/>
    </row>
    <row r="81" spans="1:9" ht="13.15">
      <c r="A81" s="9"/>
      <c r="B81" s="9"/>
      <c r="C81" s="9"/>
      <c r="D81" s="9"/>
      <c r="E81" s="9"/>
      <c r="F81" s="10"/>
      <c r="G81" s="9"/>
      <c r="H81" s="9"/>
      <c r="I81" s="10"/>
    </row>
    <row r="82" spans="1:9" ht="13.15">
      <c r="A82" s="9"/>
      <c r="B82" s="9"/>
      <c r="C82" s="9"/>
      <c r="D82" s="9"/>
      <c r="E82" s="9"/>
      <c r="F82" s="10"/>
      <c r="G82" s="9"/>
      <c r="H82" s="9"/>
      <c r="I82" s="10"/>
    </row>
    <row r="83" spans="1:9" ht="13.15">
      <c r="A83" s="9"/>
      <c r="B83" s="9"/>
      <c r="C83" s="9"/>
      <c r="D83" s="9"/>
      <c r="E83" s="9"/>
      <c r="F83" s="10"/>
      <c r="G83" s="9"/>
      <c r="H83" s="9"/>
      <c r="I83" s="10"/>
    </row>
    <row r="84" spans="1:9" ht="13.15">
      <c r="A84" s="9"/>
      <c r="B84" s="9"/>
      <c r="C84" s="9"/>
      <c r="D84" s="9"/>
      <c r="E84" s="9"/>
      <c r="F84" s="10"/>
      <c r="G84" s="9"/>
      <c r="H84" s="9"/>
      <c r="I84" s="10"/>
    </row>
    <row r="85" spans="1:9" ht="13.15">
      <c r="A85" s="9"/>
      <c r="B85" s="9"/>
      <c r="C85" s="9"/>
      <c r="D85" s="9"/>
      <c r="E85" s="9"/>
      <c r="F85" s="10"/>
      <c r="G85" s="9"/>
      <c r="H85" s="9"/>
      <c r="I85" s="10"/>
    </row>
    <row r="86" spans="1:9" ht="13.15">
      <c r="A86" s="9"/>
      <c r="B86" s="9"/>
      <c r="C86" s="9"/>
      <c r="D86" s="9"/>
      <c r="E86" s="9"/>
      <c r="F86" s="10"/>
      <c r="G86" s="9"/>
      <c r="H86" s="9"/>
      <c r="I86" s="10"/>
    </row>
    <row r="87" spans="1:9" ht="13.15">
      <c r="A87" s="9"/>
      <c r="B87" s="9"/>
      <c r="C87" s="9"/>
      <c r="D87" s="9"/>
      <c r="E87" s="9"/>
      <c r="F87" s="10"/>
      <c r="G87" s="9"/>
      <c r="H87" s="9"/>
      <c r="I87" s="10"/>
    </row>
    <row r="88" spans="1:9" ht="13.15">
      <c r="A88" s="9"/>
      <c r="B88" s="9"/>
      <c r="C88" s="9"/>
      <c r="D88" s="9"/>
      <c r="E88" s="9"/>
      <c r="F88" s="10"/>
      <c r="G88" s="9"/>
      <c r="H88" s="9"/>
      <c r="I88" s="10"/>
    </row>
    <row r="89" spans="1:9" ht="13.15">
      <c r="A89" s="9"/>
      <c r="B89" s="9"/>
      <c r="C89" s="9"/>
      <c r="D89" s="9"/>
      <c r="E89" s="9"/>
      <c r="F89" s="10"/>
      <c r="G89" s="9"/>
      <c r="H89" s="9"/>
      <c r="I89" s="10"/>
    </row>
    <row r="90" spans="1:9" ht="13.15">
      <c r="A90" s="9"/>
      <c r="B90" s="9"/>
      <c r="C90" s="9"/>
      <c r="D90" s="9"/>
      <c r="E90" s="9"/>
      <c r="F90" s="10"/>
      <c r="G90" s="9"/>
      <c r="H90" s="9"/>
      <c r="I90" s="10"/>
    </row>
    <row r="91" spans="1:9" ht="13.15">
      <c r="A91" s="9"/>
      <c r="B91" s="9"/>
      <c r="C91" s="9"/>
      <c r="D91" s="9"/>
      <c r="E91" s="9"/>
      <c r="F91" s="10"/>
      <c r="G91" s="9"/>
      <c r="H91" s="9"/>
      <c r="I91" s="10"/>
    </row>
    <row r="92" spans="1:9" ht="13.15">
      <c r="A92" s="9"/>
      <c r="B92" s="9"/>
      <c r="C92" s="9"/>
      <c r="D92" s="9"/>
      <c r="E92" s="9"/>
      <c r="F92" s="10"/>
      <c r="G92" s="9"/>
      <c r="H92" s="9"/>
      <c r="I92" s="10"/>
    </row>
    <row r="93" spans="1:9" ht="13.15">
      <c r="A93" s="9"/>
      <c r="B93" s="9"/>
      <c r="C93" s="9"/>
      <c r="D93" s="9"/>
      <c r="E93" s="9"/>
      <c r="F93" s="10"/>
      <c r="G93" s="9"/>
      <c r="H93" s="9"/>
      <c r="I93" s="10"/>
    </row>
    <row r="94" spans="1:9" ht="13.15">
      <c r="A94" s="9"/>
      <c r="B94" s="9"/>
      <c r="C94" s="9"/>
      <c r="D94" s="9"/>
      <c r="E94" s="9"/>
      <c r="F94" s="10"/>
      <c r="G94" s="9"/>
      <c r="H94" s="9"/>
      <c r="I94" s="10"/>
    </row>
    <row r="95" spans="1:9" ht="13.15">
      <c r="A95" s="9"/>
      <c r="B95" s="9"/>
      <c r="C95" s="9"/>
      <c r="D95" s="9"/>
      <c r="E95" s="9"/>
      <c r="F95" s="10"/>
      <c r="G95" s="9"/>
      <c r="H95" s="9"/>
      <c r="I95" s="10"/>
    </row>
    <row r="96" spans="1:9" ht="13.15">
      <c r="A96" s="9"/>
      <c r="B96" s="9"/>
      <c r="C96" s="9"/>
      <c r="D96" s="9"/>
      <c r="E96" s="9"/>
      <c r="F96" s="10"/>
      <c r="G96" s="9"/>
      <c r="H96" s="9"/>
      <c r="I96" s="10"/>
    </row>
    <row r="97" spans="1:9" ht="13.15">
      <c r="A97" s="9"/>
      <c r="B97" s="9"/>
      <c r="C97" s="9"/>
      <c r="D97" s="9"/>
      <c r="E97" s="9"/>
      <c r="F97" s="10"/>
      <c r="G97" s="9"/>
      <c r="H97" s="9"/>
      <c r="I97" s="10"/>
    </row>
    <row r="98" spans="1:9" ht="13.15">
      <c r="A98" s="9"/>
      <c r="B98" s="9"/>
      <c r="C98" s="9"/>
      <c r="D98" s="9"/>
      <c r="E98" s="9"/>
      <c r="F98" s="10"/>
      <c r="G98" s="9"/>
      <c r="H98" s="9"/>
      <c r="I98" s="10"/>
    </row>
    <row r="99" spans="1:9" ht="13.15">
      <c r="A99" s="9"/>
      <c r="B99" s="9"/>
      <c r="C99" s="9"/>
      <c r="D99" s="9"/>
      <c r="E99" s="9"/>
      <c r="F99" s="10"/>
      <c r="G99" s="9"/>
      <c r="H99" s="9"/>
      <c r="I99" s="10"/>
    </row>
    <row r="100" spans="1:9" ht="13.15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15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15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15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15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15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15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15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15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15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15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15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15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15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15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15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15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15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15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15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15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15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15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15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15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15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15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15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15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15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15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15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15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15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15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15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15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15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15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15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15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15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15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15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15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15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15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15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15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15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15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15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15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15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15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15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15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15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15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15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15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15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15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15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15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15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15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15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15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15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15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15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15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15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15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15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15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15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15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15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15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15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15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15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15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15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15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15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15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15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15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15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15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15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15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15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15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15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15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15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15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15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15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15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15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15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15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15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15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15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15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15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15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15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15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15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15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15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15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15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15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15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15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15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15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15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15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15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15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15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15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15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15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15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15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15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15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15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15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15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15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15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15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15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15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15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15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15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15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15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15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15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15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15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15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15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15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15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15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15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15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15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15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15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15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15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15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15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15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15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15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15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15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15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15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15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15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15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15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15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15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15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15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15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15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15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15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15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15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15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15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15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15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15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15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15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15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15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15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15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15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15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15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15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15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15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15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15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15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15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15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15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15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15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15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15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15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15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15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15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15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15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15">
      <c r="A322" s="9"/>
      <c r="B322" s="9"/>
      <c r="C322" s="9"/>
      <c r="D322" s="9"/>
      <c r="E322" s="9"/>
      <c r="F322" s="10"/>
      <c r="G322" s="9"/>
      <c r="H322" s="9"/>
      <c r="I322" s="10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2"/>
  <sheetViews>
    <sheetView workbookViewId="0">
      <pane xSplit="2" ySplit="3" topLeftCell="C4" activePane="bottomRight" state="frozen"/>
      <selection pane="bottomRight" activeCell="F7" sqref="F7"/>
      <selection pane="bottomLeft" activeCell="A4" sqref="A4:I6"/>
      <selection pane="topRight" activeCell="A4" sqref="A4:I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3" t="str" cm="1">
        <f t="array" ref="A1">portfolio</f>
        <v>Renewable Properties</v>
      </c>
      <c r="B1" s="73"/>
      <c r="C1" s="73"/>
      <c r="D1" s="74" t="s">
        <v>14</v>
      </c>
      <c r="E1" s="74"/>
      <c r="F1" s="74"/>
      <c r="G1" s="72" t="s">
        <v>15</v>
      </c>
      <c r="H1" s="72"/>
      <c r="I1" s="72"/>
    </row>
    <row r="2" spans="1:9" ht="19.5" customHeight="1">
      <c r="A2" s="75" t="s">
        <v>2</v>
      </c>
      <c r="B2" s="75"/>
      <c r="C2" s="5">
        <f>SUM(C4:C80)</f>
        <v>5348427.5</v>
      </c>
      <c r="D2" s="5">
        <f>SUM(D4:D80)</f>
        <v>5388406.0970000001</v>
      </c>
      <c r="E2" s="5">
        <f>C2-D2</f>
        <v>-39978.597000000067</v>
      </c>
      <c r="F2" s="6">
        <f>IFERROR(E2/D2, 0)</f>
        <v>-7.4193734251503775E-3</v>
      </c>
      <c r="G2" s="5">
        <f>SUM(G4:G80)</f>
        <v>5866302.0999999996</v>
      </c>
      <c r="H2" s="7">
        <f>C2-G2</f>
        <v>-517874.59999999963</v>
      </c>
      <c r="I2" s="6">
        <f>IFERROR(H2/G2, 0)</f>
        <v>-8.827956541822142E-2</v>
      </c>
    </row>
    <row r="3" spans="1:9" ht="14.25" customHeight="1">
      <c r="A3" s="8" t="s">
        <v>3</v>
      </c>
      <c r="B3" s="8" t="s">
        <v>4</v>
      </c>
      <c r="C3" s="11" t="s">
        <v>5</v>
      </c>
      <c r="D3" s="16" t="s">
        <v>6</v>
      </c>
      <c r="E3" s="16" t="s">
        <v>7</v>
      </c>
      <c r="F3" s="17" t="s">
        <v>8</v>
      </c>
      <c r="G3" s="18" t="s">
        <v>9</v>
      </c>
      <c r="H3" s="19" t="s">
        <v>7</v>
      </c>
      <c r="I3" s="20" t="s">
        <v>8</v>
      </c>
    </row>
    <row r="4" spans="1:9" ht="15.75">
      <c r="A4" s="38" t="str" cm="1">
        <f t="array" ref="A4:A11">Sites[Site]</f>
        <v>Cedar Swamp Rd</v>
      </c>
      <c r="B4" s="26" t="str" cm="1">
        <f t="array" ref="B4:B11">Sites[State]</f>
        <v>MA</v>
      </c>
      <c r="C4" s="27">
        <f>SUM(Jul!C4, Aug!C4, Sep!C4)</f>
        <v>407313</v>
      </c>
      <c r="D4" s="28">
        <f>SUM(Jul!D4, Aug!D4, Sep!D4)</f>
        <v>375977.397</v>
      </c>
      <c r="E4" s="28">
        <f>IF(AND(ISNUMBER(C4),ISNUMBER(D4)), C4-D4, "")</f>
        <v>31335.603000000003</v>
      </c>
      <c r="F4" s="29">
        <f>IFERROR(E4/D4, "")</f>
        <v>8.3344379875048724E-2</v>
      </c>
      <c r="G4" s="30">
        <f>SUM(Jul!G4, Aug!G4, Sep!G4)</f>
        <v>447233.3</v>
      </c>
      <c r="H4" s="30">
        <f>SUM(Jul!H4, Aug!H4, Sep!H4)</f>
        <v>-39920.299999999988</v>
      </c>
      <c r="I4" s="31">
        <f>IFERROR(H4/G4, "")</f>
        <v>-8.9260571607704495E-2</v>
      </c>
    </row>
    <row r="5" spans="1:9" ht="15.75">
      <c r="A5" s="39" t="str">
        <v>Bullis</v>
      </c>
      <c r="B5" s="33" t="str">
        <v>NY</v>
      </c>
      <c r="C5" s="34">
        <f>SUM(Jul!C5, Aug!C5, Sep!C5)</f>
        <v>2601711</v>
      </c>
      <c r="D5" s="35">
        <f>SUM(Jul!D5, Aug!D5, Sep!D5)</f>
        <v>2524129.5</v>
      </c>
      <c r="E5" s="35">
        <f t="shared" ref="E5:E11" si="0">IF(AND(ISNUMBER(C5),ISNUMBER(D5)), C5-D5, "")</f>
        <v>77581.5</v>
      </c>
      <c r="F5" s="36">
        <f>IFERROR(E5/D5, "")</f>
        <v>3.0735942827022147E-2</v>
      </c>
      <c r="G5" s="9">
        <f>SUM(Jul!G5, Aug!G5, Sep!G5)</f>
        <v>2915417.6</v>
      </c>
      <c r="H5" s="37">
        <f>SUM(Jul!H5, Aug!H5, Sep!H5)</f>
        <v>-313706.59999999998</v>
      </c>
      <c r="I5" s="36">
        <f>IFERROR(H5/G5, "")</f>
        <v>-0.10760262955125192</v>
      </c>
    </row>
    <row r="6" spans="1:9" ht="15.75">
      <c r="A6" s="38" t="str">
        <v>Rock Island</v>
      </c>
      <c r="B6" s="26" t="str">
        <v>NY</v>
      </c>
      <c r="C6" s="27">
        <f>SUM(Jul!C6, Aug!C6, Sep!C6)</f>
        <v>2339403.5</v>
      </c>
      <c r="D6" s="28">
        <f>SUM(Jul!D6, Aug!D6, Sep!D6)</f>
        <v>2488299.2000000002</v>
      </c>
      <c r="E6" s="28">
        <f t="shared" si="0"/>
        <v>-148895.70000000019</v>
      </c>
      <c r="F6" s="29">
        <f t="shared" ref="F6:F11" si="1">IFERROR(E6/D6, "")</f>
        <v>-5.9838342591598377E-2</v>
      </c>
      <c r="G6" s="30">
        <f>SUM(Jul!G6, Aug!G6, Sep!G6)</f>
        <v>2503651.2000000002</v>
      </c>
      <c r="H6" s="30">
        <f>SUM(Jul!H6, Aug!H6, Sep!H6)</f>
        <v>-164247.69999999995</v>
      </c>
      <c r="I6" s="31">
        <f t="shared" ref="I6:I11" si="2">IFERROR(H6/G6, "")</f>
        <v>-6.5603267739531748E-2</v>
      </c>
    </row>
    <row r="7" spans="1:9" ht="15.75">
      <c r="A7" s="39" t="str">
        <v>Winslow - Roderick</v>
      </c>
      <c r="B7" s="33" t="str">
        <v>ME</v>
      </c>
      <c r="C7" s="34">
        <f>SUM(Jul!C7, Aug!C7, Sep!C7)</f>
        <v>0</v>
      </c>
      <c r="D7" s="35">
        <f>SUM(Jul!D7, Aug!D7, Sep!D7)</f>
        <v>0</v>
      </c>
      <c r="E7" s="35">
        <f t="shared" si="0"/>
        <v>0</v>
      </c>
      <c r="F7" s="36" t="str">
        <f t="shared" si="1"/>
        <v/>
      </c>
      <c r="G7" s="9">
        <f>SUM(Jul!G7, Aug!G7, Sep!G7)</f>
        <v>0</v>
      </c>
      <c r="H7" s="37">
        <f>SUM(Jul!H7, Aug!H7, Sep!H7)</f>
        <v>0</v>
      </c>
      <c r="I7" s="36" t="str">
        <f t="shared" si="2"/>
        <v/>
      </c>
    </row>
    <row r="8" spans="1:9" ht="15.75">
      <c r="A8" s="38" t="str">
        <v>Minoa - Clemons Rd</v>
      </c>
      <c r="B8" s="26" t="str">
        <v>NY</v>
      </c>
      <c r="C8" s="27">
        <f>SUM(Jul!C8, Aug!C8, Sep!C8)</f>
        <v>0</v>
      </c>
      <c r="D8" s="28">
        <f>SUM(Jul!D8, Aug!D8, Sep!D8)</f>
        <v>0</v>
      </c>
      <c r="E8" s="28">
        <f t="shared" si="0"/>
        <v>0</v>
      </c>
      <c r="F8" s="29" t="str">
        <f t="shared" si="1"/>
        <v/>
      </c>
      <c r="G8" s="30">
        <f>SUM(Jul!G8, Aug!G8, Sep!G8)</f>
        <v>0</v>
      </c>
      <c r="H8" s="30">
        <f>SUM(Jul!H8, Aug!H8, Sep!H8)</f>
        <v>0</v>
      </c>
      <c r="I8" s="31" t="str">
        <f t="shared" si="2"/>
        <v/>
      </c>
    </row>
    <row r="9" spans="1:9" ht="15.75">
      <c r="A9" s="39" t="str">
        <v>Manchester - Western</v>
      </c>
      <c r="B9" s="33" t="str">
        <v>ME</v>
      </c>
      <c r="C9" s="34">
        <f>SUM(Jul!C9, Aug!C9, Sep!C9)</f>
        <v>0</v>
      </c>
      <c r="D9" s="35">
        <f>SUM(Jul!D9, Aug!D9, Sep!D9)</f>
        <v>0</v>
      </c>
      <c r="E9" s="35">
        <f t="shared" si="0"/>
        <v>0</v>
      </c>
      <c r="F9" s="36" t="str">
        <f t="shared" si="1"/>
        <v/>
      </c>
      <c r="G9" s="9">
        <f>SUM(Jul!G9, Aug!G9, Sep!G9)</f>
        <v>0</v>
      </c>
      <c r="H9" s="37">
        <f>SUM(Jul!H9, Aug!H9, Sep!H9)</f>
        <v>0</v>
      </c>
      <c r="I9" s="36" t="str">
        <f t="shared" si="2"/>
        <v/>
      </c>
    </row>
    <row r="10" spans="1:9" ht="15.75">
      <c r="A10" s="38" t="str">
        <v>Batavia - Pike Rd</v>
      </c>
      <c r="B10" s="26" t="str">
        <v>NY</v>
      </c>
      <c r="C10" s="27">
        <f>SUM(Jul!C10, Aug!C10, Sep!C10)</f>
        <v>0</v>
      </c>
      <c r="D10" s="28">
        <f>SUM(Jul!D10, Aug!D10, Sep!D10)</f>
        <v>0</v>
      </c>
      <c r="E10" s="28">
        <f t="shared" si="0"/>
        <v>0</v>
      </c>
      <c r="F10" s="29" t="str">
        <f t="shared" si="1"/>
        <v/>
      </c>
      <c r="G10" s="69">
        <f>SUM(Jul!G10, Aug!G10, Sep!G10)</f>
        <v>0</v>
      </c>
      <c r="H10" s="30">
        <f>SUM(Jul!H10, Aug!H10, Sep!H10)</f>
        <v>0</v>
      </c>
      <c r="I10" s="31" t="str">
        <f t="shared" si="2"/>
        <v/>
      </c>
    </row>
    <row r="11" spans="1:9" ht="15.75">
      <c r="A11" s="39" t="str">
        <v>Slayton A &amp; B</v>
      </c>
      <c r="B11" s="33" t="str">
        <v>NY</v>
      </c>
      <c r="C11" s="34">
        <f>SUM(Jul!C11, Aug!C11, Sep!C11)</f>
        <v>0</v>
      </c>
      <c r="D11" s="35">
        <f>SUM(Jul!D11, Aug!D11, Sep!D11)</f>
        <v>0</v>
      </c>
      <c r="E11" s="35">
        <f t="shared" si="0"/>
        <v>0</v>
      </c>
      <c r="F11" s="36" t="str">
        <f t="shared" si="1"/>
        <v/>
      </c>
      <c r="G11" s="68">
        <f>SUM(Jul!G11, Aug!G11, Sep!G11)</f>
        <v>0</v>
      </c>
      <c r="H11" s="37">
        <f>SUM(Jul!H11, Aug!H11, Sep!H11)</f>
        <v>0</v>
      </c>
      <c r="I11" s="36" t="str">
        <f t="shared" si="2"/>
        <v/>
      </c>
    </row>
    <row r="12" spans="1:9" ht="13.15">
      <c r="A12" s="9"/>
      <c r="B12" s="9"/>
      <c r="C12" s="9"/>
      <c r="D12" s="9"/>
      <c r="E12" s="9"/>
      <c r="F12" s="9"/>
      <c r="G12" s="9"/>
      <c r="H12" s="9"/>
      <c r="I12" s="9"/>
    </row>
    <row r="13" spans="1:9" ht="13.15">
      <c r="A13" s="9"/>
      <c r="B13" s="9"/>
      <c r="C13" s="9"/>
      <c r="D13" s="9"/>
      <c r="E13" s="9"/>
      <c r="F13" s="10"/>
      <c r="G13" s="9"/>
      <c r="H13" s="9"/>
      <c r="I13" s="10"/>
    </row>
    <row r="14" spans="1:9" ht="13.15">
      <c r="A14" s="9"/>
      <c r="B14" s="9"/>
      <c r="C14" s="9"/>
      <c r="D14" s="9"/>
      <c r="E14" s="9"/>
      <c r="F14" s="10"/>
      <c r="G14" s="9"/>
      <c r="H14" s="9"/>
      <c r="I14" s="10"/>
    </row>
    <row r="15" spans="1:9" ht="13.15">
      <c r="A15" s="9"/>
      <c r="B15" s="9"/>
      <c r="C15" s="9"/>
      <c r="D15" s="9"/>
      <c r="E15" s="9"/>
      <c r="F15" s="10"/>
      <c r="G15" s="9"/>
      <c r="H15" s="9"/>
      <c r="I15" s="10"/>
    </row>
    <row r="16" spans="1:9" ht="13.15">
      <c r="A16" s="9"/>
      <c r="B16" s="9"/>
      <c r="C16" s="9"/>
      <c r="D16" s="9"/>
      <c r="E16" s="9"/>
      <c r="F16" s="10"/>
      <c r="G16" s="9"/>
      <c r="H16" s="9"/>
      <c r="I16" s="10"/>
    </row>
    <row r="17" spans="1:9" ht="13.15">
      <c r="A17" s="9"/>
      <c r="B17" s="9"/>
      <c r="C17" s="9"/>
      <c r="D17" s="9"/>
      <c r="E17" s="9"/>
      <c r="F17" s="10"/>
      <c r="G17" s="9"/>
      <c r="H17" s="9"/>
      <c r="I17" s="10"/>
    </row>
    <row r="18" spans="1:9" ht="13.15">
      <c r="A18" s="9"/>
      <c r="B18" s="9"/>
      <c r="C18" s="9"/>
      <c r="D18" s="9"/>
      <c r="E18" s="9"/>
      <c r="F18" s="10"/>
      <c r="G18" s="9"/>
      <c r="H18" s="9"/>
      <c r="I18" s="10"/>
    </row>
    <row r="19" spans="1:9" ht="13.15">
      <c r="A19" s="9"/>
      <c r="B19" s="9"/>
      <c r="C19" s="9"/>
      <c r="D19" s="9"/>
      <c r="E19" s="9"/>
      <c r="F19" s="10"/>
      <c r="G19" s="9"/>
      <c r="H19" s="9"/>
      <c r="I19" s="10"/>
    </row>
    <row r="20" spans="1:9" ht="13.15">
      <c r="A20" s="9"/>
      <c r="B20" s="9"/>
      <c r="C20" s="9"/>
      <c r="D20" s="9"/>
      <c r="E20" s="9"/>
      <c r="F20" s="10"/>
      <c r="G20" s="9"/>
      <c r="H20" s="9"/>
      <c r="I20" s="10"/>
    </row>
    <row r="21" spans="1:9" ht="13.15">
      <c r="A21" s="9"/>
      <c r="B21" s="9"/>
      <c r="C21" s="9"/>
      <c r="D21" s="9"/>
      <c r="E21" s="9"/>
      <c r="F21" s="10"/>
      <c r="G21" s="9"/>
      <c r="H21" s="9"/>
      <c r="I21" s="10"/>
    </row>
    <row r="22" spans="1:9" ht="13.15">
      <c r="A22" s="9"/>
      <c r="B22" s="9"/>
      <c r="C22" s="9"/>
      <c r="D22" s="9"/>
      <c r="E22" s="9"/>
      <c r="F22" s="10"/>
      <c r="G22" s="9"/>
      <c r="H22" s="9"/>
      <c r="I22" s="10"/>
    </row>
    <row r="23" spans="1:9" ht="13.15">
      <c r="A23" s="9"/>
      <c r="B23" s="9"/>
      <c r="C23" s="9"/>
      <c r="D23" s="9"/>
      <c r="E23" s="9"/>
      <c r="F23" s="10"/>
      <c r="G23" s="9"/>
      <c r="H23" s="9"/>
      <c r="I23" s="10"/>
    </row>
    <row r="24" spans="1:9" ht="13.15">
      <c r="A24" s="9"/>
      <c r="B24" s="9"/>
      <c r="C24" s="9"/>
      <c r="D24" s="9"/>
      <c r="E24" s="9"/>
      <c r="F24" s="10"/>
      <c r="G24" s="9"/>
      <c r="H24" s="9"/>
      <c r="I24" s="10"/>
    </row>
    <row r="25" spans="1:9" ht="13.15">
      <c r="A25" s="9"/>
      <c r="B25" s="9"/>
      <c r="C25" s="9"/>
      <c r="D25" s="9"/>
      <c r="E25" s="9"/>
      <c r="F25" s="10"/>
      <c r="G25" s="9"/>
      <c r="H25" s="9"/>
      <c r="I25" s="10"/>
    </row>
    <row r="26" spans="1:9" ht="13.15">
      <c r="A26" s="9"/>
      <c r="B26" s="9"/>
      <c r="C26" s="9"/>
      <c r="D26" s="9"/>
      <c r="E26" s="9"/>
      <c r="F26" s="10"/>
      <c r="G26" s="9"/>
      <c r="H26" s="9"/>
      <c r="I26" s="10"/>
    </row>
    <row r="27" spans="1:9" ht="13.15">
      <c r="A27" s="9"/>
      <c r="B27" s="9"/>
      <c r="C27" s="9"/>
      <c r="D27" s="9"/>
      <c r="E27" s="9"/>
      <c r="F27" s="10"/>
      <c r="G27" s="9"/>
      <c r="H27" s="9"/>
      <c r="I27" s="10"/>
    </row>
    <row r="28" spans="1:9" ht="13.15">
      <c r="A28" s="9"/>
      <c r="B28" s="9"/>
      <c r="C28" s="9"/>
      <c r="D28" s="9"/>
      <c r="E28" s="9"/>
      <c r="F28" s="10"/>
      <c r="G28" s="9"/>
      <c r="H28" s="9"/>
      <c r="I28" s="10"/>
    </row>
    <row r="29" spans="1:9" ht="13.15">
      <c r="A29" s="9"/>
      <c r="B29" s="9"/>
      <c r="C29" s="9"/>
      <c r="D29" s="9"/>
      <c r="E29" s="9"/>
      <c r="F29" s="10"/>
      <c r="G29" s="9"/>
      <c r="H29" s="9"/>
      <c r="I29" s="10"/>
    </row>
    <row r="30" spans="1:9" ht="13.15">
      <c r="A30" s="9"/>
      <c r="B30" s="9"/>
      <c r="C30" s="9"/>
      <c r="D30" s="9"/>
      <c r="E30" s="9"/>
      <c r="F30" s="10"/>
      <c r="G30" s="9"/>
      <c r="H30" s="9"/>
      <c r="I30" s="10"/>
    </row>
    <row r="31" spans="1:9" ht="13.15">
      <c r="A31" s="9"/>
      <c r="B31" s="9"/>
      <c r="C31" s="9"/>
      <c r="D31" s="9"/>
      <c r="E31" s="9"/>
      <c r="F31" s="10"/>
      <c r="G31" s="9"/>
      <c r="H31" s="9"/>
      <c r="I31" s="10"/>
    </row>
    <row r="32" spans="1:9" ht="13.15">
      <c r="A32" s="9"/>
      <c r="B32" s="9"/>
      <c r="C32" s="9"/>
      <c r="D32" s="9"/>
      <c r="E32" s="9"/>
      <c r="F32" s="10"/>
      <c r="G32" s="9"/>
      <c r="H32" s="9"/>
      <c r="I32" s="10"/>
    </row>
    <row r="33" spans="1:9" ht="13.15">
      <c r="A33" s="9"/>
      <c r="B33" s="9"/>
      <c r="C33" s="9"/>
      <c r="D33" s="9"/>
      <c r="E33" s="9"/>
      <c r="F33" s="10"/>
      <c r="G33" s="9"/>
      <c r="H33" s="9"/>
      <c r="I33" s="10"/>
    </row>
    <row r="34" spans="1:9" ht="13.15">
      <c r="A34" s="9"/>
      <c r="B34" s="9"/>
      <c r="C34" s="9"/>
      <c r="D34" s="9"/>
      <c r="E34" s="9"/>
      <c r="F34" s="10"/>
      <c r="G34" s="9"/>
      <c r="H34" s="9"/>
      <c r="I34" s="10"/>
    </row>
    <row r="35" spans="1:9" ht="13.15">
      <c r="A35" s="9"/>
      <c r="B35" s="9"/>
      <c r="C35" s="9"/>
      <c r="D35" s="9"/>
      <c r="E35" s="9"/>
      <c r="F35" s="10"/>
      <c r="G35" s="9"/>
      <c r="H35" s="9"/>
      <c r="I35" s="10"/>
    </row>
    <row r="36" spans="1:9" ht="13.15">
      <c r="A36" s="9"/>
      <c r="B36" s="9"/>
      <c r="C36" s="9"/>
      <c r="D36" s="9"/>
      <c r="E36" s="9"/>
      <c r="F36" s="10"/>
      <c r="G36" s="9"/>
      <c r="H36" s="9"/>
      <c r="I36" s="10"/>
    </row>
    <row r="37" spans="1:9" ht="13.15">
      <c r="A37" s="9"/>
      <c r="B37" s="9"/>
      <c r="C37" s="9"/>
      <c r="D37" s="9"/>
      <c r="E37" s="9"/>
      <c r="F37" s="10"/>
      <c r="G37" s="9"/>
      <c r="H37" s="9"/>
      <c r="I37" s="10"/>
    </row>
    <row r="38" spans="1:9" ht="13.15">
      <c r="A38" s="9"/>
      <c r="B38" s="9"/>
      <c r="C38" s="9"/>
      <c r="D38" s="9"/>
      <c r="E38" s="9"/>
      <c r="F38" s="10"/>
      <c r="G38" s="9"/>
      <c r="H38" s="9"/>
      <c r="I38" s="10"/>
    </row>
    <row r="39" spans="1:9" ht="13.15">
      <c r="A39" s="9"/>
      <c r="B39" s="9"/>
      <c r="C39" s="9"/>
      <c r="D39" s="9"/>
      <c r="E39" s="9"/>
      <c r="F39" s="10"/>
      <c r="G39" s="9"/>
      <c r="H39" s="9"/>
      <c r="I39" s="10"/>
    </row>
    <row r="40" spans="1:9" ht="13.15">
      <c r="A40" s="9"/>
      <c r="B40" s="9"/>
      <c r="C40" s="9"/>
      <c r="D40" s="9"/>
      <c r="E40" s="9"/>
      <c r="F40" s="10"/>
      <c r="G40" s="9"/>
      <c r="H40" s="9"/>
      <c r="I40" s="10"/>
    </row>
    <row r="41" spans="1:9" ht="13.15">
      <c r="A41" s="9"/>
      <c r="B41" s="9"/>
      <c r="C41" s="9"/>
      <c r="D41" s="9"/>
      <c r="E41" s="9"/>
      <c r="F41" s="10"/>
      <c r="G41" s="9"/>
      <c r="H41" s="9"/>
      <c r="I41" s="10"/>
    </row>
    <row r="42" spans="1:9" ht="13.15">
      <c r="A42" s="9"/>
      <c r="B42" s="9"/>
      <c r="C42" s="9"/>
      <c r="D42" s="9"/>
      <c r="E42" s="9"/>
      <c r="F42" s="10"/>
      <c r="G42" s="9"/>
      <c r="H42" s="9"/>
      <c r="I42" s="10"/>
    </row>
    <row r="43" spans="1:9" ht="13.15">
      <c r="A43" s="9"/>
      <c r="B43" s="9"/>
      <c r="C43" s="9"/>
      <c r="D43" s="9"/>
      <c r="E43" s="9"/>
      <c r="F43" s="10"/>
      <c r="G43" s="9"/>
      <c r="H43" s="9"/>
      <c r="I43" s="10"/>
    </row>
    <row r="44" spans="1:9" ht="13.15">
      <c r="A44" s="9"/>
      <c r="B44" s="9"/>
      <c r="C44" s="9"/>
      <c r="D44" s="9"/>
      <c r="E44" s="9"/>
      <c r="F44" s="10"/>
      <c r="G44" s="9"/>
      <c r="H44" s="9"/>
      <c r="I44" s="10"/>
    </row>
    <row r="45" spans="1:9" ht="13.15">
      <c r="A45" s="9"/>
      <c r="B45" s="9"/>
      <c r="C45" s="9"/>
      <c r="D45" s="9"/>
      <c r="E45" s="9"/>
      <c r="F45" s="10"/>
      <c r="G45" s="9"/>
      <c r="H45" s="9"/>
      <c r="I45" s="10"/>
    </row>
    <row r="46" spans="1:9" ht="13.15">
      <c r="A46" s="9"/>
      <c r="B46" s="9"/>
      <c r="C46" s="9"/>
      <c r="D46" s="9"/>
      <c r="E46" s="9"/>
      <c r="F46" s="10"/>
      <c r="G46" s="9"/>
      <c r="H46" s="9"/>
      <c r="I46" s="10"/>
    </row>
    <row r="47" spans="1:9" ht="13.15">
      <c r="A47" s="9"/>
      <c r="B47" s="9"/>
      <c r="C47" s="9"/>
      <c r="D47" s="9"/>
      <c r="E47" s="9"/>
      <c r="F47" s="10"/>
      <c r="G47" s="9"/>
      <c r="H47" s="9"/>
      <c r="I47" s="10"/>
    </row>
    <row r="48" spans="1:9" ht="13.15">
      <c r="A48" s="9"/>
      <c r="B48" s="9"/>
      <c r="C48" s="9"/>
      <c r="D48" s="9"/>
      <c r="E48" s="9"/>
      <c r="F48" s="10"/>
      <c r="G48" s="9"/>
      <c r="H48" s="9"/>
      <c r="I48" s="10"/>
    </row>
    <row r="49" spans="1:9" ht="13.15">
      <c r="A49" s="9"/>
      <c r="B49" s="9"/>
      <c r="C49" s="9"/>
      <c r="D49" s="9"/>
      <c r="E49" s="9"/>
      <c r="F49" s="10"/>
      <c r="G49" s="9"/>
      <c r="H49" s="9"/>
      <c r="I49" s="10"/>
    </row>
    <row r="50" spans="1:9" ht="13.15">
      <c r="A50" s="9"/>
      <c r="B50" s="9"/>
      <c r="C50" s="9"/>
      <c r="D50" s="9"/>
      <c r="E50" s="9"/>
      <c r="F50" s="10"/>
      <c r="G50" s="9"/>
      <c r="H50" s="9"/>
      <c r="I50" s="10"/>
    </row>
    <row r="51" spans="1:9" ht="13.15">
      <c r="A51" s="9"/>
      <c r="B51" s="9"/>
      <c r="C51" s="9"/>
      <c r="D51" s="9"/>
      <c r="E51" s="9"/>
      <c r="F51" s="10"/>
      <c r="G51" s="9"/>
      <c r="H51" s="9"/>
      <c r="I51" s="10"/>
    </row>
    <row r="52" spans="1:9" ht="13.15">
      <c r="A52" s="9"/>
      <c r="B52" s="9"/>
      <c r="C52" s="9"/>
      <c r="D52" s="9"/>
      <c r="E52" s="9"/>
      <c r="F52" s="10"/>
      <c r="G52" s="9"/>
      <c r="H52" s="9"/>
      <c r="I52" s="10"/>
    </row>
    <row r="53" spans="1:9" ht="13.15">
      <c r="A53" s="9"/>
      <c r="B53" s="9"/>
      <c r="C53" s="9"/>
      <c r="D53" s="9"/>
      <c r="E53" s="9"/>
      <c r="F53" s="10"/>
      <c r="G53" s="9"/>
      <c r="H53" s="9"/>
      <c r="I53" s="10"/>
    </row>
    <row r="54" spans="1:9" ht="13.15">
      <c r="A54" s="9"/>
      <c r="B54" s="9"/>
      <c r="C54" s="9"/>
      <c r="D54" s="9"/>
      <c r="E54" s="9"/>
      <c r="F54" s="10"/>
      <c r="G54" s="9"/>
      <c r="H54" s="9"/>
      <c r="I54" s="10"/>
    </row>
    <row r="55" spans="1:9" ht="13.15">
      <c r="A55" s="9"/>
      <c r="B55" s="9"/>
      <c r="C55" s="9"/>
      <c r="D55" s="9"/>
      <c r="E55" s="9"/>
      <c r="F55" s="10"/>
      <c r="G55" s="9"/>
      <c r="H55" s="9"/>
      <c r="I55" s="10"/>
    </row>
    <row r="56" spans="1:9" ht="13.15">
      <c r="A56" s="9"/>
      <c r="B56" s="9"/>
      <c r="C56" s="9"/>
      <c r="D56" s="9"/>
      <c r="E56" s="9"/>
      <c r="F56" s="10"/>
      <c r="G56" s="9"/>
      <c r="H56" s="9"/>
      <c r="I56" s="10"/>
    </row>
    <row r="57" spans="1:9" ht="13.15">
      <c r="A57" s="9"/>
      <c r="B57" s="9"/>
      <c r="C57" s="9"/>
      <c r="D57" s="9"/>
      <c r="E57" s="9"/>
      <c r="F57" s="10"/>
      <c r="G57" s="9"/>
      <c r="H57" s="9"/>
      <c r="I57" s="10"/>
    </row>
    <row r="58" spans="1:9" ht="13.15">
      <c r="A58" s="9"/>
      <c r="B58" s="9"/>
      <c r="C58" s="9"/>
      <c r="D58" s="9"/>
      <c r="E58" s="9"/>
      <c r="F58" s="10"/>
      <c r="G58" s="9"/>
      <c r="H58" s="9"/>
      <c r="I58" s="10"/>
    </row>
    <row r="59" spans="1:9" ht="13.15">
      <c r="A59" s="9"/>
      <c r="B59" s="9"/>
      <c r="C59" s="9"/>
      <c r="D59" s="9"/>
      <c r="E59" s="9"/>
      <c r="F59" s="10"/>
      <c r="G59" s="9"/>
      <c r="H59" s="9"/>
      <c r="I59" s="10"/>
    </row>
    <row r="60" spans="1:9" ht="13.15">
      <c r="A60" s="9"/>
      <c r="B60" s="9"/>
      <c r="C60" s="9"/>
      <c r="D60" s="9"/>
      <c r="E60" s="9"/>
      <c r="F60" s="10"/>
      <c r="G60" s="9"/>
      <c r="H60" s="9"/>
      <c r="I60" s="10"/>
    </row>
    <row r="61" spans="1:9" ht="13.15">
      <c r="A61" s="9"/>
      <c r="B61" s="9"/>
      <c r="C61" s="9"/>
      <c r="D61" s="9"/>
      <c r="E61" s="9"/>
      <c r="F61" s="10"/>
      <c r="G61" s="9"/>
      <c r="H61" s="9"/>
      <c r="I61" s="10"/>
    </row>
    <row r="62" spans="1:9" ht="13.15">
      <c r="A62" s="9"/>
      <c r="B62" s="9"/>
      <c r="C62" s="9"/>
      <c r="D62" s="9"/>
      <c r="E62" s="9"/>
      <c r="F62" s="10"/>
      <c r="G62" s="9"/>
      <c r="H62" s="9"/>
      <c r="I62" s="10"/>
    </row>
    <row r="63" spans="1:9" ht="13.15">
      <c r="A63" s="9"/>
      <c r="B63" s="9"/>
      <c r="C63" s="9"/>
      <c r="D63" s="9"/>
      <c r="E63" s="9"/>
      <c r="F63" s="10"/>
      <c r="G63" s="9"/>
      <c r="H63" s="9"/>
      <c r="I63" s="10"/>
    </row>
    <row r="64" spans="1:9" ht="13.15">
      <c r="A64" s="9"/>
      <c r="B64" s="9"/>
      <c r="C64" s="9"/>
      <c r="D64" s="9"/>
      <c r="E64" s="9"/>
      <c r="F64" s="10"/>
      <c r="G64" s="9"/>
      <c r="H64" s="9"/>
      <c r="I64" s="10"/>
    </row>
    <row r="65" spans="1:9" ht="13.15">
      <c r="A65" s="9"/>
      <c r="B65" s="9"/>
      <c r="C65" s="9"/>
      <c r="D65" s="9"/>
      <c r="E65" s="9"/>
      <c r="F65" s="10"/>
      <c r="G65" s="9"/>
      <c r="H65" s="9"/>
      <c r="I65" s="10"/>
    </row>
    <row r="66" spans="1:9" ht="13.15">
      <c r="A66" s="9"/>
      <c r="B66" s="9"/>
      <c r="C66" s="9"/>
      <c r="D66" s="9"/>
      <c r="E66" s="9"/>
      <c r="F66" s="10"/>
      <c r="G66" s="9"/>
      <c r="H66" s="9"/>
      <c r="I66" s="10"/>
    </row>
    <row r="67" spans="1:9" ht="13.15">
      <c r="A67" s="9"/>
      <c r="B67" s="9"/>
      <c r="C67" s="9"/>
      <c r="D67" s="9"/>
      <c r="E67" s="9"/>
      <c r="F67" s="10"/>
      <c r="G67" s="9"/>
      <c r="H67" s="9"/>
      <c r="I67" s="10"/>
    </row>
    <row r="68" spans="1:9" ht="13.15">
      <c r="A68" s="9"/>
      <c r="B68" s="9"/>
      <c r="C68" s="9"/>
      <c r="D68" s="9"/>
      <c r="E68" s="9"/>
      <c r="F68" s="10"/>
      <c r="G68" s="9"/>
      <c r="H68" s="9"/>
      <c r="I68" s="10"/>
    </row>
    <row r="69" spans="1:9" ht="13.15">
      <c r="A69" s="9"/>
      <c r="B69" s="9"/>
      <c r="C69" s="9"/>
      <c r="D69" s="9"/>
      <c r="E69" s="9"/>
      <c r="F69" s="10"/>
      <c r="G69" s="9"/>
      <c r="H69" s="9"/>
      <c r="I69" s="10"/>
    </row>
    <row r="70" spans="1:9" ht="13.15">
      <c r="A70" s="9"/>
      <c r="B70" s="9"/>
      <c r="C70" s="9"/>
      <c r="D70" s="9"/>
      <c r="E70" s="9"/>
      <c r="F70" s="10"/>
      <c r="G70" s="9"/>
      <c r="H70" s="9"/>
      <c r="I70" s="10"/>
    </row>
    <row r="71" spans="1:9" ht="13.15">
      <c r="A71" s="9"/>
      <c r="B71" s="9"/>
      <c r="C71" s="9"/>
      <c r="D71" s="9"/>
      <c r="E71" s="9"/>
      <c r="F71" s="10"/>
      <c r="G71" s="9"/>
      <c r="H71" s="9"/>
      <c r="I71" s="10"/>
    </row>
    <row r="72" spans="1:9" ht="13.15">
      <c r="A72" s="9"/>
      <c r="B72" s="9"/>
      <c r="C72" s="9"/>
      <c r="D72" s="9"/>
      <c r="E72" s="9"/>
      <c r="F72" s="10"/>
      <c r="G72" s="9"/>
      <c r="H72" s="9"/>
      <c r="I72" s="10"/>
    </row>
    <row r="73" spans="1:9" ht="13.15">
      <c r="A73" s="9"/>
      <c r="B73" s="9"/>
      <c r="C73" s="9"/>
      <c r="D73" s="9"/>
      <c r="E73" s="9"/>
      <c r="F73" s="10"/>
      <c r="G73" s="9"/>
      <c r="H73" s="9"/>
      <c r="I73" s="10"/>
    </row>
    <row r="74" spans="1:9" ht="13.15">
      <c r="A74" s="9"/>
      <c r="B74" s="9"/>
      <c r="C74" s="9"/>
      <c r="D74" s="9"/>
      <c r="E74" s="9"/>
      <c r="F74" s="10"/>
      <c r="G74" s="9"/>
      <c r="H74" s="9"/>
      <c r="I74" s="10"/>
    </row>
    <row r="75" spans="1:9" ht="13.15">
      <c r="A75" s="9"/>
      <c r="B75" s="9"/>
      <c r="C75" s="9"/>
      <c r="D75" s="9"/>
      <c r="E75" s="9"/>
      <c r="F75" s="10"/>
      <c r="G75" s="9"/>
      <c r="H75" s="9"/>
      <c r="I75" s="10"/>
    </row>
    <row r="76" spans="1:9" ht="13.15">
      <c r="A76" s="9"/>
      <c r="B76" s="9"/>
      <c r="C76" s="9"/>
      <c r="D76" s="9"/>
      <c r="E76" s="9"/>
      <c r="F76" s="10"/>
      <c r="G76" s="9"/>
      <c r="H76" s="9"/>
      <c r="I76" s="10"/>
    </row>
    <row r="77" spans="1:9" ht="13.15">
      <c r="A77" s="9"/>
      <c r="B77" s="9"/>
      <c r="C77" s="9"/>
      <c r="D77" s="9"/>
      <c r="E77" s="9"/>
      <c r="F77" s="10"/>
      <c r="G77" s="9"/>
      <c r="H77" s="9"/>
      <c r="I77" s="10"/>
    </row>
    <row r="78" spans="1:9" ht="13.15">
      <c r="A78" s="9"/>
      <c r="B78" s="9"/>
      <c r="C78" s="9"/>
      <c r="D78" s="9"/>
      <c r="E78" s="9"/>
      <c r="F78" s="10"/>
      <c r="G78" s="9"/>
      <c r="H78" s="9"/>
      <c r="I78" s="10"/>
    </row>
    <row r="79" spans="1:9" ht="13.15">
      <c r="A79" s="9"/>
      <c r="B79" s="9"/>
      <c r="C79" s="9"/>
      <c r="D79" s="9"/>
      <c r="E79" s="9"/>
      <c r="F79" s="10"/>
      <c r="G79" s="9"/>
      <c r="H79" s="9"/>
      <c r="I79" s="10"/>
    </row>
    <row r="80" spans="1:9" ht="13.15">
      <c r="A80" s="9"/>
      <c r="B80" s="9"/>
      <c r="C80" s="9"/>
      <c r="D80" s="9"/>
      <c r="E80" s="9"/>
      <c r="F80" s="10"/>
      <c r="G80" s="9"/>
      <c r="H80" s="9"/>
      <c r="I80" s="10"/>
    </row>
    <row r="81" spans="1:9" ht="13.15">
      <c r="A81" s="9"/>
      <c r="B81" s="9"/>
      <c r="C81" s="9"/>
      <c r="D81" s="9"/>
      <c r="E81" s="9"/>
      <c r="F81" s="10"/>
      <c r="G81" s="9"/>
      <c r="H81" s="9"/>
      <c r="I81" s="10"/>
    </row>
    <row r="82" spans="1:9" ht="13.15">
      <c r="A82" s="9"/>
      <c r="B82" s="9"/>
      <c r="C82" s="9"/>
      <c r="D82" s="9"/>
      <c r="E82" s="9"/>
      <c r="F82" s="10"/>
      <c r="G82" s="9"/>
      <c r="H82" s="9"/>
      <c r="I82" s="10"/>
    </row>
    <row r="83" spans="1:9" ht="13.15">
      <c r="A83" s="9"/>
      <c r="B83" s="9"/>
      <c r="C83" s="9"/>
      <c r="D83" s="9"/>
      <c r="E83" s="9"/>
      <c r="F83" s="10"/>
      <c r="G83" s="9"/>
      <c r="H83" s="9"/>
      <c r="I83" s="10"/>
    </row>
    <row r="84" spans="1:9" ht="13.15">
      <c r="A84" s="9"/>
      <c r="B84" s="9"/>
      <c r="C84" s="9"/>
      <c r="D84" s="9"/>
      <c r="E84" s="9"/>
      <c r="F84" s="10"/>
      <c r="G84" s="9"/>
      <c r="H84" s="9"/>
      <c r="I84" s="10"/>
    </row>
    <row r="85" spans="1:9" ht="13.15">
      <c r="A85" s="9"/>
      <c r="B85" s="9"/>
      <c r="C85" s="9"/>
      <c r="D85" s="9"/>
      <c r="E85" s="9"/>
      <c r="F85" s="10"/>
      <c r="G85" s="9"/>
      <c r="H85" s="9"/>
      <c r="I85" s="10"/>
    </row>
    <row r="86" spans="1:9" ht="13.15">
      <c r="A86" s="9"/>
      <c r="B86" s="9"/>
      <c r="C86" s="9"/>
      <c r="D86" s="9"/>
      <c r="E86" s="9"/>
      <c r="F86" s="10"/>
      <c r="G86" s="9"/>
      <c r="H86" s="9"/>
      <c r="I86" s="10"/>
    </row>
    <row r="87" spans="1:9" ht="13.15">
      <c r="A87" s="9"/>
      <c r="B87" s="9"/>
      <c r="C87" s="9"/>
      <c r="D87" s="9"/>
      <c r="E87" s="9"/>
      <c r="F87" s="10"/>
      <c r="G87" s="9"/>
      <c r="H87" s="9"/>
      <c r="I87" s="10"/>
    </row>
    <row r="88" spans="1:9" ht="13.15">
      <c r="A88" s="9"/>
      <c r="B88" s="9"/>
      <c r="C88" s="9"/>
      <c r="D88" s="9"/>
      <c r="E88" s="9"/>
      <c r="F88" s="10"/>
      <c r="G88" s="9"/>
      <c r="H88" s="9"/>
      <c r="I88" s="10"/>
    </row>
    <row r="89" spans="1:9" ht="13.15">
      <c r="A89" s="9"/>
      <c r="B89" s="9"/>
      <c r="C89" s="9"/>
      <c r="D89" s="9"/>
      <c r="E89" s="9"/>
      <c r="F89" s="10"/>
      <c r="G89" s="9"/>
      <c r="H89" s="9"/>
      <c r="I89" s="10"/>
    </row>
    <row r="90" spans="1:9" ht="13.15">
      <c r="A90" s="9"/>
      <c r="B90" s="9"/>
      <c r="C90" s="9"/>
      <c r="D90" s="9"/>
      <c r="E90" s="9"/>
      <c r="F90" s="10"/>
      <c r="G90" s="9"/>
      <c r="H90" s="9"/>
      <c r="I90" s="10"/>
    </row>
    <row r="91" spans="1:9" ht="13.15">
      <c r="A91" s="9"/>
      <c r="B91" s="9"/>
      <c r="C91" s="9"/>
      <c r="D91" s="9"/>
      <c r="E91" s="9"/>
      <c r="F91" s="10"/>
      <c r="G91" s="9"/>
      <c r="H91" s="9"/>
      <c r="I91" s="10"/>
    </row>
    <row r="92" spans="1:9" ht="13.15">
      <c r="A92" s="9"/>
      <c r="B92" s="9"/>
      <c r="C92" s="9"/>
      <c r="D92" s="9"/>
      <c r="E92" s="9"/>
      <c r="F92" s="10"/>
      <c r="G92" s="9"/>
      <c r="H92" s="9"/>
      <c r="I92" s="10"/>
    </row>
    <row r="93" spans="1:9" ht="13.15">
      <c r="A93" s="9"/>
      <c r="B93" s="9"/>
      <c r="C93" s="9"/>
      <c r="D93" s="9"/>
      <c r="E93" s="9"/>
      <c r="F93" s="10"/>
      <c r="G93" s="9"/>
      <c r="H93" s="9"/>
      <c r="I93" s="10"/>
    </row>
    <row r="94" spans="1:9" ht="13.15">
      <c r="A94" s="9"/>
      <c r="B94" s="9"/>
      <c r="C94" s="9"/>
      <c r="D94" s="9"/>
      <c r="E94" s="9"/>
      <c r="F94" s="10"/>
      <c r="G94" s="9"/>
      <c r="H94" s="9"/>
      <c r="I94" s="10"/>
    </row>
    <row r="95" spans="1:9" ht="13.15">
      <c r="A95" s="9"/>
      <c r="B95" s="9"/>
      <c r="C95" s="9"/>
      <c r="D95" s="9"/>
      <c r="E95" s="9"/>
      <c r="F95" s="10"/>
      <c r="G95" s="9"/>
      <c r="H95" s="9"/>
      <c r="I95" s="10"/>
    </row>
    <row r="96" spans="1:9" ht="13.15">
      <c r="A96" s="9"/>
      <c r="B96" s="9"/>
      <c r="C96" s="9"/>
      <c r="D96" s="9"/>
      <c r="E96" s="9"/>
      <c r="F96" s="10"/>
      <c r="G96" s="9"/>
      <c r="H96" s="9"/>
      <c r="I96" s="10"/>
    </row>
    <row r="97" spans="1:9" ht="13.15">
      <c r="A97" s="9"/>
      <c r="B97" s="9"/>
      <c r="C97" s="9"/>
      <c r="D97" s="9"/>
      <c r="E97" s="9"/>
      <c r="F97" s="10"/>
      <c r="G97" s="9"/>
      <c r="H97" s="9"/>
      <c r="I97" s="10"/>
    </row>
    <row r="98" spans="1:9" ht="13.15">
      <c r="A98" s="9"/>
      <c r="B98" s="9"/>
      <c r="C98" s="9"/>
      <c r="D98" s="9"/>
      <c r="E98" s="9"/>
      <c r="F98" s="10"/>
      <c r="G98" s="9"/>
      <c r="H98" s="9"/>
      <c r="I98" s="10"/>
    </row>
    <row r="99" spans="1:9" ht="13.15">
      <c r="A99" s="9"/>
      <c r="B99" s="9"/>
      <c r="C99" s="9"/>
      <c r="D99" s="9"/>
      <c r="E99" s="9"/>
      <c r="F99" s="10"/>
      <c r="G99" s="9"/>
      <c r="H99" s="9"/>
      <c r="I99" s="10"/>
    </row>
    <row r="100" spans="1:9" ht="13.15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15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15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15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15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15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15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15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15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15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15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15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15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15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15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15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15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15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15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15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15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15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15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15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15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15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15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15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15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15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15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15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15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15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15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15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15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15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15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15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15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15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15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15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15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15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15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15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15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15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15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15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15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15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15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15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15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15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15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15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15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15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15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15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15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15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15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15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15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15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15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15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15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15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15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15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15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15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15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15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15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15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15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15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15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15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15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15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15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15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15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15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15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15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15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15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15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15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15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15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15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15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15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15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15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15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15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15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15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15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15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15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15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15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15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15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15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15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15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15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15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15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15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15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15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15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15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15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15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15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15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15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15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15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15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15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15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15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15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15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15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15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15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15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15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15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15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15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15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15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15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15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15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15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15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15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15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15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15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15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15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15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15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15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15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15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15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15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15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15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15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15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15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15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15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15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15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15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15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15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15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15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15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15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15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15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15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15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15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15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15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15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15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15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15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15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15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15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15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15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15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15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15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15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15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15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15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15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15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15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15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15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15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15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15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15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15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15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15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15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15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15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15">
      <c r="A322" s="9"/>
      <c r="B322" s="9"/>
      <c r="C322" s="9"/>
      <c r="D322" s="9"/>
      <c r="E322" s="9"/>
      <c r="F322" s="10"/>
      <c r="G322" s="9"/>
      <c r="H322" s="9"/>
      <c r="I322" s="10"/>
    </row>
  </sheetData>
  <mergeCells count="4">
    <mergeCell ref="G1:I1"/>
    <mergeCell ref="A1:C1"/>
    <mergeCell ref="D1:F1"/>
    <mergeCell ref="A2:B2"/>
  </mergeCells>
  <conditionalFormatting sqref="F2 I2 F4:F80 I4:I80">
    <cfRule type="cellIs" dxfId="32" priority="3" stopIfTrue="1" operator="lessThanOrEqual">
      <formula>-0.1</formula>
    </cfRule>
    <cfRule type="expression" dxfId="3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4" activePane="bottomRight" state="frozen"/>
      <selection pane="bottomRight" activeCell="F13" sqref="F13"/>
      <selection pane="bottomLeft" activeCell="A4" sqref="A4:I6"/>
      <selection pane="topRight" activeCell="A4" sqref="A4:I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3" t="str" cm="1">
        <f t="array" ref="A1">portfolio</f>
        <v>Renewable Properties</v>
      </c>
      <c r="B1" s="73"/>
      <c r="C1" s="73"/>
      <c r="D1" s="74" t="s">
        <v>16</v>
      </c>
      <c r="E1" s="74"/>
      <c r="F1" s="74"/>
      <c r="G1" s="72" t="s">
        <v>17</v>
      </c>
      <c r="H1" s="72"/>
      <c r="I1" s="72"/>
    </row>
    <row r="2" spans="1:9" ht="19.5" customHeight="1">
      <c r="A2" s="75" t="s">
        <v>2</v>
      </c>
      <c r="B2" s="75"/>
      <c r="C2" s="5">
        <f>SUM(C4:C80)</f>
        <v>4009592.7370299995</v>
      </c>
      <c r="D2" s="5">
        <f>SUM(D4:D80)</f>
        <v>4461543.3000000007</v>
      </c>
      <c r="E2" s="5">
        <f>C2-D2</f>
        <v>-451950.56297000125</v>
      </c>
      <c r="F2" s="6">
        <f>IFERROR(E2/D2, 0)</f>
        <v>-0.10129915425677953</v>
      </c>
      <c r="G2" s="5">
        <f>SUM(G4:G80)</f>
        <v>3935452.23</v>
      </c>
      <c r="H2" s="7">
        <f>C2-G2</f>
        <v>74140.507029999513</v>
      </c>
      <c r="I2" s="6">
        <f>IFERROR(H2/G2, 0)</f>
        <v>1.883913275959127E-2</v>
      </c>
    </row>
    <row r="3" spans="1:9" ht="14.25" customHeight="1">
      <c r="A3" s="8" t="s">
        <v>3</v>
      </c>
      <c r="B3" s="8" t="s">
        <v>4</v>
      </c>
      <c r="C3" s="11" t="s">
        <v>5</v>
      </c>
      <c r="D3" s="16" t="s">
        <v>6</v>
      </c>
      <c r="E3" s="16" t="s">
        <v>7</v>
      </c>
      <c r="F3" s="17" t="s">
        <v>8</v>
      </c>
      <c r="G3" s="18" t="s">
        <v>9</v>
      </c>
      <c r="H3" s="19" t="s">
        <v>7</v>
      </c>
      <c r="I3" s="20" t="s">
        <v>8</v>
      </c>
    </row>
    <row r="4" spans="1:9" ht="15.75">
      <c r="A4" s="38" t="str" cm="1">
        <f t="array" ref="A4:A11">Sites[Site]</f>
        <v>Cedar Swamp Rd</v>
      </c>
      <c r="B4" s="26" t="str" cm="1">
        <f t="array" ref="B4:B11">Sites[State]</f>
        <v>MA</v>
      </c>
      <c r="C4" s="27">
        <f>SUM(Oct!C4, Nov!C4, Dec!C4)</f>
        <v>226971</v>
      </c>
      <c r="D4" s="28">
        <f>SUM(Oct!D4, Nov!D4, Dec!D4)</f>
        <v>237805</v>
      </c>
      <c r="E4" s="28">
        <f>IF(AND(ISNUMBER(C4),ISNUMBER(D4)), C4-D4, "")</f>
        <v>-10834</v>
      </c>
      <c r="F4" s="29">
        <f>IFERROR(E4/D4, "")</f>
        <v>-4.5558335611109946E-2</v>
      </c>
      <c r="G4" s="37">
        <f>SUM(Oct!G4, Nov!G4, Dec!G4)</f>
        <v>171641.73</v>
      </c>
      <c r="H4" s="30">
        <f>SUM(Oct!H4, Nov!H4, Dec!H4)</f>
        <v>55329.270000000004</v>
      </c>
      <c r="I4" s="31">
        <f>IFERROR(H4/G4, "")</f>
        <v>0.32235325290650474</v>
      </c>
    </row>
    <row r="5" spans="1:9" ht="15.75">
      <c r="A5" s="39" t="str">
        <v>Bullis</v>
      </c>
      <c r="B5" s="33" t="str">
        <v>NY</v>
      </c>
      <c r="C5" s="34">
        <f>SUM(Oct!C5, Nov!C5, Dec!C5)</f>
        <v>948001.5</v>
      </c>
      <c r="D5" s="35">
        <f>SUM(Oct!D5, Nov!D5, Dec!D5)</f>
        <v>998284.3</v>
      </c>
      <c r="E5" s="35">
        <f t="shared" ref="E5:E6" si="0">IF(AND(ISNUMBER(C5),ISNUMBER(D5)), C5-D5, "")</f>
        <v>-50282.800000000047</v>
      </c>
      <c r="F5" s="36">
        <f>IFERROR(E5/D5, "")</f>
        <v>-5.0369218468125809E-2</v>
      </c>
      <c r="G5" s="37">
        <f>SUM(Oct!G5, Nov!G5, Dec!G5)</f>
        <v>945589.2</v>
      </c>
      <c r="H5" s="37">
        <f>SUM(Oct!H5, Nov!H5, Dec!H5)</f>
        <v>2412.2999999999884</v>
      </c>
      <c r="I5" s="36">
        <f>IFERROR(H5/G5, "")</f>
        <v>2.5511078172212507E-3</v>
      </c>
    </row>
    <row r="6" spans="1:9" ht="15.75">
      <c r="A6" s="38" t="str">
        <v>Rock Island</v>
      </c>
      <c r="B6" s="26" t="str">
        <v>NY</v>
      </c>
      <c r="C6" s="27">
        <f>SUM(Oct!C6, Nov!C6, Dec!C6)</f>
        <v>876302</v>
      </c>
      <c r="D6" s="28">
        <f>SUM(Oct!D6, Nov!D6, Dec!D6)</f>
        <v>999591.4</v>
      </c>
      <c r="E6" s="28">
        <f t="shared" si="0"/>
        <v>-123289.40000000002</v>
      </c>
      <c r="F6" s="29">
        <f t="shared" ref="F6" si="1">IFERROR(E6/D6, "")</f>
        <v>-0.1233397966409075</v>
      </c>
      <c r="G6" s="30">
        <f>SUM(Oct!G6, Nov!G6, Dec!G6)</f>
        <v>850640.6</v>
      </c>
      <c r="H6" s="30">
        <f>SUM(Oct!H6, Nov!H6, Dec!H6)</f>
        <v>25661.399999999994</v>
      </c>
      <c r="I6" s="31">
        <f t="shared" ref="I6" si="2">IFERROR(H6/G6, "")</f>
        <v>3.0167146971353111E-2</v>
      </c>
    </row>
    <row r="7" spans="1:9" ht="15.75">
      <c r="A7" s="39" t="str">
        <v>Winslow - Roderick</v>
      </c>
      <c r="B7" s="33" t="str">
        <v>ME</v>
      </c>
      <c r="C7" s="34">
        <f>SUM(Oct!C7, Nov!C7, Dec!C7)</f>
        <v>571699</v>
      </c>
      <c r="D7" s="35">
        <f>SUM(Oct!D7, Nov!D7, Dec!D7)</f>
        <v>746633.7</v>
      </c>
      <c r="E7" s="35">
        <f t="shared" ref="E7" si="3">IF(AND(ISNUMBER(C7),ISNUMBER(D7)), C7-D7, "")</f>
        <v>-174934.69999999995</v>
      </c>
      <c r="F7" s="36">
        <f t="shared" ref="F7:F11" si="4">IFERROR(E7/D7, "")</f>
        <v>-0.23429788931305937</v>
      </c>
      <c r="G7" s="37">
        <f>SUM(Oct!G7, Nov!G7, Dec!G7)</f>
        <v>640597</v>
      </c>
      <c r="H7" s="37">
        <f>SUM(Oct!H7, Nov!H7, Dec!H7)</f>
        <v>-68898</v>
      </c>
      <c r="I7" s="36">
        <f t="shared" ref="I7:I11" si="5">IFERROR(H7/G7, "")</f>
        <v>-0.10755279840523761</v>
      </c>
    </row>
    <row r="8" spans="1:9" ht="15.75">
      <c r="A8" s="38" t="str">
        <v>Minoa - Clemons Rd</v>
      </c>
      <c r="B8" s="26" t="str">
        <v>NY</v>
      </c>
      <c r="C8" s="27">
        <f>SUM(Oct!C8, Nov!C8, Dec!C8)</f>
        <v>598745.97139999981</v>
      </c>
      <c r="D8" s="28">
        <f>SUM(Oct!D8, Nov!D8, Dec!D8)</f>
        <v>727615.99999999988</v>
      </c>
      <c r="E8" s="28">
        <f t="shared" ref="E8:E11" si="6">IF(AND(ISNUMBER(C8),ISNUMBER(D8)), C8-D8, "")</f>
        <v>-128870.02860000008</v>
      </c>
      <c r="F8" s="29">
        <f t="shared" ref="F8:F10" si="7">IFERROR(E8/D8, "")</f>
        <v>-0.17711269213431274</v>
      </c>
      <c r="G8" s="30">
        <f>SUM(Oct!G8, Nov!G8, Dec!G8)</f>
        <v>662172.6</v>
      </c>
      <c r="H8" s="30">
        <f>SUM(Oct!H8, Nov!H8, Dec!H8)</f>
        <v>-63426.628600000229</v>
      </c>
      <c r="I8" s="31">
        <f t="shared" ref="I8:I10" si="8">IFERROR(H8/G8, "")</f>
        <v>-9.5785643501407683E-2</v>
      </c>
    </row>
    <row r="9" spans="1:9" ht="15.75">
      <c r="A9" s="39" t="str">
        <v>Manchester - Western</v>
      </c>
      <c r="B9" s="33" t="str">
        <v>ME</v>
      </c>
      <c r="C9" s="34">
        <f>SUM(Oct!C9, Nov!C9, Dec!C9)</f>
        <v>177136.01562999998</v>
      </c>
      <c r="D9" s="35">
        <f>SUM(Oct!D9, Nov!D9, Dec!D9)</f>
        <v>0</v>
      </c>
      <c r="E9" s="35">
        <f t="shared" si="6"/>
        <v>177136.01562999998</v>
      </c>
      <c r="F9" s="36" t="str">
        <f t="shared" si="4"/>
        <v/>
      </c>
      <c r="G9" s="37">
        <f>SUM(Oct!G9, Nov!G9, Dec!G9)</f>
        <v>0</v>
      </c>
      <c r="H9" s="37">
        <f>SUM(Oct!H9, Nov!H9, Dec!H9)</f>
        <v>177136.01562999998</v>
      </c>
      <c r="I9" s="36" t="str">
        <f t="shared" si="5"/>
        <v/>
      </c>
    </row>
    <row r="10" spans="1:9" ht="15.75">
      <c r="A10" s="38" t="str">
        <v>Batavia - Pike Rd</v>
      </c>
      <c r="B10" s="26" t="str">
        <v>NY</v>
      </c>
      <c r="C10" s="27">
        <f>SUM(Oct!C10, Nov!C10, Dec!C10)</f>
        <v>324063.25</v>
      </c>
      <c r="D10" s="28">
        <f>SUM(Oct!D10, Nov!D10, Dec!D10)</f>
        <v>377387.6</v>
      </c>
      <c r="E10" s="28">
        <f t="shared" si="6"/>
        <v>-53324.349999999977</v>
      </c>
      <c r="F10" s="29">
        <f t="shared" si="7"/>
        <v>-0.14129862772385732</v>
      </c>
      <c r="G10" s="30">
        <f>SUM(Oct!G10, Nov!G10, Dec!G10)</f>
        <v>367165.7</v>
      </c>
      <c r="H10" s="30">
        <f>SUM(Oct!H10, Nov!H10, Dec!H10)</f>
        <v>-43102.45</v>
      </c>
      <c r="I10" s="31">
        <f t="shared" si="8"/>
        <v>-0.11739236535438903</v>
      </c>
    </row>
    <row r="11" spans="1:9" ht="15.75">
      <c r="A11" s="39" t="str">
        <v>Slayton A &amp; B</v>
      </c>
      <c r="B11" s="33" t="str">
        <v>NY</v>
      </c>
      <c r="C11" s="34">
        <f>SUM(Oct!C11, Nov!C11, Dec!C11)</f>
        <v>286674</v>
      </c>
      <c r="D11" s="35">
        <f>SUM(Oct!D11, Nov!D11, Dec!D11)</f>
        <v>374225.3</v>
      </c>
      <c r="E11" s="35">
        <f t="shared" si="6"/>
        <v>-87551.299999999988</v>
      </c>
      <c r="F11" s="36">
        <f t="shared" si="4"/>
        <v>-0.23395344996717216</v>
      </c>
      <c r="G11" s="37">
        <f>SUM(Oct!G11, Nov!G11, Dec!G11)</f>
        <v>297645.40000000002</v>
      </c>
      <c r="H11" s="37">
        <f>SUM(Oct!H11, Nov!H11, Dec!H11)</f>
        <v>-10971.400000000023</v>
      </c>
      <c r="I11" s="36">
        <f t="shared" si="5"/>
        <v>-3.6860640211473193E-2</v>
      </c>
    </row>
    <row r="12" spans="1:9" ht="13.15">
      <c r="A12" s="9"/>
      <c r="B12" s="9"/>
      <c r="C12" s="9"/>
      <c r="D12" s="9"/>
      <c r="E12" s="9"/>
      <c r="F12" s="9"/>
      <c r="G12" s="9"/>
      <c r="H12" s="9"/>
      <c r="I12" s="9"/>
    </row>
    <row r="13" spans="1:9" ht="13.15">
      <c r="A13" s="9"/>
      <c r="B13" s="9"/>
      <c r="C13" s="9"/>
      <c r="D13" s="9"/>
      <c r="E13" s="9"/>
      <c r="F13" s="10"/>
      <c r="G13" s="9"/>
      <c r="H13" s="9"/>
      <c r="I13" s="10"/>
    </row>
    <row r="14" spans="1:9" ht="13.15">
      <c r="A14" s="9"/>
      <c r="B14" s="9"/>
      <c r="C14" s="9"/>
      <c r="D14" s="9"/>
      <c r="E14" s="9"/>
      <c r="F14" s="10"/>
      <c r="G14" s="9"/>
      <c r="H14" s="9"/>
      <c r="I14" s="10"/>
    </row>
    <row r="15" spans="1:9" ht="13.15">
      <c r="A15" s="9"/>
      <c r="B15" s="9"/>
      <c r="C15" s="9"/>
      <c r="D15" s="9"/>
      <c r="E15" s="9"/>
      <c r="F15" s="10"/>
      <c r="G15" s="9"/>
      <c r="H15" s="9"/>
      <c r="I15" s="10"/>
    </row>
    <row r="16" spans="1:9" ht="13.15">
      <c r="A16" s="9"/>
      <c r="B16" s="9"/>
      <c r="C16" s="9"/>
      <c r="D16" s="9"/>
      <c r="E16" s="9"/>
      <c r="F16" s="10"/>
      <c r="G16" s="9"/>
      <c r="H16" s="9"/>
      <c r="I16" s="10"/>
    </row>
    <row r="17" spans="1:9" ht="13.15">
      <c r="A17" s="9"/>
      <c r="B17" s="9"/>
      <c r="C17" s="9"/>
      <c r="D17" s="9"/>
      <c r="E17" s="9"/>
      <c r="F17" s="10"/>
      <c r="G17" s="9"/>
      <c r="H17" s="9"/>
      <c r="I17" s="10"/>
    </row>
    <row r="18" spans="1:9" ht="13.15">
      <c r="A18" s="9"/>
      <c r="B18" s="9"/>
      <c r="C18" s="9"/>
      <c r="D18" s="9"/>
      <c r="E18" s="9"/>
      <c r="F18" s="10"/>
      <c r="G18" s="9"/>
      <c r="H18" s="9"/>
      <c r="I18" s="10"/>
    </row>
    <row r="19" spans="1:9" ht="13.15">
      <c r="A19" s="9"/>
      <c r="B19" s="9"/>
      <c r="C19" s="9"/>
      <c r="D19" s="9"/>
      <c r="E19" s="9"/>
      <c r="F19" s="10"/>
      <c r="G19" s="9"/>
      <c r="H19" s="9"/>
      <c r="I19" s="10"/>
    </row>
    <row r="20" spans="1:9" ht="13.15">
      <c r="A20" s="9"/>
      <c r="B20" s="9"/>
      <c r="C20" s="9"/>
      <c r="D20" s="9"/>
      <c r="E20" s="9"/>
      <c r="F20" s="10"/>
      <c r="G20" s="9"/>
      <c r="H20" s="9"/>
      <c r="I20" s="10"/>
    </row>
    <row r="21" spans="1:9" ht="13.15">
      <c r="A21" s="9"/>
      <c r="B21" s="9"/>
      <c r="C21" s="9"/>
      <c r="D21" s="9"/>
      <c r="E21" s="9"/>
      <c r="F21" s="10"/>
      <c r="G21" s="9"/>
      <c r="H21" s="9"/>
      <c r="I21" s="10"/>
    </row>
    <row r="22" spans="1:9" ht="13.15">
      <c r="A22" s="9"/>
      <c r="B22" s="9"/>
      <c r="C22" s="9"/>
      <c r="D22" s="9"/>
      <c r="E22" s="9"/>
      <c r="F22" s="10"/>
      <c r="G22" s="9"/>
      <c r="H22" s="9"/>
      <c r="I22" s="10"/>
    </row>
    <row r="23" spans="1:9" ht="13.15">
      <c r="A23" s="9"/>
      <c r="B23" s="9"/>
      <c r="C23" s="9"/>
      <c r="D23" s="9"/>
      <c r="E23" s="9"/>
      <c r="F23" s="10"/>
      <c r="G23" s="9"/>
      <c r="H23" s="9"/>
      <c r="I23" s="10"/>
    </row>
    <row r="24" spans="1:9" ht="13.15">
      <c r="A24" s="9"/>
      <c r="B24" s="9"/>
      <c r="C24" s="9"/>
      <c r="D24" s="9"/>
      <c r="E24" s="9"/>
      <c r="F24" s="10"/>
      <c r="G24" s="9"/>
      <c r="H24" s="9"/>
      <c r="I24" s="10"/>
    </row>
    <row r="25" spans="1:9" ht="13.15">
      <c r="A25" s="9"/>
      <c r="B25" s="9"/>
      <c r="C25" s="9"/>
      <c r="D25" s="9"/>
      <c r="E25" s="9"/>
      <c r="F25" s="10"/>
      <c r="G25" s="9"/>
      <c r="H25" s="9"/>
      <c r="I25" s="10"/>
    </row>
    <row r="26" spans="1:9" ht="13.15">
      <c r="A26" s="9"/>
      <c r="B26" s="9"/>
      <c r="C26" s="9"/>
      <c r="D26" s="9"/>
      <c r="E26" s="9"/>
      <c r="F26" s="10"/>
      <c r="G26" s="9"/>
      <c r="H26" s="9"/>
      <c r="I26" s="10"/>
    </row>
    <row r="27" spans="1:9" ht="13.15">
      <c r="A27" s="9"/>
      <c r="B27" s="9"/>
      <c r="C27" s="9"/>
      <c r="D27" s="9"/>
      <c r="E27" s="9"/>
      <c r="F27" s="10"/>
      <c r="G27" s="9"/>
      <c r="H27" s="9"/>
      <c r="I27" s="10"/>
    </row>
    <row r="28" spans="1:9" ht="13.15">
      <c r="A28" s="9"/>
      <c r="B28" s="9"/>
      <c r="C28" s="9"/>
      <c r="D28" s="9"/>
      <c r="E28" s="9"/>
      <c r="F28" s="10"/>
      <c r="G28" s="9"/>
      <c r="H28" s="9"/>
      <c r="I28" s="10"/>
    </row>
    <row r="29" spans="1:9" ht="13.15">
      <c r="A29" s="9"/>
      <c r="B29" s="9"/>
      <c r="C29" s="9"/>
      <c r="D29" s="9"/>
      <c r="E29" s="9"/>
      <c r="F29" s="10"/>
      <c r="G29" s="9"/>
      <c r="H29" s="9"/>
      <c r="I29" s="10"/>
    </row>
    <row r="30" spans="1:9" ht="13.15">
      <c r="A30" s="9"/>
      <c r="B30" s="9"/>
      <c r="C30" s="9"/>
      <c r="D30" s="9"/>
      <c r="E30" s="9"/>
      <c r="F30" s="10"/>
      <c r="G30" s="9"/>
      <c r="H30" s="9"/>
      <c r="I30" s="10"/>
    </row>
    <row r="31" spans="1:9" ht="13.15">
      <c r="A31" s="9"/>
      <c r="B31" s="9"/>
      <c r="C31" s="9"/>
      <c r="D31" s="9"/>
      <c r="E31" s="9"/>
      <c r="F31" s="10"/>
      <c r="G31" s="9"/>
      <c r="H31" s="9"/>
      <c r="I31" s="10"/>
    </row>
    <row r="32" spans="1:9" ht="13.15">
      <c r="A32" s="9"/>
      <c r="B32" s="9"/>
      <c r="C32" s="9"/>
      <c r="D32" s="9"/>
      <c r="E32" s="9"/>
      <c r="F32" s="10"/>
      <c r="G32" s="9"/>
      <c r="H32" s="9"/>
      <c r="I32" s="10"/>
    </row>
    <row r="33" spans="1:9" ht="13.15">
      <c r="A33" s="9"/>
      <c r="B33" s="9"/>
      <c r="C33" s="9"/>
      <c r="D33" s="9"/>
      <c r="E33" s="9"/>
      <c r="F33" s="10"/>
      <c r="G33" s="9"/>
      <c r="H33" s="9"/>
      <c r="I33" s="10"/>
    </row>
    <row r="34" spans="1:9" ht="13.15">
      <c r="A34" s="9"/>
      <c r="B34" s="9"/>
      <c r="C34" s="9"/>
      <c r="D34" s="9"/>
      <c r="E34" s="9"/>
      <c r="F34" s="10"/>
      <c r="G34" s="9"/>
      <c r="H34" s="9"/>
      <c r="I34" s="10"/>
    </row>
    <row r="35" spans="1:9" ht="13.15">
      <c r="A35" s="9"/>
      <c r="B35" s="9"/>
      <c r="C35" s="9"/>
      <c r="D35" s="9"/>
      <c r="E35" s="9"/>
      <c r="F35" s="10"/>
      <c r="G35" s="9"/>
      <c r="H35" s="9"/>
      <c r="I35" s="10"/>
    </row>
    <row r="36" spans="1:9" ht="13.15">
      <c r="A36" s="9"/>
      <c r="B36" s="9"/>
      <c r="C36" s="9"/>
      <c r="D36" s="9"/>
      <c r="E36" s="9"/>
      <c r="F36" s="10"/>
      <c r="G36" s="9"/>
      <c r="H36" s="9"/>
      <c r="I36" s="10"/>
    </row>
    <row r="37" spans="1:9" ht="13.15">
      <c r="A37" s="9"/>
      <c r="B37" s="9"/>
      <c r="C37" s="9"/>
      <c r="D37" s="9"/>
      <c r="E37" s="9"/>
      <c r="F37" s="10"/>
      <c r="G37" s="9"/>
      <c r="H37" s="9"/>
      <c r="I37" s="10"/>
    </row>
    <row r="38" spans="1:9" ht="13.15">
      <c r="A38" s="9"/>
      <c r="B38" s="9"/>
      <c r="C38" s="9"/>
      <c r="D38" s="9"/>
      <c r="E38" s="9"/>
      <c r="F38" s="10"/>
      <c r="G38" s="9"/>
      <c r="H38" s="9"/>
      <c r="I38" s="10"/>
    </row>
    <row r="39" spans="1:9" ht="13.15">
      <c r="A39" s="9"/>
      <c r="B39" s="9"/>
      <c r="C39" s="9"/>
      <c r="D39" s="9"/>
      <c r="E39" s="9"/>
      <c r="F39" s="10"/>
      <c r="G39" s="9"/>
      <c r="H39" s="9"/>
      <c r="I39" s="10"/>
    </row>
    <row r="40" spans="1:9" ht="13.15">
      <c r="A40" s="9"/>
      <c r="B40" s="9"/>
      <c r="C40" s="9"/>
      <c r="D40" s="9"/>
      <c r="E40" s="9"/>
      <c r="F40" s="10"/>
      <c r="G40" s="9"/>
      <c r="H40" s="9"/>
      <c r="I40" s="10"/>
    </row>
    <row r="41" spans="1:9" ht="13.15">
      <c r="A41" s="9"/>
      <c r="B41" s="9"/>
      <c r="C41" s="9"/>
      <c r="D41" s="9"/>
      <c r="E41" s="9"/>
      <c r="F41" s="10"/>
      <c r="G41" s="9"/>
      <c r="H41" s="9"/>
      <c r="I41" s="10"/>
    </row>
    <row r="42" spans="1:9" ht="13.15">
      <c r="A42" s="9"/>
      <c r="B42" s="9"/>
      <c r="C42" s="9"/>
      <c r="D42" s="9"/>
      <c r="E42" s="9"/>
      <c r="F42" s="10"/>
      <c r="G42" s="9"/>
      <c r="H42" s="9"/>
      <c r="I42" s="10"/>
    </row>
    <row r="43" spans="1:9" ht="13.15">
      <c r="A43" s="9"/>
      <c r="B43" s="9"/>
      <c r="C43" s="9"/>
      <c r="D43" s="9"/>
      <c r="E43" s="9"/>
      <c r="F43" s="10"/>
      <c r="G43" s="9"/>
      <c r="H43" s="9"/>
      <c r="I43" s="10"/>
    </row>
    <row r="44" spans="1:9" ht="13.15">
      <c r="A44" s="9"/>
      <c r="B44" s="9"/>
      <c r="C44" s="9"/>
      <c r="D44" s="9"/>
      <c r="E44" s="9"/>
      <c r="F44" s="10"/>
      <c r="G44" s="9"/>
      <c r="H44" s="9"/>
      <c r="I44" s="10"/>
    </row>
    <row r="45" spans="1:9" ht="13.15">
      <c r="A45" s="9"/>
      <c r="B45" s="9"/>
      <c r="C45" s="9"/>
      <c r="D45" s="9"/>
      <c r="E45" s="9"/>
      <c r="F45" s="10"/>
      <c r="G45" s="9"/>
      <c r="H45" s="9"/>
      <c r="I45" s="10"/>
    </row>
    <row r="46" spans="1:9" ht="13.15">
      <c r="A46" s="9"/>
      <c r="B46" s="9"/>
      <c r="C46" s="9"/>
      <c r="D46" s="9"/>
      <c r="E46" s="9"/>
      <c r="F46" s="10"/>
      <c r="G46" s="9"/>
      <c r="H46" s="9"/>
      <c r="I46" s="10"/>
    </row>
    <row r="47" spans="1:9" ht="13.15">
      <c r="A47" s="9"/>
      <c r="B47" s="9"/>
      <c r="C47" s="9"/>
      <c r="D47" s="9"/>
      <c r="E47" s="9"/>
      <c r="F47" s="10"/>
      <c r="G47" s="9"/>
      <c r="H47" s="9"/>
      <c r="I47" s="10"/>
    </row>
    <row r="48" spans="1:9" ht="13.15">
      <c r="A48" s="9"/>
      <c r="B48" s="9"/>
      <c r="C48" s="9"/>
      <c r="D48" s="9"/>
      <c r="E48" s="9"/>
      <c r="F48" s="10"/>
      <c r="G48" s="9"/>
      <c r="H48" s="9"/>
      <c r="I48" s="10"/>
    </row>
    <row r="49" spans="1:9" ht="13.15">
      <c r="A49" s="9"/>
      <c r="B49" s="9"/>
      <c r="C49" s="9"/>
      <c r="D49" s="9"/>
      <c r="E49" s="9"/>
      <c r="F49" s="10"/>
      <c r="G49" s="9"/>
      <c r="H49" s="9"/>
      <c r="I49" s="10"/>
    </row>
    <row r="50" spans="1:9" ht="13.15">
      <c r="A50" s="9"/>
      <c r="B50" s="9"/>
      <c r="C50" s="9"/>
      <c r="D50" s="9"/>
      <c r="E50" s="9"/>
      <c r="F50" s="10"/>
      <c r="G50" s="9"/>
      <c r="H50" s="9"/>
      <c r="I50" s="10"/>
    </row>
    <row r="51" spans="1:9" ht="13.15">
      <c r="A51" s="9"/>
      <c r="B51" s="9"/>
      <c r="C51" s="9"/>
      <c r="D51" s="9"/>
      <c r="E51" s="9"/>
      <c r="F51" s="10"/>
      <c r="G51" s="9"/>
      <c r="H51" s="9"/>
      <c r="I51" s="10"/>
    </row>
    <row r="52" spans="1:9" ht="13.15">
      <c r="A52" s="9"/>
      <c r="B52" s="9"/>
      <c r="C52" s="9"/>
      <c r="D52" s="9"/>
      <c r="E52" s="9"/>
      <c r="F52" s="10"/>
      <c r="G52" s="9"/>
      <c r="H52" s="9"/>
      <c r="I52" s="10"/>
    </row>
    <row r="53" spans="1:9" ht="13.15">
      <c r="A53" s="9"/>
      <c r="B53" s="9"/>
      <c r="C53" s="9"/>
      <c r="D53" s="9"/>
      <c r="E53" s="9"/>
      <c r="F53" s="10"/>
      <c r="G53" s="9"/>
      <c r="H53" s="9"/>
      <c r="I53" s="10"/>
    </row>
    <row r="54" spans="1:9" ht="13.15">
      <c r="A54" s="9"/>
      <c r="B54" s="9"/>
      <c r="C54" s="9"/>
      <c r="D54" s="9"/>
      <c r="E54" s="9"/>
      <c r="F54" s="10"/>
      <c r="G54" s="9"/>
      <c r="H54" s="9"/>
      <c r="I54" s="10"/>
    </row>
    <row r="55" spans="1:9" ht="13.15">
      <c r="A55" s="9"/>
      <c r="B55" s="9"/>
      <c r="C55" s="9"/>
      <c r="D55" s="9"/>
      <c r="E55" s="9"/>
      <c r="F55" s="10"/>
      <c r="G55" s="9"/>
      <c r="H55" s="9"/>
      <c r="I55" s="10"/>
    </row>
    <row r="56" spans="1:9" ht="13.15">
      <c r="A56" s="9"/>
      <c r="B56" s="9"/>
      <c r="C56" s="9"/>
      <c r="D56" s="9"/>
      <c r="E56" s="9"/>
      <c r="F56" s="10"/>
      <c r="G56" s="9"/>
      <c r="H56" s="9"/>
      <c r="I56" s="10"/>
    </row>
    <row r="57" spans="1:9" ht="13.15">
      <c r="A57" s="9"/>
      <c r="B57" s="9"/>
      <c r="C57" s="9"/>
      <c r="D57" s="9"/>
      <c r="E57" s="9"/>
      <c r="F57" s="10"/>
      <c r="G57" s="9"/>
      <c r="H57" s="9"/>
      <c r="I57" s="10"/>
    </row>
    <row r="58" spans="1:9" ht="13.15">
      <c r="A58" s="9"/>
      <c r="B58" s="9"/>
      <c r="C58" s="9"/>
      <c r="D58" s="9"/>
      <c r="E58" s="9"/>
      <c r="F58" s="10"/>
      <c r="G58" s="9"/>
      <c r="H58" s="9"/>
      <c r="I58" s="10"/>
    </row>
    <row r="59" spans="1:9" ht="13.15">
      <c r="A59" s="9"/>
      <c r="B59" s="9"/>
      <c r="C59" s="9"/>
      <c r="D59" s="9"/>
      <c r="E59" s="9"/>
      <c r="F59" s="10"/>
      <c r="G59" s="9"/>
      <c r="H59" s="9"/>
      <c r="I59" s="10"/>
    </row>
    <row r="60" spans="1:9" ht="13.15">
      <c r="A60" s="9"/>
      <c r="B60" s="9"/>
      <c r="C60" s="9"/>
      <c r="D60" s="9"/>
      <c r="E60" s="9"/>
      <c r="F60" s="10"/>
      <c r="G60" s="9"/>
      <c r="H60" s="9"/>
      <c r="I60" s="10"/>
    </row>
    <row r="61" spans="1:9" ht="13.15">
      <c r="A61" s="9"/>
      <c r="B61" s="9"/>
      <c r="C61" s="9"/>
      <c r="D61" s="9"/>
      <c r="E61" s="9"/>
      <c r="F61" s="10"/>
      <c r="G61" s="9"/>
      <c r="H61" s="9"/>
      <c r="I61" s="10"/>
    </row>
    <row r="62" spans="1:9" ht="13.15">
      <c r="A62" s="9"/>
      <c r="B62" s="9"/>
      <c r="C62" s="9"/>
      <c r="D62" s="9"/>
      <c r="E62" s="9"/>
      <c r="F62" s="10"/>
      <c r="G62" s="9"/>
      <c r="H62" s="9"/>
      <c r="I62" s="10"/>
    </row>
    <row r="63" spans="1:9" ht="13.15">
      <c r="A63" s="9"/>
      <c r="B63" s="9"/>
      <c r="C63" s="9"/>
      <c r="D63" s="9"/>
      <c r="E63" s="9"/>
      <c r="F63" s="10"/>
      <c r="G63" s="9"/>
      <c r="H63" s="9"/>
      <c r="I63" s="10"/>
    </row>
    <row r="64" spans="1:9" ht="13.15">
      <c r="A64" s="9"/>
      <c r="B64" s="9"/>
      <c r="C64" s="9"/>
      <c r="D64" s="9"/>
      <c r="E64" s="9"/>
      <c r="F64" s="10"/>
      <c r="G64" s="9"/>
      <c r="H64" s="9"/>
      <c r="I64" s="10"/>
    </row>
    <row r="65" spans="1:9" ht="13.15">
      <c r="A65" s="9"/>
      <c r="B65" s="9"/>
      <c r="C65" s="9"/>
      <c r="D65" s="9"/>
      <c r="E65" s="9"/>
      <c r="F65" s="10"/>
      <c r="G65" s="9"/>
      <c r="H65" s="9"/>
      <c r="I65" s="10"/>
    </row>
    <row r="66" spans="1:9" ht="13.15">
      <c r="A66" s="9"/>
      <c r="B66" s="9"/>
      <c r="C66" s="9"/>
      <c r="D66" s="9"/>
      <c r="E66" s="9"/>
      <c r="F66" s="10"/>
      <c r="G66" s="9"/>
      <c r="H66" s="9"/>
      <c r="I66" s="10"/>
    </row>
    <row r="67" spans="1:9" ht="13.15">
      <c r="A67" s="9"/>
      <c r="B67" s="9"/>
      <c r="C67" s="9"/>
      <c r="D67" s="9"/>
      <c r="E67" s="9"/>
      <c r="F67" s="10"/>
      <c r="G67" s="9"/>
      <c r="H67" s="9"/>
      <c r="I67" s="10"/>
    </row>
    <row r="68" spans="1:9" ht="13.15">
      <c r="A68" s="9"/>
      <c r="B68" s="9"/>
      <c r="C68" s="9"/>
      <c r="D68" s="9"/>
      <c r="E68" s="9"/>
      <c r="F68" s="10"/>
      <c r="G68" s="9"/>
      <c r="H68" s="9"/>
      <c r="I68" s="10"/>
    </row>
    <row r="69" spans="1:9" ht="13.15">
      <c r="A69" s="9"/>
      <c r="B69" s="9"/>
      <c r="C69" s="9"/>
      <c r="D69" s="9"/>
      <c r="E69" s="9"/>
      <c r="F69" s="10"/>
      <c r="G69" s="9"/>
      <c r="H69" s="9"/>
      <c r="I69" s="10"/>
    </row>
    <row r="70" spans="1:9" ht="13.15">
      <c r="A70" s="9"/>
      <c r="B70" s="9"/>
      <c r="C70" s="9"/>
      <c r="D70" s="9"/>
      <c r="E70" s="9"/>
      <c r="F70" s="10"/>
      <c r="G70" s="9"/>
      <c r="H70" s="9"/>
      <c r="I70" s="10"/>
    </row>
    <row r="71" spans="1:9" ht="13.15">
      <c r="A71" s="9"/>
      <c r="B71" s="9"/>
      <c r="C71" s="9"/>
      <c r="D71" s="9"/>
      <c r="E71" s="9"/>
      <c r="F71" s="10"/>
      <c r="G71" s="9"/>
      <c r="H71" s="9"/>
      <c r="I71" s="10"/>
    </row>
    <row r="72" spans="1:9" ht="13.15">
      <c r="A72" s="9"/>
      <c r="B72" s="9"/>
      <c r="C72" s="9"/>
      <c r="D72" s="9"/>
      <c r="E72" s="9"/>
      <c r="F72" s="10"/>
      <c r="G72" s="9"/>
      <c r="H72" s="9"/>
      <c r="I72" s="10"/>
    </row>
    <row r="73" spans="1:9" ht="13.15">
      <c r="A73" s="9"/>
      <c r="B73" s="9"/>
      <c r="C73" s="9"/>
      <c r="D73" s="9"/>
      <c r="E73" s="9"/>
      <c r="F73" s="10"/>
      <c r="G73" s="9"/>
      <c r="H73" s="9"/>
      <c r="I73" s="10"/>
    </row>
    <row r="74" spans="1:9" ht="13.15">
      <c r="A74" s="9"/>
      <c r="B74" s="9"/>
      <c r="C74" s="9"/>
      <c r="D74" s="9"/>
      <c r="E74" s="9"/>
      <c r="F74" s="10"/>
      <c r="G74" s="9"/>
      <c r="H74" s="9"/>
      <c r="I74" s="10"/>
    </row>
    <row r="75" spans="1:9" ht="13.15">
      <c r="A75" s="9"/>
      <c r="B75" s="9"/>
      <c r="C75" s="9"/>
      <c r="D75" s="9"/>
      <c r="E75" s="9"/>
      <c r="F75" s="10"/>
      <c r="G75" s="9"/>
      <c r="H75" s="9"/>
      <c r="I75" s="10"/>
    </row>
    <row r="76" spans="1:9" ht="13.15">
      <c r="A76" s="9"/>
      <c r="B76" s="9"/>
      <c r="C76" s="9"/>
      <c r="D76" s="9"/>
      <c r="E76" s="9"/>
      <c r="F76" s="10"/>
      <c r="G76" s="9"/>
      <c r="H76" s="9"/>
      <c r="I76" s="10"/>
    </row>
    <row r="77" spans="1:9" ht="13.15">
      <c r="A77" s="9"/>
      <c r="B77" s="9"/>
      <c r="C77" s="9"/>
      <c r="D77" s="9"/>
      <c r="E77" s="9"/>
      <c r="F77" s="10"/>
      <c r="G77" s="9"/>
      <c r="H77" s="9"/>
      <c r="I77" s="10"/>
    </row>
    <row r="78" spans="1:9" ht="13.15">
      <c r="A78" s="9"/>
      <c r="B78" s="9"/>
      <c r="C78" s="9"/>
      <c r="D78" s="9"/>
      <c r="E78" s="9"/>
      <c r="F78" s="10"/>
      <c r="G78" s="9"/>
      <c r="H78" s="9"/>
      <c r="I78" s="10"/>
    </row>
    <row r="79" spans="1:9" ht="13.15">
      <c r="A79" s="9"/>
      <c r="B79" s="9"/>
      <c r="C79" s="9"/>
      <c r="D79" s="9"/>
      <c r="E79" s="9"/>
      <c r="F79" s="10"/>
      <c r="G79" s="9"/>
      <c r="H79" s="9"/>
      <c r="I79" s="10"/>
    </row>
    <row r="80" spans="1:9" ht="13.15">
      <c r="A80" s="9"/>
      <c r="B80" s="9"/>
      <c r="C80" s="9"/>
      <c r="D80" s="9"/>
      <c r="E80" s="9"/>
      <c r="F80" s="10"/>
      <c r="G80" s="9"/>
      <c r="H80" s="9"/>
      <c r="I80" s="10"/>
    </row>
    <row r="81" spans="1:9" ht="13.15">
      <c r="A81" s="9"/>
      <c r="B81" s="9"/>
      <c r="C81" s="9"/>
      <c r="D81" s="9"/>
      <c r="E81" s="9"/>
      <c r="F81" s="10"/>
      <c r="G81" s="9"/>
      <c r="H81" s="9"/>
      <c r="I81" s="10"/>
    </row>
    <row r="82" spans="1:9" ht="13.15">
      <c r="A82" s="9"/>
      <c r="B82" s="9"/>
      <c r="C82" s="9"/>
      <c r="D82" s="9"/>
      <c r="E82" s="9"/>
      <c r="F82" s="10"/>
      <c r="G82" s="9"/>
      <c r="H82" s="9"/>
      <c r="I82" s="10"/>
    </row>
    <row r="83" spans="1:9" ht="13.15">
      <c r="A83" s="9"/>
      <c r="B83" s="9"/>
      <c r="C83" s="9"/>
      <c r="D83" s="9"/>
      <c r="E83" s="9"/>
      <c r="F83" s="10"/>
      <c r="G83" s="9"/>
      <c r="H83" s="9"/>
      <c r="I83" s="10"/>
    </row>
    <row r="84" spans="1:9" ht="13.15">
      <c r="A84" s="9"/>
      <c r="B84" s="9"/>
      <c r="C84" s="9"/>
      <c r="D84" s="9"/>
      <c r="E84" s="9"/>
      <c r="F84" s="10"/>
      <c r="G84" s="9"/>
      <c r="H84" s="9"/>
      <c r="I84" s="10"/>
    </row>
    <row r="85" spans="1:9" ht="13.15">
      <c r="A85" s="9"/>
      <c r="B85" s="9"/>
      <c r="C85" s="9"/>
      <c r="D85" s="9"/>
      <c r="E85" s="9"/>
      <c r="F85" s="10"/>
      <c r="G85" s="9"/>
      <c r="H85" s="9"/>
      <c r="I85" s="10"/>
    </row>
    <row r="86" spans="1:9" ht="13.15">
      <c r="A86" s="9"/>
      <c r="B86" s="9"/>
      <c r="C86" s="9"/>
      <c r="D86" s="9"/>
      <c r="E86" s="9"/>
      <c r="F86" s="10"/>
      <c r="G86" s="9"/>
      <c r="H86" s="9"/>
      <c r="I86" s="10"/>
    </row>
    <row r="87" spans="1:9" ht="13.15">
      <c r="A87" s="9"/>
      <c r="B87" s="9"/>
      <c r="C87" s="9"/>
      <c r="D87" s="9"/>
      <c r="E87" s="9"/>
      <c r="F87" s="10"/>
      <c r="G87" s="9"/>
      <c r="H87" s="9"/>
      <c r="I87" s="10"/>
    </row>
    <row r="88" spans="1:9" ht="13.15">
      <c r="A88" s="9"/>
      <c r="B88" s="9"/>
      <c r="C88" s="9"/>
      <c r="D88" s="9"/>
      <c r="E88" s="9"/>
      <c r="F88" s="10"/>
      <c r="G88" s="9"/>
      <c r="H88" s="9"/>
      <c r="I88" s="10"/>
    </row>
    <row r="89" spans="1:9" ht="13.15">
      <c r="A89" s="9"/>
      <c r="B89" s="9"/>
      <c r="C89" s="9"/>
      <c r="D89" s="9"/>
      <c r="E89" s="9"/>
      <c r="F89" s="10"/>
      <c r="G89" s="9"/>
      <c r="H89" s="9"/>
      <c r="I89" s="10"/>
    </row>
    <row r="90" spans="1:9" ht="13.15">
      <c r="A90" s="9"/>
      <c r="B90" s="9"/>
      <c r="C90" s="9"/>
      <c r="D90" s="9"/>
      <c r="E90" s="9"/>
      <c r="F90" s="10"/>
      <c r="G90" s="9"/>
      <c r="H90" s="9"/>
      <c r="I90" s="10"/>
    </row>
    <row r="91" spans="1:9" ht="13.15">
      <c r="A91" s="9"/>
      <c r="B91" s="9"/>
      <c r="C91" s="9"/>
      <c r="D91" s="9"/>
      <c r="E91" s="9"/>
      <c r="F91" s="10"/>
      <c r="G91" s="9"/>
      <c r="H91" s="9"/>
      <c r="I91" s="10"/>
    </row>
    <row r="92" spans="1:9" ht="13.15">
      <c r="A92" s="9"/>
      <c r="B92" s="9"/>
      <c r="C92" s="9"/>
      <c r="D92" s="9"/>
      <c r="E92" s="9"/>
      <c r="F92" s="10"/>
      <c r="G92" s="9"/>
      <c r="H92" s="9"/>
      <c r="I92" s="10"/>
    </row>
    <row r="93" spans="1:9" ht="13.15">
      <c r="A93" s="9"/>
      <c r="B93" s="9"/>
      <c r="C93" s="9"/>
      <c r="D93" s="9"/>
      <c r="E93" s="9"/>
      <c r="F93" s="10"/>
      <c r="G93" s="9"/>
      <c r="H93" s="9"/>
      <c r="I93" s="10"/>
    </row>
    <row r="94" spans="1:9" ht="13.15">
      <c r="A94" s="9"/>
      <c r="B94" s="9"/>
      <c r="C94" s="9"/>
      <c r="D94" s="9"/>
      <c r="E94" s="9"/>
      <c r="F94" s="10"/>
      <c r="G94" s="9"/>
      <c r="H94" s="9"/>
      <c r="I94" s="10"/>
    </row>
    <row r="95" spans="1:9" ht="13.15">
      <c r="A95" s="9"/>
      <c r="B95" s="9"/>
      <c r="C95" s="9"/>
      <c r="D95" s="9"/>
      <c r="E95" s="9"/>
      <c r="F95" s="10"/>
      <c r="G95" s="9"/>
      <c r="H95" s="9"/>
      <c r="I95" s="10"/>
    </row>
    <row r="96" spans="1:9" ht="13.15">
      <c r="A96" s="9"/>
      <c r="B96" s="9"/>
      <c r="C96" s="9"/>
      <c r="D96" s="9"/>
      <c r="E96" s="9"/>
      <c r="F96" s="10"/>
      <c r="G96" s="9"/>
      <c r="H96" s="9"/>
      <c r="I96" s="10"/>
    </row>
    <row r="97" spans="1:9" ht="13.15">
      <c r="A97" s="9"/>
      <c r="B97" s="9"/>
      <c r="C97" s="9"/>
      <c r="D97" s="9"/>
      <c r="E97" s="9"/>
      <c r="F97" s="10"/>
      <c r="G97" s="9"/>
      <c r="H97" s="9"/>
      <c r="I97" s="10"/>
    </row>
    <row r="98" spans="1:9" ht="13.15">
      <c r="A98" s="9"/>
      <c r="B98" s="9"/>
      <c r="C98" s="9"/>
      <c r="D98" s="9"/>
      <c r="E98" s="9"/>
      <c r="F98" s="10"/>
      <c r="G98" s="9"/>
      <c r="H98" s="9"/>
      <c r="I98" s="10"/>
    </row>
    <row r="99" spans="1:9" ht="13.15">
      <c r="A99" s="9"/>
      <c r="B99" s="9"/>
      <c r="C99" s="9"/>
      <c r="D99" s="9"/>
      <c r="E99" s="9"/>
      <c r="F99" s="10"/>
      <c r="G99" s="9"/>
      <c r="H99" s="9"/>
      <c r="I99" s="10"/>
    </row>
    <row r="100" spans="1:9" ht="13.15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15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15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15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15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15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15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15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15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15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15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15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15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15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15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15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15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15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15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15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15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15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15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15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15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15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15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15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15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15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15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15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15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15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15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15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15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15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15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15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15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15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15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15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15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15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15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15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15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15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15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15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15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15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15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15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15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15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15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15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15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15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15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15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15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15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15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15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15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15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15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15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15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15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15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15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15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15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15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15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15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15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15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15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15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15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15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15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15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15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15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15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15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15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15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15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15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15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15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15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15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15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15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15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15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15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15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15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15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15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15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15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15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15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15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15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15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15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15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15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15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15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15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15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15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15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15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15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15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15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15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15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15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15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15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15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15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15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15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15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15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15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15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15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15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15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15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15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15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15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15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15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15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15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15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15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15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15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15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15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15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15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15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15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15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15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15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15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15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15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15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15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15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15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15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15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15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15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15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15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15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15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15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15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15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15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15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15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15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15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15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15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15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15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15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15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15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15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15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15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15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15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15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15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15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15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15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15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15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15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15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15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15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15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15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15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15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15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15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15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15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15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15">
      <c r="A322" s="9"/>
      <c r="B322" s="9"/>
      <c r="C322" s="9"/>
      <c r="D322" s="9"/>
      <c r="E322" s="9"/>
      <c r="F322" s="10"/>
      <c r="G322" s="9"/>
      <c r="H322" s="9"/>
      <c r="I322" s="10"/>
    </row>
  </sheetData>
  <mergeCells count="4">
    <mergeCell ref="G1:I1"/>
    <mergeCell ref="A1:C1"/>
    <mergeCell ref="D1:F1"/>
    <mergeCell ref="A2:B2"/>
  </mergeCells>
  <conditionalFormatting sqref="F2 I2 F4:F80 I4:I8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1"/>
  <sheetViews>
    <sheetView workbookViewId="0">
      <pane xSplit="2" ySplit="3" topLeftCell="C4" activePane="bottomRight" state="frozen"/>
      <selection pane="bottomRight" activeCell="A22" sqref="A22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18</v>
      </c>
      <c r="E1" s="74"/>
      <c r="F1" s="74"/>
      <c r="G1" s="72" t="s">
        <v>19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SUM(C4:C79)</f>
        <v>149017</v>
      </c>
      <c r="D2" s="5">
        <f>SUM(D4:D79)</f>
        <v>187289.57</v>
      </c>
      <c r="E2" s="5">
        <f>C2-D2</f>
        <v>-38272.570000000007</v>
      </c>
      <c r="F2" s="6">
        <f>IFERROR(E2/D2, 0)</f>
        <v>-0.20434971365463653</v>
      </c>
      <c r="G2" s="5">
        <f>SUM(G4:G79)</f>
        <v>307259.67</v>
      </c>
      <c r="H2" s="7">
        <f>C2-G2</f>
        <v>-158242.66999999998</v>
      </c>
      <c r="I2" s="6">
        <f>IFERROR(H2/G2, 0)</f>
        <v>-0.51501282286738115</v>
      </c>
      <c r="J2" s="12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1" ht="15.75">
      <c r="A4" s="48" t="str" cm="1">
        <f t="array" ref="A4:A11">Sites[Site]</f>
        <v>Cedar Swamp Rd</v>
      </c>
      <c r="B4" s="49" t="str" cm="1">
        <f t="array" ref="B4:B11">Sites[State]</f>
        <v>MA</v>
      </c>
      <c r="C4" s="28">
        <v>47147</v>
      </c>
      <c r="D4" s="28">
        <v>40450.07</v>
      </c>
      <c r="E4" s="28">
        <f>IF(AND(ISNUMBER(C4),ISNUMBER(D4)), C4-D4, "")</f>
        <v>6696.93</v>
      </c>
      <c r="F4" s="31">
        <f>IFERROR(E4/D4, "")</f>
        <v>0.16556040570510758</v>
      </c>
      <c r="G4" s="30">
        <v>41873.17</v>
      </c>
      <c r="H4" s="30">
        <f>IF(AND(ISNUMBER(C4),ISNUMBER(G4)), C4-G4, "")</f>
        <v>5273.8300000000017</v>
      </c>
      <c r="I4" s="31">
        <f>IFERROR(H4/G4, "")</f>
        <v>0.12594771305826624</v>
      </c>
      <c r="J4" s="50" t="s">
        <v>22</v>
      </c>
      <c r="K4" s="50" t="s">
        <v>23</v>
      </c>
    </row>
    <row r="5" spans="1:11" ht="28.5">
      <c r="A5" s="51" t="str">
        <v>Bullis</v>
      </c>
      <c r="B5" s="52" t="str">
        <v>NY</v>
      </c>
      <c r="C5" s="35">
        <v>101870</v>
      </c>
      <c r="D5" s="35">
        <v>146839.5</v>
      </c>
      <c r="E5" s="35">
        <f t="shared" ref="E5:E6" si="0">IF(AND(ISNUMBER(C5),ISNUMBER(D5)), C5-D5, "")</f>
        <v>-44969.5</v>
      </c>
      <c r="F5" s="36">
        <f t="shared" ref="F5:F6" si="1">IFERROR(E5/D5, "")</f>
        <v>-0.30624934026607281</v>
      </c>
      <c r="G5" s="37">
        <v>265386.5</v>
      </c>
      <c r="H5" s="37">
        <f t="shared" ref="H5:H6" si="2">IF(AND(ISNUMBER(C5),ISNUMBER(G5)), C5-G5, "")</f>
        <v>-163516.5</v>
      </c>
      <c r="I5" s="36">
        <f t="shared" ref="I5:I6" si="3">IFERROR(H5/G5, "")</f>
        <v>-0.61614475491405929</v>
      </c>
      <c r="J5" s="53" t="s">
        <v>24</v>
      </c>
      <c r="K5" s="53" t="s">
        <v>25</v>
      </c>
    </row>
    <row r="6" spans="1:11" ht="15.75">
      <c r="A6" s="54" t="str">
        <v>Rock Island</v>
      </c>
      <c r="B6" s="49" t="str">
        <v>NY</v>
      </c>
      <c r="C6" s="28">
        <v>0</v>
      </c>
      <c r="D6" s="28">
        <v>0</v>
      </c>
      <c r="E6" s="28">
        <f t="shared" si="0"/>
        <v>0</v>
      </c>
      <c r="F6" s="31" t="str">
        <f t="shared" si="1"/>
        <v/>
      </c>
      <c r="G6" s="30">
        <v>0</v>
      </c>
      <c r="H6" s="30">
        <f t="shared" si="2"/>
        <v>0</v>
      </c>
      <c r="I6" s="31" t="str">
        <f t="shared" si="3"/>
        <v/>
      </c>
      <c r="J6" s="50" t="s">
        <v>26</v>
      </c>
      <c r="K6" s="50" t="s">
        <v>27</v>
      </c>
    </row>
    <row r="7" spans="1:11" ht="15.75">
      <c r="A7" s="51" t="str">
        <v>Winslow - Roderick</v>
      </c>
      <c r="B7" s="52" t="str">
        <v>ME</v>
      </c>
      <c r="C7" s="35"/>
      <c r="D7" s="35"/>
      <c r="E7" s="35" t="str">
        <f t="shared" ref="E7" si="4">IF(AND(ISNUMBER(C7),ISNUMBER(D7)), C7-D7, "")</f>
        <v/>
      </c>
      <c r="F7" s="36" t="str">
        <f t="shared" ref="F7" si="5">IFERROR(E7/D7, "")</f>
        <v/>
      </c>
      <c r="G7" s="37"/>
      <c r="H7" s="37" t="str">
        <f t="shared" ref="H7" si="6">IF(AND(ISNUMBER(C7),ISNUMBER(G7)), C7-G7, "")</f>
        <v/>
      </c>
      <c r="I7" s="36" t="str">
        <f t="shared" ref="I7" si="7">IFERROR(H7/G7, "")</f>
        <v/>
      </c>
      <c r="J7" s="53"/>
      <c r="K7" s="53"/>
    </row>
    <row r="8" spans="1:11" ht="15.75">
      <c r="A8" s="54" t="str">
        <v>Minoa - Clemons Rd</v>
      </c>
      <c r="B8" s="49" t="str">
        <v>NY</v>
      </c>
      <c r="C8" s="28"/>
      <c r="D8" s="28"/>
      <c r="E8" s="28" t="str">
        <f t="shared" ref="E8:E9" si="8">IF(AND(ISNUMBER(C8),ISNUMBER(D8)), C8-D8, "")</f>
        <v/>
      </c>
      <c r="F8" s="31" t="str">
        <f t="shared" ref="F8:F9" si="9">IFERROR(E8/D8, "")</f>
        <v/>
      </c>
      <c r="G8" s="30"/>
      <c r="H8" s="30" t="str">
        <f t="shared" ref="H8:H9" si="10">IF(AND(ISNUMBER(C8),ISNUMBER(G8)), C8-G8, "")</f>
        <v/>
      </c>
      <c r="I8" s="31" t="str">
        <f t="shared" ref="I8:I9" si="11">IFERROR(H8/G8, "")</f>
        <v/>
      </c>
      <c r="J8" s="50"/>
      <c r="K8" s="50"/>
    </row>
    <row r="9" spans="1:11" ht="15.75">
      <c r="A9" s="51" t="str">
        <v>Manchester - Western</v>
      </c>
      <c r="B9" s="52" t="str">
        <v>ME</v>
      </c>
      <c r="C9" s="35"/>
      <c r="D9" s="35"/>
      <c r="E9" s="35" t="str">
        <f t="shared" si="8"/>
        <v/>
      </c>
      <c r="F9" s="36" t="str">
        <f t="shared" si="9"/>
        <v/>
      </c>
      <c r="G9" s="37"/>
      <c r="H9" s="37" t="str">
        <f t="shared" si="10"/>
        <v/>
      </c>
      <c r="I9" s="36" t="str">
        <f t="shared" si="11"/>
        <v/>
      </c>
      <c r="J9" s="53"/>
      <c r="K9" s="53"/>
    </row>
    <row r="10" spans="1:11" ht="14.25">
      <c r="A10" s="9" t="str">
        <v>Batavia - Pike Rd</v>
      </c>
      <c r="B10" s="14" t="str">
        <v>NY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25">
      <c r="A11" s="9" t="str">
        <v>Slayton A &amp; B</v>
      </c>
      <c r="B11" s="14" t="str">
        <v>NY</v>
      </c>
      <c r="C11" s="9"/>
      <c r="D11" s="9"/>
      <c r="E11" s="9"/>
      <c r="F11" s="9"/>
      <c r="G11" s="9"/>
      <c r="H11" s="9"/>
      <c r="I11" s="9"/>
      <c r="J11" s="9"/>
      <c r="K11" s="9"/>
    </row>
    <row r="12" spans="1:11" ht="14.25">
      <c r="A12" s="9"/>
      <c r="B12" s="14"/>
      <c r="C12" s="9"/>
      <c r="D12" s="9"/>
      <c r="E12" s="9"/>
      <c r="F12" s="10"/>
      <c r="G12" s="9"/>
      <c r="H12" s="9"/>
      <c r="I12" s="10"/>
      <c r="J12" s="9"/>
      <c r="K12" s="9"/>
    </row>
    <row r="13" spans="1:11" ht="14.2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2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2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2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2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2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2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2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2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2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2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2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2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2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2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2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2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2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2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2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2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2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2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2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2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2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2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2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2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2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2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2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2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2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2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2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2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2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2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2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2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2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2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2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2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2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2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2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2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2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2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2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2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2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2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2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2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2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2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2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2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2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2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2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2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2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2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2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2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2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2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2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2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2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2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2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2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2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2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2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2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2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2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2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2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2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2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2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2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2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2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2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2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2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2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2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2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2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2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2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2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2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2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2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2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2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2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2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2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2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2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2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2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2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2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2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2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2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2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2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2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2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2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2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2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2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2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2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2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2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2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2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2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2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2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2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2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2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2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2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2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2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2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2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2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2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2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2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2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2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2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2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2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2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2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2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2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2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2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2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2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2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2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2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2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2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2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2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2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2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2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2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2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2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2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2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2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2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2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2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2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2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2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2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2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2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2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2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2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2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2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2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2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2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2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2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2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2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2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2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2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2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2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2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2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2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2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2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2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2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2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2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2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2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2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2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2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2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2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2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2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2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2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2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2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2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2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2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2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2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2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2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2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2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2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2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2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2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2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2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2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2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2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2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2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2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2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2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2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2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2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2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2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2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2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2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2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2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2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2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2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2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2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2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2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2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2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2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2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2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2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2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2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2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2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2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2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2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2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2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2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2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2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2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2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2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2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2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2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2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2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2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2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2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2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2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2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2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2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2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2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2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2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2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2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2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2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2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2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</sheetData>
  <mergeCells count="4">
    <mergeCell ref="D1:F1"/>
    <mergeCell ref="A1:C1"/>
    <mergeCell ref="G1:I1"/>
    <mergeCell ref="A2:B2"/>
  </mergeCells>
  <phoneticPr fontId="4" type="noConversion"/>
  <conditionalFormatting sqref="F2 I2 F4:F79 I4:I79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2"/>
  <sheetViews>
    <sheetView workbookViewId="0">
      <pane xSplit="2" ySplit="3" topLeftCell="C4" activePane="bottomRight" state="frozen"/>
      <selection pane="bottomRight" activeCell="A8" sqref="A8:K9"/>
      <selection pane="bottomLeft" activeCell="B15" sqref="B15"/>
      <selection pane="topRight" activeCell="B15" sqref="B15"/>
    </sheetView>
  </sheetViews>
  <sheetFormatPr defaultRowHeight="13.5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1.7109375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28</v>
      </c>
      <c r="E1" s="74"/>
      <c r="F1" s="74"/>
      <c r="G1" s="72" t="s">
        <v>29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471859.25</v>
      </c>
      <c r="D2" s="5">
        <f>SUM(D4:D80)</f>
        <v>471378.99310000002</v>
      </c>
      <c r="E2" s="5">
        <f>C2-D2</f>
        <v>480.25689999997849</v>
      </c>
      <c r="F2" s="6">
        <f>IFERROR(E2/D2, 0)</f>
        <v>1.0188339044164725E-3</v>
      </c>
      <c r="G2" s="5">
        <f>SUM(G4:G80)</f>
        <v>868712.31</v>
      </c>
      <c r="H2" s="7">
        <f>C2-G2</f>
        <v>-396853.06000000006</v>
      </c>
      <c r="I2" s="6">
        <f>IFERROR(H2/G2, 0)</f>
        <v>-0.45682909685025647</v>
      </c>
      <c r="J2" s="12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1" ht="28.5">
      <c r="A4" s="48" t="str" cm="1">
        <f t="array" ref="A4:A11">Sites[Site]</f>
        <v>Cedar Swamp Rd</v>
      </c>
      <c r="B4" s="49" t="str" cm="1">
        <f t="array" ref="B4:B11">Sites[State]</f>
        <v>MA</v>
      </c>
      <c r="C4" s="27">
        <v>73050.75</v>
      </c>
      <c r="D4" s="28">
        <v>73781.2</v>
      </c>
      <c r="E4" s="28">
        <f>IF(AND(ISNUMBER(C4),ISNUMBER(D4)), C4-D4, "")</f>
        <v>-730.44999999999709</v>
      </c>
      <c r="F4" s="29">
        <f>IFERROR(E4/D4, "")</f>
        <v>-9.9002184838413738E-3</v>
      </c>
      <c r="G4" s="30">
        <v>55312.41</v>
      </c>
      <c r="H4" s="30">
        <f>IF(AND(ISNUMBER(C4),ISNUMBER(G4)), C4-G4, "")</f>
        <v>17738.339999999997</v>
      </c>
      <c r="I4" s="31">
        <f>IFERROR(H4/G4, "")</f>
        <v>0.32069367434902935</v>
      </c>
      <c r="J4" s="50" t="s">
        <v>30</v>
      </c>
      <c r="K4" s="50" t="s">
        <v>31</v>
      </c>
    </row>
    <row r="5" spans="1:11" ht="15.75">
      <c r="A5" s="51" t="str">
        <v>Bullis</v>
      </c>
      <c r="B5" s="52" t="str">
        <v>NY</v>
      </c>
      <c r="C5" s="34">
        <v>398240</v>
      </c>
      <c r="D5" s="35">
        <v>396786.5</v>
      </c>
      <c r="E5" s="35">
        <f t="shared" ref="E5:E6" si="0">IF(AND(ISNUMBER(C5),ISNUMBER(D5)), C5-D5, "")</f>
        <v>1453.5</v>
      </c>
      <c r="F5" s="36">
        <f>IFERROR(E5/D5, "")</f>
        <v>3.6631790648119331E-3</v>
      </c>
      <c r="G5" s="37">
        <v>423644.5</v>
      </c>
      <c r="H5" s="37">
        <f t="shared" ref="H5:H6" si="1">IF(AND(ISNUMBER(C5),ISNUMBER(G5)), C5-G5, "")</f>
        <v>-25404.5</v>
      </c>
      <c r="I5" s="36">
        <f t="shared" ref="I5:I6" si="2">IFERROR(H5/G5, "")</f>
        <v>-5.9966552144545722E-2</v>
      </c>
      <c r="J5" s="53" t="s">
        <v>32</v>
      </c>
      <c r="K5" s="53" t="s">
        <v>31</v>
      </c>
    </row>
    <row r="6" spans="1:11" ht="15.75">
      <c r="A6" s="54" t="str">
        <v>Rock Island</v>
      </c>
      <c r="B6" s="49" t="str">
        <v>NY</v>
      </c>
      <c r="C6" s="27">
        <v>568.5</v>
      </c>
      <c r="D6" s="28">
        <v>811.29309999999998</v>
      </c>
      <c r="E6" s="28">
        <f t="shared" si="0"/>
        <v>-242.79309999999998</v>
      </c>
      <c r="F6" s="29">
        <f t="shared" ref="F6" si="3">IFERROR(E6/D6, "")</f>
        <v>-0.29926681245039555</v>
      </c>
      <c r="G6" s="30">
        <v>389755.4</v>
      </c>
      <c r="H6" s="30">
        <f t="shared" si="1"/>
        <v>-389186.9</v>
      </c>
      <c r="I6" s="31">
        <f t="shared" si="2"/>
        <v>-0.99854139288384458</v>
      </c>
      <c r="J6" s="50" t="s">
        <v>26</v>
      </c>
      <c r="K6" s="50" t="s">
        <v>33</v>
      </c>
    </row>
    <row r="7" spans="1:11" ht="15.75">
      <c r="A7" s="51" t="str">
        <v>Winslow - Roderick</v>
      </c>
      <c r="B7" s="52" t="str">
        <v>ME</v>
      </c>
      <c r="C7" s="34"/>
      <c r="D7" s="35"/>
      <c r="E7" s="35" t="str">
        <f t="shared" ref="E7" si="4">IF(AND(ISNUMBER(C7),ISNUMBER(D7)), C7-D7, "")</f>
        <v/>
      </c>
      <c r="F7" s="36" t="str">
        <f t="shared" ref="F7" si="5">IFERROR(E7/D7, "")</f>
        <v/>
      </c>
      <c r="G7" s="37"/>
      <c r="H7" s="37" t="str">
        <f t="shared" ref="H7" si="6">IF(AND(ISNUMBER(C7),ISNUMBER(G7)), C7-G7, "")</f>
        <v/>
      </c>
      <c r="I7" s="36" t="str">
        <f t="shared" ref="I7" si="7">IFERROR(H7/G7, "")</f>
        <v/>
      </c>
      <c r="J7" s="53"/>
      <c r="K7" s="53"/>
    </row>
    <row r="8" spans="1:11" ht="15.75">
      <c r="A8" s="54" t="str">
        <v>Minoa - Clemons Rd</v>
      </c>
      <c r="B8" s="49" t="str">
        <v>NY</v>
      </c>
      <c r="C8" s="27"/>
      <c r="D8" s="28"/>
      <c r="E8" s="28" t="str">
        <f t="shared" ref="E8:E9" si="8">IF(AND(ISNUMBER(C8),ISNUMBER(D8)), C8-D8, "")</f>
        <v/>
      </c>
      <c r="F8" s="29" t="str">
        <f t="shared" ref="F8:F9" si="9">IFERROR(E8/D8, "")</f>
        <v/>
      </c>
      <c r="G8" s="30"/>
      <c r="H8" s="30" t="str">
        <f t="shared" ref="H8:H9" si="10">IF(AND(ISNUMBER(C8),ISNUMBER(G8)), C8-G8, "")</f>
        <v/>
      </c>
      <c r="I8" s="31" t="str">
        <f t="shared" ref="I8:I9" si="11">IFERROR(H8/G8, "")</f>
        <v/>
      </c>
      <c r="J8" s="50"/>
      <c r="K8" s="50"/>
    </row>
    <row r="9" spans="1:11" ht="15.75">
      <c r="A9" s="51" t="str">
        <v>Manchester - Western</v>
      </c>
      <c r="B9" s="52" t="str">
        <v>ME</v>
      </c>
      <c r="C9" s="34"/>
      <c r="D9" s="35"/>
      <c r="E9" s="35" t="str">
        <f t="shared" si="8"/>
        <v/>
      </c>
      <c r="F9" s="36" t="str">
        <f t="shared" si="9"/>
        <v/>
      </c>
      <c r="G9" s="37"/>
      <c r="H9" s="37" t="str">
        <f t="shared" si="10"/>
        <v/>
      </c>
      <c r="I9" s="36" t="str">
        <f t="shared" si="11"/>
        <v/>
      </c>
      <c r="J9" s="53"/>
      <c r="K9" s="53"/>
    </row>
    <row r="10" spans="1:11" ht="14.25">
      <c r="A10" s="9" t="str">
        <v>Batavia - Pike Rd</v>
      </c>
      <c r="B10" s="14" t="str">
        <v>NY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25">
      <c r="A11" s="9" t="str">
        <v>Slayton A &amp; B</v>
      </c>
      <c r="B11" s="14" t="str">
        <v>NY</v>
      </c>
      <c r="C11" s="9"/>
      <c r="D11" s="9"/>
      <c r="E11" s="9"/>
      <c r="F11" s="9"/>
      <c r="G11" s="9"/>
      <c r="H11" s="9"/>
      <c r="I11" s="9"/>
      <c r="J11" s="9"/>
      <c r="K11" s="9"/>
    </row>
    <row r="12" spans="1:11" ht="14.2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</row>
    <row r="13" spans="1:11" ht="14.2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2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2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2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2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2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2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2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2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2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2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2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2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2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2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2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2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2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2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2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2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2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2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2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2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2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2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2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2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2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2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2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2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2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2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2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2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2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2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2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2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2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2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2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2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2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2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2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2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2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2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2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2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2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2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2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2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2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2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2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2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2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2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2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2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2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2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2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2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2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2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2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2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2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2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2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2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2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2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2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2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2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2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2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2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2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2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2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2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2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2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2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2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2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2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2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2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2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2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2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2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2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2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2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2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2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2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2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2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2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2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2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2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2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2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2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2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2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2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2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2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2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2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2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2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2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2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2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2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2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2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2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2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2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2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2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2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2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2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2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2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2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2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2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2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2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2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2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2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2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2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2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2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2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2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2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2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2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2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2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2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2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2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2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2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2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2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2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2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2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2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2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2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2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2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2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2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2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2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2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2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2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2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2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2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2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2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2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2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2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2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2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2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2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2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2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2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2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2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2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2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2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2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2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2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2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2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2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2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2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2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2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2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2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2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2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2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2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2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2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2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2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2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2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2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2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2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2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2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2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2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2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2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2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2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2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2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2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2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2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2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2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2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2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2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2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2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2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2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2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2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2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2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2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2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2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2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2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2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2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2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2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2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2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2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2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2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2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2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2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2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2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2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2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2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2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2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2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2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2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2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2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2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2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2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2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2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2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2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2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2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2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2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2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2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2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2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2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2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2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2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2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2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2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2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2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2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2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2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3.9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2"/>
  <sheetViews>
    <sheetView zoomScale="90" zoomScaleNormal="90" workbookViewId="0">
      <pane xSplit="2" ySplit="3" topLeftCell="C4" activePane="bottomRight" state="frozen"/>
      <selection pane="bottomRight" activeCell="A8" sqref="A8:K9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34</v>
      </c>
      <c r="E1" s="74"/>
      <c r="F1" s="74"/>
      <c r="G1" s="72" t="s">
        <v>35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1235851.75</v>
      </c>
      <c r="D2" s="5">
        <f>SUM(D4:D80)</f>
        <v>1284497.942</v>
      </c>
      <c r="E2" s="5">
        <f>C2-D2</f>
        <v>-48646.192000000039</v>
      </c>
      <c r="F2" s="6">
        <f>IFERROR(E2/D2, 0)</f>
        <v>-3.7871755500251347E-2</v>
      </c>
      <c r="G2" s="5">
        <f>SUM(G4:G80)</f>
        <v>1389474.47</v>
      </c>
      <c r="H2" s="7">
        <f>C2-G2</f>
        <v>-153622.71999999997</v>
      </c>
      <c r="I2" s="6">
        <f>IFERROR(H2/G2, 0)</f>
        <v>-0.11056174353458972</v>
      </c>
      <c r="J2" s="12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1" ht="15.75">
      <c r="A4" s="55" t="str" cm="1">
        <f t="array" ref="A4:A11">Sites[Site]</f>
        <v>Cedar Swamp Rd</v>
      </c>
      <c r="B4" s="49" t="str" cm="1">
        <f t="array" ref="B4:B11">Sites[State]</f>
        <v>MA</v>
      </c>
      <c r="C4" s="27">
        <v>109599.75</v>
      </c>
      <c r="D4" s="28">
        <v>91011.606</v>
      </c>
      <c r="E4" s="28">
        <f>IF(AND(ISNUMBER(C4),ISNUMBER(D4)), C4-D4, "")</f>
        <v>18588.144</v>
      </c>
      <c r="F4" s="29">
        <f>IFERROR(E4/D4, "")</f>
        <v>0.20423927031899647</v>
      </c>
      <c r="G4" s="30">
        <v>108406</v>
      </c>
      <c r="H4" s="30">
        <f>IF(AND(ISNUMBER(C4),ISNUMBER(G4)), C4-G4, "")</f>
        <v>1193.75</v>
      </c>
      <c r="I4" s="31">
        <f>IFERROR(H4/G4, "")</f>
        <v>1.1011844362858144E-2</v>
      </c>
      <c r="J4" s="50"/>
      <c r="K4" s="50"/>
    </row>
    <row r="5" spans="1:11" ht="28.5">
      <c r="A5" s="56" t="str">
        <v>Bullis</v>
      </c>
      <c r="B5" s="52" t="str">
        <v>NY</v>
      </c>
      <c r="C5" s="34">
        <v>576094</v>
      </c>
      <c r="D5" s="35">
        <v>584497.08200000005</v>
      </c>
      <c r="E5" s="35">
        <f t="shared" ref="E5:E6" si="0">IF(AND(ISNUMBER(C5),ISNUMBER(D5)), C5-D5, "")</f>
        <v>-8403.0820000000531</v>
      </c>
      <c r="F5" s="36">
        <f>IFERROR(E5/D5, "")</f>
        <v>-1.4376602140162698E-2</v>
      </c>
      <c r="G5" s="37">
        <v>680204.95</v>
      </c>
      <c r="H5" s="37">
        <f t="shared" ref="H5:H6" si="1">IF(AND(ISNUMBER(C5),ISNUMBER(G5)), C5-G5, "")</f>
        <v>-104110.94999999995</v>
      </c>
      <c r="I5" s="36">
        <f t="shared" ref="I5:I6" si="2">IFERROR(H5/G5, "")</f>
        <v>-0.15305820694189298</v>
      </c>
      <c r="J5" s="58" t="s">
        <v>36</v>
      </c>
      <c r="K5" s="58" t="s">
        <v>37</v>
      </c>
    </row>
    <row r="6" spans="1:11" ht="28.5">
      <c r="A6" s="57" t="str">
        <v>Rock Island</v>
      </c>
      <c r="B6" s="49" t="str">
        <v>NY</v>
      </c>
      <c r="C6" s="27">
        <v>550158</v>
      </c>
      <c r="D6" s="28">
        <v>608989.25399999996</v>
      </c>
      <c r="E6" s="28">
        <f t="shared" si="0"/>
        <v>-58831.253999999957</v>
      </c>
      <c r="F6" s="29">
        <f t="shared" ref="F6" si="3">IFERROR(E6/D6, "")</f>
        <v>-9.6604748956703207E-2</v>
      </c>
      <c r="G6" s="30">
        <v>600863.52</v>
      </c>
      <c r="H6" s="30">
        <f t="shared" si="1"/>
        <v>-50705.520000000019</v>
      </c>
      <c r="I6" s="31">
        <f t="shared" si="2"/>
        <v>-8.4387749151421304E-2</v>
      </c>
      <c r="J6" s="50" t="s">
        <v>38</v>
      </c>
      <c r="K6" s="50" t="s">
        <v>39</v>
      </c>
    </row>
    <row r="7" spans="1:11" ht="15.75">
      <c r="A7" s="56" t="str">
        <v>Winslow - Roderick</v>
      </c>
      <c r="B7" s="52" t="str">
        <v>ME</v>
      </c>
      <c r="C7" s="34"/>
      <c r="D7" s="35"/>
      <c r="E7" s="35" t="str">
        <f t="shared" ref="E7" si="4">IF(AND(ISNUMBER(C7),ISNUMBER(D7)), C7-D7, "")</f>
        <v/>
      </c>
      <c r="F7" s="36" t="str">
        <f t="shared" ref="F7" si="5">IFERROR(E7/D7, "")</f>
        <v/>
      </c>
      <c r="G7" s="37"/>
      <c r="H7" s="37" t="str">
        <f t="shared" ref="H7" si="6">IF(AND(ISNUMBER(C7),ISNUMBER(G7)), C7-G7, "")</f>
        <v/>
      </c>
      <c r="I7" s="36" t="str">
        <f t="shared" ref="I7" si="7">IFERROR(H7/G7, "")</f>
        <v/>
      </c>
      <c r="J7" s="58"/>
      <c r="K7" s="58"/>
    </row>
    <row r="8" spans="1:11" ht="15.75">
      <c r="A8" s="57" t="str">
        <v>Minoa - Clemons Rd</v>
      </c>
      <c r="B8" s="49" t="str">
        <v>NY</v>
      </c>
      <c r="C8" s="27"/>
      <c r="D8" s="28"/>
      <c r="E8" s="28" t="str">
        <f t="shared" ref="E8:E9" si="8">IF(AND(ISNUMBER(C8),ISNUMBER(D8)), C8-D8, "")</f>
        <v/>
      </c>
      <c r="F8" s="29" t="str">
        <f t="shared" ref="F8:F9" si="9">IFERROR(E8/D8, "")</f>
        <v/>
      </c>
      <c r="G8" s="30"/>
      <c r="H8" s="30" t="str">
        <f t="shared" ref="H8:H9" si="10">IF(AND(ISNUMBER(C8),ISNUMBER(G8)), C8-G8, "")</f>
        <v/>
      </c>
      <c r="I8" s="31" t="str">
        <f t="shared" ref="I8:I9" si="11">IFERROR(H8/G8, "")</f>
        <v/>
      </c>
      <c r="J8" s="50"/>
      <c r="K8" s="50"/>
    </row>
    <row r="9" spans="1:11" ht="15.75">
      <c r="A9" s="56" t="str">
        <v>Manchester - Western</v>
      </c>
      <c r="B9" s="52" t="str">
        <v>ME</v>
      </c>
      <c r="C9" s="34"/>
      <c r="D9" s="35"/>
      <c r="E9" s="35" t="str">
        <f t="shared" si="8"/>
        <v/>
      </c>
      <c r="F9" s="36" t="str">
        <f t="shared" si="9"/>
        <v/>
      </c>
      <c r="G9" s="37"/>
      <c r="H9" s="37" t="str">
        <f t="shared" si="10"/>
        <v/>
      </c>
      <c r="I9" s="36" t="str">
        <f t="shared" si="11"/>
        <v/>
      </c>
      <c r="J9" s="58"/>
      <c r="K9" s="58"/>
    </row>
    <row r="10" spans="1:11" ht="14.25">
      <c r="A10" s="9" t="str">
        <v>Batavia - Pike Rd</v>
      </c>
      <c r="B10" s="14" t="str">
        <v>NY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25">
      <c r="A11" s="9" t="str">
        <v>Slayton A &amp; B</v>
      </c>
      <c r="B11" s="14" t="str">
        <v>NY</v>
      </c>
      <c r="C11" s="9"/>
      <c r="D11" s="9"/>
      <c r="E11" s="9"/>
      <c r="F11" s="9"/>
      <c r="G11" s="9"/>
      <c r="H11" s="9"/>
      <c r="I11" s="9"/>
      <c r="J11" s="9"/>
      <c r="K11" s="9"/>
    </row>
    <row r="12" spans="1:11" ht="14.2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</row>
    <row r="13" spans="1:11" ht="14.2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2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2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2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2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2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2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2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2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2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2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2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2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2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2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2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2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2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2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2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2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2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2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2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2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2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2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2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2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2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2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2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2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2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2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2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2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2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2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2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2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2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2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2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2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2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2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2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2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2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2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2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2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2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2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2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2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2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2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2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2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2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2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2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2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2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2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2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2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2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2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2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2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2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2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2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2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2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2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2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2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2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2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2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2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2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2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2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2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2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2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2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2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2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2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2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2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2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2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2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2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2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2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2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2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2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2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2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2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2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2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2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2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2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2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2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2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2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2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2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2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2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2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2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2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2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2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2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2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2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2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2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2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2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2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2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2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2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2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2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2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2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2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2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2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2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2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2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2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2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2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2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2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2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2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2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2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2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2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2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2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2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2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2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2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2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2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2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2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2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2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2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2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2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2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2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2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2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2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2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2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2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2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2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2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2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2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2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2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2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2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2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2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2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2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2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2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2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2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2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2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2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2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2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2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2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2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2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2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2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2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2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2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2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2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2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2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2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2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2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2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2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2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2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2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2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2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2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2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2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2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2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2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2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2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2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2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2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2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2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2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2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2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2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2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2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2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2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2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2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2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2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2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2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2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2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2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2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2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2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2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2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2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2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2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2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2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2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2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2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2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2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2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2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2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2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2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2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2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2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2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2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2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2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2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2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2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2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2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2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2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2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2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2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2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2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2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2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2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2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2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2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2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2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2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2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2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2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2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3.9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2"/>
  <sheetViews>
    <sheetView workbookViewId="0">
      <pane xSplit="2" ySplit="3" topLeftCell="C4" activePane="bottomRight" state="frozen"/>
      <selection pane="bottomRight" activeCell="A8" sqref="A8:K9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40</v>
      </c>
      <c r="E1" s="74"/>
      <c r="F1" s="74"/>
      <c r="G1" s="72" t="s">
        <v>41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1380687.75</v>
      </c>
      <c r="D2" s="5">
        <f>SUM(D4:D80)</f>
        <v>1419143.5090000001</v>
      </c>
      <c r="E2" s="5">
        <f>C2-D2</f>
        <v>-38455.759000000078</v>
      </c>
      <c r="F2" s="6">
        <f>IFERROR(E2/D2, 0)</f>
        <v>-2.7097864843209508E-2</v>
      </c>
      <c r="G2" s="5">
        <f>SUM(G4:G80)</f>
        <v>1605825.8119999999</v>
      </c>
      <c r="H2" s="7">
        <f>C2-G2</f>
        <v>-225138.06199999992</v>
      </c>
      <c r="I2" s="6">
        <f>IFERROR(H2/G2, 0)</f>
        <v>-0.14020079906400204</v>
      </c>
      <c r="J2" s="12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1" ht="15.75">
      <c r="A4" s="55" t="str" cm="1">
        <f t="array" ref="A4:A11">Sites[Site]</f>
        <v>Cedar Swamp Rd</v>
      </c>
      <c r="B4" s="49" t="str" cm="1">
        <f t="array" ref="B4:B11">Sites[State]</f>
        <v>MA</v>
      </c>
      <c r="C4" s="27">
        <v>131405.25</v>
      </c>
      <c r="D4" s="28">
        <v>110454.16</v>
      </c>
      <c r="E4" s="28">
        <f>IF(AND(ISNUMBER(C4),ISNUMBER(D4)), C4-D4, "")</f>
        <v>20951.089999999997</v>
      </c>
      <c r="F4" s="29">
        <f>IFERROR(E4/D4, "")</f>
        <v>0.18968131213889994</v>
      </c>
      <c r="G4" s="30">
        <v>118284.372</v>
      </c>
      <c r="H4" s="30">
        <f>IF(AND(ISNUMBER(C4),ISNUMBER(G4)), C4-G4, "")</f>
        <v>13120.877999999997</v>
      </c>
      <c r="I4" s="31">
        <f>IFERROR(H4/G4, "")</f>
        <v>0.11092655587671377</v>
      </c>
      <c r="J4" s="50"/>
      <c r="K4" s="50"/>
    </row>
    <row r="5" spans="1:11" ht="15.75">
      <c r="A5" s="56" t="str">
        <v>Bullis</v>
      </c>
      <c r="B5" s="52" t="str">
        <v>NY</v>
      </c>
      <c r="C5" s="35">
        <v>644409</v>
      </c>
      <c r="D5" s="35">
        <v>637554.67700000003</v>
      </c>
      <c r="E5" s="35">
        <f t="shared" ref="E5:E6" si="0">IF(AND(ISNUMBER(C5),ISNUMBER(D5)), C5-D5, "")</f>
        <v>6854.3229999999749</v>
      </c>
      <c r="F5" s="36">
        <f>IFERROR(E5/D5, "")</f>
        <v>1.0750957129281594E-2</v>
      </c>
      <c r="G5" s="37">
        <v>825963.54</v>
      </c>
      <c r="H5" s="37">
        <f t="shared" ref="H5:H6" si="1">IF(AND(ISNUMBER(C5),ISNUMBER(G5)), C5-G5, "")</f>
        <v>-181554.54000000004</v>
      </c>
      <c r="I5" s="36">
        <f t="shared" ref="I5:I6" si="2">IFERROR(H5/G5, "")</f>
        <v>-0.21980938771219857</v>
      </c>
      <c r="J5" s="53"/>
      <c r="K5" s="53"/>
    </row>
    <row r="6" spans="1:11" ht="42.75">
      <c r="A6" s="57" t="str">
        <v>Rock Island</v>
      </c>
      <c r="B6" s="49" t="str">
        <v>NY</v>
      </c>
      <c r="C6" s="27">
        <v>604873.5</v>
      </c>
      <c r="D6" s="28">
        <v>671134.67200000002</v>
      </c>
      <c r="E6" s="28">
        <f t="shared" si="0"/>
        <v>-66261.17200000002</v>
      </c>
      <c r="F6" s="29">
        <f t="shared" ref="F6" si="3">IFERROR(E6/D6, "")</f>
        <v>-9.8730068292463391E-2</v>
      </c>
      <c r="G6" s="30">
        <v>661577.9</v>
      </c>
      <c r="H6" s="30">
        <f t="shared" si="1"/>
        <v>-56704.400000000023</v>
      </c>
      <c r="I6" s="31">
        <f t="shared" si="2"/>
        <v>-8.5710843726793204E-2</v>
      </c>
      <c r="J6" s="50" t="s">
        <v>42</v>
      </c>
      <c r="K6" s="50" t="s">
        <v>43</v>
      </c>
    </row>
    <row r="7" spans="1:11" ht="15.75">
      <c r="A7" s="56" t="str">
        <v>Winslow - Roderick</v>
      </c>
      <c r="B7" s="52" t="str">
        <v>ME</v>
      </c>
      <c r="C7" s="35"/>
      <c r="D7" s="35"/>
      <c r="E7" s="35" t="str">
        <f t="shared" ref="E7" si="4">IF(AND(ISNUMBER(C7),ISNUMBER(D7)), C7-D7, "")</f>
        <v/>
      </c>
      <c r="F7" s="36" t="str">
        <f t="shared" ref="F7" si="5">IFERROR(E7/D7, "")</f>
        <v/>
      </c>
      <c r="G7" s="37"/>
      <c r="H7" s="37" t="str">
        <f t="shared" ref="H7" si="6">IF(AND(ISNUMBER(C7),ISNUMBER(G7)), C7-G7, "")</f>
        <v/>
      </c>
      <c r="I7" s="36" t="str">
        <f t="shared" ref="I7" si="7">IFERROR(H7/G7, "")</f>
        <v/>
      </c>
      <c r="J7" s="53"/>
      <c r="K7" s="53"/>
    </row>
    <row r="8" spans="1:11" ht="15.75">
      <c r="A8" s="55" t="str">
        <v>Minoa - Clemons Rd</v>
      </c>
      <c r="B8" s="49" t="str">
        <v>NY</v>
      </c>
      <c r="C8" s="27"/>
      <c r="D8" s="28"/>
      <c r="E8" s="28" t="str">
        <f t="shared" ref="E8:E9" si="8">IF(AND(ISNUMBER(C8),ISNUMBER(D8)), C8-D8, "")</f>
        <v/>
      </c>
      <c r="F8" s="29" t="str">
        <f t="shared" ref="F8:F9" si="9">IFERROR(E8/D8, "")</f>
        <v/>
      </c>
      <c r="G8" s="30"/>
      <c r="H8" s="30" t="str">
        <f t="shared" ref="H8:H9" si="10">IF(AND(ISNUMBER(C8),ISNUMBER(G8)), C8-G8, "")</f>
        <v/>
      </c>
      <c r="I8" s="31" t="str">
        <f t="shared" ref="I8:I9" si="11">IFERROR(H8/G8, "")</f>
        <v/>
      </c>
      <c r="J8" s="50"/>
      <c r="K8" s="50"/>
    </row>
    <row r="9" spans="1:11" ht="15.75">
      <c r="A9" s="56" t="str">
        <v>Manchester - Western</v>
      </c>
      <c r="B9" s="52" t="str">
        <v>ME</v>
      </c>
      <c r="C9" s="35"/>
      <c r="D9" s="35"/>
      <c r="E9" s="35" t="str">
        <f t="shared" si="8"/>
        <v/>
      </c>
      <c r="F9" s="36" t="str">
        <f t="shared" si="9"/>
        <v/>
      </c>
      <c r="G9" s="37"/>
      <c r="H9" s="37" t="str">
        <f t="shared" si="10"/>
        <v/>
      </c>
      <c r="I9" s="36" t="str">
        <f t="shared" si="11"/>
        <v/>
      </c>
      <c r="J9" s="53"/>
      <c r="K9" s="53"/>
    </row>
    <row r="10" spans="1:11" ht="14.25">
      <c r="A10" s="9" t="str">
        <v>Batavia - Pike Rd</v>
      </c>
      <c r="B10" s="14" t="str">
        <v>NY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25">
      <c r="A11" s="9" t="str">
        <v>Slayton A &amp; B</v>
      </c>
      <c r="B11" s="14" t="str">
        <v>NY</v>
      </c>
      <c r="C11" s="9"/>
      <c r="D11" s="9"/>
      <c r="E11" s="9"/>
      <c r="F11" s="9"/>
      <c r="G11" s="9"/>
      <c r="H11" s="9"/>
      <c r="I11" s="9"/>
      <c r="J11" s="9"/>
      <c r="K11" s="9"/>
    </row>
    <row r="12" spans="1:11" ht="14.2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</row>
    <row r="13" spans="1:11" ht="14.2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2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2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2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2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2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2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2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2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2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2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2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2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2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2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2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2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2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2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2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2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2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2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2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2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2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2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2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2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2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2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2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2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2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2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2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2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2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2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2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2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2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2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2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2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2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2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2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2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2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2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2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2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2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2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2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2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2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2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2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2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2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2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2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2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2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2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2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2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2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2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2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2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2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2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2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2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2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2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2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2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2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2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2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2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2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2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2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2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2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2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2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2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2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2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2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2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2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2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2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2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2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2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2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2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2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2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2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2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2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2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2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2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2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2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2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2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2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2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2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2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2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2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2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2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2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2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2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2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2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2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2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2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2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2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2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2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2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2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2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2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2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2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2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2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2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2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2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2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2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2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2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2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2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2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2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2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2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2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2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2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2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2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2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2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2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2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2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2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2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2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2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2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2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2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2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2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2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2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2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2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2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2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2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2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2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2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2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2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2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2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2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2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2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2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2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2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2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2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2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2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2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2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2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2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2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2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2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2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2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2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2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2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2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2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2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2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2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2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2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2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2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2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2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2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2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2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2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2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2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2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2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2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2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2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2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2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2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2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2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2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2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2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2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2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2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2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2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2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2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2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2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2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2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2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2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2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2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2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2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2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2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2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2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2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2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2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2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2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2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2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2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2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2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2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2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2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2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2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2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2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2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2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2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2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2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2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2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2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2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2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2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2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2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2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2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2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2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2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2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2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2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2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2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2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2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2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2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2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3.9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2"/>
  <sheetViews>
    <sheetView zoomScale="90" zoomScaleNormal="90" workbookViewId="0">
      <pane xSplit="2" ySplit="3" topLeftCell="C4" activePane="bottomRight" state="frozen"/>
      <selection pane="bottomRight" activeCell="A8" sqref="A8:K9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44</v>
      </c>
      <c r="E1" s="74"/>
      <c r="F1" s="74"/>
      <c r="G1" s="72" t="s">
        <v>45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1816311.5</v>
      </c>
      <c r="D2" s="5">
        <f>SUM(D4:D80)</f>
        <v>1852204.102</v>
      </c>
      <c r="E2" s="5">
        <f>C2-D2</f>
        <v>-35892.601999999955</v>
      </c>
      <c r="F2" s="6">
        <f>IFERROR(E2/D2, 0)</f>
        <v>-1.9378319031495134E-2</v>
      </c>
      <c r="G2" s="5">
        <f>SUM(G4:G80)</f>
        <v>1909320.652</v>
      </c>
      <c r="H2" s="7">
        <f>C2-G2</f>
        <v>-93009.152000000002</v>
      </c>
      <c r="I2" s="6">
        <f>IFERROR(H2/G2, 0)</f>
        <v>-4.8713217396236491E-2</v>
      </c>
      <c r="J2" s="12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1" ht="15.75">
      <c r="A4" s="55" t="str" cm="1">
        <f t="array" ref="A4:A11">Sites[Site]</f>
        <v>Cedar Swamp Rd</v>
      </c>
      <c r="B4" s="49" t="str" cm="1">
        <f t="array" ref="B4:B11">Sites[State]</f>
        <v>MA</v>
      </c>
      <c r="C4" s="27">
        <v>122900</v>
      </c>
      <c r="D4" s="28">
        <v>107134.67</v>
      </c>
      <c r="E4" s="28">
        <f>IF(AND(ISNUMBER(C4),ISNUMBER(D4)), C4-D4, "")</f>
        <v>15765.330000000002</v>
      </c>
      <c r="F4" s="29">
        <f>IFERROR(E4/D4, "")</f>
        <v>0.14715432455245347</v>
      </c>
      <c r="G4" s="30">
        <v>49888.031999999999</v>
      </c>
      <c r="H4" s="30">
        <f>IF(AND(ISNUMBER(C4),ISNUMBER(G4)), C4-G4, "")</f>
        <v>73011.967999999993</v>
      </c>
      <c r="I4" s="31">
        <f>IFERROR(H4/G4, "")</f>
        <v>1.4635167007590115</v>
      </c>
      <c r="J4" s="50"/>
      <c r="K4" s="50"/>
    </row>
    <row r="5" spans="1:11" ht="15.75">
      <c r="A5" s="56" t="str">
        <v>Bullis</v>
      </c>
      <c r="B5" s="52" t="str">
        <v>NY</v>
      </c>
      <c r="C5" s="34">
        <v>966814</v>
      </c>
      <c r="D5" s="35">
        <v>954212.39</v>
      </c>
      <c r="E5" s="35">
        <f t="shared" ref="E5:E6" si="0">IF(AND(ISNUMBER(C5),ISNUMBER(D5)), C5-D5, "")</f>
        <v>12601.609999999986</v>
      </c>
      <c r="F5" s="36">
        <f>IFERROR(E5/D5, "")</f>
        <v>1.3206294669889988E-2</v>
      </c>
      <c r="G5" s="37">
        <v>999785.87</v>
      </c>
      <c r="H5" s="37">
        <f t="shared" ref="H5:H6" si="1">IF(AND(ISNUMBER(C5),ISNUMBER(G5)), C5-G5, "")</f>
        <v>-32971.869999999995</v>
      </c>
      <c r="I5" s="36">
        <f t="shared" ref="I5:I6" si="2">IFERROR(H5/G5, "")</f>
        <v>-3.2978931778661763E-2</v>
      </c>
      <c r="J5" s="53"/>
      <c r="K5" s="53"/>
    </row>
    <row r="6" spans="1:11" ht="15.75">
      <c r="A6" s="57" t="str">
        <v>Rock Island</v>
      </c>
      <c r="B6" s="49" t="str">
        <v>NY</v>
      </c>
      <c r="C6" s="27">
        <v>726597.5</v>
      </c>
      <c r="D6" s="28">
        <v>790857.04200000002</v>
      </c>
      <c r="E6" s="28">
        <f t="shared" si="0"/>
        <v>-64259.542000000016</v>
      </c>
      <c r="F6" s="29">
        <f t="shared" ref="F6" si="3">IFERROR(E6/D6, "")</f>
        <v>-8.1253043960377372E-2</v>
      </c>
      <c r="G6" s="30">
        <v>859646.75</v>
      </c>
      <c r="H6" s="30">
        <f t="shared" si="1"/>
        <v>-133049.25</v>
      </c>
      <c r="I6" s="31">
        <f t="shared" si="2"/>
        <v>-0.15477200373292868</v>
      </c>
      <c r="J6" s="50" t="s">
        <v>46</v>
      </c>
      <c r="K6" s="50" t="s">
        <v>47</v>
      </c>
    </row>
    <row r="7" spans="1:11" ht="15.75">
      <c r="A7" s="56" t="str">
        <v>Winslow - Roderick</v>
      </c>
      <c r="B7" s="52" t="str">
        <v>ME</v>
      </c>
      <c r="C7" s="34"/>
      <c r="D7" s="35"/>
      <c r="E7" s="35" t="str">
        <f t="shared" ref="E7" si="4">IF(AND(ISNUMBER(C7),ISNUMBER(D7)), C7-D7, "")</f>
        <v/>
      </c>
      <c r="F7" s="36" t="str">
        <f t="shared" ref="F7" si="5">IFERROR(E7/D7, "")</f>
        <v/>
      </c>
      <c r="G7" s="37"/>
      <c r="H7" s="37" t="str">
        <f t="shared" ref="H7" si="6">IF(AND(ISNUMBER(C7),ISNUMBER(G7)), C7-G7, "")</f>
        <v/>
      </c>
      <c r="I7" s="36" t="str">
        <f t="shared" ref="I7" si="7">IFERROR(H7/G7, "")</f>
        <v/>
      </c>
      <c r="J7" s="53"/>
      <c r="K7" s="53"/>
    </row>
    <row r="8" spans="1:11" ht="15.75">
      <c r="A8" s="55" t="str">
        <v>Minoa - Clemons Rd</v>
      </c>
      <c r="B8" s="49" t="str">
        <v>NY</v>
      </c>
      <c r="C8" s="27"/>
      <c r="D8" s="28"/>
      <c r="E8" s="28" t="str">
        <f t="shared" ref="E8:E9" si="8">IF(AND(ISNUMBER(C8),ISNUMBER(D8)), C8-D8, "")</f>
        <v/>
      </c>
      <c r="F8" s="29" t="str">
        <f t="shared" ref="F8:F9" si="9">IFERROR(E8/D8, "")</f>
        <v/>
      </c>
      <c r="G8" s="30"/>
      <c r="H8" s="30" t="str">
        <f t="shared" ref="H8:H9" si="10">IF(AND(ISNUMBER(C8),ISNUMBER(G8)), C8-G8, "")</f>
        <v/>
      </c>
      <c r="I8" s="31" t="str">
        <f t="shared" ref="I8:I9" si="11">IFERROR(H8/G8, "")</f>
        <v/>
      </c>
      <c r="J8" s="50"/>
      <c r="K8" s="50"/>
    </row>
    <row r="9" spans="1:11" ht="15.75">
      <c r="A9" s="56" t="str">
        <v>Manchester - Western</v>
      </c>
      <c r="B9" s="52" t="str">
        <v>ME</v>
      </c>
      <c r="C9" s="34"/>
      <c r="D9" s="35"/>
      <c r="E9" s="35" t="str">
        <f t="shared" si="8"/>
        <v/>
      </c>
      <c r="F9" s="36" t="str">
        <f t="shared" si="9"/>
        <v/>
      </c>
      <c r="G9" s="37"/>
      <c r="H9" s="37" t="str">
        <f t="shared" si="10"/>
        <v/>
      </c>
      <c r="I9" s="36" t="str">
        <f t="shared" si="11"/>
        <v/>
      </c>
      <c r="J9" s="53"/>
      <c r="K9" s="53"/>
    </row>
    <row r="10" spans="1:11" ht="14.25">
      <c r="A10" s="9" t="str">
        <v>Batavia - Pike Rd</v>
      </c>
      <c r="B10" s="14" t="str">
        <v>NY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25">
      <c r="A11" s="9" t="str">
        <v>Slayton A &amp; B</v>
      </c>
      <c r="B11" s="14" t="str">
        <v>NY</v>
      </c>
      <c r="C11" s="9"/>
      <c r="D11" s="9"/>
      <c r="E11" s="9"/>
      <c r="F11" s="9"/>
      <c r="G11" s="9"/>
      <c r="H11" s="9"/>
      <c r="I11" s="9"/>
      <c r="J11" s="9"/>
      <c r="K11" s="9"/>
    </row>
    <row r="12" spans="1:11" ht="14.2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</row>
    <row r="13" spans="1:11" ht="14.2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2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2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2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2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2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2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2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2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2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2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2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2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2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2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2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2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2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2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2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2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2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2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2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2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2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2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2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2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2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2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2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2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2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2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2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2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2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2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2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2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2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2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2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2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2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2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2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2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2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2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2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2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2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2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2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2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2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2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2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2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2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2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2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2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2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2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2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2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2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2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2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2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2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2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2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2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2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2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2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2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2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2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2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2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2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2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2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2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2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2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2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2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2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2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2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2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2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2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2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2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2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2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2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2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2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2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2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2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2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2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2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2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2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2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2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2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2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2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2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2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2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2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2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2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2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2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2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2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2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2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2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2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2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2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2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2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2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2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2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2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2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2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2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2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2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2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2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2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2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2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2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2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2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2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2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2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2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2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2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2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2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2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2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2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2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2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2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2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2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2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2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2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2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2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2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2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2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2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2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2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2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2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2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2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2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2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2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2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2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2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2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2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2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2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2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2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2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2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2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2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2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2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2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2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2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2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2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2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2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2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2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2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2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2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2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2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2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2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2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2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2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2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2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2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2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2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2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2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2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2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2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2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2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2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2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2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2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2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2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2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2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2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2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2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2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2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2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2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2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2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2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2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2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2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2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2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2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2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2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2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2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2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2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2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2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2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2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2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2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2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2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2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2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2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2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2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2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2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2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2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2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2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2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2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2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2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2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2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2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2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2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2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2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2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2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2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2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2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2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2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2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2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2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2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2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2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2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2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3.9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phoneticPr fontId="4" type="noConversion"/>
  <conditionalFormatting sqref="F2 I2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conditionalFormatting sqref="F4:F80 I4:I80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2"/>
  <sheetViews>
    <sheetView zoomScale="70" zoomScaleNormal="70" workbookViewId="0">
      <pane xSplit="2" ySplit="3" topLeftCell="C4" activePane="bottomRight" state="frozen"/>
      <selection pane="bottomRight" activeCell="A8" sqref="A8:K9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18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48</v>
      </c>
      <c r="E1" s="74"/>
      <c r="F1" s="74"/>
      <c r="G1" s="72" t="s">
        <v>49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1821618.75</v>
      </c>
      <c r="D2" s="5">
        <f>SUM(D4:D80)</f>
        <v>1836560.5</v>
      </c>
      <c r="E2" s="5">
        <f>C2-D2</f>
        <v>-14941.75</v>
      </c>
      <c r="F2" s="6">
        <f>IFERROR(E2/D2, 0)</f>
        <v>-8.1357243608364653E-3</v>
      </c>
      <c r="G2" s="5">
        <f>SUM(G4:G80)</f>
        <v>2079423.0999999999</v>
      </c>
      <c r="H2" s="7">
        <f>C2-G2</f>
        <v>-257804.34999999986</v>
      </c>
      <c r="I2" s="6">
        <f>IFERROR(H2/G2, 0)</f>
        <v>-0.12397878526981829</v>
      </c>
      <c r="J2" s="12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1" ht="15.75">
      <c r="A4" s="55" t="str" cm="1">
        <f t="array" ref="A4:A11">Sites[Site]</f>
        <v>Cedar Swamp Rd</v>
      </c>
      <c r="B4" s="49" t="str" cm="1">
        <f t="array" ref="B4:B11">Sites[State]</f>
        <v>MA</v>
      </c>
      <c r="C4" s="27">
        <v>164523.75</v>
      </c>
      <c r="D4" s="28">
        <v>157283.5</v>
      </c>
      <c r="E4" s="28">
        <f>IF(AND(ISNUMBER(C4),ISNUMBER(D4)), C4-D4, "")</f>
        <v>7240.25</v>
      </c>
      <c r="F4" s="29">
        <f>IFERROR(E4/D4, "")</f>
        <v>4.6033118540724234E-2</v>
      </c>
      <c r="G4" s="30">
        <v>156277.4</v>
      </c>
      <c r="H4" s="30">
        <f>IF(AND(ISNUMBER(C4),ISNUMBER(G4)), C4-G4, "")</f>
        <v>8246.3500000000058</v>
      </c>
      <c r="I4" s="31">
        <f>IFERROR(H4/G4, "")</f>
        <v>5.2767386711066386E-2</v>
      </c>
      <c r="J4" s="50"/>
      <c r="K4" s="50"/>
    </row>
    <row r="5" spans="1:11" ht="42.75">
      <c r="A5" s="56" t="str">
        <v>Bullis</v>
      </c>
      <c r="B5" s="52" t="str">
        <v>NY</v>
      </c>
      <c r="C5" s="34">
        <v>904291</v>
      </c>
      <c r="D5" s="35">
        <v>878875.6</v>
      </c>
      <c r="E5" s="35">
        <f t="shared" ref="E5:E6" si="0">IF(AND(ISNUMBER(C5),ISNUMBER(D5)), C5-D5, "")</f>
        <v>25415.400000000023</v>
      </c>
      <c r="F5" s="36">
        <f>IFERROR(E5/D5, "")</f>
        <v>2.8918085790526012E-2</v>
      </c>
      <c r="G5" s="37">
        <v>1049137</v>
      </c>
      <c r="H5" s="37">
        <f t="shared" ref="H5:H6" si="1">IF(AND(ISNUMBER(C5),ISNUMBER(G5)), C5-G5, "")</f>
        <v>-144846</v>
      </c>
      <c r="I5" s="36">
        <f t="shared" ref="I5:I6" si="2">IFERROR(H5/G5, "")</f>
        <v>-0.13806204528102622</v>
      </c>
      <c r="J5" s="53" t="s">
        <v>50</v>
      </c>
      <c r="K5" s="59" t="s">
        <v>51</v>
      </c>
    </row>
    <row r="6" spans="1:11" ht="58.5" customHeight="1">
      <c r="A6" s="57" t="str">
        <v>Rock Island</v>
      </c>
      <c r="B6" s="49" t="str">
        <v>NY</v>
      </c>
      <c r="C6" s="27">
        <v>752804</v>
      </c>
      <c r="D6" s="28">
        <v>800401.4</v>
      </c>
      <c r="E6" s="28">
        <f t="shared" si="0"/>
        <v>-47597.400000000023</v>
      </c>
      <c r="F6" s="29">
        <f t="shared" ref="F6" si="3">IFERROR(E6/D6, "")</f>
        <v>-5.9466912476664864E-2</v>
      </c>
      <c r="G6" s="30">
        <v>874008.7</v>
      </c>
      <c r="H6" s="30">
        <f t="shared" si="1"/>
        <v>-121204.69999999995</v>
      </c>
      <c r="I6" s="31">
        <f t="shared" si="2"/>
        <v>-0.13867676603219162</v>
      </c>
      <c r="J6" s="50" t="s">
        <v>52</v>
      </c>
      <c r="K6" s="50" t="s">
        <v>53</v>
      </c>
    </row>
    <row r="7" spans="1:11" ht="15.75">
      <c r="A7" s="56" t="str">
        <v>Winslow - Roderick</v>
      </c>
      <c r="B7" s="52" t="str">
        <v>ME</v>
      </c>
      <c r="C7" s="34"/>
      <c r="D7" s="35"/>
      <c r="E7" s="35" t="str">
        <f t="shared" ref="E7" si="4">IF(AND(ISNUMBER(C7),ISNUMBER(D7)), C7-D7, "")</f>
        <v/>
      </c>
      <c r="F7" s="36" t="str">
        <f t="shared" ref="F7" si="5">IFERROR(E7/D7, "")</f>
        <v/>
      </c>
      <c r="G7" s="37"/>
      <c r="H7" s="37" t="str">
        <f t="shared" ref="H7" si="6">IF(AND(ISNUMBER(C7),ISNUMBER(G7)), C7-G7, "")</f>
        <v/>
      </c>
      <c r="I7" s="36" t="str">
        <f t="shared" ref="I7" si="7">IFERROR(H7/G7, "")</f>
        <v/>
      </c>
      <c r="J7" s="53"/>
      <c r="K7" s="59"/>
    </row>
    <row r="8" spans="1:11" ht="15.75">
      <c r="A8" s="55" t="str">
        <v>Minoa - Clemons Rd</v>
      </c>
      <c r="B8" s="49" t="str">
        <v>NY</v>
      </c>
      <c r="C8" s="27"/>
      <c r="D8" s="28"/>
      <c r="E8" s="28" t="str">
        <f t="shared" ref="E8:E9" si="8">IF(AND(ISNUMBER(C8),ISNUMBER(D8)), C8-D8, "")</f>
        <v/>
      </c>
      <c r="F8" s="29" t="str">
        <f t="shared" ref="F8:F9" si="9">IFERROR(E8/D8, "")</f>
        <v/>
      </c>
      <c r="G8" s="30"/>
      <c r="H8" s="30" t="str">
        <f t="shared" ref="H8:H9" si="10">IF(AND(ISNUMBER(C8),ISNUMBER(G8)), C8-G8, "")</f>
        <v/>
      </c>
      <c r="I8" s="31" t="str">
        <f t="shared" ref="I8:I9" si="11">IFERROR(H8/G8, "")</f>
        <v/>
      </c>
      <c r="J8" s="50"/>
      <c r="K8" s="50"/>
    </row>
    <row r="9" spans="1:11" ht="15.75">
      <c r="A9" s="56" t="str">
        <v>Manchester - Western</v>
      </c>
      <c r="B9" s="52" t="str">
        <v>ME</v>
      </c>
      <c r="C9" s="34"/>
      <c r="D9" s="35"/>
      <c r="E9" s="35" t="str">
        <f t="shared" si="8"/>
        <v/>
      </c>
      <c r="F9" s="36" t="str">
        <f t="shared" si="9"/>
        <v/>
      </c>
      <c r="G9" s="37"/>
      <c r="H9" s="37" t="str">
        <f t="shared" si="10"/>
        <v/>
      </c>
      <c r="I9" s="36" t="str">
        <f t="shared" si="11"/>
        <v/>
      </c>
      <c r="J9" s="53"/>
      <c r="K9" s="59"/>
    </row>
    <row r="10" spans="1:11" ht="14.25">
      <c r="A10" s="9" t="str">
        <v>Batavia - Pike Rd</v>
      </c>
      <c r="B10" s="14" t="str">
        <v>NY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25">
      <c r="A11" s="9" t="str">
        <v>Slayton A &amp; B</v>
      </c>
      <c r="B11" s="14" t="str">
        <v>NY</v>
      </c>
      <c r="C11" s="9"/>
      <c r="D11" s="9"/>
      <c r="E11" s="9"/>
      <c r="F11" s="9"/>
      <c r="G11" s="9"/>
      <c r="H11" s="9"/>
      <c r="I11" s="9"/>
      <c r="J11" s="9"/>
      <c r="K11" s="9"/>
    </row>
    <row r="12" spans="1:11" ht="14.2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</row>
    <row r="13" spans="1:11" ht="14.2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2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2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2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2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2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2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2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2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2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2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2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2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2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2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2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2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2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2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2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2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2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2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2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2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2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2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2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2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2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2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2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2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2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2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2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2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2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2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2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2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2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2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2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2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2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2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2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2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2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2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2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2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2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2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2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2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2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2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2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2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2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2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2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2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2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2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2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2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2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2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2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2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2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2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2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2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2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2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2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2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2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2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2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2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2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2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2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2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2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2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2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2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2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2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2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2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2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2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2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2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2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2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2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2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2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2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2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2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2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2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2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2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2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2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2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2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2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2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2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2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2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2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2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2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2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2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2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2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2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2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2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2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2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2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2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2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2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2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2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2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2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2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2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2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2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2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2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2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2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2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2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2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2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2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2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2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2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2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2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2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2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2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2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2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2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2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2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2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2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2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2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2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2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2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2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2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2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2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2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2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2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2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2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2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2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2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2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2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2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2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2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2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2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2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2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2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2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2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2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2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2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2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2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2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2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2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2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2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2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2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2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2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2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2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2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2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2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2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2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2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2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2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2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2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2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2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2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2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2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2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2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2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2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2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2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2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2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2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2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2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2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2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2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2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2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2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2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2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2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2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2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2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2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2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2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2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2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2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2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2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2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2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2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2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2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2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2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2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2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2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2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2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2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2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2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2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2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2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2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2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2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2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2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2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2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2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2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2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2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2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2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2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2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2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2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2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2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2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2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2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2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2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2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2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2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2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2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2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3.9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2"/>
  <sheetViews>
    <sheetView zoomScale="90" zoomScaleNormal="90" workbookViewId="0">
      <pane xSplit="2" ySplit="3" topLeftCell="C4" activePane="bottomRight" state="frozen"/>
      <selection pane="bottomRight" activeCell="G8" sqref="G8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54</v>
      </c>
      <c r="E1" s="74"/>
      <c r="F1" s="74"/>
      <c r="G1" s="72" t="s">
        <v>55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2077427</v>
      </c>
      <c r="D2" s="5">
        <f>SUM(D4:D80)</f>
        <v>2106041</v>
      </c>
      <c r="E2" s="5">
        <f>C2-D2</f>
        <v>-28614</v>
      </c>
      <c r="F2" s="6">
        <f>IFERROR(E2/D2, 0)</f>
        <v>-1.3586630079851248E-2</v>
      </c>
      <c r="G2" s="5">
        <f>SUM(G4:G80)</f>
        <v>2252977.2999999998</v>
      </c>
      <c r="H2" s="7">
        <f>C2-G2</f>
        <v>-175550.29999999981</v>
      </c>
      <c r="I2" s="6">
        <f>IFERROR(H2/G2, 0)</f>
        <v>-7.7919249341748723E-2</v>
      </c>
      <c r="J2" s="12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1" ht="15.75">
      <c r="A4" s="55" t="str" cm="1">
        <f t="array" ref="A4:A11">Sites[Site]</f>
        <v>Cedar Swamp Rd</v>
      </c>
      <c r="B4" s="49" t="str" cm="1">
        <f t="array" ref="B4:B11">Sites[State]</f>
        <v>MA</v>
      </c>
      <c r="C4" s="27">
        <v>141198</v>
      </c>
      <c r="D4" s="28">
        <v>129239</v>
      </c>
      <c r="E4" s="28">
        <f>IF(AND(ISNUMBER(C4),ISNUMBER(D4)), C4-D4, "")</f>
        <v>11959</v>
      </c>
      <c r="F4" s="29">
        <f>IFERROR(E4/D4, "")</f>
        <v>9.2533987418658453E-2</v>
      </c>
      <c r="G4" s="30">
        <v>163816.29999999999</v>
      </c>
      <c r="H4" s="30">
        <f>IF(AND(ISNUMBER(C4),ISNUMBER(G4)), C4-G4, "")</f>
        <v>-22618.299999999988</v>
      </c>
      <c r="I4" s="31">
        <f>IFERROR(H4/G4, "")</f>
        <v>-0.13807111990687124</v>
      </c>
      <c r="J4" s="50"/>
      <c r="K4" s="50"/>
    </row>
    <row r="5" spans="1:11" ht="42.75">
      <c r="A5" s="56" t="str">
        <v>Bullis</v>
      </c>
      <c r="B5" s="52" t="str">
        <v>NY</v>
      </c>
      <c r="C5" s="34">
        <v>1063971.5</v>
      </c>
      <c r="D5" s="35">
        <v>1030113</v>
      </c>
      <c r="E5" s="35">
        <f t="shared" ref="E5:E6" si="0">IF(AND(ISNUMBER(C5),ISNUMBER(D5)), C5-D5, "")</f>
        <v>33858.5</v>
      </c>
      <c r="F5" s="36">
        <f>IFERROR(E5/D5, "")</f>
        <v>3.2868724110849977E-2</v>
      </c>
      <c r="G5" s="37">
        <v>1120156</v>
      </c>
      <c r="H5" s="37">
        <f t="shared" ref="H5:H6" si="1">IF(AND(ISNUMBER(C5),ISNUMBER(G5)), C5-G5, "")</f>
        <v>-56184.5</v>
      </c>
      <c r="I5" s="36">
        <f t="shared" ref="I5:I6" si="2">IFERROR(H5/G5, "")</f>
        <v>-5.0157745885394532E-2</v>
      </c>
      <c r="J5" s="53" t="s">
        <v>56</v>
      </c>
      <c r="K5" s="59" t="s">
        <v>57</v>
      </c>
    </row>
    <row r="6" spans="1:11" ht="15.75">
      <c r="A6" s="57" t="str">
        <v>Rock Island</v>
      </c>
      <c r="B6" s="49" t="str">
        <v>NY</v>
      </c>
      <c r="C6" s="27">
        <v>872257.5</v>
      </c>
      <c r="D6" s="28">
        <v>946689</v>
      </c>
      <c r="E6" s="28">
        <f t="shared" si="0"/>
        <v>-74431.5</v>
      </c>
      <c r="F6" s="29">
        <f t="shared" ref="F6" si="3">IFERROR(E6/D6, "")</f>
        <v>-7.8622969106010521E-2</v>
      </c>
      <c r="G6" s="37">
        <v>969005</v>
      </c>
      <c r="H6" s="30">
        <f t="shared" si="1"/>
        <v>-96747.5</v>
      </c>
      <c r="I6" s="31">
        <f t="shared" si="2"/>
        <v>-9.9842106077884019E-2</v>
      </c>
      <c r="J6" s="50" t="s">
        <v>58</v>
      </c>
      <c r="K6" s="50" t="s">
        <v>59</v>
      </c>
    </row>
    <row r="7" spans="1:11" ht="15.75">
      <c r="A7" s="56" t="str">
        <v>Winslow - Roderick</v>
      </c>
      <c r="B7" s="52" t="str">
        <v>ME</v>
      </c>
      <c r="C7" s="34"/>
      <c r="D7" s="35"/>
      <c r="E7" s="35" t="str">
        <f t="shared" ref="E7" si="4">IF(AND(ISNUMBER(C7),ISNUMBER(D7)), C7-D7, "")</f>
        <v/>
      </c>
      <c r="F7" s="36" t="str">
        <f t="shared" ref="F7" si="5">IFERROR(E7/D7, "")</f>
        <v/>
      </c>
      <c r="G7" s="37"/>
      <c r="H7" s="37" t="str">
        <f t="shared" ref="H7" si="6">IF(AND(ISNUMBER(C7),ISNUMBER(G7)), C7-G7, "")</f>
        <v/>
      </c>
      <c r="I7" s="36" t="str">
        <f t="shared" ref="I7" si="7">IFERROR(H7/G7, "")</f>
        <v/>
      </c>
      <c r="J7" s="53"/>
      <c r="K7" s="59"/>
    </row>
    <row r="8" spans="1:11" ht="15.75">
      <c r="A8" s="57" t="str">
        <v>Minoa - Clemons Rd</v>
      </c>
      <c r="B8" s="49" t="str">
        <v>NY</v>
      </c>
      <c r="C8" s="27"/>
      <c r="D8" s="28"/>
      <c r="E8" s="28" t="str">
        <f t="shared" ref="E8:E9" si="8">IF(AND(ISNUMBER(C8),ISNUMBER(D8)), C8-D8, "")</f>
        <v/>
      </c>
      <c r="F8" s="29" t="str">
        <f t="shared" ref="F8:F9" si="9">IFERROR(E8/D8, "")</f>
        <v/>
      </c>
      <c r="G8" s="30"/>
      <c r="H8" s="30" t="str">
        <f t="shared" ref="H8:H9" si="10">IF(AND(ISNUMBER(C8),ISNUMBER(G8)), C8-G8, "")</f>
        <v/>
      </c>
      <c r="I8" s="31" t="str">
        <f t="shared" ref="I8:I9" si="11">IFERROR(H8/G8, "")</f>
        <v/>
      </c>
      <c r="J8" s="50"/>
      <c r="K8" s="50"/>
    </row>
    <row r="9" spans="1:11" ht="15.75">
      <c r="A9" s="56" t="str">
        <v>Manchester - Western</v>
      </c>
      <c r="B9" s="52" t="str">
        <v>ME</v>
      </c>
      <c r="C9" s="34"/>
      <c r="D9" s="35"/>
      <c r="E9" s="35" t="str">
        <f t="shared" si="8"/>
        <v/>
      </c>
      <c r="F9" s="36" t="str">
        <f t="shared" si="9"/>
        <v/>
      </c>
      <c r="G9" s="37"/>
      <c r="H9" s="37" t="str">
        <f t="shared" si="10"/>
        <v/>
      </c>
      <c r="I9" s="36" t="str">
        <f t="shared" si="11"/>
        <v/>
      </c>
      <c r="J9" s="53"/>
      <c r="K9" s="59"/>
    </row>
    <row r="10" spans="1:11" ht="14.25">
      <c r="A10" s="9" t="str">
        <v>Batavia - Pike Rd</v>
      </c>
      <c r="B10" s="14" t="str">
        <v>NY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25">
      <c r="A11" s="9" t="str">
        <v>Slayton A &amp; B</v>
      </c>
      <c r="B11" s="14" t="str">
        <v>NY</v>
      </c>
      <c r="C11" s="9"/>
      <c r="D11" s="9"/>
      <c r="E11" s="9"/>
      <c r="F11" s="9"/>
      <c r="G11" s="9"/>
      <c r="H11" s="9"/>
      <c r="I11" s="9"/>
      <c r="J11" s="9"/>
      <c r="K11" s="9"/>
    </row>
    <row r="12" spans="1:11" ht="14.2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</row>
    <row r="13" spans="1:11" ht="14.2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2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2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2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2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2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2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2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2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2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2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2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2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2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2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2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2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2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2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2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2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2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2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2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2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2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2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2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2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2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2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2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2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2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2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2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2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2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2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2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2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2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2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2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2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2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2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2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2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2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2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2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2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2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2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2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2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2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2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2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2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2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2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2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2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2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2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2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2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2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2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2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2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2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2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2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2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2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2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2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2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2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2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2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2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2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2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2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2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2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2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2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2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2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2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2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2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2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2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2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2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2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2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2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2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2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2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2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2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2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2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2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2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2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2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2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2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2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2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2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2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2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2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2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2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2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2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2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2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2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2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2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2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2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2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2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2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2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2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2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2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2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2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2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2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2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2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2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2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2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2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2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2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2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2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2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2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2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2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2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2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2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2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2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2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2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2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2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2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2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2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2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2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2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2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2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2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2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2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2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2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2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2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2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2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2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2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2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2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2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2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2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2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2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2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2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2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2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2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2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2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2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2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2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2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2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2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2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2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2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2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2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2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2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2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2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2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2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2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2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2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2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2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2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2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2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2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2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2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2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2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2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2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2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2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2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2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2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2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2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2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2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2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2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2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2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2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2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2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2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2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2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2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2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2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2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2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2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2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2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2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2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2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2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2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2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2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2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2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2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2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2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2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2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2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2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2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2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2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2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2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2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2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2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2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2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2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2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2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2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2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2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2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2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2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2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2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2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2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2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2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2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2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2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2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2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2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2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2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3.9">
      <c r="C322" s="9"/>
      <c r="D322" s="9"/>
      <c r="E322" s="9"/>
      <c r="F322" s="10"/>
      <c r="G322" s="9"/>
      <c r="H322" s="9"/>
      <c r="I322" s="10"/>
      <c r="J322" s="9"/>
      <c r="K322" s="9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2"/>
  <sheetViews>
    <sheetView zoomScale="80" zoomScaleNormal="80" workbookViewId="0">
      <pane xSplit="2" ySplit="3" topLeftCell="C4" activePane="bottomRight" state="frozen"/>
      <selection pane="bottomRight" activeCell="A8" sqref="A8:K9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60</v>
      </c>
      <c r="E1" s="74"/>
      <c r="F1" s="74"/>
      <c r="G1" s="72" t="s">
        <v>61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1682098</v>
      </c>
      <c r="D2" s="5">
        <f>SUM(D4:D80)</f>
        <v>1676510.6969999999</v>
      </c>
      <c r="E2" s="5">
        <f>C2-D2</f>
        <v>5587.3030000000726</v>
      </c>
      <c r="F2" s="6">
        <f>IFERROR(E2/D2, 0)</f>
        <v>3.3326974948613007E-3</v>
      </c>
      <c r="G2" s="5">
        <f>SUM(G4:G80)</f>
        <v>1992699</v>
      </c>
      <c r="H2" s="7">
        <f>C2-G2</f>
        <v>-310601</v>
      </c>
      <c r="I2" s="6">
        <f>IFERROR(H2/G2, 0)</f>
        <v>-0.15586950161564792</v>
      </c>
      <c r="J2" s="12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1" ht="15.75">
      <c r="A4" s="55" t="str" cm="1">
        <f t="array" ref="A4:A11">Sites[Site]</f>
        <v>Cedar Swamp Rd</v>
      </c>
      <c r="B4" s="49" t="str" cm="1">
        <f t="array" ref="B4:B11">Sites[State]</f>
        <v>MA</v>
      </c>
      <c r="C4" s="27">
        <v>145570</v>
      </c>
      <c r="D4" s="28">
        <v>134298.69699999999</v>
      </c>
      <c r="E4" s="28">
        <f>IF(AND(ISNUMBER(C4),ISNUMBER(D4)), C4-D4, "")</f>
        <v>11271.303000000014</v>
      </c>
      <c r="F4" s="29">
        <f>IFERROR(E4/D4, "")</f>
        <v>8.3927121050176801E-2</v>
      </c>
      <c r="G4" s="30">
        <v>152692</v>
      </c>
      <c r="H4" s="30">
        <f>IF(AND(ISNUMBER(C4),ISNUMBER(G4)), C4-G4, "")</f>
        <v>-7122</v>
      </c>
      <c r="I4" s="31">
        <f>IFERROR(H4/G4, "")</f>
        <v>-4.6642915149451181E-2</v>
      </c>
      <c r="J4" s="50"/>
      <c r="K4" s="50"/>
    </row>
    <row r="5" spans="1:11" ht="57">
      <c r="A5" s="56" t="str">
        <v>Bullis</v>
      </c>
      <c r="B5" s="52" t="str">
        <v>NY</v>
      </c>
      <c r="C5" s="34">
        <v>802772</v>
      </c>
      <c r="D5" s="35">
        <v>784268</v>
      </c>
      <c r="E5" s="35">
        <f t="shared" ref="E5:E7" si="0">IF(AND(ISNUMBER(C5),ISNUMBER(D5)), C5-D5, "")</f>
        <v>18504</v>
      </c>
      <c r="F5" s="36">
        <f>IFERROR(E5/D5, "")</f>
        <v>2.3593975528773327E-2</v>
      </c>
      <c r="G5" s="37">
        <v>997314</v>
      </c>
      <c r="H5" s="37">
        <f t="shared" ref="H5:H7" si="1">IF(AND(ISNUMBER(C5),ISNUMBER(G5)), C5-G5, "")</f>
        <v>-194542</v>
      </c>
      <c r="I5" s="36">
        <f t="shared" ref="I5:I7" si="2">IFERROR(H5/G5, "")</f>
        <v>-0.19506594713400194</v>
      </c>
      <c r="J5" s="53" t="s">
        <v>62</v>
      </c>
      <c r="K5" s="58" t="s">
        <v>63</v>
      </c>
    </row>
    <row r="6" spans="1:11" ht="28.5">
      <c r="A6" s="57" t="str">
        <v>Rock Island</v>
      </c>
      <c r="B6" s="49" t="str">
        <v>NY</v>
      </c>
      <c r="C6" s="27">
        <v>733756</v>
      </c>
      <c r="D6" s="28">
        <v>757944</v>
      </c>
      <c r="E6" s="28">
        <f t="shared" si="0"/>
        <v>-24188</v>
      </c>
      <c r="F6" s="61">
        <f t="shared" ref="F6:F7" si="3">IFERROR(E6/D6, "")</f>
        <v>-3.1912647900108712E-2</v>
      </c>
      <c r="G6" s="30">
        <v>842693</v>
      </c>
      <c r="H6" s="30">
        <f t="shared" si="1"/>
        <v>-108937</v>
      </c>
      <c r="I6" s="31">
        <f t="shared" si="2"/>
        <v>-0.1292724634000757</v>
      </c>
      <c r="J6" s="50" t="s">
        <v>64</v>
      </c>
      <c r="K6" s="50" t="s">
        <v>65</v>
      </c>
    </row>
    <row r="7" spans="1:11" ht="15.75">
      <c r="A7" s="64" t="str">
        <v>Winslow - Roderick</v>
      </c>
      <c r="B7" s="65" t="str">
        <v>ME</v>
      </c>
      <c r="C7" s="62"/>
      <c r="D7" s="62"/>
      <c r="E7" s="62" t="str">
        <f t="shared" si="0"/>
        <v/>
      </c>
      <c r="F7" s="61" t="str">
        <f t="shared" si="3"/>
        <v/>
      </c>
      <c r="G7" s="62"/>
      <c r="H7" s="37" t="str">
        <f t="shared" si="1"/>
        <v/>
      </c>
      <c r="I7" s="31" t="str">
        <f t="shared" si="2"/>
        <v/>
      </c>
      <c r="J7" s="62"/>
      <c r="K7" s="62"/>
    </row>
    <row r="8" spans="1:11" ht="15.75">
      <c r="A8" s="55" t="str">
        <v>Minoa - Clemons Rd</v>
      </c>
      <c r="B8" s="49" t="str">
        <v>NY</v>
      </c>
      <c r="C8" s="27"/>
      <c r="D8" s="28"/>
      <c r="E8" s="28" t="str">
        <f t="shared" ref="E8:E9" si="4">IF(AND(ISNUMBER(C8),ISNUMBER(D8)), C8-D8, "")</f>
        <v/>
      </c>
      <c r="F8" s="29" t="str">
        <f t="shared" ref="F8:F9" si="5">IFERROR(E8/D8, "")</f>
        <v/>
      </c>
      <c r="G8" s="30"/>
      <c r="H8" s="30" t="str">
        <f t="shared" ref="H8:H9" si="6">IF(AND(ISNUMBER(C8),ISNUMBER(G8)), C8-G8, "")</f>
        <v/>
      </c>
      <c r="I8" s="31" t="str">
        <f t="shared" ref="I8:I9" si="7">IFERROR(H8/G8, "")</f>
        <v/>
      </c>
      <c r="J8" s="50"/>
      <c r="K8" s="50"/>
    </row>
    <row r="9" spans="1:11" ht="15.75">
      <c r="A9" s="56" t="str">
        <v>Manchester - Western</v>
      </c>
      <c r="B9" s="52" t="str">
        <v>ME</v>
      </c>
      <c r="C9" s="34"/>
      <c r="D9" s="35"/>
      <c r="E9" s="35" t="str">
        <f t="shared" si="4"/>
        <v/>
      </c>
      <c r="F9" s="36" t="str">
        <f t="shared" si="5"/>
        <v/>
      </c>
      <c r="G9" s="37"/>
      <c r="H9" s="37" t="str">
        <f t="shared" si="6"/>
        <v/>
      </c>
      <c r="I9" s="36" t="str">
        <f t="shared" si="7"/>
        <v/>
      </c>
      <c r="J9" s="53"/>
      <c r="K9" s="58"/>
    </row>
    <row r="10" spans="1:11" ht="14.25">
      <c r="A10" s="9" t="str">
        <v>Batavia - Pike Rd</v>
      </c>
      <c r="B10" s="14" t="str">
        <v>NY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25">
      <c r="A11" s="9" t="str">
        <v>Slayton A &amp; B</v>
      </c>
      <c r="B11" s="14" t="str">
        <v>NY</v>
      </c>
      <c r="C11" s="9"/>
      <c r="D11" s="9"/>
      <c r="E11" s="9"/>
      <c r="F11" s="9"/>
      <c r="G11" s="9"/>
      <c r="H11" s="9"/>
      <c r="I11" s="9"/>
      <c r="J11" s="9"/>
      <c r="K11" s="9"/>
    </row>
    <row r="12" spans="1:11" ht="14.2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</row>
    <row r="13" spans="1:11" ht="14.2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2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2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2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2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2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2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2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2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2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2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2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2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2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2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2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2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2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2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2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2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2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2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2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2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2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2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2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2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2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2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2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2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2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2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2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2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2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2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2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2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2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2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2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2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2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2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2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2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2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2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2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2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2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2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2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2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2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2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2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2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2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2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2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2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2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2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2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2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2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2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2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2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2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2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2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2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2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2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2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2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2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2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2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2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2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2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2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2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2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2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2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2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2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2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2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2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2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2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2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2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2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2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2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2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2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2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2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2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2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2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2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2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2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2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2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2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2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2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2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2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2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2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2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2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2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2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2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2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2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2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2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2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2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2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2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2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2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2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2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2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2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2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2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2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2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2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2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2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2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2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2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2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2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2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2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2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2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2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2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2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2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2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2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2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2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2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2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2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2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2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2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2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2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2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2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2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2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2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2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2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2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2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2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2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2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2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2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2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2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2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2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2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2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2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2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2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2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2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2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2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2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2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2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2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2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2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2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2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2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2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2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2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2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2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2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2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2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2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2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2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2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2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2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2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2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2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2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2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2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2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2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2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2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2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2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2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2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2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2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2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2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2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2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2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2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2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2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2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2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2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2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2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2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2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2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2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2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2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2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2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2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2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2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2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2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2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2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2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2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2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2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2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2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2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2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2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2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2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2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2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2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2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2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2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2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2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2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2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2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2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2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2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2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2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2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2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2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2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2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2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2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2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2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2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2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2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2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2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3.9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conditionalFormatting sqref="F2 I2 F4:F9 I4:I80 F11:F80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2"/>
  <sheetViews>
    <sheetView workbookViewId="0">
      <pane xSplit="2" ySplit="3" topLeftCell="G4" activePane="bottomRight" state="frozen"/>
      <selection pane="bottomRight" activeCell="G6" sqref="G6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66</v>
      </c>
      <c r="E1" s="74"/>
      <c r="F1" s="74"/>
      <c r="G1" s="72" t="s">
        <v>67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1588902.5</v>
      </c>
      <c r="D2" s="5">
        <f>SUM(D4:D80)</f>
        <v>1605854.4</v>
      </c>
      <c r="E2" s="5">
        <f>C2-D2</f>
        <v>-16951.899999999907</v>
      </c>
      <c r="F2" s="6">
        <f>IFERROR(E2/D2, 0)</f>
        <v>-1.0556311954558214E-2</v>
      </c>
      <c r="G2" s="5">
        <f>SUM(G4:G80)</f>
        <v>1620625.7999999998</v>
      </c>
      <c r="H2" s="7">
        <f>C2-G2</f>
        <v>-31723.299999999814</v>
      </c>
      <c r="I2" s="6">
        <f>IFERROR(H2/G2, 0)</f>
        <v>-1.9574722307888606E-2</v>
      </c>
      <c r="J2" s="12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1" ht="28.5">
      <c r="A4" s="55" t="str" cm="1">
        <f t="array" ref="A4:A11">Sites[Site]</f>
        <v>Cedar Swamp Rd</v>
      </c>
      <c r="B4" s="49" t="str" cm="1">
        <f t="array" ref="B4:B11">Sites[State]</f>
        <v>MA</v>
      </c>
      <c r="C4" s="27">
        <v>120545</v>
      </c>
      <c r="D4" s="28">
        <v>112439.7</v>
      </c>
      <c r="E4" s="28">
        <f>IF(AND(ISNUMBER(C4),ISNUMBER(D4)), C4-D4, "")</f>
        <v>8105.3000000000029</v>
      </c>
      <c r="F4" s="29">
        <f>IFERROR(E4/D4, "")</f>
        <v>7.2085749072614058E-2</v>
      </c>
      <c r="G4" s="30">
        <v>130725</v>
      </c>
      <c r="H4" s="30">
        <f>IF(AND(ISNUMBER(C4),ISNUMBER(G4)), C4-G4, "")</f>
        <v>-10180</v>
      </c>
      <c r="I4" s="31">
        <f>IFERROR(H4/G4, "")</f>
        <v>-7.7873398355326071E-2</v>
      </c>
      <c r="J4" s="50" t="s">
        <v>68</v>
      </c>
      <c r="K4" s="50" t="s">
        <v>69</v>
      </c>
    </row>
    <row r="5" spans="1:11" ht="15.75">
      <c r="A5" s="56" t="str">
        <v>Bullis</v>
      </c>
      <c r="B5" s="52" t="str">
        <v>NY</v>
      </c>
      <c r="C5" s="34">
        <v>734967.5</v>
      </c>
      <c r="D5" s="35">
        <v>709748.5</v>
      </c>
      <c r="E5" s="35">
        <f t="shared" ref="E5:E6" si="0">IF(AND(ISNUMBER(C5),ISNUMBER(D5)), C5-D5, "")</f>
        <v>25219</v>
      </c>
      <c r="F5" s="36">
        <f>IFERROR(E5/D5, "")</f>
        <v>3.5532304753021667E-2</v>
      </c>
      <c r="G5" s="37">
        <v>797947.6</v>
      </c>
      <c r="H5" s="37">
        <f t="shared" ref="H5:H6" si="1">IF(AND(ISNUMBER(C5),ISNUMBER(G5)), C5-G5, "")</f>
        <v>-62980.099999999977</v>
      </c>
      <c r="I5" s="36">
        <f t="shared" ref="I5:I6" si="2">IFERROR(H5/G5, "")</f>
        <v>-7.8927613793186399E-2</v>
      </c>
      <c r="J5" s="53"/>
      <c r="K5" s="53"/>
    </row>
    <row r="6" spans="1:11" ht="71.25">
      <c r="A6" s="57" t="str">
        <v>Rock Island</v>
      </c>
      <c r="B6" s="49" t="str">
        <v>NY</v>
      </c>
      <c r="C6" s="27">
        <v>733390</v>
      </c>
      <c r="D6" s="28">
        <v>783666.2</v>
      </c>
      <c r="E6" s="28">
        <f t="shared" si="0"/>
        <v>-50276.199999999953</v>
      </c>
      <c r="F6" s="29">
        <f t="shared" ref="F6" si="3">IFERROR(E6/D6, "")</f>
        <v>-6.4155121147243505E-2</v>
      </c>
      <c r="G6" s="30">
        <v>691953.2</v>
      </c>
      <c r="H6" s="30">
        <f t="shared" si="1"/>
        <v>41436.800000000047</v>
      </c>
      <c r="I6" s="31">
        <f t="shared" si="2"/>
        <v>5.9883818732249593E-2</v>
      </c>
      <c r="J6" s="66" t="s">
        <v>70</v>
      </c>
      <c r="K6" s="50" t="s">
        <v>71</v>
      </c>
    </row>
    <row r="7" spans="1:11" ht="15.75">
      <c r="A7" s="56" t="str">
        <v>Winslow - Roderick</v>
      </c>
      <c r="B7" s="52" t="str">
        <v>ME</v>
      </c>
      <c r="C7" s="34"/>
      <c r="D7" s="35"/>
      <c r="E7" s="35" t="str">
        <f t="shared" ref="E7" si="4">IF(AND(ISNUMBER(C7),ISNUMBER(D7)), C7-D7, "")</f>
        <v/>
      </c>
      <c r="F7" s="36" t="str">
        <f t="shared" ref="F7" si="5">IFERROR(E7/D7, "")</f>
        <v/>
      </c>
      <c r="G7" s="37"/>
      <c r="H7" s="37" t="str">
        <f t="shared" ref="H7" si="6">IF(AND(ISNUMBER(C7),ISNUMBER(G7)), C7-G7, "")</f>
        <v/>
      </c>
      <c r="I7" s="36" t="str">
        <f t="shared" ref="I7" si="7">IFERROR(H7/G7, "")</f>
        <v/>
      </c>
      <c r="J7" s="53"/>
      <c r="K7" s="53"/>
    </row>
    <row r="8" spans="1:11" ht="15.75">
      <c r="A8" s="57" t="str">
        <v>Minoa - Clemons Rd</v>
      </c>
      <c r="B8" s="49" t="str">
        <v>NY</v>
      </c>
      <c r="C8" s="27"/>
      <c r="D8" s="28"/>
      <c r="E8" s="28" t="str">
        <f t="shared" ref="E8:E9" si="8">IF(AND(ISNUMBER(C8),ISNUMBER(D8)), C8-D8, "")</f>
        <v/>
      </c>
      <c r="F8" s="29" t="str">
        <f t="shared" ref="F8:F9" si="9">IFERROR(E8/D8, "")</f>
        <v/>
      </c>
      <c r="G8" s="30"/>
      <c r="H8" s="30" t="str">
        <f t="shared" ref="H8:H9" si="10">IF(AND(ISNUMBER(C8),ISNUMBER(G8)), C8-G8, "")</f>
        <v/>
      </c>
      <c r="I8" s="31" t="str">
        <f t="shared" ref="I8:I9" si="11">IFERROR(H8/G8, "")</f>
        <v/>
      </c>
      <c r="J8" s="66"/>
      <c r="K8" s="50"/>
    </row>
    <row r="9" spans="1:11" ht="15.75">
      <c r="A9" s="56" t="str">
        <v>Manchester - Western</v>
      </c>
      <c r="B9" s="52" t="str">
        <v>ME</v>
      </c>
      <c r="C9" s="34"/>
      <c r="D9" s="35"/>
      <c r="E9" s="35" t="str">
        <f t="shared" si="8"/>
        <v/>
      </c>
      <c r="F9" s="36" t="str">
        <f t="shared" si="9"/>
        <v/>
      </c>
      <c r="G9" s="37"/>
      <c r="H9" s="37" t="str">
        <f t="shared" si="10"/>
        <v/>
      </c>
      <c r="I9" s="36" t="str">
        <f t="shared" si="11"/>
        <v/>
      </c>
      <c r="J9" s="53"/>
      <c r="K9" s="53"/>
    </row>
    <row r="10" spans="1:11" ht="14.25">
      <c r="A10" s="9" t="str">
        <v>Batavia - Pike Rd</v>
      </c>
      <c r="B10" s="14" t="str">
        <v>NY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25">
      <c r="A11" s="9" t="str">
        <v>Slayton A &amp; B</v>
      </c>
      <c r="B11" s="14" t="str">
        <v>NY</v>
      </c>
      <c r="C11" s="9"/>
      <c r="D11" s="9"/>
      <c r="E11" s="9"/>
      <c r="F11" s="9"/>
      <c r="G11" s="9"/>
      <c r="H11" s="9"/>
      <c r="I11" s="9"/>
      <c r="J11" s="9"/>
      <c r="K11" s="9"/>
    </row>
    <row r="12" spans="1:11" ht="14.2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</row>
    <row r="13" spans="1:11" ht="14.2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2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2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2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2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2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2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2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2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2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2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2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2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2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2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2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2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2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2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2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2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2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2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2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2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2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2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2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2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2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2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2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2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2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2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2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2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2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2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2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2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2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2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2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2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2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2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2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2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2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2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2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2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2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2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2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2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2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2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2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2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2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2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2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2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2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2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2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2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2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2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2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2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2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2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2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2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2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2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2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2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2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2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2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2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2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2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2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2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2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2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2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2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2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2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2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2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2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2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2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2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2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2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2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2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2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2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2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2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2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2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2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2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2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2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2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2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2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2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2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2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2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2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2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2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2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2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2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2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2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2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2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2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2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2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2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2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2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2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2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2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2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2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2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2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2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2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2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2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2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2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2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2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2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2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2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2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2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2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2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2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2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2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2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2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2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2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2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2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2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2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2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2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2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2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2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2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2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2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2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2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2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2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2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2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2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2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2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2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2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2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2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2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2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2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2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2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2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2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2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2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2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2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2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2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2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2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2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2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2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2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2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2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2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2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2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2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2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2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2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2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2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2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2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2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2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2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2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2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2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2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2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2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2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2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2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2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2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2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2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2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2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2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2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2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2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2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2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2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2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2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2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2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2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2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2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2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2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2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2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2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2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2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2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2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2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2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2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2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2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2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2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2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2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2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2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2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2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2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2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2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2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2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2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2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2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2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2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2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2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2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2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2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2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2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2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2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2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2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2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2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2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2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2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2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2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2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2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2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3.9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2"/>
  <sheetViews>
    <sheetView zoomScale="80" zoomScaleNormal="80" workbookViewId="0">
      <pane xSplit="2" ySplit="3" topLeftCell="C4" activePane="bottomRight" state="frozen"/>
      <selection pane="bottomRight" activeCell="E18" sqref="E18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72</v>
      </c>
      <c r="E1" s="74"/>
      <c r="F1" s="74"/>
      <c r="G1" s="72" t="s">
        <v>73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1562516.11203</v>
      </c>
      <c r="D2" s="5">
        <f>SUM(D4:D80)</f>
        <v>1580864.7000000002</v>
      </c>
      <c r="E2" s="5">
        <f>C2-D2</f>
        <v>-18348.587970000226</v>
      </c>
      <c r="F2" s="6">
        <f>IFERROR(E2/D2, 0)</f>
        <v>-1.1606678275503416E-2</v>
      </c>
      <c r="G2" s="5">
        <f>SUM(G4:G80)</f>
        <v>1339273.7</v>
      </c>
      <c r="H2" s="7">
        <f>C2-G2</f>
        <v>223242.41203000001</v>
      </c>
      <c r="I2" s="6">
        <f>IFERROR(H2/G2, 0)</f>
        <v>0.16668916296198455</v>
      </c>
      <c r="J2" s="12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1" ht="15.75">
      <c r="A4" s="55" t="str" cm="1">
        <f t="array" ref="A4:A11">Sites[Site]</f>
        <v>Cedar Swamp Rd</v>
      </c>
      <c r="B4" s="49" t="str" cm="1">
        <f t="array" ref="B4:B11">Sites[State]</f>
        <v>MA</v>
      </c>
      <c r="C4" s="27">
        <v>108472</v>
      </c>
      <c r="D4" s="28">
        <v>109441.8</v>
      </c>
      <c r="E4" s="28">
        <f>IF(AND(ISNUMBER(C4),ISNUMBER(D4)), C4-D4, "")</f>
        <v>-969.80000000000291</v>
      </c>
      <c r="F4" s="29">
        <f>IFERROR(E4/D4, "")</f>
        <v>-8.8613308626137623E-3</v>
      </c>
      <c r="G4" s="30">
        <v>80276.2</v>
      </c>
      <c r="H4" s="30">
        <f>IF(AND(ISNUMBER(C4),ISNUMBER(G4)), C4-G4, "")</f>
        <v>28195.800000000003</v>
      </c>
      <c r="I4" s="31">
        <f>IFERROR(H4/G4, "")</f>
        <v>0.3512348616401873</v>
      </c>
      <c r="J4" s="66" t="s">
        <v>74</v>
      </c>
      <c r="K4" s="50" t="s">
        <v>75</v>
      </c>
    </row>
    <row r="5" spans="1:11" ht="28.5">
      <c r="A5" s="56" t="str">
        <v>Bullis</v>
      </c>
      <c r="B5" s="52" t="str">
        <v>NY</v>
      </c>
      <c r="C5" s="34">
        <v>561288.5</v>
      </c>
      <c r="D5" s="35">
        <v>560939.9</v>
      </c>
      <c r="E5" s="35">
        <f t="shared" ref="E5:E9" si="0">IF(AND(ISNUMBER(C5),ISNUMBER(D5)), C5-D5, "")</f>
        <v>348.59999999997672</v>
      </c>
      <c r="F5" s="36">
        <f>IFERROR(E5/D5, "")</f>
        <v>6.2145695109222347E-4</v>
      </c>
      <c r="G5" s="37">
        <v>464536.5</v>
      </c>
      <c r="H5" s="37">
        <f t="shared" ref="H5:H9" si="1">IF(AND(ISNUMBER(C5),ISNUMBER(G5)), C5-G5, "")</f>
        <v>96752</v>
      </c>
      <c r="I5" s="36">
        <f t="shared" ref="I5:I9" si="2">IFERROR(H5/G5, "")</f>
        <v>0.20827642176664266</v>
      </c>
      <c r="J5" s="58" t="s">
        <v>76</v>
      </c>
      <c r="K5" s="58" t="s">
        <v>77</v>
      </c>
    </row>
    <row r="6" spans="1:11" ht="121.5" customHeight="1">
      <c r="A6" s="57" t="str">
        <v>Rock Island</v>
      </c>
      <c r="B6" s="49" t="str">
        <v>NY</v>
      </c>
      <c r="C6" s="27">
        <v>479376.5</v>
      </c>
      <c r="D6" s="28">
        <v>530972.9</v>
      </c>
      <c r="E6" s="28">
        <f t="shared" si="0"/>
        <v>-51596.400000000023</v>
      </c>
      <c r="F6" s="29">
        <f t="shared" ref="F6:F9" si="3">IFERROR(E6/D6, "")</f>
        <v>-9.7173320898298235E-2</v>
      </c>
      <c r="G6" s="30">
        <v>430883.5</v>
      </c>
      <c r="H6" s="30">
        <f t="shared" si="1"/>
        <v>48493</v>
      </c>
      <c r="I6" s="31">
        <f t="shared" si="2"/>
        <v>0.11254318162565984</v>
      </c>
      <c r="J6" s="50" t="s">
        <v>78</v>
      </c>
      <c r="K6" s="50" t="s">
        <v>79</v>
      </c>
    </row>
    <row r="7" spans="1:11" ht="15.75">
      <c r="A7" s="56" t="str">
        <v>Winslow - Roderick</v>
      </c>
      <c r="B7" s="52" t="str">
        <v>ME</v>
      </c>
      <c r="C7" s="34"/>
      <c r="D7" s="35"/>
      <c r="E7" s="35" t="str">
        <f t="shared" si="0"/>
        <v/>
      </c>
      <c r="F7" s="36" t="str">
        <f t="shared" si="3"/>
        <v/>
      </c>
      <c r="G7" s="37"/>
      <c r="H7" s="37" t="str">
        <f t="shared" si="1"/>
        <v/>
      </c>
      <c r="I7" s="36" t="str">
        <f t="shared" si="2"/>
        <v/>
      </c>
      <c r="J7" s="53"/>
      <c r="K7" s="53"/>
    </row>
    <row r="8" spans="1:11" ht="15.75">
      <c r="A8" s="57" t="str">
        <v>Minoa - Clemons Rd</v>
      </c>
      <c r="B8" s="49" t="str">
        <v>NY</v>
      </c>
      <c r="C8" s="27">
        <v>328714.09639999998</v>
      </c>
      <c r="D8" s="28">
        <v>379510.1</v>
      </c>
      <c r="E8" s="28">
        <f t="shared" si="0"/>
        <v>-50796.003599999996</v>
      </c>
      <c r="F8" s="29">
        <f t="shared" si="3"/>
        <v>-0.13384624967820355</v>
      </c>
      <c r="G8" s="30">
        <v>363577.5</v>
      </c>
      <c r="H8" s="30">
        <f t="shared" si="1"/>
        <v>-34863.40360000002</v>
      </c>
      <c r="I8" s="31">
        <f t="shared" si="2"/>
        <v>-9.5889882074660884E-2</v>
      </c>
      <c r="J8" s="50" t="s">
        <v>80</v>
      </c>
      <c r="K8" s="50" t="s">
        <v>81</v>
      </c>
    </row>
    <row r="9" spans="1:11" ht="15.75">
      <c r="A9" s="56" t="str">
        <v>Manchester - Western</v>
      </c>
      <c r="B9" s="52" t="str">
        <v>ME</v>
      </c>
      <c r="C9" s="34">
        <v>84665.015629999994</v>
      </c>
      <c r="D9" s="35">
        <v>0</v>
      </c>
      <c r="E9" s="35">
        <f t="shared" si="0"/>
        <v>84665.015629999994</v>
      </c>
      <c r="F9" s="36" t="str">
        <f t="shared" si="3"/>
        <v/>
      </c>
      <c r="G9" s="37">
        <v>0</v>
      </c>
      <c r="H9" s="37">
        <f t="shared" si="1"/>
        <v>84665.015629999994</v>
      </c>
      <c r="I9" s="36" t="str">
        <f t="shared" si="2"/>
        <v/>
      </c>
      <c r="J9" s="53"/>
      <c r="K9" s="53"/>
    </row>
    <row r="10" spans="1:11" ht="15.75">
      <c r="A10" s="57" t="str">
        <v>Batavia - Pike Rd</v>
      </c>
      <c r="B10" s="49" t="str">
        <v>NY</v>
      </c>
      <c r="C10" s="27"/>
      <c r="D10" s="28"/>
      <c r="E10" s="28"/>
      <c r="F10" s="29"/>
      <c r="G10" s="30"/>
      <c r="H10" s="30"/>
      <c r="I10" s="31"/>
      <c r="J10" s="50"/>
      <c r="K10" s="50"/>
    </row>
    <row r="11" spans="1:11" ht="15.75">
      <c r="A11" s="56" t="str">
        <v>Slayton A &amp; B</v>
      </c>
      <c r="B11" s="52" t="str">
        <v>NY</v>
      </c>
      <c r="C11" s="34"/>
      <c r="D11" s="35"/>
      <c r="E11" s="35"/>
      <c r="F11" s="36"/>
      <c r="G11" s="37"/>
      <c r="H11" s="37"/>
      <c r="I11" s="36"/>
      <c r="J11" s="53"/>
      <c r="K11" s="53"/>
    </row>
    <row r="12" spans="1:11" ht="14.2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</row>
    <row r="13" spans="1:11" ht="14.2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2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2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2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2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2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2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2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2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2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2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2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2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2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2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2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2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2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2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2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2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2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2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2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2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2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2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2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2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2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2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2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2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2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2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2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2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2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2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2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2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2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2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2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2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2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2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2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2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2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2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2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2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2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2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2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2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2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2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2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2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2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2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2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2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2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2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2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2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2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2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2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2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2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2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2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2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2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2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2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2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2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2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2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2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2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2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2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2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2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2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2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2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2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2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2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2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2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2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2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2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2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2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2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2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2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2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2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2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2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2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2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2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2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2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2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2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2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2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2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2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2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2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2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2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2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2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2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2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2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2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2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2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2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2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2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2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2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2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2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2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2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2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2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2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2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2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2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2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2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2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2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2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2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2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2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2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2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2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2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2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2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2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2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2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2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2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2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2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2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2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2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2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2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2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2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2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2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2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2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2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2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2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2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2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2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2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2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2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2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2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2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2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2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2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2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2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2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2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2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2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2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2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2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2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2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2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2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2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2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2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2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2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2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2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2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2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2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2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2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2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2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2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2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2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2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2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2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2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2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2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2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2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2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2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2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2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2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2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2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2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2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2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2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2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2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2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2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2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2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2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2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2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2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2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2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2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2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2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2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2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2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2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2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2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2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2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2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2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2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2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2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2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2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2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2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2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2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2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2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2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2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2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2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2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2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2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2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2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2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2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2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2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2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2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2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2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2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2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2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2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2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2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2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2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2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2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2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2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3.9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2"/>
  <sheetViews>
    <sheetView zoomScale="80" zoomScaleNormal="80" workbookViewId="0">
      <pane xSplit="2" ySplit="3" topLeftCell="C4" activePane="bottomRight" state="frozen"/>
      <selection pane="bottomRight" activeCell="J15" sqref="J15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82</v>
      </c>
      <c r="E1" s="74"/>
      <c r="F1" s="74"/>
      <c r="G1" s="72" t="s">
        <v>83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1358547.6436000001</v>
      </c>
      <c r="D2" s="5">
        <f>SUM(D4:D80)</f>
        <v>1412149.95</v>
      </c>
      <c r="E2" s="5">
        <f>C2-D2</f>
        <v>-53602.306399999885</v>
      </c>
      <c r="F2" s="6">
        <f>IFERROR(E2/D2, 0)</f>
        <v>-3.7957942355909075E-2</v>
      </c>
      <c r="G2" s="5">
        <f>SUM(G4:G80)</f>
        <v>1310356.08</v>
      </c>
      <c r="H2" s="7">
        <f>C2-G2</f>
        <v>48191.563599999994</v>
      </c>
      <c r="I2" s="6">
        <f>IFERROR(H2/G2, 0)</f>
        <v>3.6777456399484931E-2</v>
      </c>
      <c r="J2" s="12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1" ht="28.5">
      <c r="A4" s="55" t="str" cm="1">
        <f t="array" ref="A4:A11">Sites[Site]</f>
        <v>Cedar Swamp Rd</v>
      </c>
      <c r="B4" s="49" t="str" cm="1">
        <f t="array" ref="B4:B11">Sites[State]</f>
        <v>MA</v>
      </c>
      <c r="C4" s="27">
        <v>68577</v>
      </c>
      <c r="D4" s="28">
        <v>74246.649999999994</v>
      </c>
      <c r="E4" s="28">
        <f>IF(AND(ISNUMBER(C4),ISNUMBER(D4)), C4-D4, "")</f>
        <v>-5669.6499999999942</v>
      </c>
      <c r="F4" s="29">
        <f>IFERROR(E4/D4, "")</f>
        <v>-7.6362367864408628E-2</v>
      </c>
      <c r="G4" s="30">
        <v>53034.68</v>
      </c>
      <c r="H4" s="30">
        <f>IF(AND(ISNUMBER(C4),ISNUMBER(G4)), C4-G4, "")</f>
        <v>15542.32</v>
      </c>
      <c r="I4" s="31">
        <f>IFERROR(H4/G4, "")</f>
        <v>0.29305956027263669</v>
      </c>
      <c r="J4" s="66" t="s">
        <v>84</v>
      </c>
      <c r="K4" s="66" t="s">
        <v>85</v>
      </c>
    </row>
    <row r="5" spans="1:11" ht="15.75">
      <c r="A5" s="56" t="str">
        <v>Bullis</v>
      </c>
      <c r="B5" s="52" t="str">
        <v>NY</v>
      </c>
      <c r="C5" s="34">
        <v>255697.5</v>
      </c>
      <c r="D5" s="35">
        <v>252819.4</v>
      </c>
      <c r="E5" s="35">
        <f t="shared" ref="E5:E6" si="0">IF(AND(ISNUMBER(C5),ISNUMBER(D5)), C5-D5, "")</f>
        <v>2878.1000000000058</v>
      </c>
      <c r="F5" s="36">
        <f>IFERROR(E5/D5, "")</f>
        <v>1.1384015625383203E-2</v>
      </c>
      <c r="G5" s="37">
        <v>283049.2</v>
      </c>
      <c r="H5" s="37">
        <f t="shared" ref="H5:H6" si="1">IF(AND(ISNUMBER(C5),ISNUMBER(G5)), C5-G5, "")</f>
        <v>-27351.700000000012</v>
      </c>
      <c r="I5" s="36">
        <f t="shared" ref="I5:I6" si="2">IFERROR(H5/G5, "")</f>
        <v>-9.6632316925820708E-2</v>
      </c>
      <c r="J5" s="58"/>
      <c r="K5" s="58"/>
    </row>
    <row r="6" spans="1:11" ht="76.5" customHeight="1">
      <c r="A6" s="57" t="str">
        <v>Rock Island</v>
      </c>
      <c r="B6" s="49" t="str">
        <v>NY</v>
      </c>
      <c r="C6" s="27">
        <v>260580</v>
      </c>
      <c r="D6" s="28">
        <v>271596.09999999998</v>
      </c>
      <c r="E6" s="28">
        <f t="shared" si="0"/>
        <v>-11016.099999999977</v>
      </c>
      <c r="F6" s="29">
        <f t="shared" ref="F6" si="3">IFERROR(E6/D6, "")</f>
        <v>-4.0560597151431767E-2</v>
      </c>
      <c r="G6" s="30">
        <v>251283</v>
      </c>
      <c r="H6" s="30">
        <f t="shared" si="1"/>
        <v>9297</v>
      </c>
      <c r="I6" s="31">
        <f t="shared" si="2"/>
        <v>3.6998125619321642E-2</v>
      </c>
      <c r="J6" s="66" t="s">
        <v>86</v>
      </c>
      <c r="K6" s="66" t="s">
        <v>87</v>
      </c>
    </row>
    <row r="7" spans="1:11" ht="29.65" customHeight="1">
      <c r="A7" s="56" t="str">
        <v>Winslow - Roderick</v>
      </c>
      <c r="B7" s="52" t="str">
        <v>ME</v>
      </c>
      <c r="C7" s="34">
        <v>332248</v>
      </c>
      <c r="D7" s="35">
        <v>381736</v>
      </c>
      <c r="E7" s="35">
        <f t="shared" ref="E7" si="4">IF(AND(ISNUMBER(C7),ISNUMBER(D7)), C7-D7, "")</f>
        <v>-49488</v>
      </c>
      <c r="F7" s="36">
        <f>IFERROR(E7/D7, "")</f>
        <v>-0.12963933189429344</v>
      </c>
      <c r="G7" s="37">
        <v>349662</v>
      </c>
      <c r="H7" s="37">
        <f t="shared" ref="H7" si="5">IF(AND(ISNUMBER(C7),ISNUMBER(G7)), C7-G7, "")</f>
        <v>-17414</v>
      </c>
      <c r="I7" s="36">
        <f t="shared" ref="I7" si="6">IFERROR(H7/G7, "")</f>
        <v>-4.9802380584678917E-2</v>
      </c>
      <c r="J7" s="58"/>
      <c r="K7" s="58"/>
    </row>
    <row r="8" spans="1:11" ht="75.400000000000006" customHeight="1">
      <c r="A8" s="57" t="str">
        <v>Minoa - Clemons Rd</v>
      </c>
      <c r="B8" s="49" t="str">
        <v>NY</v>
      </c>
      <c r="C8" s="27">
        <v>173221</v>
      </c>
      <c r="D8" s="28">
        <v>211261.8</v>
      </c>
      <c r="E8" s="28">
        <f t="shared" ref="E8" si="7">IF(AND(ISNUMBER(C8),ISNUMBER(D8)), C8-D8, "")</f>
        <v>-38040.799999999988</v>
      </c>
      <c r="F8" s="29">
        <f t="shared" ref="F8:F9" si="8">IFERROR(E8/D8, "")</f>
        <v>-0.18006473484558017</v>
      </c>
      <c r="G8" s="30">
        <v>168348.1</v>
      </c>
      <c r="H8" s="30">
        <f t="shared" ref="H8:H9" si="9">IF(AND(ISNUMBER(C8),ISNUMBER(G8)), C8-G8, "")</f>
        <v>4872.8999999999942</v>
      </c>
      <c r="I8" s="31">
        <f t="shared" ref="I8:I9" si="10">IFERROR(H8/G8, "")</f>
        <v>2.8945381622958583E-2</v>
      </c>
      <c r="J8" s="66" t="s">
        <v>88</v>
      </c>
      <c r="K8" s="66" t="s">
        <v>89</v>
      </c>
    </row>
    <row r="9" spans="1:11" ht="15.75">
      <c r="A9" s="56" t="str">
        <v>Manchester - Western</v>
      </c>
      <c r="B9" s="52" t="str">
        <v>ME</v>
      </c>
      <c r="C9" s="34">
        <v>52806</v>
      </c>
      <c r="D9" s="35">
        <v>0</v>
      </c>
      <c r="E9" s="35">
        <f>IF(AND(ISNUMBER(C9),ISNUMBER(D9)), C9-D9, "")</f>
        <v>52806</v>
      </c>
      <c r="F9" s="36" t="str">
        <f t="shared" si="8"/>
        <v/>
      </c>
      <c r="G9" s="37">
        <v>0</v>
      </c>
      <c r="H9" s="37">
        <f t="shared" si="9"/>
        <v>52806</v>
      </c>
      <c r="I9" s="36" t="str">
        <f t="shared" si="10"/>
        <v/>
      </c>
      <c r="J9" s="58" t="s">
        <v>90</v>
      </c>
      <c r="K9" s="58" t="s">
        <v>91</v>
      </c>
    </row>
    <row r="10" spans="1:11" ht="15.75">
      <c r="A10" s="57" t="str">
        <v>Batavia - Pike Rd</v>
      </c>
      <c r="B10" s="49" t="str">
        <v>NY</v>
      </c>
      <c r="C10" s="27">
        <v>215418.14360000001</v>
      </c>
      <c r="D10" s="28">
        <v>220490</v>
      </c>
      <c r="E10" s="28">
        <f>IF(AND(ISNUMBER(C10),ISNUMBER(D10)), C10-D10, "")</f>
        <v>-5071.8563999999897</v>
      </c>
      <c r="F10" s="29">
        <f>IFERROR(E10/D10, "")</f>
        <v>-2.3002659531044446E-2</v>
      </c>
      <c r="G10" s="30">
        <v>204979.1</v>
      </c>
      <c r="H10" s="30">
        <f>IF(AND(ISNUMBER(C10),ISNUMBER(G10)), C10-G10, "")</f>
        <v>10439.043600000005</v>
      </c>
      <c r="I10" s="31">
        <f>IFERROR(H10/G10, "")</f>
        <v>5.0927356008490646E-2</v>
      </c>
      <c r="J10" s="66"/>
      <c r="K10" s="66"/>
    </row>
    <row r="11" spans="1:11" ht="15.75">
      <c r="A11" s="56" t="str">
        <v>Slayton A &amp; B</v>
      </c>
      <c r="B11" s="52" t="str">
        <v>NY</v>
      </c>
      <c r="C11" s="34"/>
      <c r="D11" s="35"/>
      <c r="E11" s="35"/>
      <c r="F11" s="36"/>
      <c r="G11" s="37"/>
      <c r="H11" s="37"/>
      <c r="I11" s="36"/>
      <c r="J11" s="58"/>
      <c r="K11" s="58"/>
    </row>
    <row r="12" spans="1:11" ht="14.2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</row>
    <row r="13" spans="1:11" ht="14.2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2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2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2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2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2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2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2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2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2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2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2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2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2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2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2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2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2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2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2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2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2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2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2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2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2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2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2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2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2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2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2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2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2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2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2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2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2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2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2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2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2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2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2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2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2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2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2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2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2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2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2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2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2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2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2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2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2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2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2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2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2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2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2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2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2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2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2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2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2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2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2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2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2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2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2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2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2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2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2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2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2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2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2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2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2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2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2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2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2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2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2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2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2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2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2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2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2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2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2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2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2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2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2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2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2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2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2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2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2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2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2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2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2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2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2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2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2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2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2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2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2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2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2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2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2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2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2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2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2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2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2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2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2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2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2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2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2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2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2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2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2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2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2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2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2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2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2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2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2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2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2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2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2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2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2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2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2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2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2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2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2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2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2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2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2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2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2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2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2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2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2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2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2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2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2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2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2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2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2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2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2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2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2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2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2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2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2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2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2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2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2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2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2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2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2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2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2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2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2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2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2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2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2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2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2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2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2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2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2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2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2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2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2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2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2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2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2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2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2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2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2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2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2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2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2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2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2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2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2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2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2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2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2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2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2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2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2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2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2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2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2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2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2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2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2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2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2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2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2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2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2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2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2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2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2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2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2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2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2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2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2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2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2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2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2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2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2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2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2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2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2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2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2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2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2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2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2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2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2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2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2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2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2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2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2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2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2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2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2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2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2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2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2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2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2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2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2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2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2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2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2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2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2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2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2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2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2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2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3.9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2"/>
  <sheetViews>
    <sheetView tabSelected="1" zoomScale="80" zoomScaleNormal="80" workbookViewId="0">
      <pane xSplit="2" ySplit="3" topLeftCell="C4" activePane="bottomRight" state="frozen"/>
      <selection pane="bottomRight" activeCell="J15" sqref="J15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92</v>
      </c>
      <c r="E1" s="74"/>
      <c r="F1" s="74"/>
      <c r="G1" s="72" t="s">
        <v>93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1088528.9813999999</v>
      </c>
      <c r="D2" s="5">
        <f>SUM(D4:D80)</f>
        <v>1468528.65</v>
      </c>
      <c r="E2" s="5">
        <f>C2-D2</f>
        <v>-379999.66859999998</v>
      </c>
      <c r="F2" s="6">
        <f>IFERROR(E2/D2, 0)</f>
        <v>-0.258762175732833</v>
      </c>
      <c r="G2" s="5">
        <f>SUM(G4:G80)</f>
        <v>1285822.45</v>
      </c>
      <c r="H2" s="7">
        <f>C2-G2</f>
        <v>-197293.46860000002</v>
      </c>
      <c r="I2" s="6">
        <f>IFERROR(H2/G2, 0)</f>
        <v>-0.15343756721622026</v>
      </c>
      <c r="J2" s="12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1" ht="15.75">
      <c r="A4" s="55" t="str" cm="1">
        <f t="array" ref="A4:A11">Sites[Site]</f>
        <v>Cedar Swamp Rd</v>
      </c>
      <c r="B4" s="49" t="str" cm="1">
        <f t="array" ref="B4:B11">Sites[State]</f>
        <v>MA</v>
      </c>
      <c r="C4" s="27">
        <v>49922</v>
      </c>
      <c r="D4" s="28">
        <v>54116.55</v>
      </c>
      <c r="E4" s="28">
        <f>IF(AND(ISNUMBER(C4),ISNUMBER(D4)), C4-D4, "")</f>
        <v>-4194.5500000000029</v>
      </c>
      <c r="F4" s="29">
        <f>IFERROR(E4/D4, "")</f>
        <v>-7.7509560384023055E-2</v>
      </c>
      <c r="G4" s="30">
        <v>38330.85</v>
      </c>
      <c r="H4" s="30">
        <f>IF(AND(ISNUMBER(C4),ISNUMBER(G4)), C4-G4, "")</f>
        <v>11591.150000000001</v>
      </c>
      <c r="I4" s="31">
        <f>IFERROR(H4/G4, "")</f>
        <v>0.30239741618043958</v>
      </c>
      <c r="J4" s="50"/>
      <c r="K4" s="50"/>
    </row>
    <row r="5" spans="1:11" ht="15.75">
      <c r="A5" s="56" t="str">
        <v>Bullis</v>
      </c>
      <c r="B5" s="52" t="str">
        <v>NY</v>
      </c>
      <c r="C5" s="34">
        <v>131015.5</v>
      </c>
      <c r="D5" s="35">
        <v>184525</v>
      </c>
      <c r="E5" s="35">
        <f t="shared" ref="E5:E6" si="0">IF(AND(ISNUMBER(C5),ISNUMBER(D5)), C5-D5, "")</f>
        <v>-53509.5</v>
      </c>
      <c r="F5" s="36">
        <f>IFERROR(E5/D5, "")</f>
        <v>-0.2899850968703428</v>
      </c>
      <c r="G5" s="37">
        <v>198003.5</v>
      </c>
      <c r="H5" s="37">
        <f t="shared" ref="H5:H6" si="1">IF(AND(ISNUMBER(C5),ISNUMBER(G5)), C5-G5, "")</f>
        <v>-66988</v>
      </c>
      <c r="I5" s="36">
        <f t="shared" ref="I5:I6" si="2">IFERROR(H5/G5, "")</f>
        <v>-0.33831725196776824</v>
      </c>
      <c r="J5" s="58"/>
      <c r="K5" s="53"/>
    </row>
    <row r="6" spans="1:11" ht="28.5">
      <c r="A6" s="57" t="str">
        <v>Rock Island</v>
      </c>
      <c r="B6" s="49" t="str">
        <v>NY</v>
      </c>
      <c r="C6" s="27">
        <v>136345.5</v>
      </c>
      <c r="D6" s="28">
        <v>197022.4</v>
      </c>
      <c r="E6" s="28">
        <f t="shared" si="0"/>
        <v>-60676.899999999994</v>
      </c>
      <c r="F6" s="29">
        <f t="shared" ref="F6" si="3">IFERROR(E6/D6, "")</f>
        <v>-0.30796955067038062</v>
      </c>
      <c r="G6" s="30">
        <v>168474.1</v>
      </c>
      <c r="H6" s="30">
        <f t="shared" si="1"/>
        <v>-32128.600000000006</v>
      </c>
      <c r="I6" s="31">
        <f t="shared" si="2"/>
        <v>-0.19070349685797405</v>
      </c>
      <c r="J6" s="66" t="s">
        <v>94</v>
      </c>
      <c r="K6" s="66" t="s">
        <v>95</v>
      </c>
    </row>
    <row r="7" spans="1:11" ht="15.75">
      <c r="A7" s="56" t="str">
        <v>Winslow - Roderick</v>
      </c>
      <c r="B7" s="52" t="str">
        <v>ME</v>
      </c>
      <c r="C7" s="34">
        <v>239451</v>
      </c>
      <c r="D7" s="35">
        <v>364897.7</v>
      </c>
      <c r="E7" s="35">
        <f t="shared" ref="E7" si="4">IF(AND(ISNUMBER(C7),ISNUMBER(D7)), C7-D7, "")</f>
        <v>-125446.70000000001</v>
      </c>
      <c r="F7" s="36">
        <f t="shared" ref="F7" si="5">IFERROR(E7/D7, "")</f>
        <v>-0.34378594329314766</v>
      </c>
      <c r="G7" s="37">
        <v>290935</v>
      </c>
      <c r="H7" s="37">
        <f t="shared" ref="H7" si="6">IF(AND(ISNUMBER(C7),ISNUMBER(G7)), C7-G7, "")</f>
        <v>-51484</v>
      </c>
      <c r="I7" s="36">
        <f t="shared" ref="I7" si="7">IFERROR(H7/G7, "")</f>
        <v>-0.1769604894564078</v>
      </c>
      <c r="J7" s="53"/>
      <c r="K7" s="53"/>
    </row>
    <row r="8" spans="1:11" ht="15.75">
      <c r="A8" s="57" t="str">
        <v>Minoa - Clemons Rd</v>
      </c>
      <c r="B8" s="49" t="str">
        <v>NY</v>
      </c>
      <c r="C8" s="27">
        <v>96810.874999999796</v>
      </c>
      <c r="D8" s="28">
        <v>136844.1</v>
      </c>
      <c r="E8" s="28">
        <f t="shared" ref="E8:E9" si="8">IF(AND(ISNUMBER(C8),ISNUMBER(D8)), C8-D8, "")</f>
        <v>-40033.22500000021</v>
      </c>
      <c r="F8" s="29">
        <f t="shared" ref="F8" si="9">IFERROR(E8/D8, "")</f>
        <v>-0.29254622596078461</v>
      </c>
      <c r="G8" s="30">
        <v>130247</v>
      </c>
      <c r="H8" s="30">
        <f t="shared" ref="H8:H9" si="10">IF(AND(ISNUMBER(C8),ISNUMBER(G8)), C8-G8, "")</f>
        <v>-33436.125000000204</v>
      </c>
      <c r="I8" s="31">
        <f t="shared" ref="I8" si="11">IFERROR(H8/G8, "")</f>
        <v>-0.25671320644621531</v>
      </c>
      <c r="J8" s="66" t="s">
        <v>96</v>
      </c>
      <c r="K8" s="66" t="s">
        <v>97</v>
      </c>
    </row>
    <row r="9" spans="1:11" ht="15.75">
      <c r="A9" s="56" t="str">
        <v>Manchester - Western</v>
      </c>
      <c r="B9" s="52" t="str">
        <v>ME</v>
      </c>
      <c r="C9" s="34">
        <v>39665</v>
      </c>
      <c r="D9" s="35">
        <v>0</v>
      </c>
      <c r="E9" s="35">
        <f t="shared" si="8"/>
        <v>39665</v>
      </c>
      <c r="F9" s="36" t="str">
        <f>IFERROR(E9/D9, "")</f>
        <v/>
      </c>
      <c r="G9" s="37">
        <v>0</v>
      </c>
      <c r="H9" s="37">
        <f t="shared" si="10"/>
        <v>39665</v>
      </c>
      <c r="I9" s="36" t="str">
        <f>IFERROR(H9/G9, "")</f>
        <v/>
      </c>
      <c r="J9" s="53"/>
      <c r="K9" s="53"/>
    </row>
    <row r="10" spans="1:11" ht="71.25">
      <c r="A10" s="57" t="str">
        <v>Batavia - Pike Rd</v>
      </c>
      <c r="B10" s="49" t="str">
        <v>NY</v>
      </c>
      <c r="C10" s="27">
        <v>108645.1064</v>
      </c>
      <c r="D10" s="28">
        <v>156897.60000000001</v>
      </c>
      <c r="E10" s="28">
        <f>IF(AND(ISNUMBER(C10),ISNUMBER(D10)), C10-D10, "")</f>
        <v>-48252.493600000002</v>
      </c>
      <c r="F10" s="29">
        <f>IFERROR(E10/D10, "")</f>
        <v>-0.30754131102069121</v>
      </c>
      <c r="G10" s="30">
        <v>162186.6</v>
      </c>
      <c r="H10" s="30">
        <f>IF(AND(ISNUMBER(C10),ISNUMBER(G10)), C10-G10, "")</f>
        <v>-53541.493600000002</v>
      </c>
      <c r="I10" s="31">
        <f>IFERROR(H10/G10, "")</f>
        <v>-0.33012279436155639</v>
      </c>
      <c r="J10" s="66" t="s">
        <v>98</v>
      </c>
      <c r="K10" s="66" t="s">
        <v>99</v>
      </c>
    </row>
    <row r="11" spans="1:11" ht="15.75">
      <c r="A11" s="56" t="str">
        <v>Slayton A &amp; B</v>
      </c>
      <c r="B11" s="52" t="str">
        <v>NY</v>
      </c>
      <c r="C11" s="34">
        <v>286674</v>
      </c>
      <c r="D11" s="35">
        <v>374225.3</v>
      </c>
      <c r="E11" s="35">
        <f>IF(AND(ISNUMBER(C11),ISNUMBER(D11)), C11-D11, "")</f>
        <v>-87551.299999999988</v>
      </c>
      <c r="F11" s="36">
        <f>IFERROR(E11/D11, "")</f>
        <v>-0.23395344996717216</v>
      </c>
      <c r="G11" s="37">
        <v>297645.40000000002</v>
      </c>
      <c r="H11" s="37">
        <f>IF(AND(ISNUMBER(C11),ISNUMBER(G11)), C11-G11, "")</f>
        <v>-10971.400000000023</v>
      </c>
      <c r="I11" s="36">
        <f>IFERROR(H11/G11, "")</f>
        <v>-3.6860640211473193E-2</v>
      </c>
      <c r="J11" s="58" t="s">
        <v>100</v>
      </c>
      <c r="K11" s="58" t="s">
        <v>101</v>
      </c>
    </row>
    <row r="12" spans="1:11" ht="14.2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</row>
    <row r="13" spans="1:11" ht="14.2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2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2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2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2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2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2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2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2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2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2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2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2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2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2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2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2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2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2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2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2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2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2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2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2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2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2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2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2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2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2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2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2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2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2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2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2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2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2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2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2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2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2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2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2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2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2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2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2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2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2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2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2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2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2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2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2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2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2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2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2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2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2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2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2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2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2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2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2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2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2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2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2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2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2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2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2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2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2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2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2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2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2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2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2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2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2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2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2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2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2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2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2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2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2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2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2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2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2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2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2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2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2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2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2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2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2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2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2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2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2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2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2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2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2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2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2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2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2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2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2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2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2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2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2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2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2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2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2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2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2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2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2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2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2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2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2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2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2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2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2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2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2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2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2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2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2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2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2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2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2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2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2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2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2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2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2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2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2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2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2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2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2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2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2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2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2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2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2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2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2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2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2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2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2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2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2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2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2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2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2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2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2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2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2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2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2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2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2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2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2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2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2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2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2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2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2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2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2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2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2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2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2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2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2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2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2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2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2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2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2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2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2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2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2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2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2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2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2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2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2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2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2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2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2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2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2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2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2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2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2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2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2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2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2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2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2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2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2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2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2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2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2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2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2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2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2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2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2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2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2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2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2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2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2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2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2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2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2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2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2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2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2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2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2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2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2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2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2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2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2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2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2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2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2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2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2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2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2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2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2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2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2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2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2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2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2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2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2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2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2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2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2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2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2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2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2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2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2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2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2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2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2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2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2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2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2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2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2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3.9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7"/>
  <sheetViews>
    <sheetView workbookViewId="0">
      <pane ySplit="3" topLeftCell="A4" activePane="bottomLeft" state="frozen"/>
      <selection pane="bottomLeft" activeCell="C20" sqref="C2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102</v>
      </c>
      <c r="B1" t="s">
        <v>103</v>
      </c>
    </row>
    <row r="3" spans="1:12">
      <c r="A3" t="s">
        <v>104</v>
      </c>
      <c r="B3" t="s">
        <v>3</v>
      </c>
      <c r="C3" t="s">
        <v>4</v>
      </c>
      <c r="D3" t="s">
        <v>105</v>
      </c>
      <c r="E3" s="2" t="s">
        <v>106</v>
      </c>
    </row>
    <row r="4" spans="1:12" ht="14.25">
      <c r="A4" s="24" t="s">
        <v>107</v>
      </c>
      <c r="B4" t="s">
        <v>108</v>
      </c>
      <c r="C4" s="23" t="s">
        <v>109</v>
      </c>
      <c r="D4" s="22"/>
      <c r="E4" t="s">
        <v>110</v>
      </c>
      <c r="G4" s="3"/>
    </row>
    <row r="5" spans="1:12" ht="14.25">
      <c r="A5" s="24" t="s">
        <v>111</v>
      </c>
      <c r="B5" t="s">
        <v>111</v>
      </c>
      <c r="C5" s="23" t="s">
        <v>112</v>
      </c>
      <c r="D5" s="22"/>
      <c r="E5" t="s">
        <v>110</v>
      </c>
      <c r="G5" s="3"/>
    </row>
    <row r="6" spans="1:12" ht="14.25">
      <c r="A6" s="24" t="s">
        <v>113</v>
      </c>
      <c r="B6" t="s">
        <v>114</v>
      </c>
      <c r="C6" s="23" t="s">
        <v>112</v>
      </c>
      <c r="D6" s="22"/>
      <c r="E6" t="s">
        <v>110</v>
      </c>
      <c r="G6" s="3"/>
    </row>
    <row r="7" spans="1:12" ht="12.75" customHeight="1">
      <c r="A7" s="67" t="s">
        <v>115</v>
      </c>
      <c r="B7" s="60" t="s">
        <v>116</v>
      </c>
      <c r="C7" s="23" t="s">
        <v>117</v>
      </c>
      <c r="D7" t="s">
        <v>118</v>
      </c>
      <c r="E7" t="s">
        <v>110</v>
      </c>
      <c r="K7" s="21"/>
      <c r="L7" s="21"/>
    </row>
    <row r="8" spans="1:12" ht="12.75" customHeight="1">
      <c r="A8" s="67" t="s">
        <v>119</v>
      </c>
      <c r="B8" s="60" t="s">
        <v>120</v>
      </c>
      <c r="C8" s="23" t="s">
        <v>112</v>
      </c>
      <c r="D8" t="s">
        <v>118</v>
      </c>
      <c r="E8" t="s">
        <v>110</v>
      </c>
      <c r="K8" s="21"/>
      <c r="L8" s="21"/>
    </row>
    <row r="9" spans="1:12" ht="12.75" customHeight="1">
      <c r="A9" s="67" t="s">
        <v>121</v>
      </c>
      <c r="B9" s="60" t="s">
        <v>122</v>
      </c>
      <c r="C9" s="23" t="s">
        <v>117</v>
      </c>
      <c r="D9" t="s">
        <v>123</v>
      </c>
      <c r="E9" t="s">
        <v>110</v>
      </c>
      <c r="K9" s="21"/>
      <c r="L9" s="21"/>
    </row>
    <row r="10" spans="1:12" ht="12.75" customHeight="1">
      <c r="A10" s="67" t="s">
        <v>124</v>
      </c>
      <c r="B10" s="60" t="s">
        <v>124</v>
      </c>
      <c r="C10" s="23" t="s">
        <v>112</v>
      </c>
      <c r="E10" t="s">
        <v>110</v>
      </c>
      <c r="K10" s="21"/>
      <c r="L10" s="21"/>
    </row>
    <row r="11" spans="1:12" ht="12.75" customHeight="1">
      <c r="A11" s="63" t="s">
        <v>125</v>
      </c>
      <c r="B11" s="60" t="s">
        <v>126</v>
      </c>
      <c r="C11" s="23" t="s">
        <v>112</v>
      </c>
      <c r="E11" t="s">
        <v>110</v>
      </c>
      <c r="K11" s="21"/>
      <c r="L11" s="21"/>
    </row>
    <row r="12" spans="1:12" ht="12.75" customHeight="1">
      <c r="K12" s="21"/>
      <c r="L12" s="21"/>
    </row>
    <row r="17" spans="1:12" ht="12.75" customHeight="1">
      <c r="A17" s="63"/>
      <c r="B17" s="60"/>
      <c r="C17" s="23"/>
      <c r="K17" s="21"/>
      <c r="L17" s="2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3A7101F-9A85-4235-8B03-415370C100B2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F6B2B1A1-1C4B-4AC9-9A7D-7A102DD1C942}"/>
</file>

<file path=customXml/itemProps4.xml><?xml version="1.0" encoding="utf-8"?>
<ds:datastoreItem xmlns:ds="http://schemas.openxmlformats.org/officeDocument/2006/customXml" ds:itemID="{0B56D7CC-2509-435A-AEB0-F1EE280ED532}"/>
</file>

<file path=customXml/itemProps5.xml><?xml version="1.0" encoding="utf-8"?>
<ds:datastoreItem xmlns:ds="http://schemas.openxmlformats.org/officeDocument/2006/customXml" ds:itemID="{E3716282-BFD2-4ED2-BA47-BFA1123827F0}"/>
</file>

<file path=customXml/itemProps6.xml><?xml version="1.0" encoding="utf-8"?>
<ds:datastoreItem xmlns:ds="http://schemas.openxmlformats.org/officeDocument/2006/customXml" ds:itemID="{BE26B669-A686-459C-A5E9-FEC3409C4C81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1954BBA4-0359-438C-B0EC-A756015F7C02}"/>
</file>

<file path=customXml/itemProps11.xml><?xml version="1.0" encoding="utf-8"?>
<ds:datastoreItem xmlns:ds="http://schemas.openxmlformats.org/officeDocument/2006/customXml" ds:itemID="{0389C43E-394D-44C0-87DC-4780FCFCFB40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66B09F59-6532-46F8-924A-9A02417E070D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7946C510-7D04-49D8-9B25-EEC04582A1CA}"/>
</file>

<file path=customXml/itemProps18.xml><?xml version="1.0" encoding="utf-8"?>
<ds:datastoreItem xmlns:ds="http://schemas.openxmlformats.org/officeDocument/2006/customXml" ds:itemID="{CB52044A-5C0B-44A2-99D0-C1C315EC302D}"/>
</file>

<file path=customXml/itemProps19.xml><?xml version="1.0" encoding="utf-8"?>
<ds:datastoreItem xmlns:ds="http://schemas.openxmlformats.org/officeDocument/2006/customXml" ds:itemID="{89CF5C07-45EB-4100-9AFB-2C6AF77FA787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2025-06-25T19:35:33Z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2024-09-13T14:09:38Z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5e2876eb-07b3-41bf-9665-a07636594534</vt:lpwstr>
  </property>
  <property fmtid="{D5CDD505-2E9C-101B-9397-08002B2CF9AE}" pid="9" name="MSIP_Label_9d817c99-0b37-4a07-8277-96aa1f96b74b_ContentBits">
    <vt:lpwstr>0</vt:lpwstr>
  </property>
</Properties>
</file>