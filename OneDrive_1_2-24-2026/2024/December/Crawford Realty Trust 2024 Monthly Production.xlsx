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9" documentId="13_ncr:1_{C130E290-98AE-4DF1-A489-9F550F3C6D0C}" xr6:coauthVersionLast="47" xr6:coauthVersionMax="47" xr10:uidLastSave="{36C8D391-CBC2-49FA-AEF7-1BA36E57B0B5}"/>
  <bookViews>
    <workbookView xWindow="-108" yWindow="-108" windowWidth="23256" windowHeight="1245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C4" i="30"/>
  <c r="D4" i="30"/>
  <c r="C4" i="29"/>
  <c r="D4" i="29"/>
  <c r="C4" i="18"/>
  <c r="D4" i="18"/>
  <c r="C4" i="1"/>
  <c r="D4" i="1"/>
  <c r="G4" i="1"/>
  <c r="D4" i="34" l="1"/>
  <c r="G4" i="34"/>
  <c r="C4" i="34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B4" i="34" a="1"/>
  <c r="B4" i="34" s="1"/>
  <c r="A4" i="34" a="1"/>
  <c r="A4" i="34" s="1"/>
  <c r="A1" i="34" a="1"/>
  <c r="A1" i="34" s="1"/>
  <c r="E4" i="30"/>
  <c r="F4" i="30" s="1"/>
  <c r="D2" i="29"/>
  <c r="E4" i="18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2" i="30" l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E4" i="34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<sst xmlns="http://schemas.openxmlformats.org/spreadsheetml/2006/main" count="258" uniqueCount="70">
  <si>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</si>
  <si>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</si>
  <si>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</si>
  <si>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</si>
  <si>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</si>
  <si>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</si>
  <si>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</si>
  <si>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</si>
  <si>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</si>
  <si>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</si>
  <si>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</si>
  <si>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</si>
  <si>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</si>
  <si>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</si>
  <si>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</si>
  <si>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</si>
  <si>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</si>
  <si>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</si>
  <si>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</si>
  <si>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</si>
  <si>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</si>
  <si>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</si>
  <si>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</si>
  <si>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</si>
  <si>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2 left unit tripped offline on 12/13 and back online on 02/21</t>
  </si>
  <si>
    <t>1. SR081019</t>
  </si>
  <si>
    <t>March Actual v. Expected</t>
  </si>
  <si>
    <t>March Actual v. Forecasted</t>
  </si>
  <si>
    <t>1.Inverter 2 left unit was offline on 03/13 and came back online on the same day at 14:00</t>
  </si>
  <si>
    <t>1.SR081843</t>
  </si>
  <si>
    <t>April Actual v. Expected</t>
  </si>
  <si>
    <t>April Actual v. Forecasted</t>
  </si>
  <si>
    <t>May Actual v. Expected</t>
  </si>
  <si>
    <t>May Actual v. Forecasted</t>
  </si>
  <si>
    <t>1.  Inverter 5 ( E in dwg)primary unit tripped offline on 05/12 at 16:45 throughout the month.</t>
  </si>
  <si>
    <t>1. SR084649</t>
  </si>
  <si>
    <t>June Actual v. Expected</t>
  </si>
  <si>
    <t>June Actual v. Forecasted</t>
  </si>
  <si>
    <t>1. 	SR084649</t>
  </si>
  <si>
    <t>July Actual v. Expected</t>
  </si>
  <si>
    <t>July Actual v. Forecasted</t>
  </si>
  <si>
    <t>1.Inverter 5 ( E in dwg)primary unit tripped offline on 05/12 at 16:45 and back online at 11:46 on 07/16.</t>
  </si>
  <si>
    <t>1.SR084649</t>
  </si>
  <si>
    <t>August Actual v. Expected</t>
  </si>
  <si>
    <t>August Actual v. Forecasted</t>
  </si>
  <si>
    <t xml:space="preserve">1. Inverter 4 (B) Right and left unit tripped on 8/18 </t>
  </si>
  <si>
    <t>1.SR089250</t>
  </si>
  <si>
    <t>September Actual v. Expected</t>
  </si>
  <si>
    <t>September Actual v. Forecasted</t>
  </si>
  <si>
    <t xml:space="preserve">1.Inverter 4 (B) Right and left unit tripped on 8/18 </t>
  </si>
  <si>
    <t>October Actual v. Expected</t>
  </si>
  <si>
    <t>October Actual v. Forecasted</t>
  </si>
  <si>
    <t>1. Inverter 4 (B) Right and left unit back online on 10/18/2024.
2. Inverter 3 Right unit tripped offline on 09/26/2024 through the month.</t>
  </si>
  <si>
    <t>1. SR089250
2. SR089250, SR092051</t>
  </si>
  <si>
    <t>November Actual v. Expected</t>
  </si>
  <si>
    <t>November Actual v. Forecasted</t>
  </si>
  <si>
    <t>1. Inverter 3 Right unit back online at 12:00 on 11/12/2024.</t>
  </si>
  <si>
    <t>1. SR089250, SR092051</t>
  </si>
  <si>
    <t>December Actual v. Expected</t>
  </si>
  <si>
    <t>December Actual v. Forecasted</t>
  </si>
  <si>
    <t>Portfolio:</t>
  </si>
  <si>
    <t>Crawford Realty</t>
  </si>
  <si>
    <t>Site DAS Name</t>
  </si>
  <si>
    <t>Update</t>
  </si>
  <si>
    <t>DAS</t>
  </si>
  <si>
    <t>101 Crawford</t>
  </si>
  <si>
    <t>MA: Leominster - Crawford Realty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</si>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</sst>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horizontal="right" vertical="center"/>
    </xf>
    <xf numFmtId="0" fontId="35" fillId="46" borderId="0" xfId="0" applyFont="1" applyFill="1" applyAlignment="1">
      <alignment horizontal="right" vertical="center"/>
    </xf>
    <xf numFmtId="0" fontId="24" fillId="42" borderId="11" xfId="0" applyFont="1" applyFill="1" applyBorder="1" applyAlignment="1">
      <alignment horizontal="center" vertical="center"/>
    </xf>
    <xf numFmtId="3" fontId="36" fillId="47" borderId="0" xfId="0" applyNumberFormat="1" applyFont="1" applyFill="1" applyAlignment="1">
      <alignment vertical="center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Crawford Realty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SUM(C4:C75)</f>
        <v>640338.81010371086</v>
      </c>
      <c r="D2" s="5">
        <f>SUM(D4:D75)</f>
        <v>0</v>
      </c>
      <c r="E2" s="5">
        <f>C2-D2</f>
        <v>640338.81010371086</v>
      </c>
      <c r="F2" s="6">
        <f>IFERROR(E2/D2, 0)</f>
        <v>0</v>
      </c>
      <c r="G2" s="5">
        <f>SUM(G4:G75)</f>
        <v>775969.14</v>
      </c>
      <c r="H2" s="7">
        <f>C2-G2</f>
        <v>-135630.32989628916</v>
      </c>
      <c r="I2" s="6">
        <f>IFERROR(H2/G2, 0)</f>
        <v>-0.17478830394761466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Crawford Realty</v>
      </c>
      <c r="B4" s="9" t="str" cm="1">
        <f t="array" ref="B4">Sites[State]</f>
        <v>MA</v>
      </c>
      <c r="C4" s="23">
        <f>SUM('1st Qtr'!C4, '2nd Qtr'!C4, '3rd Qtr'!C4, '4th Qtr'!C4)</f>
        <v>640338.81010371086</v>
      </c>
      <c r="D4" s="12">
        <f>SUM('1st Qtr'!D4, '2nd Qtr'!D4, '3rd Qtr'!D4, '4th Qtr'!D4)</f>
        <v>0</v>
      </c>
      <c r="E4" s="12">
        <f>IF(AND(ISNUMBER(C4),ISNUMBER(D4)), C4-D4, "")</f>
        <v>640338.81010371086</v>
      </c>
      <c r="F4" s="13" t="str">
        <f>IFERROR(E4/D4, "")</f>
        <v/>
      </c>
      <c r="G4" s="14">
        <f>SUM('1st Qtr'!G4, '2nd Qtr'!G4, '3rd Qtr'!G4, '4th Qtr'!G4)</f>
        <v>775969.14</v>
      </c>
      <c r="H4" s="14">
        <f>SUM('1st Qtr'!H4, '2nd Qtr'!H4, '3rd Qtr'!H4, '4th Qtr'!H4)</f>
        <v>-135630.32989628913</v>
      </c>
      <c r="I4" s="15">
        <f>IFERROR(H4/G4, "")</f>
        <v>-0.17478830394761463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Crawford Realty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SUM(C4:C75)</f>
        <v>114973.46000976559</v>
      </c>
      <c r="D2" s="5">
        <f>SUM(D4:D75)</f>
        <v>0</v>
      </c>
      <c r="E2" s="5">
        <f>C2-D2</f>
        <v>114973.46000976559</v>
      </c>
      <c r="F2" s="6">
        <f>IFERROR(E2/D2, 0)</f>
        <v>0</v>
      </c>
      <c r="G2" s="5">
        <f>SUM(G4:G75)</f>
        <v>160155.33000000002</v>
      </c>
      <c r="H2" s="7">
        <f>C2-G2</f>
        <v>-45181.869990234423</v>
      </c>
      <c r="I2" s="6">
        <f>IFERROR(H2/G2, 0)</f>
        <v>-0.28211280879777412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SUM(Jan!C4, Feb!C4, Mar!C4)</f>
        <v>114973.46000976559</v>
      </c>
      <c r="D4" s="12">
        <f>SUM(Jan!D4, Feb!D4, Mar!D4)</f>
        <v>0</v>
      </c>
      <c r="E4" s="12">
        <f>IF(AND(ISNUMBER(C4),ISNUMBER(D4)), C4-D4, "")</f>
        <v>114973.46000976559</v>
      </c>
      <c r="F4" s="13" t="str">
        <f>IFERROR(E4/D4, "")</f>
        <v/>
      </c>
      <c r="G4" s="14">
        <f>SUM(Jan!G4, Feb!G4, Mar!G4)</f>
        <v>160155.33000000002</v>
      </c>
      <c r="H4" s="14">
        <f>SUM(Jan!H4, Feb!H4, Mar!H4)</f>
        <v>-45181.869990234409</v>
      </c>
      <c r="I4" s="15">
        <f>IFERROR(H4/G4, "")</f>
        <v>-0.28211280879777406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Crawford Realty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SUM(C4:C75)</f>
        <v>223435.82</v>
      </c>
      <c r="D2" s="5">
        <f>SUM(D4:D75)</f>
        <v>0</v>
      </c>
      <c r="E2" s="5">
        <f>C2-D2</f>
        <v>223435.82</v>
      </c>
      <c r="F2" s="6">
        <f>IFERROR(E2/D2, 0)</f>
        <v>0</v>
      </c>
      <c r="G2" s="5">
        <f>SUM(G4:G75)</f>
        <v>254891.64</v>
      </c>
      <c r="H2" s="7">
        <f>C2-G2</f>
        <v>-31455.820000000007</v>
      </c>
      <c r="I2" s="6">
        <f>IFERROR(H2/G2, 0)</f>
        <v>-0.12340859825767532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SUM(Apr!C4, May!C4, Jun!C4)</f>
        <v>223435.82</v>
      </c>
      <c r="D4" s="12">
        <f>SUM(Apr!D4, May!D4, Jun!D4)</f>
        <v>0</v>
      </c>
      <c r="E4" s="12">
        <f>IF(AND(ISNUMBER(C4),ISNUMBER(D4)), C4-D4, "")</f>
        <v>223435.82</v>
      </c>
      <c r="F4" s="13" t="str">
        <f>IFERROR(E4/D4, "")</f>
        <v/>
      </c>
      <c r="G4" s="14">
        <f>SUM(Apr!G4,May!G4,Jun!G4)</f>
        <v>254891.64</v>
      </c>
      <c r="H4" s="14">
        <f>SUM(Apr!H4, May!H4, Jun!H4)</f>
        <v>-31455.820000000007</v>
      </c>
      <c r="I4" s="15">
        <f>IFERROR(H4/G4, "")</f>
        <v>-0.12340859825767532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workbookViewId="0">
      <pane xSplit="2" ySplit="3" topLeftCell="C4" activePane="bottomRight" state="frozen"/>
      <selection pane="bottomRight" activeCell="C4" sqref="C4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Crawford Realty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SUM(C4:C75)</f>
        <v>199464.22998046869</v>
      </c>
      <c r="D2" s="5">
        <f>SUM(D4:D75)</f>
        <v>0</v>
      </c>
      <c r="E2" s="5">
        <f>C2-D2</f>
        <v>199464.22998046869</v>
      </c>
      <c r="F2" s="6">
        <f>IFERROR(E2/D2, 0)</f>
        <v>0</v>
      </c>
      <c r="G2" s="5">
        <f>SUM(G4:G75)</f>
        <v>241389.56</v>
      </c>
      <c r="H2" s="7">
        <f>C2-G2</f>
        <v>-41925.330019531306</v>
      </c>
      <c r="I2" s="6">
        <f>IFERROR(H2/G2, 0)</f>
        <v>-0.17368327784984283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SUM(Jul!C4, Aug!C4, Sep!C4)</f>
        <v>199464.22998046869</v>
      </c>
      <c r="D4" s="12">
        <f>SUM(Jul!D4, Aug!D4, Sep!D4)</f>
        <v>0</v>
      </c>
      <c r="E4" s="12">
        <f>IF(AND(ISNUMBER(C4),ISNUMBER(D4)), C4-D4, "")</f>
        <v>199464.22998046869</v>
      </c>
      <c r="F4" s="13" t="str">
        <f>IFERROR(E4/D4, "")</f>
        <v/>
      </c>
      <c r="G4" s="14">
        <f>SUM(Jul!G4,Aug!G4,Sep!G4)</f>
        <v>241389.56</v>
      </c>
      <c r="H4" s="14">
        <f>SUM(Jul!H4, Aug!H4, Sep!H4)</f>
        <v>-41925.330019531306</v>
      </c>
      <c r="I4" s="15">
        <f>IFERROR(H4/G4, "")</f>
        <v>-0.17368327784984283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tabSelected="1" workbookViewId="0">
      <pane xSplit="2" ySplit="3" topLeftCell="C4" activePane="bottomRight" state="frozen"/>
      <selection pane="bottomRight" activeCell="C4" sqref="C4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Crawford Realty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SUM(C4:C75)</f>
        <v>102465.30011347659</v>
      </c>
      <c r="D2" s="5">
        <f>SUM(D4:D75)</f>
        <v>0</v>
      </c>
      <c r="E2" s="5">
        <f>C2-D2</f>
        <v>102465.30011347659</v>
      </c>
      <c r="F2" s="6">
        <f>IFERROR(E2/D2, 0)</f>
        <v>0</v>
      </c>
      <c r="G2" s="5">
        <f>SUM(G4:G75)</f>
        <v>119532.61000000002</v>
      </c>
      <c r="H2" s="7">
        <f>C2-G2</f>
        <v>-17067.309886523421</v>
      </c>
      <c r="I2" s="6">
        <f>IFERROR(H2/G2, 0)</f>
        <v>-0.14278371305138757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SUM(Oct!C4, Nov!C4, Dec!C4)</f>
        <v>102465.30011347659</v>
      </c>
      <c r="D4" s="12">
        <f>SUM(Oct!D4, Nov!D4, Dec!D4)</f>
        <v>0</v>
      </c>
      <c r="E4" s="12">
        <f>IF(AND(ISNUMBER(C4),ISNUMBER(D4)), C4-D4, "")</f>
        <v>102465.30011347659</v>
      </c>
      <c r="F4" s="13" t="str">
        <f>IFERROR(E4/D4, "")</f>
        <v/>
      </c>
      <c r="G4" s="14">
        <f>SUM(Oct!G4,Nov!G4,Dec!G4)</f>
        <v>119532.61000000002</v>
      </c>
      <c r="H4" s="14">
        <f>SUM(Oct!H4, Nov!H4, Dec!H4)</f>
        <v>-17067.309886523406</v>
      </c>
      <c r="I4" s="15">
        <f>IFERROR(H4/G4, "")</f>
        <v>-0.14278371305138743</v>
      </c>
    </row>
    <row r="5" spans="1:9" ht="14.45">
      <c r="A5" s="20"/>
      <c r="B5" s="10"/>
      <c r="C5" s="39"/>
      <c r="D5" s="17"/>
      <c r="E5" s="17"/>
      <c r="F5" s="18"/>
      <c r="G5" s="19"/>
      <c r="H5" s="19"/>
      <c r="I5" s="18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zoomScale="90" zoomScaleNormal="90" workbookViewId="0">
      <pane xSplit="2" ySplit="3" topLeftCell="D4" activePane="bottomRight" state="frozen"/>
      <selection pane="bottomRight" activeCell="F18" sqref="F18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SUM(C4:C74)</f>
        <v>12170.5100097656</v>
      </c>
      <c r="D2" s="5">
        <f>SUM(D4:D74)</f>
        <v>0</v>
      </c>
      <c r="E2" s="5">
        <f>C2-D2</f>
        <v>12170.5100097656</v>
      </c>
      <c r="F2" s="6">
        <f>IFERROR(E2/D2, 0)</f>
        <v>0</v>
      </c>
      <c r="G2" s="5">
        <f>SUM(G4:G74)</f>
        <v>41972</v>
      </c>
      <c r="H2" s="7">
        <f>C2-G2</f>
        <v>-29801.4899902344</v>
      </c>
      <c r="I2" s="6">
        <f>IFERROR(H2/G2, 0)</f>
        <v>-0.71003264057548843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9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47">
        <v>12170.5100097656</v>
      </c>
      <c r="D4" s="48">
        <v>0</v>
      </c>
      <c r="E4" s="12">
        <f>IF(AND(ISNUMBER(C4),ISNUMBER(D4)), C4-D4, "")</f>
        <v>12170.5100097656</v>
      </c>
      <c r="F4" s="38" t="str">
        <f>IFERROR(E4/D4, "")</f>
        <v/>
      </c>
      <c r="G4" s="50">
        <v>41972</v>
      </c>
      <c r="H4" s="14">
        <f>IF(AND(ISNUMBER(C4),ISNUMBER(G4)), C4-G4, "")</f>
        <v>-29801.4899902344</v>
      </c>
      <c r="I4" s="15">
        <f>IFERROR(H4/G4, "")</f>
        <v>-0.71003264057548843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bottomRight" activeCell="J10" sqref="J10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43982.7</v>
      </c>
      <c r="D2" s="5">
        <f>SUM(D4:D75)</f>
        <v>0</v>
      </c>
      <c r="E2" s="5">
        <f>C2-D2</f>
        <v>43982.7</v>
      </c>
      <c r="F2" s="6">
        <f>IFERROR(E2/D2, 0)</f>
        <v>0</v>
      </c>
      <c r="G2" s="5">
        <f>SUM(G4:G75)</f>
        <v>50056.05</v>
      </c>
      <c r="H2" s="7">
        <f>C2-G2</f>
        <v>-6073.3500000000058</v>
      </c>
      <c r="I2" s="6">
        <f>IFERROR(H2/G2, 0)</f>
        <v>-0.12133098796249416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23">
        <v>43982.7</v>
      </c>
      <c r="D4" s="12">
        <v>0</v>
      </c>
      <c r="E4" s="12">
        <f>IF(AND(ISNUMBER(C4),ISNUMBER(D4)), C4-D4, "")</f>
        <v>43982.7</v>
      </c>
      <c r="F4" s="13" t="str">
        <f>IFERROR(E4/D4, "")</f>
        <v/>
      </c>
      <c r="G4" s="14">
        <v>50056.05</v>
      </c>
      <c r="H4" s="14">
        <f>IF(AND(ISNUMBER(C4),ISNUMBER(G4)), C4-G4, "")</f>
        <v>-6073.3500000000058</v>
      </c>
      <c r="I4" s="15">
        <f>IFERROR(H4/G4, "")</f>
        <v>-0.12133098796249416</v>
      </c>
      <c r="J4" s="36" t="s">
        <v>24</v>
      </c>
      <c r="K4" s="36" t="s">
        <v>25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zoomScale="80" zoomScaleNormal="80" workbookViewId="0">
      <pane xSplit="2" ySplit="3" topLeftCell="C4" activePane="bottomRight" state="frozen"/>
      <selection pane="bottomRight" activeCell="F19" sqref="F19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58820.25</v>
      </c>
      <c r="D2" s="5">
        <f>SUM(D4:D75)</f>
        <v>0</v>
      </c>
      <c r="E2" s="5">
        <f>C2-D2</f>
        <v>58820.25</v>
      </c>
      <c r="F2" s="6">
        <f>IFERROR(E2/D2, 0)</f>
        <v>0</v>
      </c>
      <c r="G2" s="5">
        <f>SUM(G4:G75)</f>
        <v>68127.28</v>
      </c>
      <c r="H2" s="7">
        <f>C2-G2</f>
        <v>-9307.0299999999988</v>
      </c>
      <c r="I2" s="6">
        <f>IFERROR(H2/G2, 0)</f>
        <v>-0.13661238200027948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58820.25</v>
      </c>
      <c r="D4" s="12">
        <v>0</v>
      </c>
      <c r="E4" s="12">
        <f>IF(AND(ISNUMBER(C4),ISNUMBER(D4)), C4-D4, "")</f>
        <v>58820.25</v>
      </c>
      <c r="F4" s="13" t="str">
        <f>IFERROR(E4/D4, "")</f>
        <v/>
      </c>
      <c r="G4" s="14">
        <v>68127.28</v>
      </c>
      <c r="H4" s="14">
        <f>IF(AND(ISNUMBER(C4),ISNUMBER(G4)), C4-G4, "")</f>
        <v>-9307.0299999999988</v>
      </c>
      <c r="I4" s="15">
        <f>IFERROR(H4/G4, "")</f>
        <v>-0.13661238200027948</v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zoomScale="90" zoomScaleNormal="90" workbookViewId="0">
      <pane xSplit="2" ySplit="3" topLeftCell="C4" activePane="bottomRight" state="frozen"/>
      <selection pane="bottomRight" activeCell="E14" sqref="E1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66128.41</v>
      </c>
      <c r="D2" s="5">
        <f>SUM(D4:D75)</f>
        <v>0</v>
      </c>
      <c r="E2" s="5">
        <f>C2-D2</f>
        <v>66128.41</v>
      </c>
      <c r="F2" s="6">
        <f>IFERROR(E2/D2, 0)</f>
        <v>0</v>
      </c>
      <c r="G2" s="5">
        <f>SUM(G4:G75)</f>
        <v>78747.81</v>
      </c>
      <c r="H2" s="7">
        <f>C2-G2</f>
        <v>-12619.399999999994</v>
      </c>
      <c r="I2" s="6">
        <f>IFERROR(H2/G2, 0)</f>
        <v>-0.16025080570494588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66128.41</v>
      </c>
      <c r="D4" s="12">
        <v>0</v>
      </c>
      <c r="E4" s="12">
        <f>IF(AND(ISNUMBER(C4),ISNUMBER(D4)), C4-D4, "")</f>
        <v>66128.41</v>
      </c>
      <c r="F4" s="13" t="str">
        <f>IFERROR(E4/D4, "")</f>
        <v/>
      </c>
      <c r="G4" s="14">
        <v>78747.81</v>
      </c>
      <c r="H4" s="14">
        <f>IF(AND(ISNUMBER(C4),ISNUMBER(G4)), C4-G4, "")</f>
        <v>-12619.399999999994</v>
      </c>
      <c r="I4" s="15">
        <f>IFERROR(H4/G4, "")</f>
        <v>-0.16025080570494588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zoomScale="90" zoomScaleNormal="90" workbookViewId="0">
      <pane xSplit="2" ySplit="3" topLeftCell="C4" activePane="bottomRight" state="frozen"/>
      <selection pane="bottomRight" activeCell="E13" sqref="E13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75145.87</v>
      </c>
      <c r="D2" s="5">
        <f>SUM(D4:D75)</f>
        <v>0</v>
      </c>
      <c r="E2" s="5">
        <f>C2-D2</f>
        <v>75145.87</v>
      </c>
      <c r="F2" s="6">
        <f>IFERROR(E2/D2, 0)</f>
        <v>0</v>
      </c>
      <c r="G2" s="5">
        <f>SUM(G4:G75)</f>
        <v>88197.119999999995</v>
      </c>
      <c r="H2" s="7">
        <f>C2-G2</f>
        <v>-13051.25</v>
      </c>
      <c r="I2" s="6">
        <f>IFERROR(H2/G2, 0)</f>
        <v>-0.14797818794990131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75145.87</v>
      </c>
      <c r="D4" s="12">
        <v>0</v>
      </c>
      <c r="E4" s="12">
        <f>IF(AND(ISNUMBER(C4),ISNUMBER(D4)), C4-D4, "")</f>
        <v>75145.87</v>
      </c>
      <c r="F4" s="13" t="str">
        <f>IFERROR(E4/D4, "")</f>
        <v/>
      </c>
      <c r="G4" s="14">
        <v>88197.119999999995</v>
      </c>
      <c r="H4" s="14">
        <f>IF(AND(ISNUMBER(C4),ISNUMBER(G4)), C4-G4, "")</f>
        <v>-13051.25</v>
      </c>
      <c r="I4" s="15">
        <f>IFERROR(H4/G4, "")</f>
        <v>-0.14797818794990131</v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zoomScale="80" zoomScaleNormal="80" workbookViewId="0">
      <pane xSplit="2" ySplit="3" topLeftCell="I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82161.539999999994</v>
      </c>
      <c r="D2" s="5">
        <f>SUM(D4:D75)</f>
        <v>0</v>
      </c>
      <c r="E2" s="5">
        <f>C2-D2</f>
        <v>82161.539999999994</v>
      </c>
      <c r="F2" s="6">
        <f>IFERROR(E2/D2, 0)</f>
        <v>0</v>
      </c>
      <c r="G2" s="5">
        <f>SUM(G4:G75)</f>
        <v>87946.71</v>
      </c>
      <c r="H2" s="7">
        <f>C2-G2</f>
        <v>-5785.1700000000128</v>
      </c>
      <c r="I2" s="6">
        <f>IFERROR(H2/G2, 0)</f>
        <v>-6.5780402700681043E-2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82161.539999999994</v>
      </c>
      <c r="D4" s="12">
        <v>0</v>
      </c>
      <c r="E4" s="12">
        <f>IF(AND(ISNUMBER(C4),ISNUMBER(D4)), C4-D4, "")</f>
        <v>82161.539999999994</v>
      </c>
      <c r="F4" s="13" t="str">
        <f>IFERROR(E4/D4, "")</f>
        <v/>
      </c>
      <c r="G4" s="14">
        <v>87946.71</v>
      </c>
      <c r="H4" s="14">
        <f>IF(AND(ISNUMBER(C4),ISNUMBER(G4)), C4-G4, "")</f>
        <v>-5785.1700000000128</v>
      </c>
      <c r="I4" s="15">
        <f>IFERROR(H4/G4, "")</f>
        <v>-6.5780402700681043E-2</v>
      </c>
      <c r="J4" s="36" t="s">
        <v>34</v>
      </c>
      <c r="K4" s="36" t="s">
        <v>38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F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83541.839965820298</v>
      </c>
      <c r="D2" s="5">
        <f>SUM(D4:D75)</f>
        <v>0</v>
      </c>
      <c r="E2" s="5">
        <f>C2-D2</f>
        <v>83541.839965820298</v>
      </c>
      <c r="F2" s="6">
        <f>IFERROR(E2/D2, 0)</f>
        <v>0</v>
      </c>
      <c r="G2" s="5">
        <f>SUM(G4:G75)</f>
        <v>88981.38</v>
      </c>
      <c r="H2" s="7">
        <f>C2-G2</f>
        <v>-5439.5400341797067</v>
      </c>
      <c r="I2" s="6">
        <f>IFERROR(H2/G2, 0)</f>
        <v>-6.1131216825134727E-2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83541.839965820298</v>
      </c>
      <c r="D4" s="12">
        <v>0</v>
      </c>
      <c r="E4" s="12">
        <f>IF(AND(ISNUMBER(C4),ISNUMBER(D4)), C4-D4, "")</f>
        <v>83541.839965820298</v>
      </c>
      <c r="F4" s="13" t="str">
        <f>IFERROR(E4/D4, "")</f>
        <v/>
      </c>
      <c r="G4" s="14">
        <v>88981.38</v>
      </c>
      <c r="H4" s="14">
        <f>IF(AND(ISNUMBER(C4),ISNUMBER(G4)), C4-G4, "")</f>
        <v>-5439.5400341797067</v>
      </c>
      <c r="I4" s="15">
        <f>IFERROR(H4/G4, "")</f>
        <v>-6.1131216825134727E-2</v>
      </c>
      <c r="J4" s="36" t="s">
        <v>41</v>
      </c>
      <c r="K4" s="36" t="s">
        <v>42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I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66481.849975585894</v>
      </c>
      <c r="D2" s="5">
        <f>SUM(D4:D75)</f>
        <v>0</v>
      </c>
      <c r="E2" s="5">
        <f>C2-D2</f>
        <v>66481.849975585894</v>
      </c>
      <c r="F2" s="6">
        <f>IFERROR(E2/D2, 0)</f>
        <v>0</v>
      </c>
      <c r="G2" s="5">
        <f>SUM(G4:G75)</f>
        <v>84063.75</v>
      </c>
      <c r="H2" s="7">
        <f>C2-G2</f>
        <v>-17581.900024414106</v>
      </c>
      <c r="I2" s="6">
        <f>IFERROR(H2/G2, 0)</f>
        <v>-0.20914960401378843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66481.849975585894</v>
      </c>
      <c r="D4" s="12">
        <v>0</v>
      </c>
      <c r="E4" s="12">
        <f>IF(AND(ISNUMBER(C4),ISNUMBER(D4)), C4-D4, "")</f>
        <v>66481.849975585894</v>
      </c>
      <c r="F4" s="13" t="str">
        <f>IFERROR(E4/D4, "")</f>
        <v/>
      </c>
      <c r="G4" s="14">
        <v>84063.75</v>
      </c>
      <c r="H4" s="14">
        <f>IF(AND(ISNUMBER(C4),ISNUMBER(G4)), C4-G4, "")</f>
        <v>-17581.900024414106</v>
      </c>
      <c r="I4" s="15">
        <f>IFERROR(H4/G4, "")</f>
        <v>-0.20914960401378843</v>
      </c>
      <c r="J4" s="36" t="s">
        <v>45</v>
      </c>
      <c r="K4" s="36" t="s">
        <v>46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F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49440.5400390625</v>
      </c>
      <c r="D2" s="5">
        <f>SUM(D4:D75)</f>
        <v>0</v>
      </c>
      <c r="E2" s="5">
        <f>C2-D2</f>
        <v>49440.5400390625</v>
      </c>
      <c r="F2" s="6">
        <f>IFERROR(E2/D2, 0)</f>
        <v>0</v>
      </c>
      <c r="G2" s="5">
        <f>SUM(G4:G75)</f>
        <v>68344.429999999993</v>
      </c>
      <c r="H2" s="7">
        <f>C2-G2</f>
        <v>-18903.889960937493</v>
      </c>
      <c r="I2" s="6">
        <f>IFERROR(H2/G2, 0)</f>
        <v>-0.27659737539602708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49440.5400390625</v>
      </c>
      <c r="D4" s="12">
        <v>0</v>
      </c>
      <c r="E4" s="12">
        <f>IF(AND(ISNUMBER(C4),ISNUMBER(D4)), C4-D4, "")</f>
        <v>49440.5400390625</v>
      </c>
      <c r="F4" s="13" t="str">
        <f>IFERROR(E4/D4, "")</f>
        <v/>
      </c>
      <c r="G4" s="14">
        <v>68344.429999999993</v>
      </c>
      <c r="H4" s="14">
        <f>IF(AND(ISNUMBER(C4),ISNUMBER(G4)), C4-G4, "")</f>
        <v>-18903.889960937493</v>
      </c>
      <c r="I4" s="15">
        <f>IFERROR(H4/G4, "")</f>
        <v>-0.27659737539602708</v>
      </c>
      <c r="J4" s="36" t="s">
        <v>49</v>
      </c>
      <c r="K4" s="36" t="s">
        <v>46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50</v>
      </c>
      <c r="E1" s="54"/>
      <c r="F1" s="54"/>
      <c r="G1" s="52" t="s">
        <v>51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42689.380004882798</v>
      </c>
      <c r="D2" s="5">
        <f>SUM(D4:D75)</f>
        <v>0</v>
      </c>
      <c r="E2" s="5">
        <f>C2-D2</f>
        <v>42689.380004882798</v>
      </c>
      <c r="F2" s="6">
        <f>IFERROR(E2/D2, 0)</f>
        <v>0</v>
      </c>
      <c r="G2" s="5">
        <f>SUM(G4:G75)</f>
        <v>51502.41</v>
      </c>
      <c r="H2" s="7">
        <f>C2-G2</f>
        <v>-8813.0299951172055</v>
      </c>
      <c r="I2" s="6">
        <f>IFERROR(H2/G2, 0)</f>
        <v>-0.17111878832693858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5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42689.380004882798</v>
      </c>
      <c r="D4" s="12">
        <v>0</v>
      </c>
      <c r="E4" s="12">
        <f>IF(AND(ISNUMBER(C4),ISNUMBER(D4)), C4-D4, "")</f>
        <v>42689.380004882798</v>
      </c>
      <c r="F4" s="13" t="str">
        <f>IFERROR(E4/D4, "")</f>
        <v/>
      </c>
      <c r="G4" s="14">
        <v>51502.41</v>
      </c>
      <c r="H4" s="14">
        <f>IF(AND(ISNUMBER(C4),ISNUMBER(G4)), C4-G4, "")</f>
        <v>-8813.0299951172055</v>
      </c>
      <c r="I4" s="15">
        <f>IFERROR(H4/G4, "")</f>
        <v>-0.17111878832693858</v>
      </c>
      <c r="J4" s="36" t="s">
        <v>52</v>
      </c>
      <c r="K4" s="51" t="s">
        <v>53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K4" sqref="K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54</v>
      </c>
      <c r="E1" s="54"/>
      <c r="F1" s="54"/>
      <c r="G1" s="52" t="s">
        <v>55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36747.810058593801</v>
      </c>
      <c r="D2" s="5">
        <f>SUM(D4:D75)</f>
        <v>0</v>
      </c>
      <c r="E2" s="5">
        <f>C2-D2</f>
        <v>36747.810058593801</v>
      </c>
      <c r="F2" s="6">
        <f>IFERROR(E2/D2, 0)</f>
        <v>0</v>
      </c>
      <c r="G2" s="5">
        <f>SUM(G4:G75)</f>
        <v>37839.040000000001</v>
      </c>
      <c r="H2" s="7">
        <f>C2-G2</f>
        <v>-1091.2299414061999</v>
      </c>
      <c r="I2" s="6">
        <f>IFERROR(H2/G2, 0)</f>
        <v>-2.8838732203729268E-2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36747.810058593801</v>
      </c>
      <c r="D4" s="12">
        <v>0</v>
      </c>
      <c r="E4" s="12">
        <f>IF(AND(ISNUMBER(C4),ISNUMBER(D4)), C4-D4, "")</f>
        <v>36747.810058593801</v>
      </c>
      <c r="F4" s="13" t="str">
        <f>IFERROR(E4/D4, "")</f>
        <v/>
      </c>
      <c r="G4" s="14">
        <v>37839.040000000001</v>
      </c>
      <c r="H4" s="14">
        <f>IF(AND(ISNUMBER(C4),ISNUMBER(G4)), C4-G4, "")</f>
        <v>-1091.2299414061999</v>
      </c>
      <c r="I4" s="15">
        <f>IFERROR(H4/G4, "")</f>
        <v>-2.8838732203729268E-2</v>
      </c>
      <c r="J4" s="36" t="s">
        <v>56</v>
      </c>
      <c r="K4" s="36" t="s">
        <v>57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bottomRight" activeCell="C4" sqref="C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Crawford Realty</v>
      </c>
      <c r="B1" s="53"/>
      <c r="C1" s="53"/>
      <c r="D1" s="54" t="s">
        <v>58</v>
      </c>
      <c r="E1" s="54"/>
      <c r="F1" s="54"/>
      <c r="G1" s="52" t="s">
        <v>59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SUM(C4:C75)</f>
        <v>23028.110049999999</v>
      </c>
      <c r="D2" s="5">
        <f>SUM(D4:D75)</f>
        <v>0</v>
      </c>
      <c r="E2" s="5">
        <f>C2-D2</f>
        <v>23028.110049999999</v>
      </c>
      <c r="F2" s="6">
        <f>IFERROR(E2/D2, 0)</f>
        <v>0</v>
      </c>
      <c r="G2" s="5">
        <f>SUM(G4:G75)</f>
        <v>30191.16</v>
      </c>
      <c r="H2" s="7">
        <f>C2-G2</f>
        <v>-7163.0499500000005</v>
      </c>
      <c r="I2" s="6">
        <f>IFERROR(H2/G2, 0)</f>
        <v>-0.23725653303814762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23028.110049999999</v>
      </c>
      <c r="D4" s="12">
        <v>0</v>
      </c>
      <c r="E4" s="12">
        <f>IF(AND(ISNUMBER(C4),ISNUMBER(D4)), C4-D4, "")</f>
        <v>23028.110049999999</v>
      </c>
      <c r="F4" s="13" t="str">
        <f>IFERROR(E4/D4, "")</f>
        <v/>
      </c>
      <c r="G4" s="14">
        <v>30191.16</v>
      </c>
      <c r="H4" s="14">
        <f>IF(AND(ISNUMBER(C4),ISNUMBER(G4)), C4-G4, "")</f>
        <v>-7163.0499500000005</v>
      </c>
      <c r="I4" s="15">
        <f>IFERROR(H4/G4, "")</f>
        <v>-0.23725653303814762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60</v>
      </c>
      <c r="B1" t="s">
        <v>61</v>
      </c>
    </row>
    <row r="3" spans="1:12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12" ht="14.45">
      <c r="A4" s="43" t="s">
        <v>65</v>
      </c>
      <c r="B4" t="s">
        <v>66</v>
      </c>
      <c r="C4" s="41" t="s">
        <v>67</v>
      </c>
      <c r="D4" s="40" t="s">
        <v>68</v>
      </c>
      <c r="E4" t="s">
        <v>69</v>
      </c>
      <c r="G4" s="3"/>
    </row>
    <row r="5" spans="1:12" ht="14.45">
      <c r="A5" s="43"/>
      <c r="C5" s="41"/>
      <c r="D5" s="40"/>
      <c r="G5" s="3"/>
    </row>
    <row r="6" spans="1:12" ht="14.45">
      <c r="A6" s="43"/>
      <c r="C6" s="41"/>
      <c r="D6" s="40"/>
      <c r="G6" s="3"/>
    </row>
    <row r="7" spans="1:12" ht="12.75" customHeight="1">
      <c r="A7" s="43"/>
      <c r="C7" s="41"/>
      <c r="D7" s="40"/>
    </row>
    <row r="8" spans="1:12" ht="12.75" customHeight="1">
      <c r="A8" s="43"/>
      <c r="C8" s="41"/>
      <c r="D8" s="40"/>
    </row>
    <row r="9" spans="1:12" ht="12.75" customHeight="1">
      <c r="A9" s="43"/>
      <c r="C9" s="41"/>
      <c r="D9" s="40"/>
    </row>
    <row r="10" spans="1:12" ht="12.75" customHeight="1">
      <c r="A10" s="43"/>
      <c r="C10" s="41"/>
      <c r="D10" s="40"/>
      <c r="K10" s="37"/>
      <c r="L10" s="37"/>
    </row>
    <row r="11" spans="1:12" ht="12.75" customHeight="1">
      <c r="A11" s="43"/>
      <c r="C11" s="41"/>
      <c r="D11" s="40"/>
      <c r="K11" s="37"/>
      <c r="L11" s="37"/>
    </row>
    <row r="12" spans="1:12" ht="12.75" customHeight="1">
      <c r="A12" s="43"/>
      <c r="C12" s="41"/>
      <c r="D12" s="40"/>
      <c r="K12" s="37"/>
      <c r="L12" s="37"/>
    </row>
    <row r="13" spans="1:12" ht="12.75" customHeight="1">
      <c r="A13" s="43"/>
      <c r="C13" s="41"/>
      <c r="D13" s="40"/>
      <c r="K13" s="37"/>
      <c r="L13" s="37"/>
    </row>
    <row r="14" spans="1:12" ht="12.75" customHeight="1">
      <c r="A14" s="43"/>
      <c r="C14" s="41"/>
      <c r="D14" s="40"/>
      <c r="K14" s="37"/>
      <c r="L14" s="37"/>
    </row>
    <row r="15" spans="1:12" ht="12.75" customHeight="1">
      <c r="A15" s="43"/>
      <c r="C15" s="41"/>
      <c r="D15" s="40"/>
      <c r="K15" s="37"/>
      <c r="L15" s="37"/>
    </row>
    <row r="16" spans="1:12" ht="12.75" customHeight="1">
      <c r="A16" s="43"/>
      <c r="C16" s="41"/>
      <c r="D16" s="40"/>
      <c r="K16" s="37"/>
      <c r="L16" s="37"/>
    </row>
    <row r="17" spans="1:12" ht="12.75" customHeight="1">
      <c r="A17" s="43"/>
      <c r="C17" s="41"/>
      <c r="D17" s="40"/>
      <c r="K17" s="37"/>
      <c r="L17" s="37"/>
    </row>
    <row r="18" spans="1:12" ht="12.75" customHeight="1">
      <c r="A18" s="43"/>
      <c r="C18" s="41"/>
      <c r="D18" s="40"/>
      <c r="K18" s="37"/>
      <c r="L18" s="37"/>
    </row>
    <row r="19" spans="1:12" ht="12.75" customHeight="1">
      <c r="A19" s="43"/>
      <c r="C19" s="41"/>
      <c r="D19" s="40"/>
      <c r="K19" s="37"/>
      <c r="L19" s="37"/>
    </row>
    <row r="20" spans="1:12" ht="12.75" customHeight="1">
      <c r="A20" s="43"/>
      <c r="C20" s="41"/>
      <c r="D20" s="40"/>
      <c r="K20" s="37"/>
      <c r="L20" s="37"/>
    </row>
    <row r="21" spans="1:12" ht="12.75" customHeight="1">
      <c r="A21" s="43"/>
      <c r="C21" s="41"/>
      <c r="D21" s="40"/>
      <c r="K21" s="37"/>
      <c r="L21" s="37"/>
    </row>
    <row r="22" spans="1:12" ht="12.75" customHeight="1">
      <c r="A22" s="43"/>
      <c r="C22" s="41"/>
      <c r="D22" s="40"/>
      <c r="K22" s="37"/>
      <c r="L22" s="37"/>
    </row>
    <row r="23" spans="1:12" ht="12.75" customHeight="1">
      <c r="A23" s="43"/>
      <c r="C23" s="41"/>
      <c r="D23" s="40"/>
      <c r="K23" s="37"/>
      <c r="L23" s="37"/>
    </row>
    <row r="24" spans="1:12" ht="12.75" customHeight="1">
      <c r="A24" s="43"/>
      <c r="C24" s="41"/>
      <c r="D24" s="40"/>
      <c r="K24" s="37"/>
      <c r="L24" s="37"/>
    </row>
    <row r="25" spans="1:12" ht="12.75" customHeight="1">
      <c r="A25" s="43"/>
      <c r="C25" s="41"/>
      <c r="D25" s="40"/>
      <c r="K25" s="37"/>
      <c r="L25" s="37"/>
    </row>
    <row r="26" spans="1:12" ht="12.75" customHeight="1">
      <c r="K26" s="37"/>
      <c r="L26" s="37"/>
    </row>
    <row r="27" spans="1:12" ht="12.75" customHeight="1">
      <c r="K27" s="37"/>
      <c r="L27" s="37"/>
    </row>
    <row r="28" spans="1:12" ht="12.75" customHeight="1">
      <c r="K28" s="37"/>
      <c r="L28" s="37"/>
    </row>
    <row r="29" spans="1:12" ht="12.75" customHeight="1">
      <c r="K29" s="37"/>
      <c r="L29" s="37"/>
    </row>
    <row r="30" spans="1:12" ht="12.75" customHeight="1">
      <c r="K30" s="37"/>
      <c r="L30" s="37"/>
    </row>
    <row r="31" spans="1:12" ht="12.75" customHeight="1">
      <c r="K31" s="37"/>
      <c r="L31" s="3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5E8CF273-D51D-4B6E-942E-0F65091CC830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