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167" documentId="13_ncr:1_{6AD93DDF-A348-40D7-9623-14F81B8A43A9}" xr6:coauthVersionLast="47" xr6:coauthVersionMax="47" xr10:uidLastSave="{527D6200-5D58-4E12-92BF-1D884988AE21}"/>
  <bookViews>
    <workbookView xWindow="-98" yWindow="-98" windowWidth="21795" windowHeight="12975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33" l="1"/>
  <c r="I18" i="33" s="1"/>
  <c r="H19" i="33"/>
  <c r="I19" i="33" s="1"/>
  <c r="H20" i="33"/>
  <c r="I20" i="33" s="1"/>
  <c r="H21" i="33"/>
  <c r="I21" i="33" s="1"/>
  <c r="H22" i="33"/>
  <c r="I22" i="33" s="1"/>
  <c r="H23" i="33"/>
  <c r="I23" i="33" s="1"/>
  <c r="H24" i="33"/>
  <c r="I24" i="33" s="1"/>
  <c r="E18" i="33"/>
  <c r="F18" i="33" s="1"/>
  <c r="E19" i="33"/>
  <c r="F19" i="33" s="1"/>
  <c r="E20" i="33"/>
  <c r="F20" i="33" s="1"/>
  <c r="E21" i="33"/>
  <c r="F21" i="33" s="1"/>
  <c r="E22" i="33"/>
  <c r="F22" i="33" s="1"/>
  <c r="E23" i="33"/>
  <c r="F23" i="33" s="1"/>
  <c r="E24" i="33"/>
  <c r="F24" i="33" s="1"/>
  <c r="I18" i="32"/>
  <c r="I19" i="32"/>
  <c r="I20" i="32"/>
  <c r="I21" i="32"/>
  <c r="I22" i="32"/>
  <c r="I23" i="32"/>
  <c r="I24" i="32"/>
  <c r="H18" i="32"/>
  <c r="H19" i="32"/>
  <c r="H20" i="32"/>
  <c r="H21" i="32"/>
  <c r="H22" i="32"/>
  <c r="H23" i="32"/>
  <c r="H24" i="32"/>
  <c r="F18" i="32"/>
  <c r="F19" i="32"/>
  <c r="F20" i="32"/>
  <c r="F21" i="32"/>
  <c r="F22" i="32"/>
  <c r="F23" i="32"/>
  <c r="F24" i="32"/>
  <c r="F16" i="32"/>
  <c r="E18" i="32"/>
  <c r="E19" i="32"/>
  <c r="E20" i="32"/>
  <c r="E21" i="32"/>
  <c r="E22" i="32"/>
  <c r="E23" i="32"/>
  <c r="E24" i="32"/>
  <c r="H18" i="31"/>
  <c r="I18" i="31" s="1"/>
  <c r="H19" i="31"/>
  <c r="I19" i="31" s="1"/>
  <c r="H20" i="31"/>
  <c r="I20" i="31"/>
  <c r="H21" i="31"/>
  <c r="I21" i="31"/>
  <c r="H22" i="31"/>
  <c r="I22" i="31" s="1"/>
  <c r="H23" i="31"/>
  <c r="I23" i="31" s="1"/>
  <c r="H24" i="31"/>
  <c r="I24" i="31" s="1"/>
  <c r="E18" i="31"/>
  <c r="F18" i="31"/>
  <c r="E19" i="31"/>
  <c r="F19" i="31" s="1"/>
  <c r="E20" i="31"/>
  <c r="F20" i="31"/>
  <c r="E21" i="31"/>
  <c r="F21" i="31"/>
  <c r="E22" i="31"/>
  <c r="F22" i="31"/>
  <c r="E23" i="31"/>
  <c r="F23" i="31" s="1"/>
  <c r="E24" i="31"/>
  <c r="F24" i="31"/>
  <c r="I19" i="28" l="1"/>
  <c r="I21" i="28"/>
  <c r="I23" i="28"/>
  <c r="H18" i="28"/>
  <c r="I18" i="28" s="1"/>
  <c r="H19" i="28"/>
  <c r="H20" i="28"/>
  <c r="I20" i="28" s="1"/>
  <c r="H21" i="28"/>
  <c r="H22" i="28"/>
  <c r="I22" i="28" s="1"/>
  <c r="H23" i="28"/>
  <c r="H24" i="28"/>
  <c r="I24" i="28" s="1"/>
  <c r="F19" i="28"/>
  <c r="F21" i="28"/>
  <c r="F23" i="28"/>
  <c r="E18" i="28"/>
  <c r="F18" i="28" s="1"/>
  <c r="E19" i="28"/>
  <c r="E20" i="28"/>
  <c r="F20" i="28" s="1"/>
  <c r="E21" i="28"/>
  <c r="E22" i="28"/>
  <c r="F22" i="28" s="1"/>
  <c r="E23" i="28"/>
  <c r="E24" i="28"/>
  <c r="F24" i="28" s="1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4" i="29"/>
  <c r="I19" i="27"/>
  <c r="I21" i="27"/>
  <c r="I23" i="27"/>
  <c r="H18" i="27"/>
  <c r="I18" i="27" s="1"/>
  <c r="H19" i="27"/>
  <c r="H20" i="27"/>
  <c r="I20" i="27" s="1"/>
  <c r="H21" i="27"/>
  <c r="H22" i="27"/>
  <c r="I22" i="27" s="1"/>
  <c r="H23" i="27"/>
  <c r="H24" i="27"/>
  <c r="I24" i="27" s="1"/>
  <c r="F19" i="27"/>
  <c r="F21" i="27"/>
  <c r="F23" i="27"/>
  <c r="E18" i="27"/>
  <c r="F18" i="27" s="1"/>
  <c r="E19" i="27"/>
  <c r="E20" i="27"/>
  <c r="F20" i="27" s="1"/>
  <c r="E21" i="27"/>
  <c r="E22" i="27"/>
  <c r="F22" i="27" s="1"/>
  <c r="E23" i="27"/>
  <c r="E24" i="27"/>
  <c r="F24" i="27" s="1"/>
  <c r="I19" i="26"/>
  <c r="I21" i="26"/>
  <c r="I23" i="26"/>
  <c r="H18" i="26"/>
  <c r="I18" i="26" s="1"/>
  <c r="H19" i="26"/>
  <c r="H20" i="26"/>
  <c r="I20" i="26" s="1"/>
  <c r="H21" i="26"/>
  <c r="H22" i="26"/>
  <c r="I22" i="26" s="1"/>
  <c r="H23" i="26"/>
  <c r="H24" i="26"/>
  <c r="I24" i="26" s="1"/>
  <c r="F19" i="26"/>
  <c r="F21" i="26"/>
  <c r="F23" i="26"/>
  <c r="E18" i="26"/>
  <c r="F18" i="26" s="1"/>
  <c r="E19" i="26"/>
  <c r="E20" i="26"/>
  <c r="F20" i="26" s="1"/>
  <c r="E21" i="26"/>
  <c r="E22" i="26"/>
  <c r="F22" i="26" s="1"/>
  <c r="E23" i="26"/>
  <c r="E24" i="26"/>
  <c r="F24" i="26" s="1"/>
  <c r="I19" i="19"/>
  <c r="I20" i="19"/>
  <c r="I21" i="19"/>
  <c r="I24" i="19"/>
  <c r="H18" i="19"/>
  <c r="I18" i="19" s="1"/>
  <c r="H19" i="19"/>
  <c r="H20" i="19"/>
  <c r="H21" i="19"/>
  <c r="H22" i="19"/>
  <c r="I22" i="19" s="1"/>
  <c r="H23" i="19"/>
  <c r="I23" i="19" s="1"/>
  <c r="H24" i="19"/>
  <c r="F18" i="19"/>
  <c r="F19" i="19"/>
  <c r="F21" i="19"/>
  <c r="F22" i="19"/>
  <c r="F23" i="19"/>
  <c r="E18" i="19"/>
  <c r="E19" i="19"/>
  <c r="E20" i="19"/>
  <c r="F20" i="19" s="1"/>
  <c r="E21" i="19"/>
  <c r="E22" i="19"/>
  <c r="E23" i="19"/>
  <c r="E24" i="19"/>
  <c r="F24" i="19" s="1"/>
  <c r="I18" i="20"/>
  <c r="I19" i="20"/>
  <c r="I20" i="20"/>
  <c r="I21" i="20"/>
  <c r="I22" i="20"/>
  <c r="I23" i="20"/>
  <c r="I24" i="20"/>
  <c r="F18" i="20"/>
  <c r="F19" i="20"/>
  <c r="F20" i="20"/>
  <c r="F21" i="20"/>
  <c r="F22" i="20"/>
  <c r="F23" i="20"/>
  <c r="F24" i="20"/>
  <c r="H18" i="20"/>
  <c r="H19" i="20"/>
  <c r="H20" i="20"/>
  <c r="H21" i="20"/>
  <c r="H22" i="20"/>
  <c r="H23" i="20"/>
  <c r="H24" i="20"/>
  <c r="E18" i="20"/>
  <c r="E19" i="20"/>
  <c r="E20" i="20"/>
  <c r="E21" i="20"/>
  <c r="E22" i="20"/>
  <c r="E23" i="20"/>
  <c r="E24" i="20"/>
  <c r="G4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5" i="18"/>
  <c r="I16" i="21"/>
  <c r="I17" i="21"/>
  <c r="I18" i="21"/>
  <c r="I19" i="21"/>
  <c r="I20" i="21"/>
  <c r="I21" i="21"/>
  <c r="I22" i="21"/>
  <c r="I23" i="21"/>
  <c r="I24" i="21"/>
  <c r="H18" i="21"/>
  <c r="H19" i="21"/>
  <c r="H20" i="21"/>
  <c r="H21" i="21"/>
  <c r="H22" i="21"/>
  <c r="H23" i="21"/>
  <c r="H24" i="21"/>
  <c r="F18" i="21"/>
  <c r="F19" i="21"/>
  <c r="F20" i="21"/>
  <c r="F21" i="21"/>
  <c r="F22" i="21"/>
  <c r="F23" i="21"/>
  <c r="F24" i="21"/>
  <c r="E18" i="21"/>
  <c r="E19" i="21"/>
  <c r="E20" i="21"/>
  <c r="E21" i="21"/>
  <c r="E22" i="21"/>
  <c r="E23" i="21"/>
  <c r="E24" i="2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/>
  <c r="H24" i="3"/>
  <c r="I24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C18" i="29" l="1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17" i="18"/>
  <c r="D17" i="18"/>
  <c r="C18" i="18"/>
  <c r="D18" i="18"/>
  <c r="H18" i="18"/>
  <c r="C19" i="18"/>
  <c r="D19" i="18"/>
  <c r="H19" i="18"/>
  <c r="C20" i="18"/>
  <c r="D20" i="18"/>
  <c r="H20" i="18"/>
  <c r="C21" i="18"/>
  <c r="D21" i="18"/>
  <c r="H21" i="18"/>
  <c r="C22" i="18"/>
  <c r="D22" i="18"/>
  <c r="H22" i="18"/>
  <c r="C23" i="18"/>
  <c r="D23" i="18"/>
  <c r="H23" i="18"/>
  <c r="C24" i="18"/>
  <c r="D24" i="18"/>
  <c r="H24" i="18"/>
  <c r="E18" i="29" l="1"/>
  <c r="F18" i="29" s="1"/>
  <c r="I22" i="18"/>
  <c r="I20" i="18"/>
  <c r="I24" i="18"/>
  <c r="I21" i="18"/>
  <c r="I18" i="18"/>
  <c r="I19" i="18"/>
  <c r="I23" i="18"/>
  <c r="E20" i="18"/>
  <c r="F20" i="18" s="1"/>
  <c r="E17" i="18"/>
  <c r="F17" i="18" s="1"/>
  <c r="E23" i="29"/>
  <c r="F23" i="29" s="1"/>
  <c r="E20" i="29"/>
  <c r="F20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3" i="18"/>
  <c r="F23" i="18" s="1"/>
  <c r="E21" i="18"/>
  <c r="F21" i="18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18" i="30"/>
  <c r="C18" i="34" s="1"/>
  <c r="D18" i="30"/>
  <c r="D18" i="34" s="1"/>
  <c r="H18" i="30"/>
  <c r="I18" i="30" s="1"/>
  <c r="C19" i="30"/>
  <c r="C19" i="34" s="1"/>
  <c r="D19" i="30"/>
  <c r="D19" i="34" s="1"/>
  <c r="H19" i="30"/>
  <c r="I19" i="30" s="1"/>
  <c r="C20" i="30"/>
  <c r="C20" i="34" s="1"/>
  <c r="D20" i="30"/>
  <c r="H20" i="30"/>
  <c r="I20" i="30" s="1"/>
  <c r="C21" i="30"/>
  <c r="C21" i="34" s="1"/>
  <c r="D21" i="30"/>
  <c r="D21" i="34" s="1"/>
  <c r="H21" i="30"/>
  <c r="I21" i="30" s="1"/>
  <c r="C22" i="30"/>
  <c r="C22" i="34" s="1"/>
  <c r="D22" i="30"/>
  <c r="D22" i="34" s="1"/>
  <c r="H22" i="30"/>
  <c r="I22" i="30" s="1"/>
  <c r="C23" i="30"/>
  <c r="C23" i="34" s="1"/>
  <c r="D23" i="30"/>
  <c r="D23" i="34" s="1"/>
  <c r="H23" i="30"/>
  <c r="I23" i="30" s="1"/>
  <c r="C24" i="30"/>
  <c r="C24" i="34" s="1"/>
  <c r="D24" i="30"/>
  <c r="D24" i="34" s="1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H18" i="72"/>
  <c r="H18" i="1" s="1"/>
  <c r="H19" i="72"/>
  <c r="H19" i="1" s="1"/>
  <c r="H20" i="72"/>
  <c r="H20" i="1" s="1"/>
  <c r="H21" i="72"/>
  <c r="H22" i="72"/>
  <c r="H22" i="1" s="1"/>
  <c r="H23" i="72"/>
  <c r="H24" i="72"/>
  <c r="C16" i="30"/>
  <c r="D16" i="30"/>
  <c r="C17" i="30"/>
  <c r="D17" i="30"/>
  <c r="C16" i="29"/>
  <c r="D16" i="29"/>
  <c r="C17" i="29"/>
  <c r="D17" i="29"/>
  <c r="C16" i="18"/>
  <c r="D16" i="18"/>
  <c r="C16" i="1"/>
  <c r="D16" i="1"/>
  <c r="G16" i="1"/>
  <c r="G16" i="34" s="1"/>
  <c r="C17" i="1"/>
  <c r="D17" i="1"/>
  <c r="G17" i="1"/>
  <c r="G17" i="34" s="1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/>
  <c r="H16" i="3"/>
  <c r="I16" i="3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D11" i="30"/>
  <c r="C11" i="30"/>
  <c r="D10" i="30"/>
  <c r="C10" i="30"/>
  <c r="E10" i="30" s="1"/>
  <c r="F10" i="30" s="1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C15" i="34" s="1"/>
  <c r="D14" i="29"/>
  <c r="D14" i="34" s="1"/>
  <c r="C14" i="29"/>
  <c r="C14" i="34" s="1"/>
  <c r="D13" i="29"/>
  <c r="C13" i="29"/>
  <c r="C13" i="34" s="1"/>
  <c r="D12" i="29"/>
  <c r="D12" i="34" s="1"/>
  <c r="C12" i="29"/>
  <c r="C12" i="34" s="1"/>
  <c r="D11" i="29"/>
  <c r="D11" i="34" s="1"/>
  <c r="C11" i="29"/>
  <c r="D10" i="29"/>
  <c r="C10" i="29"/>
  <c r="D9" i="29"/>
  <c r="D9" i="34" s="1"/>
  <c r="C9" i="29"/>
  <c r="D8" i="29"/>
  <c r="C8" i="29"/>
  <c r="C8" i="34" s="1"/>
  <c r="D7" i="29"/>
  <c r="C7" i="29"/>
  <c r="C7" i="34" s="1"/>
  <c r="D6" i="29"/>
  <c r="C6" i="29"/>
  <c r="C6" i="34" s="1"/>
  <c r="D5" i="29"/>
  <c r="D5" i="34" s="1"/>
  <c r="C5" i="29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20" i="30" l="1"/>
  <c r="F20" i="30" s="1"/>
  <c r="E11" i="30"/>
  <c r="F11" i="30" s="1"/>
  <c r="E15" i="30"/>
  <c r="F15" i="30" s="1"/>
  <c r="E18" i="34"/>
  <c r="F18" i="34" s="1"/>
  <c r="E17" i="30"/>
  <c r="F17" i="30" s="1"/>
  <c r="D17" i="34"/>
  <c r="D15" i="34"/>
  <c r="D13" i="34"/>
  <c r="D10" i="34"/>
  <c r="C10" i="34"/>
  <c r="E10" i="34" s="1"/>
  <c r="F10" i="34" s="1"/>
  <c r="D6" i="34"/>
  <c r="D8" i="34"/>
  <c r="E8" i="34" s="1"/>
  <c r="F8" i="34" s="1"/>
  <c r="D7" i="34"/>
  <c r="E7" i="34" s="1"/>
  <c r="F7" i="34" s="1"/>
  <c r="C5" i="34"/>
  <c r="E5" i="34" s="1"/>
  <c r="F5" i="34" s="1"/>
  <c r="H23" i="34"/>
  <c r="H19" i="34"/>
  <c r="H20" i="34"/>
  <c r="H18" i="34"/>
  <c r="I18" i="34" s="1"/>
  <c r="H22" i="34"/>
  <c r="H21" i="34"/>
  <c r="H24" i="34"/>
  <c r="I24" i="34" s="1"/>
  <c r="E19" i="34"/>
  <c r="F19" i="34" s="1"/>
  <c r="E21" i="34"/>
  <c r="F21" i="34" s="1"/>
  <c r="E24" i="34"/>
  <c r="F24" i="34" s="1"/>
  <c r="D16" i="34"/>
  <c r="E8" i="30"/>
  <c r="F8" i="30" s="1"/>
  <c r="E12" i="30"/>
  <c r="F12" i="30" s="1"/>
  <c r="E23" i="34"/>
  <c r="F23" i="34" s="1"/>
  <c r="E13" i="30"/>
  <c r="F13" i="30" s="1"/>
  <c r="E22" i="34"/>
  <c r="F22" i="34" s="1"/>
  <c r="D20" i="34"/>
  <c r="E20" i="34" s="1"/>
  <c r="F20" i="34" s="1"/>
  <c r="C9" i="34"/>
  <c r="E9" i="34" s="1"/>
  <c r="F9" i="34" s="1"/>
  <c r="E16" i="30"/>
  <c r="F16" i="30" s="1"/>
  <c r="C17" i="34"/>
  <c r="E17" i="34" s="1"/>
  <c r="F17" i="34" s="1"/>
  <c r="H16" i="30"/>
  <c r="I16" i="30" s="1"/>
  <c r="E13" i="29"/>
  <c r="F13" i="29" s="1"/>
  <c r="H6" i="29"/>
  <c r="I6" i="29" s="1"/>
  <c r="E17" i="29"/>
  <c r="F17" i="29" s="1"/>
  <c r="E11" i="29"/>
  <c r="F11" i="29" s="1"/>
  <c r="C11" i="34"/>
  <c r="E11" i="34" s="1"/>
  <c r="F11" i="34" s="1"/>
  <c r="E16" i="29"/>
  <c r="F16" i="29" s="1"/>
  <c r="C16" i="34"/>
  <c r="H13" i="29"/>
  <c r="E11" i="18"/>
  <c r="F11" i="18" s="1"/>
  <c r="E15" i="18"/>
  <c r="F15" i="18" s="1"/>
  <c r="D4" i="34"/>
  <c r="I4" i="20"/>
  <c r="H4" i="18"/>
  <c r="H16" i="18"/>
  <c r="I16" i="18" s="1"/>
  <c r="E16" i="18"/>
  <c r="F16" i="18" s="1"/>
  <c r="E9" i="18"/>
  <c r="F9" i="18" s="1"/>
  <c r="E7" i="18"/>
  <c r="F7" i="18" s="1"/>
  <c r="D2" i="18"/>
  <c r="E23" i="1"/>
  <c r="F23" i="1" s="1"/>
  <c r="H16" i="1"/>
  <c r="I16" i="1" s="1"/>
  <c r="H6" i="30"/>
  <c r="I6" i="30" s="1"/>
  <c r="I13" i="27"/>
  <c r="H17" i="1"/>
  <c r="I17" i="1" s="1"/>
  <c r="H10" i="29"/>
  <c r="H7" i="29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E24" i="1"/>
  <c r="F24" i="1" s="1"/>
  <c r="H15" i="29"/>
  <c r="H12" i="29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H17" i="18"/>
  <c r="I17" i="18" s="1"/>
  <c r="H16" i="29"/>
  <c r="E19" i="30"/>
  <c r="F19" i="30" s="1"/>
  <c r="H9" i="29"/>
  <c r="E9" i="30"/>
  <c r="F9" i="30" s="1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E6" i="30"/>
  <c r="F6" i="30" s="1"/>
  <c r="H17" i="29"/>
  <c r="E21" i="30"/>
  <c r="F21" i="30" s="1"/>
  <c r="E21" i="1"/>
  <c r="F21" i="1" s="1"/>
  <c r="I24" i="72"/>
  <c r="H24" i="1"/>
  <c r="I24" i="1" s="1"/>
  <c r="I23" i="72"/>
  <c r="I22" i="72"/>
  <c r="I22" i="34"/>
  <c r="I21" i="72"/>
  <c r="I21" i="34"/>
  <c r="I20" i="72"/>
  <c r="H23" i="1"/>
  <c r="I23" i="1" s="1"/>
  <c r="H21" i="1"/>
  <c r="I21" i="1" s="1"/>
  <c r="I19" i="72"/>
  <c r="I19" i="34"/>
  <c r="I18" i="72"/>
  <c r="E24" i="30"/>
  <c r="F24" i="30" s="1"/>
  <c r="E23" i="30"/>
  <c r="F23" i="30" s="1"/>
  <c r="E22" i="30"/>
  <c r="F22" i="30" s="1"/>
  <c r="E18" i="30"/>
  <c r="F18" i="30" s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I19" i="1"/>
  <c r="D2" i="30"/>
  <c r="E17" i="1"/>
  <c r="F17" i="1" s="1"/>
  <c r="E16" i="1"/>
  <c r="F16" i="1" s="1"/>
  <c r="I17" i="72"/>
  <c r="I16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E12" i="34"/>
  <c r="F12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H11" i="29"/>
  <c r="I6" i="26"/>
  <c r="I9" i="26"/>
  <c r="I12" i="26"/>
  <c r="I15" i="26"/>
  <c r="H14" i="29"/>
  <c r="H4" i="29"/>
  <c r="I4" i="29" s="1"/>
  <c r="E15" i="29"/>
  <c r="F15" i="29" s="1"/>
  <c r="H5" i="29"/>
  <c r="I7" i="26"/>
  <c r="H14" i="18"/>
  <c r="I14" i="18" s="1"/>
  <c r="H9" i="18"/>
  <c r="I9" i="18" s="1"/>
  <c r="H6" i="18"/>
  <c r="I6" i="18" s="1"/>
  <c r="I4" i="18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E14" i="34"/>
  <c r="F14" i="34" s="1"/>
  <c r="E15" i="34"/>
  <c r="F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2" i="34" l="1"/>
  <c r="E16" i="34"/>
  <c r="F16" i="34" s="1"/>
  <c r="H6" i="34"/>
  <c r="I6" i="34" s="1"/>
  <c r="E4" i="34"/>
  <c r="F4" i="34" s="1"/>
  <c r="I17" i="29"/>
  <c r="H17" i="34"/>
  <c r="I17" i="34" s="1"/>
  <c r="I11" i="29"/>
  <c r="H11" i="34"/>
  <c r="I11" i="34" s="1"/>
  <c r="I16" i="29"/>
  <c r="H16" i="34"/>
  <c r="I16" i="34" s="1"/>
  <c r="I15" i="29"/>
  <c r="H15" i="34"/>
  <c r="I15" i="34" s="1"/>
  <c r="I14" i="29"/>
  <c r="H14" i="34"/>
  <c r="I14" i="34" s="1"/>
  <c r="I13" i="29"/>
  <c r="H13" i="34"/>
  <c r="I13" i="34" s="1"/>
  <c r="I12" i="29"/>
  <c r="H12" i="34"/>
  <c r="I12" i="34" s="1"/>
  <c r="I10" i="29"/>
  <c r="H10" i="34"/>
  <c r="I10" i="34" s="1"/>
  <c r="I9" i="29"/>
  <c r="H9" i="34"/>
  <c r="I9" i="34" s="1"/>
  <c r="I8" i="29"/>
  <c r="H8" i="34"/>
  <c r="I8" i="34" s="1"/>
  <c r="I7" i="29"/>
  <c r="H7" i="34"/>
  <c r="I7" i="34" s="1"/>
  <c r="I5" i="29"/>
  <c r="H5" i="34"/>
  <c r="I5" i="34" s="1"/>
  <c r="E2" i="29"/>
  <c r="F2" i="29" s="1"/>
  <c r="I23" i="34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<sst xmlns="http://schemas.openxmlformats.org/spreadsheetml/2006/main" count="581" uniqueCount="283">
  <si>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</si>
  <si>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</si>
  <si>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</si>
  <si>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</si>
  <si>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</si>
  <si>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</si>
  <si>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</si>
  <si>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</si>
  <si>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</si>
  <si>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</si>
  <si>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</si>
  <si>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</si>
  <si>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</si>
  <si>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</si>
  <si>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</si>
  <si>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</si>
  <si>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</si>
  <si>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</si>
  <si>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</si>
  <si>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</si>
  <si>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</si>
  <si>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</si>
  <si>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28 was offline from 12/14 and back online on 01/25</t>
  </si>
  <si>
    <t>1. 	SR079280</t>
  </si>
  <si>
    <t/>
  </si>
  <si>
    <t>1. Relay tripped and site is experiencing an outage on 01/07  at 09:47 and reclosed at 18:30</t>
  </si>
  <si>
    <t>1.  SR079999</t>
  </si>
  <si>
    <t>1.  Inverter B stopped communicating at 08:15 on 01/23 and technican reset the inverter at 12:00
2.   Inverter B stopped communicating on  01/28 at 111:15 and  and technician reset the inverter at 12:00. on 01/29
3. Site tripped offline at 10:45 on 01/07 and back online 23:15 same day.</t>
  </si>
  <si>
    <t>1. SR080405
2. SR080529
3. SR080002</t>
  </si>
  <si>
    <t>1. site tripped offline at 21:00 on 01/09 and back online at 8:30 on 01/10.</t>
  </si>
  <si>
    <t>1. SR080109</t>
  </si>
  <si>
    <t>1.  SEL Relay 2 tripped offline at 23:00 on 01/30 and reclosed at 10:45 on 01/31
2. Planned outage on 01/25 at 9:00 and site reclosed at 17:00 on same day.</t>
  </si>
  <si>
    <t>1. SR080611
2. SR080054</t>
  </si>
  <si>
    <t>1. site offline on 01/07 at 05:00 and resolved at 07:15</t>
  </si>
  <si>
    <t>1. SR079998</t>
  </si>
  <si>
    <t>1. Site was offline on 01/25 at 04:45 and reclosed at 16:00</t>
  </si>
  <si>
    <t>1. 	SR080455</t>
  </si>
  <si>
    <t>1. Relay tripped at 3:50 Am on 01/30 and auto reclosed in minutes</t>
  </si>
  <si>
    <t>1. SR080186</t>
  </si>
  <si>
    <t>1. SR080187</t>
  </si>
  <si>
    <t>February Actual v. Expected</t>
  </si>
  <si>
    <t>February Actual v. Forecasted</t>
  </si>
  <si>
    <t xml:space="preserve">1. Inverter 25 tripped offline on 02/04/2024 at 13:30 &amp; continued through out the month. 
2. Inverter 9 &amp; 29 starts late for the production throught the month. </t>
  </si>
  <si>
    <t>1. SR080716</t>
  </si>
  <si>
    <t xml:space="preserve">1. Inverter 2 Combiner box 5 tripped offline on 02/16/2024 at 12:00 &amp; back online on 02/17/2024 at 13:45. </t>
  </si>
  <si>
    <t>1.SR081069</t>
  </si>
  <si>
    <t>1. SIte tripped offline on 02/21/2024 at 03:15 &amp; back online at 08:40AM
2. Site tripped offline on 02/28/2024 at 11:15 &amp; back online at 13:15
3.Site tripped offline on 02/29/2024 at 12:30 &amp; back online at 15:00</t>
  </si>
  <si>
    <t>1.SR081148
2.SR081408
3.SR081459</t>
  </si>
  <si>
    <t xml:space="preserve">1. Inverter 2 has intermittent trips on 02/16, 02/17,02/18, 02/19, 02/20 ,back online at 12:20 on 02/20/2024. 
2. Inverter 2 tripped offline on 02/06/2024 at 10:40 &amp; back online at 12:05. </t>
  </si>
  <si>
    <t>1.SR081049
2.SR080405</t>
  </si>
  <si>
    <t xml:space="preserve">1. Site was taken offline on 02/27/2024 from 08:45 to 11:15 for maintenance &amp; 2 back online at 14:00 PM. 
2. Inverter 2 is offline from 11:30 to 16:30 on 02/26/2024. </t>
  </si>
  <si>
    <t>1.PM3945
2.PM6580</t>
  </si>
  <si>
    <t xml:space="preserve">1. Inverter 1 combiner 5 is offline on 02/08/2024 &amp; back online at 12:45 PM on same day. 
2.(A) Inverter 1 CB 4 &amp; 5 tripped offline on 02/16/2024 at 13:30 &amp; back online on 02/17/2024 at 16:30.
2.(B) Inverter 1 CB 5 tripped oflfine on 02/20/2024 at 08:00 &amp; back online at 16:15.
3.  Inverter 1 CB 5 tripped oflfine on 02/21/2024 at 08:00 &amp; back online at 12:00.
4. Inverter 1 CB 4 tripped offline on 02/29/2024 at 12:45 &amp; back online 03/01/2024 at 08:15. </t>
  </si>
  <si>
    <t>1. SR080854. 
2. SR081071
3. SR081152
4. SR081467</t>
  </si>
  <si>
    <t xml:space="preserve">1. Inverter 2 CB 4 is offline on 02/17/2024 &amp; back online on 02/20/2024 at 15:15. 
2.(A)Inverter 1 was offline on 02/24/2024 &amp; back online at 10:45 on same day. 
2.(B) Inverter 1 was offline on 02/25/2024 &amp; back online at 11:45 on same day. 
</t>
  </si>
  <si>
    <t>1. SR081074. 
2. SR081288</t>
  </si>
  <si>
    <t xml:space="preserve">1. SIte tripped offline on 02/19/2024 at 09:45 &amp; back online at 11:15. </t>
  </si>
  <si>
    <t>1.SR081103</t>
  </si>
  <si>
    <t>1. Site tripped offline on 02/07/2024 at 12:15 &amp; back online at 14:00</t>
  </si>
  <si>
    <t>1.SR080830</t>
  </si>
  <si>
    <t xml:space="preserve">1. SIte tripped offline on 03/16/2024 at 06:45 &amp; back online at 08:00. </t>
  </si>
  <si>
    <t>1.SR081036</t>
  </si>
  <si>
    <t xml:space="preserve">1. SIte tripped offline on 02/16/2024 at 06:45 &amp; back online at 08:00. 
2. Site was taken offline by USNE on 02/15/2024 from 08:15 to 13:30. 
3. Combiner Box 2 tripped offline on 02/16/2024 at 14:15 &amp; back online on 02/21/2024 at 10:00. </t>
  </si>
  <si>
    <t>1.SR081037
2.SR080941
3.SR081070</t>
  </si>
  <si>
    <t xml:space="preserve">1.Inverter 1 Combiner box 4 tripped offline on 02/03/2024 at 12:00 &amp; back online at 14:35. </t>
  </si>
  <si>
    <t>1.SR080694</t>
  </si>
  <si>
    <t>March Actual v. Expected</t>
  </si>
  <si>
    <t>March Actual v. Forecasted</t>
  </si>
  <si>
    <t>1. Inverter 25 is offline from  02/04/2024 at 13:30. Replaced DC relay board, inverter back online on 03/08 at 10:30am
2. Site tripped offline on 03/03 at 12:00pm and back online on 03/04 at 09:45am
3. Inverter 19 tripped offline on 03/04 at 13:15 and technicans replaced DC relay borads on inverter 2, 3, 9 and 19, all inverters back online around 12:30pm on 03/08. 
4. Inverter 24 is offline from 03/24 and back online on 03/27 after replacing inverter</t>
  </si>
  <si>
    <t>1. SR080716
2. SR081535
3. SR081568
4. SR082715</t>
  </si>
  <si>
    <t xml:space="preserve">1. Site was taken offline by technician on 03/19 between 09:45 to 11:45. </t>
  </si>
  <si>
    <t>1. PM2835</t>
  </si>
  <si>
    <t>1. Inverters 1 and 2 taken offline by technician between 08:30 to 10:30 and inverters 3 and 4 in between 10;30 to 12:25</t>
  </si>
  <si>
    <t>1. PM4466</t>
  </si>
  <si>
    <t>1. Site was offline on 03/19 between 10:00 to 13:00
2. Site was taken offline by technician on 03/21 between 09:45 to 10:33</t>
  </si>
  <si>
    <t xml:space="preserve">
2. PM8461</t>
  </si>
  <si>
    <t>1. Site was taken offline by techniciand on 03/13 between 12:45 to 13:15 and on 03/14 between 09:45 to 11:30</t>
  </si>
  <si>
    <t>1. PM3412</t>
  </si>
  <si>
    <t>1. Inverter 1 was taken offline by technician on 03/4 between 09:00 to 09:45</t>
  </si>
  <si>
    <t>1. PM2589</t>
  </si>
  <si>
    <t>1. Site tripped offline on 03/12 at 16:00 and back online on 03/13 at 07:30am</t>
  </si>
  <si>
    <t>1. SR081819</t>
  </si>
  <si>
    <t>1. Inverter 1 module 2 tripped offline on 03/04 at 09:00am and back online on 03/07
2. Inverter 2 modules 1 to 5 taken offline by technician on 03/08 between 08:45 to 09:30 and 11:00 to 12:00</t>
  </si>
  <si>
    <t>1. SR081593
2. PM3945</t>
  </si>
  <si>
    <t>1. Inverter 1 combiner box 1 tripped offline on 03/11 at 15:00 and back online on 03/12 at 10:15
2. Site was offline on 03/12 between 15:45 to 16:45
3. Inverter 1 Combiner box 5 tripped offline on 03/19 at 13:15 and back online on 03/20</t>
  </si>
  <si>
    <t>1. SR081778
2. SR081820
3. SR082163</t>
  </si>
  <si>
    <t>1. Site was offline on 03/12 between 15:45 to 16:45
2. Inverter 2 was taken offline by tech on 03/15 between 08:25 to 09:20</t>
  </si>
  <si>
    <t>1. SR081823
2. PM2753</t>
  </si>
  <si>
    <t>1. Site was offline on 03/12 between 15:45 to 16:45</t>
  </si>
  <si>
    <t>1. SR081821</t>
  </si>
  <si>
    <t>1. Inverter 1 was taken offline by technician on 03/13 between 11:00 to 13:15</t>
  </si>
  <si>
    <t>1. PM4500</t>
  </si>
  <si>
    <t>1. Site was taken offline by technician on 03/15 between 11:00 to 11:15</t>
  </si>
  <si>
    <t>1. PM2635</t>
  </si>
  <si>
    <t>1. Site was taken offline by technician on 03/19 between 10:20 to 12:25pm</t>
  </si>
  <si>
    <t>1. PM4502</t>
  </si>
  <si>
    <t xml:space="preserve">1. Site was offline by technician on 03/18 between 09:45 to 11:30 </t>
  </si>
  <si>
    <t>1. PM2755</t>
  </si>
  <si>
    <t>1. Site was offline by technician on 03/18 between 11:15 to 17:15 and inverter 1 and 2 was taken offline in between 09:15 to 12:00pm</t>
  </si>
  <si>
    <t>1. PM2595</t>
  </si>
  <si>
    <t>1. Site was taken offline by technician on 03/14 between 10:45 to 12:00 and again site taken offline on 03/21 between 09:00 to 13:45</t>
  </si>
  <si>
    <t>1. PM2693</t>
  </si>
  <si>
    <t>1. Inverter 1 was taken offline by technician on 03/15 between 11:00 to 12:15 and site was taken offline on 03/19 between 09:15 to 10:00</t>
  </si>
  <si>
    <t>1. PM2817</t>
  </si>
  <si>
    <t>April Actual v. Expected</t>
  </si>
  <si>
    <t>April Actual v. Forecasted</t>
  </si>
  <si>
    <t>1. Inverter 1 is offline on 04/12 and back online at 11:15am on 04/12</t>
  </si>
  <si>
    <t>1. SR083350</t>
  </si>
  <si>
    <t>1. Site tripped offline on 04/16 at 14:00 and back online on 04/17 at 08:00am and again site is offline from 02:00 am on 04/26 to 11:00am on 04/26
2. Inverter 2 was offline from 15:45 on 04/26 to 11:00am on 04/26</t>
  </si>
  <si>
    <t>1. SR083515
2. SR083821</t>
  </si>
  <si>
    <t>1. Inverter C is derated 241kW compared to inverter D on 04/08/2024 from 08:00am to 11: 45am
2. Inverters A and B are tripped offline on 04/09 at 08:30 am and back online on 04/17 at 16:30 and Technician deenergised the site to troubleshoot inverters.</t>
  </si>
  <si>
    <t>1. SR083171
2. SR083244</t>
  </si>
  <si>
    <t>1. Site is offline on 04/04 from 05:05 am to 14:35
2. Site was deenergised by technician to change transformer taps.
3. Site is offline from 04/17 to 05/02 due to planned utility outage</t>
  </si>
  <si>
    <t>1. SR083058
2. SR083456
3. SR082333</t>
  </si>
  <si>
    <t>1. SR083057
2. SR083456
3. SR082334</t>
  </si>
  <si>
    <t>May Actual v. Expected</t>
  </si>
  <si>
    <t>May Actual v. Forecasted</t>
  </si>
  <si>
    <t>1. Inverter 30 is offline from 07:00AM on 05/10 and back online at 07:00AM on 05/11, inverter is again offline from 07:00AM on 05/26 and back online at 07:00AM on 05/27.</t>
  </si>
  <si>
    <t>1. SR084567, SR085167</t>
  </si>
  <si>
    <t>1. Site is offline from 14:09 on 05/31 and back online at 09:59 AM on 06/01.</t>
  </si>
  <si>
    <t>1. SR085384</t>
  </si>
  <si>
    <t>1. Site  tripped offline at 14:45 on 05/05 and back online at 08:15AM on 05/06.
2. Site tripped offline at 15:30 on 05/20 and back online at on 09:45AM on 05/21.
3. Site tripped offline at 09:15AM to 12:30PM on 05/23.
4. Site tripped offline at 23:15 on 05/24 and back online at 10:00AM on 05/25 and site again is offline from 12:30AM to 09:00AM on 05/26.
5. Site offline from 09:00AM to 10:45AM on 05/28.
6. Site is offline from 04:45AM to 13:15 on 05/31</t>
  </si>
  <si>
    <t>1. SR084276
2. SR084919
3. SR085062
4. SR085145
5. SR085210
6. SR085339</t>
  </si>
  <si>
    <t>1. Inverter D is offline from 05:45AM on 05/28.</t>
  </si>
  <si>
    <t>1. SR085297</t>
  </si>
  <si>
    <t>1. Inverter A is derated approximately 300kW on 05/14 and resolved on 05/15.</t>
  </si>
  <si>
    <t>1. SR084703</t>
  </si>
  <si>
    <t>1. Site is having brief outage from 13:50 to 14:10 on 05/14.</t>
  </si>
  <si>
    <t>1. SR084697</t>
  </si>
  <si>
    <t>2. SR084696</t>
  </si>
  <si>
    <t>1. Site is offline from 21:45 to 23:10 on 05/21.</t>
  </si>
  <si>
    <t>1. SR084987</t>
  </si>
  <si>
    <t>June Actual v. Expected</t>
  </si>
  <si>
    <t>June Actual v. Forecasted</t>
  </si>
  <si>
    <t>1. Inverter 9 was offline from 07:00AM on 06/04 and back online at 10:45AM on 06/04 and also Inverter 9 offline from 07:00AM on 06/06 and back online at 09:45 on 06/06
2. Inverter 30 tripped offline from 14:15 on 06/04 and back onlin at 10:15AM on 06/28</t>
  </si>
  <si>
    <t>1. SR085538
2. SR085561</t>
  </si>
  <si>
    <t>1. Site was back online from 09:45AM on 06/01
2. Site experienced brief outage from 17:45 to 17:56 on 06/19
3. Relay stopped communicating from 18:22 on 06/19</t>
  </si>
  <si>
    <t xml:space="preserve">1. 	SR085384
2. SR086450
3.  SR086457
</t>
  </si>
  <si>
    <t xml:space="preserve">1. Site was offline from 12:15 on 06/14 and back online at 13:30 on 06/14 and again site offline from 15:30 on 06/22 and back online at 18:30 on 06/22
</t>
  </si>
  <si>
    <t>1. SR086247</t>
  </si>
  <si>
    <t>1. Site was offline from 02:30AM on 06/03 and back online at 07:15AM on 06/03
2. Site was offline from 18:00 on 06/04 and back online at 09:30AM on 06/05 and again offline from 14:30 and back online at 16:30 on 06/05.</t>
  </si>
  <si>
    <t>1. SR085433
2. SR085563</t>
  </si>
  <si>
    <t>1. Inverter A was tripped offline from 07:30 on 06/13 and back online at 13:45 on 06/13
2. Inverter D was offline from 06/01 and back online on 06/12</t>
  </si>
  <si>
    <t>1. 	SR086139
2. SR085297 ,SR085798</t>
  </si>
  <si>
    <t>1. PE Inverter module 1.5 tripped offline from 17:15 on 06/04 and back online at 10:30AM on 06/06
2. Site was offline from 12:10AM tp 07:45AM on 06/13 
3. Site was offline due to utility outage from 10:15AM on 06/14 and back online at 14:15 on 06/15.
3. Site was offline from 06:45AM on 06/27 and back online at 09:15AM on 06/27</t>
  </si>
  <si>
    <t>1. SR085564
2. SR086111
3. SR086230
4. SR087022</t>
  </si>
  <si>
    <t xml:space="preserve">1. Site was offline from 18:45 on 06/11 and back online at 06:45AM on 06/13
</t>
  </si>
  <si>
    <t>1. 	SR086056</t>
  </si>
  <si>
    <t xml:space="preserve"> </t>
  </si>
  <si>
    <t>1. SR086032</t>
  </si>
  <si>
    <t>1. SR086037</t>
  </si>
  <si>
    <t>1. Inverters A&amp;B are derated to 80% from 06/27
2. Site offline due to planned outage start from 07:15AM on 06/06 and back online at 14:30 on 06/06</t>
  </si>
  <si>
    <t>1. SR086971
2. 	SR084421</t>
  </si>
  <si>
    <t>1. Inverter 2 was derating approximately 280 - 300 kW from 06/02 and resolved on 06/03</t>
  </si>
  <si>
    <t>1. 	SR085421</t>
  </si>
  <si>
    <t>1. Utility planned outage start from 06/04 and back online at 08:45 on 06/05</t>
  </si>
  <si>
    <t>1. 	SR084798</t>
  </si>
  <si>
    <t>1. SR084799</t>
  </si>
  <si>
    <t>July Actual v. Expected</t>
  </si>
  <si>
    <t>July Actual v. Forecasted</t>
  </si>
  <si>
    <t>1.Site was offline from 19:15 of 7/16 to 09:45AM of 7/17</t>
  </si>
  <si>
    <t>1.SR087795</t>
  </si>
  <si>
    <t xml:space="preserve">1.Site was offline from 03:47AM to 07:30AM on 7/12 </t>
  </si>
  <si>
    <t>1.SR087607</t>
  </si>
  <si>
    <t xml:space="preserve">1.Inverter 1 Module 1 has multiple tripping events from 07/08
2.Site was offline from 04:45AM to 07:15AM on 7/13 and again site was offline from 14:15 to 15:45 on 7/29
</t>
  </si>
  <si>
    <t xml:space="preserve">1.SR087468
2.SR087634
</t>
  </si>
  <si>
    <t>1.Site was offline due to utility outage from 7/20 at 11:30AM and back online on 7/21 at 09:30AM</t>
  </si>
  <si>
    <t>1.SR087955</t>
  </si>
  <si>
    <t>1.Site was offline due to utility outage from 7/20 at 12:00PM and back online on 7/21 at 09:30AM</t>
  </si>
  <si>
    <t xml:space="preserve">1.Site was offline from 12:15 to 21:30 on 7/7 and again offline from 08:00 to 22:00 on 7/8 and again offline from 07:30 to 21:45 on 7/9 again site offline from 09:45 to 20:30 on 7/10
again site offline from 7/11 at 10:00 and back online at 07:45 on 7/12
</t>
  </si>
  <si>
    <t>1.SR087443</t>
  </si>
  <si>
    <t>August Actual v. Expected</t>
  </si>
  <si>
    <t>August Actual v. Forecasted</t>
  </si>
  <si>
    <t>1.Site offline from 8/9 at 14:45 and back online at 08:45 on 8/10</t>
  </si>
  <si>
    <t>1.SR088850</t>
  </si>
  <si>
    <t>1.Inverter 2 module 3 tripped offline at 11:00AM on 8/1  back online on 8/7
2.Site offline from 10:00 to 10:45 and 12:00 to 12:30 on 8/9
3.Site offline from 14:35 to 15:00 on 8/10 again offline fro 17:20 to 17:50 on 8/10
4.Site offline from 07:45 to 13:15 on 8/18</t>
  </si>
  <si>
    <t>1.SR088502
2.SR088824
3.SR088876
4.SR089209</t>
  </si>
  <si>
    <t>1.Weather station stopped communicating from 8/6 at 21:45 back online on 8/7 at 06:45 and again lost communication from 8/21 back online on 8/25</t>
  </si>
  <si>
    <t>1.	SR088708</t>
  </si>
  <si>
    <t>1.Inverter A is derating approximately 281kW on 8/17</t>
  </si>
  <si>
    <t>1.SR089197</t>
  </si>
  <si>
    <t>1.Inverter 2 offline from 8/10 to 8/13</t>
  </si>
  <si>
    <t>1.SR088881</t>
  </si>
  <si>
    <t>1.Site offline from 19:00 on 8/13 and back online on 8/14 at 08:15</t>
  </si>
  <si>
    <t>s</t>
  </si>
  <si>
    <t>September Actual v. Expected</t>
  </si>
  <si>
    <t>September Actual v. Forecasted</t>
  </si>
  <si>
    <t xml:space="preserve">1. Site is offline at 19:30 on 09/19/2024 and again back online on 06:30 on 09/20
</t>
  </si>
  <si>
    <t xml:space="preserve">1. SR090873
</t>
  </si>
  <si>
    <t xml:space="preserve">1. Meter Phase B voltages dropped to zero on 09/01/2024 , 09/02 &amp; 09/03 which results in meter capturing loss than the inverter production. 
</t>
  </si>
  <si>
    <t xml:space="preserve">1. SR089809
</t>
  </si>
  <si>
    <t>1.Site tripped offline  at 8:30 and later back online at 09:30 on 09/13/2024 but 7 modules were offline due to overheating  later all equipments are back online 14:45
2.Inverter 1.1 to 1.5 modules tripped offline at 10:45am, later again tripped offline at 13:00 on 09/27/2024 and back online 11:30 on 09/28 and started late production at 12:00 on 0/29
3.Inverter 1.1 to 1.5 tripped offline at 09:15 and back online at 10:45 on 09/30/2024</t>
  </si>
  <si>
    <t>1.SR090351
2.SR091328
3.SR091328</t>
  </si>
  <si>
    <t xml:space="preserve">1.Weather station lost comms at 11:00 AM EDT from 09/06/2024 throughout the month
</t>
  </si>
  <si>
    <t>1.SR088708</t>
  </si>
  <si>
    <t>1. Relay tripped at 6:38AM and auto-closed at 6:43AM on 09/14/2024</t>
  </si>
  <si>
    <t>1. SR090419</t>
  </si>
  <si>
    <t>1.  Inverter 1 tripped offline at 12:15 on 09/02 and back online at 09:45 on 09/03</t>
  </si>
  <si>
    <t xml:space="preserve">1. SR089818
</t>
  </si>
  <si>
    <t>October Actual v. Expected</t>
  </si>
  <si>
    <t>October Actual v. Forecasted</t>
  </si>
  <si>
    <t>1.UPS battery onsite is showing signs of failure (voltage has dropped below 20v) and is slowing losing voltage since 10/21 through out the month</t>
  </si>
  <si>
    <t>1.SR092813</t>
  </si>
  <si>
    <t>1. Site is offline from 07:00 to 08:30 on 10/07 due to utility outage</t>
  </si>
  <si>
    <t>1.SR091838</t>
  </si>
  <si>
    <t>1. Inverter 5 is constantly producing at 209 kW on 10/21 and resolved on 10/22</t>
  </si>
  <si>
    <t>1.SR092410</t>
  </si>
  <si>
    <t>1.Weather station lost communication from 10/24 at  22:45 and back online on 10/25 at 07:30 and again lost comms on 10/30 at 15:30 resolved on 10:31 at 01:15</t>
  </si>
  <si>
    <t>1.SR092566</t>
  </si>
  <si>
    <t>1.Site tripped offline on 10/12 at 12:00 and back online at 08:45 on 10/13</t>
  </si>
  <si>
    <t>1.SR092089</t>
  </si>
  <si>
    <t>1. Weather station regained its communication at 08:45 on 10/09
2. Site tripped offline from 12:00 to 13:45 on 10/12</t>
  </si>
  <si>
    <t>1.SR088708
2.SR092092</t>
  </si>
  <si>
    <t>1.Site tripped offline from 12:00 to 14:00 on 10/12</t>
  </si>
  <si>
    <t>1.SR092091</t>
  </si>
  <si>
    <t>1.SR092090</t>
  </si>
  <si>
    <t>1.Weather station lost comunication from 10/17 at 16:15 and resolved on 10/18 at 01:00</t>
  </si>
  <si>
    <t>1.SR092285</t>
  </si>
  <si>
    <t>1. Site is offline from 08:15 to 10:00 on 10/07 due to utility outage</t>
  </si>
  <si>
    <t>1.SR091839</t>
  </si>
  <si>
    <t>November Actual v. Expected</t>
  </si>
  <si>
    <t>November Actual v. Forecasted</t>
  </si>
  <si>
    <t>1.UPS battery onsite is showing signs of failure (voltage has dropped below 20v) and is slowing losing voltage since 10/21 through out the month
2. Due to planned outage site is offline from 04:00AM to 09:15AM on 11/20.
3. Power Manager for PT needs to be replaced.  Tech found Inv. 25 failed and tripped the main breaker for inv. 18-35, after bypassing 25 comms restored to inverters 18-35, tech will need to return to continue to work on wiring for inverters 1-17.  Inv 25 is being RMA'd .</t>
  </si>
  <si>
    <t>1.SR092813
2. SR093438
3. SR093711</t>
  </si>
  <si>
    <t>1. Site is tripped offline at 8:30 AM  to 10:15 on 11/06.</t>
  </si>
  <si>
    <t>1. SR092994</t>
  </si>
  <si>
    <t>1. Inverter 5 tripped offline from 9:45 to 13:15 on 11/03.</t>
  </si>
  <si>
    <t>1. SR092917</t>
  </si>
  <si>
    <t>1.Weather station lost communication from 11/03 at  15:35 and back online on 11/07 at 06:45.</t>
  </si>
  <si>
    <t>1. SR092566</t>
  </si>
  <si>
    <t>1.  Inverter A Combiner box 5 tripped offline at 11:00 AM on 11/29 throughout the month.</t>
  </si>
  <si>
    <t>1. SR093721</t>
  </si>
  <si>
    <t>December Actual v. Expected</t>
  </si>
  <si>
    <t>December Actual v. Forecasted</t>
  </si>
  <si>
    <t>1. Inverter 25 has been replaced and communications are restored on 12/20.</t>
  </si>
  <si>
    <t>1.SR093711,SR094217</t>
  </si>
  <si>
    <t>1. Site tripped offline at 12:20AM and back online at 9:3AM on  12/05 and again tripped offline at 10:30AM on 12/17 and back online at 11:30AM on the same day.</t>
  </si>
  <si>
    <t>1.SR094043</t>
  </si>
  <si>
    <t>1. Site tripped offline at 3:30AM on 12/19 and back online at 12PM on 12/21.
2.The Weather Station stopped communicating at 7:00 PM on 12/12, with communication restored at 7:00 AM on 12/13. It stopped again at 12:45 AM on 12/14 and resumed at 7:00 AM the same day. Communication was lost once more from 11:45 PM on 12/14 to 7:00 AM on 12/15.</t>
  </si>
  <si>
    <t>1.SR094949
2.SR094588</t>
  </si>
  <si>
    <t>1.Inverters 1.1 to 1.5 started late for production at 11:30AM on 12/03.
2.Inverter 2 module 4 is cycling on and off repeatedly from 12/12 to 12/17.
3. Site tripped offline at 19:00 on 12/26 and back online at 12AM on 12/27.</t>
  </si>
  <si>
    <t>1.SR093876
2.SR094510
3.SR095103</t>
  </si>
  <si>
    <t xml:space="preserve">          </t>
  </si>
  <si>
    <t>1. Inverter A Combiner box 5 is back online on 12/02/2024.
2. Inverter B is tripped offline at 10:15AM and back online at 13:45 on 12/14.</t>
  </si>
  <si>
    <t>1. SR093721
2. SR094666</t>
  </si>
  <si>
    <t>1. Site tripped oflline at 13:45 on 12/20 and back online at 11:30AM on 12/23.</t>
  </si>
  <si>
    <t>1. SR095000</t>
  </si>
  <si>
    <t>1.Site tripped offline at 05:45AM and back online at 10:45AM on 12/01 and again tripped offline at 11:00AM and back online at 1:15PM on 12/03.
2. Site tripped offline at 09:30AM and back online at 1:15PM on 12/07.</t>
  </si>
  <si>
    <t>1.SR093744
2.SR094238</t>
  </si>
  <si>
    <t>1.Site was offline at 09:30AM on 12/15 and came back online at 07:45AM on 12/17.</t>
  </si>
  <si>
    <t>1.SR094681</t>
  </si>
  <si>
    <t xml:space="preserve">1.Site was offline at 09:30AM on 12/15 and came back online at 07:45AM on 12/17.
</t>
  </si>
  <si>
    <t>1.SR094682</t>
  </si>
  <si>
    <t>Portfolio:</t>
  </si>
  <si>
    <t>38 DN</t>
  </si>
  <si>
    <t>Site DAS Name</t>
  </si>
  <si>
    <t>Update</t>
  </si>
  <si>
    <t>DAS</t>
  </si>
  <si>
    <t>6th St.</t>
  </si>
  <si>
    <t>CA</t>
  </si>
  <si>
    <t>AEF</t>
  </si>
  <si>
    <t>PowerTrack</t>
  </si>
  <si>
    <t>Barton Acres</t>
  </si>
  <si>
    <t>MA</t>
  </si>
  <si>
    <t>Bowden</t>
  </si>
  <si>
    <t>Blair Wire Village</t>
  </si>
  <si>
    <t>Boutilier</t>
  </si>
  <si>
    <t>Cherry Valley</t>
  </si>
  <si>
    <t>Cohasse</t>
  </si>
  <si>
    <t>ISM Dighton Solar 2</t>
  </si>
  <si>
    <t>Dudley River 1</t>
  </si>
  <si>
    <t>Dudley River 2</t>
  </si>
  <si>
    <t>Dudley River 3</t>
  </si>
  <si>
    <t>Flint Pond</t>
  </si>
  <si>
    <t>Incom</t>
  </si>
  <si>
    <t>JH</t>
  </si>
  <si>
    <t>Ledeaux</t>
  </si>
  <si>
    <t>Palombo A</t>
  </si>
  <si>
    <t>Palombo B</t>
  </si>
  <si>
    <t>St Josephs Church</t>
  </si>
  <si>
    <t>Sunset A</t>
  </si>
  <si>
    <t>Sunset B</t>
  </si>
  <si>
    <t>Woodchuck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</si>
</sst>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</font>
    <font>
      <sz val="11"/>
      <name val="Calibri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88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/>
    </xf>
    <xf numFmtId="0" fontId="37" fillId="45" borderId="1" xfId="0" applyFont="1" applyFill="1" applyBorder="1" applyAlignment="1">
      <alignment horizontal="left" vertical="top"/>
    </xf>
    <xf numFmtId="49" fontId="36" fillId="38" borderId="1" xfId="2" applyNumberFormat="1" applyFont="1" applyFill="1" applyBorder="1" applyAlignment="1">
      <alignment horizontal="left" vertical="top" wrapText="1"/>
    </xf>
    <xf numFmtId="0" fontId="36" fillId="0" borderId="0" xfId="0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39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top" wrapText="1"/>
    </xf>
    <xf numFmtId="9" fontId="31" fillId="0" borderId="1" xfId="2" applyFont="1" applyBorder="1" applyAlignment="1">
      <alignment horizontal="center" vertical="center"/>
    </xf>
    <xf numFmtId="3" fontId="31" fillId="0" borderId="1" xfId="1" applyNumberFormat="1" applyFont="1" applyBorder="1" applyAlignment="1">
      <alignment vertical="center"/>
    </xf>
    <xf numFmtId="3" fontId="0" fillId="0" borderId="0" xfId="0" applyNumberFormat="1"/>
    <xf numFmtId="164" fontId="0" fillId="0" borderId="0" xfId="0" applyNumberFormat="1"/>
    <xf numFmtId="49" fontId="28" fillId="0" borderId="1" xfId="0" applyNumberFormat="1" applyFont="1" applyBorder="1" applyAlignment="1">
      <alignment wrapText="1"/>
    </xf>
    <xf numFmtId="49" fontId="31" fillId="38" borderId="1" xfId="2" applyNumberFormat="1" applyFont="1" applyFill="1" applyBorder="1" applyAlignment="1">
      <alignment wrapText="1"/>
    </xf>
    <xf numFmtId="49" fontId="28" fillId="0" borderId="1" xfId="0" applyNumberFormat="1" applyFont="1" applyBorder="1" applyAlignment="1">
      <alignment vertical="top" wrapText="1"/>
    </xf>
    <xf numFmtId="49" fontId="29" fillId="0" borderId="1" xfId="0" applyNumberFormat="1" applyFont="1" applyBorder="1" applyAlignment="1">
      <alignment wrapText="1"/>
    </xf>
    <xf numFmtId="49" fontId="24" fillId="0" borderId="1" xfId="0" applyNumberFormat="1" applyFont="1" applyBorder="1" applyAlignment="1">
      <alignment vertical="center" wrapText="1"/>
    </xf>
    <xf numFmtId="49" fontId="39" fillId="0" borderId="1" xfId="0" applyNumberFormat="1" applyFont="1" applyBorder="1" applyAlignment="1">
      <alignment horizontal="left" vertical="top" wrapText="1"/>
    </xf>
    <xf numFmtId="49" fontId="24" fillId="0" borderId="1" xfId="0" applyNumberFormat="1" applyFont="1" applyBorder="1" applyAlignment="1">
      <alignment horizontal="left" vertical="top" wrapText="1"/>
    </xf>
    <xf numFmtId="49" fontId="40" fillId="38" borderId="1" xfId="2" applyNumberFormat="1" applyFont="1" applyFill="1" applyBorder="1" applyAlignment="1">
      <alignment vertical="top" wrapText="1"/>
    </xf>
    <xf numFmtId="0" fontId="40" fillId="0" borderId="0" xfId="0" applyFont="1"/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4" totalsRowShown="0">
  <autoFilter ref="A3:E2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L341"/>
  <sheetViews>
    <sheetView zoomScale="90" zoomScaleNormal="90" workbookViewId="0">
      <pane xSplit="2" ySplit="3" topLeftCell="C4" activePane="bottomRight" state="frozen"/>
      <selection pane="bottomRight" activeCell="C12" sqref="C12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2" ht="19.5" customHeight="1">
      <c r="A1" s="85" t="str" cm="1">
        <f t="array" ref="A1">portfolio</f>
        <v>38 DN</v>
      </c>
      <c r="B1" s="85"/>
      <c r="C1" s="85"/>
      <c r="D1" s="86" t="s">
        <v>0</v>
      </c>
      <c r="E1" s="86"/>
      <c r="F1" s="86"/>
      <c r="G1" s="84" t="s">
        <v>1</v>
      </c>
      <c r="H1" s="84"/>
      <c r="I1" s="84"/>
    </row>
    <row r="2" spans="1:12" ht="19.5" customHeight="1">
      <c r="A2" s="87" t="s">
        <v>2</v>
      </c>
      <c r="B2" s="87"/>
      <c r="C2" s="5">
        <f>SUM(C4:C99)</f>
        <v>42402882.503322259</v>
      </c>
      <c r="D2" s="5">
        <f>SUM(D4:D99)</f>
        <v>47105859.480000004</v>
      </c>
      <c r="E2" s="5">
        <f>C2-D2</f>
        <v>-4702976.9766777456</v>
      </c>
      <c r="F2" s="6">
        <f>IFERROR(E2/D2, 0)</f>
        <v>-9.9838470810080737E-2</v>
      </c>
      <c r="G2" s="5">
        <f>SUM(G4:G99)</f>
        <v>37469023.930000007</v>
      </c>
      <c r="H2" s="7">
        <f>C2-G2</f>
        <v>4933858.5733222514</v>
      </c>
      <c r="I2" s="6">
        <f>IFERROR(H2/G2, 0)</f>
        <v>0.13167833201472592</v>
      </c>
    </row>
    <row r="3" spans="1:12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12" ht="15.75">
      <c r="A4" s="34" t="str" cm="1">
        <f t="array" ref="A4:A24">Sites[Site]</f>
        <v>6th St.</v>
      </c>
      <c r="B4" s="35" t="str" cm="1">
        <f t="array" ref="B4:B24">Sites[State]</f>
        <v>CA</v>
      </c>
      <c r="C4" s="36">
        <f>SUM('1st Qtr'!C4, '2nd Qtr'!C4, '3rd Qtr'!C4, '4th Qtr'!C4)</f>
        <v>2033355</v>
      </c>
      <c r="D4" s="37">
        <f>SUM('1st Qtr'!D4, '2nd Qtr'!D4, '3rd Qtr'!D4, '4th Qtr'!D4)</f>
        <v>2220582.13</v>
      </c>
      <c r="E4" s="37">
        <f>IF(AND(ISNUMBER(C4),ISNUMBER(D4)), C4-D4, "")</f>
        <v>-187227.12999999989</v>
      </c>
      <c r="F4" s="38">
        <f>IFERROR(E4/D4, "")</f>
        <v>-8.4314436052856059E-2</v>
      </c>
      <c r="G4" s="39">
        <f>SUM('1st Qtr'!G4, '2nd Qtr'!G4, '3rd Qtr'!G4, '4th Qtr'!G4)</f>
        <v>1961527.1</v>
      </c>
      <c r="H4" s="39">
        <f>SUM('1st Qtr'!H4, '2nd Qtr'!H4, '3rd Qtr'!H4, '4th Qtr'!H4)</f>
        <v>-406972.6</v>
      </c>
      <c r="I4" s="40">
        <f>IFERROR(H4/G4, "")</f>
        <v>-0.20747742919279574</v>
      </c>
    </row>
    <row r="5" spans="1:12" ht="15.75">
      <c r="A5" s="41" t="str">
        <v>Barton Acres</v>
      </c>
      <c r="B5" s="42" t="str">
        <v>MA</v>
      </c>
      <c r="C5" s="43">
        <f>SUM('1st Qtr'!C5, '2nd Qtr'!C5, '3rd Qtr'!C5, '4th Qtr'!C5)</f>
        <v>1693870</v>
      </c>
      <c r="D5" s="44">
        <f>SUM('1st Qtr'!D5, '2nd Qtr'!D5, '3rd Qtr'!D5, '4th Qtr'!D5)</f>
        <v>1954586.44</v>
      </c>
      <c r="E5" s="44">
        <f t="shared" ref="E5:E15" si="0">IF(AND(ISNUMBER(C5),ISNUMBER(D5)), C5-D5, "")</f>
        <v>-260716.43999999994</v>
      </c>
      <c r="F5" s="45">
        <f>IFERROR(E5/D5, "")</f>
        <v>-0.13338700947909982</v>
      </c>
      <c r="G5" s="46">
        <f>SUM('1st Qtr'!G5, '2nd Qtr'!G5, '3rd Qtr'!G5, '4th Qtr'!G5)</f>
        <v>1402771.0300000003</v>
      </c>
      <c r="H5" s="72">
        <f>SUM('1st Qtr'!H5, '2nd Qtr'!H5, '3rd Qtr'!H5, '4th Qtr'!H5)</f>
        <v>58302.249999999985</v>
      </c>
      <c r="I5" s="45">
        <f>IFERROR(H5/G5, "")</f>
        <v>4.1562199926526835E-2</v>
      </c>
      <c r="K5" s="73"/>
    </row>
    <row r="6" spans="1:12" ht="15.75">
      <c r="A6" s="34" t="str">
        <v>Bowden</v>
      </c>
      <c r="B6" s="35" t="str">
        <v>MA</v>
      </c>
      <c r="C6" s="36">
        <f>SUM('1st Qtr'!C6, '2nd Qtr'!C6, '3rd Qtr'!C6, '4th Qtr'!C6)</f>
        <v>3443770</v>
      </c>
      <c r="D6" s="37">
        <f>SUM('1st Qtr'!D6, '2nd Qtr'!D6, '3rd Qtr'!D6, '4th Qtr'!D6)</f>
        <v>3629285.3</v>
      </c>
      <c r="E6" s="37">
        <f t="shared" si="0"/>
        <v>-185515.29999999981</v>
      </c>
      <c r="F6" s="38">
        <f t="shared" ref="F6:F15" si="1">IFERROR(E6/D6, "")</f>
        <v>-5.1116207370084633E-2</v>
      </c>
      <c r="G6" s="39">
        <f>SUM('1st Qtr'!G6, '2nd Qtr'!G6, '3rd Qtr'!G6, '4th Qtr'!G6)</f>
        <v>2917676.5</v>
      </c>
      <c r="H6" s="39">
        <f>SUM('1st Qtr'!H6, '2nd Qtr'!H6, '3rd Qtr'!H6, '4th Qtr'!H6)</f>
        <v>-92948.599999999919</v>
      </c>
      <c r="I6" s="40">
        <f t="shared" ref="I6:I15" si="2">IFERROR(H6/G6, "")</f>
        <v>-3.1857061603642461E-2</v>
      </c>
    </row>
    <row r="7" spans="1:12" ht="15.75">
      <c r="A7" s="41" t="str">
        <v>Blair Wire Village</v>
      </c>
      <c r="B7" s="42" t="str">
        <v>MA</v>
      </c>
      <c r="C7" s="43">
        <f>SUM('1st Qtr'!C7, '2nd Qtr'!C7, '3rd Qtr'!C7, '4th Qtr'!C7)</f>
        <v>1664327</v>
      </c>
      <c r="D7" s="44">
        <f>SUM('1st Qtr'!D7, '2nd Qtr'!D7, '3rd Qtr'!D7, '4th Qtr'!D7)</f>
        <v>2026180.8800000001</v>
      </c>
      <c r="E7" s="44">
        <f t="shared" si="0"/>
        <v>-361853.88000000012</v>
      </c>
      <c r="F7" s="45">
        <f t="shared" si="1"/>
        <v>-0.17858912971284188</v>
      </c>
      <c r="G7" s="46">
        <f>SUM('1st Qtr'!G7, '2nd Qtr'!G7, '3rd Qtr'!G7, '4th Qtr'!G7)</f>
        <v>1460898.94</v>
      </c>
      <c r="H7" s="72">
        <f>SUM('1st Qtr'!H7, '2nd Qtr'!H7, '3rd Qtr'!H7, '4th Qtr'!H7)</f>
        <v>-113589.01999999999</v>
      </c>
      <c r="I7" s="45">
        <f t="shared" si="2"/>
        <v>-7.7752825257029756E-2</v>
      </c>
      <c r="L7" s="73"/>
    </row>
    <row r="8" spans="1:12" ht="15.75">
      <c r="A8" s="34" t="str">
        <v>Boutilier</v>
      </c>
      <c r="B8" s="35" t="str">
        <v>MA</v>
      </c>
      <c r="C8" s="36">
        <f>SUM('1st Qtr'!C8, '2nd Qtr'!C8, '3rd Qtr'!C8, '4th Qtr'!C8)</f>
        <v>4670598</v>
      </c>
      <c r="D8" s="37">
        <f>SUM('1st Qtr'!D8, '2nd Qtr'!D8, '3rd Qtr'!D8, '4th Qtr'!D8)</f>
        <v>4863944.5999999996</v>
      </c>
      <c r="E8" s="37">
        <f t="shared" si="0"/>
        <v>-193346.59999999963</v>
      </c>
      <c r="F8" s="38">
        <f t="shared" si="1"/>
        <v>-3.9750987295373318E-2</v>
      </c>
      <c r="G8" s="39">
        <f>SUM('1st Qtr'!G8, '2nd Qtr'!G8, '3rd Qtr'!G8, '4th Qtr'!G8)</f>
        <v>3850760.8999999994</v>
      </c>
      <c r="H8" s="39">
        <f>SUM('1st Qtr'!H8, '2nd Qtr'!H8, '3rd Qtr'!H8, '4th Qtr'!H8)</f>
        <v>180787.8</v>
      </c>
      <c r="I8" s="40">
        <f t="shared" si="2"/>
        <v>4.6948591380991743E-2</v>
      </c>
    </row>
    <row r="9" spans="1:12" ht="15.75">
      <c r="A9" s="41" t="str">
        <v>Cherry Valley</v>
      </c>
      <c r="B9" s="42" t="str">
        <v>MA</v>
      </c>
      <c r="C9" s="43">
        <f>SUM('1st Qtr'!C9, '2nd Qtr'!C9, '3rd Qtr'!C9, '4th Qtr'!C9)</f>
        <v>1601049</v>
      </c>
      <c r="D9" s="44">
        <f>SUM('1st Qtr'!D9, '2nd Qtr'!D9, '3rd Qtr'!D9, '4th Qtr'!D9)</f>
        <v>1949588.62</v>
      </c>
      <c r="E9" s="44">
        <f t="shared" si="0"/>
        <v>-348539.62000000011</v>
      </c>
      <c r="F9" s="45">
        <f t="shared" si="1"/>
        <v>-0.1787759819812654</v>
      </c>
      <c r="G9" s="46">
        <f>SUM('1st Qtr'!G9, '2nd Qtr'!G9, '3rd Qtr'!G9, '4th Qtr'!G9)</f>
        <v>1413852</v>
      </c>
      <c r="H9" s="72">
        <f>SUM('1st Qtr'!H9, '2nd Qtr'!H9, '3rd Qtr'!H9, '4th Qtr'!H9)</f>
        <v>-67214</v>
      </c>
      <c r="I9" s="45">
        <f t="shared" si="2"/>
        <v>-4.7539629324710085E-2</v>
      </c>
      <c r="K9" s="74"/>
    </row>
    <row r="10" spans="1:12" ht="15.75">
      <c r="A10" s="34" t="str">
        <v>Cohasse</v>
      </c>
      <c r="B10" s="35" t="str">
        <v>MA</v>
      </c>
      <c r="C10" s="36">
        <f>SUM('1st Qtr'!C10, '2nd Qtr'!C10, '3rd Qtr'!C10, '4th Qtr'!C10)</f>
        <v>1543375</v>
      </c>
      <c r="D10" s="37">
        <f>SUM('1st Qtr'!D10, '2nd Qtr'!D10, '3rd Qtr'!D10, '4th Qtr'!D10)</f>
        <v>1817314.1400000001</v>
      </c>
      <c r="E10" s="37">
        <f t="shared" si="0"/>
        <v>-273939.14000000013</v>
      </c>
      <c r="F10" s="38">
        <f t="shared" si="1"/>
        <v>-0.1507384628614622</v>
      </c>
      <c r="G10" s="39">
        <f>SUM('1st Qtr'!G10, '2nd Qtr'!G10, '3rd Qtr'!G10, '4th Qtr'!G10)</f>
        <v>1532098.9</v>
      </c>
      <c r="H10" s="39">
        <f>SUM('1st Qtr'!H10, '2nd Qtr'!H10, '3rd Qtr'!H10, '4th Qtr'!H10)</f>
        <v>-337897.89</v>
      </c>
      <c r="I10" s="40">
        <f t="shared" si="2"/>
        <v>-0.22054574283683648</v>
      </c>
    </row>
    <row r="11" spans="1:12" ht="15.75">
      <c r="A11" s="41" t="str">
        <v>ISM Dighton Solar 2</v>
      </c>
      <c r="B11" s="42" t="str">
        <v>MA</v>
      </c>
      <c r="C11" s="43">
        <f>SUM('1st Qtr'!C11, '2nd Qtr'!C11, '3rd Qtr'!C11, '4th Qtr'!C11)</f>
        <v>3650148</v>
      </c>
      <c r="D11" s="44">
        <f>SUM('1st Qtr'!D11, '2nd Qtr'!D11, '3rd Qtr'!D11, '4th Qtr'!D11)</f>
        <v>3721383.1999999997</v>
      </c>
      <c r="E11" s="44">
        <f t="shared" si="0"/>
        <v>-71235.199999999721</v>
      </c>
      <c r="F11" s="45">
        <f t="shared" si="1"/>
        <v>-1.91421297328369E-2</v>
      </c>
      <c r="G11" s="46">
        <f>SUM('1st Qtr'!G11, '2nd Qtr'!G11, '3rd Qtr'!G11, '4th Qtr'!G11)</f>
        <v>2971910.1999999997</v>
      </c>
      <c r="H11" s="72">
        <f>SUM('1st Qtr'!H11, '2nd Qtr'!H11, '3rd Qtr'!H11, '4th Qtr'!H11)</f>
        <v>-20779.099999999977</v>
      </c>
      <c r="I11" s="45">
        <f t="shared" si="2"/>
        <v>-6.9918330641349728E-3</v>
      </c>
    </row>
    <row r="12" spans="1:12" ht="15.75">
      <c r="A12" s="34" t="str">
        <v>Dudley River 1</v>
      </c>
      <c r="B12" s="35" t="str">
        <v>MA</v>
      </c>
      <c r="C12" s="36">
        <f>SUM('1st Qtr'!C12, '2nd Qtr'!C12, '3rd Qtr'!C12, '4th Qtr'!C12)</f>
        <v>1702492</v>
      </c>
      <c r="D12" s="37">
        <f>SUM('1st Qtr'!D12, '2nd Qtr'!D12, '3rd Qtr'!D12, '4th Qtr'!D12)</f>
        <v>1641404.5100000002</v>
      </c>
      <c r="E12" s="37">
        <f t="shared" si="0"/>
        <v>61087.489999999758</v>
      </c>
      <c r="F12" s="38">
        <f t="shared" si="1"/>
        <v>3.7216596900906375E-2</v>
      </c>
      <c r="G12" s="39">
        <f>SUM('1st Qtr'!G12, '2nd Qtr'!G12, '3rd Qtr'!G12, '4th Qtr'!G12)</f>
        <v>1475342.13</v>
      </c>
      <c r="H12" s="39">
        <f>SUM('1st Qtr'!H12, '2nd Qtr'!H12, '3rd Qtr'!H12, '4th Qtr'!H12)</f>
        <v>-91388.280000000013</v>
      </c>
      <c r="I12" s="40">
        <f t="shared" si="2"/>
        <v>-6.1943787913112752E-2</v>
      </c>
    </row>
    <row r="13" spans="1:12" ht="15.75">
      <c r="A13" s="41" t="str">
        <v>Dudley River 2</v>
      </c>
      <c r="B13" s="42" t="str">
        <v>MA</v>
      </c>
      <c r="C13" s="43">
        <f>SUM('1st Qtr'!C13, '2nd Qtr'!C13, '3rd Qtr'!C13, '4th Qtr'!C13)</f>
        <v>1647577</v>
      </c>
      <c r="D13" s="44">
        <f>SUM('1st Qtr'!D13, '2nd Qtr'!D13, '3rd Qtr'!D13, '4th Qtr'!D13)</f>
        <v>1790210.81</v>
      </c>
      <c r="E13" s="44">
        <f t="shared" si="0"/>
        <v>-142633.81000000006</v>
      </c>
      <c r="F13" s="45">
        <f t="shared" si="1"/>
        <v>-7.9674309418341666E-2</v>
      </c>
      <c r="G13" s="46">
        <f>SUM('1st Qtr'!G13, '2nd Qtr'!G13, '3rd Qtr'!G13, '4th Qtr'!G13)</f>
        <v>1409680.23</v>
      </c>
      <c r="H13" s="72">
        <f>SUM('1st Qtr'!H13, '2nd Qtr'!H13, '3rd Qtr'!H13, '4th Qtr'!H13)</f>
        <v>-69902.249999999971</v>
      </c>
      <c r="I13" s="45">
        <f t="shared" si="2"/>
        <v>-4.9587309598574686E-2</v>
      </c>
    </row>
    <row r="14" spans="1:12" ht="15.75">
      <c r="A14" s="34" t="str">
        <v>Dudley River 3</v>
      </c>
      <c r="B14" s="35" t="str">
        <v>MA</v>
      </c>
      <c r="C14" s="36">
        <f>SUM('1st Qtr'!C14, '2nd Qtr'!C14, '3rd Qtr'!C14, '4th Qtr'!C14)</f>
        <v>1705996</v>
      </c>
      <c r="D14" s="37">
        <f>SUM('1st Qtr'!D14, '2nd Qtr'!D14, '3rd Qtr'!D14, '4th Qtr'!D14)</f>
        <v>1792390.75</v>
      </c>
      <c r="E14" s="37">
        <f t="shared" si="0"/>
        <v>-86394.75</v>
      </c>
      <c r="F14" s="38">
        <f t="shared" si="1"/>
        <v>-4.8200845714027482E-2</v>
      </c>
      <c r="G14" s="39">
        <f>SUM('1st Qtr'!G14, '2nd Qtr'!G14, '3rd Qtr'!G14, '4th Qtr'!G14)</f>
        <v>1429518.69</v>
      </c>
      <c r="H14" s="39">
        <f>SUM('1st Qtr'!H14, '2nd Qtr'!H14, '3rd Qtr'!H14, '4th Qtr'!H14)</f>
        <v>-38272.410000000033</v>
      </c>
      <c r="I14" s="40">
        <f t="shared" si="2"/>
        <v>-2.677293432239073E-2</v>
      </c>
    </row>
    <row r="15" spans="1:12" ht="15.75">
      <c r="A15" s="41" t="str">
        <v>Flint Pond</v>
      </c>
      <c r="B15" s="42" t="str">
        <v>MA</v>
      </c>
      <c r="C15" s="43">
        <f>SUM('1st Qtr'!C15, '2nd Qtr'!C15, '3rd Qtr'!C15, '4th Qtr'!C15)</f>
        <v>773389</v>
      </c>
      <c r="D15" s="44">
        <f>SUM('1st Qtr'!D15, '2nd Qtr'!D15, '3rd Qtr'!D15, '4th Qtr'!D15)</f>
        <v>818081.9</v>
      </c>
      <c r="E15" s="44">
        <f t="shared" si="0"/>
        <v>-44692.900000000023</v>
      </c>
      <c r="F15" s="45">
        <f t="shared" si="1"/>
        <v>-5.463132725464287E-2</v>
      </c>
      <c r="G15" s="46">
        <f>SUM('1st Qtr'!G15, '2nd Qtr'!G15, '3rd Qtr'!G15, '4th Qtr'!G15)</f>
        <v>663638.80000000005</v>
      </c>
      <c r="H15" s="72">
        <f>SUM('1st Qtr'!H15, '2nd Qtr'!H15, '3rd Qtr'!H15, '4th Qtr'!H15)</f>
        <v>-1502.3200000000143</v>
      </c>
      <c r="I15" s="45">
        <f t="shared" si="2"/>
        <v>-2.2637615522178843E-3</v>
      </c>
    </row>
    <row r="16" spans="1:12" ht="15.75">
      <c r="A16" s="34" t="str">
        <v>Incom</v>
      </c>
      <c r="B16" s="35" t="str">
        <v>MA</v>
      </c>
      <c r="C16" s="36">
        <f>SUM('1st Qtr'!C16, '2nd Qtr'!C16, '3rd Qtr'!C16, '4th Qtr'!C16)</f>
        <v>3563350</v>
      </c>
      <c r="D16" s="37">
        <f>SUM('1st Qtr'!D16, '2nd Qtr'!D16, '3rd Qtr'!D16, '4th Qtr'!D16)</f>
        <v>4147490.3</v>
      </c>
      <c r="E16" s="37">
        <f t="shared" ref="E16:E19" si="3">IF(AND(ISNUMBER(C16),ISNUMBER(D16)), C16-D16, "")</f>
        <v>-584140.29999999981</v>
      </c>
      <c r="F16" s="38">
        <f t="shared" ref="F16:F19" si="4">IFERROR(E16/D16, "")</f>
        <v>-0.14084187249334854</v>
      </c>
      <c r="G16" s="39">
        <f>SUM('1st Qtr'!G16, '2nd Qtr'!G16, '3rd Qtr'!G16, '4th Qtr'!G16)</f>
        <v>3094273.0999999996</v>
      </c>
      <c r="H16" s="39">
        <f>SUM('1st Qtr'!H16, '2nd Qtr'!H16, '3rd Qtr'!H16, '4th Qtr'!H16)</f>
        <v>-214487.09999999995</v>
      </c>
      <c r="I16" s="40">
        <f t="shared" ref="I16:I19" si="5">IFERROR(H16/G16, "")</f>
        <v>-6.9317443247010085E-2</v>
      </c>
    </row>
    <row r="17" spans="1:9" ht="15.75">
      <c r="A17" s="41" t="str">
        <v>JH</v>
      </c>
      <c r="B17" s="42" t="str">
        <v>MA</v>
      </c>
      <c r="C17" s="43">
        <f>SUM('1st Qtr'!C17, '2nd Qtr'!C17, '3rd Qtr'!C17, '4th Qtr'!C17)</f>
        <v>1581780</v>
      </c>
      <c r="D17" s="44">
        <f>SUM('1st Qtr'!D17, '2nd Qtr'!D17, '3rd Qtr'!D17, '4th Qtr'!D17)</f>
        <v>1900183.03</v>
      </c>
      <c r="E17" s="44">
        <f t="shared" si="3"/>
        <v>-318403.03000000003</v>
      </c>
      <c r="F17" s="45">
        <f t="shared" si="4"/>
        <v>-0.16756440036200093</v>
      </c>
      <c r="G17" s="46">
        <f>SUM('1st Qtr'!G17, '2nd Qtr'!G17, '3rd Qtr'!G17, '4th Qtr'!G17)</f>
        <v>1496951.8</v>
      </c>
      <c r="H17" s="72">
        <f>SUM('1st Qtr'!H17, '2nd Qtr'!H17, '3rd Qtr'!H17, '4th Qtr'!H17)</f>
        <v>-241247.41</v>
      </c>
      <c r="I17" s="45">
        <f t="shared" si="5"/>
        <v>-0.16115910345276313</v>
      </c>
    </row>
    <row r="18" spans="1:9" ht="12.75" customHeight="1">
      <c r="A18" s="34" t="str">
        <v>Ledeaux</v>
      </c>
      <c r="B18" s="41" t="str">
        <v>MA</v>
      </c>
      <c r="C18" s="36">
        <f>SUM('1st Qtr'!C18, '2nd Qtr'!C18, '3rd Qtr'!C18, '4th Qtr'!C18)</f>
        <v>1451954</v>
      </c>
      <c r="D18" s="37">
        <f>SUM('1st Qtr'!D18, '2nd Qtr'!D18, '3rd Qtr'!D18, '4th Qtr'!D18)</f>
        <v>1654278.46</v>
      </c>
      <c r="E18" s="37">
        <f t="shared" si="3"/>
        <v>-202324.45999999996</v>
      </c>
      <c r="F18" s="38">
        <f t="shared" si="4"/>
        <v>-0.12230375048224951</v>
      </c>
      <c r="G18" s="39">
        <f>SUM('1st Qtr'!G18, '2nd Qtr'!G18, '3rd Qtr'!G18, '4th Qtr'!G18)</f>
        <v>1452934.59</v>
      </c>
      <c r="H18" s="39">
        <f>SUM('1st Qtr'!H18, '2nd Qtr'!H18, '3rd Qtr'!H18, '4th Qtr'!H18)</f>
        <v>-308518.32999999996</v>
      </c>
      <c r="I18" s="40">
        <f t="shared" si="5"/>
        <v>-0.21234151359835127</v>
      </c>
    </row>
    <row r="19" spans="1:9" ht="15.75">
      <c r="A19" s="41" t="str">
        <v>Palombo A</v>
      </c>
      <c r="B19" s="41" t="str">
        <v>MA</v>
      </c>
      <c r="C19" s="43">
        <f>SUM('1st Qtr'!C19, '2nd Qtr'!C19, '3rd Qtr'!C19, '4th Qtr'!C19)</f>
        <v>3364495.0033222586</v>
      </c>
      <c r="D19" s="44">
        <f>SUM('1st Qtr'!D19, '2nd Qtr'!D19, '3rd Qtr'!D19, '4th Qtr'!D19)</f>
        <v>3857813.9000000004</v>
      </c>
      <c r="E19" s="44">
        <f t="shared" si="3"/>
        <v>-493318.89667774178</v>
      </c>
      <c r="F19" s="45">
        <f t="shared" si="4"/>
        <v>-0.12787524475396331</v>
      </c>
      <c r="G19" s="46">
        <f>SUM('1st Qtr'!G19, '2nd Qtr'!G19, '3rd Qtr'!G19, '4th Qtr'!G19)</f>
        <v>3196926</v>
      </c>
      <c r="H19" s="72">
        <f>SUM('1st Qtr'!H19, '2nd Qtr'!H19, '3rd Qtr'!H19, '4th Qtr'!H19)</f>
        <v>-591155.99667774141</v>
      </c>
      <c r="I19" s="45">
        <f t="shared" si="5"/>
        <v>-0.18491388185955551</v>
      </c>
    </row>
    <row r="20" spans="1:9" ht="15.75">
      <c r="A20" s="34" t="str">
        <v>Palombo B</v>
      </c>
      <c r="B20" s="41" t="str">
        <v>MA</v>
      </c>
      <c r="C20" s="36">
        <f>SUM('1st Qtr'!C20, '2nd Qtr'!C20, '3rd Qtr'!C20, '4th Qtr'!C20)</f>
        <v>1634896</v>
      </c>
      <c r="D20" s="37">
        <f>SUM('1st Qtr'!D20, '2nd Qtr'!D20, '3rd Qtr'!D20, '4th Qtr'!D20)</f>
        <v>1748486.45</v>
      </c>
      <c r="E20" s="37">
        <f t="shared" ref="E20:E24" si="6">IF(AND(ISNUMBER(C20),ISNUMBER(D20)), C20-D20, "")</f>
        <v>-113590.44999999995</v>
      </c>
      <c r="F20" s="38">
        <f t="shared" ref="F20:F24" si="7">IFERROR(E20/D20, "")</f>
        <v>-6.4965015885596347E-2</v>
      </c>
      <c r="G20" s="39">
        <f>SUM('1st Qtr'!G20, '2nd Qtr'!G20, '3rd Qtr'!G20, '4th Qtr'!G20)</f>
        <v>1458667.69</v>
      </c>
      <c r="H20" s="39">
        <f>SUM('1st Qtr'!H20, '2nd Qtr'!H20, '3rd Qtr'!H20, '4th Qtr'!H20)</f>
        <v>-64695.150000000023</v>
      </c>
      <c r="I20" s="40">
        <f t="shared" ref="I20:I24" si="8">IFERROR(H20/G20, "")</f>
        <v>-4.4352219798602675E-2</v>
      </c>
    </row>
    <row r="21" spans="1:9" ht="15.75">
      <c r="A21" s="41" t="str">
        <v>St Josephs Church</v>
      </c>
      <c r="B21" s="41" t="str">
        <v>MA</v>
      </c>
      <c r="C21" s="43">
        <f>SUM('1st Qtr'!C21, '2nd Qtr'!C21, '3rd Qtr'!C21, '4th Qtr'!C21)</f>
        <v>1598505</v>
      </c>
      <c r="D21" s="44">
        <f>SUM('1st Qtr'!D21, '2nd Qtr'!D21, '3rd Qtr'!D21, '4th Qtr'!D21)</f>
        <v>2013211.72</v>
      </c>
      <c r="E21" s="44">
        <f t="shared" si="6"/>
        <v>-414706.72</v>
      </c>
      <c r="F21" s="45">
        <f t="shared" si="7"/>
        <v>-0.20599260171205439</v>
      </c>
      <c r="G21" s="46">
        <f>SUM('1st Qtr'!G21, '2nd Qtr'!G21, '3rd Qtr'!G21, '4th Qtr'!G21)</f>
        <v>1440925.7200000002</v>
      </c>
      <c r="H21" s="72">
        <f>SUM('1st Qtr'!H21, '2nd Qtr'!H21, '3rd Qtr'!H21, '4th Qtr'!H21)</f>
        <v>-131251.00000000003</v>
      </c>
      <c r="I21" s="45">
        <f t="shared" si="8"/>
        <v>-9.1087970863619541E-2</v>
      </c>
    </row>
    <row r="22" spans="1:9" ht="15.75">
      <c r="A22" s="34" t="str">
        <v>Sunset A</v>
      </c>
      <c r="B22" s="41" t="str">
        <v>MA</v>
      </c>
      <c r="C22" s="36">
        <f>SUM('1st Qtr'!C22, '2nd Qtr'!C22, '3rd Qtr'!C22, '4th Qtr'!C22)</f>
        <v>745590</v>
      </c>
      <c r="D22" s="37">
        <f>SUM('1st Qtr'!D22, '2nd Qtr'!D22, '3rd Qtr'!D22, '4th Qtr'!D22)</f>
        <v>941208.20000000007</v>
      </c>
      <c r="E22" s="37">
        <f t="shared" si="6"/>
        <v>-195618.20000000007</v>
      </c>
      <c r="F22" s="38">
        <f t="shared" si="7"/>
        <v>-0.207837330783986</v>
      </c>
      <c r="G22" s="39">
        <f>SUM('1st Qtr'!G22, '2nd Qtr'!G22, '3rd Qtr'!G22, '4th Qtr'!G22)</f>
        <v>660439.29</v>
      </c>
      <c r="H22" s="39">
        <f>SUM('1st Qtr'!H22, '2nd Qtr'!H22, '3rd Qtr'!H22, '4th Qtr'!H22)</f>
        <v>-24446.560000000019</v>
      </c>
      <c r="I22" s="40">
        <f t="shared" si="8"/>
        <v>-3.7015605173944179E-2</v>
      </c>
    </row>
    <row r="23" spans="1:9" ht="15.75">
      <c r="A23" s="41" t="str">
        <v>Sunset B</v>
      </c>
      <c r="B23" s="41" t="str">
        <v>MA</v>
      </c>
      <c r="C23" s="43">
        <f>SUM('1st Qtr'!C23, '2nd Qtr'!C23, '3rd Qtr'!C23, '4th Qtr'!C23)</f>
        <v>699224.5</v>
      </c>
      <c r="D23" s="44">
        <f>SUM('1st Qtr'!D23, '2nd Qtr'!D23, '3rd Qtr'!D23, '4th Qtr'!D23)</f>
        <v>796819.27999999991</v>
      </c>
      <c r="E23" s="44">
        <f t="shared" si="6"/>
        <v>-97594.779999999912</v>
      </c>
      <c r="F23" s="45">
        <f t="shared" si="7"/>
        <v>-0.1224804450012805</v>
      </c>
      <c r="G23" s="46">
        <f>SUM('1st Qtr'!G23, '2nd Qtr'!G23, '3rd Qtr'!G23, '4th Qtr'!G23)</f>
        <v>652513.02</v>
      </c>
      <c r="H23" s="72">
        <f>SUM('1st Qtr'!H23, '2nd Qtr'!H23, '3rd Qtr'!H23, '4th Qtr'!H23)</f>
        <v>-61575.310000000005</v>
      </c>
      <c r="I23" s="45">
        <f t="shared" si="8"/>
        <v>-9.4366408198260934E-2</v>
      </c>
    </row>
    <row r="24" spans="1:9" ht="15.75">
      <c r="A24" s="34" t="str">
        <v>Woodchuck</v>
      </c>
      <c r="B24" s="41" t="str">
        <v>MA</v>
      </c>
      <c r="C24" s="36">
        <f>SUM('1st Qtr'!C24, '2nd Qtr'!C24, '3rd Qtr'!C24, '4th Qtr'!C24)</f>
        <v>1633142</v>
      </c>
      <c r="D24" s="37">
        <f>SUM('1st Qtr'!D24, '2nd Qtr'!D24, '3rd Qtr'!D24, '4th Qtr'!D24)</f>
        <v>1821414.86</v>
      </c>
      <c r="E24" s="37">
        <f t="shared" si="6"/>
        <v>-188272.8600000001</v>
      </c>
      <c r="F24" s="38">
        <f t="shared" si="7"/>
        <v>-0.10336626988977135</v>
      </c>
      <c r="G24" s="39">
        <f>SUM('1st Qtr'!G24, '2nd Qtr'!G24, '3rd Qtr'!G24, '4th Qtr'!G24)</f>
        <v>1525717.3</v>
      </c>
      <c r="H24" s="39">
        <f>SUM('1st Qtr'!H24, '2nd Qtr'!H24, '3rd Qtr'!H24, '4th Qtr'!H24)</f>
        <v>-196488.18000000002</v>
      </c>
      <c r="I24" s="40">
        <f t="shared" si="8"/>
        <v>-0.12878413320737728</v>
      </c>
    </row>
    <row r="25" spans="1:9" ht="13.15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3.15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1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15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15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1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9 I4:I9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1"/>
  <sheetViews>
    <sheetView zoomScale="90" zoomScaleNormal="90" workbookViewId="0">
      <pane xSplit="2" ySplit="3" topLeftCell="C4" activePane="bottomRight" state="frozen"/>
      <selection pane="bottomRight" activeCell="C4" sqref="C4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5" t="str" cm="1">
        <f t="array" ref="A1">portfolio</f>
        <v>38 DN</v>
      </c>
      <c r="B1" s="85"/>
      <c r="C1" s="85"/>
      <c r="D1" s="86" t="s">
        <v>10</v>
      </c>
      <c r="E1" s="86"/>
      <c r="F1" s="86"/>
      <c r="G1" s="84" t="s">
        <v>11</v>
      </c>
      <c r="H1" s="84"/>
      <c r="I1" s="84"/>
    </row>
    <row r="2" spans="1:9" ht="19.5" customHeight="1">
      <c r="A2" s="87" t="s">
        <v>2</v>
      </c>
      <c r="B2" s="87"/>
      <c r="C2" s="5">
        <f>SUM(C4:C99)</f>
        <v>7636294.1999999993</v>
      </c>
      <c r="D2" s="5">
        <f>SUM(D4:D99)</f>
        <v>9592493.0899999999</v>
      </c>
      <c r="E2" s="5">
        <f>C2-D2</f>
        <v>-1956198.8900000006</v>
      </c>
      <c r="F2" s="6">
        <f>IFERROR(E2/D2, 0)</f>
        <v>-0.20393018495257531</v>
      </c>
      <c r="G2" s="5">
        <f>SUM(G4:G99)</f>
        <v>9198970.5200000033</v>
      </c>
      <c r="H2" s="7">
        <f>C2-G2</f>
        <v>-1562676.320000004</v>
      </c>
      <c r="I2" s="6">
        <f>IFERROR(H2/G2, 0)</f>
        <v>-0.16987513076626357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SUM(Jan!C4, Feb!C4, Mar!C4)</f>
        <v>415423.7</v>
      </c>
      <c r="D4" s="37">
        <f>SUM(Jan!D4, Feb!D4, Mar!D4)</f>
        <v>380534.1</v>
      </c>
      <c r="E4" s="37">
        <f>IF(AND(ISNUMBER(C4),ISNUMBER(D4)), C4-D4, "")</f>
        <v>34889.600000000035</v>
      </c>
      <c r="F4" s="38">
        <f>IFERROR(E4/D4, "")</f>
        <v>9.1685869939119882E-2</v>
      </c>
      <c r="G4" s="39">
        <f>SUM(Jan!G4, Feb!G4, Mar!G4)</f>
        <v>486118.3</v>
      </c>
      <c r="H4" s="39">
        <f>SUM(Jan!H4, Feb!H4, Mar!H4)</f>
        <v>-70694.600000000006</v>
      </c>
      <c r="I4" s="40">
        <f>IFERROR(H4/G4, "")</f>
        <v>-0.14542674077482787</v>
      </c>
    </row>
    <row r="5" spans="1:9" ht="15.75">
      <c r="A5" s="56" t="str">
        <v>Barton Acres</v>
      </c>
      <c r="B5" s="42" t="str">
        <v>MA</v>
      </c>
      <c r="C5" s="43">
        <f>SUM(Jan!C5, Feb!C5, Mar!C5)</f>
        <v>278903</v>
      </c>
      <c r="D5" s="44">
        <f>SUM(Jan!D5, Feb!D5, Mar!D5)</f>
        <v>404890.33999999997</v>
      </c>
      <c r="E5" s="44">
        <f t="shared" ref="E5:E15" si="0">IF(AND(ISNUMBER(C5),ISNUMBER(D5)), C5-D5, "")</f>
        <v>-125987.33999999997</v>
      </c>
      <c r="F5" s="45">
        <f>IFERROR(E5/D5, "")</f>
        <v>-0.31116410433501568</v>
      </c>
      <c r="G5" s="46">
        <f>SUM(Jan!G5, Feb!G5, Mar!G5)</f>
        <v>310302.93</v>
      </c>
      <c r="H5" s="46">
        <f>SUM(Jan!H5, Feb!H5, Mar!H5)</f>
        <v>-31399.929999999993</v>
      </c>
      <c r="I5" s="45">
        <f>IFERROR(H5/G5, "")</f>
        <v>-0.10119121337333165</v>
      </c>
    </row>
    <row r="6" spans="1:9" ht="15.75">
      <c r="A6" s="55" t="str">
        <v>Bowden</v>
      </c>
      <c r="B6" s="35" t="str">
        <v>MA</v>
      </c>
      <c r="C6" s="36">
        <f>SUM(Jan!C6, Feb!C6, Mar!C6)</f>
        <v>599781</v>
      </c>
      <c r="D6" s="37">
        <f>SUM(Jan!D6, Feb!D6, Mar!D6)</f>
        <v>699201.8</v>
      </c>
      <c r="E6" s="37">
        <f t="shared" si="0"/>
        <v>-99420.800000000047</v>
      </c>
      <c r="F6" s="38">
        <f t="shared" ref="F6:F15" si="1">IFERROR(E6/D6, "")</f>
        <v>-0.14219185362509085</v>
      </c>
      <c r="G6" s="39">
        <f>SUM(Jan!G6, Feb!G6, Mar!G6)</f>
        <v>684239</v>
      </c>
      <c r="H6" s="39">
        <f>SUM(Jan!H6, Feb!H6, Mar!H6)</f>
        <v>-84457.999999999971</v>
      </c>
      <c r="I6" s="40">
        <f t="shared" ref="I6:I15" si="2">IFERROR(H6/G6, "")</f>
        <v>-0.12343347865292678</v>
      </c>
    </row>
    <row r="7" spans="1:9" ht="15.75">
      <c r="A7" s="56" t="str">
        <v>Blair Wire Village</v>
      </c>
      <c r="B7" s="42" t="str">
        <v>MA</v>
      </c>
      <c r="C7" s="43">
        <f>SUM(Jan!C7, Feb!C7, Mar!C7)</f>
        <v>295062</v>
      </c>
      <c r="D7" s="44">
        <f>SUM(Jan!D7, Feb!D7, Mar!D7)</f>
        <v>433211.98</v>
      </c>
      <c r="E7" s="44">
        <f t="shared" si="0"/>
        <v>-138149.97999999998</v>
      </c>
      <c r="F7" s="45">
        <f t="shared" si="1"/>
        <v>-0.31889695201873225</v>
      </c>
      <c r="G7" s="46">
        <f>SUM(Jan!G7, Feb!G7, Mar!G7)</f>
        <v>341306.54000000004</v>
      </c>
      <c r="H7" s="46">
        <f>SUM(Jan!H7, Feb!H7, Mar!H7)</f>
        <v>-46244.540000000008</v>
      </c>
      <c r="I7" s="45">
        <f t="shared" si="2"/>
        <v>-0.1354926864278663</v>
      </c>
    </row>
    <row r="8" spans="1:9" ht="15.75">
      <c r="A8" s="55" t="str">
        <v>Boutilier</v>
      </c>
      <c r="B8" s="35" t="str">
        <v>MA</v>
      </c>
      <c r="C8" s="36">
        <f>SUM(Jan!C8, Feb!C8, Mar!C8)</f>
        <v>827517</v>
      </c>
      <c r="D8" s="37">
        <f>SUM(Jan!D8, Feb!D8, Mar!D8)</f>
        <v>919550.2</v>
      </c>
      <c r="E8" s="37">
        <f t="shared" si="0"/>
        <v>-92033.199999999953</v>
      </c>
      <c r="F8" s="38">
        <f t="shared" si="1"/>
        <v>-0.10008501982817247</v>
      </c>
      <c r="G8" s="39">
        <f>SUM(Jan!G8, Feb!G8, Mar!G8)</f>
        <v>851822.3</v>
      </c>
      <c r="H8" s="39">
        <f>SUM(Jan!H8, Feb!H8, Mar!H8)</f>
        <v>-24305.299999999988</v>
      </c>
      <c r="I8" s="40">
        <f t="shared" si="2"/>
        <v>-2.8533298552996307E-2</v>
      </c>
    </row>
    <row r="9" spans="1:9" ht="15.75">
      <c r="A9" s="56" t="str">
        <v>Cherry Valley</v>
      </c>
      <c r="B9" s="42" t="str">
        <v>MA</v>
      </c>
      <c r="C9" s="43">
        <f>SUM(Jan!C9, Feb!C9, Mar!C9)</f>
        <v>282016</v>
      </c>
      <c r="D9" s="44">
        <f>SUM(Jan!D9, Feb!D9, Mar!D9)</f>
        <v>421854.72000000003</v>
      </c>
      <c r="E9" s="44">
        <f t="shared" si="0"/>
        <v>-139838.72000000003</v>
      </c>
      <c r="F9" s="45">
        <f t="shared" si="1"/>
        <v>-0.33148549339450323</v>
      </c>
      <c r="G9" s="46">
        <f>SUM(Jan!G9, Feb!G9, Mar!G9)</f>
        <v>328696</v>
      </c>
      <c r="H9" s="46">
        <f>SUM(Jan!H9, Feb!H9, Mar!H9)</f>
        <v>-46680</v>
      </c>
      <c r="I9" s="45">
        <f t="shared" si="2"/>
        <v>-0.14201572273468493</v>
      </c>
    </row>
    <row r="10" spans="1:9" ht="15.75">
      <c r="A10" s="55" t="str">
        <v>Cohasse</v>
      </c>
      <c r="B10" s="35" t="str">
        <v>MA</v>
      </c>
      <c r="C10" s="36">
        <f>SUM(Jan!C10, Feb!C10, Mar!C10)</f>
        <v>280620</v>
      </c>
      <c r="D10" s="37">
        <f>SUM(Jan!D10, Feb!D10, Mar!D10)</f>
        <v>396154.94</v>
      </c>
      <c r="E10" s="37">
        <f t="shared" si="0"/>
        <v>-115534.94</v>
      </c>
      <c r="F10" s="38">
        <f t="shared" si="1"/>
        <v>-0.29164079084814643</v>
      </c>
      <c r="G10" s="39">
        <f>SUM(Jan!G10, Feb!G10, Mar!G10)</f>
        <v>421760.2</v>
      </c>
      <c r="H10" s="39">
        <f>SUM(Jan!H10, Feb!H10, Mar!H10)</f>
        <v>-141140.20000000001</v>
      </c>
      <c r="I10" s="40">
        <f t="shared" si="2"/>
        <v>-0.33464561141615545</v>
      </c>
    </row>
    <row r="11" spans="1:9" ht="15.75">
      <c r="A11" s="56" t="str">
        <v>ISM Dighton Solar 2</v>
      </c>
      <c r="B11" s="42" t="str">
        <v>MA</v>
      </c>
      <c r="C11" s="43">
        <f>SUM(Jan!C11, Feb!C11, Mar!C11)</f>
        <v>659167</v>
      </c>
      <c r="D11" s="44">
        <f>SUM(Jan!D11, Feb!D11, Mar!D11)</f>
        <v>744891.6</v>
      </c>
      <c r="E11" s="44">
        <f t="shared" si="0"/>
        <v>-85724.599999999977</v>
      </c>
      <c r="F11" s="45">
        <f t="shared" si="1"/>
        <v>-0.11508332219077243</v>
      </c>
      <c r="G11" s="46">
        <f>SUM(Jan!G11, Feb!G11, Mar!G11)</f>
        <v>727319.89999999991</v>
      </c>
      <c r="H11" s="46">
        <f>SUM(Jan!H11, Feb!H11, Mar!H11)</f>
        <v>-68152.899999999994</v>
      </c>
      <c r="I11" s="45">
        <f t="shared" si="2"/>
        <v>-9.3704159613947041E-2</v>
      </c>
    </row>
    <row r="12" spans="1:9" ht="15.75">
      <c r="A12" s="55" t="str">
        <v>Dudley River 1</v>
      </c>
      <c r="B12" s="35" t="str">
        <v>MA</v>
      </c>
      <c r="C12" s="36">
        <f>SUM(Jan!C12, Feb!C12, Mar!C12)</f>
        <v>310880</v>
      </c>
      <c r="D12" s="37">
        <f>SUM(Jan!D12, Feb!D12, Mar!D12)</f>
        <v>357948.8</v>
      </c>
      <c r="E12" s="37">
        <f t="shared" si="0"/>
        <v>-47068.799999999988</v>
      </c>
      <c r="F12" s="38">
        <f t="shared" si="1"/>
        <v>-0.13149590108976478</v>
      </c>
      <c r="G12" s="39">
        <f>SUM(Jan!G12, Feb!G12, Mar!G12)</f>
        <v>349978.03</v>
      </c>
      <c r="H12" s="39">
        <f>SUM(Jan!H12, Feb!H12, Mar!H12)</f>
        <v>-39098.029999999984</v>
      </c>
      <c r="I12" s="40">
        <f t="shared" si="2"/>
        <v>-0.11171566969503766</v>
      </c>
    </row>
    <row r="13" spans="1:9" ht="15.75">
      <c r="A13" s="56" t="str">
        <v>Dudley River 2</v>
      </c>
      <c r="B13" s="42" t="str">
        <v>MA</v>
      </c>
      <c r="C13" s="43">
        <f>SUM(Jan!C13, Feb!C13, Mar!C13)</f>
        <v>301930</v>
      </c>
      <c r="D13" s="44">
        <f>SUM(Jan!D13, Feb!D13, Mar!D13)</f>
        <v>358799.47</v>
      </c>
      <c r="E13" s="44">
        <f t="shared" si="0"/>
        <v>-56869.469999999972</v>
      </c>
      <c r="F13" s="45">
        <f t="shared" si="1"/>
        <v>-0.15849931439419343</v>
      </c>
      <c r="G13" s="46">
        <f>SUM(Jan!G13, Feb!G13, Mar!G13)</f>
        <v>335556.93</v>
      </c>
      <c r="H13" s="46">
        <f>SUM(Jan!H13, Feb!H13, Mar!H13)</f>
        <v>-33626.930000000008</v>
      </c>
      <c r="I13" s="45">
        <f t="shared" si="2"/>
        <v>-0.10021229482579903</v>
      </c>
    </row>
    <row r="14" spans="1:9" ht="15.75">
      <c r="A14" s="55" t="str">
        <v>Dudley River 3</v>
      </c>
      <c r="B14" s="35" t="str">
        <v>MA</v>
      </c>
      <c r="C14" s="36">
        <f>SUM(Jan!C14, Feb!C14, Mar!C14)</f>
        <v>323382</v>
      </c>
      <c r="D14" s="37">
        <f>SUM(Jan!D14, Feb!D14, Mar!D14)</f>
        <v>360473.32999999996</v>
      </c>
      <c r="E14" s="37">
        <f t="shared" si="0"/>
        <v>-37091.329999999958</v>
      </c>
      <c r="F14" s="38">
        <f t="shared" si="1"/>
        <v>-0.10289618374818454</v>
      </c>
      <c r="G14" s="39">
        <f>SUM(Jan!G14, Feb!G14, Mar!G14)</f>
        <v>340886.99</v>
      </c>
      <c r="H14" s="39">
        <f>SUM(Jan!H14, Feb!H14, Mar!H14)</f>
        <v>-17504.989999999991</v>
      </c>
      <c r="I14" s="40">
        <f t="shared" si="2"/>
        <v>-5.1351299737194406E-2</v>
      </c>
    </row>
    <row r="15" spans="1:9" ht="15.75">
      <c r="A15" s="56" t="str">
        <v>Flint Pond</v>
      </c>
      <c r="B15" s="42" t="str">
        <v>MA</v>
      </c>
      <c r="C15" s="43">
        <f>SUM(Jan!C15, Feb!C15, Mar!C15)</f>
        <v>137854.5</v>
      </c>
      <c r="D15" s="44">
        <f>SUM(Jan!D15, Feb!D15, Mar!D15)</f>
        <v>185295.32</v>
      </c>
      <c r="E15" s="44">
        <f t="shared" si="0"/>
        <v>-47440.820000000007</v>
      </c>
      <c r="F15" s="45">
        <f t="shared" si="1"/>
        <v>-0.25602816088393388</v>
      </c>
      <c r="G15" s="46">
        <f>SUM(Jan!G15, Feb!G15, Mar!G15)</f>
        <v>149584.93</v>
      </c>
      <c r="H15" s="46">
        <f>SUM(Jan!H15, Feb!H15, Mar!H15)</f>
        <v>-11730.430000000008</v>
      </c>
      <c r="I15" s="45">
        <f t="shared" si="2"/>
        <v>-7.8419864888796001E-2</v>
      </c>
    </row>
    <row r="16" spans="1:9" ht="15.75">
      <c r="A16" s="55" t="str">
        <v>Incom</v>
      </c>
      <c r="B16" s="35" t="str">
        <v>MA</v>
      </c>
      <c r="C16" s="36">
        <f>SUM(Jan!C16, Feb!C16, Mar!C16)</f>
        <v>630621</v>
      </c>
      <c r="D16" s="37">
        <f>SUM(Jan!D16, Feb!D16, Mar!D16)</f>
        <v>833123.3</v>
      </c>
      <c r="E16" s="37">
        <f t="shared" ref="E16:E18" si="3">IF(AND(ISNUMBER(C16),ISNUMBER(D16)), C16-D16, "")</f>
        <v>-202502.30000000005</v>
      </c>
      <c r="F16" s="38">
        <f t="shared" ref="F16:F18" si="4">IFERROR(E16/D16, "")</f>
        <v>-0.24306402185606865</v>
      </c>
      <c r="G16" s="39">
        <f>SUM(Jan!G16, Feb!G16, Mar!G16)</f>
        <v>827050.7</v>
      </c>
      <c r="H16" s="39">
        <f>SUM(Jan!H16, Feb!H16, Mar!H16)</f>
        <v>-196429.69999999998</v>
      </c>
      <c r="I16" s="40">
        <f t="shared" ref="I16:I18" si="5">IFERROR(H16/G16, "")</f>
        <v>-0.23750623752570429</v>
      </c>
    </row>
    <row r="17" spans="1:9" ht="15.75">
      <c r="A17" s="56" t="str">
        <v>JH</v>
      </c>
      <c r="B17" s="42" t="str">
        <v>MA</v>
      </c>
      <c r="C17" s="43">
        <f>SUM(Jan!C17, Feb!C17, Mar!C17)</f>
        <v>288163</v>
      </c>
      <c r="D17" s="44">
        <f>SUM(Jan!D17, Feb!D17, Mar!D17)</f>
        <v>402797.43</v>
      </c>
      <c r="E17" s="44">
        <f t="shared" si="3"/>
        <v>-114634.43</v>
      </c>
      <c r="F17" s="45">
        <f t="shared" si="4"/>
        <v>-0.28459573339383021</v>
      </c>
      <c r="G17" s="46">
        <f>SUM(Jan!G17, Feb!G17, Mar!G17)</f>
        <v>401279.4</v>
      </c>
      <c r="H17" s="46">
        <f>SUM(Jan!H17, Feb!H17, Mar!H17)</f>
        <v>-113116.4</v>
      </c>
      <c r="I17" s="45">
        <f t="shared" si="5"/>
        <v>-0.28188937682821491</v>
      </c>
    </row>
    <row r="18" spans="1:9" ht="12.75" customHeight="1">
      <c r="A18" s="55" t="str">
        <v>Ledeaux</v>
      </c>
      <c r="B18" s="35" t="str">
        <v>MA</v>
      </c>
      <c r="C18" s="36">
        <f>SUM(Jan!C18, Feb!C18, Mar!C18)</f>
        <v>264616</v>
      </c>
      <c r="D18" s="37">
        <f>SUM(Jan!D18, Feb!D18, Mar!D18)</f>
        <v>322791.27</v>
      </c>
      <c r="E18" s="37">
        <f t="shared" si="3"/>
        <v>-58175.270000000019</v>
      </c>
      <c r="F18" s="38">
        <f t="shared" si="4"/>
        <v>-0.18022566099758527</v>
      </c>
      <c r="G18" s="39">
        <f>SUM(Jan!G18, Feb!G18, Mar!G18)</f>
        <v>380712.19</v>
      </c>
      <c r="H18" s="39">
        <f>SUM(Jan!H18, Feb!H18, Mar!H18)</f>
        <v>-116096.19</v>
      </c>
      <c r="I18" s="45">
        <f t="shared" si="5"/>
        <v>-0.30494476680665256</v>
      </c>
    </row>
    <row r="19" spans="1:9" ht="15.75">
      <c r="A19" s="56" t="str">
        <v>Palombo A</v>
      </c>
      <c r="B19" s="42" t="str">
        <v>MA</v>
      </c>
      <c r="C19" s="43">
        <f>SUM(Jan!C19, Feb!C19, Mar!C19)</f>
        <v>615328.99999999953</v>
      </c>
      <c r="D19" s="44">
        <f>SUM(Jan!D19, Feb!D19, Mar!D19)</f>
        <v>833714</v>
      </c>
      <c r="E19" s="44">
        <f t="shared" ref="E19:E24" si="6">IF(AND(ISNUMBER(C19),ISNUMBER(D19)), C19-D19, "")</f>
        <v>-218385.00000000047</v>
      </c>
      <c r="F19" s="45">
        <f t="shared" ref="F19:F24" si="7">IFERROR(E19/D19, "")</f>
        <v>-0.26194234473692474</v>
      </c>
      <c r="G19" s="46">
        <f>SUM(Jan!G19, Feb!G19, Mar!G19)</f>
        <v>905621</v>
      </c>
      <c r="H19" s="46">
        <f>SUM(Jan!H19, Feb!H19, Mar!H19)</f>
        <v>-290292.00000000041</v>
      </c>
      <c r="I19" s="40">
        <f t="shared" ref="I19:I24" si="8">IFERROR(H19/G19, "")</f>
        <v>-0.32054468701587135</v>
      </c>
    </row>
    <row r="20" spans="1:9" ht="15.75">
      <c r="A20" s="55" t="str">
        <v>Palombo B</v>
      </c>
      <c r="B20" s="35" t="str">
        <v>MA</v>
      </c>
      <c r="C20" s="36">
        <f>SUM(Jan!C20, Feb!C20, Mar!C20)</f>
        <v>291761</v>
      </c>
      <c r="D20" s="37">
        <f>SUM(Jan!D20, Feb!D20, Mar!D20)</f>
        <v>390903.85</v>
      </c>
      <c r="E20" s="37">
        <f t="shared" si="6"/>
        <v>-99142.849999999977</v>
      </c>
      <c r="F20" s="38">
        <f t="shared" si="7"/>
        <v>-0.25362464452575739</v>
      </c>
      <c r="G20" s="39">
        <f>SUM(Jan!G20, Feb!G20, Mar!G20)</f>
        <v>321983.29000000004</v>
      </c>
      <c r="H20" s="39">
        <f>SUM(Jan!H20, Feb!H20, Mar!H20)</f>
        <v>-30222.289999999994</v>
      </c>
      <c r="I20" s="45">
        <f t="shared" si="8"/>
        <v>-9.3862914438820694E-2</v>
      </c>
    </row>
    <row r="21" spans="1:9" ht="15.75">
      <c r="A21" s="56" t="str">
        <v>St Josephs Church</v>
      </c>
      <c r="B21" s="42" t="str">
        <v>MA</v>
      </c>
      <c r="C21" s="43">
        <f>SUM(Jan!C21, Feb!C21, Mar!C21)</f>
        <v>282762</v>
      </c>
      <c r="D21" s="44">
        <f>SUM(Jan!D21, Feb!D21, Mar!D21)</f>
        <v>414919.42000000004</v>
      </c>
      <c r="E21" s="44">
        <f t="shared" si="6"/>
        <v>-132157.42000000004</v>
      </c>
      <c r="F21" s="45">
        <f t="shared" si="7"/>
        <v>-0.31851345979419338</v>
      </c>
      <c r="G21" s="46">
        <f>SUM(Jan!G21, Feb!G21, Mar!G21)</f>
        <v>362356.82</v>
      </c>
      <c r="H21" s="46">
        <f>SUM(Jan!H21, Feb!H21, Mar!H21)</f>
        <v>-79594.820000000007</v>
      </c>
      <c r="I21" s="45">
        <f t="shared" si="8"/>
        <v>-0.21965867787447743</v>
      </c>
    </row>
    <row r="22" spans="1:9" ht="15.75">
      <c r="A22" s="55" t="str">
        <v>Sunset A</v>
      </c>
      <c r="B22" s="35" t="str">
        <v>MA</v>
      </c>
      <c r="C22" s="36">
        <f>SUM(Jan!C22, Feb!C22, Mar!C22)</f>
        <v>137863.5</v>
      </c>
      <c r="D22" s="37">
        <f>SUM(Jan!D22, Feb!D22, Mar!D22)</f>
        <v>205317.53000000003</v>
      </c>
      <c r="E22" s="37">
        <f t="shared" si="6"/>
        <v>-67454.030000000028</v>
      </c>
      <c r="F22" s="38">
        <f t="shared" si="7"/>
        <v>-0.32853517183846903</v>
      </c>
      <c r="G22" s="39">
        <f>SUM(Jan!G22, Feb!G22, Mar!G22)</f>
        <v>146090.46000000002</v>
      </c>
      <c r="H22" s="39">
        <f>SUM(Jan!H22, Feb!H22, Mar!H22)</f>
        <v>-8226.9600000000028</v>
      </c>
      <c r="I22" s="40">
        <f t="shared" si="8"/>
        <v>-5.6314149466022638E-2</v>
      </c>
    </row>
    <row r="23" spans="1:9" ht="15.75">
      <c r="A23" s="56" t="str">
        <v>Sunset B</v>
      </c>
      <c r="B23" s="42" t="str">
        <v>MA</v>
      </c>
      <c r="C23" s="43">
        <f>SUM(Jan!C23, Feb!C23, Mar!C23)</f>
        <v>126223.5</v>
      </c>
      <c r="D23" s="44">
        <f>SUM(Jan!D23, Feb!D23, Mar!D23)</f>
        <v>163159.81</v>
      </c>
      <c r="E23" s="44">
        <f t="shared" si="6"/>
        <v>-36936.31</v>
      </c>
      <c r="F23" s="45">
        <f t="shared" si="7"/>
        <v>-0.22638117806094527</v>
      </c>
      <c r="G23" s="46">
        <f>SUM(Jan!G23, Feb!G23, Mar!G23)</f>
        <v>144341.81</v>
      </c>
      <c r="H23" s="46">
        <f>SUM(Jan!H23, Feb!H23, Mar!H23)</f>
        <v>-18118.310000000005</v>
      </c>
      <c r="I23" s="45">
        <f t="shared" si="8"/>
        <v>-0.12552364418874895</v>
      </c>
    </row>
    <row r="24" spans="1:9" ht="15.75">
      <c r="A24" s="55" t="str">
        <v>Woodchuck</v>
      </c>
      <c r="B24" s="35" t="str">
        <v>MA</v>
      </c>
      <c r="C24" s="36">
        <f>SUM(Jan!C24, Feb!C24, Mar!C24)</f>
        <v>286419</v>
      </c>
      <c r="D24" s="37">
        <f>SUM(Jan!D24, Feb!D24, Mar!D24)</f>
        <v>362959.88</v>
      </c>
      <c r="E24" s="37">
        <f t="shared" si="6"/>
        <v>-76540.88</v>
      </c>
      <c r="F24" s="38">
        <f t="shared" si="7"/>
        <v>-0.21087972588044718</v>
      </c>
      <c r="G24" s="39">
        <f>SUM(Jan!G24, Feb!G24, Mar!G24)</f>
        <v>381962.8</v>
      </c>
      <c r="H24" s="39">
        <f>SUM(Jan!H24, Feb!H24, Mar!H24)</f>
        <v>-95543.8</v>
      </c>
      <c r="I24" s="45">
        <f t="shared" si="8"/>
        <v>-0.25013901877355599</v>
      </c>
    </row>
    <row r="25" spans="1:9" ht="14.25">
      <c r="A25" s="13"/>
      <c r="B25" s="8"/>
      <c r="C25" s="13"/>
      <c r="D25" s="13"/>
      <c r="E25" s="13"/>
      <c r="F25" s="13"/>
      <c r="G25" s="13"/>
      <c r="H25" s="13"/>
      <c r="I25" s="13"/>
    </row>
    <row r="26" spans="1:9" ht="13.15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1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15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15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1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9 I4:I9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1"/>
  <sheetViews>
    <sheetView workbookViewId="0">
      <pane xSplit="2" ySplit="3" topLeftCell="C5" activePane="bottomRight" state="frozen"/>
      <selection pane="bottomRight" activeCell="C5" sqref="C5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5" t="str" cm="1">
        <f t="array" ref="A1">portfolio</f>
        <v>38 DN</v>
      </c>
      <c r="B1" s="85"/>
      <c r="C1" s="85"/>
      <c r="D1" s="86" t="s">
        <v>12</v>
      </c>
      <c r="E1" s="86"/>
      <c r="F1" s="86"/>
      <c r="G1" s="84" t="s">
        <v>13</v>
      </c>
      <c r="H1" s="84"/>
      <c r="I1" s="84"/>
    </row>
    <row r="2" spans="1:9" ht="19.5" customHeight="1">
      <c r="A2" s="87" t="s">
        <v>2</v>
      </c>
      <c r="B2" s="87"/>
      <c r="C2" s="5">
        <f>SUM(C4:C99)</f>
        <v>13517899.303322259</v>
      </c>
      <c r="D2" s="5">
        <f>SUM(D4:D99)</f>
        <v>13851375.370000001</v>
      </c>
      <c r="E2" s="5">
        <f>C2-D2</f>
        <v>-333476.06667774171</v>
      </c>
      <c r="F2" s="6">
        <f>IFERROR(E2/D2, 0)</f>
        <v>-2.4075303554331563E-2</v>
      </c>
      <c r="G2" s="5">
        <f>SUM(G4:G99)</f>
        <v>14275415.720000004</v>
      </c>
      <c r="H2" s="7">
        <f>C2-G2</f>
        <v>-757516.41667774506</v>
      </c>
      <c r="I2" s="6">
        <f>IFERROR(H2/G2, 0)</f>
        <v>-5.3064403274536993E-2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SUM(Apr!C4, May!C4, Jun!C4)</f>
        <v>669108.30000000005</v>
      </c>
      <c r="D4" s="37">
        <f>SUM(Apr!D4, May!D4, Jun!D4)</f>
        <v>787267.6</v>
      </c>
      <c r="E4" s="37">
        <f>IF(AND(ISNUMBER(C4),ISNUMBER(D4)), C4-D4, "")</f>
        <v>-118159.29999999993</v>
      </c>
      <c r="F4" s="38">
        <f>IFERROR(E4/D4, "")</f>
        <v>-0.15008784814718645</v>
      </c>
      <c r="G4" s="39">
        <f>SUM(Apr!G4, May!G4, Jun!G4)</f>
        <v>726874.3</v>
      </c>
      <c r="H4" s="39">
        <f>SUM(Apr!H4, May!H4, Jun!H4)</f>
        <v>-57766.000000000029</v>
      </c>
      <c r="I4" s="40">
        <f>IFERROR(H4/G4, "")</f>
        <v>-7.9471787625453288E-2</v>
      </c>
    </row>
    <row r="5" spans="1:9" ht="15.75">
      <c r="A5" s="56" t="str">
        <v>Barton Acres</v>
      </c>
      <c r="B5" s="42" t="str">
        <v>MA</v>
      </c>
      <c r="C5" s="43">
        <f>SUM(Apr!C5, May!C5, Jun!C5)</f>
        <v>545310</v>
      </c>
      <c r="D5" s="44">
        <f>SUM(Apr!D5, May!D5, Jun!D5)</f>
        <v>539383.5</v>
      </c>
      <c r="E5" s="44">
        <f t="shared" ref="E5:E15" si="0">IF(AND(ISNUMBER(C5),ISNUMBER(D5)), C5-D5, "")</f>
        <v>5926.5</v>
      </c>
      <c r="F5" s="45">
        <f>IFERROR(E5/D5, "")</f>
        <v>1.0987544112862185E-2</v>
      </c>
      <c r="G5" s="46">
        <f>SUM(Apr!G5, May!G5, Jun!G5)</f>
        <v>560726.70000000007</v>
      </c>
      <c r="H5" s="46">
        <f>SUM(Apr!H5, May!H5, Jun!H5)</f>
        <v>-15416.700000000012</v>
      </c>
      <c r="I5" s="45">
        <f>IFERROR(H5/G5, "")</f>
        <v>-2.7494142868531156E-2</v>
      </c>
    </row>
    <row r="6" spans="1:9" ht="15.75">
      <c r="A6" s="55" t="str">
        <v>Bowden</v>
      </c>
      <c r="B6" s="35" t="str">
        <v>MA</v>
      </c>
      <c r="C6" s="36">
        <f>SUM(Apr!C6, May!C6, Jun!C6)</f>
        <v>1110105</v>
      </c>
      <c r="D6" s="37">
        <f>SUM(Apr!D6, May!D6, Jun!D6)</f>
        <v>1106578</v>
      </c>
      <c r="E6" s="37">
        <f t="shared" si="0"/>
        <v>3527</v>
      </c>
      <c r="F6" s="38">
        <f t="shared" ref="F6:F15" si="1">IFERROR(E6/D6, "")</f>
        <v>3.1873035610684472E-3</v>
      </c>
      <c r="G6" s="39">
        <f>SUM(Apr!G6, May!G6, Jun!G6)</f>
        <v>1115432.6000000001</v>
      </c>
      <c r="H6" s="39">
        <f>SUM(Apr!H6, May!H6, Jun!H6)</f>
        <v>-5327.5999999999767</v>
      </c>
      <c r="I6" s="40">
        <f t="shared" ref="I6:I15" si="2">IFERROR(H6/G6, "")</f>
        <v>-4.7762634873680185E-3</v>
      </c>
    </row>
    <row r="7" spans="1:9" ht="15.75">
      <c r="A7" s="56" t="str">
        <v>Blair Wire Village</v>
      </c>
      <c r="B7" s="42" t="str">
        <v>MA</v>
      </c>
      <c r="C7" s="43">
        <f>SUM(Apr!C7, May!C7, Jun!C7)</f>
        <v>519157</v>
      </c>
      <c r="D7" s="44">
        <f>SUM(Apr!D7, May!D7, Jun!D7)</f>
        <v>570134.1</v>
      </c>
      <c r="E7" s="44">
        <f t="shared" si="0"/>
        <v>-50977.099999999977</v>
      </c>
      <c r="F7" s="45">
        <f t="shared" si="1"/>
        <v>-8.9412473311103441E-2</v>
      </c>
      <c r="G7" s="46">
        <f>SUM(Apr!G7, May!G7, Jun!G7)</f>
        <v>559056.19999999995</v>
      </c>
      <c r="H7" s="46">
        <f>SUM(Apr!H7, May!H7, Jun!H7)</f>
        <v>-39899.199999999983</v>
      </c>
      <c r="I7" s="45">
        <f t="shared" si="2"/>
        <v>-7.1368853435486421E-2</v>
      </c>
    </row>
    <row r="8" spans="1:9" ht="15.75">
      <c r="A8" s="55" t="str">
        <v>Boutilier</v>
      </c>
      <c r="B8" s="35" t="str">
        <v>MA</v>
      </c>
      <c r="C8" s="36">
        <f>SUM(Apr!C8, May!C8, Jun!C8)</f>
        <v>1478476</v>
      </c>
      <c r="D8" s="37">
        <f>SUM(Apr!D8, May!D8, Jun!D8)</f>
        <v>1482573</v>
      </c>
      <c r="E8" s="37">
        <f t="shared" si="0"/>
        <v>-4097</v>
      </c>
      <c r="F8" s="38">
        <f t="shared" si="1"/>
        <v>-2.7634389672549007E-3</v>
      </c>
      <c r="G8" s="39">
        <f>SUM(Apr!G8, May!G8, Jun!G8)</f>
        <v>1539248.5</v>
      </c>
      <c r="H8" s="39">
        <f>SUM(Apr!H8, May!H8, Jun!H8)</f>
        <v>-60772.5</v>
      </c>
      <c r="I8" s="40">
        <f t="shared" si="2"/>
        <v>-3.9481929006265071E-2</v>
      </c>
    </row>
    <row r="9" spans="1:9" ht="15.75">
      <c r="A9" s="56" t="str">
        <v>Cherry Valley</v>
      </c>
      <c r="B9" s="42" t="str">
        <v>MA</v>
      </c>
      <c r="C9" s="43">
        <f>SUM(Apr!C9, May!C9, Jun!C9)</f>
        <v>522390</v>
      </c>
      <c r="D9" s="44">
        <f>SUM(Apr!D9, May!D9, Jun!D9)</f>
        <v>540948.9</v>
      </c>
      <c r="E9" s="44">
        <f t="shared" si="0"/>
        <v>-18558.900000000023</v>
      </c>
      <c r="F9" s="45">
        <f t="shared" si="1"/>
        <v>-3.4308046471672321E-2</v>
      </c>
      <c r="G9" s="46">
        <f>SUM(Apr!G9, May!G9, Jun!G9)</f>
        <v>553860</v>
      </c>
      <c r="H9" s="46">
        <f>SUM(Apr!H9, May!H9, Jun!H9)</f>
        <v>-31470</v>
      </c>
      <c r="I9" s="45">
        <f t="shared" si="2"/>
        <v>-5.6819412848012132E-2</v>
      </c>
    </row>
    <row r="10" spans="1:9" ht="15.75">
      <c r="A10" s="55" t="str">
        <v>Cohasse</v>
      </c>
      <c r="B10" s="35" t="str">
        <v>MA</v>
      </c>
      <c r="C10" s="36">
        <f>SUM(Apr!C10, May!C10, Jun!C10)</f>
        <v>499860</v>
      </c>
      <c r="D10" s="37">
        <f>SUM(Apr!D10, May!D10, Jun!D10)</f>
        <v>493690.6</v>
      </c>
      <c r="E10" s="37">
        <f t="shared" si="0"/>
        <v>6169.4000000000233</v>
      </c>
      <c r="F10" s="38">
        <f t="shared" si="1"/>
        <v>1.249649071706049E-2</v>
      </c>
      <c r="G10" s="39">
        <f>SUM(Apr!G10, May!G10, Jun!G10)</f>
        <v>556612.69999999995</v>
      </c>
      <c r="H10" s="39">
        <f>SUM(Apr!H10, May!H10, Jun!H10)</f>
        <v>-56752.699999999983</v>
      </c>
      <c r="I10" s="40">
        <f t="shared" si="2"/>
        <v>-0.10196084279068729</v>
      </c>
    </row>
    <row r="11" spans="1:9" ht="15.75">
      <c r="A11" s="56" t="str">
        <v>ISM Dighton Solar 2</v>
      </c>
      <c r="B11" s="42" t="str">
        <v>MA</v>
      </c>
      <c r="C11" s="43">
        <f>SUM(Apr!C11, May!C11, Jun!C11)</f>
        <v>1117692</v>
      </c>
      <c r="D11" s="44">
        <f>SUM(Apr!D11, May!D11, Jun!D11)</f>
        <v>1088094.3</v>
      </c>
      <c r="E11" s="44">
        <f t="shared" si="0"/>
        <v>29597.699999999953</v>
      </c>
      <c r="F11" s="45">
        <f t="shared" si="1"/>
        <v>2.7201410760078381E-2</v>
      </c>
      <c r="G11" s="46">
        <f>SUM(Apr!G11, May!G11, Jun!G11)</f>
        <v>1141253.5</v>
      </c>
      <c r="H11" s="46">
        <f>SUM(Apr!H11, May!H11, Jun!H11)</f>
        <v>-23561.5</v>
      </c>
      <c r="I11" s="45">
        <f t="shared" si="2"/>
        <v>-2.0645281701217127E-2</v>
      </c>
    </row>
    <row r="12" spans="1:9" ht="15.75">
      <c r="A12" s="55" t="str">
        <v>Dudley River 1</v>
      </c>
      <c r="B12" s="35" t="str">
        <v>MA</v>
      </c>
      <c r="C12" s="36">
        <f>SUM(Apr!C12, May!C12, Jun!C12)</f>
        <v>536212</v>
      </c>
      <c r="D12" s="37">
        <f>SUM(Apr!D12, May!D12, Jun!D12)</f>
        <v>547912</v>
      </c>
      <c r="E12" s="37">
        <f t="shared" si="0"/>
        <v>-11700</v>
      </c>
      <c r="F12" s="38">
        <f t="shared" si="1"/>
        <v>-2.1353794039918821E-2</v>
      </c>
      <c r="G12" s="39">
        <f>SUM(Apr!G12, May!G12, Jun!G12)</f>
        <v>561943.9</v>
      </c>
      <c r="H12" s="39">
        <f>SUM(Apr!H12, May!H12, Jun!H12)</f>
        <v>-25731.899999999994</v>
      </c>
      <c r="I12" s="40">
        <f t="shared" si="2"/>
        <v>-4.5790869871529867E-2</v>
      </c>
    </row>
    <row r="13" spans="1:9" ht="15.75">
      <c r="A13" s="56" t="str">
        <v>Dudley River 2</v>
      </c>
      <c r="B13" s="42" t="str">
        <v>MA</v>
      </c>
      <c r="C13" s="43">
        <f>SUM(Apr!C13, May!C13, Jun!C13)</f>
        <v>514464</v>
      </c>
      <c r="D13" s="44">
        <f>SUM(Apr!D13, May!D13, Jun!D13)</f>
        <v>540498.30000000005</v>
      </c>
      <c r="E13" s="44">
        <f t="shared" si="0"/>
        <v>-26034.300000000047</v>
      </c>
      <c r="F13" s="45">
        <f t="shared" si="1"/>
        <v>-4.8167219027330975E-2</v>
      </c>
      <c r="G13" s="46">
        <f>SUM(Apr!G13, May!G13, Jun!G13)</f>
        <v>537337</v>
      </c>
      <c r="H13" s="46">
        <f>SUM(Apr!H13, May!H13, Jun!H13)</f>
        <v>-22872.999999999971</v>
      </c>
      <c r="I13" s="45">
        <f t="shared" si="2"/>
        <v>-4.2567327394167853E-2</v>
      </c>
    </row>
    <row r="14" spans="1:9" ht="15.75">
      <c r="A14" s="55" t="str">
        <v>Dudley River 3</v>
      </c>
      <c r="B14" s="35" t="str">
        <v>MA</v>
      </c>
      <c r="C14" s="36">
        <f>SUM(Apr!C14, May!C14, Jun!C14)</f>
        <v>530999</v>
      </c>
      <c r="D14" s="37">
        <f>SUM(Apr!D14, May!D14, Jun!D14)</f>
        <v>538683.80000000005</v>
      </c>
      <c r="E14" s="37">
        <f t="shared" si="0"/>
        <v>-7684.8000000000466</v>
      </c>
      <c r="F14" s="38">
        <f t="shared" si="1"/>
        <v>-1.4265882879715421E-2</v>
      </c>
      <c r="G14" s="39">
        <f>SUM(Apr!G14, May!G14, Jun!G14)</f>
        <v>544401.9</v>
      </c>
      <c r="H14" s="39">
        <f>SUM(Apr!H14, May!H14, Jun!H14)</f>
        <v>-13402.900000000023</v>
      </c>
      <c r="I14" s="40">
        <f t="shared" si="2"/>
        <v>-2.4619495266272991E-2</v>
      </c>
    </row>
    <row r="15" spans="1:9" ht="15.75">
      <c r="A15" s="56" t="str">
        <v>Flint Pond</v>
      </c>
      <c r="B15" s="42" t="str">
        <v>MA</v>
      </c>
      <c r="C15" s="43">
        <f>SUM(Apr!C15, May!C15, Jun!C15)</f>
        <v>257182.5</v>
      </c>
      <c r="D15" s="44">
        <f>SUM(Apr!D15, May!D15, Jun!D15)</f>
        <v>220092.02</v>
      </c>
      <c r="E15" s="44">
        <f t="shared" si="0"/>
        <v>37090.48000000001</v>
      </c>
      <c r="F15" s="45">
        <f t="shared" si="1"/>
        <v>0.16852260250053597</v>
      </c>
      <c r="G15" s="46">
        <f>SUM(Apr!G15, May!G15, Jun!G15)</f>
        <v>264870.46999999997</v>
      </c>
      <c r="H15" s="46">
        <f>SUM(Apr!H15, May!H15, Jun!H15)</f>
        <v>-7687.9700000000012</v>
      </c>
      <c r="I15" s="45">
        <f t="shared" si="2"/>
        <v>-2.9025394941157471E-2</v>
      </c>
    </row>
    <row r="16" spans="1:9" ht="15.75">
      <c r="A16" s="55" t="str">
        <v>Incom</v>
      </c>
      <c r="B16" s="35" t="str">
        <v>MA</v>
      </c>
      <c r="C16" s="36">
        <f>SUM(Apr!C16, May!C16, Jun!C16)</f>
        <v>1124910</v>
      </c>
      <c r="D16" s="37">
        <f>SUM(Apr!D16, May!D16, Jun!D16)</f>
        <v>1245264.2</v>
      </c>
      <c r="E16" s="37">
        <f t="shared" ref="E16:E18" si="3">IF(AND(ISNUMBER(C16),ISNUMBER(D16)), C16-D16, "")</f>
        <v>-120354.19999999995</v>
      </c>
      <c r="F16" s="38">
        <f t="shared" ref="F16:F18" si="4">IFERROR(E16/D16, "")</f>
        <v>-9.66495302763863E-2</v>
      </c>
      <c r="G16" s="39">
        <f>SUM(Apr!G16, May!G16, Jun!G16)</f>
        <v>1138926.2</v>
      </c>
      <c r="H16" s="39">
        <f>SUM(Apr!H16, May!H16, Jun!H16)</f>
        <v>-14016.200000000012</v>
      </c>
      <c r="I16" s="40">
        <f t="shared" ref="I16:I18" si="5">IFERROR(H16/G16, "")</f>
        <v>-1.2306504143991079E-2</v>
      </c>
    </row>
    <row r="17" spans="1:9" ht="15.75">
      <c r="A17" s="56" t="str">
        <v>JH</v>
      </c>
      <c r="B17" s="42" t="str">
        <v>MA</v>
      </c>
      <c r="C17" s="36">
        <f>SUM(Apr!C17, May!C17, Jun!C17)</f>
        <v>513411</v>
      </c>
      <c r="D17" s="37">
        <f>SUM(Apr!D17, May!D17, Jun!D17)</f>
        <v>524824.30000000005</v>
      </c>
      <c r="E17" s="37">
        <f t="shared" si="3"/>
        <v>-11413.300000000047</v>
      </c>
      <c r="F17" s="38">
        <f t="shared" si="4"/>
        <v>-2.1746897009151531E-2</v>
      </c>
      <c r="G17" s="46">
        <f>SUM(Apr!G17, May!G17, Jun!G17)</f>
        <v>551769.30000000005</v>
      </c>
      <c r="H17" s="39">
        <f>SUM(Apr!H17, May!H17, Jun!H17)</f>
        <v>-38358.300000000017</v>
      </c>
      <c r="I17" s="40">
        <f t="shared" si="5"/>
        <v>-6.9518728207604186E-2</v>
      </c>
    </row>
    <row r="18" spans="1:9" ht="12.75" customHeight="1">
      <c r="A18" s="55" t="str">
        <v>Ledeaux</v>
      </c>
      <c r="B18" s="35" t="str">
        <v>MA</v>
      </c>
      <c r="C18" s="43">
        <f>SUM(Apr!C18, May!C18, Jun!C18)</f>
        <v>478457</v>
      </c>
      <c r="D18" s="44">
        <f>SUM(Apr!D18, May!D18, Jun!D18)</f>
        <v>507528.3</v>
      </c>
      <c r="E18" s="44">
        <f t="shared" si="3"/>
        <v>-29071.299999999988</v>
      </c>
      <c r="F18" s="45">
        <f t="shared" si="4"/>
        <v>-5.7280155609056659E-2</v>
      </c>
      <c r="G18" s="39">
        <f>SUM(Apr!G18, May!G18, Jun!G18)</f>
        <v>542279.80000000005</v>
      </c>
      <c r="H18" s="46">
        <f>SUM(Apr!H18, May!H18, Jun!H18)</f>
        <v>-63822.799999999988</v>
      </c>
      <c r="I18" s="45">
        <f t="shared" si="5"/>
        <v>-0.1176934859089348</v>
      </c>
    </row>
    <row r="19" spans="1:9" ht="15.75">
      <c r="A19" s="56" t="str">
        <v>Palombo A</v>
      </c>
      <c r="B19" s="42" t="str">
        <v>MA</v>
      </c>
      <c r="C19" s="36">
        <f>SUM(Apr!C19, May!C19, Jun!C19)</f>
        <v>1077552.0033222591</v>
      </c>
      <c r="D19" s="37">
        <f>SUM(Apr!D19, May!D19, Jun!D19)</f>
        <v>1080070.6000000001</v>
      </c>
      <c r="E19" s="37">
        <f t="shared" ref="E19:E24" si="6">IF(AND(ISNUMBER(C19),ISNUMBER(D19)), C19-D19, "")</f>
        <v>-2518.5966777410358</v>
      </c>
      <c r="F19" s="38">
        <f t="shared" ref="F19:F24" si="7">IFERROR(E19/D19, "")</f>
        <v>-2.3318815249123858E-3</v>
      </c>
      <c r="G19" s="46">
        <f>SUM(Apr!G19, May!G19, Jun!G19)</f>
        <v>1145758</v>
      </c>
      <c r="H19" s="39">
        <f>SUM(Apr!H19, May!H19, Jun!H19)</f>
        <v>-68205.996677741001</v>
      </c>
      <c r="I19" s="40">
        <f t="shared" ref="I19:I24" si="8">IFERROR(H19/G19, "")</f>
        <v>-5.9529147235054002E-2</v>
      </c>
    </row>
    <row r="20" spans="1:9" ht="15.75">
      <c r="A20" s="55" t="str">
        <v>Palombo B</v>
      </c>
      <c r="B20" s="35" t="str">
        <v>MA</v>
      </c>
      <c r="C20" s="36">
        <f>SUM(Apr!C20, May!C20, Jun!C20)</f>
        <v>545434</v>
      </c>
      <c r="D20" s="37">
        <f>SUM(Apr!D20, May!D20, Jun!D20)</f>
        <v>464438.30000000005</v>
      </c>
      <c r="E20" s="37">
        <f t="shared" si="6"/>
        <v>80995.699999999953</v>
      </c>
      <c r="F20" s="38">
        <f t="shared" si="7"/>
        <v>0.17439496268933882</v>
      </c>
      <c r="G20" s="39">
        <f>SUM(Apr!G20, May!G20, Jun!G20)</f>
        <v>583491.30000000005</v>
      </c>
      <c r="H20" s="39">
        <f>SUM(Apr!H20, May!H20, Jun!H20)</f>
        <v>-38057.300000000017</v>
      </c>
      <c r="I20" s="40">
        <f t="shared" si="8"/>
        <v>-6.5223423211280121E-2</v>
      </c>
    </row>
    <row r="21" spans="1:9" ht="15.75">
      <c r="A21" s="56" t="str">
        <v>St Josephs Church</v>
      </c>
      <c r="B21" s="42" t="str">
        <v>MA</v>
      </c>
      <c r="C21" s="43">
        <f>SUM(Apr!C21, May!C21, Jun!C21)</f>
        <v>526463</v>
      </c>
      <c r="D21" s="44">
        <f>SUM(Apr!D21, May!D21, Jun!D21)</f>
        <v>569352.4</v>
      </c>
      <c r="E21" s="44">
        <f t="shared" si="6"/>
        <v>-42889.400000000023</v>
      </c>
      <c r="F21" s="45">
        <f t="shared" si="7"/>
        <v>-7.5330147023179361E-2</v>
      </c>
      <c r="G21" s="46">
        <f>SUM(Apr!G21, May!G21, Jun!G21)</f>
        <v>546743.80000000005</v>
      </c>
      <c r="H21" s="46">
        <f>SUM(Apr!H21, May!H21, Jun!H21)</f>
        <v>-20280.800000000017</v>
      </c>
      <c r="I21" s="45">
        <f t="shared" si="8"/>
        <v>-3.7093790546870425E-2</v>
      </c>
    </row>
    <row r="22" spans="1:9" ht="15.75">
      <c r="A22" s="55" t="str">
        <v>Sunset A</v>
      </c>
      <c r="B22" s="35" t="str">
        <v>MA</v>
      </c>
      <c r="C22" s="36">
        <f>SUM(Apr!C22, May!C22, Jun!C22)</f>
        <v>212868.5</v>
      </c>
      <c r="D22" s="37">
        <f>SUM(Apr!D22, May!D22, Jun!D22)</f>
        <v>230425.94</v>
      </c>
      <c r="E22" s="37">
        <f t="shared" si="6"/>
        <v>-17557.440000000002</v>
      </c>
      <c r="F22" s="38">
        <f t="shared" si="7"/>
        <v>-7.6195588048810839E-2</v>
      </c>
      <c r="G22" s="39">
        <f>SUM(Apr!G22, May!G22, Jun!G22)</f>
        <v>263997.98</v>
      </c>
      <c r="H22" s="39">
        <f>SUM(Apr!H22, May!H22, Jun!H22)</f>
        <v>-51129.48000000001</v>
      </c>
      <c r="I22" s="40">
        <f t="shared" si="8"/>
        <v>-0.19367375462494074</v>
      </c>
    </row>
    <row r="23" spans="1:9" ht="15.75">
      <c r="A23" s="56" t="str">
        <v>Sunset B</v>
      </c>
      <c r="B23" s="42" t="str">
        <v>MA</v>
      </c>
      <c r="C23" s="36">
        <f>SUM(Apr!C23, May!C23, Jun!C23)</f>
        <v>201745</v>
      </c>
      <c r="D23" s="37">
        <f>SUM(Apr!D23, May!D23, Jun!D23)</f>
        <v>219673.91</v>
      </c>
      <c r="E23" s="37">
        <f t="shared" si="6"/>
        <v>-17928.910000000003</v>
      </c>
      <c r="F23" s="38">
        <f t="shared" si="7"/>
        <v>-8.1616018943715271E-2</v>
      </c>
      <c r="G23" s="46">
        <f>SUM(Apr!G23, May!G23, Jun!G23)</f>
        <v>260827.07</v>
      </c>
      <c r="H23" s="39">
        <f>SUM(Apr!H23, May!H23, Jun!H23)</f>
        <v>-59082.069999999992</v>
      </c>
      <c r="I23" s="40">
        <f t="shared" si="8"/>
        <v>-0.22651816776533198</v>
      </c>
    </row>
    <row r="24" spans="1:9" ht="15.75">
      <c r="A24" s="55" t="str">
        <v>Woodchuck</v>
      </c>
      <c r="B24" s="35" t="str">
        <v>MA</v>
      </c>
      <c r="C24" s="43">
        <f>SUM(Apr!C24, May!C24, Jun!C24)</f>
        <v>536103</v>
      </c>
      <c r="D24" s="44">
        <f>SUM(Apr!D24, May!D24, Jun!D24)</f>
        <v>553941.30000000005</v>
      </c>
      <c r="E24" s="44">
        <f t="shared" si="6"/>
        <v>-17838.300000000047</v>
      </c>
      <c r="F24" s="45">
        <f t="shared" si="7"/>
        <v>-3.2202509543881354E-2</v>
      </c>
      <c r="G24" s="39">
        <f>SUM(Apr!G24, May!G24, Jun!G24)</f>
        <v>580004.5</v>
      </c>
      <c r="H24" s="46">
        <f>SUM(Apr!H24, May!H24, Jun!H24)</f>
        <v>-43901.5</v>
      </c>
      <c r="I24" s="45">
        <f t="shared" si="8"/>
        <v>-7.5691654116476687E-2</v>
      </c>
    </row>
    <row r="25" spans="1:9" ht="13.15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3.15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1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15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15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1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9 I4:I9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1"/>
  <sheetViews>
    <sheetView workbookViewId="0">
      <pane xSplit="2" ySplit="3" topLeftCell="C4" activePane="bottomRight" state="frozen"/>
      <selection pane="bottomRight" activeCell="C4" sqref="C4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5" t="str" cm="1">
        <f t="array" ref="A1">portfolio</f>
        <v>38 DN</v>
      </c>
      <c r="B1" s="85"/>
      <c r="C1" s="85"/>
      <c r="D1" s="86" t="s">
        <v>14</v>
      </c>
      <c r="E1" s="86"/>
      <c r="F1" s="86"/>
      <c r="G1" s="84" t="s">
        <v>15</v>
      </c>
      <c r="H1" s="84"/>
      <c r="I1" s="84"/>
    </row>
    <row r="2" spans="1:9" ht="19.5" customHeight="1">
      <c r="A2" s="87" t="s">
        <v>2</v>
      </c>
      <c r="B2" s="87"/>
      <c r="C2" s="5">
        <f>SUM(C4:C99)</f>
        <v>13005737.750011079</v>
      </c>
      <c r="D2" s="5">
        <f>SUM(D4:D99)</f>
        <v>13370635.809999997</v>
      </c>
      <c r="E2" s="5">
        <f>C2-D2</f>
        <v>-364898.05998891778</v>
      </c>
      <c r="F2" s="6">
        <f>IFERROR(E2/D2, 0)</f>
        <v>-2.7291002849393883E-2</v>
      </c>
      <c r="G2" s="5">
        <f>SUM(G4:G99)</f>
        <v>13994637.689999998</v>
      </c>
      <c r="H2" s="7">
        <f>C2-G2</f>
        <v>-988899.9399889186</v>
      </c>
      <c r="I2" s="6">
        <f>IFERROR(H2/G2, 0)</f>
        <v>-7.0662775406865053E-2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SUM(Jul!C4, Aug!C4, Sep!C4)</f>
        <v>592229</v>
      </c>
      <c r="D4" s="37">
        <f>SUM(Jul!D4, Aug!D4, Sep!D4)</f>
        <v>761016.90000000014</v>
      </c>
      <c r="E4" s="37">
        <f>IF(AND(ISNUMBER(C4),ISNUMBER(D4)), C4-D4, "")</f>
        <v>-168787.90000000014</v>
      </c>
      <c r="F4" s="38">
        <f>IFERROR(E4/D4, "")</f>
        <v>-0.22179257779952075</v>
      </c>
      <c r="G4" s="39">
        <f>SUM(Jul!G4,Aug!G4,Sep!G4)</f>
        <v>748534.5</v>
      </c>
      <c r="H4" s="39">
        <f>SUM(Jul!H4, Aug!H4, Sep!H4)</f>
        <v>-156305.49999999997</v>
      </c>
      <c r="I4" s="40">
        <f>IFERROR(H4/G4, "")</f>
        <v>-0.20881535854392813</v>
      </c>
    </row>
    <row r="5" spans="1:9" ht="15.75">
      <c r="A5" s="56" t="str">
        <v>Barton Acres</v>
      </c>
      <c r="B5" s="42" t="str">
        <v>MA</v>
      </c>
      <c r="C5" s="43">
        <f>SUM(Jul!C5, Aug!C5, Sep!C5)</f>
        <v>553855</v>
      </c>
      <c r="D5" s="44">
        <f>SUM(Jul!D5, Aug!D5, Sep!D5)</f>
        <v>558455.5</v>
      </c>
      <c r="E5" s="44">
        <f t="shared" ref="E5:E15" si="0">IF(AND(ISNUMBER(C5),ISNUMBER(D5)), C5-D5, "")</f>
        <v>-4600.5</v>
      </c>
      <c r="F5" s="45">
        <f>IFERROR(E5/D5, "")</f>
        <v>-8.2378989910565845E-3</v>
      </c>
      <c r="G5" s="46">
        <f>SUM(Jul!G5,Aug!G5,Sep!G5)</f>
        <v>531741.4</v>
      </c>
      <c r="H5" s="46">
        <f>SUM(Jul!H5, Aug!H5, Sep!H5)</f>
        <v>22113.600000000006</v>
      </c>
      <c r="I5" s="45">
        <f>IFERROR(H5/G5, "")</f>
        <v>4.1587132391797975E-2</v>
      </c>
    </row>
    <row r="6" spans="1:9" ht="15.75">
      <c r="A6" s="55" t="str">
        <v>Bowden</v>
      </c>
      <c r="B6" s="35" t="str">
        <v>MA</v>
      </c>
      <c r="C6" s="36">
        <f>SUM(Jul!C6, Aug!C6, Sep!C6)</f>
        <v>1086417</v>
      </c>
      <c r="D6" s="37">
        <f>SUM(Jul!D6, Aug!D6, Sep!D6)</f>
        <v>1087913.3</v>
      </c>
      <c r="E6" s="37">
        <f t="shared" si="0"/>
        <v>-1496.3000000000466</v>
      </c>
      <c r="F6" s="38">
        <f t="shared" ref="F6:F15" si="1">IFERROR(E6/D6, "")</f>
        <v>-1.3753853363131479E-3</v>
      </c>
      <c r="G6" s="39">
        <f>SUM(Jul!G6,Aug!G6,Sep!G6)</f>
        <v>1118004.8999999999</v>
      </c>
      <c r="H6" s="39">
        <f>SUM(Jul!H6, Aug!H6, Sep!H6)</f>
        <v>-31587.899999999965</v>
      </c>
      <c r="I6" s="40">
        <f t="shared" ref="I6:I15" si="2">IFERROR(H6/G6, "")</f>
        <v>-2.8253811767730147E-2</v>
      </c>
    </row>
    <row r="7" spans="1:9" ht="15.75">
      <c r="A7" s="56" t="str">
        <v>Blair Wire Village</v>
      </c>
      <c r="B7" s="42" t="str">
        <v>MA</v>
      </c>
      <c r="C7" s="43">
        <f>SUM(Jul!C7, Aug!C7, Sep!C7)</f>
        <v>520404</v>
      </c>
      <c r="D7" s="44">
        <f>SUM(Jul!D7, Aug!D7, Sep!D7)</f>
        <v>549729</v>
      </c>
      <c r="E7" s="44">
        <f t="shared" si="0"/>
        <v>-29325</v>
      </c>
      <c r="F7" s="45">
        <f t="shared" si="1"/>
        <v>-5.3344466091474162E-2</v>
      </c>
      <c r="G7" s="46">
        <f>SUM(Jul!G7,Aug!G7,Sep!G7)</f>
        <v>560536.19999999995</v>
      </c>
      <c r="H7" s="46">
        <f>SUM(Jul!H7, Aug!H7, Sep!H7)</f>
        <v>-40132.199999999983</v>
      </c>
      <c r="I7" s="45">
        <f t="shared" si="2"/>
        <v>-7.1596089601349541E-2</v>
      </c>
    </row>
    <row r="8" spans="1:9" ht="15.75">
      <c r="A8" s="55" t="str">
        <v>Boutilier</v>
      </c>
      <c r="B8" s="35" t="str">
        <v>MA</v>
      </c>
      <c r="C8" s="36">
        <f>SUM(Jul!C8, Aug!C8, Sep!C8)</f>
        <v>1458904</v>
      </c>
      <c r="D8" s="37">
        <f>SUM(Jul!D8, Aug!D8, Sep!D8)</f>
        <v>1416474.8</v>
      </c>
      <c r="E8" s="37">
        <f t="shared" si="0"/>
        <v>42429.199999999953</v>
      </c>
      <c r="F8" s="38">
        <f t="shared" si="1"/>
        <v>2.9954080369096543E-2</v>
      </c>
      <c r="G8" s="39">
        <f>SUM(Jul!G8,Aug!G8,Sep!G8)</f>
        <v>1459690.0999999999</v>
      </c>
      <c r="H8" s="39">
        <f>SUM(Jul!H8, Aug!H8, Sep!H8)</f>
        <v>-786.09999999997672</v>
      </c>
      <c r="I8" s="40">
        <f t="shared" si="2"/>
        <v>-5.3853896796311545E-4</v>
      </c>
    </row>
    <row r="9" spans="1:9" ht="15.75">
      <c r="A9" s="56" t="str">
        <v>Cherry Valley</v>
      </c>
      <c r="B9" s="42" t="str">
        <v>MA</v>
      </c>
      <c r="C9" s="43">
        <f>SUM(Jul!C9, Aug!C9, Sep!C9)</f>
        <v>493697</v>
      </c>
      <c r="D9" s="44">
        <f>SUM(Jul!D9, Aug!D9, Sep!D9)</f>
        <v>533416.1</v>
      </c>
      <c r="E9" s="44">
        <f t="shared" si="0"/>
        <v>-39719.099999999977</v>
      </c>
      <c r="F9" s="45">
        <f t="shared" si="1"/>
        <v>-7.4461756966090781E-2</v>
      </c>
      <c r="G9" s="46">
        <f>SUM(Jul!G9,Aug!G9,Sep!G9)</f>
        <v>531296</v>
      </c>
      <c r="H9" s="46">
        <f>SUM(Jul!H9, Aug!H9, Sep!H9)</f>
        <v>-37599</v>
      </c>
      <c r="I9" s="45">
        <f t="shared" si="2"/>
        <v>-7.0768460519183285E-2</v>
      </c>
    </row>
    <row r="10" spans="1:9" ht="15.75">
      <c r="A10" s="55" t="str">
        <v>Cohasse</v>
      </c>
      <c r="B10" s="35" t="str">
        <v>MA</v>
      </c>
      <c r="C10" s="36">
        <f>SUM(Jul!C10, Aug!C10, Sep!C10)</f>
        <v>466936</v>
      </c>
      <c r="D10" s="37">
        <f>SUM(Jul!D10, Aug!D10, Sep!D10)</f>
        <v>481871.6</v>
      </c>
      <c r="E10" s="37">
        <f t="shared" si="0"/>
        <v>-14935.599999999977</v>
      </c>
      <c r="F10" s="38">
        <f t="shared" si="1"/>
        <v>-3.0994978745375278E-2</v>
      </c>
      <c r="G10" s="39">
        <f>SUM(Jul!G10,Aug!G10,Sep!G10)</f>
        <v>553726</v>
      </c>
      <c r="H10" s="39">
        <f>SUM(Jul!H10, Aug!H10, Sep!H10)</f>
        <v>-86790</v>
      </c>
      <c r="I10" s="40">
        <f t="shared" si="2"/>
        <v>-0.15673817014191135</v>
      </c>
    </row>
    <row r="11" spans="1:9" ht="15.75">
      <c r="A11" s="56" t="str">
        <v>ISM Dighton Solar 2</v>
      </c>
      <c r="B11" s="42" t="str">
        <v>MA</v>
      </c>
      <c r="C11" s="43">
        <f>SUM(Jul!C11, Aug!C11, Sep!C11)</f>
        <v>1065372</v>
      </c>
      <c r="D11" s="44">
        <f>SUM(Jul!D11, Aug!D11, Sep!D11)</f>
        <v>1040719.2999999999</v>
      </c>
      <c r="E11" s="44">
        <f t="shared" si="0"/>
        <v>24652.70000000007</v>
      </c>
      <c r="F11" s="45">
        <f t="shared" si="1"/>
        <v>2.3688135696147916E-2</v>
      </c>
      <c r="G11" s="46">
        <f>SUM(Jul!G11,Aug!G11,Sep!G11)</f>
        <v>1103336.7999999998</v>
      </c>
      <c r="H11" s="46">
        <f>SUM(Jul!H11, Aug!H11, Sep!H11)</f>
        <v>-37964.799999999988</v>
      </c>
      <c r="I11" s="45">
        <f t="shared" si="2"/>
        <v>-3.4409076176920766E-2</v>
      </c>
    </row>
    <row r="12" spans="1:9" ht="15.75">
      <c r="A12" s="55" t="str">
        <v>Dudley River 1</v>
      </c>
      <c r="B12" s="35" t="str">
        <v>MA</v>
      </c>
      <c r="C12" s="36">
        <f>SUM(Jul!C12, Aug!C12, Sep!C12)</f>
        <v>517040</v>
      </c>
      <c r="D12" s="37">
        <f>SUM(Jul!D12, Aug!D12, Sep!D12)</f>
        <v>387132.59</v>
      </c>
      <c r="E12" s="37">
        <f t="shared" si="0"/>
        <v>129907.40999999997</v>
      </c>
      <c r="F12" s="38">
        <f t="shared" si="1"/>
        <v>0.33556309480428903</v>
      </c>
      <c r="G12" s="39">
        <f>SUM(Jul!G12,Aug!G12,Sep!G12)</f>
        <v>563420.19999999995</v>
      </c>
      <c r="H12" s="39">
        <f>SUM(Jul!H12, Aug!H12, Sep!H12)</f>
        <v>-46380.200000000012</v>
      </c>
      <c r="I12" s="40">
        <f t="shared" si="2"/>
        <v>-8.2319022285675975E-2</v>
      </c>
    </row>
    <row r="13" spans="1:9" ht="15.75">
      <c r="A13" s="56" t="str">
        <v>Dudley River 2</v>
      </c>
      <c r="B13" s="42" t="str">
        <v>MA</v>
      </c>
      <c r="C13" s="43">
        <f>SUM(Jul!C13, Aug!C13, Sep!C13)</f>
        <v>493559</v>
      </c>
      <c r="D13" s="44">
        <f>SUM(Jul!D13, Aug!D13, Sep!D13)</f>
        <v>512375.7</v>
      </c>
      <c r="E13" s="44">
        <f t="shared" si="0"/>
        <v>-18816.700000000012</v>
      </c>
      <c r="F13" s="45">
        <f t="shared" si="1"/>
        <v>-3.6724419210356796E-2</v>
      </c>
      <c r="G13" s="46">
        <f>SUM(Jul!G13,Aug!G13,Sep!G13)</f>
        <v>536786.30000000005</v>
      </c>
      <c r="H13" s="46">
        <f>SUM(Jul!H13, Aug!H13, Sep!H13)</f>
        <v>-43227.299999999988</v>
      </c>
      <c r="I13" s="45">
        <f t="shared" si="2"/>
        <v>-8.0529812329413003E-2</v>
      </c>
    </row>
    <row r="14" spans="1:9" ht="15.75">
      <c r="A14" s="55" t="str">
        <v>Dudley River 3</v>
      </c>
      <c r="B14" s="35" t="str">
        <v>MA</v>
      </c>
      <c r="C14" s="36">
        <f>SUM(Jul!C14, Aug!C14, Sep!C14)</f>
        <v>492498</v>
      </c>
      <c r="D14" s="37">
        <f>SUM(Jul!D14, Aug!D14, Sep!D14)</f>
        <v>509774.3</v>
      </c>
      <c r="E14" s="37">
        <f t="shared" si="0"/>
        <v>-17276.299999999988</v>
      </c>
      <c r="F14" s="38">
        <f t="shared" si="1"/>
        <v>-3.3890096068004978E-2</v>
      </c>
      <c r="G14" s="39">
        <f>SUM(Jul!G14,Aug!G14,Sep!G14)</f>
        <v>544229.80000000005</v>
      </c>
      <c r="H14" s="39">
        <f>SUM(Jul!H14, Aug!H14, Sep!H14)</f>
        <v>-51731.800000000017</v>
      </c>
      <c r="I14" s="40">
        <f t="shared" si="2"/>
        <v>-9.5055066811850455E-2</v>
      </c>
    </row>
    <row r="15" spans="1:9" ht="15.75">
      <c r="A15" s="56" t="str">
        <v>Flint Pond</v>
      </c>
      <c r="B15" s="42" t="str">
        <v>MA</v>
      </c>
      <c r="C15" s="43">
        <f>SUM(Jul!C15, Aug!C15, Sep!C15)</f>
        <v>243664.5</v>
      </c>
      <c r="D15" s="44">
        <f>SUM(Jul!D15, Aug!D15, Sep!D15)</f>
        <v>207224.68</v>
      </c>
      <c r="E15" s="44">
        <f t="shared" si="0"/>
        <v>36439.820000000007</v>
      </c>
      <c r="F15" s="45">
        <f t="shared" si="1"/>
        <v>0.17584691167094579</v>
      </c>
      <c r="G15" s="46">
        <f>SUM(Jul!G15,Aug!G15,Sep!G15)</f>
        <v>249183.40000000002</v>
      </c>
      <c r="H15" s="46">
        <f>SUM(Jul!H15, Aug!H15, Sep!H15)</f>
        <v>-5518.9000000000087</v>
      </c>
      <c r="I15" s="45">
        <f t="shared" si="2"/>
        <v>-2.214794404442675E-2</v>
      </c>
    </row>
    <row r="16" spans="1:9" ht="15.75">
      <c r="A16" s="55" t="str">
        <v>Incom</v>
      </c>
      <c r="B16" s="35" t="str">
        <v>MA</v>
      </c>
      <c r="C16" s="36">
        <f>SUM(Jul!C16, Aug!C16, Sep!C16)</f>
        <v>1101798</v>
      </c>
      <c r="D16" s="37">
        <f>SUM(Jul!D16, Aug!D16, Sep!D16)</f>
        <v>1189377.8</v>
      </c>
      <c r="E16" s="37">
        <f t="shared" ref="E16:E19" si="3">IF(AND(ISNUMBER(C16),ISNUMBER(D16)), C16-D16, "")</f>
        <v>-87579.800000000047</v>
      </c>
      <c r="F16" s="38">
        <f t="shared" ref="F16:F19" si="4">IFERROR(E16/D16, "")</f>
        <v>-7.3634971158869827E-2</v>
      </c>
      <c r="G16" s="39">
        <f>SUM(Jul!G16,Aug!G16,Sep!G16)</f>
        <v>1128296.2</v>
      </c>
      <c r="H16" s="39">
        <f>SUM(Jul!H16, Aug!H16, Sep!H16)</f>
        <v>-26498.199999999953</v>
      </c>
      <c r="I16" s="40">
        <f t="shared" ref="I16:I19" si="5">IFERROR(H16/G16, "")</f>
        <v>-2.3485145124126052E-2</v>
      </c>
    </row>
    <row r="17" spans="1:9" ht="15.75">
      <c r="A17" s="56" t="str">
        <v>JH</v>
      </c>
      <c r="B17" s="42" t="str">
        <v>MA</v>
      </c>
      <c r="C17" s="43">
        <f>SUM(Jul!C17, Aug!C17, Sep!C17)</f>
        <v>487011</v>
      </c>
      <c r="D17" s="44">
        <f>SUM(Jul!D17, Aug!D17, Sep!D17)</f>
        <v>517846.7</v>
      </c>
      <c r="E17" s="44">
        <f t="shared" si="3"/>
        <v>-30835.700000000012</v>
      </c>
      <c r="F17" s="45">
        <f t="shared" si="4"/>
        <v>-5.9546000775905321E-2</v>
      </c>
      <c r="G17" s="46">
        <f>SUM(Jul!G17,Aug!G17,Sep!G17)</f>
        <v>543903.1</v>
      </c>
      <c r="H17" s="46">
        <f>SUM(Jul!H17, Aug!H17, Sep!H17)</f>
        <v>-56892.100000000006</v>
      </c>
      <c r="I17" s="45">
        <f t="shared" si="5"/>
        <v>-0.10459969799767643</v>
      </c>
    </row>
    <row r="18" spans="1:9" ht="12.75" customHeight="1">
      <c r="A18" s="55" t="str">
        <v>Ledeaux</v>
      </c>
      <c r="B18" s="34" t="str">
        <v>MA</v>
      </c>
      <c r="C18" s="36">
        <f>SUM(Jul!C18, Aug!C18, Sep!C18)</f>
        <v>446177</v>
      </c>
      <c r="D18" s="37">
        <f>SUM(Jul!D18, Aug!D18, Sep!D18)</f>
        <v>491167</v>
      </c>
      <c r="E18" s="37">
        <f t="shared" si="3"/>
        <v>-44990</v>
      </c>
      <c r="F18" s="38">
        <f t="shared" si="4"/>
        <v>-9.1598173330048646E-2</v>
      </c>
      <c r="G18" s="39">
        <f>SUM(Jul!G18,Aug!G18,Sep!G18)</f>
        <v>529942.60000000009</v>
      </c>
      <c r="H18" s="39">
        <f>SUM(Jul!H18, Aug!H18, Sep!H18)</f>
        <v>-83765.600000000006</v>
      </c>
      <c r="I18" s="40">
        <f t="shared" si="5"/>
        <v>-0.15806542067008764</v>
      </c>
    </row>
    <row r="19" spans="1:9" ht="15.75">
      <c r="A19" s="56" t="str">
        <v>Palombo A</v>
      </c>
      <c r="B19" s="41" t="str">
        <v>MA</v>
      </c>
      <c r="C19" s="43">
        <f>SUM(Jul!C19, Aug!C19, Sep!C19)</f>
        <v>1005607.000011079</v>
      </c>
      <c r="D19" s="44">
        <f>SUM(Jul!D19, Aug!D19, Sep!D19)</f>
        <v>1052692.3</v>
      </c>
      <c r="E19" s="44">
        <f t="shared" si="3"/>
        <v>-47085.299988921033</v>
      </c>
      <c r="F19" s="45">
        <f t="shared" si="4"/>
        <v>-4.4728454828558195E-2</v>
      </c>
      <c r="G19" s="46">
        <f>SUM(Jul!G19,Aug!G19,Sep!G19)</f>
        <v>1145547</v>
      </c>
      <c r="H19" s="46">
        <f>SUM(Jul!H19, Aug!H19, Sep!H19)</f>
        <v>-139939.99998892099</v>
      </c>
      <c r="I19" s="45">
        <f t="shared" si="5"/>
        <v>-0.12215998120454331</v>
      </c>
    </row>
    <row r="20" spans="1:9" ht="15.75">
      <c r="A20" s="55" t="str">
        <v>Palombo B</v>
      </c>
      <c r="B20" s="34" t="str">
        <v>MA</v>
      </c>
      <c r="C20" s="36">
        <f>SUM(Jul!C20, Aug!C20, Sep!C20)</f>
        <v>505920</v>
      </c>
      <c r="D20" s="37">
        <f>SUM(Jul!D20, Aug!D20, Sep!D20)</f>
        <v>456291.6</v>
      </c>
      <c r="E20" s="37">
        <f t="shared" ref="E20:E24" si="6">IF(AND(ISNUMBER(C20),ISNUMBER(D20)), C20-D20, "")</f>
        <v>49628.400000000023</v>
      </c>
      <c r="F20" s="38">
        <f t="shared" ref="F20:F24" si="7">IFERROR(E20/D20, "")</f>
        <v>0.10876465838950361</v>
      </c>
      <c r="G20" s="39">
        <f>SUM(Jul!G20,Aug!G20,Sep!G20)</f>
        <v>553193.1</v>
      </c>
      <c r="H20" s="39">
        <f>SUM(Jul!H20, Aug!H20, Sep!H20)</f>
        <v>-47273.100000000006</v>
      </c>
      <c r="I20" s="40">
        <f t="shared" ref="I20:I24" si="8">IFERROR(H20/G20, "")</f>
        <v>-8.5454970425336119E-2</v>
      </c>
    </row>
    <row r="21" spans="1:9" ht="15.75">
      <c r="A21" s="56" t="str">
        <v>St Josephs Church</v>
      </c>
      <c r="B21" s="41" t="str">
        <v>MA</v>
      </c>
      <c r="C21" s="43">
        <f>SUM(Jul!C21, Aug!C21, Sep!C21)</f>
        <v>473995</v>
      </c>
      <c r="D21" s="44">
        <f>SUM(Jul!D21, Aug!D21, Sep!D21)</f>
        <v>560694.69999999995</v>
      </c>
      <c r="E21" s="44">
        <f t="shared" si="6"/>
        <v>-86699.699999999953</v>
      </c>
      <c r="F21" s="45">
        <f t="shared" si="7"/>
        <v>-0.15462906997337403</v>
      </c>
      <c r="G21" s="46">
        <f>SUM(Jul!G21,Aug!G21,Sep!G21)</f>
        <v>531825.1</v>
      </c>
      <c r="H21" s="46">
        <f>SUM(Jul!H21, Aug!H21, Sep!H21)</f>
        <v>-57830.100000000006</v>
      </c>
      <c r="I21" s="45">
        <f t="shared" si="8"/>
        <v>-0.1087389444386886</v>
      </c>
    </row>
    <row r="22" spans="1:9" ht="15.75">
      <c r="A22" s="55" t="str">
        <v>Sunset A</v>
      </c>
      <c r="B22" s="34" t="str">
        <v>MA</v>
      </c>
      <c r="C22" s="36">
        <f>SUM(Jul!C22, Aug!C22, Sep!C22)</f>
        <v>251885</v>
      </c>
      <c r="D22" s="37">
        <f>SUM(Jul!D22, Aug!D22, Sep!D22)</f>
        <v>275668.7</v>
      </c>
      <c r="E22" s="37">
        <f t="shared" si="6"/>
        <v>-23783.700000000012</v>
      </c>
      <c r="F22" s="38">
        <f t="shared" si="7"/>
        <v>-8.6276389013333801E-2</v>
      </c>
      <c r="G22" s="39">
        <f>SUM(Jul!G22,Aug!G22,Sep!G22)</f>
        <v>250350.85</v>
      </c>
      <c r="H22" s="39">
        <f>SUM(Jul!H22, Aug!H22, Sep!H22)</f>
        <v>1534.1499999999942</v>
      </c>
      <c r="I22" s="40">
        <f t="shared" si="8"/>
        <v>6.1279999648493066E-3</v>
      </c>
    </row>
    <row r="23" spans="1:9" ht="15.75">
      <c r="A23" s="56" t="str">
        <v>Sunset B</v>
      </c>
      <c r="B23" s="41" t="str">
        <v>MA</v>
      </c>
      <c r="C23" s="43">
        <f>SUM(Jul!C23, Aug!C23, Sep!C23)</f>
        <v>237063.25</v>
      </c>
      <c r="D23" s="44">
        <f>SUM(Jul!D23, Aug!D23, Sep!D23)</f>
        <v>246994.84</v>
      </c>
      <c r="E23" s="44">
        <f t="shared" si="6"/>
        <v>-9931.5899999999965</v>
      </c>
      <c r="F23" s="45">
        <f t="shared" si="7"/>
        <v>-4.0209706405202619E-2</v>
      </c>
      <c r="G23" s="46">
        <f>SUM(Jul!G23,Aug!G23,Sep!G23)</f>
        <v>247344.14</v>
      </c>
      <c r="H23" s="46">
        <f>SUM(Jul!H23, Aug!H23, Sep!H23)</f>
        <v>-10280.89</v>
      </c>
      <c r="I23" s="45">
        <f t="shared" si="8"/>
        <v>-4.1565124607358797E-2</v>
      </c>
    </row>
    <row r="24" spans="1:9" ht="15.75">
      <c r="A24" s="55" t="str">
        <v>Woodchuck</v>
      </c>
      <c r="B24" s="34" t="str">
        <v>MA</v>
      </c>
      <c r="C24" s="36">
        <f>SUM(Jul!C24, Aug!C24, Sep!C24)</f>
        <v>511706</v>
      </c>
      <c r="D24" s="37">
        <f>SUM(Jul!D24, Aug!D24, Sep!D24)</f>
        <v>533798.40000000002</v>
      </c>
      <c r="E24" s="37">
        <f t="shared" si="6"/>
        <v>-22092.400000000023</v>
      </c>
      <c r="F24" s="38">
        <f t="shared" si="7"/>
        <v>-4.138716039613461E-2</v>
      </c>
      <c r="G24" s="39">
        <f>SUM(Jul!G24,Aug!G24,Sep!G24)</f>
        <v>563750</v>
      </c>
      <c r="H24" s="39">
        <f>SUM(Jul!H24, Aug!H24, Sep!H24)</f>
        <v>-52044.000000000029</v>
      </c>
      <c r="I24" s="40">
        <f t="shared" si="8"/>
        <v>-9.2317516629711799E-2</v>
      </c>
    </row>
    <row r="25" spans="1:9" ht="15.75">
      <c r="A25" s="9"/>
      <c r="B25" s="13"/>
      <c r="C25" s="13"/>
      <c r="D25" s="13"/>
      <c r="E25" s="13"/>
      <c r="F25" s="13"/>
      <c r="G25" s="13"/>
      <c r="H25" s="13"/>
      <c r="I25" s="13"/>
    </row>
    <row r="26" spans="1:9" ht="15.75">
      <c r="A26" s="9"/>
      <c r="B26" s="13"/>
      <c r="C26" s="13"/>
      <c r="D26" s="13"/>
      <c r="E26" s="13"/>
      <c r="F26" s="13"/>
      <c r="G26" s="13"/>
      <c r="H26" s="13"/>
      <c r="I26" s="13"/>
    </row>
    <row r="27" spans="1:9" ht="15.75">
      <c r="A27" s="9"/>
      <c r="B27" s="13"/>
      <c r="C27" s="13"/>
      <c r="D27" s="13"/>
      <c r="E27" s="13"/>
      <c r="F27" s="13"/>
      <c r="G27" s="13"/>
      <c r="H27" s="13"/>
      <c r="I27" s="13"/>
    </row>
    <row r="28" spans="1:9" ht="15.75">
      <c r="A28" s="9"/>
      <c r="B28" s="13"/>
      <c r="C28" s="13"/>
      <c r="D28" s="13"/>
      <c r="E28" s="13"/>
      <c r="F28" s="13"/>
      <c r="G28" s="13"/>
      <c r="H28" s="13"/>
      <c r="I28" s="13"/>
    </row>
    <row r="29" spans="1:9" ht="15.75">
      <c r="A29" s="9"/>
      <c r="B29" s="13"/>
      <c r="C29" s="13"/>
      <c r="D29" s="13"/>
      <c r="E29" s="13"/>
      <c r="F29" s="13"/>
      <c r="G29" s="13"/>
      <c r="H29" s="13"/>
      <c r="I29" s="13"/>
    </row>
    <row r="30" spans="1:9" ht="15.75">
      <c r="A30" s="9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1"/>
  <sheetViews>
    <sheetView workbookViewId="0">
      <pane xSplit="2" ySplit="3" topLeftCell="C4" activePane="bottomRight" state="frozen"/>
      <selection pane="bottomRight" activeCell="C4" sqref="C4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5" t="str" cm="1">
        <f t="array" ref="A1">portfolio</f>
        <v>38 DN</v>
      </c>
      <c r="B1" s="85"/>
      <c r="C1" s="85"/>
      <c r="D1" s="86" t="s">
        <v>16</v>
      </c>
      <c r="E1" s="86"/>
      <c r="F1" s="86"/>
      <c r="G1" s="84" t="s">
        <v>17</v>
      </c>
      <c r="H1" s="84"/>
      <c r="I1" s="84"/>
    </row>
    <row r="2" spans="1:9" ht="19.5" customHeight="1">
      <c r="A2" s="87" t="s">
        <v>2</v>
      </c>
      <c r="B2" s="87"/>
      <c r="C2" s="5">
        <f>SUM(C4:C99)</f>
        <v>8242951.249988921</v>
      </c>
      <c r="D2" s="5">
        <f>SUM(D4:D99)</f>
        <v>10291355.209999997</v>
      </c>
      <c r="E2" s="5">
        <f>C2-D2</f>
        <v>-2048403.9600110762</v>
      </c>
      <c r="F2" s="6">
        <f>IFERROR(E2/D2, 0)</f>
        <v>-0.19904122617599132</v>
      </c>
      <c r="G2" s="5">
        <f>SUM(G4:G99)</f>
        <v>0</v>
      </c>
      <c r="H2" s="7">
        <f>C2-G2</f>
        <v>8242951.249988921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SUM(Oct!C4, Nov!C4, Dec!C4)</f>
        <v>356594</v>
      </c>
      <c r="D4" s="37">
        <f>SUM(Oct!D4, Nov!D4, Dec!D4)</f>
        <v>291763.53000000003</v>
      </c>
      <c r="E4" s="37">
        <f>IF(AND(ISNUMBER(C4),ISNUMBER(D4)), C4-D4, "")</f>
        <v>64830.469999999972</v>
      </c>
      <c r="F4" s="38">
        <f>IFERROR(E4/D4, "")</f>
        <v>0.22220210318952463</v>
      </c>
      <c r="G4" s="39"/>
      <c r="H4" s="39">
        <f>SUM(Oct!H4, Nov!H4, Dec!H4)</f>
        <v>-122206.50000000003</v>
      </c>
      <c r="I4" s="40" t="str">
        <f>IFERROR(H4/G4, "")</f>
        <v/>
      </c>
    </row>
    <row r="5" spans="1:9" ht="15.75">
      <c r="A5" s="56" t="str">
        <v>Barton Acres</v>
      </c>
      <c r="B5" s="42" t="str">
        <v>MA</v>
      </c>
      <c r="C5" s="43">
        <f>SUM(Oct!C5, Nov!C5, Dec!C5)</f>
        <v>315802</v>
      </c>
      <c r="D5" s="44">
        <f>SUM(Oct!D5, Nov!D5, Dec!D5)</f>
        <v>451857.10000000003</v>
      </c>
      <c r="E5" s="44">
        <f t="shared" ref="E5:E15" si="0">IF(AND(ISNUMBER(C5),ISNUMBER(D5)), C5-D5, "")</f>
        <v>-136055.10000000003</v>
      </c>
      <c r="F5" s="45">
        <f>IFERROR(E5/D5, "")</f>
        <v>-0.30110205195403594</v>
      </c>
      <c r="G5" s="46"/>
      <c r="H5" s="46">
        <f>SUM(Oct!H5, Nov!H5, Dec!H5)</f>
        <v>83005.279999999984</v>
      </c>
      <c r="I5" s="45" t="str">
        <f>IFERROR(H5/G5, "")</f>
        <v/>
      </c>
    </row>
    <row r="6" spans="1:9" ht="15.75">
      <c r="A6" s="55" t="str">
        <v>Bowden</v>
      </c>
      <c r="B6" s="35" t="str">
        <v>MA</v>
      </c>
      <c r="C6" s="36">
        <f>SUM(Oct!C6, Nov!C6, Dec!C6)</f>
        <v>647467</v>
      </c>
      <c r="D6" s="37">
        <f>SUM(Oct!D6, Nov!D6, Dec!D6)</f>
        <v>735592.2</v>
      </c>
      <c r="E6" s="37">
        <f t="shared" si="0"/>
        <v>-88125.199999999953</v>
      </c>
      <c r="F6" s="38">
        <f t="shared" ref="F6:F15" si="1">IFERROR(E6/D6, "")</f>
        <v>-0.11980170534706588</v>
      </c>
      <c r="G6" s="39"/>
      <c r="H6" s="39">
        <f>SUM(Oct!H6, Nov!H6, Dec!H6)</f>
        <v>28424.899999999994</v>
      </c>
      <c r="I6" s="40" t="str">
        <f t="shared" ref="I6:I15" si="2">IFERROR(H6/G6, "")</f>
        <v/>
      </c>
    </row>
    <row r="7" spans="1:9" ht="15.75">
      <c r="A7" s="56" t="str">
        <v>Blair Wire Village</v>
      </c>
      <c r="B7" s="42" t="str">
        <v>MA</v>
      </c>
      <c r="C7" s="43">
        <f>SUM(Oct!C7, Nov!C7, Dec!C7)</f>
        <v>329704</v>
      </c>
      <c r="D7" s="44">
        <f>SUM(Oct!D7, Nov!D7, Dec!D7)</f>
        <v>473105.80000000005</v>
      </c>
      <c r="E7" s="44">
        <f t="shared" si="0"/>
        <v>-143401.80000000005</v>
      </c>
      <c r="F7" s="45">
        <f t="shared" si="1"/>
        <v>-0.30310725423361967</v>
      </c>
      <c r="G7" s="46"/>
      <c r="H7" s="46">
        <f>SUM(Oct!H7, Nov!H7, Dec!H7)</f>
        <v>12686.919999999984</v>
      </c>
      <c r="I7" s="45" t="str">
        <f t="shared" si="2"/>
        <v/>
      </c>
    </row>
    <row r="8" spans="1:9" ht="15.75">
      <c r="A8" s="55" t="str">
        <v>Boutilier</v>
      </c>
      <c r="B8" s="35" t="str">
        <v>MA</v>
      </c>
      <c r="C8" s="36">
        <f>SUM(Oct!C8, Nov!C8, Dec!C8)</f>
        <v>905701</v>
      </c>
      <c r="D8" s="37">
        <f>SUM(Oct!D8, Nov!D8, Dec!D8)</f>
        <v>1045346.6</v>
      </c>
      <c r="E8" s="37">
        <f t="shared" si="0"/>
        <v>-139645.59999999998</v>
      </c>
      <c r="F8" s="38">
        <f t="shared" si="1"/>
        <v>-0.13358784540935989</v>
      </c>
      <c r="G8" s="39"/>
      <c r="H8" s="39">
        <f>SUM(Oct!H8, Nov!H8, Dec!H8)</f>
        <v>266651.69999999995</v>
      </c>
      <c r="I8" s="40" t="str">
        <f t="shared" si="2"/>
        <v/>
      </c>
    </row>
    <row r="9" spans="1:9" ht="15.75">
      <c r="A9" s="56" t="str">
        <v>Cherry Valley</v>
      </c>
      <c r="B9" s="42" t="str">
        <v>MA</v>
      </c>
      <c r="C9" s="43">
        <f>SUM(Oct!C9, Nov!C9, Dec!C9)</f>
        <v>302946</v>
      </c>
      <c r="D9" s="44">
        <f>SUM(Oct!D9, Nov!D9, Dec!D9)</f>
        <v>453368.9</v>
      </c>
      <c r="E9" s="44">
        <f t="shared" si="0"/>
        <v>-150422.90000000002</v>
      </c>
      <c r="F9" s="45">
        <f t="shared" si="1"/>
        <v>-0.33178918977459637</v>
      </c>
      <c r="G9" s="46"/>
      <c r="H9" s="46">
        <f>SUM(Oct!H9, Nov!H9, Dec!H9)</f>
        <v>48535</v>
      </c>
      <c r="I9" s="45" t="str">
        <f t="shared" si="2"/>
        <v/>
      </c>
    </row>
    <row r="10" spans="1:9" ht="15.75">
      <c r="A10" s="55" t="str">
        <v>Cohasse</v>
      </c>
      <c r="B10" s="35" t="str">
        <v>MA</v>
      </c>
      <c r="C10" s="36">
        <f>SUM(Oct!C10, Nov!C10, Dec!C10)</f>
        <v>295959</v>
      </c>
      <c r="D10" s="37">
        <f>SUM(Oct!D10, Nov!D10, Dec!D10)</f>
        <v>445597</v>
      </c>
      <c r="E10" s="37">
        <f t="shared" si="0"/>
        <v>-149638</v>
      </c>
      <c r="F10" s="38">
        <f t="shared" si="1"/>
        <v>-0.33581464866235633</v>
      </c>
      <c r="G10" s="39"/>
      <c r="H10" s="39">
        <f>SUM(Oct!H10, Nov!H10, Dec!H10)</f>
        <v>-53214.989999999991</v>
      </c>
      <c r="I10" s="40" t="str">
        <f t="shared" si="2"/>
        <v/>
      </c>
    </row>
    <row r="11" spans="1:9" ht="15.75">
      <c r="A11" s="56" t="str">
        <v>ISM Dighton Solar 2</v>
      </c>
      <c r="B11" s="42" t="str">
        <v>MA</v>
      </c>
      <c r="C11" s="43">
        <f>SUM(Oct!C11, Nov!C11, Dec!C11)</f>
        <v>807917</v>
      </c>
      <c r="D11" s="44">
        <f>SUM(Oct!D11, Nov!D11, Dec!D11)</f>
        <v>847678.00000000012</v>
      </c>
      <c r="E11" s="44">
        <f t="shared" si="0"/>
        <v>-39761.000000000116</v>
      </c>
      <c r="F11" s="45">
        <f t="shared" si="1"/>
        <v>-4.6905782620287551E-2</v>
      </c>
      <c r="G11" s="46"/>
      <c r="H11" s="46">
        <f>SUM(Oct!H11, Nov!H11, Dec!H11)</f>
        <v>108900.1</v>
      </c>
      <c r="I11" s="45" t="str">
        <f t="shared" si="2"/>
        <v/>
      </c>
    </row>
    <row r="12" spans="1:9" ht="15.75">
      <c r="A12" s="55" t="str">
        <v>Dudley River 1</v>
      </c>
      <c r="B12" s="35" t="str">
        <v>MA</v>
      </c>
      <c r="C12" s="36">
        <f>SUM(Oct!C12, Nov!C12, Dec!C12)</f>
        <v>338360</v>
      </c>
      <c r="D12" s="37">
        <f>SUM(Oct!D12, Nov!D12, Dec!D12)</f>
        <v>348411.12</v>
      </c>
      <c r="E12" s="37">
        <f t="shared" si="0"/>
        <v>-10051.119999999995</v>
      </c>
      <c r="F12" s="38">
        <f t="shared" si="1"/>
        <v>-2.8848447776293695E-2</v>
      </c>
      <c r="G12" s="39"/>
      <c r="H12" s="39">
        <f>SUM(Oct!H12, Nov!H12, Dec!H12)</f>
        <v>19821.849999999977</v>
      </c>
      <c r="I12" s="40" t="str">
        <f t="shared" si="2"/>
        <v/>
      </c>
    </row>
    <row r="13" spans="1:9" ht="15.75">
      <c r="A13" s="56" t="str">
        <v>Dudley River 2</v>
      </c>
      <c r="B13" s="42" t="str">
        <v>MA</v>
      </c>
      <c r="C13" s="43">
        <f>SUM(Oct!C13, Nov!C13, Dec!C13)</f>
        <v>337624</v>
      </c>
      <c r="D13" s="44">
        <f>SUM(Oct!D13, Nov!D13, Dec!D13)</f>
        <v>378537.33999999997</v>
      </c>
      <c r="E13" s="44">
        <f t="shared" si="0"/>
        <v>-40913.339999999967</v>
      </c>
      <c r="F13" s="45">
        <f t="shared" si="1"/>
        <v>-0.10808270592274984</v>
      </c>
      <c r="G13" s="46"/>
      <c r="H13" s="46">
        <f>SUM(Oct!H13, Nov!H13, Dec!H13)</f>
        <v>29824.979999999996</v>
      </c>
      <c r="I13" s="45" t="str">
        <f t="shared" si="2"/>
        <v/>
      </c>
    </row>
    <row r="14" spans="1:9" ht="15.75">
      <c r="A14" s="55" t="str">
        <v>Dudley River 3</v>
      </c>
      <c r="B14" s="35" t="str">
        <v>MA</v>
      </c>
      <c r="C14" s="36">
        <f>SUM(Oct!C14, Nov!C14, Dec!C14)</f>
        <v>359117</v>
      </c>
      <c r="D14" s="37">
        <f>SUM(Oct!D14, Nov!D14, Dec!D14)</f>
        <v>383459.31999999995</v>
      </c>
      <c r="E14" s="37">
        <f t="shared" si="0"/>
        <v>-24342.319999999949</v>
      </c>
      <c r="F14" s="38">
        <f t="shared" si="1"/>
        <v>-6.34808406795275E-2</v>
      </c>
      <c r="G14" s="39"/>
      <c r="H14" s="39">
        <f>SUM(Oct!H14, Nov!H14, Dec!H14)</f>
        <v>44367.28</v>
      </c>
      <c r="I14" s="40" t="str">
        <f t="shared" si="2"/>
        <v/>
      </c>
    </row>
    <row r="15" spans="1:9" ht="15.75">
      <c r="A15" s="56" t="str">
        <v>Flint Pond</v>
      </c>
      <c r="B15" s="42" t="str">
        <v>MA</v>
      </c>
      <c r="C15" s="43">
        <f>SUM(Oct!C15, Nov!C15, Dec!C15)</f>
        <v>134687.5</v>
      </c>
      <c r="D15" s="44">
        <f>SUM(Oct!D15, Nov!D15, Dec!D15)</f>
        <v>205469.87999999998</v>
      </c>
      <c r="E15" s="44">
        <f t="shared" si="0"/>
        <v>-70782.379999999976</v>
      </c>
      <c r="F15" s="45">
        <f t="shared" si="1"/>
        <v>-0.34449029706933193</v>
      </c>
      <c r="G15" s="46"/>
      <c r="H15" s="46">
        <f>SUM(Oct!H15, Nov!H15, Dec!H15)</f>
        <v>23434.980000000003</v>
      </c>
      <c r="I15" s="45" t="str">
        <f t="shared" si="2"/>
        <v/>
      </c>
    </row>
    <row r="16" spans="1:9" ht="15.75">
      <c r="A16" s="55" t="str">
        <v>Incom</v>
      </c>
      <c r="B16" s="35" t="str">
        <v>MA</v>
      </c>
      <c r="C16" s="36">
        <f>SUM(Oct!C16, Nov!C16, Dec!C16)</f>
        <v>706021</v>
      </c>
      <c r="D16" s="37">
        <f>SUM(Oct!D16, Nov!D16, Dec!D16)</f>
        <v>879725</v>
      </c>
      <c r="E16" s="37">
        <f t="shared" ref="E16:E18" si="3">IF(AND(ISNUMBER(C16),ISNUMBER(D16)), C16-D16, "")</f>
        <v>-173704</v>
      </c>
      <c r="F16" s="38">
        <f t="shared" ref="F16:F18" si="4">IFERROR(E16/D16, "")</f>
        <v>-0.19745261303248174</v>
      </c>
      <c r="G16" s="39"/>
      <c r="H16" s="39">
        <f>SUM(Oct!H16, Nov!H16, Dec!H16)</f>
        <v>22457</v>
      </c>
      <c r="I16" s="40" t="str">
        <f t="shared" ref="I16:I18" si="5">IFERROR(H16/G16, "")</f>
        <v/>
      </c>
    </row>
    <row r="17" spans="1:9" ht="15.75">
      <c r="A17" s="56" t="str">
        <v>JH</v>
      </c>
      <c r="B17" s="42" t="str">
        <v>MA</v>
      </c>
      <c r="C17" s="43">
        <f>SUM(Oct!C17, Nov!C17, Dec!C17)</f>
        <v>293195</v>
      </c>
      <c r="D17" s="44">
        <f>SUM(Oct!D17, Nov!D17, Dec!D17)</f>
        <v>454714.60000000003</v>
      </c>
      <c r="E17" s="44">
        <f t="shared" si="3"/>
        <v>-161519.60000000003</v>
      </c>
      <c r="F17" s="45">
        <f t="shared" si="4"/>
        <v>-0.35521093890541455</v>
      </c>
      <c r="G17" s="46"/>
      <c r="H17" s="46">
        <f>SUM(Oct!H17, Nov!H17, Dec!H17)</f>
        <v>-32880.609999999986</v>
      </c>
      <c r="I17" s="45" t="str">
        <f t="shared" si="5"/>
        <v/>
      </c>
    </row>
    <row r="18" spans="1:9" ht="12.75" customHeight="1">
      <c r="A18" s="55" t="str">
        <v>Ledeaux</v>
      </c>
      <c r="B18" s="35" t="str">
        <v>MA</v>
      </c>
      <c r="C18" s="43">
        <f>SUM(Oct!C18, Nov!C18, Dec!C18)</f>
        <v>262704</v>
      </c>
      <c r="D18" s="44">
        <f>SUM(Oct!D18, Nov!D18, Dec!D18)</f>
        <v>332791.89</v>
      </c>
      <c r="E18" s="44">
        <f t="shared" si="3"/>
        <v>-70087.890000000014</v>
      </c>
      <c r="F18" s="45">
        <f t="shared" si="4"/>
        <v>-0.21060576325943522</v>
      </c>
      <c r="G18" s="46"/>
      <c r="H18" s="46">
        <f>SUM(Oct!H18, Nov!H18, Dec!H18)</f>
        <v>-44833.739999999991</v>
      </c>
      <c r="I18" s="45" t="str">
        <f t="shared" si="5"/>
        <v/>
      </c>
    </row>
    <row r="19" spans="1:9" ht="15.75">
      <c r="A19" s="56" t="str">
        <v>Palombo A</v>
      </c>
      <c r="B19" s="42" t="str">
        <v>MA</v>
      </c>
      <c r="C19" s="36">
        <f>SUM(Oct!C19, Nov!C19, Dec!C19)</f>
        <v>666006.99998892099</v>
      </c>
      <c r="D19" s="37">
        <f>SUM(Oct!D19, Nov!D19, Dec!D19)</f>
        <v>891337</v>
      </c>
      <c r="E19" s="37">
        <f t="shared" ref="E19:E24" si="6">IF(AND(ISNUMBER(C19),ISNUMBER(D19)), C19-D19, "")</f>
        <v>-225330.00001107901</v>
      </c>
      <c r="F19" s="38">
        <f t="shared" ref="F19:F24" si="7">IFERROR(E19/D19, "")</f>
        <v>-0.25280000719265444</v>
      </c>
      <c r="G19" s="39"/>
      <c r="H19" s="39">
        <f>SUM(Oct!H19, Nov!H19, Dec!H19)</f>
        <v>-92718.000011079013</v>
      </c>
      <c r="I19" s="40" t="str">
        <f t="shared" ref="I19:I24" si="8">IFERROR(H19/G19, "")</f>
        <v/>
      </c>
    </row>
    <row r="20" spans="1:9" ht="15.75">
      <c r="A20" s="55" t="str">
        <v>Palombo B</v>
      </c>
      <c r="B20" s="35" t="str">
        <v>MA</v>
      </c>
      <c r="C20" s="43">
        <f>SUM(Oct!C20, Nov!C20, Dec!C20)</f>
        <v>291781</v>
      </c>
      <c r="D20" s="44">
        <f>SUM(Oct!D20, Nov!D20, Dec!D20)</f>
        <v>436852.7</v>
      </c>
      <c r="E20" s="44">
        <f t="shared" si="6"/>
        <v>-145071.70000000001</v>
      </c>
      <c r="F20" s="45">
        <f t="shared" si="7"/>
        <v>-0.33208378934135008</v>
      </c>
      <c r="G20" s="46"/>
      <c r="H20" s="46">
        <f>SUM(Oct!H20, Nov!H20, Dec!H20)</f>
        <v>50857.539999999994</v>
      </c>
      <c r="I20" s="45" t="str">
        <f t="shared" si="8"/>
        <v/>
      </c>
    </row>
    <row r="21" spans="1:9" ht="15.75">
      <c r="A21" s="56" t="str">
        <v>St Josephs Church</v>
      </c>
      <c r="B21" s="42" t="str">
        <v>MA</v>
      </c>
      <c r="C21" s="43">
        <f>SUM(Oct!C21, Nov!C21, Dec!C21)</f>
        <v>315285</v>
      </c>
      <c r="D21" s="44">
        <f>SUM(Oct!D21, Nov!D21, Dec!D21)</f>
        <v>468245.2</v>
      </c>
      <c r="E21" s="44">
        <f t="shared" si="6"/>
        <v>-152960.20000000001</v>
      </c>
      <c r="F21" s="45">
        <f t="shared" si="7"/>
        <v>-0.32666688307749875</v>
      </c>
      <c r="G21" s="46"/>
      <c r="H21" s="46">
        <f>SUM(Oct!H21, Nov!H21, Dec!H21)</f>
        <v>26454.720000000001</v>
      </c>
      <c r="I21" s="45" t="str">
        <f t="shared" si="8"/>
        <v/>
      </c>
    </row>
    <row r="22" spans="1:9" ht="15.75">
      <c r="A22" s="55" t="str">
        <v>Sunset A</v>
      </c>
      <c r="B22" s="35" t="str">
        <v>MA</v>
      </c>
      <c r="C22" s="36">
        <f>SUM(Oct!C22, Nov!C22, Dec!C22)</f>
        <v>142973</v>
      </c>
      <c r="D22" s="37">
        <f>SUM(Oct!D22, Nov!D22, Dec!D22)</f>
        <v>229796.03</v>
      </c>
      <c r="E22" s="37">
        <f t="shared" si="6"/>
        <v>-86823.03</v>
      </c>
      <c r="F22" s="38">
        <f t="shared" si="7"/>
        <v>-0.37782650118019878</v>
      </c>
      <c r="G22" s="39"/>
      <c r="H22" s="39">
        <f>SUM(Oct!H22, Nov!H22, Dec!H22)</f>
        <v>33375.730000000003</v>
      </c>
      <c r="I22" s="40" t="str">
        <f t="shared" si="8"/>
        <v/>
      </c>
    </row>
    <row r="23" spans="1:9" ht="15.75">
      <c r="A23" s="56" t="str">
        <v>Sunset B</v>
      </c>
      <c r="B23" s="42" t="str">
        <v>MA</v>
      </c>
      <c r="C23" s="43">
        <f>SUM(Oct!C23, Nov!C23, Dec!C23)</f>
        <v>134192.75</v>
      </c>
      <c r="D23" s="44">
        <f>SUM(Oct!D23, Nov!D23, Dec!D23)</f>
        <v>166990.72</v>
      </c>
      <c r="E23" s="44">
        <f t="shared" si="6"/>
        <v>-32797.97</v>
      </c>
      <c r="F23" s="45">
        <f t="shared" si="7"/>
        <v>-0.19640594399497172</v>
      </c>
      <c r="G23" s="46"/>
      <c r="H23" s="46">
        <f>SUM(Oct!H23, Nov!H23, Dec!H23)</f>
        <v>25905.96</v>
      </c>
      <c r="I23" s="45" t="str">
        <f t="shared" si="8"/>
        <v/>
      </c>
    </row>
    <row r="24" spans="1:9" ht="15.75">
      <c r="A24" s="55" t="str">
        <v>Woodchuck</v>
      </c>
      <c r="B24" s="35" t="str">
        <v>MA</v>
      </c>
      <c r="C24" s="43">
        <f>SUM(Oct!C24, Nov!C24, Dec!C24)</f>
        <v>298914</v>
      </c>
      <c r="D24" s="44">
        <f>SUM(Oct!D24, Nov!D24, Dec!D24)</f>
        <v>370715.28</v>
      </c>
      <c r="E24" s="44">
        <f t="shared" si="6"/>
        <v>-71801.280000000028</v>
      </c>
      <c r="F24" s="45">
        <f t="shared" si="7"/>
        <v>-0.19368308746270191</v>
      </c>
      <c r="G24" s="46"/>
      <c r="H24" s="46">
        <f>SUM(Oct!H24, Nov!H24, Dec!H24)</f>
        <v>-4998.8800000000047</v>
      </c>
      <c r="I24" s="45" t="str">
        <f t="shared" si="8"/>
        <v/>
      </c>
    </row>
    <row r="25" spans="1:9" ht="15.75">
      <c r="A25" s="9"/>
      <c r="B25" s="8"/>
      <c r="C25" s="23"/>
      <c r="D25" s="10"/>
      <c r="E25" s="10"/>
      <c r="F25" s="11"/>
      <c r="G25" s="12"/>
      <c r="H25" s="12"/>
      <c r="I25" s="11"/>
    </row>
    <row r="26" spans="1:9" ht="14.25">
      <c r="A26" s="13"/>
      <c r="B26" s="8"/>
      <c r="C26" s="23"/>
      <c r="D26" s="10"/>
      <c r="E26" s="10"/>
      <c r="F26" s="11"/>
      <c r="G26" s="12"/>
      <c r="H26" s="12"/>
      <c r="I26" s="11"/>
    </row>
    <row r="27" spans="1:9" ht="14.25">
      <c r="A27" s="13"/>
      <c r="B27" s="8"/>
      <c r="C27" s="23"/>
      <c r="D27" s="10"/>
      <c r="E27" s="10"/>
      <c r="F27" s="11"/>
      <c r="G27" s="12"/>
      <c r="H27" s="12"/>
      <c r="I27" s="11"/>
    </row>
    <row r="28" spans="1:9" ht="14.25">
      <c r="A28" s="13"/>
      <c r="B28" s="8"/>
      <c r="C28" s="23"/>
      <c r="D28" s="10"/>
      <c r="E28" s="10"/>
      <c r="F28" s="11"/>
      <c r="G28" s="12"/>
      <c r="H28" s="12"/>
      <c r="I28" s="11"/>
    </row>
    <row r="29" spans="1:9" ht="14.25">
      <c r="A29" s="13"/>
      <c r="B29" s="8"/>
      <c r="C29" s="23"/>
      <c r="D29" s="10"/>
      <c r="E29" s="10"/>
      <c r="F29" s="11"/>
      <c r="G29" s="12"/>
      <c r="H29" s="12"/>
      <c r="I29" s="11"/>
    </row>
    <row r="30" spans="1:9" ht="13.1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0"/>
  <sheetViews>
    <sheetView workbookViewId="0">
      <pane xSplit="2" ySplit="3" topLeftCell="G16" activePane="bottomRight" state="frozen"/>
      <selection pane="bottomRight" activeCell="G16" sqref="G16"/>
      <selection pane="bottomLeft" activeCell="D28" sqref="D28"/>
      <selection pane="topRight" activeCell="D28" sqref="D28"/>
    </sheetView>
  </sheetViews>
  <sheetFormatPr defaultRowHeight="13.5"/>
  <cols>
    <col min="1" max="1" width="14.5703125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1" ht="15">
      <c r="A1" s="85" t="str" cm="1">
        <f t="array" ref="A1">portfolio</f>
        <v>38 DN</v>
      </c>
      <c r="B1" s="85"/>
      <c r="C1" s="85"/>
      <c r="D1" s="86" t="s">
        <v>18</v>
      </c>
      <c r="E1" s="86"/>
      <c r="F1" s="86"/>
      <c r="G1" s="84" t="s">
        <v>19</v>
      </c>
      <c r="H1" s="84"/>
      <c r="I1" s="84"/>
      <c r="J1" s="4"/>
      <c r="K1" s="4"/>
    </row>
    <row r="2" spans="1:11" ht="15">
      <c r="A2" s="87" t="s">
        <v>2</v>
      </c>
      <c r="B2" s="87"/>
      <c r="C2" s="5">
        <f>SUM(C4:C98)</f>
        <v>1074735.7533333376</v>
      </c>
      <c r="D2" s="5">
        <f>SUM(D4:D98)</f>
        <v>1953737.1800000002</v>
      </c>
      <c r="E2" s="5">
        <f>C2-D2</f>
        <v>-879001.42666666256</v>
      </c>
      <c r="F2" s="6">
        <f>IFERROR(E2/D2, 0)</f>
        <v>-0.44990771310738042</v>
      </c>
      <c r="G2" s="5">
        <f>SUM(G4:G98)</f>
        <v>2327559.4799999995</v>
      </c>
      <c r="H2" s="7">
        <f>C2-G2</f>
        <v>-1252823.7266666619</v>
      </c>
      <c r="I2" s="6">
        <f>IFERROR(H2/G2, 0)</f>
        <v>-0.5382563742975377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5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3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52" t="str" cm="1">
        <f t="array" ref="A4:A24">Sites[Site]</f>
        <v>6th St.</v>
      </c>
      <c r="B4" s="48" t="str" cm="1">
        <f t="array" ref="B4:B24">Sites[State]</f>
        <v>CA</v>
      </c>
      <c r="C4" s="37">
        <v>124703.5</v>
      </c>
      <c r="D4" s="37">
        <v>103355.9</v>
      </c>
      <c r="E4" s="37">
        <f>IF(AND(ISNUMBER(C4),ISNUMBER(D4)), C4-D4, "")</f>
        <v>21347.600000000006</v>
      </c>
      <c r="F4" s="40">
        <f>IFERROR(E4/D4, "")</f>
        <v>0.20654457075019431</v>
      </c>
      <c r="G4" s="39">
        <v>146126.1</v>
      </c>
      <c r="H4" s="39">
        <f>IF(AND(ISNUMBER(C4),ISNUMBER(G4)), C4-G4, "")</f>
        <v>-21422.600000000006</v>
      </c>
      <c r="I4" s="40">
        <f>IFERROR(H4/G4, "")</f>
        <v>-0.14660351573059163</v>
      </c>
      <c r="J4" s="57" t="s">
        <v>22</v>
      </c>
      <c r="K4" s="57" t="s">
        <v>23</v>
      </c>
    </row>
    <row r="5" spans="1:11" ht="15.75">
      <c r="A5" s="53" t="str">
        <v>Barton Acres</v>
      </c>
      <c r="B5" s="50" t="str">
        <v>MA</v>
      </c>
      <c r="C5" s="44">
        <v>31509</v>
      </c>
      <c r="D5" s="44">
        <v>84215.44</v>
      </c>
      <c r="E5" s="44">
        <f t="shared" ref="E5:E15" si="0">IF(AND(ISNUMBER(C5),ISNUMBER(D5)), C5-D5, "")</f>
        <v>-52706.44</v>
      </c>
      <c r="F5" s="45">
        <f t="shared" ref="F5:F24" si="1">IFERROR(E5/D5, "")</f>
        <v>-0.62585245650916266</v>
      </c>
      <c r="G5" s="46">
        <v>69453.119999999995</v>
      </c>
      <c r="H5" s="46">
        <f t="shared" ref="H5:H6" si="2">IF(AND(ISNUMBER(C5),ISNUMBER(G5)), C5-G5, "")</f>
        <v>-37944.119999999995</v>
      </c>
      <c r="I5" s="45">
        <f t="shared" ref="I5:I6" si="3">IFERROR(H5/G5, "")</f>
        <v>-0.5463270764509931</v>
      </c>
      <c r="J5" s="58" t="s">
        <v>24</v>
      </c>
      <c r="K5" s="58" t="s">
        <v>24</v>
      </c>
    </row>
    <row r="6" spans="1:11" ht="15.75">
      <c r="A6" s="54" t="str">
        <v>Bowden</v>
      </c>
      <c r="B6" s="48" t="str">
        <v>MA</v>
      </c>
      <c r="C6" s="37">
        <v>69313</v>
      </c>
      <c r="D6" s="37">
        <v>124922.7</v>
      </c>
      <c r="E6" s="37">
        <f t="shared" si="0"/>
        <v>-55609.7</v>
      </c>
      <c r="F6" s="40">
        <f t="shared" si="1"/>
        <v>-0.4451528825425643</v>
      </c>
      <c r="G6" s="39">
        <v>167677.4</v>
      </c>
      <c r="H6" s="39">
        <f t="shared" si="2"/>
        <v>-98364.4</v>
      </c>
      <c r="I6" s="40">
        <f t="shared" si="3"/>
        <v>-0.58662884801410331</v>
      </c>
      <c r="J6" s="57" t="s">
        <v>24</v>
      </c>
      <c r="K6" s="57" t="s">
        <v>24</v>
      </c>
    </row>
    <row r="7" spans="1:11" ht="15.75">
      <c r="A7" s="53" t="str">
        <v>Blair Wire Village</v>
      </c>
      <c r="B7" s="50" t="str">
        <v>MA</v>
      </c>
      <c r="C7" s="44">
        <v>38474</v>
      </c>
      <c r="D7" s="44">
        <v>97645.68</v>
      </c>
      <c r="E7" s="44">
        <f t="shared" si="0"/>
        <v>-59171.679999999993</v>
      </c>
      <c r="F7" s="45">
        <f t="shared" si="1"/>
        <v>-0.60598359292495063</v>
      </c>
      <c r="G7" s="46">
        <v>83112.14</v>
      </c>
      <c r="H7" s="46">
        <f t="shared" ref="H7:H15" si="4">IF(AND(ISNUMBER(C7),ISNUMBER(G7)), C7-G7, "")</f>
        <v>-44638.14</v>
      </c>
      <c r="I7" s="45">
        <f t="shared" ref="I7:I15" si="5">IFERROR(H7/G7, "")</f>
        <v>-0.53708327086752905</v>
      </c>
      <c r="J7" s="58" t="s">
        <v>25</v>
      </c>
      <c r="K7" s="58" t="s">
        <v>26</v>
      </c>
    </row>
    <row r="8" spans="1:11" ht="15.75">
      <c r="A8" s="54" t="str">
        <v>Boutilier</v>
      </c>
      <c r="B8" s="48" t="str">
        <v>MA</v>
      </c>
      <c r="C8" s="37">
        <v>104475</v>
      </c>
      <c r="D8" s="37">
        <v>117645.2</v>
      </c>
      <c r="E8" s="37">
        <f t="shared" si="0"/>
        <v>-13170.199999999997</v>
      </c>
      <c r="F8" s="40">
        <f t="shared" si="1"/>
        <v>-0.11194846878580679</v>
      </c>
      <c r="G8" s="39">
        <v>190658.8</v>
      </c>
      <c r="H8" s="39">
        <f t="shared" si="4"/>
        <v>-86183.799999999988</v>
      </c>
      <c r="I8" s="40">
        <f t="shared" si="5"/>
        <v>-0.45203158731723891</v>
      </c>
      <c r="J8" s="57" t="s">
        <v>24</v>
      </c>
      <c r="K8" s="57" t="s">
        <v>24</v>
      </c>
    </row>
    <row r="9" spans="1:11" ht="42.75">
      <c r="A9" s="53" t="str">
        <v>Cherry Valley</v>
      </c>
      <c r="B9" s="50" t="str">
        <v>MA</v>
      </c>
      <c r="C9" s="44">
        <v>33861</v>
      </c>
      <c r="D9" s="44">
        <v>93717.02</v>
      </c>
      <c r="E9" s="44">
        <f t="shared" si="0"/>
        <v>-59856.020000000004</v>
      </c>
      <c r="F9" s="45">
        <f t="shared" si="1"/>
        <v>-0.63868889557094322</v>
      </c>
      <c r="G9" s="46">
        <v>77483</v>
      </c>
      <c r="H9" s="46">
        <f t="shared" si="4"/>
        <v>-43622</v>
      </c>
      <c r="I9" s="45">
        <f t="shared" si="5"/>
        <v>-0.56298801027322121</v>
      </c>
      <c r="J9" s="58" t="s">
        <v>27</v>
      </c>
      <c r="K9" s="58" t="s">
        <v>28</v>
      </c>
    </row>
    <row r="10" spans="1:11" ht="15.75">
      <c r="A10" s="54" t="str">
        <v>Cohasse</v>
      </c>
      <c r="B10" s="48" t="str">
        <v>MA</v>
      </c>
      <c r="C10" s="37">
        <v>37057</v>
      </c>
      <c r="D10" s="37">
        <v>86836.54</v>
      </c>
      <c r="E10" s="37">
        <f t="shared" si="0"/>
        <v>-49779.539999999994</v>
      </c>
      <c r="F10" s="40">
        <f t="shared" si="1"/>
        <v>-0.57325568245809888</v>
      </c>
      <c r="G10" s="39">
        <v>114180.6</v>
      </c>
      <c r="H10" s="39">
        <f t="shared" si="4"/>
        <v>-77123.600000000006</v>
      </c>
      <c r="I10" s="40">
        <f t="shared" si="5"/>
        <v>-0.67545274766466457</v>
      </c>
      <c r="J10" s="57" t="s">
        <v>29</v>
      </c>
      <c r="K10" s="57" t="s">
        <v>30</v>
      </c>
    </row>
    <row r="11" spans="1:11" ht="28.5">
      <c r="A11" s="53" t="str">
        <v>ISM Dighton Solar 2</v>
      </c>
      <c r="B11" s="50" t="str">
        <v>MA</v>
      </c>
      <c r="C11" s="44">
        <v>123864</v>
      </c>
      <c r="D11" s="44">
        <v>178054.9</v>
      </c>
      <c r="E11" s="44">
        <f t="shared" si="0"/>
        <v>-54190.899999999994</v>
      </c>
      <c r="F11" s="45">
        <f t="shared" si="1"/>
        <v>-0.30434938886826479</v>
      </c>
      <c r="G11" s="46">
        <v>195853.9</v>
      </c>
      <c r="H11" s="46">
        <f t="shared" si="4"/>
        <v>-71989.899999999994</v>
      </c>
      <c r="I11" s="45">
        <f t="shared" si="5"/>
        <v>-0.36756939739264827</v>
      </c>
      <c r="J11" s="58" t="s">
        <v>31</v>
      </c>
      <c r="K11" s="58" t="s">
        <v>32</v>
      </c>
    </row>
    <row r="12" spans="1:11" ht="15.75">
      <c r="A12" s="54" t="str">
        <v>Dudley River 1</v>
      </c>
      <c r="B12" s="48" t="str">
        <v>MA</v>
      </c>
      <c r="C12" s="37">
        <v>43519</v>
      </c>
      <c r="D12" s="37">
        <v>68762.899999999994</v>
      </c>
      <c r="E12" s="37">
        <f t="shared" si="0"/>
        <v>-25243.899999999994</v>
      </c>
      <c r="F12" s="40">
        <f t="shared" si="1"/>
        <v>-0.36711511585462503</v>
      </c>
      <c r="G12" s="39">
        <v>83762.23</v>
      </c>
      <c r="H12" s="39">
        <f t="shared" si="4"/>
        <v>-40243.229999999996</v>
      </c>
      <c r="I12" s="40">
        <f t="shared" si="5"/>
        <v>-0.48044601964393735</v>
      </c>
      <c r="J12" s="57" t="s">
        <v>24</v>
      </c>
      <c r="K12" s="57" t="s">
        <v>24</v>
      </c>
    </row>
    <row r="13" spans="1:11" ht="15.75">
      <c r="A13" s="53" t="str">
        <v>Dudley River 2</v>
      </c>
      <c r="B13" s="50" t="str">
        <v>MA</v>
      </c>
      <c r="C13" s="44">
        <v>44123</v>
      </c>
      <c r="D13" s="44">
        <v>70139.570000000007</v>
      </c>
      <c r="E13" s="44">
        <f t="shared" si="0"/>
        <v>-26016.570000000007</v>
      </c>
      <c r="F13" s="45">
        <f t="shared" si="1"/>
        <v>-0.37092571283228576</v>
      </c>
      <c r="G13" s="46">
        <v>81919.429999999993</v>
      </c>
      <c r="H13" s="46">
        <f t="shared" si="4"/>
        <v>-37796.429999999993</v>
      </c>
      <c r="I13" s="45">
        <f t="shared" si="5"/>
        <v>-0.46138541247174203</v>
      </c>
      <c r="J13" s="58" t="s">
        <v>24</v>
      </c>
      <c r="K13" s="58" t="s">
        <v>24</v>
      </c>
    </row>
    <row r="14" spans="1:11" ht="15.75">
      <c r="A14" s="54" t="str">
        <v>Dudley River 3</v>
      </c>
      <c r="B14" s="48" t="str">
        <v>MA</v>
      </c>
      <c r="C14" s="37">
        <v>47297</v>
      </c>
      <c r="D14" s="37">
        <v>71573.83</v>
      </c>
      <c r="E14" s="37">
        <f t="shared" si="0"/>
        <v>-24276.83</v>
      </c>
      <c r="F14" s="40">
        <f t="shared" si="1"/>
        <v>-0.33918584488213083</v>
      </c>
      <c r="G14" s="39">
        <v>84149.19</v>
      </c>
      <c r="H14" s="39">
        <f t="shared" si="4"/>
        <v>-36852.19</v>
      </c>
      <c r="I14" s="40">
        <f t="shared" si="5"/>
        <v>-0.43793873714054765</v>
      </c>
      <c r="J14" s="57" t="s">
        <v>24</v>
      </c>
      <c r="K14" s="57" t="s">
        <v>24</v>
      </c>
    </row>
    <row r="15" spans="1:11" ht="15.75">
      <c r="A15" s="53" t="str">
        <v>Flint Pond</v>
      </c>
      <c r="B15" s="50" t="str">
        <v>MA</v>
      </c>
      <c r="C15" s="44">
        <v>16497.5</v>
      </c>
      <c r="D15" s="44">
        <v>40276</v>
      </c>
      <c r="E15" s="44">
        <f t="shared" si="0"/>
        <v>-23778.5</v>
      </c>
      <c r="F15" s="45">
        <f t="shared" si="1"/>
        <v>-0.59038881716158509</v>
      </c>
      <c r="G15" s="46">
        <v>33543.68</v>
      </c>
      <c r="H15" s="46">
        <f t="shared" si="4"/>
        <v>-17046.18</v>
      </c>
      <c r="I15" s="45">
        <f t="shared" si="5"/>
        <v>-0.50817858982675723</v>
      </c>
      <c r="J15" s="58" t="s">
        <v>33</v>
      </c>
      <c r="K15" s="58" t="s">
        <v>34</v>
      </c>
    </row>
    <row r="16" spans="1:11" ht="15.75">
      <c r="A16" s="54" t="str">
        <v>Incom</v>
      </c>
      <c r="B16" s="48" t="str">
        <v>MA</v>
      </c>
      <c r="C16" s="37">
        <v>83086</v>
      </c>
      <c r="D16" s="37">
        <v>159872.4</v>
      </c>
      <c r="E16" s="37">
        <f t="shared" ref="E16:E24" si="6">IF(AND(ISNUMBER(C16),ISNUMBER(D16)), C16-D16, "")</f>
        <v>-76786.399999999994</v>
      </c>
      <c r="F16" s="40">
        <f t="shared" si="1"/>
        <v>-0.4802980376850538</v>
      </c>
      <c r="G16" s="39">
        <v>220156.9</v>
      </c>
      <c r="H16" s="39">
        <f t="shared" ref="H16:H17" si="7">IF(AND(ISNUMBER(C16),ISNUMBER(G16)), C16-G16, "")</f>
        <v>-137070.9</v>
      </c>
      <c r="I16" s="40">
        <f t="shared" ref="I16:I17" si="8">IFERROR(H16/G16, "")</f>
        <v>-0.62260551452168889</v>
      </c>
      <c r="J16" s="57" t="s">
        <v>35</v>
      </c>
      <c r="K16" s="57" t="s">
        <v>36</v>
      </c>
    </row>
    <row r="17" spans="1:11" ht="15.75">
      <c r="A17" s="53" t="str">
        <v>JH</v>
      </c>
      <c r="B17" s="49" t="str">
        <v>MA</v>
      </c>
      <c r="C17" s="44">
        <v>32274</v>
      </c>
      <c r="D17" s="44">
        <v>86355.93</v>
      </c>
      <c r="E17" s="44">
        <f t="shared" si="6"/>
        <v>-54081.929999999993</v>
      </c>
      <c r="F17" s="40">
        <f t="shared" si="1"/>
        <v>-0.62626770390869502</v>
      </c>
      <c r="G17" s="46">
        <v>106218.7</v>
      </c>
      <c r="H17" s="46">
        <f t="shared" si="7"/>
        <v>-73944.7</v>
      </c>
      <c r="I17" s="40">
        <f t="shared" si="8"/>
        <v>-0.69615519677796844</v>
      </c>
      <c r="J17" s="58" t="s">
        <v>24</v>
      </c>
      <c r="K17" s="58" t="s">
        <v>24</v>
      </c>
    </row>
    <row r="18" spans="1:11" ht="15.75">
      <c r="A18" s="54" t="str">
        <v>Ledeaux</v>
      </c>
      <c r="B18" s="51" t="str">
        <v>MA</v>
      </c>
      <c r="C18" s="37">
        <v>28537</v>
      </c>
      <c r="D18" s="37">
        <v>58671.27</v>
      </c>
      <c r="E18" s="37">
        <f t="shared" si="6"/>
        <v>-30134.269999999997</v>
      </c>
      <c r="F18" s="40">
        <f t="shared" si="1"/>
        <v>-0.51361202851071741</v>
      </c>
      <c r="G18" s="39">
        <v>98769.99</v>
      </c>
      <c r="H18" s="39">
        <f t="shared" ref="H18:H24" si="9">IF(AND(ISNUMBER(C18),ISNUMBER(G18)), C18-G18, "")</f>
        <v>-70232.990000000005</v>
      </c>
      <c r="I18" s="40">
        <f t="shared" ref="I18:I24" si="10">IFERROR(H18/G18, "")</f>
        <v>-0.71107620847182429</v>
      </c>
      <c r="J18" s="57" t="s">
        <v>24</v>
      </c>
      <c r="K18" s="57" t="s">
        <v>24</v>
      </c>
    </row>
    <row r="19" spans="1:11" ht="15.75">
      <c r="A19" s="53" t="str">
        <v>Palombo A</v>
      </c>
      <c r="B19" s="49" t="str">
        <v>MA</v>
      </c>
      <c r="C19" s="44">
        <v>79689.003333337605</v>
      </c>
      <c r="D19" s="44">
        <v>187942.8</v>
      </c>
      <c r="E19" s="44">
        <f t="shared" si="6"/>
        <v>-108253.79666666238</v>
      </c>
      <c r="F19" s="40">
        <f t="shared" si="1"/>
        <v>-0.57599331640617457</v>
      </c>
      <c r="G19" s="46">
        <v>250093</v>
      </c>
      <c r="H19" s="46">
        <f t="shared" si="9"/>
        <v>-170403.9966666624</v>
      </c>
      <c r="I19" s="40">
        <f t="shared" si="10"/>
        <v>-0.68136251980928053</v>
      </c>
      <c r="J19" s="58" t="s">
        <v>24</v>
      </c>
      <c r="K19" s="58" t="s">
        <v>24</v>
      </c>
    </row>
    <row r="20" spans="1:11" ht="15.75">
      <c r="A20" s="54" t="str">
        <v>Palombo B</v>
      </c>
      <c r="B20" s="51" t="str">
        <v>MA</v>
      </c>
      <c r="C20" s="37">
        <v>32703</v>
      </c>
      <c r="D20" s="37">
        <v>91961.55</v>
      </c>
      <c r="E20" s="37">
        <f t="shared" si="6"/>
        <v>-59258.55</v>
      </c>
      <c r="F20" s="40">
        <f t="shared" si="1"/>
        <v>-0.64438398439347755</v>
      </c>
      <c r="G20" s="39">
        <v>71768.39</v>
      </c>
      <c r="H20" s="39">
        <f t="shared" si="9"/>
        <v>-39065.39</v>
      </c>
      <c r="I20" s="40">
        <f t="shared" si="10"/>
        <v>-0.54432585153435931</v>
      </c>
      <c r="J20" s="57" t="s">
        <v>24</v>
      </c>
      <c r="K20" s="57" t="s">
        <v>24</v>
      </c>
    </row>
    <row r="21" spans="1:11" ht="15.75">
      <c r="A21" s="53" t="str">
        <v>St Josephs Church</v>
      </c>
      <c r="B21" s="49" t="str">
        <v>MA</v>
      </c>
      <c r="C21" s="44">
        <v>37183</v>
      </c>
      <c r="D21" s="44">
        <v>87772.32</v>
      </c>
      <c r="E21" s="44">
        <f t="shared" si="6"/>
        <v>-50589.320000000007</v>
      </c>
      <c r="F21" s="40">
        <f t="shared" si="1"/>
        <v>-0.57636986238941845</v>
      </c>
      <c r="G21" s="46">
        <v>91531.02</v>
      </c>
      <c r="H21" s="46">
        <f t="shared" si="9"/>
        <v>-54348.020000000004</v>
      </c>
      <c r="I21" s="40">
        <f t="shared" si="10"/>
        <v>-0.59376613524027155</v>
      </c>
      <c r="J21" s="58" t="s">
        <v>24</v>
      </c>
      <c r="K21" s="58" t="s">
        <v>24</v>
      </c>
    </row>
    <row r="22" spans="1:11" ht="15.75">
      <c r="A22" s="54" t="str">
        <v>Sunset A</v>
      </c>
      <c r="B22" s="51" t="str">
        <v>MA</v>
      </c>
      <c r="C22" s="37">
        <v>16708.5</v>
      </c>
      <c r="D22" s="37">
        <v>42789.35</v>
      </c>
      <c r="E22" s="37">
        <f t="shared" si="6"/>
        <v>-26080.85</v>
      </c>
      <c r="F22" s="40">
        <f t="shared" si="1"/>
        <v>-0.60951732148303261</v>
      </c>
      <c r="G22" s="39">
        <v>32696.87</v>
      </c>
      <c r="H22" s="39">
        <f t="shared" si="9"/>
        <v>-15988.369999999999</v>
      </c>
      <c r="I22" s="40">
        <f t="shared" si="10"/>
        <v>-0.48898778384597669</v>
      </c>
      <c r="J22" s="57" t="s">
        <v>37</v>
      </c>
      <c r="K22" s="57" t="s">
        <v>38</v>
      </c>
    </row>
    <row r="23" spans="1:11" ht="15.75">
      <c r="A23" s="53" t="str">
        <v>Sunset B</v>
      </c>
      <c r="B23" s="49" t="str">
        <v>MA</v>
      </c>
      <c r="C23" s="44">
        <v>16074.25</v>
      </c>
      <c r="D23" s="44">
        <v>29669.200000000001</v>
      </c>
      <c r="E23" s="44">
        <f t="shared" si="6"/>
        <v>-13594.95</v>
      </c>
      <c r="F23" s="40">
        <f t="shared" si="1"/>
        <v>-0.45821761287800145</v>
      </c>
      <c r="G23" s="46">
        <v>32307.32</v>
      </c>
      <c r="H23" s="46">
        <f t="shared" si="9"/>
        <v>-16233.07</v>
      </c>
      <c r="I23" s="40">
        <f t="shared" si="10"/>
        <v>-0.50245795689645567</v>
      </c>
      <c r="J23" s="58" t="s">
        <v>37</v>
      </c>
      <c r="K23" s="58" t="s">
        <v>39</v>
      </c>
    </row>
    <row r="24" spans="1:11" ht="15.75">
      <c r="A24" s="54" t="str">
        <v>Woodchuck</v>
      </c>
      <c r="B24" s="51" t="str">
        <v>MA</v>
      </c>
      <c r="C24" s="37">
        <v>33788</v>
      </c>
      <c r="D24" s="37">
        <v>71556.679999999993</v>
      </c>
      <c r="E24" s="37">
        <f t="shared" si="6"/>
        <v>-37768.679999999993</v>
      </c>
      <c r="F24" s="40">
        <f t="shared" si="1"/>
        <v>-0.52781487346813738</v>
      </c>
      <c r="G24" s="39">
        <v>96097.7</v>
      </c>
      <c r="H24" s="39">
        <f t="shared" si="9"/>
        <v>-62309.7</v>
      </c>
      <c r="I24" s="40">
        <f t="shared" si="10"/>
        <v>-0.64839949343220493</v>
      </c>
      <c r="J24" s="57" t="s">
        <v>24</v>
      </c>
      <c r="K24" s="57" t="s">
        <v>24</v>
      </c>
    </row>
    <row r="25" spans="1:11" ht="14.25">
      <c r="A25" s="13"/>
      <c r="B25" s="18"/>
      <c r="C25" s="21"/>
      <c r="D25" s="13"/>
      <c r="E25" s="13"/>
      <c r="F25" s="13"/>
      <c r="G25" s="13"/>
      <c r="H25" s="13"/>
      <c r="I25" s="13"/>
      <c r="J25" s="22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20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</sheetData>
  <mergeCells count="4">
    <mergeCell ref="D1:F1"/>
    <mergeCell ref="A1:C1"/>
    <mergeCell ref="G1:I1"/>
    <mergeCell ref="A2:B2"/>
  </mergeCells>
  <conditionalFormatting sqref="F2 I2 I4:I98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1"/>
  <sheetViews>
    <sheetView workbookViewId="0">
      <pane xSplit="2" ySplit="3" topLeftCell="G16" activePane="bottomRight" state="frozen"/>
      <selection pane="bottomRight" activeCell="G16" sqref="G16"/>
      <selection pane="bottomLeft" activeCell="J4" sqref="J4:K24"/>
      <selection pane="topRight" activeCell="J4" sqref="J4:K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4" customWidth="1"/>
    <col min="11" max="11" width="20.5703125" style="64" bestFit="1" customWidth="1"/>
  </cols>
  <sheetData>
    <row r="1" spans="1:11" ht="19.5" customHeight="1">
      <c r="A1" s="85" t="str" cm="1">
        <f t="array" ref="A1">portfolio</f>
        <v>38 DN</v>
      </c>
      <c r="B1" s="85"/>
      <c r="C1" s="85"/>
      <c r="D1" s="86" t="s">
        <v>40</v>
      </c>
      <c r="E1" s="86"/>
      <c r="F1" s="86"/>
      <c r="G1" s="84" t="s">
        <v>41</v>
      </c>
      <c r="H1" s="84"/>
      <c r="I1" s="84"/>
      <c r="J1" s="60"/>
      <c r="K1" s="60"/>
    </row>
    <row r="2" spans="1:11" ht="19.5" customHeight="1">
      <c r="A2" s="87" t="s">
        <v>2</v>
      </c>
      <c r="B2" s="87"/>
      <c r="C2" s="5">
        <f>SUM(C4:C99)</f>
        <v>2903046.4966666619</v>
      </c>
      <c r="D2" s="5">
        <f>SUM(D4:D99)</f>
        <v>3704325.05</v>
      </c>
      <c r="E2" s="5">
        <f>C2-D2</f>
        <v>-801278.55333333788</v>
      </c>
      <c r="F2" s="6">
        <f>IFERROR(E2/D2, 0)</f>
        <v>-0.21630892065839036</v>
      </c>
      <c r="G2" s="5">
        <f>SUM(G4:G99)</f>
        <v>2914295.61</v>
      </c>
      <c r="H2" s="7">
        <f>C2-G2</f>
        <v>-11249.11333333794</v>
      </c>
      <c r="I2" s="6">
        <f>IFERROR(H2/G2, 0)</f>
        <v>-3.859976762390944E-3</v>
      </c>
      <c r="J2" s="6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60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62" t="s">
        <v>20</v>
      </c>
      <c r="K3" s="62" t="s">
        <v>21</v>
      </c>
    </row>
    <row r="4" spans="1:11" ht="42.75">
      <c r="A4" s="52" t="str" cm="1">
        <f t="array" ref="A4:A24">Sites[Site]</f>
        <v>6th St.</v>
      </c>
      <c r="B4" s="48" t="str" cm="1">
        <f t="array" ref="B4:B24">Sites[State]</f>
        <v>CA</v>
      </c>
      <c r="C4" s="36">
        <v>117799.5</v>
      </c>
      <c r="D4" s="37">
        <v>104011.7</v>
      </c>
      <c r="E4" s="37">
        <f>IF(AND(ISNUMBER(C4),ISNUMBER(D4)), C4-D4, "")</f>
        <v>13787.800000000003</v>
      </c>
      <c r="F4" s="38">
        <f>IFERROR(E4/D4, "")</f>
        <v>0.13256008699021363</v>
      </c>
      <c r="G4" s="39">
        <v>147623</v>
      </c>
      <c r="H4" s="39">
        <f>IF(AND(ISNUMBER(C4),ISNUMBER(G4)), C4-G4, "")</f>
        <v>-29823.5</v>
      </c>
      <c r="I4" s="40">
        <f>IFERROR(H4/G4, "")</f>
        <v>-0.20202475224050453</v>
      </c>
      <c r="J4" s="63" t="s">
        <v>42</v>
      </c>
      <c r="K4" s="63" t="s">
        <v>43</v>
      </c>
    </row>
    <row r="5" spans="1:11" ht="28.5">
      <c r="A5" s="53" t="str">
        <v>Barton Acres</v>
      </c>
      <c r="B5" s="50" t="str">
        <v>MA</v>
      </c>
      <c r="C5" s="43">
        <v>108506</v>
      </c>
      <c r="D5" s="44">
        <v>160669.9</v>
      </c>
      <c r="E5" s="44">
        <f t="shared" ref="E5:E15" si="0">IF(AND(ISNUMBER(C5),ISNUMBER(D5)), C5-D5, "")</f>
        <v>-52163.899999999994</v>
      </c>
      <c r="F5" s="45">
        <f>IFERROR(E5/D5, "")</f>
        <v>-0.32466504304788885</v>
      </c>
      <c r="G5" s="46">
        <v>98180.31</v>
      </c>
      <c r="H5" s="46">
        <f t="shared" ref="H5:H15" si="1">IF(AND(ISNUMBER(C5),ISNUMBER(G5)), C5-G5, "")</f>
        <v>10325.690000000002</v>
      </c>
      <c r="I5" s="45">
        <f t="shared" ref="I5:I15" si="2">IFERROR(H5/G5, "")</f>
        <v>0.10517068035332137</v>
      </c>
      <c r="J5" s="65" t="s">
        <v>44</v>
      </c>
      <c r="K5" s="65" t="s">
        <v>45</v>
      </c>
    </row>
    <row r="6" spans="1:11" ht="15.75">
      <c r="A6" s="54" t="str">
        <v>Bowden</v>
      </c>
      <c r="B6" s="48" t="str">
        <v>MA</v>
      </c>
      <c r="C6" s="36">
        <v>240002</v>
      </c>
      <c r="D6" s="37">
        <v>273981.2</v>
      </c>
      <c r="E6" s="37">
        <f t="shared" si="0"/>
        <v>-33979.200000000012</v>
      </c>
      <c r="F6" s="38">
        <f t="shared" ref="F6:F15" si="3">IFERROR(E6/D6, "")</f>
        <v>-0.12402018824649286</v>
      </c>
      <c r="G6" s="39">
        <v>216873.8</v>
      </c>
      <c r="H6" s="39">
        <f t="shared" si="1"/>
        <v>23128.200000000012</v>
      </c>
      <c r="I6" s="40">
        <f t="shared" si="2"/>
        <v>0.1066435871921828</v>
      </c>
      <c r="J6" s="63"/>
      <c r="K6" s="63"/>
    </row>
    <row r="7" spans="1:11" ht="58.5" customHeight="1">
      <c r="A7" s="53" t="str">
        <v>Blair Wire Village</v>
      </c>
      <c r="B7" s="50" t="str">
        <v>MA</v>
      </c>
      <c r="C7" s="43">
        <v>112415</v>
      </c>
      <c r="D7" s="44">
        <v>166534.20000000001</v>
      </c>
      <c r="E7" s="44">
        <f t="shared" si="0"/>
        <v>-54119.200000000012</v>
      </c>
      <c r="F7" s="45">
        <f t="shared" si="3"/>
        <v>-0.3249734889290008</v>
      </c>
      <c r="G7" s="46">
        <v>108186.2</v>
      </c>
      <c r="H7" s="46">
        <f t="shared" si="1"/>
        <v>4228.8000000000029</v>
      </c>
      <c r="I7" s="45">
        <f t="shared" si="2"/>
        <v>3.9088164664254806E-2</v>
      </c>
      <c r="J7" s="65" t="s">
        <v>46</v>
      </c>
      <c r="K7" s="65" t="s">
        <v>47</v>
      </c>
    </row>
    <row r="8" spans="1:11" ht="15.75">
      <c r="A8" s="54" t="str">
        <v>Boutilier</v>
      </c>
      <c r="B8" s="48" t="str">
        <v>MA</v>
      </c>
      <c r="C8" s="36">
        <v>313554</v>
      </c>
      <c r="D8" s="37">
        <v>390258.3</v>
      </c>
      <c r="E8" s="37">
        <f t="shared" si="0"/>
        <v>-76704.299999999988</v>
      </c>
      <c r="F8" s="38">
        <f t="shared" si="3"/>
        <v>-0.19654751737503082</v>
      </c>
      <c r="G8" s="39">
        <v>269518.2</v>
      </c>
      <c r="H8" s="39">
        <f t="shared" si="1"/>
        <v>44035.799999999988</v>
      </c>
      <c r="I8" s="40">
        <f t="shared" si="2"/>
        <v>0.16338711077767656</v>
      </c>
      <c r="J8" s="63"/>
      <c r="K8" s="63"/>
    </row>
    <row r="9" spans="1:11" ht="42.75">
      <c r="A9" s="53" t="str">
        <v>Cherry Valley</v>
      </c>
      <c r="B9" s="50" t="str">
        <v>MA</v>
      </c>
      <c r="C9" s="43">
        <v>104151</v>
      </c>
      <c r="D9" s="44">
        <v>163924.20000000001</v>
      </c>
      <c r="E9" s="44">
        <f t="shared" si="0"/>
        <v>-59773.200000000012</v>
      </c>
      <c r="F9" s="45">
        <f t="shared" si="3"/>
        <v>-0.36463926619742543</v>
      </c>
      <c r="G9" s="46">
        <v>104227</v>
      </c>
      <c r="H9" s="46">
        <f t="shared" si="1"/>
        <v>-76</v>
      </c>
      <c r="I9" s="45">
        <f t="shared" si="2"/>
        <v>-7.2917766029915478E-4</v>
      </c>
      <c r="J9" s="65" t="s">
        <v>48</v>
      </c>
      <c r="K9" s="65" t="s">
        <v>49</v>
      </c>
    </row>
    <row r="10" spans="1:11" ht="15.75">
      <c r="A10" s="54" t="str">
        <v>Cohasse</v>
      </c>
      <c r="B10" s="48" t="str">
        <v>MA</v>
      </c>
      <c r="C10" s="36">
        <v>106564</v>
      </c>
      <c r="D10" s="37">
        <v>153689.60000000001</v>
      </c>
      <c r="E10" s="37">
        <f t="shared" si="0"/>
        <v>-47125.600000000006</v>
      </c>
      <c r="F10" s="38">
        <f t="shared" si="3"/>
        <v>-0.30662842508536692</v>
      </c>
      <c r="G10" s="39">
        <v>135758.5</v>
      </c>
      <c r="H10" s="39">
        <f t="shared" si="1"/>
        <v>-29194.5</v>
      </c>
      <c r="I10" s="40">
        <f t="shared" si="2"/>
        <v>-0.21504730827167359</v>
      </c>
      <c r="J10" s="63"/>
      <c r="K10" s="63"/>
    </row>
    <row r="11" spans="1:11" ht="42.75">
      <c r="A11" s="53" t="str">
        <v>ISM Dighton Solar 2</v>
      </c>
      <c r="B11" s="50" t="str">
        <v>MA</v>
      </c>
      <c r="C11" s="43">
        <v>245737</v>
      </c>
      <c r="D11" s="44">
        <v>268185.8</v>
      </c>
      <c r="E11" s="44">
        <f t="shared" si="0"/>
        <v>-22448.799999999988</v>
      </c>
      <c r="F11" s="45">
        <f t="shared" si="3"/>
        <v>-8.3706147007037615E-2</v>
      </c>
      <c r="G11" s="46">
        <v>226815.8</v>
      </c>
      <c r="H11" s="46">
        <f t="shared" si="1"/>
        <v>18921.200000000012</v>
      </c>
      <c r="I11" s="45">
        <f t="shared" si="2"/>
        <v>8.3420996244529755E-2</v>
      </c>
      <c r="J11" s="65" t="s">
        <v>50</v>
      </c>
      <c r="K11" s="65" t="s">
        <v>51</v>
      </c>
    </row>
    <row r="12" spans="1:11" ht="114">
      <c r="A12" s="54" t="str">
        <v>Dudley River 1</v>
      </c>
      <c r="B12" s="48" t="str">
        <v>MA</v>
      </c>
      <c r="C12" s="36">
        <v>118831</v>
      </c>
      <c r="D12" s="37">
        <v>138790</v>
      </c>
      <c r="E12" s="37">
        <f t="shared" si="0"/>
        <v>-19959</v>
      </c>
      <c r="F12" s="38">
        <f t="shared" si="3"/>
        <v>-0.1438071907197925</v>
      </c>
      <c r="G12" s="39">
        <v>109903.4</v>
      </c>
      <c r="H12" s="39">
        <f t="shared" si="1"/>
        <v>8927.6000000000058</v>
      </c>
      <c r="I12" s="40">
        <f t="shared" si="2"/>
        <v>8.1231335882238465E-2</v>
      </c>
      <c r="J12" s="63" t="s">
        <v>52</v>
      </c>
      <c r="K12" s="63" t="s">
        <v>53</v>
      </c>
    </row>
    <row r="13" spans="1:11" ht="57">
      <c r="A13" s="53" t="str">
        <v>Dudley River 2</v>
      </c>
      <c r="B13" s="50" t="str">
        <v>MA</v>
      </c>
      <c r="C13" s="43">
        <v>114866</v>
      </c>
      <c r="D13" s="44">
        <v>138292.5</v>
      </c>
      <c r="E13" s="44">
        <f t="shared" si="0"/>
        <v>-23426.5</v>
      </c>
      <c r="F13" s="45">
        <f t="shared" si="3"/>
        <v>-0.16939819585299276</v>
      </c>
      <c r="G13" s="46">
        <v>104560.3</v>
      </c>
      <c r="H13" s="46">
        <f t="shared" si="1"/>
        <v>10305.699999999997</v>
      </c>
      <c r="I13" s="45">
        <f t="shared" si="2"/>
        <v>9.8562265027931223E-2</v>
      </c>
      <c r="J13" s="65" t="s">
        <v>54</v>
      </c>
      <c r="K13" s="65" t="s">
        <v>55</v>
      </c>
    </row>
    <row r="14" spans="1:11" ht="15.75">
      <c r="A14" s="54" t="str">
        <v>Dudley River 3</v>
      </c>
      <c r="B14" s="48" t="str">
        <v>MA</v>
      </c>
      <c r="C14" s="36">
        <v>128025</v>
      </c>
      <c r="D14" s="37">
        <v>139249.9</v>
      </c>
      <c r="E14" s="37">
        <f t="shared" si="0"/>
        <v>-11224.899999999994</v>
      </c>
      <c r="F14" s="38">
        <f t="shared" si="3"/>
        <v>-8.0609752682048563E-2</v>
      </c>
      <c r="G14" s="39">
        <v>106013.9</v>
      </c>
      <c r="H14" s="39">
        <f t="shared" si="1"/>
        <v>22011.100000000006</v>
      </c>
      <c r="I14" s="40">
        <f t="shared" si="2"/>
        <v>0.2076246605397972</v>
      </c>
      <c r="J14" s="63"/>
      <c r="K14" s="63"/>
    </row>
    <row r="15" spans="1:11" ht="15.75">
      <c r="A15" s="53" t="str">
        <v>Flint Pond</v>
      </c>
      <c r="B15" s="50" t="str">
        <v>MA</v>
      </c>
      <c r="C15" s="43">
        <v>52890</v>
      </c>
      <c r="D15" s="44">
        <v>75445.3</v>
      </c>
      <c r="E15" s="44">
        <f t="shared" si="0"/>
        <v>-22555.300000000003</v>
      </c>
      <c r="F15" s="45">
        <f t="shared" si="3"/>
        <v>-0.29896229453657158</v>
      </c>
      <c r="G15" s="46">
        <v>47473.760000000002</v>
      </c>
      <c r="H15" s="46">
        <f t="shared" si="1"/>
        <v>5416.239999999998</v>
      </c>
      <c r="I15" s="45">
        <f t="shared" si="2"/>
        <v>0.11408913050072288</v>
      </c>
      <c r="J15" s="65" t="s">
        <v>56</v>
      </c>
      <c r="K15" s="65" t="s">
        <v>57</v>
      </c>
    </row>
    <row r="16" spans="1:11" ht="15.75">
      <c r="A16" s="54" t="str">
        <v>Incom</v>
      </c>
      <c r="B16" s="48" t="str">
        <v>MA</v>
      </c>
      <c r="C16" s="36">
        <v>245273</v>
      </c>
      <c r="D16" s="37">
        <v>327202</v>
      </c>
      <c r="E16" s="37">
        <f t="shared" ref="E16:E24" si="4">IF(AND(ISNUMBER(C16),ISNUMBER(D16)), C16-D16, "")</f>
        <v>-81929</v>
      </c>
      <c r="F16" s="38">
        <f t="shared" ref="F16:F24" si="5">IFERROR(E16/D16, "")</f>
        <v>-0.25039272376085719</v>
      </c>
      <c r="G16" s="39">
        <v>263772.2</v>
      </c>
      <c r="H16" s="39">
        <f t="shared" ref="H16:H24" si="6">IF(AND(ISNUMBER(C16),ISNUMBER(G16)), C16-G16, "")</f>
        <v>-18499.200000000012</v>
      </c>
      <c r="I16" s="40">
        <f t="shared" ref="I16:I24" si="7">IFERROR(H16/G16, "")</f>
        <v>-7.0133243761093894E-2</v>
      </c>
      <c r="J16" s="63" t="s">
        <v>58</v>
      </c>
      <c r="K16" s="63" t="s">
        <v>59</v>
      </c>
    </row>
    <row r="17" spans="1:11" ht="15.75">
      <c r="A17" s="53" t="str">
        <v>JH</v>
      </c>
      <c r="B17" s="50" t="str">
        <v>MA</v>
      </c>
      <c r="C17" s="43">
        <v>117284</v>
      </c>
      <c r="D17" s="44">
        <v>160679.29999999999</v>
      </c>
      <c r="E17" s="44">
        <f t="shared" si="4"/>
        <v>-43395.299999999988</v>
      </c>
      <c r="F17" s="45">
        <f t="shared" si="5"/>
        <v>-0.27007399210725958</v>
      </c>
      <c r="G17" s="46">
        <v>129552.7</v>
      </c>
      <c r="H17" s="46">
        <f t="shared" si="6"/>
        <v>-12268.699999999997</v>
      </c>
      <c r="I17" s="45">
        <f t="shared" si="7"/>
        <v>-9.4700457805973914E-2</v>
      </c>
      <c r="J17" s="65"/>
      <c r="K17" s="65"/>
    </row>
    <row r="18" spans="1:11" ht="12.75" customHeight="1">
      <c r="A18" s="52" t="str">
        <v>Ledeaux</v>
      </c>
      <c r="B18" s="48" t="str">
        <v>MA</v>
      </c>
      <c r="C18" s="36">
        <v>107690</v>
      </c>
      <c r="D18" s="37">
        <v>127152.8</v>
      </c>
      <c r="E18" s="37">
        <f t="shared" si="4"/>
        <v>-19462.800000000003</v>
      </c>
      <c r="F18" s="45">
        <f t="shared" si="5"/>
        <v>-0.15306623212386988</v>
      </c>
      <c r="G18" s="39">
        <v>121695.2</v>
      </c>
      <c r="H18" s="39">
        <f t="shared" si="6"/>
        <v>-14005.199999999997</v>
      </c>
      <c r="I18" s="45">
        <f t="shared" si="7"/>
        <v>-0.11508424325692383</v>
      </c>
      <c r="J18" s="63"/>
      <c r="K18" s="63"/>
    </row>
    <row r="19" spans="1:11" ht="15.75">
      <c r="A19" s="53" t="str">
        <v>Palombo A</v>
      </c>
      <c r="B19" s="50" t="str">
        <v>MA</v>
      </c>
      <c r="C19" s="43">
        <v>242837.99666666199</v>
      </c>
      <c r="D19" s="44">
        <v>319493.40000000002</v>
      </c>
      <c r="E19" s="44">
        <f t="shared" si="4"/>
        <v>-76655.403333338036</v>
      </c>
      <c r="F19" s="45">
        <f t="shared" si="5"/>
        <v>-0.23992797138638242</v>
      </c>
      <c r="G19" s="46">
        <v>292221</v>
      </c>
      <c r="H19" s="46">
        <f t="shared" si="6"/>
        <v>-49383.003333338012</v>
      </c>
      <c r="I19" s="45">
        <f t="shared" si="7"/>
        <v>-0.16899197297024515</v>
      </c>
      <c r="J19" s="65"/>
      <c r="K19" s="65"/>
    </row>
    <row r="20" spans="1:11" ht="15.75">
      <c r="A20" s="54" t="str">
        <v>Palombo B</v>
      </c>
      <c r="B20" s="48" t="str">
        <v>MA</v>
      </c>
      <c r="C20" s="36">
        <v>112113</v>
      </c>
      <c r="D20" s="37">
        <v>151059</v>
      </c>
      <c r="E20" s="37">
        <f t="shared" si="4"/>
        <v>-38946</v>
      </c>
      <c r="F20" s="45">
        <f t="shared" si="5"/>
        <v>-0.25781979226659785</v>
      </c>
      <c r="G20" s="39">
        <v>101907</v>
      </c>
      <c r="H20" s="39">
        <f t="shared" si="6"/>
        <v>10206</v>
      </c>
      <c r="I20" s="45">
        <f t="shared" si="7"/>
        <v>0.10015013688951692</v>
      </c>
      <c r="J20" s="63"/>
      <c r="K20" s="63"/>
    </row>
    <row r="21" spans="1:11" ht="15.75">
      <c r="A21" s="53" t="str">
        <v>St Josephs Church</v>
      </c>
      <c r="B21" s="50" t="str">
        <v>MA</v>
      </c>
      <c r="C21" s="43">
        <v>102403</v>
      </c>
      <c r="D21" s="44">
        <v>161969.1</v>
      </c>
      <c r="E21" s="44">
        <f t="shared" si="4"/>
        <v>-59566.100000000006</v>
      </c>
      <c r="F21" s="45">
        <f t="shared" si="5"/>
        <v>-0.36776212252830942</v>
      </c>
      <c r="G21" s="46">
        <v>115957.7</v>
      </c>
      <c r="H21" s="46">
        <f t="shared" si="6"/>
        <v>-13554.699999999997</v>
      </c>
      <c r="I21" s="45">
        <f t="shared" si="7"/>
        <v>-0.11689348788394387</v>
      </c>
      <c r="J21" s="65"/>
      <c r="K21" s="65"/>
    </row>
    <row r="22" spans="1:11" ht="15.75">
      <c r="A22" s="54" t="str">
        <v>Sunset A</v>
      </c>
      <c r="B22" s="48" t="str">
        <v>MA</v>
      </c>
      <c r="C22" s="36">
        <v>54854</v>
      </c>
      <c r="D22" s="37">
        <v>80039.97</v>
      </c>
      <c r="E22" s="37">
        <f t="shared" si="4"/>
        <v>-25185.97</v>
      </c>
      <c r="F22" s="45">
        <f t="shared" si="5"/>
        <v>-0.3146674092956307</v>
      </c>
      <c r="G22" s="39">
        <v>46223.21</v>
      </c>
      <c r="H22" s="39">
        <f t="shared" si="6"/>
        <v>8630.7900000000009</v>
      </c>
      <c r="I22" s="45">
        <f t="shared" si="7"/>
        <v>0.18671983187666977</v>
      </c>
      <c r="J22" s="63" t="s">
        <v>60</v>
      </c>
      <c r="K22" s="63" t="s">
        <v>61</v>
      </c>
    </row>
    <row r="23" spans="1:11" ht="57">
      <c r="A23" s="53" t="str">
        <v>Sunset B</v>
      </c>
      <c r="B23" s="50" t="str">
        <v>MA</v>
      </c>
      <c r="C23" s="43">
        <v>47906</v>
      </c>
      <c r="D23" s="44">
        <v>62731.88</v>
      </c>
      <c r="E23" s="44">
        <f t="shared" si="4"/>
        <v>-14825.879999999997</v>
      </c>
      <c r="F23" s="45">
        <f t="shared" si="5"/>
        <v>-0.23633724989590615</v>
      </c>
      <c r="G23" s="46">
        <v>45670.03</v>
      </c>
      <c r="H23" s="46">
        <f t="shared" si="6"/>
        <v>2235.9700000000012</v>
      </c>
      <c r="I23" s="45">
        <f t="shared" si="7"/>
        <v>4.8959240885105643E-2</v>
      </c>
      <c r="J23" s="63" t="s">
        <v>62</v>
      </c>
      <c r="K23" s="65" t="s">
        <v>63</v>
      </c>
    </row>
    <row r="24" spans="1:11" ht="28.5">
      <c r="A24" s="54" t="str">
        <v>Woodchuck</v>
      </c>
      <c r="B24" s="48" t="str">
        <v>MA</v>
      </c>
      <c r="C24" s="36">
        <v>109345</v>
      </c>
      <c r="D24" s="37">
        <v>140965</v>
      </c>
      <c r="E24" s="37">
        <f t="shared" si="4"/>
        <v>-31620</v>
      </c>
      <c r="F24" s="45">
        <f t="shared" si="5"/>
        <v>-0.22431099918419467</v>
      </c>
      <c r="G24" s="39">
        <v>122162.4</v>
      </c>
      <c r="H24" s="39">
        <f t="shared" si="6"/>
        <v>-12817.399999999994</v>
      </c>
      <c r="I24" s="45">
        <f t="shared" si="7"/>
        <v>-0.10492099041931065</v>
      </c>
      <c r="J24" s="63" t="s">
        <v>64</v>
      </c>
      <c r="K24" s="63" t="s">
        <v>65</v>
      </c>
    </row>
    <row r="25" spans="1:11">
      <c r="A25" s="13"/>
      <c r="B25" s="18"/>
      <c r="C25" s="13"/>
      <c r="D25" s="13"/>
      <c r="E25" s="13"/>
      <c r="F25" s="13"/>
      <c r="G25" s="13"/>
      <c r="H25" s="13"/>
      <c r="I25" s="13"/>
    </row>
    <row r="26" spans="1:11">
      <c r="A26" s="13"/>
      <c r="B26" s="18"/>
      <c r="C26" s="13"/>
      <c r="D26" s="13"/>
      <c r="E26" s="13"/>
      <c r="F26" s="13"/>
      <c r="G26" s="13"/>
      <c r="H26" s="13"/>
      <c r="I26" s="13"/>
    </row>
    <row r="27" spans="1:11">
      <c r="A27" s="13"/>
      <c r="B27" s="18"/>
      <c r="C27" s="13"/>
      <c r="D27" s="13"/>
      <c r="E27" s="13"/>
      <c r="F27" s="13"/>
      <c r="G27" s="13"/>
      <c r="H27" s="13"/>
      <c r="I27" s="13"/>
    </row>
    <row r="28" spans="1:11">
      <c r="A28" s="13"/>
      <c r="B28" s="18"/>
      <c r="C28" s="13"/>
      <c r="D28" s="13"/>
      <c r="E28" s="13"/>
      <c r="F28" s="13"/>
      <c r="G28" s="13"/>
      <c r="H28" s="13"/>
      <c r="I28" s="13"/>
    </row>
    <row r="29" spans="1:11">
      <c r="A29" s="13"/>
      <c r="B29" s="18"/>
      <c r="C29" s="13"/>
      <c r="D29" s="13"/>
      <c r="E29" s="13"/>
      <c r="F29" s="13"/>
      <c r="G29" s="13"/>
      <c r="H29" s="13"/>
      <c r="I29" s="13"/>
    </row>
    <row r="30" spans="1:11">
      <c r="A30" s="13"/>
      <c r="B30" s="18"/>
      <c r="C30" s="13"/>
      <c r="D30" s="13"/>
      <c r="E30" s="13"/>
      <c r="F30" s="13"/>
      <c r="G30" s="13"/>
      <c r="H30" s="13"/>
      <c r="I30" s="13"/>
    </row>
    <row r="31" spans="1:11">
      <c r="A31" s="13"/>
      <c r="B31" s="18"/>
      <c r="C31" s="13"/>
      <c r="D31" s="13"/>
      <c r="E31" s="13"/>
      <c r="F31" s="13"/>
      <c r="G31" s="13"/>
      <c r="H31" s="13"/>
      <c r="I31" s="13"/>
    </row>
    <row r="32" spans="1:11">
      <c r="A32" s="13"/>
      <c r="B32" s="18"/>
      <c r="C32" s="13"/>
      <c r="D32" s="13"/>
      <c r="E32" s="13"/>
      <c r="F32" s="14"/>
      <c r="G32" s="13"/>
      <c r="H32" s="13"/>
      <c r="I32" s="14"/>
    </row>
    <row r="33" spans="1:9">
      <c r="A33" s="13"/>
      <c r="B33" s="18"/>
      <c r="C33" s="13"/>
      <c r="D33" s="13"/>
      <c r="E33" s="13"/>
      <c r="F33" s="14"/>
      <c r="G33" s="13"/>
      <c r="H33" s="13"/>
      <c r="I33" s="14"/>
    </row>
    <row r="34" spans="1:9">
      <c r="A34" s="13"/>
      <c r="B34" s="18"/>
      <c r="C34" s="13"/>
      <c r="D34" s="13"/>
      <c r="E34" s="13"/>
      <c r="F34" s="14"/>
      <c r="G34" s="13"/>
      <c r="H34" s="13"/>
      <c r="I34" s="14"/>
    </row>
    <row r="35" spans="1:9">
      <c r="A35" s="13"/>
      <c r="B35" s="18"/>
      <c r="C35" s="13"/>
      <c r="D35" s="13"/>
      <c r="E35" s="13"/>
      <c r="F35" s="14"/>
      <c r="G35" s="13"/>
      <c r="H35" s="13"/>
      <c r="I35" s="14"/>
    </row>
    <row r="36" spans="1:9">
      <c r="A36" s="13"/>
      <c r="B36" s="18"/>
      <c r="C36" s="13"/>
      <c r="D36" s="13"/>
      <c r="E36" s="13"/>
      <c r="F36" s="14"/>
      <c r="G36" s="13"/>
      <c r="H36" s="13"/>
      <c r="I36" s="14"/>
    </row>
    <row r="37" spans="1:9">
      <c r="A37" s="13"/>
      <c r="B37" s="18"/>
      <c r="C37" s="13"/>
      <c r="D37" s="13"/>
      <c r="E37" s="13"/>
      <c r="F37" s="14"/>
      <c r="G37" s="13"/>
      <c r="H37" s="13"/>
      <c r="I37" s="14"/>
    </row>
    <row r="38" spans="1:9">
      <c r="A38" s="13"/>
      <c r="B38" s="18"/>
      <c r="C38" s="13"/>
      <c r="D38" s="13"/>
      <c r="E38" s="13"/>
      <c r="F38" s="14"/>
      <c r="G38" s="13"/>
      <c r="H38" s="13"/>
      <c r="I38" s="14"/>
    </row>
    <row r="39" spans="1:9">
      <c r="A39" s="13"/>
      <c r="B39" s="18"/>
      <c r="C39" s="13"/>
      <c r="D39" s="13"/>
      <c r="E39" s="13"/>
      <c r="F39" s="14"/>
      <c r="G39" s="13"/>
      <c r="H39" s="13"/>
      <c r="I39" s="14"/>
    </row>
    <row r="40" spans="1:9">
      <c r="A40" s="13"/>
      <c r="B40" s="18"/>
      <c r="C40" s="13"/>
      <c r="D40" s="13"/>
      <c r="E40" s="13"/>
      <c r="F40" s="14"/>
      <c r="G40" s="13"/>
      <c r="H40" s="13"/>
      <c r="I40" s="14"/>
    </row>
    <row r="41" spans="1:9">
      <c r="A41" s="13"/>
      <c r="B41" s="18"/>
      <c r="C41" s="13"/>
      <c r="D41" s="13"/>
      <c r="E41" s="13"/>
      <c r="F41" s="14"/>
      <c r="G41" s="13"/>
      <c r="H41" s="13"/>
      <c r="I41" s="14"/>
    </row>
    <row r="42" spans="1:9">
      <c r="A42" s="13"/>
      <c r="B42" s="18"/>
      <c r="C42" s="13"/>
      <c r="D42" s="13"/>
      <c r="E42" s="13"/>
      <c r="F42" s="14"/>
      <c r="G42" s="13"/>
      <c r="H42" s="13"/>
      <c r="I42" s="14"/>
    </row>
    <row r="43" spans="1:9">
      <c r="A43" s="13"/>
      <c r="B43" s="18"/>
      <c r="C43" s="13"/>
      <c r="D43" s="13"/>
      <c r="E43" s="13"/>
      <c r="F43" s="14"/>
      <c r="G43" s="13"/>
      <c r="H43" s="13"/>
      <c r="I43" s="14"/>
    </row>
    <row r="44" spans="1:9">
      <c r="A44" s="13"/>
      <c r="B44" s="18"/>
      <c r="C44" s="13"/>
      <c r="D44" s="13"/>
      <c r="E44" s="13"/>
      <c r="F44" s="14"/>
      <c r="G44" s="13"/>
      <c r="H44" s="13"/>
      <c r="I44" s="14"/>
    </row>
    <row r="45" spans="1:9">
      <c r="A45" s="13"/>
      <c r="B45" s="18"/>
      <c r="C45" s="13"/>
      <c r="D45" s="13"/>
      <c r="E45" s="13"/>
      <c r="F45" s="14"/>
      <c r="G45" s="13"/>
      <c r="H45" s="13"/>
      <c r="I45" s="14"/>
    </row>
    <row r="46" spans="1:9">
      <c r="A46" s="13"/>
      <c r="B46" s="18"/>
      <c r="C46" s="13"/>
      <c r="D46" s="13"/>
      <c r="E46" s="13"/>
      <c r="F46" s="14"/>
      <c r="G46" s="13"/>
      <c r="H46" s="13"/>
      <c r="I46" s="14"/>
    </row>
    <row r="47" spans="1:9">
      <c r="A47" s="13"/>
      <c r="B47" s="18"/>
      <c r="C47" s="13"/>
      <c r="D47" s="13"/>
      <c r="E47" s="13"/>
      <c r="F47" s="14"/>
      <c r="G47" s="13"/>
      <c r="H47" s="13"/>
      <c r="I47" s="14"/>
    </row>
    <row r="48" spans="1:9">
      <c r="A48" s="13"/>
      <c r="B48" s="18"/>
      <c r="C48" s="13"/>
      <c r="D48" s="13"/>
      <c r="E48" s="13"/>
      <c r="F48" s="14"/>
      <c r="G48" s="13"/>
      <c r="H48" s="13"/>
      <c r="I48" s="14"/>
    </row>
    <row r="49" spans="1:9">
      <c r="A49" s="13"/>
      <c r="B49" s="18"/>
      <c r="C49" s="13"/>
      <c r="D49" s="13"/>
      <c r="E49" s="13"/>
      <c r="F49" s="14"/>
      <c r="G49" s="13"/>
      <c r="H49" s="13"/>
      <c r="I49" s="14"/>
    </row>
    <row r="50" spans="1:9">
      <c r="A50" s="13"/>
      <c r="B50" s="18"/>
      <c r="C50" s="13"/>
      <c r="D50" s="13"/>
      <c r="E50" s="13"/>
      <c r="F50" s="14"/>
      <c r="G50" s="13"/>
      <c r="H50" s="13"/>
      <c r="I50" s="14"/>
    </row>
    <row r="51" spans="1:9">
      <c r="A51" s="13"/>
      <c r="B51" s="18"/>
      <c r="C51" s="13"/>
      <c r="D51" s="13"/>
      <c r="E51" s="13"/>
      <c r="F51" s="14"/>
      <c r="G51" s="13"/>
      <c r="H51" s="13"/>
      <c r="I51" s="14"/>
    </row>
    <row r="52" spans="1:9">
      <c r="A52" s="13"/>
      <c r="B52" s="18"/>
      <c r="C52" s="13"/>
      <c r="D52" s="13"/>
      <c r="E52" s="13"/>
      <c r="F52" s="14"/>
      <c r="G52" s="13"/>
      <c r="H52" s="13"/>
      <c r="I52" s="14"/>
    </row>
    <row r="53" spans="1:9">
      <c r="A53" s="13"/>
      <c r="B53" s="18"/>
      <c r="C53" s="13"/>
      <c r="D53" s="13"/>
      <c r="E53" s="13"/>
      <c r="F53" s="14"/>
      <c r="G53" s="13"/>
      <c r="H53" s="13"/>
      <c r="I53" s="14"/>
    </row>
    <row r="54" spans="1:9">
      <c r="A54" s="13"/>
      <c r="B54" s="18"/>
      <c r="C54" s="13"/>
      <c r="D54" s="13"/>
      <c r="E54" s="13"/>
      <c r="F54" s="14"/>
      <c r="G54" s="13"/>
      <c r="H54" s="13"/>
      <c r="I54" s="14"/>
    </row>
    <row r="55" spans="1:9">
      <c r="A55" s="13"/>
      <c r="B55" s="18"/>
      <c r="C55" s="13"/>
      <c r="D55" s="13"/>
      <c r="E55" s="13"/>
      <c r="F55" s="14"/>
      <c r="G55" s="13"/>
      <c r="H55" s="13"/>
      <c r="I55" s="14"/>
    </row>
    <row r="56" spans="1:9">
      <c r="A56" s="13"/>
      <c r="B56" s="18"/>
      <c r="C56" s="13"/>
      <c r="D56" s="13"/>
      <c r="E56" s="13"/>
      <c r="F56" s="14"/>
      <c r="G56" s="13"/>
      <c r="H56" s="13"/>
      <c r="I56" s="14"/>
    </row>
    <row r="57" spans="1:9">
      <c r="A57" s="13"/>
      <c r="B57" s="18"/>
      <c r="C57" s="13"/>
      <c r="D57" s="13"/>
      <c r="E57" s="13"/>
      <c r="F57" s="14"/>
      <c r="G57" s="13"/>
      <c r="H57" s="13"/>
      <c r="I57" s="14"/>
    </row>
    <row r="58" spans="1:9">
      <c r="A58" s="13"/>
      <c r="B58" s="18"/>
      <c r="C58" s="13"/>
      <c r="D58" s="13"/>
      <c r="E58" s="13"/>
      <c r="F58" s="14"/>
      <c r="G58" s="13"/>
      <c r="H58" s="13"/>
      <c r="I58" s="14"/>
    </row>
    <row r="59" spans="1:9">
      <c r="A59" s="13"/>
      <c r="B59" s="18"/>
      <c r="C59" s="13"/>
      <c r="D59" s="13"/>
      <c r="E59" s="13"/>
      <c r="F59" s="14"/>
      <c r="G59" s="13"/>
      <c r="H59" s="13"/>
      <c r="I59" s="14"/>
    </row>
    <row r="60" spans="1:9">
      <c r="A60" s="13"/>
      <c r="B60" s="18"/>
      <c r="C60" s="13"/>
      <c r="D60" s="13"/>
      <c r="E60" s="13"/>
      <c r="F60" s="14"/>
      <c r="G60" s="13"/>
      <c r="H60" s="13"/>
      <c r="I60" s="14"/>
    </row>
    <row r="61" spans="1:9">
      <c r="A61" s="13"/>
      <c r="B61" s="18"/>
      <c r="C61" s="13"/>
      <c r="D61" s="13"/>
      <c r="E61" s="13"/>
      <c r="F61" s="14"/>
      <c r="G61" s="13"/>
      <c r="H61" s="13"/>
      <c r="I61" s="14"/>
    </row>
    <row r="62" spans="1:9">
      <c r="A62" s="13"/>
      <c r="B62" s="18"/>
      <c r="C62" s="13"/>
      <c r="D62" s="13"/>
      <c r="E62" s="13"/>
      <c r="F62" s="14"/>
      <c r="G62" s="13"/>
      <c r="H62" s="13"/>
      <c r="I62" s="14"/>
    </row>
    <row r="63" spans="1:9">
      <c r="A63" s="13"/>
      <c r="B63" s="18"/>
      <c r="C63" s="13"/>
      <c r="D63" s="13"/>
      <c r="E63" s="13"/>
      <c r="F63" s="14"/>
      <c r="G63" s="13"/>
      <c r="H63" s="13"/>
      <c r="I63" s="14"/>
    </row>
    <row r="64" spans="1:9">
      <c r="A64" s="13"/>
      <c r="B64" s="18"/>
      <c r="C64" s="13"/>
      <c r="D64" s="13"/>
      <c r="E64" s="13"/>
      <c r="F64" s="14"/>
      <c r="G64" s="13"/>
      <c r="H64" s="13"/>
      <c r="I64" s="14"/>
    </row>
    <row r="65" spans="1:9">
      <c r="A65" s="13"/>
      <c r="B65" s="18"/>
      <c r="C65" s="13"/>
      <c r="D65" s="13"/>
      <c r="E65" s="13"/>
      <c r="F65" s="14"/>
      <c r="G65" s="13"/>
      <c r="H65" s="13"/>
      <c r="I65" s="14"/>
    </row>
    <row r="66" spans="1:9">
      <c r="A66" s="13"/>
      <c r="B66" s="18"/>
      <c r="C66" s="13"/>
      <c r="D66" s="13"/>
      <c r="E66" s="13"/>
      <c r="F66" s="14"/>
      <c r="G66" s="13"/>
      <c r="H66" s="13"/>
      <c r="I66" s="14"/>
    </row>
    <row r="67" spans="1:9">
      <c r="A67" s="13"/>
      <c r="B67" s="18"/>
      <c r="C67" s="13"/>
      <c r="D67" s="13"/>
      <c r="E67" s="13"/>
      <c r="F67" s="14"/>
      <c r="G67" s="13"/>
      <c r="H67" s="13"/>
      <c r="I67" s="14"/>
    </row>
    <row r="68" spans="1:9">
      <c r="A68" s="13"/>
      <c r="B68" s="18"/>
      <c r="C68" s="13"/>
      <c r="D68" s="13"/>
      <c r="E68" s="13"/>
      <c r="F68" s="14"/>
      <c r="G68" s="13"/>
      <c r="H68" s="13"/>
      <c r="I68" s="14"/>
    </row>
    <row r="69" spans="1:9">
      <c r="A69" s="13"/>
      <c r="B69" s="18"/>
      <c r="C69" s="13"/>
      <c r="D69" s="13"/>
      <c r="E69" s="13"/>
      <c r="F69" s="14"/>
      <c r="G69" s="13"/>
      <c r="H69" s="13"/>
      <c r="I69" s="14"/>
    </row>
    <row r="70" spans="1:9">
      <c r="A70" s="13"/>
      <c r="B70" s="18"/>
      <c r="C70" s="13"/>
      <c r="D70" s="13"/>
      <c r="E70" s="13"/>
      <c r="F70" s="14"/>
      <c r="G70" s="13"/>
      <c r="H70" s="13"/>
      <c r="I70" s="14"/>
    </row>
    <row r="71" spans="1:9">
      <c r="A71" s="13"/>
      <c r="B71" s="18"/>
      <c r="C71" s="13"/>
      <c r="D71" s="13"/>
      <c r="E71" s="13"/>
      <c r="F71" s="14"/>
      <c r="G71" s="13"/>
      <c r="H71" s="13"/>
      <c r="I71" s="14"/>
    </row>
    <row r="72" spans="1:9">
      <c r="A72" s="13"/>
      <c r="B72" s="18"/>
      <c r="C72" s="13"/>
      <c r="D72" s="13"/>
      <c r="E72" s="13"/>
      <c r="F72" s="14"/>
      <c r="G72" s="13"/>
      <c r="H72" s="13"/>
      <c r="I72" s="14"/>
    </row>
    <row r="73" spans="1:9">
      <c r="A73" s="13"/>
      <c r="B73" s="18"/>
      <c r="C73" s="13"/>
      <c r="D73" s="13"/>
      <c r="E73" s="13"/>
      <c r="F73" s="14"/>
      <c r="G73" s="13"/>
      <c r="H73" s="13"/>
      <c r="I73" s="14"/>
    </row>
    <row r="74" spans="1:9">
      <c r="A74" s="13"/>
      <c r="B74" s="18"/>
      <c r="C74" s="13"/>
      <c r="D74" s="13"/>
      <c r="E74" s="13"/>
      <c r="F74" s="14"/>
      <c r="G74" s="13"/>
      <c r="H74" s="13"/>
      <c r="I74" s="14"/>
    </row>
    <row r="75" spans="1:9">
      <c r="A75" s="13"/>
      <c r="B75" s="18"/>
      <c r="C75" s="13"/>
      <c r="D75" s="13"/>
      <c r="E75" s="13"/>
      <c r="F75" s="14"/>
      <c r="G75" s="13"/>
      <c r="H75" s="13"/>
      <c r="I75" s="14"/>
    </row>
    <row r="76" spans="1:9">
      <c r="A76" s="13"/>
      <c r="B76" s="18"/>
      <c r="C76" s="13"/>
      <c r="D76" s="13"/>
      <c r="E76" s="13"/>
      <c r="F76" s="14"/>
      <c r="G76" s="13"/>
      <c r="H76" s="13"/>
      <c r="I76" s="14"/>
    </row>
    <row r="77" spans="1:9">
      <c r="A77" s="13"/>
      <c r="B77" s="18"/>
      <c r="C77" s="13"/>
      <c r="D77" s="13"/>
      <c r="E77" s="13"/>
      <c r="F77" s="14"/>
      <c r="G77" s="13"/>
      <c r="H77" s="13"/>
      <c r="I77" s="14"/>
    </row>
    <row r="78" spans="1:9">
      <c r="A78" s="13"/>
      <c r="B78" s="18"/>
      <c r="C78" s="13"/>
      <c r="D78" s="13"/>
      <c r="E78" s="13"/>
      <c r="F78" s="14"/>
      <c r="G78" s="13"/>
      <c r="H78" s="13"/>
      <c r="I78" s="14"/>
    </row>
    <row r="79" spans="1:9">
      <c r="A79" s="13"/>
      <c r="B79" s="18"/>
      <c r="C79" s="13"/>
      <c r="D79" s="13"/>
      <c r="E79" s="13"/>
      <c r="F79" s="14"/>
      <c r="G79" s="13"/>
      <c r="H79" s="13"/>
      <c r="I79" s="14"/>
    </row>
    <row r="80" spans="1:9">
      <c r="A80" s="13"/>
      <c r="B80" s="18"/>
      <c r="C80" s="13"/>
      <c r="D80" s="13"/>
      <c r="E80" s="13"/>
      <c r="F80" s="14"/>
      <c r="G80" s="13"/>
      <c r="H80" s="13"/>
      <c r="I80" s="14"/>
    </row>
    <row r="81" spans="1:9">
      <c r="A81" s="13"/>
      <c r="B81" s="18"/>
      <c r="C81" s="13"/>
      <c r="D81" s="13"/>
      <c r="E81" s="13"/>
      <c r="F81" s="14"/>
      <c r="G81" s="13"/>
      <c r="H81" s="13"/>
      <c r="I81" s="14"/>
    </row>
    <row r="82" spans="1:9">
      <c r="A82" s="13"/>
      <c r="B82" s="18"/>
      <c r="C82" s="13"/>
      <c r="D82" s="13"/>
      <c r="E82" s="13"/>
      <c r="F82" s="14"/>
      <c r="G82" s="13"/>
      <c r="H82" s="13"/>
      <c r="I82" s="14"/>
    </row>
    <row r="83" spans="1:9">
      <c r="A83" s="13"/>
      <c r="B83" s="18"/>
      <c r="C83" s="13"/>
      <c r="D83" s="13"/>
      <c r="E83" s="13"/>
      <c r="F83" s="14"/>
      <c r="G83" s="13"/>
      <c r="H83" s="13"/>
      <c r="I83" s="14"/>
    </row>
    <row r="84" spans="1:9">
      <c r="A84" s="13"/>
      <c r="B84" s="18"/>
      <c r="C84" s="13"/>
      <c r="D84" s="13"/>
      <c r="E84" s="13"/>
      <c r="F84" s="14"/>
      <c r="G84" s="13"/>
      <c r="H84" s="13"/>
      <c r="I84" s="14"/>
    </row>
    <row r="85" spans="1:9">
      <c r="A85" s="13"/>
      <c r="B85" s="18"/>
      <c r="C85" s="13"/>
      <c r="D85" s="13"/>
      <c r="E85" s="13"/>
      <c r="F85" s="14"/>
      <c r="G85" s="13"/>
      <c r="H85" s="13"/>
      <c r="I85" s="14"/>
    </row>
    <row r="86" spans="1:9">
      <c r="A86" s="13"/>
      <c r="B86" s="18"/>
      <c r="C86" s="13"/>
      <c r="D86" s="13"/>
      <c r="E86" s="13"/>
      <c r="F86" s="14"/>
      <c r="G86" s="13"/>
      <c r="H86" s="13"/>
      <c r="I86" s="14"/>
    </row>
    <row r="87" spans="1:9">
      <c r="A87" s="13"/>
      <c r="B87" s="18"/>
      <c r="C87" s="13"/>
      <c r="D87" s="13"/>
      <c r="E87" s="13"/>
      <c r="F87" s="14"/>
      <c r="G87" s="13"/>
      <c r="H87" s="13"/>
      <c r="I87" s="14"/>
    </row>
    <row r="88" spans="1:9">
      <c r="A88" s="13"/>
      <c r="B88" s="18"/>
      <c r="C88" s="13"/>
      <c r="D88" s="13"/>
      <c r="E88" s="13"/>
      <c r="F88" s="14"/>
      <c r="G88" s="13"/>
      <c r="H88" s="13"/>
      <c r="I88" s="14"/>
    </row>
    <row r="89" spans="1:9">
      <c r="A89" s="13"/>
      <c r="B89" s="18"/>
      <c r="C89" s="13"/>
      <c r="D89" s="13"/>
      <c r="E89" s="13"/>
      <c r="F89" s="14"/>
      <c r="G89" s="13"/>
      <c r="H89" s="13"/>
      <c r="I89" s="14"/>
    </row>
    <row r="90" spans="1:9">
      <c r="A90" s="13"/>
      <c r="B90" s="18"/>
      <c r="C90" s="13"/>
      <c r="D90" s="13"/>
      <c r="E90" s="13"/>
      <c r="F90" s="14"/>
      <c r="G90" s="13"/>
      <c r="H90" s="13"/>
      <c r="I90" s="14"/>
    </row>
    <row r="91" spans="1:9">
      <c r="A91" s="13"/>
      <c r="B91" s="18"/>
      <c r="C91" s="13"/>
      <c r="D91" s="13"/>
      <c r="E91" s="13"/>
      <c r="F91" s="14"/>
      <c r="G91" s="13"/>
      <c r="H91" s="13"/>
      <c r="I91" s="14"/>
    </row>
    <row r="92" spans="1:9">
      <c r="A92" s="13"/>
      <c r="B92" s="18"/>
      <c r="C92" s="13"/>
      <c r="D92" s="13"/>
      <c r="E92" s="13"/>
      <c r="F92" s="14"/>
      <c r="G92" s="13"/>
      <c r="H92" s="13"/>
      <c r="I92" s="14"/>
    </row>
    <row r="93" spans="1:9">
      <c r="A93" s="13"/>
      <c r="B93" s="18"/>
      <c r="C93" s="13"/>
      <c r="D93" s="13"/>
      <c r="E93" s="13"/>
      <c r="F93" s="14"/>
      <c r="G93" s="13"/>
      <c r="H93" s="13"/>
      <c r="I93" s="14"/>
    </row>
    <row r="94" spans="1:9">
      <c r="A94" s="13"/>
      <c r="B94" s="18"/>
      <c r="C94" s="13"/>
      <c r="D94" s="13"/>
      <c r="E94" s="13"/>
      <c r="F94" s="14"/>
      <c r="G94" s="13"/>
      <c r="H94" s="13"/>
      <c r="I94" s="14"/>
    </row>
    <row r="95" spans="1:9">
      <c r="A95" s="13"/>
      <c r="B95" s="18"/>
      <c r="C95" s="13"/>
      <c r="D95" s="13"/>
      <c r="E95" s="13"/>
      <c r="F95" s="14"/>
      <c r="G95" s="13"/>
      <c r="H95" s="13"/>
      <c r="I95" s="14"/>
    </row>
    <row r="96" spans="1:9">
      <c r="A96" s="13"/>
      <c r="B96" s="18"/>
      <c r="C96" s="13"/>
      <c r="D96" s="13"/>
      <c r="E96" s="13"/>
      <c r="F96" s="14"/>
      <c r="G96" s="13"/>
      <c r="H96" s="13"/>
      <c r="I96" s="14"/>
    </row>
    <row r="97" spans="1:9">
      <c r="A97" s="13"/>
      <c r="B97" s="18"/>
      <c r="C97" s="13"/>
      <c r="D97" s="13"/>
      <c r="E97" s="13"/>
      <c r="F97" s="14"/>
      <c r="G97" s="13"/>
      <c r="H97" s="13"/>
      <c r="I97" s="14"/>
    </row>
    <row r="98" spans="1:9">
      <c r="A98" s="13"/>
      <c r="B98" s="18"/>
      <c r="C98" s="13"/>
      <c r="D98" s="13"/>
      <c r="E98" s="13"/>
      <c r="F98" s="14"/>
      <c r="G98" s="13"/>
      <c r="H98" s="13"/>
      <c r="I98" s="14"/>
    </row>
    <row r="99" spans="1:9">
      <c r="A99" s="13"/>
      <c r="B99" s="18"/>
      <c r="C99" s="13"/>
      <c r="D99" s="13"/>
      <c r="E99" s="13"/>
      <c r="F99" s="14"/>
      <c r="G99" s="13"/>
      <c r="H99" s="13"/>
      <c r="I99" s="14"/>
    </row>
    <row r="100" spans="1:9">
      <c r="A100" s="13"/>
      <c r="B100" s="18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8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8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8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8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8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8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8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8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8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8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8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8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8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8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8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8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8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8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8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8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8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8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8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8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8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8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8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8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8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8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8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8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8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8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8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8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8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8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8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8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8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8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8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8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8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8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8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8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8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8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8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8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8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8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8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8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8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8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8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8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8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8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8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8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8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8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8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8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8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8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8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8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8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8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8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8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8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8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8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8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8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8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8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8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8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8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8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8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8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8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8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8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8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8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8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8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8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8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8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8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8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8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8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8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8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8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8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8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8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8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8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8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8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8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8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8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8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8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8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8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8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8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8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8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8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8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8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8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8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8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8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8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8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8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8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8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8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8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8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8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8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8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8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8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8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8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8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8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8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8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8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8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8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8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8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8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8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8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8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8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8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8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8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8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8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8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8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8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8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8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8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8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8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8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8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8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8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8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8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8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8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8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8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8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8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8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8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8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8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8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8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8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8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8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8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8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8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8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8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8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8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8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8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8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8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8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8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8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8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8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8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8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8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8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8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8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8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8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8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8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8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8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8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8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8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8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8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8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8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8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8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8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8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8"/>
      <c r="C334" s="13"/>
      <c r="D334" s="13"/>
      <c r="E334" s="13"/>
      <c r="F334" s="14"/>
      <c r="G334" s="13"/>
      <c r="H334" s="13"/>
      <c r="I334" s="14"/>
    </row>
    <row r="335" spans="1:9">
      <c r="A335" s="13"/>
      <c r="B335" s="18"/>
      <c r="C335" s="13"/>
      <c r="D335" s="13"/>
      <c r="E335" s="13"/>
      <c r="F335" s="14"/>
      <c r="G335" s="13"/>
      <c r="H335" s="13"/>
      <c r="I335" s="14"/>
    </row>
    <row r="336" spans="1:9">
      <c r="A336" s="13"/>
      <c r="B336" s="18"/>
      <c r="C336" s="13"/>
      <c r="D336" s="13"/>
      <c r="E336" s="13"/>
      <c r="F336" s="14"/>
      <c r="G336" s="13"/>
      <c r="H336" s="13"/>
      <c r="I336" s="14"/>
    </row>
    <row r="337" spans="1:9">
      <c r="A337" s="13"/>
      <c r="B337" s="18"/>
      <c r="C337" s="13"/>
      <c r="D337" s="13"/>
      <c r="E337" s="13"/>
      <c r="F337" s="14"/>
      <c r="G337" s="13"/>
      <c r="H337" s="13"/>
      <c r="I337" s="14"/>
    </row>
    <row r="338" spans="1:9">
      <c r="A338" s="13"/>
      <c r="B338" s="18"/>
      <c r="C338" s="13"/>
      <c r="D338" s="13"/>
      <c r="E338" s="13"/>
      <c r="F338" s="14"/>
      <c r="G338" s="13"/>
      <c r="H338" s="13"/>
      <c r="I338" s="14"/>
    </row>
    <row r="339" spans="1:9">
      <c r="A339" s="13"/>
      <c r="B339" s="18"/>
      <c r="C339" s="13"/>
      <c r="D339" s="13"/>
      <c r="E339" s="13"/>
      <c r="F339" s="14"/>
      <c r="G339" s="13"/>
      <c r="H339" s="13"/>
      <c r="I339" s="14"/>
    </row>
    <row r="340" spans="1:9">
      <c r="A340" s="13"/>
      <c r="B340" s="18"/>
      <c r="C340" s="13"/>
      <c r="D340" s="13"/>
      <c r="E340" s="13"/>
      <c r="F340" s="14"/>
      <c r="G340" s="13"/>
      <c r="H340" s="13"/>
      <c r="I340" s="14"/>
    </row>
    <row r="341" spans="1:9"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1"/>
  <sheetViews>
    <sheetView zoomScale="70" zoomScaleNormal="70" workbookViewId="0">
      <pane xSplit="2" ySplit="3" topLeftCell="F4" activePane="bottomRight" state="frozen"/>
      <selection pane="bottomRight" activeCell="J35" sqref="J35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5" t="str" cm="1">
        <f t="array" ref="A1">portfolio</f>
        <v>38 DN</v>
      </c>
      <c r="B1" s="85"/>
      <c r="C1" s="85"/>
      <c r="D1" s="86" t="s">
        <v>66</v>
      </c>
      <c r="E1" s="86"/>
      <c r="F1" s="86"/>
      <c r="G1" s="84" t="s">
        <v>67</v>
      </c>
      <c r="H1" s="84"/>
      <c r="I1" s="84"/>
      <c r="J1" s="4"/>
      <c r="K1" s="4"/>
    </row>
    <row r="2" spans="1:11" ht="19.5" customHeight="1">
      <c r="A2" s="87" t="s">
        <v>2</v>
      </c>
      <c r="B2" s="87"/>
      <c r="C2" s="5">
        <f>SUM(C4:C99)</f>
        <v>3658511.95</v>
      </c>
      <c r="D2" s="5">
        <f>SUM(D4:D99)</f>
        <v>3934430.86</v>
      </c>
      <c r="E2" s="5">
        <f>C2-D2</f>
        <v>-275918.90999999968</v>
      </c>
      <c r="F2" s="6">
        <f>IFERROR(E2/D2, 0)</f>
        <v>-7.012930708864959E-2</v>
      </c>
      <c r="G2" s="5">
        <f>SUM(G4:G99)</f>
        <v>3957115.43</v>
      </c>
      <c r="H2" s="7">
        <f>C2-G2</f>
        <v>-298603.48</v>
      </c>
      <c r="I2" s="6">
        <f>IFERROR(H2/G2, 0)</f>
        <v>-7.5459886192907943E-2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85.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172920.7</v>
      </c>
      <c r="D4" s="44">
        <v>173166.5</v>
      </c>
      <c r="E4" s="37">
        <f>IF(AND(ISNUMBER(C4),ISNUMBER(D4)), C4-D4, "")</f>
        <v>-245.79999999998836</v>
      </c>
      <c r="F4" s="38">
        <f>IFERROR(E4/D4, "")</f>
        <v>-1.4194431370963111E-3</v>
      </c>
      <c r="G4" s="39">
        <v>192369.2</v>
      </c>
      <c r="H4" s="39">
        <f>IF(AND(ISNUMBER(C4),ISNUMBER(G4)), C4-G4, "")</f>
        <v>-19448.5</v>
      </c>
      <c r="I4" s="40">
        <f>IFERROR(H4/G4, "")</f>
        <v>-0.10109986421942806</v>
      </c>
      <c r="J4" s="66" t="s">
        <v>68</v>
      </c>
      <c r="K4" s="66" t="s">
        <v>69</v>
      </c>
    </row>
    <row r="5" spans="1:11" ht="15.75">
      <c r="A5" s="49" t="str">
        <v>Barton Acres</v>
      </c>
      <c r="B5" s="50" t="str">
        <v>MA</v>
      </c>
      <c r="C5" s="43">
        <v>138888</v>
      </c>
      <c r="D5" s="37">
        <v>160005</v>
      </c>
      <c r="E5" s="44">
        <f t="shared" ref="E5:E24" si="0">IF(AND(ISNUMBER(C5),ISNUMBER(D5)), C5-D5, "")</f>
        <v>-21117</v>
      </c>
      <c r="F5" s="45">
        <f>IFERROR(E5/D5, "")</f>
        <v>-0.13197712571482142</v>
      </c>
      <c r="G5" s="46">
        <v>142669.5</v>
      </c>
      <c r="H5" s="46">
        <f t="shared" ref="H5:H24" si="1">IF(AND(ISNUMBER(C5),ISNUMBER(G5)), C5-G5, "")</f>
        <v>-3781.5</v>
      </c>
      <c r="I5" s="45">
        <f t="shared" ref="I5:I24" si="2">IFERROR(H5/G5, "")</f>
        <v>-2.6505314730899034E-2</v>
      </c>
      <c r="J5" s="67" t="s">
        <v>70</v>
      </c>
      <c r="K5" s="67" t="s">
        <v>71</v>
      </c>
    </row>
    <row r="6" spans="1:11" ht="28.5">
      <c r="A6" s="51" t="str">
        <v>Bowden</v>
      </c>
      <c r="B6" s="48" t="str">
        <v>MA</v>
      </c>
      <c r="C6" s="36">
        <v>290466</v>
      </c>
      <c r="D6" s="44">
        <v>300297.90000000002</v>
      </c>
      <c r="E6" s="37">
        <f t="shared" si="0"/>
        <v>-9831.9000000000233</v>
      </c>
      <c r="F6" s="38">
        <f t="shared" ref="F6:F24" si="3">IFERROR(E6/D6, "")</f>
        <v>-3.2740488694726212E-2</v>
      </c>
      <c r="G6" s="39">
        <v>299687.8</v>
      </c>
      <c r="H6" s="39">
        <f t="shared" si="1"/>
        <v>-9221.7999999999884</v>
      </c>
      <c r="I6" s="40">
        <f t="shared" si="2"/>
        <v>-3.0771356057870854E-2</v>
      </c>
      <c r="J6" s="66" t="s">
        <v>72</v>
      </c>
      <c r="K6" s="66" t="s">
        <v>73</v>
      </c>
    </row>
    <row r="7" spans="1:11" ht="28.5">
      <c r="A7" s="49" t="str">
        <v>Blair Wire Village</v>
      </c>
      <c r="B7" s="50" t="str">
        <v>MA</v>
      </c>
      <c r="C7" s="43">
        <v>144173</v>
      </c>
      <c r="D7" s="37">
        <v>169032.1</v>
      </c>
      <c r="E7" s="44">
        <f t="shared" si="0"/>
        <v>-24859.100000000006</v>
      </c>
      <c r="F7" s="45">
        <f t="shared" si="3"/>
        <v>-0.14706733218128393</v>
      </c>
      <c r="G7" s="46">
        <v>150008.20000000001</v>
      </c>
      <c r="H7" s="46">
        <f t="shared" si="1"/>
        <v>-5835.2000000000116</v>
      </c>
      <c r="I7" s="45">
        <f t="shared" si="2"/>
        <v>-3.8899206843359305E-2</v>
      </c>
      <c r="J7" s="67" t="s">
        <v>74</v>
      </c>
      <c r="K7" s="67" t="s">
        <v>75</v>
      </c>
    </row>
    <row r="8" spans="1:11" ht="28.5">
      <c r="A8" s="51" t="str">
        <v>Boutilier</v>
      </c>
      <c r="B8" s="48" t="str">
        <v>MA</v>
      </c>
      <c r="C8" s="36">
        <v>409488</v>
      </c>
      <c r="D8" s="44">
        <v>411646.7</v>
      </c>
      <c r="E8" s="37">
        <f t="shared" si="0"/>
        <v>-2158.7000000000116</v>
      </c>
      <c r="F8" s="38">
        <f t="shared" si="3"/>
        <v>-5.2440600155424823E-3</v>
      </c>
      <c r="G8" s="39">
        <v>391645.3</v>
      </c>
      <c r="H8" s="39">
        <f t="shared" si="1"/>
        <v>17842.700000000012</v>
      </c>
      <c r="I8" s="40">
        <f t="shared" si="2"/>
        <v>4.5558315138723771E-2</v>
      </c>
      <c r="J8" s="66" t="s">
        <v>76</v>
      </c>
      <c r="K8" s="66" t="s">
        <v>77</v>
      </c>
    </row>
    <row r="9" spans="1:11" ht="15.75">
      <c r="A9" s="49" t="str">
        <v>Cherry Valley</v>
      </c>
      <c r="B9" s="50" t="str">
        <v>MA</v>
      </c>
      <c r="C9" s="43">
        <v>144004</v>
      </c>
      <c r="D9" s="37">
        <v>164213.5</v>
      </c>
      <c r="E9" s="44">
        <f t="shared" si="0"/>
        <v>-20209.5</v>
      </c>
      <c r="F9" s="45">
        <f t="shared" si="3"/>
        <v>-0.12306844443361843</v>
      </c>
      <c r="G9" s="46">
        <v>146986</v>
      </c>
      <c r="H9" s="46">
        <f t="shared" si="1"/>
        <v>-2982</v>
      </c>
      <c r="I9" s="45">
        <f t="shared" si="2"/>
        <v>-2.0287646442518334E-2</v>
      </c>
      <c r="J9" s="67" t="s">
        <v>78</v>
      </c>
      <c r="K9" s="67" t="s">
        <v>79</v>
      </c>
    </row>
    <row r="10" spans="1:11" ht="15.75">
      <c r="A10" s="51" t="str">
        <v>Cohasse</v>
      </c>
      <c r="B10" s="48" t="str">
        <v>MA</v>
      </c>
      <c r="C10" s="36">
        <v>136999</v>
      </c>
      <c r="D10" s="44">
        <v>155628.79999999999</v>
      </c>
      <c r="E10" s="37">
        <f t="shared" si="0"/>
        <v>-18629.799999999988</v>
      </c>
      <c r="F10" s="38">
        <f t="shared" si="3"/>
        <v>-0.11970663527573296</v>
      </c>
      <c r="G10" s="39">
        <v>171821.1</v>
      </c>
      <c r="H10" s="39">
        <f t="shared" si="1"/>
        <v>-34822.100000000006</v>
      </c>
      <c r="I10" s="40">
        <f t="shared" si="2"/>
        <v>-0.20266486479250806</v>
      </c>
      <c r="J10" s="66" t="s">
        <v>80</v>
      </c>
      <c r="K10" s="66" t="s">
        <v>81</v>
      </c>
    </row>
    <row r="11" spans="1:11" ht="42.75">
      <c r="A11" s="49" t="str">
        <v>ISM Dighton Solar 2</v>
      </c>
      <c r="B11" s="50" t="str">
        <v>MA</v>
      </c>
      <c r="C11" s="43">
        <v>289566</v>
      </c>
      <c r="D11" s="37">
        <v>298650.90000000002</v>
      </c>
      <c r="E11" s="44">
        <f t="shared" si="0"/>
        <v>-9084.9000000000233</v>
      </c>
      <c r="F11" s="45">
        <f t="shared" si="3"/>
        <v>-3.0419797830845387E-2</v>
      </c>
      <c r="G11" s="46">
        <v>304650.2</v>
      </c>
      <c r="H11" s="46">
        <f t="shared" si="1"/>
        <v>-15084.200000000012</v>
      </c>
      <c r="I11" s="45">
        <f t="shared" si="2"/>
        <v>-4.9513179377528756E-2</v>
      </c>
      <c r="J11" s="67" t="s">
        <v>82</v>
      </c>
      <c r="K11" s="67" t="s">
        <v>83</v>
      </c>
    </row>
    <row r="12" spans="1:11" ht="57">
      <c r="A12" s="51" t="str">
        <v>Dudley River 1</v>
      </c>
      <c r="B12" s="48" t="str">
        <v>MA</v>
      </c>
      <c r="C12" s="36">
        <v>148530</v>
      </c>
      <c r="D12" s="44">
        <v>150395.9</v>
      </c>
      <c r="E12" s="37">
        <f t="shared" si="0"/>
        <v>-1865.8999999999942</v>
      </c>
      <c r="F12" s="38">
        <f t="shared" si="3"/>
        <v>-1.2406588211513707E-2</v>
      </c>
      <c r="G12" s="39">
        <v>156312.4</v>
      </c>
      <c r="H12" s="39">
        <f t="shared" si="1"/>
        <v>-7782.3999999999942</v>
      </c>
      <c r="I12" s="40">
        <f t="shared" si="2"/>
        <v>-4.978747687323587E-2</v>
      </c>
      <c r="J12" s="66" t="s">
        <v>84</v>
      </c>
      <c r="K12" s="66" t="s">
        <v>85</v>
      </c>
    </row>
    <row r="13" spans="1:11" ht="28.5">
      <c r="A13" s="49" t="str">
        <v>Dudley River 2</v>
      </c>
      <c r="B13" s="50" t="str">
        <v>MA</v>
      </c>
      <c r="C13" s="36">
        <v>142941</v>
      </c>
      <c r="D13" s="37">
        <v>150367.4</v>
      </c>
      <c r="E13" s="44">
        <f t="shared" si="0"/>
        <v>-7426.3999999999942</v>
      </c>
      <c r="F13" s="45">
        <f t="shared" si="3"/>
        <v>-4.9388364765234984E-2</v>
      </c>
      <c r="G13" s="46">
        <v>149077.20000000001</v>
      </c>
      <c r="H13" s="46">
        <f t="shared" si="1"/>
        <v>-6136.2000000000116</v>
      </c>
      <c r="I13" s="45">
        <f t="shared" si="2"/>
        <v>-4.1161223849119861E-2</v>
      </c>
      <c r="J13" s="67" t="s">
        <v>86</v>
      </c>
      <c r="K13" s="67" t="s">
        <v>87</v>
      </c>
    </row>
    <row r="14" spans="1:11" ht="15.75">
      <c r="A14" s="51" t="str">
        <v>Dudley River 3</v>
      </c>
      <c r="B14" s="48" t="str">
        <v>MA</v>
      </c>
      <c r="C14" s="43">
        <v>148060</v>
      </c>
      <c r="D14" s="44">
        <v>149649.60000000001</v>
      </c>
      <c r="E14" s="37">
        <f t="shared" si="0"/>
        <v>-1589.6000000000058</v>
      </c>
      <c r="F14" s="38">
        <f t="shared" si="3"/>
        <v>-1.0622146667949701E-2</v>
      </c>
      <c r="G14" s="39">
        <v>150723.9</v>
      </c>
      <c r="H14" s="39">
        <f t="shared" si="1"/>
        <v>-2663.8999999999942</v>
      </c>
      <c r="I14" s="40">
        <f t="shared" si="2"/>
        <v>-1.7674038423899557E-2</v>
      </c>
      <c r="J14" s="66" t="s">
        <v>88</v>
      </c>
      <c r="K14" s="66" t="s">
        <v>89</v>
      </c>
    </row>
    <row r="15" spans="1:11" ht="15.75">
      <c r="A15" s="49" t="str">
        <v>Flint Pond</v>
      </c>
      <c r="B15" s="50" t="str">
        <v>MA</v>
      </c>
      <c r="C15" s="36">
        <v>68467</v>
      </c>
      <c r="D15" s="37">
        <v>69574.02</v>
      </c>
      <c r="E15" s="44">
        <f t="shared" si="0"/>
        <v>-1107.0200000000041</v>
      </c>
      <c r="F15" s="45">
        <f t="shared" si="3"/>
        <v>-1.5911399111335007E-2</v>
      </c>
      <c r="G15" s="46">
        <v>68567.490000000005</v>
      </c>
      <c r="H15" s="46">
        <f t="shared" si="1"/>
        <v>-100.49000000000524</v>
      </c>
      <c r="I15" s="45">
        <f t="shared" si="2"/>
        <v>-1.4655633449613692E-3</v>
      </c>
      <c r="J15" s="67"/>
      <c r="K15" s="67"/>
    </row>
    <row r="16" spans="1:11" ht="15.75">
      <c r="A16" s="51" t="str">
        <v>Incom</v>
      </c>
      <c r="B16" s="48" t="str">
        <v>MA</v>
      </c>
      <c r="C16" s="43">
        <v>302262</v>
      </c>
      <c r="D16" s="44">
        <v>346048.9</v>
      </c>
      <c r="E16" s="37">
        <f t="shared" si="0"/>
        <v>-43786.900000000023</v>
      </c>
      <c r="F16" s="38">
        <f t="shared" si="3"/>
        <v>-0.12653385114069143</v>
      </c>
      <c r="G16" s="39">
        <v>343121.6</v>
      </c>
      <c r="H16" s="39">
        <f t="shared" si="1"/>
        <v>-40859.599999999977</v>
      </c>
      <c r="I16" s="40">
        <f t="shared" si="2"/>
        <v>-0.11908198143165566</v>
      </c>
      <c r="J16" s="66" t="s">
        <v>90</v>
      </c>
      <c r="K16" s="66" t="s">
        <v>91</v>
      </c>
    </row>
    <row r="17" spans="1:11" ht="15.75">
      <c r="A17" s="49" t="str">
        <v>JH</v>
      </c>
      <c r="B17" s="50" t="str">
        <v>MA</v>
      </c>
      <c r="C17" s="36">
        <v>138605</v>
      </c>
      <c r="D17" s="37">
        <v>155762.20000000001</v>
      </c>
      <c r="E17" s="44">
        <f t="shared" si="0"/>
        <v>-17157.200000000012</v>
      </c>
      <c r="F17" s="45">
        <f t="shared" si="3"/>
        <v>-0.11014995936112876</v>
      </c>
      <c r="G17" s="46">
        <v>165508</v>
      </c>
      <c r="H17" s="46">
        <f t="shared" si="1"/>
        <v>-26903</v>
      </c>
      <c r="I17" s="45">
        <f t="shared" si="2"/>
        <v>-0.16254803393189454</v>
      </c>
      <c r="J17" s="67" t="s">
        <v>92</v>
      </c>
      <c r="K17" s="67" t="s">
        <v>93</v>
      </c>
    </row>
    <row r="18" spans="1:11" ht="15.75">
      <c r="A18" s="47" t="str">
        <v>Ledeaux</v>
      </c>
      <c r="B18" s="48" t="str">
        <v>MA</v>
      </c>
      <c r="C18" s="43">
        <v>128389</v>
      </c>
      <c r="D18" s="44">
        <v>136967.20000000001</v>
      </c>
      <c r="E18" s="37">
        <f t="shared" si="0"/>
        <v>-8578.2000000000116</v>
      </c>
      <c r="F18" s="38">
        <f t="shared" si="3"/>
        <v>-6.2629593070457817E-2</v>
      </c>
      <c r="G18" s="39">
        <v>160247</v>
      </c>
      <c r="H18" s="39">
        <f t="shared" si="1"/>
        <v>-31858</v>
      </c>
      <c r="I18" s="40">
        <f t="shared" si="2"/>
        <v>-0.19880559386447172</v>
      </c>
      <c r="J18" s="66"/>
      <c r="K18" s="66"/>
    </row>
    <row r="19" spans="1:11" ht="15.75">
      <c r="A19" s="49" t="str">
        <v>Palombo A</v>
      </c>
      <c r="B19" s="50" t="str">
        <v>MA</v>
      </c>
      <c r="C19" s="36">
        <v>292802</v>
      </c>
      <c r="D19" s="37">
        <v>326277.8</v>
      </c>
      <c r="E19" s="44">
        <f t="shared" si="0"/>
        <v>-33475.799999999988</v>
      </c>
      <c r="F19" s="45">
        <f t="shared" si="3"/>
        <v>-0.10259907355020779</v>
      </c>
      <c r="G19" s="46">
        <v>363307</v>
      </c>
      <c r="H19" s="46">
        <f t="shared" si="1"/>
        <v>-70505</v>
      </c>
      <c r="I19" s="45">
        <f t="shared" si="2"/>
        <v>-0.19406452394256096</v>
      </c>
      <c r="J19" s="67" t="s">
        <v>94</v>
      </c>
      <c r="K19" s="67" t="s">
        <v>95</v>
      </c>
    </row>
    <row r="20" spans="1:11" ht="15.75">
      <c r="A20" s="51" t="str">
        <v>Palombo B</v>
      </c>
      <c r="B20" s="48" t="str">
        <v>MA</v>
      </c>
      <c r="C20" s="43">
        <v>146945</v>
      </c>
      <c r="D20" s="44">
        <v>147883.29999999999</v>
      </c>
      <c r="E20" s="37">
        <f t="shared" si="0"/>
        <v>-938.29999999998836</v>
      </c>
      <c r="F20" s="38">
        <f t="shared" si="3"/>
        <v>-6.3448678789287801E-3</v>
      </c>
      <c r="G20" s="39">
        <v>148307.9</v>
      </c>
      <c r="H20" s="39">
        <f t="shared" si="1"/>
        <v>-1362.8999999999942</v>
      </c>
      <c r="I20" s="40">
        <f t="shared" si="2"/>
        <v>-9.1896655538915607E-3</v>
      </c>
      <c r="J20" s="66"/>
      <c r="K20" s="66"/>
    </row>
    <row r="21" spans="1:11" ht="15.75">
      <c r="A21" s="49" t="str">
        <v>St Josephs Church</v>
      </c>
      <c r="B21" s="50" t="str">
        <v>MA</v>
      </c>
      <c r="C21" s="36">
        <v>143176</v>
      </c>
      <c r="D21" s="37">
        <v>165178</v>
      </c>
      <c r="E21" s="44">
        <f t="shared" si="0"/>
        <v>-22002</v>
      </c>
      <c r="F21" s="45">
        <f t="shared" si="3"/>
        <v>-0.13320175810337939</v>
      </c>
      <c r="G21" s="46">
        <v>154868.1</v>
      </c>
      <c r="H21" s="46">
        <f t="shared" si="1"/>
        <v>-11692.100000000006</v>
      </c>
      <c r="I21" s="45">
        <f t="shared" si="2"/>
        <v>-7.5497148864097932E-2</v>
      </c>
      <c r="J21" s="67" t="s">
        <v>96</v>
      </c>
      <c r="K21" s="67" t="s">
        <v>97</v>
      </c>
    </row>
    <row r="22" spans="1:11" ht="28.5">
      <c r="A22" s="51" t="str">
        <v>Sunset A</v>
      </c>
      <c r="B22" s="48" t="str">
        <v>MA</v>
      </c>
      <c r="C22" s="36">
        <v>66301</v>
      </c>
      <c r="D22" s="44">
        <v>82488.210000000006</v>
      </c>
      <c r="E22" s="37">
        <f t="shared" si="0"/>
        <v>-16187.210000000006</v>
      </c>
      <c r="F22" s="38">
        <f t="shared" si="3"/>
        <v>-0.19623665006186952</v>
      </c>
      <c r="G22" s="39">
        <v>67170.38</v>
      </c>
      <c r="H22" s="39">
        <f t="shared" si="1"/>
        <v>-869.38000000000466</v>
      </c>
      <c r="I22" s="40">
        <f t="shared" si="2"/>
        <v>-1.2942907275498584E-2</v>
      </c>
      <c r="J22" s="66" t="s">
        <v>98</v>
      </c>
      <c r="K22" s="66" t="s">
        <v>99</v>
      </c>
    </row>
    <row r="23" spans="1:11" ht="28.5">
      <c r="A23" s="49" t="str">
        <v>Sunset B</v>
      </c>
      <c r="B23" s="50" t="str">
        <v>MA</v>
      </c>
      <c r="C23" s="43">
        <v>62243.25</v>
      </c>
      <c r="D23" s="37">
        <v>70758.73</v>
      </c>
      <c r="E23" s="37">
        <f t="shared" si="0"/>
        <v>-8515.4799999999959</v>
      </c>
      <c r="F23" s="38">
        <f t="shared" si="3"/>
        <v>-0.12034529166931057</v>
      </c>
      <c r="G23" s="46">
        <v>66364.460000000006</v>
      </c>
      <c r="H23" s="46">
        <f t="shared" si="1"/>
        <v>-4121.2100000000064</v>
      </c>
      <c r="I23" s="45">
        <f t="shared" si="2"/>
        <v>-6.2099653941281314E-2</v>
      </c>
      <c r="J23" s="67" t="s">
        <v>100</v>
      </c>
      <c r="K23" s="67" t="s">
        <v>101</v>
      </c>
    </row>
    <row r="24" spans="1:11" ht="28.5">
      <c r="A24" s="51" t="str">
        <v>Woodchuck</v>
      </c>
      <c r="B24" s="48" t="str">
        <v>MA</v>
      </c>
      <c r="C24" s="36">
        <v>143286</v>
      </c>
      <c r="D24" s="44">
        <v>150438.20000000001</v>
      </c>
      <c r="E24" s="37">
        <f t="shared" si="0"/>
        <v>-7152.2000000000116</v>
      </c>
      <c r="F24" s="38">
        <f t="shared" si="3"/>
        <v>-4.7542446001082247E-2</v>
      </c>
      <c r="G24" s="39">
        <v>163702.70000000001</v>
      </c>
      <c r="H24" s="39">
        <f t="shared" si="1"/>
        <v>-20416.700000000012</v>
      </c>
      <c r="I24" s="45">
        <f t="shared" si="2"/>
        <v>-0.12471816286475428</v>
      </c>
      <c r="J24" s="66" t="s">
        <v>102</v>
      </c>
      <c r="K24" s="66" t="s">
        <v>103</v>
      </c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</row>
    <row r="32" spans="1:11" ht="14.25">
      <c r="A32" s="13"/>
      <c r="B32" s="18"/>
      <c r="C32" s="13"/>
      <c r="D32" s="13"/>
      <c r="E32" s="13"/>
      <c r="F32" s="14"/>
      <c r="G32" s="13"/>
      <c r="H32" s="14"/>
      <c r="I32" s="13"/>
      <c r="J32" s="13"/>
    </row>
    <row r="33" spans="1:11" ht="14.25">
      <c r="A33" s="13"/>
      <c r="B33" s="18"/>
      <c r="C33" s="13"/>
      <c r="D33" s="13"/>
      <c r="E33" s="13"/>
      <c r="F33" s="14"/>
      <c r="G33" s="13"/>
      <c r="H33" s="14"/>
      <c r="I33" s="13"/>
      <c r="J33" s="13"/>
    </row>
    <row r="34" spans="1:11" ht="14.25">
      <c r="A34" s="13"/>
      <c r="B34" s="18"/>
      <c r="C34" s="13"/>
      <c r="D34" s="13"/>
      <c r="E34" s="13"/>
      <c r="F34" s="14"/>
      <c r="G34" s="13"/>
      <c r="H34" s="14"/>
      <c r="I34" s="13"/>
      <c r="J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I4:I25 F4:F99 H26:H34 I35:I9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1"/>
  <sheetViews>
    <sheetView view="pageBreakPreview" zoomScale="110" zoomScaleNormal="90" zoomScaleSheetLayoutView="110" workbookViewId="0">
      <pane xSplit="2" ySplit="3" topLeftCell="J12" activePane="bottomRight" state="frozen"/>
      <selection pane="bottomRight" activeCell="K27" sqref="K27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5" t="str" cm="1">
        <f t="array" ref="A1">portfolio</f>
        <v>38 DN</v>
      </c>
      <c r="B1" s="85"/>
      <c r="C1" s="85"/>
      <c r="D1" s="86" t="s">
        <v>104</v>
      </c>
      <c r="E1" s="86"/>
      <c r="F1" s="86"/>
      <c r="G1" s="84" t="s">
        <v>105</v>
      </c>
      <c r="H1" s="84"/>
      <c r="I1" s="84"/>
      <c r="J1" s="4"/>
      <c r="K1" s="4"/>
    </row>
    <row r="2" spans="1:11" ht="19.5" customHeight="1">
      <c r="A2" s="87" t="s">
        <v>2</v>
      </c>
      <c r="B2" s="87"/>
      <c r="C2" s="5">
        <f>SUM(C4:C99)</f>
        <v>3828480.0599447787</v>
      </c>
      <c r="D2" s="5">
        <f>SUM(D4:D99)</f>
        <v>4041167.0000000005</v>
      </c>
      <c r="E2" s="5">
        <f>C2-D2</f>
        <v>-212686.94005522178</v>
      </c>
      <c r="F2" s="6">
        <f>IFERROR(E2/D2, 0)</f>
        <v>-5.2630079394200183E-2</v>
      </c>
      <c r="G2" s="5">
        <f>SUM(G4:G99)</f>
        <v>4290961.4300000006</v>
      </c>
      <c r="H2" s="7">
        <f>C2-G2</f>
        <v>-462481.37005522195</v>
      </c>
      <c r="I2" s="6">
        <f>IFERROR(H2/G2, 0)</f>
        <v>-0.10778036055551818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220985.3</v>
      </c>
      <c r="D4" s="37">
        <v>234779</v>
      </c>
      <c r="E4" s="37">
        <f>IF(AND(ISNUMBER(C4),ISNUMBER(D4)), C4-D4, "")</f>
        <v>-13793.700000000012</v>
      </c>
      <c r="F4" s="38">
        <f>IFERROR(E4/D4, "")</f>
        <v>-5.8751847482100238E-2</v>
      </c>
      <c r="G4" s="39">
        <v>220814.1</v>
      </c>
      <c r="H4" s="39">
        <f>IF(AND(ISNUMBER(C4),ISNUMBER(G4)), C4-G4, "")</f>
        <v>171.19999999998254</v>
      </c>
      <c r="I4" s="40">
        <f>IFERROR(H4/G4, "")</f>
        <v>7.7531280837583535E-4</v>
      </c>
      <c r="J4" s="57"/>
      <c r="K4" s="57"/>
    </row>
    <row r="5" spans="1:11" ht="15.75">
      <c r="A5" s="49" t="str">
        <v>Barton Acres</v>
      </c>
      <c r="B5" s="50" t="str">
        <v>MA</v>
      </c>
      <c r="C5" s="43">
        <v>154260</v>
      </c>
      <c r="D5" s="44">
        <v>159778.79999999999</v>
      </c>
      <c r="E5" s="44">
        <f t="shared" ref="E5:E24" si="0">IF(AND(ISNUMBER(C5),ISNUMBER(D5)), C5-D5, "")</f>
        <v>-5518.7999999999884</v>
      </c>
      <c r="F5" s="45">
        <f>IFERROR(E5/D5, "")</f>
        <v>-3.4540251898249261E-2</v>
      </c>
      <c r="G5" s="46">
        <v>163604.70000000001</v>
      </c>
      <c r="H5" s="46">
        <f t="shared" ref="H5:H24" si="1">IF(AND(ISNUMBER(C5),ISNUMBER(G5)), C5-G5, "")</f>
        <v>-9344.7000000000116</v>
      </c>
      <c r="I5" s="45">
        <f t="shared" ref="I5:I24" si="2">IFERROR(H5/G5, "")</f>
        <v>-5.711755224635974E-2</v>
      </c>
      <c r="J5" s="58" t="s">
        <v>106</v>
      </c>
      <c r="K5" s="58" t="s">
        <v>107</v>
      </c>
    </row>
    <row r="6" spans="1:11" ht="15.75">
      <c r="A6" s="51" t="str">
        <v>Bowden</v>
      </c>
      <c r="B6" s="48" t="str">
        <v>MA</v>
      </c>
      <c r="C6" s="36">
        <v>311418</v>
      </c>
      <c r="D6" s="37">
        <v>314418.7</v>
      </c>
      <c r="E6" s="37">
        <f t="shared" si="0"/>
        <v>-3000.7000000000116</v>
      </c>
      <c r="F6" s="38">
        <f t="shared" ref="F6:F24" si="3">IFERROR(E6/D6, "")</f>
        <v>-9.5436435555519162E-3</v>
      </c>
      <c r="G6" s="39">
        <v>332611.5</v>
      </c>
      <c r="H6" s="39">
        <f t="shared" si="1"/>
        <v>-21193.5</v>
      </c>
      <c r="I6" s="40">
        <f t="shared" si="2"/>
        <v>-6.3718482373579993E-2</v>
      </c>
      <c r="J6" s="57"/>
      <c r="K6" s="57"/>
    </row>
    <row r="7" spans="1:11" ht="42.75">
      <c r="A7" s="49" t="str">
        <v>Blair Wire Village</v>
      </c>
      <c r="B7" s="50" t="str">
        <v>MA</v>
      </c>
      <c r="C7" s="43">
        <v>149056</v>
      </c>
      <c r="D7" s="44">
        <v>169562.6</v>
      </c>
      <c r="E7" s="44">
        <f t="shared" si="0"/>
        <v>-20506.600000000006</v>
      </c>
      <c r="F7" s="45">
        <f t="shared" si="3"/>
        <v>-0.12093822576440798</v>
      </c>
      <c r="G7" s="46">
        <v>167094.79999999999</v>
      </c>
      <c r="H7" s="46">
        <f t="shared" si="1"/>
        <v>-18038.799999999988</v>
      </c>
      <c r="I7" s="45">
        <f t="shared" si="2"/>
        <v>-0.10795548395282192</v>
      </c>
      <c r="J7" s="67" t="s">
        <v>108</v>
      </c>
      <c r="K7" s="68" t="s">
        <v>109</v>
      </c>
    </row>
    <row r="8" spans="1:11" ht="15.75">
      <c r="A8" s="51" t="str">
        <v>Boutilier</v>
      </c>
      <c r="B8" s="48" t="str">
        <v>MA</v>
      </c>
      <c r="C8" s="36">
        <v>431826</v>
      </c>
      <c r="D8" s="37">
        <v>447646.3</v>
      </c>
      <c r="E8" s="37">
        <f t="shared" si="0"/>
        <v>-15820.299999999988</v>
      </c>
      <c r="F8" s="38">
        <f t="shared" si="3"/>
        <v>-3.5341071734536815E-2</v>
      </c>
      <c r="G8" s="39">
        <v>449109.5</v>
      </c>
      <c r="H8" s="39">
        <f t="shared" si="1"/>
        <v>-17283.5</v>
      </c>
      <c r="I8" s="40">
        <f t="shared" si="2"/>
        <v>-3.8483933205599077E-2</v>
      </c>
      <c r="J8" s="57"/>
      <c r="K8" s="57"/>
    </row>
    <row r="9" spans="1:11" ht="15.75">
      <c r="A9" s="49" t="str">
        <v>Cherry Valley</v>
      </c>
      <c r="B9" s="50" t="str">
        <v>MA</v>
      </c>
      <c r="C9" s="43">
        <v>152661</v>
      </c>
      <c r="D9" s="44">
        <v>165093.29999999999</v>
      </c>
      <c r="E9" s="44">
        <f t="shared" si="0"/>
        <v>-12432.299999999988</v>
      </c>
      <c r="F9" s="45">
        <f t="shared" si="3"/>
        <v>-7.53046913472563E-2</v>
      </c>
      <c r="G9" s="46">
        <v>163486</v>
      </c>
      <c r="H9" s="46">
        <f t="shared" si="1"/>
        <v>-10825</v>
      </c>
      <c r="I9" s="45">
        <f t="shared" si="2"/>
        <v>-6.6213620738167181E-2</v>
      </c>
      <c r="J9" s="58"/>
      <c r="K9" s="59"/>
    </row>
    <row r="10" spans="1:11" ht="15.75">
      <c r="A10" s="51" t="str">
        <v>Cohasse</v>
      </c>
      <c r="B10" s="48" t="str">
        <v>MA</v>
      </c>
      <c r="C10" s="36">
        <v>143028</v>
      </c>
      <c r="D10" s="37">
        <v>148253.5</v>
      </c>
      <c r="E10" s="37">
        <f t="shared" si="0"/>
        <v>-5225.5</v>
      </c>
      <c r="F10" s="38">
        <f t="shared" si="3"/>
        <v>-3.5247059934504076E-2</v>
      </c>
      <c r="G10" s="39">
        <v>173435.6</v>
      </c>
      <c r="H10" s="39">
        <f t="shared" si="1"/>
        <v>-30407.600000000006</v>
      </c>
      <c r="I10" s="40">
        <f t="shared" si="2"/>
        <v>-0.17532501977679327</v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>
        <v>336392</v>
      </c>
      <c r="D11" s="44">
        <v>321701.3</v>
      </c>
      <c r="E11" s="44">
        <f t="shared" si="0"/>
        <v>14690.700000000012</v>
      </c>
      <c r="F11" s="45">
        <f t="shared" si="3"/>
        <v>4.566565320065543E-2</v>
      </c>
      <c r="G11" s="46">
        <v>338965.1</v>
      </c>
      <c r="H11" s="46">
        <f t="shared" si="1"/>
        <v>-2573.0999999999767</v>
      </c>
      <c r="I11" s="45">
        <f t="shared" si="2"/>
        <v>-7.5910469838929642E-3</v>
      </c>
      <c r="J11" s="58"/>
      <c r="K11" s="59"/>
    </row>
    <row r="12" spans="1:11" ht="15.75">
      <c r="A12" s="51" t="str">
        <v>Dudley River 1</v>
      </c>
      <c r="B12" s="48" t="str">
        <v>MA</v>
      </c>
      <c r="C12" s="36">
        <v>156406</v>
      </c>
      <c r="D12" s="37">
        <v>156601.5</v>
      </c>
      <c r="E12" s="37">
        <f t="shared" si="0"/>
        <v>-195.5</v>
      </c>
      <c r="F12" s="38">
        <f t="shared" si="3"/>
        <v>-1.248391618215662E-3</v>
      </c>
      <c r="G12" s="39">
        <v>167511.29999999999</v>
      </c>
      <c r="H12" s="39">
        <f t="shared" si="1"/>
        <v>-11105.299999999988</v>
      </c>
      <c r="I12" s="40">
        <f t="shared" si="2"/>
        <v>-6.6295826012931602E-2</v>
      </c>
      <c r="J12" s="57"/>
      <c r="K12" s="57"/>
    </row>
    <row r="13" spans="1:11" ht="15.75">
      <c r="A13" s="49" t="str">
        <v>Dudley River 2</v>
      </c>
      <c r="B13" s="50" t="str">
        <v>MA</v>
      </c>
      <c r="C13" s="43">
        <v>150087</v>
      </c>
      <c r="D13" s="44">
        <v>156204.20000000001</v>
      </c>
      <c r="E13" s="44">
        <f t="shared" si="0"/>
        <v>-6117.2000000000116</v>
      </c>
      <c r="F13" s="45">
        <f t="shared" si="3"/>
        <v>-3.9161559036184755E-2</v>
      </c>
      <c r="G13" s="46">
        <v>161407.4</v>
      </c>
      <c r="H13" s="46">
        <f t="shared" si="1"/>
        <v>-11320.399999999994</v>
      </c>
      <c r="I13" s="45">
        <f t="shared" si="2"/>
        <v>-7.013556999245385E-2</v>
      </c>
      <c r="J13" s="58"/>
      <c r="K13" s="59"/>
    </row>
    <row r="14" spans="1:11" ht="15.75">
      <c r="A14" s="51" t="str">
        <v>Dudley River 3</v>
      </c>
      <c r="B14" s="48" t="str">
        <v>MA</v>
      </c>
      <c r="C14" s="36">
        <v>154781.00332225999</v>
      </c>
      <c r="D14" s="37">
        <v>157088.29999999999</v>
      </c>
      <c r="E14" s="37">
        <f t="shared" si="0"/>
        <v>-2307.2966777399997</v>
      </c>
      <c r="F14" s="38">
        <f t="shared" si="3"/>
        <v>-1.4687896410744784E-2</v>
      </c>
      <c r="G14" s="39">
        <v>163247.1</v>
      </c>
      <c r="H14" s="39">
        <f t="shared" si="1"/>
        <v>-8466.0966777400172</v>
      </c>
      <c r="I14" s="40">
        <f t="shared" si="2"/>
        <v>-5.1860625259131814E-2</v>
      </c>
      <c r="J14" s="57"/>
      <c r="K14" s="57"/>
    </row>
    <row r="15" spans="1:11" ht="15.75">
      <c r="A15" s="49" t="str">
        <v>Flint Pond</v>
      </c>
      <c r="B15" s="50" t="str">
        <v>MA</v>
      </c>
      <c r="C15" s="43">
        <v>75671.5</v>
      </c>
      <c r="D15" s="44">
        <v>70499.98</v>
      </c>
      <c r="E15" s="44">
        <f t="shared" si="0"/>
        <v>5171.5200000000041</v>
      </c>
      <c r="F15" s="45">
        <f t="shared" si="3"/>
        <v>7.3354914426926141E-2</v>
      </c>
      <c r="G15" s="46">
        <v>78106.22</v>
      </c>
      <c r="H15" s="46">
        <f t="shared" si="1"/>
        <v>-2434.7200000000012</v>
      </c>
      <c r="I15" s="45">
        <f t="shared" si="2"/>
        <v>-3.1171909228227934E-2</v>
      </c>
      <c r="J15" s="58"/>
      <c r="K15" s="59"/>
    </row>
    <row r="16" spans="1:11" ht="57">
      <c r="A16" s="51" t="str">
        <v>Incom</v>
      </c>
      <c r="B16" s="48" t="str">
        <v>MA</v>
      </c>
      <c r="C16" s="36">
        <v>276036</v>
      </c>
      <c r="D16" s="37">
        <v>363748.3</v>
      </c>
      <c r="E16" s="37">
        <f t="shared" si="0"/>
        <v>-87712.299999999988</v>
      </c>
      <c r="F16" s="38">
        <f t="shared" si="3"/>
        <v>-0.24113459774244991</v>
      </c>
      <c r="G16" s="39">
        <v>348699</v>
      </c>
      <c r="H16" s="39">
        <f t="shared" si="1"/>
        <v>-72663</v>
      </c>
      <c r="I16" s="40">
        <f t="shared" si="2"/>
        <v>-0.20838316140855007</v>
      </c>
      <c r="J16" s="69" t="s">
        <v>110</v>
      </c>
      <c r="K16" s="57" t="s">
        <v>111</v>
      </c>
    </row>
    <row r="17" spans="1:11" ht="15.75">
      <c r="A17" s="49" t="str">
        <v>JH</v>
      </c>
      <c r="B17" s="50" t="str">
        <v>MA</v>
      </c>
      <c r="C17" s="43">
        <v>146209</v>
      </c>
      <c r="D17" s="44">
        <v>157141.20000000001</v>
      </c>
      <c r="E17" s="44">
        <f t="shared" si="0"/>
        <v>-10932.200000000012</v>
      </c>
      <c r="F17" s="45">
        <f t="shared" si="3"/>
        <v>-6.9569279094215966E-2</v>
      </c>
      <c r="G17" s="46">
        <v>171272.7</v>
      </c>
      <c r="H17" s="46">
        <f t="shared" si="1"/>
        <v>-25063.700000000012</v>
      </c>
      <c r="I17" s="45">
        <f t="shared" si="2"/>
        <v>-0.14633797446995353</v>
      </c>
      <c r="J17" s="58"/>
      <c r="K17" s="59"/>
    </row>
    <row r="18" spans="1:11" ht="15.75">
      <c r="A18" s="47" t="str">
        <v>Ledeaux</v>
      </c>
      <c r="B18" s="48" t="str">
        <v>MA</v>
      </c>
      <c r="C18" s="36">
        <v>136748</v>
      </c>
      <c r="D18" s="37">
        <v>145052.6</v>
      </c>
      <c r="E18" s="37">
        <f t="shared" si="0"/>
        <v>-8304.6000000000058</v>
      </c>
      <c r="F18" s="38">
        <f t="shared" si="3"/>
        <v>-5.7252334670319635E-2</v>
      </c>
      <c r="G18" s="39">
        <v>166011.9</v>
      </c>
      <c r="H18" s="39">
        <f t="shared" si="1"/>
        <v>-29263.899999999994</v>
      </c>
      <c r="I18" s="40">
        <f t="shared" si="2"/>
        <v>-0.17627591756976455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309094.00662251899</v>
      </c>
      <c r="D19" s="44">
        <v>321228.2</v>
      </c>
      <c r="E19" s="44">
        <f t="shared" si="0"/>
        <v>-12134.193377481017</v>
      </c>
      <c r="F19" s="45">
        <f t="shared" si="3"/>
        <v>-3.777437154484263E-2</v>
      </c>
      <c r="G19" s="46">
        <v>361541</v>
      </c>
      <c r="H19" s="46">
        <f t="shared" si="1"/>
        <v>-52446.993377481005</v>
      </c>
      <c r="I19" s="45">
        <f t="shared" si="2"/>
        <v>-0.14506513335273455</v>
      </c>
      <c r="J19" s="58"/>
      <c r="K19" s="58"/>
    </row>
    <row r="20" spans="1:11" ht="15.75">
      <c r="A20" s="51" t="str">
        <v>Palombo B</v>
      </c>
      <c r="B20" s="48" t="str">
        <v>MA</v>
      </c>
      <c r="C20" s="36">
        <v>157158</v>
      </c>
      <c r="D20" s="37">
        <v>140110.70000000001</v>
      </c>
      <c r="E20" s="37">
        <f t="shared" si="0"/>
        <v>17047.299999999988</v>
      </c>
      <c r="F20" s="38">
        <f t="shared" si="3"/>
        <v>0.12167022218859792</v>
      </c>
      <c r="G20" s="39">
        <v>170164.9</v>
      </c>
      <c r="H20" s="39">
        <f t="shared" si="1"/>
        <v>-13006.899999999994</v>
      </c>
      <c r="I20" s="40">
        <f t="shared" si="2"/>
        <v>-7.6437032549015654E-2</v>
      </c>
      <c r="J20" s="57"/>
      <c r="K20" s="57"/>
    </row>
    <row r="21" spans="1:11" ht="15.75">
      <c r="A21" s="49" t="str">
        <v>St Josephs Church</v>
      </c>
      <c r="B21" s="50" t="str">
        <v>MA</v>
      </c>
      <c r="C21" s="43">
        <v>149164</v>
      </c>
      <c r="D21" s="44">
        <v>168316.4</v>
      </c>
      <c r="E21" s="44">
        <f t="shared" si="0"/>
        <v>-19152.399999999994</v>
      </c>
      <c r="F21" s="45">
        <f t="shared" si="3"/>
        <v>-0.11378808006825238</v>
      </c>
      <c r="G21" s="46">
        <v>165493.20000000001</v>
      </c>
      <c r="H21" s="46">
        <f t="shared" si="1"/>
        <v>-16329.200000000012</v>
      </c>
      <c r="I21" s="45">
        <f t="shared" si="2"/>
        <v>-9.8669915138507258E-2</v>
      </c>
      <c r="J21" s="58"/>
      <c r="K21" s="59"/>
    </row>
    <row r="22" spans="1:11" ht="42.75">
      <c r="A22" s="51" t="str">
        <v>Sunset A</v>
      </c>
      <c r="B22" s="48" t="str">
        <v>MA</v>
      </c>
      <c r="C22" s="36">
        <v>33136.5</v>
      </c>
      <c r="D22" s="37">
        <v>46425.54</v>
      </c>
      <c r="E22" s="37">
        <f t="shared" si="0"/>
        <v>-13289.04</v>
      </c>
      <c r="F22" s="38">
        <f t="shared" si="3"/>
        <v>-0.2862441664652689</v>
      </c>
      <c r="G22" s="39">
        <v>77027.22</v>
      </c>
      <c r="H22" s="39">
        <f t="shared" si="1"/>
        <v>-43890.720000000001</v>
      </c>
      <c r="I22" s="40">
        <f t="shared" si="2"/>
        <v>-0.56980791984963242</v>
      </c>
      <c r="J22" s="57" t="s">
        <v>112</v>
      </c>
      <c r="K22" s="57" t="s">
        <v>113</v>
      </c>
    </row>
    <row r="23" spans="1:11" ht="42.75">
      <c r="A23" s="49" t="str">
        <v>Sunset B</v>
      </c>
      <c r="B23" s="50" t="str">
        <v>MA</v>
      </c>
      <c r="C23" s="43">
        <v>30996.75</v>
      </c>
      <c r="D23" s="44">
        <v>36795.879999999997</v>
      </c>
      <c r="E23" s="44">
        <f t="shared" si="0"/>
        <v>-5799.1299999999974</v>
      </c>
      <c r="F23" s="45">
        <f t="shared" si="3"/>
        <v>-0.15760269899782253</v>
      </c>
      <c r="G23" s="46">
        <v>76102.09</v>
      </c>
      <c r="H23" s="46">
        <f t="shared" si="1"/>
        <v>-45105.34</v>
      </c>
      <c r="I23" s="45">
        <f t="shared" si="2"/>
        <v>-0.59269515462715938</v>
      </c>
      <c r="J23" s="58" t="s">
        <v>112</v>
      </c>
      <c r="K23" s="58" t="s">
        <v>114</v>
      </c>
    </row>
    <row r="24" spans="1:11" ht="15.75">
      <c r="A24" s="51" t="str">
        <v>Woodchuck</v>
      </c>
      <c r="B24" s="48" t="str">
        <v>MA</v>
      </c>
      <c r="C24" s="36">
        <v>153366</v>
      </c>
      <c r="D24" s="37">
        <v>160720.70000000001</v>
      </c>
      <c r="E24" s="37">
        <f t="shared" si="0"/>
        <v>-7354.7000000000116</v>
      </c>
      <c r="F24" s="38">
        <f t="shared" si="3"/>
        <v>-4.5760751415343581E-2</v>
      </c>
      <c r="G24" s="39">
        <v>175256.1</v>
      </c>
      <c r="H24" s="39">
        <f t="shared" si="1"/>
        <v>-21890.100000000006</v>
      </c>
      <c r="I24" s="40">
        <f t="shared" si="2"/>
        <v>-0.1249034983661054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scale="56" fitToHeight="9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1"/>
  <sheetViews>
    <sheetView zoomScale="60" zoomScaleNormal="60" workbookViewId="0">
      <pane xSplit="2" ySplit="3" topLeftCell="C4" activePane="bottomRight" state="frozen"/>
      <selection pane="bottomRight" activeCell="J26" sqref="J26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5" t="str" cm="1">
        <f t="array" ref="A1">portfolio</f>
        <v>38 DN</v>
      </c>
      <c r="B1" s="85"/>
      <c r="C1" s="85"/>
      <c r="D1" s="86" t="s">
        <v>115</v>
      </c>
      <c r="E1" s="86"/>
      <c r="F1" s="86"/>
      <c r="G1" s="84" t="s">
        <v>116</v>
      </c>
      <c r="H1" s="84"/>
      <c r="I1" s="84"/>
      <c r="J1" s="4"/>
      <c r="K1" s="4"/>
    </row>
    <row r="2" spans="1:11" ht="19.5" customHeight="1">
      <c r="A2" s="87" t="s">
        <v>2</v>
      </c>
      <c r="B2" s="87"/>
      <c r="C2" s="5">
        <f>SUM(C4:C99)</f>
        <v>4651336.2108132513</v>
      </c>
      <c r="D2" s="5">
        <f>SUM(D4:D99)</f>
        <v>4676991.95</v>
      </c>
      <c r="E2" s="5">
        <f>C2-D2</f>
        <v>-25655.739186748862</v>
      </c>
      <c r="F2" s="6">
        <f>IFERROR(E2/D2, 0)</f>
        <v>-5.485521348128226E-3</v>
      </c>
      <c r="G2" s="5">
        <f>SUM(G4:G99)</f>
        <v>4984299.7699999996</v>
      </c>
      <c r="H2" s="7">
        <f>C2-G2</f>
        <v>-332963.55918674823</v>
      </c>
      <c r="I2" s="6">
        <f>IFERROR(H2/G2, 0)</f>
        <v>-6.6802474680761073E-2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28.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223100</v>
      </c>
      <c r="D4" s="37">
        <v>257891.6</v>
      </c>
      <c r="E4" s="37">
        <f>IF(AND(ISNUMBER(C4),ISNUMBER(D4)), C4-D4, "")</f>
        <v>-34791.600000000006</v>
      </c>
      <c r="F4" s="38">
        <f>IFERROR(E4/D4, "")</f>
        <v>-0.13490784500154329</v>
      </c>
      <c r="G4" s="39">
        <v>260430.1</v>
      </c>
      <c r="H4" s="39">
        <f>IF(AND(ISNUMBER(C4),ISNUMBER(G4)), C4-G4, "")</f>
        <v>-37330.100000000006</v>
      </c>
      <c r="I4" s="40">
        <f>IFERROR(H4/G4, "")</f>
        <v>-0.14334018993964218</v>
      </c>
      <c r="J4" s="57" t="s">
        <v>117</v>
      </c>
      <c r="K4" s="57" t="s">
        <v>118</v>
      </c>
    </row>
    <row r="5" spans="1:11" ht="15.75">
      <c r="A5" s="49" t="str">
        <v>Barton Acres</v>
      </c>
      <c r="B5" s="50" t="str">
        <v>MA</v>
      </c>
      <c r="C5" s="43">
        <v>187417.717413548</v>
      </c>
      <c r="D5" s="44">
        <v>184693</v>
      </c>
      <c r="E5" s="44">
        <f t="shared" ref="E5:E24" si="0">IF(AND(ISNUMBER(C5),ISNUMBER(D5)), C5-D5, "")</f>
        <v>2724.7174135480018</v>
      </c>
      <c r="F5" s="45">
        <f>IFERROR(E5/D5, "")</f>
        <v>1.4752683715939434E-2</v>
      </c>
      <c r="G5" s="46">
        <v>197279.1</v>
      </c>
      <c r="H5" s="46">
        <f t="shared" ref="H5:H24" si="1">IF(AND(ISNUMBER(C5),ISNUMBER(G5)), C5-G5, "")</f>
        <v>-9861.382586452004</v>
      </c>
      <c r="I5" s="45">
        <f t="shared" ref="I5:I24" si="2">IFERROR(H5/G5, "")</f>
        <v>-4.9986960536884055E-2</v>
      </c>
      <c r="J5" s="58" t="s">
        <v>119</v>
      </c>
      <c r="K5" s="58" t="s">
        <v>120</v>
      </c>
    </row>
    <row r="6" spans="1:11" ht="15.75">
      <c r="A6" s="51" t="str">
        <v>Bowden</v>
      </c>
      <c r="B6" s="48" t="str">
        <v>MA</v>
      </c>
      <c r="C6" s="36">
        <v>383942</v>
      </c>
      <c r="D6" s="37">
        <v>382128.5</v>
      </c>
      <c r="E6" s="37">
        <f t="shared" si="0"/>
        <v>1813.5</v>
      </c>
      <c r="F6" s="38">
        <f t="shared" ref="F6:F24" si="3">IFERROR(E6/D6, "")</f>
        <v>4.745785776250659E-3</v>
      </c>
      <c r="G6" s="39">
        <v>385038.1</v>
      </c>
      <c r="H6" s="39">
        <f t="shared" si="1"/>
        <v>-1096.0999999999767</v>
      </c>
      <c r="I6" s="40">
        <f t="shared" si="2"/>
        <v>-2.8467312715286532E-3</v>
      </c>
      <c r="J6" s="57"/>
      <c r="K6" s="57"/>
    </row>
    <row r="7" spans="1:11" ht="118.5" customHeight="1">
      <c r="A7" s="49" t="str">
        <v>Blair Wire Village</v>
      </c>
      <c r="B7" s="50" t="str">
        <v>MA</v>
      </c>
      <c r="C7" s="43">
        <v>169654</v>
      </c>
      <c r="D7" s="44">
        <v>193455.4</v>
      </c>
      <c r="E7" s="44">
        <f t="shared" si="0"/>
        <v>-23801.399999999994</v>
      </c>
      <c r="F7" s="45">
        <f t="shared" si="3"/>
        <v>-0.12303300915870012</v>
      </c>
      <c r="G7" s="46">
        <v>193182.1</v>
      </c>
      <c r="H7" s="46">
        <f t="shared" si="1"/>
        <v>-23528.100000000006</v>
      </c>
      <c r="I7" s="45">
        <f t="shared" si="2"/>
        <v>-0.12179233997352759</v>
      </c>
      <c r="J7" s="70" t="s">
        <v>121</v>
      </c>
      <c r="K7" s="70" t="s">
        <v>122</v>
      </c>
    </row>
    <row r="8" spans="1:11" ht="15.75">
      <c r="A8" s="51" t="str">
        <v>Boutilier</v>
      </c>
      <c r="B8" s="48" t="str">
        <v>MA</v>
      </c>
      <c r="C8" s="36">
        <v>501700</v>
      </c>
      <c r="D8" s="37">
        <v>487837.1</v>
      </c>
      <c r="E8" s="37">
        <f t="shared" si="0"/>
        <v>13862.900000000023</v>
      </c>
      <c r="F8" s="38">
        <f t="shared" si="3"/>
        <v>2.8417067910579217E-2</v>
      </c>
      <c r="G8" s="39">
        <v>541550.9</v>
      </c>
      <c r="H8" s="39">
        <f t="shared" si="1"/>
        <v>-39850.900000000023</v>
      </c>
      <c r="I8" s="40">
        <f t="shared" si="2"/>
        <v>-7.3586619466425085E-2</v>
      </c>
      <c r="J8" s="57" t="s">
        <v>123</v>
      </c>
      <c r="K8" s="57" t="s">
        <v>124</v>
      </c>
    </row>
    <row r="9" spans="1:11" ht="15.75">
      <c r="A9" s="49" t="str">
        <v>Cherry Valley</v>
      </c>
      <c r="B9" s="50" t="str">
        <v>MA</v>
      </c>
      <c r="C9" s="43">
        <v>176376</v>
      </c>
      <c r="D9" s="44">
        <v>184033</v>
      </c>
      <c r="E9" s="44">
        <f t="shared" si="0"/>
        <v>-7657</v>
      </c>
      <c r="F9" s="45">
        <f t="shared" si="3"/>
        <v>-4.1606668369259858E-2</v>
      </c>
      <c r="G9" s="46">
        <v>194395</v>
      </c>
      <c r="H9" s="46">
        <f t="shared" si="1"/>
        <v>-18019</v>
      </c>
      <c r="I9" s="45">
        <f t="shared" si="2"/>
        <v>-9.2692713289950879E-2</v>
      </c>
      <c r="J9" s="58"/>
      <c r="K9" s="58"/>
    </row>
    <row r="10" spans="1:11" ht="15.75">
      <c r="A10" s="51" t="str">
        <v>Cohasse</v>
      </c>
      <c r="B10" s="48" t="str">
        <v>MA</v>
      </c>
      <c r="C10" s="36">
        <v>169138</v>
      </c>
      <c r="D10" s="37">
        <v>164177.1</v>
      </c>
      <c r="E10" s="37">
        <f t="shared" si="0"/>
        <v>4960.8999999999942</v>
      </c>
      <c r="F10" s="38">
        <f t="shared" si="3"/>
        <v>3.0216759828258593E-2</v>
      </c>
      <c r="G10" s="39">
        <v>193723.8</v>
      </c>
      <c r="H10" s="39">
        <f t="shared" si="1"/>
        <v>-24585.799999999988</v>
      </c>
      <c r="I10" s="40">
        <f t="shared" si="2"/>
        <v>-0.12691161333816489</v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>
        <v>375589</v>
      </c>
      <c r="D11" s="44">
        <v>358722.2</v>
      </c>
      <c r="E11" s="44">
        <f t="shared" si="0"/>
        <v>16866.799999999988</v>
      </c>
      <c r="F11" s="45">
        <f t="shared" si="3"/>
        <v>4.7019113955032582E-2</v>
      </c>
      <c r="G11" s="46">
        <v>396437.7</v>
      </c>
      <c r="H11" s="46">
        <f t="shared" si="1"/>
        <v>-20848.700000000012</v>
      </c>
      <c r="I11" s="45">
        <f t="shared" si="2"/>
        <v>-5.2590104321561776E-2</v>
      </c>
      <c r="J11" s="58"/>
      <c r="K11" s="58"/>
    </row>
    <row r="12" spans="1:11" ht="15.75">
      <c r="A12" s="51" t="str">
        <v>Dudley River 1</v>
      </c>
      <c r="B12" s="48" t="str">
        <v>MA</v>
      </c>
      <c r="C12" s="36">
        <v>183734</v>
      </c>
      <c r="D12" s="37">
        <v>185905</v>
      </c>
      <c r="E12" s="37">
        <f t="shared" si="0"/>
        <v>-2171</v>
      </c>
      <c r="F12" s="38">
        <f t="shared" si="3"/>
        <v>-1.1678007584518976E-2</v>
      </c>
      <c r="G12" s="39">
        <v>194566</v>
      </c>
      <c r="H12" s="39">
        <f t="shared" si="1"/>
        <v>-10832</v>
      </c>
      <c r="I12" s="40">
        <f t="shared" si="2"/>
        <v>-5.5672625227429252E-2</v>
      </c>
      <c r="J12" s="57"/>
      <c r="K12" s="57"/>
    </row>
    <row r="13" spans="1:11" ht="15.75">
      <c r="A13" s="49" t="str">
        <v>Dudley River 2</v>
      </c>
      <c r="B13" s="50" t="str">
        <v>MA</v>
      </c>
      <c r="C13" s="43">
        <v>177414</v>
      </c>
      <c r="D13" s="44">
        <v>182193.7</v>
      </c>
      <c r="E13" s="44">
        <f t="shared" si="0"/>
        <v>-4779.7000000000116</v>
      </c>
      <c r="F13" s="45">
        <f t="shared" si="3"/>
        <v>-2.6234167262644159E-2</v>
      </c>
      <c r="G13" s="46">
        <v>185537.3</v>
      </c>
      <c r="H13" s="46">
        <f t="shared" si="1"/>
        <v>-8123.2999999999884</v>
      </c>
      <c r="I13" s="45">
        <f t="shared" si="2"/>
        <v>-4.3782570943955684E-2</v>
      </c>
      <c r="J13" s="58"/>
      <c r="K13" s="58"/>
    </row>
    <row r="14" spans="1:11" ht="15.75">
      <c r="A14" s="51" t="str">
        <v>Dudley River 3</v>
      </c>
      <c r="B14" s="48" t="str">
        <v>MA</v>
      </c>
      <c r="C14" s="36">
        <v>182698.99667774001</v>
      </c>
      <c r="D14" s="37">
        <v>181487.7</v>
      </c>
      <c r="E14" s="37">
        <f t="shared" si="0"/>
        <v>1211.2966777399997</v>
      </c>
      <c r="F14" s="38">
        <f t="shared" si="3"/>
        <v>6.6742632020792576E-3</v>
      </c>
      <c r="G14" s="39">
        <v>188053.7</v>
      </c>
      <c r="H14" s="39">
        <f t="shared" si="1"/>
        <v>-5354.7033222600003</v>
      </c>
      <c r="I14" s="40">
        <f t="shared" si="2"/>
        <v>-2.8474331120632031E-2</v>
      </c>
      <c r="J14" s="57"/>
      <c r="K14" s="57"/>
    </row>
    <row r="15" spans="1:11" ht="15.75">
      <c r="A15" s="49" t="str">
        <v>Flint Pond</v>
      </c>
      <c r="B15" s="50" t="str">
        <v>MA</v>
      </c>
      <c r="C15" s="43">
        <v>86225</v>
      </c>
      <c r="D15" s="44">
        <v>71405.17</v>
      </c>
      <c r="E15" s="44">
        <f t="shared" si="0"/>
        <v>14819.830000000002</v>
      </c>
      <c r="F15" s="45">
        <f t="shared" si="3"/>
        <v>0.20754561609474498</v>
      </c>
      <c r="G15" s="46">
        <v>93130.7</v>
      </c>
      <c r="H15" s="46">
        <f t="shared" si="1"/>
        <v>-6905.6999999999971</v>
      </c>
      <c r="I15" s="45">
        <f t="shared" si="2"/>
        <v>-7.4150629169543417E-2</v>
      </c>
      <c r="J15" s="58"/>
      <c r="K15" s="58"/>
    </row>
    <row r="16" spans="1:11" ht="15.75">
      <c r="A16" s="51" t="str">
        <v>Incom</v>
      </c>
      <c r="B16" s="48" t="str">
        <v>MA</v>
      </c>
      <c r="C16" s="36">
        <v>408907</v>
      </c>
      <c r="D16" s="37">
        <v>424321.8</v>
      </c>
      <c r="E16" s="37">
        <f t="shared" si="0"/>
        <v>-15414.799999999988</v>
      </c>
      <c r="F16" s="38">
        <f t="shared" si="3"/>
        <v>-3.6328088728884517E-2</v>
      </c>
      <c r="G16" s="39">
        <v>396541.4</v>
      </c>
      <c r="H16" s="39">
        <f t="shared" si="1"/>
        <v>12365.599999999977</v>
      </c>
      <c r="I16" s="40">
        <f t="shared" si="2"/>
        <v>3.1183629250312768E-2</v>
      </c>
      <c r="J16" s="57" t="s">
        <v>125</v>
      </c>
      <c r="K16" s="57" t="s">
        <v>126</v>
      </c>
    </row>
    <row r="17" spans="1:11" ht="15.75">
      <c r="A17" s="49" t="str">
        <v>JH</v>
      </c>
      <c r="B17" s="50" t="str">
        <v>MA</v>
      </c>
      <c r="C17" s="43">
        <v>178088</v>
      </c>
      <c r="D17" s="44">
        <v>178513.9</v>
      </c>
      <c r="E17" s="44">
        <f t="shared" si="0"/>
        <v>-425.89999999999418</v>
      </c>
      <c r="F17" s="45">
        <f t="shared" si="3"/>
        <v>-2.3858086121024422E-3</v>
      </c>
      <c r="G17" s="46">
        <v>192698.1</v>
      </c>
      <c r="H17" s="46">
        <f t="shared" si="1"/>
        <v>-14610.100000000006</v>
      </c>
      <c r="I17" s="45">
        <f t="shared" si="2"/>
        <v>-7.5818599145502763E-2</v>
      </c>
      <c r="J17" s="58"/>
      <c r="K17" s="58"/>
    </row>
    <row r="18" spans="1:11" ht="12.75" customHeight="1">
      <c r="A18" s="47" t="str">
        <v>Ledeaux</v>
      </c>
      <c r="B18" s="48" t="str">
        <v>MA</v>
      </c>
      <c r="C18" s="36">
        <v>166603</v>
      </c>
      <c r="D18" s="37">
        <v>174417.9</v>
      </c>
      <c r="E18" s="37">
        <f t="shared" si="0"/>
        <v>-7814.8999999999942</v>
      </c>
      <c r="F18" s="38">
        <f t="shared" si="3"/>
        <v>-4.480560768132167E-2</v>
      </c>
      <c r="G18" s="39">
        <v>189198.9</v>
      </c>
      <c r="H18" s="39">
        <f t="shared" si="1"/>
        <v>-22595.899999999994</v>
      </c>
      <c r="I18" s="40">
        <f t="shared" si="2"/>
        <v>-0.11942934129109628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363753.99337748101</v>
      </c>
      <c r="D19" s="44">
        <v>357461.3</v>
      </c>
      <c r="E19" s="44">
        <f t="shared" si="0"/>
        <v>6292.6933774810168</v>
      </c>
      <c r="F19" s="45">
        <f t="shared" si="3"/>
        <v>1.7603845164444423E-2</v>
      </c>
      <c r="G19" s="46">
        <v>398271</v>
      </c>
      <c r="H19" s="46">
        <f t="shared" si="1"/>
        <v>-34517.006622518995</v>
      </c>
      <c r="I19" s="45">
        <f t="shared" si="2"/>
        <v>-8.666713524840873E-2</v>
      </c>
      <c r="J19" s="58" t="s">
        <v>127</v>
      </c>
      <c r="K19" s="58" t="s">
        <v>128</v>
      </c>
    </row>
    <row r="20" spans="1:11" ht="15.75">
      <c r="A20" s="51" t="str">
        <v>Palombo B</v>
      </c>
      <c r="B20" s="48" t="str">
        <v>MA</v>
      </c>
      <c r="C20" s="36">
        <v>183170</v>
      </c>
      <c r="D20" s="37">
        <v>154569.70000000001</v>
      </c>
      <c r="E20" s="37">
        <f t="shared" si="0"/>
        <v>28600.299999999988</v>
      </c>
      <c r="F20" s="38">
        <f t="shared" si="3"/>
        <v>0.18503173649169266</v>
      </c>
      <c r="G20" s="39">
        <v>205328.2</v>
      </c>
      <c r="H20" s="39">
        <f t="shared" si="1"/>
        <v>-22158.200000000012</v>
      </c>
      <c r="I20" s="40">
        <f t="shared" si="2"/>
        <v>-0.10791600958855145</v>
      </c>
      <c r="J20" s="57" t="s">
        <v>127</v>
      </c>
      <c r="K20" s="57" t="s">
        <v>129</v>
      </c>
    </row>
    <row r="21" spans="1:11" ht="15.75">
      <c r="A21" s="49" t="str">
        <v>St Josephs Church</v>
      </c>
      <c r="B21" s="50" t="str">
        <v>MA</v>
      </c>
      <c r="C21" s="43">
        <v>182002.00334448199</v>
      </c>
      <c r="D21" s="44">
        <v>191312.6</v>
      </c>
      <c r="E21" s="44">
        <f t="shared" si="0"/>
        <v>-9310.5966555180203</v>
      </c>
      <c r="F21" s="45">
        <f t="shared" si="3"/>
        <v>-4.8666928657694369E-2</v>
      </c>
      <c r="G21" s="46">
        <v>191319.1</v>
      </c>
      <c r="H21" s="46">
        <f t="shared" si="1"/>
        <v>-9317.0966555180203</v>
      </c>
      <c r="I21" s="45">
        <f t="shared" si="2"/>
        <v>-4.8699249868507745E-2</v>
      </c>
      <c r="J21" s="58" t="s">
        <v>130</v>
      </c>
      <c r="K21" s="58" t="s">
        <v>131</v>
      </c>
    </row>
    <row r="22" spans="1:11" ht="15.75">
      <c r="A22" s="51" t="str">
        <v>Sunset A</v>
      </c>
      <c r="B22" s="48" t="str">
        <v>MA</v>
      </c>
      <c r="C22" s="36">
        <v>85967.5</v>
      </c>
      <c r="D22" s="37">
        <v>89017.66</v>
      </c>
      <c r="E22" s="37">
        <f t="shared" si="0"/>
        <v>-3050.1600000000035</v>
      </c>
      <c r="F22" s="38">
        <f t="shared" si="3"/>
        <v>-3.426466164129683E-2</v>
      </c>
      <c r="G22" s="39">
        <v>92881.88</v>
      </c>
      <c r="H22" s="39">
        <f t="shared" si="1"/>
        <v>-6914.3800000000047</v>
      </c>
      <c r="I22" s="40">
        <f t="shared" si="2"/>
        <v>-7.444272230493186E-2</v>
      </c>
      <c r="J22" s="57"/>
      <c r="K22" s="57"/>
    </row>
    <row r="23" spans="1:11" ht="15.75">
      <c r="A23" s="49" t="str">
        <v>Sunset B</v>
      </c>
      <c r="B23" s="50" t="str">
        <v>MA</v>
      </c>
      <c r="C23" s="43">
        <v>81647</v>
      </c>
      <c r="D23" s="44">
        <v>84768.12</v>
      </c>
      <c r="E23" s="44">
        <f t="shared" si="0"/>
        <v>-3121.1199999999953</v>
      </c>
      <c r="F23" s="45">
        <f t="shared" si="3"/>
        <v>-3.6819502426147892E-2</v>
      </c>
      <c r="G23" s="46">
        <v>91766.09</v>
      </c>
      <c r="H23" s="46">
        <f t="shared" si="1"/>
        <v>-10119.089999999997</v>
      </c>
      <c r="I23" s="45">
        <f t="shared" si="2"/>
        <v>-0.1102704713691081</v>
      </c>
      <c r="J23" s="58"/>
      <c r="K23" s="58"/>
    </row>
    <row r="24" spans="1:11" ht="15.75">
      <c r="A24" s="51" t="str">
        <v>Woodchuck</v>
      </c>
      <c r="B24" s="48" t="str">
        <v>MA</v>
      </c>
      <c r="C24" s="36">
        <v>184209</v>
      </c>
      <c r="D24" s="37">
        <v>188679.5</v>
      </c>
      <c r="E24" s="37">
        <f t="shared" si="0"/>
        <v>-4470.5</v>
      </c>
      <c r="F24" s="38">
        <f t="shared" si="3"/>
        <v>-2.3693618013615681E-2</v>
      </c>
      <c r="G24" s="39">
        <v>202970.6</v>
      </c>
      <c r="H24" s="39">
        <f t="shared" si="1"/>
        <v>-18761.600000000006</v>
      </c>
      <c r="I24" s="40">
        <f t="shared" si="2"/>
        <v>-9.2435062023761103E-2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41"/>
  <sheetViews>
    <sheetView zoomScale="60" zoomScaleNormal="60" workbookViewId="0">
      <pane xSplit="2" ySplit="3" topLeftCell="C6" activePane="bottomRight" state="frozen"/>
      <selection pane="bottomRight" activeCell="J27" sqref="J27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85" t="str" cm="1">
        <f t="array" ref="A1">portfolio</f>
        <v>38 DN</v>
      </c>
      <c r="B1" s="85"/>
      <c r="C1" s="85"/>
      <c r="D1" s="86" t="s">
        <v>132</v>
      </c>
      <c r="E1" s="86"/>
      <c r="F1" s="86"/>
      <c r="G1" s="84" t="s">
        <v>133</v>
      </c>
      <c r="H1" s="84"/>
      <c r="I1" s="84"/>
      <c r="J1" s="4"/>
      <c r="K1" s="4"/>
    </row>
    <row r="2" spans="1:13" ht="19.5" customHeight="1">
      <c r="A2" s="87" t="s">
        <v>2</v>
      </c>
      <c r="B2" s="87"/>
      <c r="C2" s="5">
        <f>SUM(C4:C99)</f>
        <v>5038083.0325642293</v>
      </c>
      <c r="D2" s="5">
        <f>SUM(D4:D99)</f>
        <v>5133216.4200000009</v>
      </c>
      <c r="E2" s="5">
        <f>C2-D2</f>
        <v>-95133.387435771525</v>
      </c>
      <c r="F2" s="6">
        <f>IFERROR(E2/D2, 0)</f>
        <v>-1.8532900164721967E-2</v>
      </c>
      <c r="G2" s="5">
        <f>SUM(G4:G99)</f>
        <v>5000154.5199999996</v>
      </c>
      <c r="H2" s="7">
        <f>C2-G2</f>
        <v>37928.512564229779</v>
      </c>
      <c r="I2" s="6">
        <f>IFERROR(H2/G2, 0)</f>
        <v>7.5854680915400556E-3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3" ht="42.7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225023</v>
      </c>
      <c r="D4" s="37">
        <v>294597</v>
      </c>
      <c r="E4" s="37">
        <f>IF(AND(ISNUMBER(C4),ISNUMBER(D4)), C4-D4, "")</f>
        <v>-69574</v>
      </c>
      <c r="F4" s="38">
        <f>IFERROR(E4/D4, "")</f>
        <v>-0.23616669551964209</v>
      </c>
      <c r="G4" s="39">
        <v>245630.1</v>
      </c>
      <c r="H4" s="39">
        <f>IF(AND(ISNUMBER(C4),ISNUMBER(G4)), C4-G4, "")</f>
        <v>-20607.100000000006</v>
      </c>
      <c r="I4" s="40">
        <f>IFERROR(H4/G4, "")</f>
        <v>-8.3894848391951979E-2</v>
      </c>
      <c r="J4" s="57" t="s">
        <v>134</v>
      </c>
      <c r="K4" s="57" t="s">
        <v>135</v>
      </c>
    </row>
    <row r="5" spans="1:13" ht="57">
      <c r="A5" s="49" t="str">
        <v>Barton Acres</v>
      </c>
      <c r="B5" s="50" t="str">
        <v>MA</v>
      </c>
      <c r="C5" s="43">
        <v>203632.282586452</v>
      </c>
      <c r="D5" s="44">
        <v>194911.7</v>
      </c>
      <c r="E5" s="44">
        <f t="shared" ref="E5:E17" si="0">IF(AND(ISNUMBER(C5),ISNUMBER(D5)), C5-D5, "")</f>
        <v>8720.5825864519866</v>
      </c>
      <c r="F5" s="45">
        <f>IFERROR(E5/D5, "")</f>
        <v>4.4741196072129001E-2</v>
      </c>
      <c r="G5" s="46">
        <v>199842.9</v>
      </c>
      <c r="H5" s="46">
        <f t="shared" ref="H5:H17" si="1">IF(AND(ISNUMBER(C5),ISNUMBER(G5)), C5-G5, "")</f>
        <v>3789.382586452004</v>
      </c>
      <c r="I5" s="45">
        <f t="shared" ref="I5:I17" si="2">IFERROR(H5/G5, "")</f>
        <v>1.8961807431997855E-2</v>
      </c>
      <c r="J5" s="58" t="s">
        <v>136</v>
      </c>
      <c r="K5" s="58" t="s">
        <v>137</v>
      </c>
    </row>
    <row r="6" spans="1:13" ht="42.75">
      <c r="A6" s="51" t="str">
        <v>Bowden</v>
      </c>
      <c r="B6" s="48" t="str">
        <v>MA</v>
      </c>
      <c r="C6" s="36">
        <v>414745</v>
      </c>
      <c r="D6" s="37">
        <v>410030.8</v>
      </c>
      <c r="E6" s="37">
        <f t="shared" si="0"/>
        <v>4714.2000000000116</v>
      </c>
      <c r="F6" s="38">
        <f t="shared" ref="F6:F17" si="3">IFERROR(E6/D6, "")</f>
        <v>1.1497185089510378E-2</v>
      </c>
      <c r="G6" s="39">
        <v>397783</v>
      </c>
      <c r="H6" s="39">
        <f t="shared" si="1"/>
        <v>16962</v>
      </c>
      <c r="I6" s="40">
        <f t="shared" si="2"/>
        <v>4.264133962487085E-2</v>
      </c>
      <c r="J6" s="57" t="s">
        <v>138</v>
      </c>
      <c r="K6" s="57" t="s">
        <v>139</v>
      </c>
    </row>
    <row r="7" spans="1:13" ht="42.75">
      <c r="A7" s="49" t="str">
        <v>Blair Wire Village</v>
      </c>
      <c r="B7" s="50" t="str">
        <v>MA</v>
      </c>
      <c r="C7" s="43">
        <v>200447</v>
      </c>
      <c r="D7" s="44">
        <v>207116.1</v>
      </c>
      <c r="E7" s="44">
        <f t="shared" si="0"/>
        <v>-6669.1000000000058</v>
      </c>
      <c r="F7" s="45">
        <f t="shared" si="3"/>
        <v>-3.2199814500176498E-2</v>
      </c>
      <c r="G7" s="46">
        <v>198779.3</v>
      </c>
      <c r="H7" s="46">
        <f t="shared" si="1"/>
        <v>1667.7000000000116</v>
      </c>
      <c r="I7" s="45">
        <f t="shared" si="2"/>
        <v>8.389706574074925E-3</v>
      </c>
      <c r="J7" s="58" t="s">
        <v>140</v>
      </c>
      <c r="K7" s="70" t="s">
        <v>141</v>
      </c>
    </row>
    <row r="8" spans="1:13" ht="42.75">
      <c r="A8" s="51" t="str">
        <v>Boutilier</v>
      </c>
      <c r="B8" s="48" t="str">
        <v>MA</v>
      </c>
      <c r="C8" s="36">
        <v>544950</v>
      </c>
      <c r="D8" s="37">
        <v>547089.6</v>
      </c>
      <c r="E8" s="37">
        <f t="shared" si="0"/>
        <v>-2139.5999999999767</v>
      </c>
      <c r="F8" s="38">
        <f t="shared" si="3"/>
        <v>-3.9108767558366613E-3</v>
      </c>
      <c r="G8" s="39">
        <v>548588.1</v>
      </c>
      <c r="H8" s="39">
        <f t="shared" si="1"/>
        <v>-3638.0999999999767</v>
      </c>
      <c r="I8" s="40">
        <f t="shared" si="2"/>
        <v>-6.631751581924538E-3</v>
      </c>
      <c r="J8" s="57" t="s">
        <v>142</v>
      </c>
      <c r="K8" s="57" t="s">
        <v>143</v>
      </c>
    </row>
    <row r="9" spans="1:13" ht="15.75">
      <c r="A9" s="49" t="str">
        <v>Cherry Valley</v>
      </c>
      <c r="B9" s="50" t="str">
        <v>MA</v>
      </c>
      <c r="C9" s="43">
        <v>193353</v>
      </c>
      <c r="D9" s="44">
        <v>191822.6</v>
      </c>
      <c r="E9" s="44">
        <f t="shared" si="0"/>
        <v>1530.3999999999942</v>
      </c>
      <c r="F9" s="45">
        <f t="shared" si="3"/>
        <v>7.9782048622007735E-3</v>
      </c>
      <c r="G9" s="46">
        <v>195979</v>
      </c>
      <c r="H9" s="46">
        <f t="shared" si="1"/>
        <v>-2626</v>
      </c>
      <c r="I9" s="45">
        <f t="shared" si="2"/>
        <v>-1.3399394833119875E-2</v>
      </c>
      <c r="J9" s="58"/>
      <c r="K9" s="58"/>
    </row>
    <row r="10" spans="1:13" ht="15.75">
      <c r="A10" s="51" t="str">
        <v>Cohasse</v>
      </c>
      <c r="B10" s="48" t="str">
        <v>MA</v>
      </c>
      <c r="C10" s="36">
        <v>187694</v>
      </c>
      <c r="D10" s="37">
        <v>181260</v>
      </c>
      <c r="E10" s="37">
        <f t="shared" si="0"/>
        <v>6434</v>
      </c>
      <c r="F10" s="38">
        <f t="shared" si="3"/>
        <v>3.5495972635992495E-2</v>
      </c>
      <c r="G10" s="39">
        <v>189453.3</v>
      </c>
      <c r="H10" s="39">
        <f t="shared" si="1"/>
        <v>-1759.2999999999884</v>
      </c>
      <c r="I10" s="40">
        <f t="shared" si="2"/>
        <v>-9.2861934840933798E-3</v>
      </c>
      <c r="J10" s="57"/>
      <c r="K10" s="57"/>
    </row>
    <row r="11" spans="1:13" ht="104.25" customHeight="1">
      <c r="A11" s="49" t="str">
        <v>ISM Dighton Solar 2</v>
      </c>
      <c r="B11" s="50" t="str">
        <v>MA</v>
      </c>
      <c r="C11" s="43">
        <v>405711</v>
      </c>
      <c r="D11" s="44">
        <v>407670.8</v>
      </c>
      <c r="E11" s="44">
        <f t="shared" si="0"/>
        <v>-1959.7999999999884</v>
      </c>
      <c r="F11" s="45">
        <f t="shared" si="3"/>
        <v>-4.8073102120632346E-3</v>
      </c>
      <c r="G11" s="46">
        <v>405850.7</v>
      </c>
      <c r="H11" s="46">
        <f t="shared" si="1"/>
        <v>-139.70000000001164</v>
      </c>
      <c r="I11" s="45">
        <f t="shared" si="2"/>
        <v>-3.4421524959797194E-4</v>
      </c>
      <c r="J11" s="58" t="s">
        <v>144</v>
      </c>
      <c r="K11" s="70" t="s">
        <v>145</v>
      </c>
    </row>
    <row r="12" spans="1:13" ht="28.5">
      <c r="A12" s="51" t="str">
        <v>Dudley River 1</v>
      </c>
      <c r="B12" s="48" t="str">
        <v>MA</v>
      </c>
      <c r="C12" s="36">
        <v>196072</v>
      </c>
      <c r="D12" s="37">
        <v>205405.5</v>
      </c>
      <c r="E12" s="37">
        <f t="shared" si="0"/>
        <v>-9333.5</v>
      </c>
      <c r="F12" s="38">
        <f t="shared" si="3"/>
        <v>-4.5439386968703373E-2</v>
      </c>
      <c r="G12" s="39">
        <v>199866.6</v>
      </c>
      <c r="H12" s="39">
        <f t="shared" si="1"/>
        <v>-3794.6000000000058</v>
      </c>
      <c r="I12" s="40">
        <f t="shared" si="2"/>
        <v>-1.8985663437512849E-2</v>
      </c>
      <c r="J12" s="57" t="s">
        <v>146</v>
      </c>
      <c r="K12" s="57" t="s">
        <v>147</v>
      </c>
      <c r="M12" t="s">
        <v>148</v>
      </c>
    </row>
    <row r="13" spans="1:13" ht="28.5">
      <c r="A13" s="49" t="str">
        <v>Dudley River 2</v>
      </c>
      <c r="B13" s="50" t="str">
        <v>MA</v>
      </c>
      <c r="C13" s="43">
        <v>186963</v>
      </c>
      <c r="D13" s="44">
        <v>202100.4</v>
      </c>
      <c r="E13" s="44">
        <f t="shared" si="0"/>
        <v>-15137.399999999994</v>
      </c>
      <c r="F13" s="45">
        <f t="shared" si="3"/>
        <v>-7.4900396040779707E-2</v>
      </c>
      <c r="G13" s="46">
        <v>190392.3</v>
      </c>
      <c r="H13" s="46">
        <f t="shared" si="1"/>
        <v>-3429.2999999999884</v>
      </c>
      <c r="I13" s="45">
        <f t="shared" si="2"/>
        <v>-1.801175782844153E-2</v>
      </c>
      <c r="J13" s="58" t="s">
        <v>146</v>
      </c>
      <c r="K13" s="70" t="s">
        <v>149</v>
      </c>
    </row>
    <row r="14" spans="1:13" ht="28.5">
      <c r="A14" s="51" t="str">
        <v>Dudley River 3</v>
      </c>
      <c r="B14" s="48" t="str">
        <v>MA</v>
      </c>
      <c r="C14" s="36">
        <v>193519</v>
      </c>
      <c r="D14" s="37">
        <v>200107.8</v>
      </c>
      <c r="E14" s="37">
        <f t="shared" si="0"/>
        <v>-6588.7999999999884</v>
      </c>
      <c r="F14" s="38">
        <f t="shared" si="3"/>
        <v>-3.292625274976782E-2</v>
      </c>
      <c r="G14" s="39">
        <v>193101.1</v>
      </c>
      <c r="H14" s="39">
        <f t="shared" si="1"/>
        <v>417.89999999999418</v>
      </c>
      <c r="I14" s="40">
        <f t="shared" si="2"/>
        <v>2.1641513176258145E-3</v>
      </c>
      <c r="J14" s="57" t="s">
        <v>146</v>
      </c>
      <c r="K14" s="57" t="s">
        <v>150</v>
      </c>
    </row>
    <row r="15" spans="1:13" ht="15.75">
      <c r="A15" s="49" t="str">
        <v>Flint Pond</v>
      </c>
      <c r="B15" s="50" t="str">
        <v>MA</v>
      </c>
      <c r="C15" s="43">
        <v>95286</v>
      </c>
      <c r="D15" s="44">
        <v>78186.87</v>
      </c>
      <c r="E15" s="44">
        <f t="shared" si="0"/>
        <v>17099.130000000005</v>
      </c>
      <c r="F15" s="45">
        <f t="shared" si="3"/>
        <v>0.21869567102507118</v>
      </c>
      <c r="G15" s="46">
        <v>93633.55</v>
      </c>
      <c r="H15" s="46">
        <f t="shared" si="1"/>
        <v>1652.4499999999971</v>
      </c>
      <c r="I15" s="45">
        <f t="shared" si="2"/>
        <v>1.7648054570183411E-2</v>
      </c>
      <c r="J15" s="58"/>
      <c r="K15" s="58"/>
    </row>
    <row r="16" spans="1:13" ht="42.75">
      <c r="A16" s="51" t="str">
        <v>Incom</v>
      </c>
      <c r="B16" s="48" t="str">
        <v>MA</v>
      </c>
      <c r="C16" s="36">
        <v>439967</v>
      </c>
      <c r="D16" s="37">
        <v>457194.1</v>
      </c>
      <c r="E16" s="37">
        <f t="shared" si="0"/>
        <v>-17227.099999999977</v>
      </c>
      <c r="F16" s="38">
        <f t="shared" si="3"/>
        <v>-3.7680057551048841E-2</v>
      </c>
      <c r="G16" s="39">
        <v>393685.8</v>
      </c>
      <c r="H16" s="39">
        <f t="shared" si="1"/>
        <v>46281.200000000012</v>
      </c>
      <c r="I16" s="40">
        <f t="shared" si="2"/>
        <v>0.11755872322547578</v>
      </c>
      <c r="J16" s="57" t="s">
        <v>151</v>
      </c>
      <c r="K16" s="57" t="s">
        <v>152</v>
      </c>
    </row>
    <row r="17" spans="1:11" ht="15.75">
      <c r="A17" s="49" t="str">
        <v>JH</v>
      </c>
      <c r="B17" s="50" t="str">
        <v>MA</v>
      </c>
      <c r="C17" s="43">
        <v>189114</v>
      </c>
      <c r="D17" s="44">
        <v>189169.2</v>
      </c>
      <c r="E17" s="44">
        <f t="shared" si="0"/>
        <v>-55.200000000011642</v>
      </c>
      <c r="F17" s="71">
        <f t="shared" si="3"/>
        <v>-2.9180225956451492E-4</v>
      </c>
      <c r="G17" s="46">
        <v>187798.5</v>
      </c>
      <c r="H17" s="46">
        <f t="shared" si="1"/>
        <v>1315.5</v>
      </c>
      <c r="I17" s="45">
        <f t="shared" si="2"/>
        <v>7.0048482815357948E-3</v>
      </c>
      <c r="J17" s="58"/>
      <c r="K17" s="58"/>
    </row>
    <row r="18" spans="1:11" ht="12.75" customHeight="1">
      <c r="A18" s="47" t="str">
        <v>Ledeaux</v>
      </c>
      <c r="B18" s="48" t="str">
        <v>MA</v>
      </c>
      <c r="C18" s="36">
        <v>175106</v>
      </c>
      <c r="D18" s="37">
        <v>188057.8</v>
      </c>
      <c r="E18" s="37">
        <f t="shared" ref="E18:E24" si="4">IF(AND(ISNUMBER(C18),ISNUMBER(D18)), C18-D18, "")</f>
        <v>-12951.799999999988</v>
      </c>
      <c r="F18" s="38">
        <f t="shared" ref="F18:F24" si="5">IFERROR(E18/D18, "")</f>
        <v>-6.8871378905846978E-2</v>
      </c>
      <c r="G18" s="39">
        <v>187069</v>
      </c>
      <c r="H18" s="39">
        <f t="shared" ref="H18:H24" si="6">IF(AND(ISNUMBER(C18),ISNUMBER(G18)), C18-G18, "")</f>
        <v>-11963</v>
      </c>
      <c r="I18" s="40">
        <f t="shared" ref="I18:I24" si="7">IFERROR(H18/G18, "")</f>
        <v>-6.3949665631398034E-2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404704.003322259</v>
      </c>
      <c r="D19" s="44">
        <v>401381.1</v>
      </c>
      <c r="E19" s="44">
        <f t="shared" si="4"/>
        <v>3322.9033222590224</v>
      </c>
      <c r="F19" s="71">
        <f t="shared" si="5"/>
        <v>8.2786741136018169E-3</v>
      </c>
      <c r="G19" s="46">
        <v>385946</v>
      </c>
      <c r="H19" s="46">
        <f t="shared" si="6"/>
        <v>18758.003322258999</v>
      </c>
      <c r="I19" s="45">
        <f t="shared" si="7"/>
        <v>4.8602662865424175E-2</v>
      </c>
      <c r="J19" s="58"/>
      <c r="K19" s="58"/>
    </row>
    <row r="20" spans="1:11" ht="15.75">
      <c r="A20" s="51" t="str">
        <v>Palombo B</v>
      </c>
      <c r="B20" s="48" t="str">
        <v>MA</v>
      </c>
      <c r="C20" s="36">
        <v>205106</v>
      </c>
      <c r="D20" s="37">
        <v>169757.9</v>
      </c>
      <c r="E20" s="37">
        <f t="shared" si="4"/>
        <v>35348.100000000006</v>
      </c>
      <c r="F20" s="38">
        <f t="shared" si="5"/>
        <v>0.20822653908890254</v>
      </c>
      <c r="G20" s="39">
        <v>207998.2</v>
      </c>
      <c r="H20" s="39">
        <f t="shared" si="6"/>
        <v>-2892.2000000000116</v>
      </c>
      <c r="I20" s="40">
        <f t="shared" si="7"/>
        <v>-1.3904928023415643E-2</v>
      </c>
      <c r="J20" s="57"/>
      <c r="K20" s="57"/>
    </row>
    <row r="21" spans="1:11" ht="34.5" customHeight="1">
      <c r="A21" s="49" t="str">
        <v>St Josephs Church</v>
      </c>
      <c r="B21" s="50" t="str">
        <v>MA</v>
      </c>
      <c r="C21" s="43">
        <v>195296.99665551801</v>
      </c>
      <c r="D21" s="44">
        <v>209723.4</v>
      </c>
      <c r="E21" s="44">
        <f t="shared" si="4"/>
        <v>-14426.40334448198</v>
      </c>
      <c r="F21" s="71">
        <f t="shared" si="5"/>
        <v>-6.8787762092746826E-2</v>
      </c>
      <c r="G21" s="46">
        <v>189931.5</v>
      </c>
      <c r="H21" s="46">
        <f t="shared" si="6"/>
        <v>5365.4966555180144</v>
      </c>
      <c r="I21" s="45">
        <f t="shared" si="7"/>
        <v>2.8249640820601187E-2</v>
      </c>
      <c r="J21" s="58" t="s">
        <v>153</v>
      </c>
      <c r="K21" s="70" t="s">
        <v>154</v>
      </c>
    </row>
    <row r="22" spans="1:11" ht="15.75">
      <c r="A22" s="51" t="str">
        <v>Sunset A</v>
      </c>
      <c r="B22" s="48" t="str">
        <v>MA</v>
      </c>
      <c r="C22" s="36">
        <v>93764.5</v>
      </c>
      <c r="D22" s="37">
        <v>94982.74</v>
      </c>
      <c r="E22" s="37">
        <f t="shared" si="4"/>
        <v>-1218.2400000000052</v>
      </c>
      <c r="F22" s="38">
        <f t="shared" si="5"/>
        <v>-1.2825909212558041E-2</v>
      </c>
      <c r="G22" s="39">
        <v>94088.88</v>
      </c>
      <c r="H22" s="39">
        <f t="shared" si="6"/>
        <v>-324.38000000000466</v>
      </c>
      <c r="I22" s="40">
        <f t="shared" si="7"/>
        <v>-3.4475912562675274E-3</v>
      </c>
      <c r="J22" s="57" t="s">
        <v>155</v>
      </c>
      <c r="K22" s="57" t="s">
        <v>156</v>
      </c>
    </row>
    <row r="23" spans="1:11" ht="15.75">
      <c r="A23" s="49" t="str">
        <v>Sunset B</v>
      </c>
      <c r="B23" s="50" t="str">
        <v>MA</v>
      </c>
      <c r="C23" s="43">
        <v>89101.25</v>
      </c>
      <c r="D23" s="44">
        <v>98109.91</v>
      </c>
      <c r="E23" s="44">
        <f t="shared" si="4"/>
        <v>-9008.6600000000035</v>
      </c>
      <c r="F23" s="71">
        <f t="shared" si="5"/>
        <v>-9.18221207215459E-2</v>
      </c>
      <c r="G23" s="46">
        <v>92958.89</v>
      </c>
      <c r="H23" s="46">
        <f t="shared" si="6"/>
        <v>-3857.6399999999994</v>
      </c>
      <c r="I23" s="45">
        <f t="shared" si="7"/>
        <v>-4.1498344052946411E-2</v>
      </c>
      <c r="J23" s="58" t="s">
        <v>155</v>
      </c>
      <c r="K23" s="58" t="s">
        <v>157</v>
      </c>
    </row>
    <row r="24" spans="1:11" ht="15.75">
      <c r="A24" s="51" t="str">
        <v>Woodchuck</v>
      </c>
      <c r="B24" s="48" t="str">
        <v>MA</v>
      </c>
      <c r="C24" s="36">
        <v>198528</v>
      </c>
      <c r="D24" s="37">
        <v>204541.1</v>
      </c>
      <c r="E24" s="37">
        <f t="shared" si="4"/>
        <v>-6013.1000000000058</v>
      </c>
      <c r="F24" s="38">
        <f t="shared" si="5"/>
        <v>-2.939800362861061E-2</v>
      </c>
      <c r="G24" s="39">
        <v>201777.8</v>
      </c>
      <c r="H24" s="39">
        <f t="shared" si="6"/>
        <v>-3249.7999999999884</v>
      </c>
      <c r="I24" s="40">
        <f t="shared" si="7"/>
        <v>-1.610583523063483E-2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1"/>
  <sheetViews>
    <sheetView zoomScale="80" zoomScaleNormal="80" workbookViewId="0">
      <pane xSplit="2" ySplit="3" topLeftCell="F4" activePane="bottomRight" state="frozen"/>
      <selection pane="bottomRight" activeCell="F27" sqref="F27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5" t="str" cm="1">
        <f t="array" ref="A1">portfolio</f>
        <v>38 DN</v>
      </c>
      <c r="B1" s="85"/>
      <c r="C1" s="85"/>
      <c r="D1" s="86" t="s">
        <v>158</v>
      </c>
      <c r="E1" s="86"/>
      <c r="F1" s="86"/>
      <c r="G1" s="84" t="s">
        <v>159</v>
      </c>
      <c r="H1" s="84"/>
      <c r="I1" s="84"/>
      <c r="J1" s="4"/>
      <c r="K1" s="4"/>
    </row>
    <row r="2" spans="1:11" ht="19.5" customHeight="1">
      <c r="A2" s="87" t="s">
        <v>2</v>
      </c>
      <c r="B2" s="87"/>
      <c r="C2" s="5">
        <f>SUM(C4:C99)</f>
        <v>4754265.9966777414</v>
      </c>
      <c r="D2" s="5">
        <f>SUM(D4:D99)</f>
        <v>4889018.3499999996</v>
      </c>
      <c r="E2" s="5">
        <f>C2-D2</f>
        <v>-134752.35332225822</v>
      </c>
      <c r="F2" s="6">
        <f>IFERROR(E2/D2, 0)</f>
        <v>-2.7562251494158991E-2</v>
      </c>
      <c r="G2" s="5">
        <f>SUM(G4:G99)</f>
        <v>5205397.0699999994</v>
      </c>
      <c r="H2" s="7">
        <f>C2-G2</f>
        <v>-451131.07332225796</v>
      </c>
      <c r="I2" s="6">
        <f>IFERROR(H2/G2, 0)</f>
        <v>-8.6666025138070396E-2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228805.5</v>
      </c>
      <c r="D4" s="37">
        <v>300659.90000000002</v>
      </c>
      <c r="E4" s="37">
        <f>IF(AND(ISNUMBER(C4),ISNUMBER(D4)), C4-D4, "")</f>
        <v>-71854.400000000023</v>
      </c>
      <c r="F4" s="38">
        <f>IFERROR(E4/D4, "")</f>
        <v>-0.23898897059434934</v>
      </c>
      <c r="G4" s="39">
        <v>258461.8</v>
      </c>
      <c r="H4" s="39">
        <f>IF(AND(ISNUMBER(C4),ISNUMBER(G4)), C4-G4, "")</f>
        <v>-29656.299999999988</v>
      </c>
      <c r="I4" s="40">
        <f>IFERROR(H4/G4, "")</f>
        <v>-0.11474152079727058</v>
      </c>
      <c r="J4" s="57"/>
      <c r="K4" s="57"/>
    </row>
    <row r="5" spans="1:11" ht="15.75">
      <c r="A5" s="49" t="str">
        <v>Barton Acres</v>
      </c>
      <c r="B5" s="50" t="str">
        <v>MA</v>
      </c>
      <c r="C5" s="43">
        <v>206045</v>
      </c>
      <c r="D5" s="44">
        <v>202434.1</v>
      </c>
      <c r="E5" s="44">
        <f t="shared" ref="E5:E24" si="0">IF(AND(ISNUMBER(C5),ISNUMBER(D5)), C5-D5, "")</f>
        <v>3610.8999999999942</v>
      </c>
      <c r="F5" s="45">
        <f>IFERROR(E5/D5, "")</f>
        <v>1.7837409803980624E-2</v>
      </c>
      <c r="G5" s="46">
        <v>209880.4</v>
      </c>
      <c r="H5" s="46">
        <f t="shared" ref="H5:H24" si="1">IF(AND(ISNUMBER(C5),ISNUMBER(G5)), C5-G5, "")</f>
        <v>-3835.3999999999942</v>
      </c>
      <c r="I5" s="45">
        <f t="shared" ref="I5:I24" si="2">IFERROR(H5/G5, "")</f>
        <v>-1.8274217125562913E-2</v>
      </c>
      <c r="J5" s="58" t="s">
        <v>160</v>
      </c>
      <c r="K5" s="58" t="s">
        <v>161</v>
      </c>
    </row>
    <row r="6" spans="1:11" ht="15.75">
      <c r="A6" s="51" t="str">
        <v>Bowden</v>
      </c>
      <c r="B6" s="48" t="str">
        <v>MA</v>
      </c>
      <c r="C6" s="36">
        <v>402694</v>
      </c>
      <c r="D6" s="37">
        <v>402514.3</v>
      </c>
      <c r="E6" s="37">
        <f t="shared" si="0"/>
        <v>179.70000000001164</v>
      </c>
      <c r="F6" s="38">
        <f t="shared" ref="F6:F24" si="3">IFERROR(E6/D6, "")</f>
        <v>4.4644376609728314E-4</v>
      </c>
      <c r="G6" s="39">
        <v>403575.3</v>
      </c>
      <c r="H6" s="39">
        <f t="shared" si="1"/>
        <v>-881.29999999998836</v>
      </c>
      <c r="I6" s="40">
        <f t="shared" si="2"/>
        <v>-2.1837312640292615E-3</v>
      </c>
      <c r="J6" s="57" t="s">
        <v>162</v>
      </c>
      <c r="K6" s="57" t="s">
        <v>163</v>
      </c>
    </row>
    <row r="7" spans="1:11" ht="15.75">
      <c r="A7" s="49" t="str">
        <v>Blair Wire Village</v>
      </c>
      <c r="B7" s="50" t="str">
        <v>MA</v>
      </c>
      <c r="C7" s="43">
        <v>191619</v>
      </c>
      <c r="D7" s="44">
        <v>198267.5</v>
      </c>
      <c r="E7" s="44">
        <f t="shared" si="0"/>
        <v>-6648.5</v>
      </c>
      <c r="F7" s="45">
        <f t="shared" si="3"/>
        <v>-3.353297943435006E-2</v>
      </c>
      <c r="G7" s="46">
        <v>201927.5</v>
      </c>
      <c r="H7" s="46">
        <f t="shared" si="1"/>
        <v>-10308.5</v>
      </c>
      <c r="I7" s="45">
        <f t="shared" si="2"/>
        <v>-5.1050500798553937E-2</v>
      </c>
      <c r="J7" s="58"/>
      <c r="K7" s="59"/>
    </row>
    <row r="8" spans="1:11" ht="15.75">
      <c r="A8" s="51" t="str">
        <v>Boutilier</v>
      </c>
      <c r="B8" s="48" t="str">
        <v>MA</v>
      </c>
      <c r="C8" s="36">
        <v>539456</v>
      </c>
      <c r="D8" s="37">
        <v>515865.5</v>
      </c>
      <c r="E8" s="37">
        <f t="shared" si="0"/>
        <v>23590.5</v>
      </c>
      <c r="F8" s="38">
        <f t="shared" si="3"/>
        <v>4.5729943173172076E-2</v>
      </c>
      <c r="G8" s="39">
        <v>576146.19999999995</v>
      </c>
      <c r="H8" s="39">
        <f t="shared" si="1"/>
        <v>-36690.199999999953</v>
      </c>
      <c r="I8" s="40">
        <f t="shared" si="2"/>
        <v>-6.3682100133611849E-2</v>
      </c>
      <c r="J8" s="57"/>
      <c r="K8" s="57"/>
    </row>
    <row r="9" spans="1:11" ht="15.75">
      <c r="A9" s="49" t="str">
        <v>Cherry Valley</v>
      </c>
      <c r="B9" s="50" t="str">
        <v>MA</v>
      </c>
      <c r="C9" s="43">
        <v>179659</v>
      </c>
      <c r="D9" s="44">
        <v>189584.3</v>
      </c>
      <c r="E9" s="44">
        <f t="shared" si="0"/>
        <v>-9925.2999999999884</v>
      </c>
      <c r="F9" s="45">
        <f t="shared" si="3"/>
        <v>-5.2352963826645928E-2</v>
      </c>
      <c r="G9" s="46">
        <v>206366</v>
      </c>
      <c r="H9" s="46">
        <f t="shared" si="1"/>
        <v>-26707</v>
      </c>
      <c r="I9" s="45">
        <f t="shared" si="2"/>
        <v>-0.12941569832239808</v>
      </c>
      <c r="J9" s="58"/>
      <c r="K9" s="59"/>
    </row>
    <row r="10" spans="1:11" ht="15.75">
      <c r="A10" s="51" t="str">
        <v>Cohasse</v>
      </c>
      <c r="B10" s="48" t="str">
        <v>MA</v>
      </c>
      <c r="C10" s="36">
        <v>173632</v>
      </c>
      <c r="D10" s="37">
        <v>170023.8</v>
      </c>
      <c r="E10" s="37">
        <f t="shared" si="0"/>
        <v>3608.2000000000116</v>
      </c>
      <c r="F10" s="38">
        <f t="shared" si="3"/>
        <v>2.1221734839475485E-2</v>
      </c>
      <c r="G10" s="39">
        <v>202694.9</v>
      </c>
      <c r="H10" s="39">
        <f t="shared" si="1"/>
        <v>-29062.899999999994</v>
      </c>
      <c r="I10" s="40">
        <f t="shared" si="2"/>
        <v>-0.14338249260341526</v>
      </c>
      <c r="J10" s="57"/>
      <c r="K10" s="57"/>
    </row>
    <row r="11" spans="1:11" ht="57">
      <c r="A11" s="49" t="str">
        <v>ISM Dighton Solar 2</v>
      </c>
      <c r="B11" s="50" t="str">
        <v>MA</v>
      </c>
      <c r="C11" s="43">
        <v>378895</v>
      </c>
      <c r="D11" s="44">
        <v>363256.1</v>
      </c>
      <c r="E11" s="44">
        <f t="shared" si="0"/>
        <v>15638.900000000023</v>
      </c>
      <c r="F11" s="45">
        <f t="shared" si="3"/>
        <v>4.3051995548044543E-2</v>
      </c>
      <c r="G11" s="46">
        <v>394151.3</v>
      </c>
      <c r="H11" s="46">
        <f t="shared" si="1"/>
        <v>-15256.299999999988</v>
      </c>
      <c r="I11" s="45">
        <f t="shared" si="2"/>
        <v>-3.8706709834522908E-2</v>
      </c>
      <c r="J11" s="58" t="s">
        <v>164</v>
      </c>
      <c r="K11" s="59" t="s">
        <v>165</v>
      </c>
    </row>
    <row r="12" spans="1:11" ht="15.75">
      <c r="A12" s="51" t="str">
        <v>Dudley River 1</v>
      </c>
      <c r="B12" s="48" t="str">
        <v>MA</v>
      </c>
      <c r="C12" s="36">
        <v>190017</v>
      </c>
      <c r="D12" s="37">
        <v>203395.5</v>
      </c>
      <c r="E12" s="37">
        <f t="shared" si="0"/>
        <v>-13378.5</v>
      </c>
      <c r="F12" s="38">
        <f t="shared" si="3"/>
        <v>-6.5775791499811942E-2</v>
      </c>
      <c r="G12" s="39">
        <v>203502.1</v>
      </c>
      <c r="H12" s="39">
        <f t="shared" si="1"/>
        <v>-13485.100000000006</v>
      </c>
      <c r="I12" s="40">
        <f t="shared" si="2"/>
        <v>-6.6265163848432063E-2</v>
      </c>
      <c r="J12" s="57"/>
      <c r="K12" s="57"/>
    </row>
    <row r="13" spans="1:11" ht="15.75">
      <c r="A13" s="49" t="str">
        <v>Dudley River 2</v>
      </c>
      <c r="B13" s="50" t="str">
        <v>MA</v>
      </c>
      <c r="C13" s="43">
        <v>180465</v>
      </c>
      <c r="D13" s="44">
        <v>188550.7</v>
      </c>
      <c r="E13" s="44">
        <f t="shared" si="0"/>
        <v>-8085.7000000000116</v>
      </c>
      <c r="F13" s="45">
        <f t="shared" si="3"/>
        <v>-4.2883426049333206E-2</v>
      </c>
      <c r="G13" s="46">
        <v>192924.9</v>
      </c>
      <c r="H13" s="46">
        <f t="shared" si="1"/>
        <v>-12459.899999999994</v>
      </c>
      <c r="I13" s="45">
        <f t="shared" si="2"/>
        <v>-6.4584198307216928E-2</v>
      </c>
      <c r="J13" s="58"/>
      <c r="K13" s="59"/>
    </row>
    <row r="14" spans="1:11" ht="15.75">
      <c r="A14" s="51" t="str">
        <v>Dudley River 3</v>
      </c>
      <c r="B14" s="48" t="str">
        <v>MA</v>
      </c>
      <c r="C14" s="36">
        <v>184594</v>
      </c>
      <c r="D14" s="37">
        <v>185009.5</v>
      </c>
      <c r="E14" s="37">
        <f t="shared" si="0"/>
        <v>-415.5</v>
      </c>
      <c r="F14" s="38">
        <f t="shared" si="3"/>
        <v>-2.245830619508728E-3</v>
      </c>
      <c r="G14" s="39">
        <v>195826.1</v>
      </c>
      <c r="H14" s="39">
        <f t="shared" si="1"/>
        <v>-11232.100000000006</v>
      </c>
      <c r="I14" s="40">
        <f t="shared" si="2"/>
        <v>-5.735752282254513E-2</v>
      </c>
      <c r="J14" s="57"/>
      <c r="K14" s="57"/>
    </row>
    <row r="15" spans="1:11" ht="15.75">
      <c r="A15" s="49" t="str">
        <v>Flint Pond</v>
      </c>
      <c r="B15" s="50" t="str">
        <v>MA</v>
      </c>
      <c r="C15" s="43">
        <v>89346</v>
      </c>
      <c r="D15" s="44">
        <v>71133.05</v>
      </c>
      <c r="E15" s="44">
        <f t="shared" si="0"/>
        <v>18212.949999999997</v>
      </c>
      <c r="F15" s="45">
        <f t="shared" si="3"/>
        <v>0.25604061684406892</v>
      </c>
      <c r="G15" s="46">
        <v>98164.02</v>
      </c>
      <c r="H15" s="46">
        <f t="shared" si="1"/>
        <v>-8818.0200000000041</v>
      </c>
      <c r="I15" s="45">
        <f t="shared" si="2"/>
        <v>-8.9829450749877637E-2</v>
      </c>
      <c r="J15" s="58"/>
      <c r="K15" s="59"/>
    </row>
    <row r="16" spans="1:11" ht="15.75">
      <c r="A16" s="51" t="str">
        <v>Incom</v>
      </c>
      <c r="B16" s="48" t="str">
        <v>MA</v>
      </c>
      <c r="C16" s="36">
        <v>401853</v>
      </c>
      <c r="D16" s="37">
        <v>433308.5</v>
      </c>
      <c r="E16" s="37">
        <f t="shared" si="0"/>
        <v>-31455.5</v>
      </c>
      <c r="F16" s="38">
        <f t="shared" si="3"/>
        <v>-7.2593775566368993E-2</v>
      </c>
      <c r="G16" s="39">
        <v>416485.6</v>
      </c>
      <c r="H16" s="39">
        <f t="shared" si="1"/>
        <v>-14632.599999999977</v>
      </c>
      <c r="I16" s="40">
        <f t="shared" si="2"/>
        <v>-3.5133507617070021E-2</v>
      </c>
      <c r="J16" s="57"/>
      <c r="K16" s="57"/>
    </row>
    <row r="17" spans="1:11" ht="15.75">
      <c r="A17" s="49" t="str">
        <v>JH</v>
      </c>
      <c r="B17" s="50" t="str">
        <v>MA</v>
      </c>
      <c r="C17" s="43">
        <v>179742</v>
      </c>
      <c r="D17" s="44">
        <v>180766.8</v>
      </c>
      <c r="E17" s="44">
        <f t="shared" si="0"/>
        <v>-1024.7999999999884</v>
      </c>
      <c r="F17" s="45">
        <f t="shared" si="3"/>
        <v>-5.6691826153917003E-3</v>
      </c>
      <c r="G17" s="46">
        <v>201953</v>
      </c>
      <c r="H17" s="46">
        <f t="shared" si="1"/>
        <v>-22211</v>
      </c>
      <c r="I17" s="45">
        <f t="shared" si="2"/>
        <v>-0.10998103519135641</v>
      </c>
      <c r="J17" s="58"/>
      <c r="K17" s="59"/>
    </row>
    <row r="18" spans="1:11" ht="12.75" customHeight="1">
      <c r="A18" s="51" t="str">
        <v>Ledeaux</v>
      </c>
      <c r="B18" s="48" t="str">
        <v>MA</v>
      </c>
      <c r="C18" s="36">
        <v>166263</v>
      </c>
      <c r="D18" s="37">
        <v>181159.8</v>
      </c>
      <c r="E18" s="37">
        <f t="shared" si="0"/>
        <v>-14896.799999999988</v>
      </c>
      <c r="F18" s="38">
        <f t="shared" si="3"/>
        <v>-8.2230163645576934E-2</v>
      </c>
      <c r="G18" s="39">
        <v>198092.6</v>
      </c>
      <c r="H18" s="39">
        <f t="shared" si="1"/>
        <v>-31829.600000000006</v>
      </c>
      <c r="I18" s="40">
        <f t="shared" si="2"/>
        <v>-0.16068040906121686</v>
      </c>
      <c r="J18" s="57"/>
      <c r="K18" s="57"/>
    </row>
    <row r="19" spans="1:11" ht="28.5">
      <c r="A19" s="49" t="str">
        <v>Palombo A</v>
      </c>
      <c r="B19" s="50" t="str">
        <v>MA</v>
      </c>
      <c r="C19" s="43">
        <v>357375.996677741</v>
      </c>
      <c r="D19" s="44">
        <v>359261.5</v>
      </c>
      <c r="E19" s="44">
        <f t="shared" si="0"/>
        <v>-1885.5033222589991</v>
      </c>
      <c r="F19" s="45">
        <f t="shared" si="3"/>
        <v>-5.2482754825078646E-3</v>
      </c>
      <c r="G19" s="46">
        <v>414569</v>
      </c>
      <c r="H19" s="46">
        <f t="shared" si="1"/>
        <v>-57193.003322258999</v>
      </c>
      <c r="I19" s="45">
        <f t="shared" si="2"/>
        <v>-0.13795774243192085</v>
      </c>
      <c r="J19" s="58" t="s">
        <v>166</v>
      </c>
      <c r="K19" s="70" t="s">
        <v>167</v>
      </c>
    </row>
    <row r="20" spans="1:11" ht="28.5">
      <c r="A20" s="51" t="str">
        <v>Palombo B</v>
      </c>
      <c r="B20" s="48" t="str">
        <v>MA</v>
      </c>
      <c r="C20" s="36">
        <v>177890</v>
      </c>
      <c r="D20" s="37">
        <v>156647.29999999999</v>
      </c>
      <c r="E20" s="37">
        <f t="shared" si="0"/>
        <v>21242.700000000012</v>
      </c>
      <c r="F20" s="38">
        <f t="shared" si="3"/>
        <v>0.13560846564224224</v>
      </c>
      <c r="G20" s="39">
        <v>218506.6</v>
      </c>
      <c r="H20" s="39">
        <f t="shared" si="1"/>
        <v>-40616.600000000006</v>
      </c>
      <c r="I20" s="40">
        <f t="shared" si="2"/>
        <v>-0.18588271475552687</v>
      </c>
      <c r="J20" s="57" t="s">
        <v>168</v>
      </c>
      <c r="K20" s="57" t="s">
        <v>167</v>
      </c>
    </row>
    <row r="21" spans="1:11" ht="71.25">
      <c r="A21" s="49" t="str">
        <v>St Josephs Church</v>
      </c>
      <c r="B21" s="50" t="str">
        <v>MA</v>
      </c>
      <c r="C21" s="43">
        <v>156805</v>
      </c>
      <c r="D21" s="44">
        <v>199847.5</v>
      </c>
      <c r="E21" s="44">
        <f t="shared" si="0"/>
        <v>-43042.5</v>
      </c>
      <c r="F21" s="45">
        <f t="shared" si="3"/>
        <v>-0.21537672475262387</v>
      </c>
      <c r="G21" s="46">
        <v>201655.6</v>
      </c>
      <c r="H21" s="46">
        <f t="shared" si="1"/>
        <v>-44850.600000000006</v>
      </c>
      <c r="I21" s="45">
        <f t="shared" si="2"/>
        <v>-0.22241187450286531</v>
      </c>
      <c r="J21" s="67" t="s">
        <v>169</v>
      </c>
      <c r="K21" s="68" t="s">
        <v>170</v>
      </c>
    </row>
    <row r="22" spans="1:11" ht="15.75">
      <c r="A22" s="51" t="str">
        <v>Sunset A</v>
      </c>
      <c r="B22" s="48" t="str">
        <v>MA</v>
      </c>
      <c r="C22" s="36">
        <v>93225</v>
      </c>
      <c r="D22" s="37">
        <v>97708.73</v>
      </c>
      <c r="E22" s="37">
        <f t="shared" si="0"/>
        <v>-4483.7299999999959</v>
      </c>
      <c r="F22" s="38">
        <f t="shared" si="3"/>
        <v>-4.5888734814176747E-2</v>
      </c>
      <c r="G22" s="39">
        <v>98814.91</v>
      </c>
      <c r="H22" s="39">
        <f t="shared" si="1"/>
        <v>-5589.9100000000035</v>
      </c>
      <c r="I22" s="40">
        <f t="shared" si="2"/>
        <v>-5.6569499481404203E-2</v>
      </c>
      <c r="J22" s="57"/>
      <c r="K22" s="57"/>
    </row>
    <row r="23" spans="1:11" ht="15.75">
      <c r="A23" s="49" t="str">
        <v>Sunset B</v>
      </c>
      <c r="B23" s="50" t="str">
        <v>MA</v>
      </c>
      <c r="C23" s="43">
        <v>88999.5</v>
      </c>
      <c r="D23" s="44">
        <v>92907.27</v>
      </c>
      <c r="E23" s="44">
        <f t="shared" si="0"/>
        <v>-3907.7700000000041</v>
      </c>
      <c r="F23" s="45">
        <f t="shared" si="3"/>
        <v>-4.2060971116684449E-2</v>
      </c>
      <c r="G23" s="46">
        <v>97627.64</v>
      </c>
      <c r="H23" s="46">
        <f t="shared" si="1"/>
        <v>-8628.14</v>
      </c>
      <c r="I23" s="45">
        <f t="shared" si="2"/>
        <v>-8.8378045397799226E-2</v>
      </c>
      <c r="J23" s="58"/>
      <c r="K23" s="59"/>
    </row>
    <row r="24" spans="1:11" ht="15.75">
      <c r="A24" s="51" t="str">
        <v>Woodchuck</v>
      </c>
      <c r="B24" s="48" t="str">
        <v>MA</v>
      </c>
      <c r="C24" s="36">
        <v>186885</v>
      </c>
      <c r="D24" s="37">
        <v>196716.7</v>
      </c>
      <c r="E24" s="37">
        <f t="shared" si="0"/>
        <v>-9831.7000000000116</v>
      </c>
      <c r="F24" s="38">
        <f t="shared" si="3"/>
        <v>-4.9978979923921106E-2</v>
      </c>
      <c r="G24" s="39">
        <v>214071.6</v>
      </c>
      <c r="H24" s="39">
        <f t="shared" si="1"/>
        <v>-27186.600000000006</v>
      </c>
      <c r="I24" s="40">
        <f t="shared" si="2"/>
        <v>-0.12699769609794109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9 I4:I9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1"/>
  <sheetViews>
    <sheetView zoomScale="80" zoomScaleNormal="80" workbookViewId="0">
      <pane xSplit="2" ySplit="3" topLeftCell="C18" activePane="bottomRight" state="frozen"/>
      <selection pane="bottomRight" activeCell="A18" sqref="A18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5" t="str" cm="1">
        <f t="array" ref="A1">portfolio</f>
        <v>38 DN</v>
      </c>
      <c r="B1" s="85"/>
      <c r="C1" s="85"/>
      <c r="D1" s="86" t="s">
        <v>171</v>
      </c>
      <c r="E1" s="86"/>
      <c r="F1" s="86"/>
      <c r="G1" s="84" t="s">
        <v>172</v>
      </c>
      <c r="H1" s="84"/>
      <c r="I1" s="84"/>
      <c r="J1" s="4"/>
      <c r="K1" s="4"/>
    </row>
    <row r="2" spans="1:11" ht="19.5" customHeight="1">
      <c r="A2" s="87" t="s">
        <v>2</v>
      </c>
      <c r="B2" s="87"/>
      <c r="C2" s="5">
        <f>SUM(C4:C99)</f>
        <v>4385096.75</v>
      </c>
      <c r="D2" s="5">
        <f>SUM(D4:D99)</f>
        <v>4515229.0299999993</v>
      </c>
      <c r="E2" s="5">
        <f>C2-D2</f>
        <v>-130132.27999999933</v>
      </c>
      <c r="F2" s="6">
        <f>IFERROR(E2/D2, 0)</f>
        <v>-2.8820748434991203E-2</v>
      </c>
      <c r="G2" s="5">
        <f>SUM(G4:G99)</f>
        <v>4808339.2899999991</v>
      </c>
      <c r="H2" s="7">
        <f>C2-G2</f>
        <v>-423242.53999999911</v>
      </c>
      <c r="I2" s="6">
        <f>IFERROR(H2/G2, 0)</f>
        <v>-8.8022602914113235E-2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206169.5</v>
      </c>
      <c r="D4" s="37">
        <v>263651.7</v>
      </c>
      <c r="E4" s="37">
        <f>IF(AND(ISNUMBER(C4),ISNUMBER(D4)), C4-D4, "")</f>
        <v>-57482.200000000012</v>
      </c>
      <c r="F4" s="38">
        <f>IFERROR(E4/D4, "")</f>
        <v>-0.21802324809587803</v>
      </c>
      <c r="G4" s="39">
        <v>264475.3</v>
      </c>
      <c r="H4" s="39">
        <f>IF(AND(ISNUMBER(C4),ISNUMBER(G4)), C4-G4, "")</f>
        <v>-58305.799999999988</v>
      </c>
      <c r="I4" s="40">
        <f>IFERROR(H4/G4, "")</f>
        <v>-0.22045839441339132</v>
      </c>
      <c r="J4" s="57"/>
      <c r="K4" s="57"/>
    </row>
    <row r="5" spans="1:11" ht="15.75">
      <c r="A5" s="49" t="str">
        <v>Barton Acres</v>
      </c>
      <c r="B5" s="50" t="str">
        <v>MA</v>
      </c>
      <c r="C5" s="43">
        <v>178930</v>
      </c>
      <c r="D5" s="44">
        <v>180723.20000000001</v>
      </c>
      <c r="E5" s="44">
        <f t="shared" ref="E5:E24" si="0">IF(AND(ISNUMBER(C5),ISNUMBER(D5)), C5-D5, "")</f>
        <v>-1793.2000000000116</v>
      </c>
      <c r="F5" s="45">
        <f>IFERROR(E5/D5, "")</f>
        <v>-9.9223563991784752E-3</v>
      </c>
      <c r="G5" s="46">
        <v>181468.1</v>
      </c>
      <c r="H5" s="46">
        <f t="shared" ref="H5:H24" si="1">IF(AND(ISNUMBER(C5),ISNUMBER(G5)), C5-G5, "")</f>
        <v>-2538.1000000000058</v>
      </c>
      <c r="I5" s="45">
        <f t="shared" ref="I5:I24" si="2">IFERROR(H5/G5, "")</f>
        <v>-1.3986480268432886E-2</v>
      </c>
      <c r="J5" s="58" t="s">
        <v>173</v>
      </c>
      <c r="K5" s="58" t="s">
        <v>174</v>
      </c>
    </row>
    <row r="6" spans="1:11" ht="15.75">
      <c r="A6" s="51" t="str">
        <v>Bowden</v>
      </c>
      <c r="B6" s="48" t="str">
        <v>MA</v>
      </c>
      <c r="C6" s="36">
        <v>356723</v>
      </c>
      <c r="D6" s="37">
        <v>359152.2</v>
      </c>
      <c r="E6" s="37">
        <f t="shared" si="0"/>
        <v>-2429.2000000000116</v>
      </c>
      <c r="F6" s="38">
        <f t="shared" ref="F6:F24" si="3">IFERROR(E6/D6, "")</f>
        <v>-6.7637063061287434E-3</v>
      </c>
      <c r="G6" s="39">
        <v>392110.6</v>
      </c>
      <c r="H6" s="39">
        <f t="shared" si="1"/>
        <v>-35387.599999999977</v>
      </c>
      <c r="I6" s="40">
        <f t="shared" si="2"/>
        <v>-9.0249026677677105E-2</v>
      </c>
      <c r="J6" s="57"/>
      <c r="K6" s="57"/>
    </row>
    <row r="7" spans="1:11" ht="15.75">
      <c r="A7" s="49" t="str">
        <v>Blair Wire Village</v>
      </c>
      <c r="B7" s="50" t="str">
        <v>MA</v>
      </c>
      <c r="C7" s="43">
        <v>174451</v>
      </c>
      <c r="D7" s="44">
        <v>182467.3</v>
      </c>
      <c r="E7" s="44">
        <f t="shared" si="0"/>
        <v>-8016.2999999999884</v>
      </c>
      <c r="F7" s="45">
        <f t="shared" si="3"/>
        <v>-4.3932803302290269E-2</v>
      </c>
      <c r="G7" s="46">
        <v>197145.4</v>
      </c>
      <c r="H7" s="46">
        <f t="shared" si="1"/>
        <v>-22694.399999999994</v>
      </c>
      <c r="I7" s="45">
        <f t="shared" si="2"/>
        <v>-0.1151150369219875</v>
      </c>
      <c r="J7" s="58"/>
      <c r="K7" s="59"/>
    </row>
    <row r="8" spans="1:11" ht="15.75">
      <c r="A8" s="51" t="str">
        <v>Boutilier</v>
      </c>
      <c r="B8" s="48" t="str">
        <v>MA</v>
      </c>
      <c r="C8" s="36">
        <v>489664</v>
      </c>
      <c r="D8" s="37">
        <v>476799.1</v>
      </c>
      <c r="E8" s="37">
        <f t="shared" si="0"/>
        <v>12864.900000000023</v>
      </c>
      <c r="F8" s="38">
        <f t="shared" si="3"/>
        <v>2.6981804286123911E-2</v>
      </c>
      <c r="G8" s="39">
        <v>498149.7</v>
      </c>
      <c r="H8" s="39">
        <f t="shared" si="1"/>
        <v>-8485.7000000000116</v>
      </c>
      <c r="I8" s="40">
        <f t="shared" si="2"/>
        <v>-1.7034437639930348E-2</v>
      </c>
      <c r="J8" s="57"/>
      <c r="K8" s="57"/>
    </row>
    <row r="9" spans="1:11" ht="15.75">
      <c r="A9" s="49" t="str">
        <v>Cherry Valley</v>
      </c>
      <c r="B9" s="50" t="str">
        <v>MA</v>
      </c>
      <c r="C9" s="43">
        <v>166609</v>
      </c>
      <c r="D9" s="44">
        <v>175604.3</v>
      </c>
      <c r="E9" s="44">
        <f t="shared" si="0"/>
        <v>-8995.2999999999884</v>
      </c>
      <c r="F9" s="45">
        <f t="shared" si="3"/>
        <v>-5.1224827638047525E-2</v>
      </c>
      <c r="G9" s="46">
        <v>181160</v>
      </c>
      <c r="H9" s="46">
        <f t="shared" si="1"/>
        <v>-14551</v>
      </c>
      <c r="I9" s="45">
        <f t="shared" si="2"/>
        <v>-8.032126297195849E-2</v>
      </c>
      <c r="J9" s="58"/>
      <c r="K9" s="59"/>
    </row>
    <row r="10" spans="1:11" ht="15.75">
      <c r="A10" s="51" t="str">
        <v>Cohasse</v>
      </c>
      <c r="B10" s="48" t="str">
        <v>MA</v>
      </c>
      <c r="C10" s="36">
        <v>154477</v>
      </c>
      <c r="D10" s="37">
        <v>159019.20000000001</v>
      </c>
      <c r="E10" s="37">
        <f t="shared" si="0"/>
        <v>-4542.2000000000116</v>
      </c>
      <c r="F10" s="38">
        <f t="shared" si="3"/>
        <v>-2.8563846378299045E-2</v>
      </c>
      <c r="G10" s="39">
        <v>187522.9</v>
      </c>
      <c r="H10" s="39">
        <f t="shared" si="1"/>
        <v>-33045.899999999994</v>
      </c>
      <c r="I10" s="40">
        <f t="shared" si="2"/>
        <v>-0.17622327726373682</v>
      </c>
      <c r="J10" s="57"/>
      <c r="K10" s="57"/>
    </row>
    <row r="11" spans="1:11" ht="63">
      <c r="A11" s="49" t="str">
        <v>ISM Dighton Solar 2</v>
      </c>
      <c r="B11" s="50" t="str">
        <v>MA</v>
      </c>
      <c r="C11" s="43">
        <v>376685</v>
      </c>
      <c r="D11" s="44">
        <v>369618.1</v>
      </c>
      <c r="E11" s="44">
        <f t="shared" si="0"/>
        <v>7066.9000000000233</v>
      </c>
      <c r="F11" s="45">
        <f t="shared" si="3"/>
        <v>1.9119464117152336E-2</v>
      </c>
      <c r="G11" s="46">
        <v>376887.9</v>
      </c>
      <c r="H11" s="46">
        <f t="shared" si="1"/>
        <v>-202.90000000002328</v>
      </c>
      <c r="I11" s="45">
        <f t="shared" si="2"/>
        <v>-5.3835636538085538E-4</v>
      </c>
      <c r="J11" s="58" t="s">
        <v>175</v>
      </c>
      <c r="K11" s="59" t="s">
        <v>176</v>
      </c>
    </row>
    <row r="12" spans="1:11" ht="28.5">
      <c r="A12" s="51" t="str">
        <v>Dudley River 1</v>
      </c>
      <c r="B12" s="48" t="str">
        <v>MA</v>
      </c>
      <c r="C12" s="36">
        <v>171452</v>
      </c>
      <c r="D12" s="37">
        <v>146757.9</v>
      </c>
      <c r="E12" s="37">
        <f t="shared" si="0"/>
        <v>24694.100000000006</v>
      </c>
      <c r="F12" s="38">
        <f t="shared" si="3"/>
        <v>0.1682641956582917</v>
      </c>
      <c r="G12" s="39">
        <v>198232.4</v>
      </c>
      <c r="H12" s="39">
        <f t="shared" si="1"/>
        <v>-26780.399999999994</v>
      </c>
      <c r="I12" s="40">
        <f t="shared" si="2"/>
        <v>-0.13509597825582495</v>
      </c>
      <c r="J12" s="57" t="s">
        <v>177</v>
      </c>
      <c r="K12" s="57" t="s">
        <v>178</v>
      </c>
    </row>
    <row r="13" spans="1:11" ht="15.75">
      <c r="A13" s="49" t="str">
        <v>Dudley River 2</v>
      </c>
      <c r="B13" s="50" t="str">
        <v>MA</v>
      </c>
      <c r="C13" s="43">
        <v>163393</v>
      </c>
      <c r="D13" s="44">
        <v>169048.7</v>
      </c>
      <c r="E13" s="44">
        <f t="shared" si="0"/>
        <v>-5655.7000000000116</v>
      </c>
      <c r="F13" s="45">
        <f t="shared" si="3"/>
        <v>-3.3456039590958178E-2</v>
      </c>
      <c r="G13" s="46">
        <v>189073</v>
      </c>
      <c r="H13" s="46">
        <f t="shared" si="1"/>
        <v>-25680</v>
      </c>
      <c r="I13" s="45">
        <f t="shared" si="2"/>
        <v>-0.1358205560815135</v>
      </c>
      <c r="J13" s="58" t="s">
        <v>179</v>
      </c>
      <c r="K13" s="59" t="s">
        <v>180</v>
      </c>
    </row>
    <row r="14" spans="1:11" ht="15.75">
      <c r="A14" s="51" t="str">
        <v>Dudley River 3</v>
      </c>
      <c r="B14" s="48" t="str">
        <v>MA</v>
      </c>
      <c r="C14" s="36">
        <v>156699</v>
      </c>
      <c r="D14" s="37">
        <v>170843.5</v>
      </c>
      <c r="E14" s="37">
        <f t="shared" si="0"/>
        <v>-14144.5</v>
      </c>
      <c r="F14" s="38">
        <f t="shared" si="3"/>
        <v>-8.2792146028382696E-2</v>
      </c>
      <c r="G14" s="39">
        <v>191489.6</v>
      </c>
      <c r="H14" s="39">
        <f t="shared" si="1"/>
        <v>-34790.600000000006</v>
      </c>
      <c r="I14" s="40">
        <f t="shared" si="2"/>
        <v>-0.1816840183487772</v>
      </c>
      <c r="J14" s="57" t="s">
        <v>181</v>
      </c>
      <c r="K14" s="57" t="s">
        <v>182</v>
      </c>
    </row>
    <row r="15" spans="1:11" ht="15.75">
      <c r="A15" s="49" t="str">
        <v>Flint Pond</v>
      </c>
      <c r="B15" s="50" t="str">
        <v>MA</v>
      </c>
      <c r="C15" s="43">
        <v>82426</v>
      </c>
      <c r="D15" s="44">
        <v>70678.77</v>
      </c>
      <c r="E15" s="44">
        <f t="shared" si="0"/>
        <v>11747.229999999996</v>
      </c>
      <c r="F15" s="45">
        <f t="shared" si="3"/>
        <v>0.16620592010868321</v>
      </c>
      <c r="G15" s="46">
        <v>84965.07</v>
      </c>
      <c r="H15" s="46">
        <f t="shared" si="1"/>
        <v>-2539.070000000007</v>
      </c>
      <c r="I15" s="45">
        <f t="shared" si="2"/>
        <v>-2.9883692204337696E-2</v>
      </c>
      <c r="J15" s="58"/>
      <c r="K15" s="59"/>
    </row>
    <row r="16" spans="1:11" ht="15.75">
      <c r="A16" s="51" t="str">
        <v>Incom</v>
      </c>
      <c r="B16" s="48" t="str">
        <v>MA</v>
      </c>
      <c r="C16" s="36">
        <v>366840</v>
      </c>
      <c r="D16" s="37">
        <v>393436.5</v>
      </c>
      <c r="E16" s="37">
        <f t="shared" si="0"/>
        <v>-26596.5</v>
      </c>
      <c r="F16" s="38">
        <f t="shared" si="3"/>
        <v>-6.7600489532618352E-2</v>
      </c>
      <c r="G16" s="39">
        <v>383875.8</v>
      </c>
      <c r="H16" s="39">
        <f t="shared" si="1"/>
        <v>-17035.799999999988</v>
      </c>
      <c r="I16" s="40">
        <f t="shared" si="2"/>
        <v>-4.437841614397154E-2</v>
      </c>
      <c r="J16" s="57"/>
      <c r="K16" s="57"/>
    </row>
    <row r="17" spans="1:11" ht="15.75">
      <c r="A17" s="49" t="str">
        <v>JH</v>
      </c>
      <c r="B17" s="50" t="str">
        <v>MA</v>
      </c>
      <c r="C17" s="43">
        <v>160100</v>
      </c>
      <c r="D17" s="44">
        <v>170636.1</v>
      </c>
      <c r="E17" s="44">
        <f t="shared" si="0"/>
        <v>-10536.100000000006</v>
      </c>
      <c r="F17" s="45">
        <f t="shared" si="3"/>
        <v>-6.1746019746114718E-2</v>
      </c>
      <c r="G17" s="46">
        <v>183763</v>
      </c>
      <c r="H17" s="46">
        <f t="shared" si="1"/>
        <v>-23663</v>
      </c>
      <c r="I17" s="45">
        <f t="shared" si="2"/>
        <v>-0.12876912109619457</v>
      </c>
      <c r="J17" s="58"/>
      <c r="K17" s="59"/>
    </row>
    <row r="18" spans="1:11" ht="12.75" customHeight="1">
      <c r="A18" s="51" t="str">
        <v>Ledeaux</v>
      </c>
      <c r="B18" s="48" t="str">
        <v>MA</v>
      </c>
      <c r="C18" s="36">
        <v>146362</v>
      </c>
      <c r="D18" s="37">
        <v>161338.29999999999</v>
      </c>
      <c r="E18" s="37">
        <f t="shared" si="0"/>
        <v>-14976.299999999988</v>
      </c>
      <c r="F18" s="38">
        <f t="shared" si="3"/>
        <v>-9.2825448142195552E-2</v>
      </c>
      <c r="G18" s="39">
        <v>180042.2</v>
      </c>
      <c r="H18" s="39">
        <f t="shared" si="1"/>
        <v>-33680.200000000012</v>
      </c>
      <c r="I18" s="40">
        <f t="shared" si="2"/>
        <v>-0.18706836508329719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353999</v>
      </c>
      <c r="D19" s="44">
        <v>370497.6</v>
      </c>
      <c r="E19" s="44">
        <f t="shared" si="0"/>
        <v>-16498.599999999977</v>
      </c>
      <c r="F19" s="45">
        <f t="shared" si="3"/>
        <v>-4.453092273742118E-2</v>
      </c>
      <c r="G19" s="46">
        <v>387151</v>
      </c>
      <c r="H19" s="46">
        <f t="shared" si="1"/>
        <v>-33152</v>
      </c>
      <c r="I19" s="45">
        <f t="shared" si="2"/>
        <v>-8.5630671236804248E-2</v>
      </c>
      <c r="J19" s="58" t="s">
        <v>183</v>
      </c>
      <c r="K19" s="58" t="s">
        <v>182</v>
      </c>
    </row>
    <row r="20" spans="1:11" ht="15.75">
      <c r="A20" s="51" t="str">
        <v>Palombo B</v>
      </c>
      <c r="B20" s="48" t="str">
        <v>MA</v>
      </c>
      <c r="C20" s="36">
        <v>179265</v>
      </c>
      <c r="D20" s="37">
        <v>158947.5</v>
      </c>
      <c r="E20" s="37">
        <f t="shared" si="0"/>
        <v>20317.5</v>
      </c>
      <c r="F20" s="38">
        <f t="shared" si="3"/>
        <v>0.12782522531024396</v>
      </c>
      <c r="G20" s="39">
        <v>188793.60000000001</v>
      </c>
      <c r="H20" s="39">
        <f t="shared" si="1"/>
        <v>-9528.6000000000058</v>
      </c>
      <c r="I20" s="40">
        <f t="shared" si="2"/>
        <v>-5.0470990542052299E-2</v>
      </c>
      <c r="J20" s="57"/>
      <c r="K20" s="57"/>
    </row>
    <row r="21" spans="1:11" ht="15.75">
      <c r="A21" s="49" t="str">
        <v>St Josephs Church</v>
      </c>
      <c r="B21" s="50" t="str">
        <v>MA</v>
      </c>
      <c r="C21" s="43">
        <v>169269</v>
      </c>
      <c r="D21" s="44">
        <v>187694.1</v>
      </c>
      <c r="E21" s="44">
        <f t="shared" si="0"/>
        <v>-18425.100000000006</v>
      </c>
      <c r="F21" s="45">
        <f t="shared" si="3"/>
        <v>-9.8165578992626859E-2</v>
      </c>
      <c r="G21" s="46">
        <v>180633.60000000001</v>
      </c>
      <c r="H21" s="46">
        <f t="shared" si="1"/>
        <v>-11364.600000000006</v>
      </c>
      <c r="I21" s="45">
        <f t="shared" si="2"/>
        <v>-6.2915205144557854E-2</v>
      </c>
      <c r="J21" s="58"/>
      <c r="K21" s="59"/>
    </row>
    <row r="22" spans="1:11" ht="15.75">
      <c r="A22" s="51" t="str">
        <v>Sunset A</v>
      </c>
      <c r="B22" s="48" t="str">
        <v>MA</v>
      </c>
      <c r="C22" s="36">
        <v>83293.5</v>
      </c>
      <c r="D22" s="37">
        <v>91500.77</v>
      </c>
      <c r="E22" s="37">
        <f t="shared" si="0"/>
        <v>-8207.2700000000041</v>
      </c>
      <c r="F22" s="38">
        <f t="shared" si="3"/>
        <v>-8.9696185070355192E-2</v>
      </c>
      <c r="G22" s="39">
        <v>85437.62</v>
      </c>
      <c r="H22" s="39">
        <f t="shared" si="1"/>
        <v>-2144.1199999999953</v>
      </c>
      <c r="I22" s="40">
        <f t="shared" si="2"/>
        <v>-2.5095736515132274E-2</v>
      </c>
      <c r="J22" s="57"/>
      <c r="K22" s="57"/>
    </row>
    <row r="23" spans="1:11" ht="15.75">
      <c r="A23" s="49" t="str">
        <v>Sunset B</v>
      </c>
      <c r="B23" s="50" t="str">
        <v>MA</v>
      </c>
      <c r="C23" s="43">
        <v>78206.75</v>
      </c>
      <c r="D23" s="44">
        <v>80693.39</v>
      </c>
      <c r="E23" s="44">
        <f t="shared" si="0"/>
        <v>-2486.6399999999994</v>
      </c>
      <c r="F23" s="45">
        <f t="shared" si="3"/>
        <v>-3.0815906978254346E-2</v>
      </c>
      <c r="G23" s="46">
        <v>84411.3</v>
      </c>
      <c r="H23" s="46">
        <f t="shared" si="1"/>
        <v>-6204.5500000000029</v>
      </c>
      <c r="I23" s="45">
        <f t="shared" si="2"/>
        <v>-7.3503784445921372E-2</v>
      </c>
      <c r="J23" s="58"/>
      <c r="K23" s="59"/>
    </row>
    <row r="24" spans="1:11" ht="15.75">
      <c r="A24" s="51" t="str">
        <v>Woodchuck</v>
      </c>
      <c r="B24" s="48" t="str">
        <v>MA</v>
      </c>
      <c r="C24" s="36">
        <v>170083</v>
      </c>
      <c r="D24" s="37">
        <v>176120.8</v>
      </c>
      <c r="E24" s="37">
        <f t="shared" si="0"/>
        <v>-6037.7999999999884</v>
      </c>
      <c r="F24" s="38">
        <f t="shared" si="3"/>
        <v>-3.4282151795812808E-2</v>
      </c>
      <c r="G24" s="39">
        <v>191551.2</v>
      </c>
      <c r="H24" s="39">
        <f t="shared" si="1"/>
        <v>-21468.200000000012</v>
      </c>
      <c r="I24" s="40">
        <f t="shared" si="2"/>
        <v>-0.11207551819043687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 t="s">
        <v>184</v>
      </c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1"/>
  <sheetViews>
    <sheetView workbookViewId="0">
      <pane xSplit="2" ySplit="3" topLeftCell="F4" activePane="bottomRight" state="frozen"/>
      <selection pane="bottomRight" activeCell="F5" sqref="F5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5" t="str" cm="1">
        <f t="array" ref="A1">portfolio</f>
        <v>38 DN</v>
      </c>
      <c r="B1" s="85"/>
      <c r="C1" s="85"/>
      <c r="D1" s="86" t="s">
        <v>185</v>
      </c>
      <c r="E1" s="86"/>
      <c r="F1" s="86"/>
      <c r="G1" s="84" t="s">
        <v>186</v>
      </c>
      <c r="H1" s="84"/>
      <c r="I1" s="84"/>
      <c r="J1" s="4"/>
      <c r="K1" s="4"/>
    </row>
    <row r="2" spans="1:11" ht="19.5" customHeight="1">
      <c r="A2" s="87" t="s">
        <v>2</v>
      </c>
      <c r="B2" s="87"/>
      <c r="C2" s="5">
        <f>SUM(C4:C99)</f>
        <v>3866375.0033333381</v>
      </c>
      <c r="D2" s="5">
        <f>SUM(D4:D99)</f>
        <v>3966388.4299999992</v>
      </c>
      <c r="E2" s="5">
        <f>C2-D2</f>
        <v>-100013.42666666117</v>
      </c>
      <c r="F2" s="6">
        <f>IFERROR(E2/D2, 0)</f>
        <v>-2.5215237597559548E-2</v>
      </c>
      <c r="G2" s="5">
        <f>SUM(G4:G99)</f>
        <v>3980901.33</v>
      </c>
      <c r="H2" s="7">
        <f>C2-G2</f>
        <v>-114526.326666662</v>
      </c>
      <c r="I2" s="6">
        <f>IFERROR(H2/G2, 0)</f>
        <v>-2.8768943807673326E-2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157254</v>
      </c>
      <c r="D4" s="37">
        <v>196705.3</v>
      </c>
      <c r="E4" s="37">
        <f>IF(AND(ISNUMBER(C4),ISNUMBER(D4)), C4-D4, "")</f>
        <v>-39451.299999999988</v>
      </c>
      <c r="F4" s="38">
        <f>IFERROR(E4/D4, "")</f>
        <v>-0.20056043228118403</v>
      </c>
      <c r="G4" s="39">
        <v>225597.4</v>
      </c>
      <c r="H4" s="39">
        <f>IF(AND(ISNUMBER(C4),ISNUMBER(G4)), C4-G4, "")</f>
        <v>-68343.399999999994</v>
      </c>
      <c r="I4" s="40">
        <f>IFERROR(H4/G4, "")</f>
        <v>-0.30294409421385171</v>
      </c>
      <c r="J4" s="57"/>
      <c r="K4" s="57"/>
    </row>
    <row r="5" spans="1:11" ht="15.75">
      <c r="A5" s="49" t="str">
        <v>Barton Acres</v>
      </c>
      <c r="B5" s="50" t="str">
        <v>MA</v>
      </c>
      <c r="C5" s="43">
        <v>168880</v>
      </c>
      <c r="D5" s="44">
        <v>175298.2</v>
      </c>
      <c r="E5" s="44">
        <f t="shared" ref="E5:E24" si="0">IF(AND(ISNUMBER(C5),ISNUMBER(D5)), C5-D5, "")</f>
        <v>-6418.2000000000116</v>
      </c>
      <c r="F5" s="45">
        <f>IFERROR(E5/D5, "")</f>
        <v>-3.6613039951351532E-2</v>
      </c>
      <c r="G5" s="46">
        <v>140392.9</v>
      </c>
      <c r="H5" s="46">
        <f t="shared" ref="H5:H24" si="1">IF(AND(ISNUMBER(C5),ISNUMBER(G5)), C5-G5, "")</f>
        <v>28487.100000000006</v>
      </c>
      <c r="I5" s="45">
        <f t="shared" ref="I5:I24" si="2">IFERROR(H5/G5, "")</f>
        <v>0.20290983375939955</v>
      </c>
      <c r="J5" s="58"/>
      <c r="K5" s="58"/>
    </row>
    <row r="6" spans="1:11" ht="28.5">
      <c r="A6" s="51" t="str">
        <v>Bowden</v>
      </c>
      <c r="B6" s="48" t="str">
        <v>MA</v>
      </c>
      <c r="C6" s="36">
        <v>327000</v>
      </c>
      <c r="D6" s="37">
        <v>326246.8</v>
      </c>
      <c r="E6" s="37">
        <f t="shared" si="0"/>
        <v>753.20000000001164</v>
      </c>
      <c r="F6" s="38">
        <f t="shared" ref="F6:F24" si="3">IFERROR(E6/D6, "")</f>
        <v>2.3086816483717594E-3</v>
      </c>
      <c r="G6" s="39">
        <v>322319</v>
      </c>
      <c r="H6" s="39">
        <f t="shared" si="1"/>
        <v>4681</v>
      </c>
      <c r="I6" s="40">
        <f t="shared" si="2"/>
        <v>1.4522879507568589E-2</v>
      </c>
      <c r="J6" s="57" t="s">
        <v>187</v>
      </c>
      <c r="K6" s="57" t="s">
        <v>188</v>
      </c>
    </row>
    <row r="7" spans="1:11" ht="47.25">
      <c r="A7" s="49" t="str">
        <v>Blair Wire Village</v>
      </c>
      <c r="B7" s="50" t="str">
        <v>MA</v>
      </c>
      <c r="C7" s="43">
        <v>154334</v>
      </c>
      <c r="D7" s="44">
        <v>168994.2</v>
      </c>
      <c r="E7" s="44">
        <f t="shared" si="0"/>
        <v>-14660.200000000012</v>
      </c>
      <c r="F7" s="45">
        <f t="shared" si="3"/>
        <v>-8.6749722771550797E-2</v>
      </c>
      <c r="G7" s="46">
        <v>161463.29999999999</v>
      </c>
      <c r="H7" s="46">
        <f t="shared" si="1"/>
        <v>-7129.2999999999884</v>
      </c>
      <c r="I7" s="45">
        <f t="shared" si="2"/>
        <v>-4.4154306272694718E-2</v>
      </c>
      <c r="J7" s="58" t="s">
        <v>189</v>
      </c>
      <c r="K7" s="59" t="s">
        <v>190</v>
      </c>
    </row>
    <row r="8" spans="1:11" ht="15.75">
      <c r="A8" s="51" t="str">
        <v>Boutilier</v>
      </c>
      <c r="B8" s="48" t="str">
        <v>MA</v>
      </c>
      <c r="C8" s="36">
        <v>429784</v>
      </c>
      <c r="D8" s="37">
        <v>423810.2</v>
      </c>
      <c r="E8" s="37">
        <f t="shared" si="0"/>
        <v>5973.7999999999884</v>
      </c>
      <c r="F8" s="38">
        <f t="shared" si="3"/>
        <v>1.4095460656680723E-2</v>
      </c>
      <c r="G8" s="39">
        <v>385394.2</v>
      </c>
      <c r="H8" s="39">
        <f t="shared" si="1"/>
        <v>44389.799999999988</v>
      </c>
      <c r="I8" s="40">
        <f t="shared" si="2"/>
        <v>0.11518024920977012</v>
      </c>
      <c r="J8" s="57"/>
      <c r="K8" s="57"/>
    </row>
    <row r="9" spans="1:11" ht="15.75">
      <c r="A9" s="49" t="str">
        <v>Cherry Valley</v>
      </c>
      <c r="B9" s="50" t="str">
        <v>MA</v>
      </c>
      <c r="C9" s="43">
        <v>147429</v>
      </c>
      <c r="D9" s="44">
        <v>168227.5</v>
      </c>
      <c r="E9" s="44">
        <f t="shared" si="0"/>
        <v>-20798.5</v>
      </c>
      <c r="F9" s="45">
        <f t="shared" si="3"/>
        <v>-0.12363317531319196</v>
      </c>
      <c r="G9" s="46">
        <v>143770</v>
      </c>
      <c r="H9" s="46">
        <f t="shared" si="1"/>
        <v>3659</v>
      </c>
      <c r="I9" s="45">
        <f t="shared" si="2"/>
        <v>2.545037212213953E-2</v>
      </c>
      <c r="J9" s="58"/>
      <c r="K9" s="58"/>
    </row>
    <row r="10" spans="1:11" ht="15.75">
      <c r="A10" s="51" t="str">
        <v>Cohasse</v>
      </c>
      <c r="B10" s="48" t="str">
        <v>MA</v>
      </c>
      <c r="C10" s="36">
        <v>138827</v>
      </c>
      <c r="D10" s="37">
        <v>152828.6</v>
      </c>
      <c r="E10" s="37">
        <f t="shared" si="0"/>
        <v>-14001.600000000006</v>
      </c>
      <c r="F10" s="38">
        <f t="shared" si="3"/>
        <v>-9.1616359765122529E-2</v>
      </c>
      <c r="G10" s="39">
        <v>163508.20000000001</v>
      </c>
      <c r="H10" s="39">
        <f t="shared" si="1"/>
        <v>-24681.200000000012</v>
      </c>
      <c r="I10" s="40">
        <f t="shared" si="2"/>
        <v>-0.15094778121219615</v>
      </c>
      <c r="J10" s="57"/>
      <c r="K10" s="57"/>
    </row>
    <row r="11" spans="1:11" ht="134.25" customHeight="1">
      <c r="A11" s="49" t="str">
        <v>ISM Dighton Solar 2</v>
      </c>
      <c r="B11" s="50" t="str">
        <v>MA</v>
      </c>
      <c r="C11" s="43">
        <v>309792</v>
      </c>
      <c r="D11" s="44">
        <v>307845.09999999998</v>
      </c>
      <c r="E11" s="44">
        <f t="shared" si="0"/>
        <v>1946.9000000000233</v>
      </c>
      <c r="F11" s="45">
        <f t="shared" si="3"/>
        <v>6.324284518415344E-3</v>
      </c>
      <c r="G11" s="46">
        <v>332297.59999999998</v>
      </c>
      <c r="H11" s="46">
        <f t="shared" si="1"/>
        <v>-22505.599999999977</v>
      </c>
      <c r="I11" s="45">
        <f t="shared" si="2"/>
        <v>-6.7727242086611447E-2</v>
      </c>
      <c r="J11" s="67" t="s">
        <v>191</v>
      </c>
      <c r="K11" s="67" t="s">
        <v>192</v>
      </c>
    </row>
    <row r="12" spans="1:11" ht="55.5" customHeight="1">
      <c r="A12" s="51" t="str">
        <v>Dudley River 1</v>
      </c>
      <c r="B12" s="48" t="str">
        <v>MA</v>
      </c>
      <c r="C12" s="36">
        <v>155571</v>
      </c>
      <c r="D12" s="37">
        <v>36979.19</v>
      </c>
      <c r="E12" s="37">
        <f t="shared" si="0"/>
        <v>118591.81</v>
      </c>
      <c r="F12" s="38">
        <f t="shared" si="3"/>
        <v>3.2069877679851828</v>
      </c>
      <c r="G12" s="39">
        <v>161685.70000000001</v>
      </c>
      <c r="H12" s="39">
        <f t="shared" si="1"/>
        <v>-6114.7000000000116</v>
      </c>
      <c r="I12" s="40">
        <f t="shared" si="2"/>
        <v>-3.7818434159607256E-2</v>
      </c>
      <c r="J12" s="57" t="s">
        <v>193</v>
      </c>
      <c r="K12" s="57" t="s">
        <v>194</v>
      </c>
    </row>
    <row r="13" spans="1:11" ht="15.75">
      <c r="A13" s="49" t="str">
        <v>Dudley River 2</v>
      </c>
      <c r="B13" s="50" t="str">
        <v>MA</v>
      </c>
      <c r="C13" s="43">
        <v>149701</v>
      </c>
      <c r="D13" s="44">
        <v>154776.29999999999</v>
      </c>
      <c r="E13" s="44">
        <f t="shared" si="0"/>
        <v>-5075.2999999999884</v>
      </c>
      <c r="F13" s="45">
        <f t="shared" si="3"/>
        <v>-3.2791196068131807E-2</v>
      </c>
      <c r="G13" s="46">
        <v>154788.4</v>
      </c>
      <c r="H13" s="46">
        <f t="shared" si="1"/>
        <v>-5087.3999999999942</v>
      </c>
      <c r="I13" s="45">
        <f t="shared" si="2"/>
        <v>-3.2866803972390661E-2</v>
      </c>
      <c r="J13" s="58"/>
      <c r="K13" s="59"/>
    </row>
    <row r="14" spans="1:11" ht="15.75">
      <c r="A14" s="51" t="str">
        <v>Dudley River 3</v>
      </c>
      <c r="B14" s="48" t="str">
        <v>MA</v>
      </c>
      <c r="C14" s="36">
        <v>151205</v>
      </c>
      <c r="D14" s="37">
        <v>153921.29999999999</v>
      </c>
      <c r="E14" s="37">
        <f t="shared" si="0"/>
        <v>-2716.2999999999884</v>
      </c>
      <c r="F14" s="38">
        <f t="shared" si="3"/>
        <v>-1.76473301615825E-2</v>
      </c>
      <c r="G14" s="39">
        <v>156914.1</v>
      </c>
      <c r="H14" s="39">
        <f t="shared" si="1"/>
        <v>-5709.1000000000058</v>
      </c>
      <c r="I14" s="40">
        <f t="shared" si="2"/>
        <v>-3.6383600963839489E-2</v>
      </c>
      <c r="J14" s="57"/>
      <c r="K14" s="57"/>
    </row>
    <row r="15" spans="1:11" ht="15.75">
      <c r="A15" s="49" t="str">
        <v>Flint Pond</v>
      </c>
      <c r="B15" s="50" t="str">
        <v>MA</v>
      </c>
      <c r="C15" s="43">
        <v>71892.5</v>
      </c>
      <c r="D15" s="44">
        <v>65412.86</v>
      </c>
      <c r="E15" s="44">
        <f t="shared" si="0"/>
        <v>6479.6399999999994</v>
      </c>
      <c r="F15" s="45">
        <f t="shared" si="3"/>
        <v>9.9057585924235678E-2</v>
      </c>
      <c r="G15" s="46">
        <v>66054.31</v>
      </c>
      <c r="H15" s="46">
        <f t="shared" si="1"/>
        <v>5838.1900000000023</v>
      </c>
      <c r="I15" s="45">
        <f t="shared" si="2"/>
        <v>8.8384694352268645E-2</v>
      </c>
      <c r="J15" s="58"/>
      <c r="K15" s="59"/>
    </row>
    <row r="16" spans="1:11" ht="15.75">
      <c r="A16" s="51" t="str">
        <v>Incom</v>
      </c>
      <c r="B16" s="48" t="str">
        <v>MA</v>
      </c>
      <c r="C16" s="36">
        <v>333105</v>
      </c>
      <c r="D16" s="37">
        <v>362632.8</v>
      </c>
      <c r="E16" s="37">
        <f t="shared" si="0"/>
        <v>-29527.799999999988</v>
      </c>
      <c r="F16" s="38">
        <f t="shared" si="3"/>
        <v>-8.1426169943810897E-2</v>
      </c>
      <c r="G16" s="39">
        <v>327934.8</v>
      </c>
      <c r="H16" s="39">
        <f t="shared" si="1"/>
        <v>5170.2000000000116</v>
      </c>
      <c r="I16" s="40">
        <f t="shared" si="2"/>
        <v>1.5765938839061949E-2</v>
      </c>
      <c r="J16" s="57" t="s">
        <v>195</v>
      </c>
      <c r="K16" s="57" t="s">
        <v>196</v>
      </c>
    </row>
    <row r="17" spans="1:11" ht="15.75">
      <c r="A17" s="49" t="str">
        <v>JH</v>
      </c>
      <c r="B17" s="50" t="str">
        <v>MA</v>
      </c>
      <c r="C17" s="43">
        <v>147169</v>
      </c>
      <c r="D17" s="44">
        <v>166443.79999999999</v>
      </c>
      <c r="E17" s="44">
        <f t="shared" si="0"/>
        <v>-19274.799999999988</v>
      </c>
      <c r="F17" s="45">
        <f t="shared" si="3"/>
        <v>-0.11580365264431591</v>
      </c>
      <c r="G17" s="46">
        <v>158187.1</v>
      </c>
      <c r="H17" s="46">
        <f t="shared" si="1"/>
        <v>-11018.100000000006</v>
      </c>
      <c r="I17" s="45">
        <f t="shared" si="2"/>
        <v>-6.9652329425092224E-2</v>
      </c>
      <c r="J17" s="58"/>
      <c r="K17" s="59"/>
    </row>
    <row r="18" spans="1:11" ht="12.75" customHeight="1">
      <c r="A18" s="51" t="str">
        <v>Ledeaux</v>
      </c>
      <c r="B18" s="48" t="str">
        <v>MA</v>
      </c>
      <c r="C18" s="36">
        <v>133552</v>
      </c>
      <c r="D18" s="37">
        <v>148668.9</v>
      </c>
      <c r="E18" s="37">
        <f t="shared" si="0"/>
        <v>-15116.899999999994</v>
      </c>
      <c r="F18" s="38">
        <f t="shared" si="3"/>
        <v>-0.10168165635179917</v>
      </c>
      <c r="G18" s="39">
        <v>151807.79999999999</v>
      </c>
      <c r="H18" s="39">
        <f t="shared" si="1"/>
        <v>-18255.799999999988</v>
      </c>
      <c r="I18" s="40">
        <f t="shared" si="2"/>
        <v>-0.12025600792581138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294232.00333333801</v>
      </c>
      <c r="D19" s="44">
        <v>322933.2</v>
      </c>
      <c r="E19" s="44">
        <f t="shared" si="0"/>
        <v>-28701.196666661999</v>
      </c>
      <c r="F19" s="45">
        <f t="shared" si="3"/>
        <v>-8.8876574680652215E-2</v>
      </c>
      <c r="G19" s="46">
        <v>343827</v>
      </c>
      <c r="H19" s="46">
        <f t="shared" si="1"/>
        <v>-49594.996666661988</v>
      </c>
      <c r="I19" s="45">
        <f t="shared" si="2"/>
        <v>-0.14424404327368703</v>
      </c>
      <c r="J19" s="58"/>
      <c r="K19" s="58"/>
    </row>
    <row r="20" spans="1:11" ht="15.75">
      <c r="A20" s="51" t="str">
        <v>Palombo B</v>
      </c>
      <c r="B20" s="48" t="str">
        <v>MA</v>
      </c>
      <c r="C20" s="36">
        <v>148765</v>
      </c>
      <c r="D20" s="37">
        <v>140696.79999999999</v>
      </c>
      <c r="E20" s="37">
        <f t="shared" si="0"/>
        <v>8068.2000000000116</v>
      </c>
      <c r="F20" s="38">
        <f t="shared" si="3"/>
        <v>5.7344587794463074E-2</v>
      </c>
      <c r="G20" s="39">
        <v>145892.9</v>
      </c>
      <c r="H20" s="39">
        <f t="shared" si="1"/>
        <v>2872.1000000000058</v>
      </c>
      <c r="I20" s="40">
        <f t="shared" si="2"/>
        <v>1.9686358966063501E-2</v>
      </c>
      <c r="J20" s="57"/>
      <c r="K20" s="57"/>
    </row>
    <row r="21" spans="1:11" ht="28.5">
      <c r="A21" s="49" t="str">
        <v>St Josephs Church</v>
      </c>
      <c r="B21" s="50" t="str">
        <v>MA</v>
      </c>
      <c r="C21" s="43">
        <v>147921</v>
      </c>
      <c r="D21" s="44">
        <v>173153.1</v>
      </c>
      <c r="E21" s="44">
        <f t="shared" si="0"/>
        <v>-25232.100000000006</v>
      </c>
      <c r="F21" s="45">
        <f t="shared" si="3"/>
        <v>-0.14572132985202116</v>
      </c>
      <c r="G21" s="46">
        <v>149535.9</v>
      </c>
      <c r="H21" s="46">
        <f t="shared" si="1"/>
        <v>-1614.8999999999942</v>
      </c>
      <c r="I21" s="45">
        <f t="shared" si="2"/>
        <v>-1.0799413385013192E-2</v>
      </c>
      <c r="J21" s="67" t="s">
        <v>197</v>
      </c>
      <c r="K21" s="67" t="s">
        <v>198</v>
      </c>
    </row>
    <row r="22" spans="1:11" ht="15.75">
      <c r="A22" s="51" t="str">
        <v>Sunset A</v>
      </c>
      <c r="B22" s="48" t="str">
        <v>MA</v>
      </c>
      <c r="C22" s="36">
        <v>75366.5</v>
      </c>
      <c r="D22" s="37">
        <v>86459.199999999997</v>
      </c>
      <c r="E22" s="37">
        <f t="shared" si="0"/>
        <v>-11092.699999999997</v>
      </c>
      <c r="F22" s="38">
        <f t="shared" si="3"/>
        <v>-0.12829982234394949</v>
      </c>
      <c r="G22" s="39">
        <v>66098.320000000007</v>
      </c>
      <c r="H22" s="39">
        <f t="shared" si="1"/>
        <v>9268.179999999993</v>
      </c>
      <c r="I22" s="40">
        <f t="shared" si="2"/>
        <v>0.14021808723731544</v>
      </c>
      <c r="J22" s="57"/>
      <c r="K22" s="57"/>
    </row>
    <row r="23" spans="1:11" ht="15.75">
      <c r="A23" s="49" t="str">
        <v>Sunset B</v>
      </c>
      <c r="B23" s="50" t="str">
        <v>MA</v>
      </c>
      <c r="C23" s="43">
        <v>69857</v>
      </c>
      <c r="D23" s="44">
        <v>73394.179999999993</v>
      </c>
      <c r="E23" s="44">
        <f t="shared" si="0"/>
        <v>-3537.179999999993</v>
      </c>
      <c r="F23" s="45">
        <f t="shared" si="3"/>
        <v>-4.8194284614938042E-2</v>
      </c>
      <c r="G23" s="46">
        <v>65305.2</v>
      </c>
      <c r="H23" s="46">
        <f t="shared" si="1"/>
        <v>4551.8000000000029</v>
      </c>
      <c r="I23" s="45">
        <f t="shared" si="2"/>
        <v>6.9700422018461064E-2</v>
      </c>
      <c r="J23" s="58"/>
      <c r="K23" s="59"/>
    </row>
    <row r="24" spans="1:11" ht="15.75">
      <c r="A24" s="51" t="str">
        <v>Woodchuck</v>
      </c>
      <c r="B24" s="48" t="str">
        <v>MA</v>
      </c>
      <c r="C24" s="36">
        <v>154738</v>
      </c>
      <c r="D24" s="37">
        <v>160960.9</v>
      </c>
      <c r="E24" s="37">
        <f t="shared" si="0"/>
        <v>-6222.8999999999942</v>
      </c>
      <c r="F24" s="38">
        <f t="shared" si="3"/>
        <v>-3.8660941880916386E-2</v>
      </c>
      <c r="G24" s="39">
        <v>158127.20000000001</v>
      </c>
      <c r="H24" s="39">
        <f t="shared" si="1"/>
        <v>-3389.2000000000116</v>
      </c>
      <c r="I24" s="40">
        <f t="shared" si="2"/>
        <v>-2.1433377685812507E-2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1"/>
  <sheetViews>
    <sheetView tabSelected="1" zoomScale="80" zoomScaleNormal="80" workbookViewId="0">
      <pane xSplit="2" ySplit="3" topLeftCell="F4" activePane="bottomRight" state="frozen"/>
      <selection pane="bottomRight" activeCell="F4" sqref="F4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5" t="str" cm="1">
        <f t="array" ref="A1">portfolio</f>
        <v>38 DN</v>
      </c>
      <c r="B1" s="85"/>
      <c r="C1" s="85"/>
      <c r="D1" s="86" t="s">
        <v>199</v>
      </c>
      <c r="E1" s="86"/>
      <c r="F1" s="86"/>
      <c r="G1" s="84" t="s">
        <v>200</v>
      </c>
      <c r="H1" s="84"/>
      <c r="I1" s="84"/>
      <c r="J1" s="4"/>
      <c r="K1" s="4"/>
    </row>
    <row r="2" spans="1:11" ht="19.5" customHeight="1">
      <c r="A2" s="87" t="s">
        <v>2</v>
      </c>
      <c r="B2" s="87"/>
      <c r="C2" s="5">
        <f>SUM(C4:C99)</f>
        <v>3766084.7466666619</v>
      </c>
      <c r="D2" s="5">
        <f>SUM(D4:D99)</f>
        <v>4186646.21</v>
      </c>
      <c r="E2" s="5">
        <f>C2-D2</f>
        <v>-420561.46333333803</v>
      </c>
      <c r="F2" s="6">
        <f>IFERROR(E2/D2, 0)</f>
        <v>-0.10045306965007154</v>
      </c>
      <c r="G2" s="5">
        <f>SUM(G4:G99)</f>
        <v>3403269.3099999996</v>
      </c>
      <c r="H2" s="7">
        <f>C2-G2</f>
        <v>362815.43666666234</v>
      </c>
      <c r="I2" s="6">
        <f>IFERROR(H2/G2, 0)</f>
        <v>0.10660791245658498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36" customHeight="1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132416.5</v>
      </c>
      <c r="D4" s="37">
        <v>139641.9</v>
      </c>
      <c r="E4" s="37">
        <f>IF(AND(ISNUMBER(C4),ISNUMBER(D4)), C4-D4, "")</f>
        <v>-7225.3999999999942</v>
      </c>
      <c r="F4" s="38">
        <f>IFERROR(E4/D4, "")</f>
        <v>-5.1742349538354854E-2</v>
      </c>
      <c r="G4" s="39">
        <v>193553.2</v>
      </c>
      <c r="H4" s="39">
        <f>IF(AND(ISNUMBER(C4),ISNUMBER(G4)), C4-G4, "")</f>
        <v>-61136.700000000012</v>
      </c>
      <c r="I4" s="40">
        <f>IFERROR(H4/G4, "")</f>
        <v>-0.31586509548795888</v>
      </c>
      <c r="J4" s="57" t="s">
        <v>201</v>
      </c>
      <c r="K4" s="57" t="s">
        <v>202</v>
      </c>
    </row>
    <row r="5" spans="1:11" ht="15.75">
      <c r="A5" s="49" t="str">
        <v>Barton Acres</v>
      </c>
      <c r="B5" s="50" t="str">
        <v>MA</v>
      </c>
      <c r="C5" s="43">
        <v>153492</v>
      </c>
      <c r="D5" s="44">
        <v>182494.2</v>
      </c>
      <c r="E5" s="44">
        <f t="shared" ref="E5:E17" si="0">IF(AND(ISNUMBER(C5),ISNUMBER(D5)), C5-D5, "")</f>
        <v>-29002.200000000012</v>
      </c>
      <c r="F5" s="45">
        <f>IFERROR(E5/D5, "")</f>
        <v>-0.15892121503039555</v>
      </c>
      <c r="G5" s="46">
        <v>108497.1</v>
      </c>
      <c r="H5" s="46">
        <f t="shared" ref="H5:H17" si="1">IF(AND(ISNUMBER(C5),ISNUMBER(G5)), C5-G5, "")</f>
        <v>44994.899999999994</v>
      </c>
      <c r="I5" s="45">
        <f t="shared" ref="I5:I17" si="2">IFERROR(H5/G5, "")</f>
        <v>0.41471062360192107</v>
      </c>
      <c r="J5" s="58"/>
      <c r="K5" s="58"/>
    </row>
    <row r="6" spans="1:11" ht="15.75">
      <c r="A6" s="51" t="str">
        <v>Bowden</v>
      </c>
      <c r="B6" s="48" t="str">
        <v>MA</v>
      </c>
      <c r="C6" s="36">
        <v>313995</v>
      </c>
      <c r="D6" s="37">
        <v>316404.5</v>
      </c>
      <c r="E6" s="37">
        <f t="shared" si="0"/>
        <v>-2409.5</v>
      </c>
      <c r="F6" s="38">
        <f t="shared" ref="F6:F17" si="3">IFERROR(E6/D6, "")</f>
        <v>-7.6152519954678271E-3</v>
      </c>
      <c r="G6" s="39">
        <v>280023.90000000002</v>
      </c>
      <c r="H6" s="39">
        <f t="shared" si="1"/>
        <v>33971.099999999977</v>
      </c>
      <c r="I6" s="40">
        <f t="shared" si="2"/>
        <v>0.12131500204089712</v>
      </c>
      <c r="J6" s="57"/>
      <c r="K6" s="57"/>
    </row>
    <row r="7" spans="1:11" ht="15.75">
      <c r="A7" s="49" t="str">
        <v>Blair Wire Village</v>
      </c>
      <c r="B7" s="50" t="str">
        <v>MA</v>
      </c>
      <c r="C7" s="43">
        <v>150580</v>
      </c>
      <c r="D7" s="44">
        <v>185283.6</v>
      </c>
      <c r="E7" s="44">
        <f t="shared" si="0"/>
        <v>-34703.600000000006</v>
      </c>
      <c r="F7" s="45">
        <f t="shared" si="3"/>
        <v>-0.18729990134043167</v>
      </c>
      <c r="G7" s="46">
        <v>142334.20000000001</v>
      </c>
      <c r="H7" s="46">
        <f t="shared" si="1"/>
        <v>8245.7999999999884</v>
      </c>
      <c r="I7" s="45">
        <f t="shared" si="2"/>
        <v>5.793266832567287E-2</v>
      </c>
      <c r="J7" s="58" t="s">
        <v>203</v>
      </c>
      <c r="K7" s="58" t="s">
        <v>204</v>
      </c>
    </row>
    <row r="8" spans="1:11" ht="15.75">
      <c r="A8" s="51" t="str">
        <v>Boutilier</v>
      </c>
      <c r="B8" s="48" t="str">
        <v>MA</v>
      </c>
      <c r="C8" s="36">
        <v>415879</v>
      </c>
      <c r="D8" s="37">
        <v>431459.8</v>
      </c>
      <c r="E8" s="37">
        <f t="shared" si="0"/>
        <v>-15580.799999999988</v>
      </c>
      <c r="F8" s="38">
        <f t="shared" si="3"/>
        <v>-3.6111823164058365E-2</v>
      </c>
      <c r="G8" s="39">
        <v>297836.2</v>
      </c>
      <c r="H8" s="39">
        <f t="shared" si="1"/>
        <v>118042.79999999999</v>
      </c>
      <c r="I8" s="40">
        <f t="shared" si="2"/>
        <v>0.39633462957155641</v>
      </c>
      <c r="J8" s="57" t="s">
        <v>205</v>
      </c>
      <c r="K8" s="57" t="s">
        <v>206</v>
      </c>
    </row>
    <row r="9" spans="1:11" ht="28.5">
      <c r="A9" s="49" t="str">
        <v>Cherry Valley</v>
      </c>
      <c r="B9" s="50" t="str">
        <v>MA</v>
      </c>
      <c r="C9" s="43">
        <v>146109</v>
      </c>
      <c r="D9" s="44">
        <v>186175.5</v>
      </c>
      <c r="E9" s="44">
        <f t="shared" si="0"/>
        <v>-40066.5</v>
      </c>
      <c r="F9" s="45">
        <f t="shared" si="3"/>
        <v>-0.21520823094338407</v>
      </c>
      <c r="G9" s="46">
        <v>115495</v>
      </c>
      <c r="H9" s="46">
        <f t="shared" si="1"/>
        <v>30614</v>
      </c>
      <c r="I9" s="45">
        <f t="shared" si="2"/>
        <v>0.26506775185072945</v>
      </c>
      <c r="J9" s="67" t="s">
        <v>207</v>
      </c>
      <c r="K9" s="70" t="s">
        <v>208</v>
      </c>
    </row>
    <row r="10" spans="1:11" ht="15.75">
      <c r="A10" s="51" t="str">
        <v>Cohasse</v>
      </c>
      <c r="B10" s="48" t="str">
        <v>MA</v>
      </c>
      <c r="C10" s="36">
        <v>133882</v>
      </c>
      <c r="D10" s="37">
        <v>172886.39999999999</v>
      </c>
      <c r="E10" s="37">
        <f t="shared" si="0"/>
        <v>-39004.399999999994</v>
      </c>
      <c r="F10" s="38">
        <f t="shared" si="3"/>
        <v>-0.22560710385547963</v>
      </c>
      <c r="G10" s="39">
        <v>147358.9</v>
      </c>
      <c r="H10" s="39">
        <f t="shared" si="1"/>
        <v>-13476.899999999994</v>
      </c>
      <c r="I10" s="40">
        <f t="shared" si="2"/>
        <v>-9.1456301587484676E-2</v>
      </c>
      <c r="J10" s="57" t="s">
        <v>209</v>
      </c>
      <c r="K10" s="76" t="s">
        <v>210</v>
      </c>
    </row>
    <row r="11" spans="1:11" ht="15.75">
      <c r="A11" s="49" t="str">
        <v>ISM Dighton Solar 2</v>
      </c>
      <c r="B11" s="50" t="str">
        <v>MA</v>
      </c>
      <c r="C11" s="43">
        <v>347781</v>
      </c>
      <c r="D11" s="44">
        <v>344255.7</v>
      </c>
      <c r="E11" s="44">
        <f t="shared" si="0"/>
        <v>3525.2999999999884</v>
      </c>
      <c r="F11" s="45">
        <f t="shared" si="3"/>
        <v>1.0240353318768543E-2</v>
      </c>
      <c r="G11" s="46">
        <v>295460.09999999998</v>
      </c>
      <c r="H11" s="46">
        <f t="shared" si="1"/>
        <v>52320.900000000023</v>
      </c>
      <c r="I11" s="45">
        <f t="shared" si="2"/>
        <v>0.17708279392039747</v>
      </c>
      <c r="J11" s="58"/>
      <c r="K11" s="75"/>
    </row>
    <row r="12" spans="1:11" ht="28.5">
      <c r="A12" s="51" t="str">
        <v>Dudley River 1</v>
      </c>
      <c r="B12" s="48" t="str">
        <v>MA</v>
      </c>
      <c r="C12" s="36">
        <v>153153</v>
      </c>
      <c r="D12" s="37">
        <v>122891.4</v>
      </c>
      <c r="E12" s="37">
        <f t="shared" si="0"/>
        <v>30261.600000000006</v>
      </c>
      <c r="F12" s="38">
        <f t="shared" si="3"/>
        <v>0.24624668609845773</v>
      </c>
      <c r="G12" s="39">
        <v>142467.20000000001</v>
      </c>
      <c r="H12" s="39">
        <f t="shared" si="1"/>
        <v>10685.799999999988</v>
      </c>
      <c r="I12" s="40">
        <f t="shared" si="2"/>
        <v>7.5005334561218218E-2</v>
      </c>
      <c r="J12" s="57" t="s">
        <v>211</v>
      </c>
      <c r="K12" s="76" t="s">
        <v>212</v>
      </c>
    </row>
    <row r="13" spans="1:11" ht="15.75">
      <c r="A13" s="49" t="str">
        <v>Dudley River 2</v>
      </c>
      <c r="B13" s="50" t="str">
        <v>MA</v>
      </c>
      <c r="C13" s="43">
        <v>149851</v>
      </c>
      <c r="D13" s="44">
        <v>158916.4</v>
      </c>
      <c r="E13" s="44">
        <f t="shared" si="0"/>
        <v>-9065.3999999999942</v>
      </c>
      <c r="F13" s="45">
        <f t="shared" si="3"/>
        <v>-5.7045087857514984E-2</v>
      </c>
      <c r="G13" s="46">
        <v>136567.20000000001</v>
      </c>
      <c r="H13" s="46">
        <f t="shared" si="1"/>
        <v>13283.799999999988</v>
      </c>
      <c r="I13" s="45">
        <f t="shared" si="2"/>
        <v>9.726932967798993E-2</v>
      </c>
      <c r="J13" s="58" t="s">
        <v>213</v>
      </c>
      <c r="K13" s="78" t="s">
        <v>214</v>
      </c>
    </row>
    <row r="14" spans="1:11" ht="15.75">
      <c r="A14" s="51" t="str">
        <v>Dudley River 3</v>
      </c>
      <c r="B14" s="48" t="str">
        <v>MA</v>
      </c>
      <c r="C14" s="36">
        <v>155802</v>
      </c>
      <c r="D14" s="37">
        <v>160181.5</v>
      </c>
      <c r="E14" s="37">
        <f t="shared" si="0"/>
        <v>-4379.5</v>
      </c>
      <c r="F14" s="38">
        <f t="shared" si="3"/>
        <v>-2.7340860211697356E-2</v>
      </c>
      <c r="G14" s="39">
        <v>138595.5</v>
      </c>
      <c r="H14" s="39">
        <f t="shared" si="1"/>
        <v>17206.5</v>
      </c>
      <c r="I14" s="40">
        <f t="shared" si="2"/>
        <v>0.12414905245841315</v>
      </c>
      <c r="J14" s="57" t="s">
        <v>213</v>
      </c>
      <c r="K14" s="76" t="s">
        <v>215</v>
      </c>
    </row>
    <row r="15" spans="1:11" ht="28.5">
      <c r="A15" s="49" t="str">
        <v>Flint Pond</v>
      </c>
      <c r="B15" s="50" t="str">
        <v>MA</v>
      </c>
      <c r="C15" s="43">
        <v>63011</v>
      </c>
      <c r="D15" s="44">
        <v>78047.45</v>
      </c>
      <c r="E15" s="44">
        <f t="shared" si="0"/>
        <v>-15036.449999999997</v>
      </c>
      <c r="F15" s="45">
        <f t="shared" si="3"/>
        <v>-0.19265779983843159</v>
      </c>
      <c r="G15" s="46">
        <v>51584.7</v>
      </c>
      <c r="H15" s="46">
        <f t="shared" si="1"/>
        <v>11426.300000000003</v>
      </c>
      <c r="I15" s="45">
        <f t="shared" si="2"/>
        <v>0.22150560146710174</v>
      </c>
      <c r="J15" s="70" t="s">
        <v>216</v>
      </c>
      <c r="K15" s="77" t="s">
        <v>217</v>
      </c>
    </row>
    <row r="16" spans="1:11" ht="15.75">
      <c r="A16" s="51" t="str">
        <v>Incom</v>
      </c>
      <c r="B16" s="48" t="str">
        <v>MA</v>
      </c>
      <c r="C16" s="36">
        <v>324241</v>
      </c>
      <c r="D16" s="37">
        <v>365201.3</v>
      </c>
      <c r="E16" s="37">
        <f t="shared" si="0"/>
        <v>-40960.299999999988</v>
      </c>
      <c r="F16" s="38">
        <f t="shared" si="3"/>
        <v>-0.11215814401536903</v>
      </c>
      <c r="G16" s="39">
        <v>291719.7</v>
      </c>
      <c r="H16" s="39">
        <f t="shared" si="1"/>
        <v>32521.299999999988</v>
      </c>
      <c r="I16" s="40">
        <f t="shared" si="2"/>
        <v>0.11148132950911435</v>
      </c>
      <c r="J16" s="57"/>
      <c r="K16" s="76"/>
    </row>
    <row r="17" spans="1:11" ht="15.75">
      <c r="A17" s="49" t="str">
        <v>JH</v>
      </c>
      <c r="B17" s="50" t="str">
        <v>MA</v>
      </c>
      <c r="C17" s="43">
        <v>137226</v>
      </c>
      <c r="D17" s="44">
        <v>178478.6</v>
      </c>
      <c r="E17" s="44">
        <f t="shared" si="0"/>
        <v>-41252.600000000006</v>
      </c>
      <c r="F17" s="45">
        <f t="shared" si="3"/>
        <v>-0.23113471306924194</v>
      </c>
      <c r="G17" s="46">
        <v>138991.9</v>
      </c>
      <c r="H17" s="46">
        <f t="shared" si="1"/>
        <v>-1765.8999999999942</v>
      </c>
      <c r="I17" s="45">
        <f t="shared" si="2"/>
        <v>-1.2705056913388437E-2</v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>
        <v>124121</v>
      </c>
      <c r="D18" s="37">
        <v>143534.6</v>
      </c>
      <c r="E18" s="37">
        <f t="shared" ref="E18:E24" si="4">IF(AND(ISNUMBER(C18),ISNUMBER(D18)), C18-D18, "")</f>
        <v>-19413.600000000006</v>
      </c>
      <c r="F18" s="38">
        <f t="shared" ref="F18:F24" si="5">IFERROR(E18/D18, "")</f>
        <v>-0.13525379943233204</v>
      </c>
      <c r="G18" s="39">
        <v>132566.29999999999</v>
      </c>
      <c r="H18" s="39">
        <f t="shared" ref="H18:H24" si="6">IF(AND(ISNUMBER(C18),ISNUMBER(G18)), C18-G18, "")</f>
        <v>-8445.2999999999884</v>
      </c>
      <c r="I18" s="40">
        <f t="shared" ref="I18:I24" si="7">IFERROR(H18/G18, "")</f>
        <v>-6.370623604943329E-2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299303.99666666199</v>
      </c>
      <c r="D19" s="44">
        <v>352302</v>
      </c>
      <c r="E19" s="44">
        <f t="shared" si="4"/>
        <v>-52998.003333338012</v>
      </c>
      <c r="F19" s="45">
        <f t="shared" si="5"/>
        <v>-0.15043344441228837</v>
      </c>
      <c r="G19" s="46">
        <v>316219</v>
      </c>
      <c r="H19" s="46">
        <f t="shared" si="6"/>
        <v>-16915.003333338012</v>
      </c>
      <c r="I19" s="45">
        <f t="shared" si="7"/>
        <v>-5.3491419975833246E-2</v>
      </c>
      <c r="J19" s="58"/>
      <c r="K19" s="58"/>
    </row>
    <row r="20" spans="1:11" ht="15.75">
      <c r="A20" s="51" t="str">
        <v>Palombo B</v>
      </c>
      <c r="B20" s="48" t="str">
        <v>MA</v>
      </c>
      <c r="C20" s="36">
        <v>143492</v>
      </c>
      <c r="D20" s="37">
        <v>165396.29999999999</v>
      </c>
      <c r="E20" s="37">
        <f t="shared" si="4"/>
        <v>-21904.299999999988</v>
      </c>
      <c r="F20" s="38">
        <f t="shared" si="5"/>
        <v>-0.13243524794690081</v>
      </c>
      <c r="G20" s="39">
        <v>112568.1</v>
      </c>
      <c r="H20" s="39">
        <f t="shared" si="6"/>
        <v>30923.899999999994</v>
      </c>
      <c r="I20" s="40">
        <f t="shared" si="7"/>
        <v>0.27471281828510913</v>
      </c>
      <c r="J20" s="57"/>
      <c r="K20" s="57"/>
    </row>
    <row r="21" spans="1:11" ht="15.75">
      <c r="A21" s="49" t="str">
        <v>St Josephs Church</v>
      </c>
      <c r="B21" s="50" t="str">
        <v>MA</v>
      </c>
      <c r="C21" s="43">
        <v>145197</v>
      </c>
      <c r="D21" s="44">
        <v>183542</v>
      </c>
      <c r="E21" s="44">
        <f t="shared" si="4"/>
        <v>-38345</v>
      </c>
      <c r="F21" s="45">
        <f t="shared" si="5"/>
        <v>-0.20891676019657626</v>
      </c>
      <c r="G21" s="46">
        <v>126497.8</v>
      </c>
      <c r="H21" s="46">
        <f t="shared" si="6"/>
        <v>18699.199999999997</v>
      </c>
      <c r="I21" s="45">
        <f t="shared" si="7"/>
        <v>0.14782233366904401</v>
      </c>
      <c r="J21" s="58"/>
      <c r="K21" s="59"/>
    </row>
    <row r="22" spans="1:11" ht="15.75">
      <c r="A22" s="51" t="str">
        <v>Sunset A</v>
      </c>
      <c r="B22" s="48" t="str">
        <v>MA</v>
      </c>
      <c r="C22" s="36">
        <v>71366</v>
      </c>
      <c r="D22" s="37">
        <v>92842.81</v>
      </c>
      <c r="E22" s="37">
        <f t="shared" si="4"/>
        <v>-21476.809999999998</v>
      </c>
      <c r="F22" s="38">
        <f t="shared" si="5"/>
        <v>-0.23132442889223193</v>
      </c>
      <c r="G22" s="39">
        <v>51080.28</v>
      </c>
      <c r="H22" s="39">
        <f t="shared" si="6"/>
        <v>20285.72</v>
      </c>
      <c r="I22" s="40">
        <f t="shared" si="7"/>
        <v>0.39713407992281957</v>
      </c>
      <c r="J22" s="57"/>
      <c r="K22" s="57"/>
    </row>
    <row r="23" spans="1:11" ht="15.75">
      <c r="A23" s="49" t="str">
        <v>Sunset B</v>
      </c>
      <c r="B23" s="50" t="str">
        <v>MA</v>
      </c>
      <c r="C23" s="43">
        <v>64036.25</v>
      </c>
      <c r="D23" s="44">
        <v>71797.850000000006</v>
      </c>
      <c r="E23" s="44">
        <f t="shared" si="4"/>
        <v>-7761.6000000000058</v>
      </c>
      <c r="F23" s="45">
        <f t="shared" si="5"/>
        <v>-0.10810351563452116</v>
      </c>
      <c r="G23" s="46">
        <v>50468.33</v>
      </c>
      <c r="H23" s="46">
        <f t="shared" si="6"/>
        <v>13567.919999999998</v>
      </c>
      <c r="I23" s="45">
        <f t="shared" si="7"/>
        <v>0.26884028062747467</v>
      </c>
      <c r="J23" s="58"/>
      <c r="K23" s="59"/>
    </row>
    <row r="24" spans="1:11" ht="15.75">
      <c r="A24" s="51" t="str">
        <v>Woodchuck</v>
      </c>
      <c r="B24" s="48" t="str">
        <v>MA</v>
      </c>
      <c r="C24" s="36">
        <v>141150</v>
      </c>
      <c r="D24" s="37">
        <v>154912.4</v>
      </c>
      <c r="E24" s="37">
        <f t="shared" si="4"/>
        <v>-13762.399999999994</v>
      </c>
      <c r="F24" s="38">
        <f t="shared" si="5"/>
        <v>-8.8839886284119249E-2</v>
      </c>
      <c r="G24" s="39">
        <v>133384.70000000001</v>
      </c>
      <c r="H24" s="39">
        <f t="shared" si="6"/>
        <v>7765.2999999999884</v>
      </c>
      <c r="I24" s="40">
        <f t="shared" si="7"/>
        <v>5.8217321776785402E-2</v>
      </c>
      <c r="J24" s="57" t="s">
        <v>218</v>
      </c>
      <c r="K24" s="57" t="s">
        <v>219</v>
      </c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5" t="str" cm="1">
        <f t="array" ref="A1">portfolio</f>
        <v>38 DN</v>
      </c>
      <c r="B1" s="85"/>
      <c r="C1" s="85"/>
      <c r="D1" s="86" t="s">
        <v>220</v>
      </c>
      <c r="E1" s="86"/>
      <c r="F1" s="86"/>
      <c r="G1" s="84" t="s">
        <v>221</v>
      </c>
      <c r="H1" s="84"/>
      <c r="I1" s="84"/>
      <c r="J1" s="4"/>
      <c r="K1" s="4"/>
    </row>
    <row r="2" spans="1:11" ht="19.5" customHeight="1">
      <c r="A2" s="87" t="s">
        <v>2</v>
      </c>
      <c r="B2" s="87"/>
      <c r="C2" s="5">
        <f>SUM(C4:C99)</f>
        <v>2821660.768161214</v>
      </c>
      <c r="D2" s="5">
        <f>SUM(D4:D99)</f>
        <v>3352614.3500000006</v>
      </c>
      <c r="E2" s="5">
        <f>C2-D2</f>
        <v>-530953.5818387866</v>
      </c>
      <c r="F2" s="6">
        <f>IFERROR(E2/D2, 0)</f>
        <v>-0.1583700140873007</v>
      </c>
      <c r="G2" s="5">
        <f>SUM(G4:G99)</f>
        <v>2341836.5600000005</v>
      </c>
      <c r="H2" s="7">
        <f>C2-G2</f>
        <v>479824.20816121344</v>
      </c>
      <c r="I2" s="6">
        <f>IFERROR(H2/G2, 0)</f>
        <v>0.2048922697496931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06.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123829.518161214</v>
      </c>
      <c r="D4" s="37">
        <v>84233.23</v>
      </c>
      <c r="E4" s="37">
        <f>IF(AND(ISNUMBER(C4),ISNUMBER(D4)), C4-D4, "")</f>
        <v>39596.288161214005</v>
      </c>
      <c r="F4" s="38">
        <f>IFERROR(E4/D4, "")</f>
        <v>0.47007918562797613</v>
      </c>
      <c r="G4" s="39">
        <v>147360.20000000001</v>
      </c>
      <c r="H4" s="39">
        <f>IF(AND(ISNUMBER(C4),ISNUMBER(G4)), C4-G4, "")</f>
        <v>-23530.681838786011</v>
      </c>
      <c r="I4" s="40">
        <f>IFERROR(H4/G4, "")</f>
        <v>-0.15968139184655022</v>
      </c>
      <c r="J4" s="57" t="s">
        <v>222</v>
      </c>
      <c r="K4" s="57" t="s">
        <v>223</v>
      </c>
    </row>
    <row r="5" spans="1:11" ht="15.75">
      <c r="A5" s="49" t="str">
        <v>Barton Acres</v>
      </c>
      <c r="B5" s="50" t="str">
        <v>MA</v>
      </c>
      <c r="C5" s="43">
        <v>107975</v>
      </c>
      <c r="D5" s="44">
        <v>147751.20000000001</v>
      </c>
      <c r="E5" s="44">
        <f t="shared" ref="E5:E17" si="0">IF(AND(ISNUMBER(C5),ISNUMBER(D5)), C5-D5, "")</f>
        <v>-39776.200000000012</v>
      </c>
      <c r="F5" s="45">
        <f>IFERROR(E5/D5, "")</f>
        <v>-0.26921067307744379</v>
      </c>
      <c r="G5" s="46">
        <v>68428.210000000006</v>
      </c>
      <c r="H5" s="46">
        <f t="shared" ref="H5:H17" si="1">IF(AND(ISNUMBER(C5),ISNUMBER(G5)), C5-G5, "")</f>
        <v>39546.789999999994</v>
      </c>
      <c r="I5" s="45">
        <f t="shared" ref="I5:I17" si="2">IFERROR(H5/G5, "")</f>
        <v>0.57793109011619603</v>
      </c>
      <c r="J5" s="58"/>
      <c r="K5" s="58"/>
    </row>
    <row r="6" spans="1:11" ht="15.75">
      <c r="A6" s="51" t="str">
        <v>Bowden</v>
      </c>
      <c r="B6" s="48" t="str">
        <v>MA</v>
      </c>
      <c r="C6" s="36">
        <v>220151</v>
      </c>
      <c r="D6" s="37">
        <v>235850.9</v>
      </c>
      <c r="E6" s="37">
        <f t="shared" si="0"/>
        <v>-15699.899999999994</v>
      </c>
      <c r="F6" s="38">
        <f t="shared" ref="F6:F17" si="3">IFERROR(E6/D6, "")</f>
        <v>-6.6567055711892531E-2</v>
      </c>
      <c r="G6" s="39">
        <v>186956.3</v>
      </c>
      <c r="H6" s="39">
        <f t="shared" si="1"/>
        <v>33194.700000000012</v>
      </c>
      <c r="I6" s="40">
        <f t="shared" si="2"/>
        <v>0.1775532570980492</v>
      </c>
      <c r="J6" s="57" t="s">
        <v>224</v>
      </c>
      <c r="K6" s="57" t="s">
        <v>225</v>
      </c>
    </row>
    <row r="7" spans="1:11" ht="15.75">
      <c r="A7" s="49" t="str">
        <v>Blair Wire Village</v>
      </c>
      <c r="B7" s="50" t="str">
        <v>MA</v>
      </c>
      <c r="C7" s="43">
        <v>114520</v>
      </c>
      <c r="D7" s="44">
        <v>155519.20000000001</v>
      </c>
      <c r="E7" s="44">
        <f t="shared" si="0"/>
        <v>-40999.200000000012</v>
      </c>
      <c r="F7" s="45">
        <f t="shared" si="3"/>
        <v>-0.26362789932046982</v>
      </c>
      <c r="G7" s="46">
        <v>96152</v>
      </c>
      <c r="H7" s="46">
        <f t="shared" si="1"/>
        <v>18368</v>
      </c>
      <c r="I7" s="45">
        <f t="shared" si="2"/>
        <v>0.19103086779266162</v>
      </c>
      <c r="J7" s="58"/>
      <c r="K7" s="59"/>
    </row>
    <row r="8" spans="1:11" ht="15.75">
      <c r="A8" s="51" t="str">
        <v>Boutilier</v>
      </c>
      <c r="B8" s="48" t="str">
        <v>MA</v>
      </c>
      <c r="C8" s="36">
        <v>310622</v>
      </c>
      <c r="D8" s="37">
        <v>336059.7</v>
      </c>
      <c r="E8" s="37">
        <f t="shared" si="0"/>
        <v>-25437.700000000012</v>
      </c>
      <c r="F8" s="38">
        <f t="shared" si="3"/>
        <v>-7.5693991275954872E-2</v>
      </c>
      <c r="G8" s="39">
        <v>187839.7</v>
      </c>
      <c r="H8" s="39">
        <f t="shared" si="1"/>
        <v>122782.29999999999</v>
      </c>
      <c r="I8" s="40">
        <f t="shared" si="2"/>
        <v>0.65365468535139259</v>
      </c>
      <c r="J8" s="57" t="s">
        <v>226</v>
      </c>
      <c r="K8" s="57" t="s">
        <v>227</v>
      </c>
    </row>
    <row r="9" spans="1:11" ht="28.5">
      <c r="A9" s="49" t="str">
        <v>Cherry Valley</v>
      </c>
      <c r="B9" s="50" t="str">
        <v>MA</v>
      </c>
      <c r="C9" s="43">
        <v>104205</v>
      </c>
      <c r="D9" s="44">
        <v>137452.29999999999</v>
      </c>
      <c r="E9" s="44">
        <f t="shared" si="0"/>
        <v>-33247.299999999988</v>
      </c>
      <c r="F9" s="45">
        <f t="shared" si="3"/>
        <v>-0.24188245667769831</v>
      </c>
      <c r="G9" s="46">
        <v>75332</v>
      </c>
      <c r="H9" s="46">
        <f t="shared" si="1"/>
        <v>28873</v>
      </c>
      <c r="I9" s="45">
        <f t="shared" si="2"/>
        <v>0.38327669516274626</v>
      </c>
      <c r="J9" s="58" t="s">
        <v>228</v>
      </c>
      <c r="K9" s="59" t="s">
        <v>229</v>
      </c>
    </row>
    <row r="10" spans="1:11" ht="15.75">
      <c r="A10" s="51" t="str">
        <v>Cohasse</v>
      </c>
      <c r="B10" s="48" t="str">
        <v>MA</v>
      </c>
      <c r="C10" s="36">
        <v>103363</v>
      </c>
      <c r="D10" s="37">
        <v>147950.39999999999</v>
      </c>
      <c r="E10" s="37">
        <f t="shared" si="0"/>
        <v>-44587.399999999994</v>
      </c>
      <c r="F10" s="38">
        <f t="shared" si="3"/>
        <v>-0.30136721495852664</v>
      </c>
      <c r="G10" s="39">
        <v>105566.9</v>
      </c>
      <c r="H10" s="39">
        <f t="shared" si="1"/>
        <v>-2203.8999999999942</v>
      </c>
      <c r="I10" s="40">
        <f t="shared" si="2"/>
        <v>-2.0876808924009272E-2</v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>
        <v>273478</v>
      </c>
      <c r="D11" s="44">
        <v>279591.90000000002</v>
      </c>
      <c r="E11" s="44">
        <f t="shared" si="0"/>
        <v>-6113.9000000000233</v>
      </c>
      <c r="F11" s="45">
        <f t="shared" si="3"/>
        <v>-2.1867228628583386E-2</v>
      </c>
      <c r="G11" s="46">
        <v>217281.1</v>
      </c>
      <c r="H11" s="46">
        <f t="shared" si="1"/>
        <v>56196.899999999994</v>
      </c>
      <c r="I11" s="45">
        <f t="shared" si="2"/>
        <v>0.25863685336644554</v>
      </c>
      <c r="J11" s="58"/>
      <c r="K11" s="79"/>
    </row>
    <row r="12" spans="1:11" ht="28.5">
      <c r="A12" s="51" t="str">
        <v>Dudley River 1</v>
      </c>
      <c r="B12" s="48" t="str">
        <v>MA</v>
      </c>
      <c r="C12" s="36">
        <v>117544</v>
      </c>
      <c r="D12" s="37">
        <v>127662.5</v>
      </c>
      <c r="E12" s="37">
        <f t="shared" si="0"/>
        <v>-10118.5</v>
      </c>
      <c r="F12" s="38">
        <f t="shared" si="3"/>
        <v>-7.9259766963673747E-2</v>
      </c>
      <c r="G12" s="39">
        <v>96793.49</v>
      </c>
      <c r="H12" s="39">
        <f t="shared" si="1"/>
        <v>20750.509999999995</v>
      </c>
      <c r="I12" s="40">
        <f t="shared" si="2"/>
        <v>0.21437919017074386</v>
      </c>
      <c r="J12" s="57" t="s">
        <v>230</v>
      </c>
      <c r="K12" s="57" t="s">
        <v>231</v>
      </c>
    </row>
    <row r="13" spans="1:11" ht="15.75">
      <c r="A13" s="49" t="str">
        <v>Dudley River 2</v>
      </c>
      <c r="B13" s="50" t="str">
        <v>MA</v>
      </c>
      <c r="C13" s="43">
        <v>117265</v>
      </c>
      <c r="D13" s="44">
        <v>122557.1</v>
      </c>
      <c r="E13" s="44">
        <f t="shared" si="0"/>
        <v>-5292.1000000000058</v>
      </c>
      <c r="F13" s="45">
        <f t="shared" si="3"/>
        <v>-4.318068883810082E-2</v>
      </c>
      <c r="G13" s="46">
        <v>93162.2</v>
      </c>
      <c r="H13" s="46">
        <f t="shared" si="1"/>
        <v>24102.800000000003</v>
      </c>
      <c r="I13" s="45">
        <f t="shared" si="2"/>
        <v>0.25871866486622258</v>
      </c>
      <c r="J13" s="58"/>
      <c r="K13" s="59"/>
    </row>
    <row r="14" spans="1:11" ht="15.75">
      <c r="A14" s="51" t="str">
        <v>Dudley River 3</v>
      </c>
      <c r="B14" s="48" t="str">
        <v>MA</v>
      </c>
      <c r="C14" s="36">
        <v>124023</v>
      </c>
      <c r="D14" s="37">
        <v>124241.1</v>
      </c>
      <c r="E14" s="37">
        <f t="shared" si="0"/>
        <v>-218.10000000000582</v>
      </c>
      <c r="F14" s="38">
        <f t="shared" si="3"/>
        <v>-1.7554577350007833E-3</v>
      </c>
      <c r="G14" s="39">
        <v>95189.55</v>
      </c>
      <c r="H14" s="39">
        <f t="shared" si="1"/>
        <v>28833.449999999997</v>
      </c>
      <c r="I14" s="40">
        <f t="shared" si="2"/>
        <v>0.30290562356897366</v>
      </c>
      <c r="J14" s="57"/>
      <c r="K14" s="57"/>
    </row>
    <row r="15" spans="1:11" ht="15.75">
      <c r="A15" s="49" t="str">
        <v>Flint Pond</v>
      </c>
      <c r="B15" s="50" t="str">
        <v>MA</v>
      </c>
      <c r="C15" s="43">
        <v>45452</v>
      </c>
      <c r="D15" s="44">
        <v>69049.91</v>
      </c>
      <c r="E15" s="44">
        <f t="shared" si="0"/>
        <v>-23597.910000000003</v>
      </c>
      <c r="F15" s="45">
        <f t="shared" si="3"/>
        <v>-0.34175149540383182</v>
      </c>
      <c r="G15" s="46">
        <v>32787.97</v>
      </c>
      <c r="H15" s="46">
        <f t="shared" si="1"/>
        <v>12664.029999999999</v>
      </c>
      <c r="I15" s="45">
        <f t="shared" si="2"/>
        <v>0.38624013624509229</v>
      </c>
      <c r="J15" s="58"/>
      <c r="K15" s="59"/>
    </row>
    <row r="16" spans="1:11" ht="15.75">
      <c r="A16" s="51" t="str">
        <v>Incom</v>
      </c>
      <c r="B16" s="48" t="str">
        <v>MA</v>
      </c>
      <c r="C16" s="36">
        <v>244636</v>
      </c>
      <c r="D16" s="37">
        <v>283512.3</v>
      </c>
      <c r="E16" s="37">
        <f t="shared" si="0"/>
        <v>-38876.299999999988</v>
      </c>
      <c r="F16" s="38">
        <f>IFERROR(E16/D16, "")</f>
        <v>-0.13712385670745145</v>
      </c>
      <c r="G16" s="39">
        <v>205655.8</v>
      </c>
      <c r="H16" s="39">
        <f t="shared" si="1"/>
        <v>38980.200000000012</v>
      </c>
      <c r="I16" s="40">
        <f t="shared" si="2"/>
        <v>0.18954097088436123</v>
      </c>
      <c r="J16" s="57"/>
      <c r="K16" s="57"/>
    </row>
    <row r="17" spans="1:11" ht="15.75">
      <c r="A17" s="49" t="str">
        <v>JH</v>
      </c>
      <c r="B17" s="50" t="str">
        <v>MA</v>
      </c>
      <c r="C17" s="43">
        <v>99322</v>
      </c>
      <c r="D17" s="44">
        <v>149009.20000000001</v>
      </c>
      <c r="E17" s="44">
        <f t="shared" si="0"/>
        <v>-49687.200000000012</v>
      </c>
      <c r="F17" s="45">
        <f t="shared" si="3"/>
        <v>-0.33345055204645085</v>
      </c>
      <c r="G17" s="46">
        <v>98474.7</v>
      </c>
      <c r="H17" s="46">
        <f t="shared" si="1"/>
        <v>847.30000000000291</v>
      </c>
      <c r="I17" s="45">
        <f t="shared" si="2"/>
        <v>8.6042404800421111E-3</v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>
        <v>88478</v>
      </c>
      <c r="D18" s="37">
        <v>106277.5</v>
      </c>
      <c r="E18" s="37">
        <f t="shared" ref="E18:E24" si="4">IF(AND(ISNUMBER(C18),ISNUMBER(D18)), C18-D18, "")</f>
        <v>-17799.5</v>
      </c>
      <c r="F18" s="38">
        <f t="shared" ref="F18:F24" si="5">IFERROR(E18/D18, "")</f>
        <v>-0.16748135776622522</v>
      </c>
      <c r="G18" s="39">
        <v>92406.57</v>
      </c>
      <c r="H18" s="39">
        <f t="shared" ref="H18:H24" si="6">IF(AND(ISNUMBER(C18),ISNUMBER(G18)), C18-G18, "")</f>
        <v>-3928.570000000007</v>
      </c>
      <c r="I18" s="40">
        <f t="shared" ref="I18:I24" si="7">IFERROR(H18/G18, "")</f>
        <v>-4.2513968433196977E-2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227018</v>
      </c>
      <c r="D19" s="44">
        <v>295941.2</v>
      </c>
      <c r="E19" s="44">
        <f t="shared" si="4"/>
        <v>-68923.200000000012</v>
      </c>
      <c r="F19" s="45">
        <f t="shared" si="5"/>
        <v>-0.23289491290837508</v>
      </c>
      <c r="G19" s="46">
        <v>230282</v>
      </c>
      <c r="H19" s="46">
        <f t="shared" si="6"/>
        <v>-3264</v>
      </c>
      <c r="I19" s="45">
        <f t="shared" si="7"/>
        <v>-1.4173925882179242E-2</v>
      </c>
      <c r="J19" s="58"/>
      <c r="K19" s="58"/>
    </row>
    <row r="20" spans="1:11" ht="15.75">
      <c r="A20" s="51" t="str">
        <v>Palombo B</v>
      </c>
      <c r="B20" s="48" t="str">
        <v>MA</v>
      </c>
      <c r="C20" s="36">
        <v>94387</v>
      </c>
      <c r="D20" s="37">
        <v>146507.20000000001</v>
      </c>
      <c r="E20" s="37">
        <f t="shared" si="4"/>
        <v>-52120.200000000012</v>
      </c>
      <c r="F20" s="38">
        <f t="shared" si="5"/>
        <v>-0.35575179922897993</v>
      </c>
      <c r="G20" s="39">
        <v>70728.03</v>
      </c>
      <c r="H20" s="39">
        <f t="shared" si="6"/>
        <v>23658.97</v>
      </c>
      <c r="I20" s="40">
        <f t="shared" si="7"/>
        <v>0.3345062770728946</v>
      </c>
      <c r="J20" s="57"/>
      <c r="K20" s="57"/>
    </row>
    <row r="21" spans="1:11" ht="15.75">
      <c r="A21" s="49" t="str">
        <v>St Josephs Church</v>
      </c>
      <c r="B21" s="50" t="str">
        <v>MA</v>
      </c>
      <c r="C21" s="43">
        <v>108645</v>
      </c>
      <c r="D21" s="44">
        <v>154304.5</v>
      </c>
      <c r="E21" s="44">
        <f t="shared" si="4"/>
        <v>-45659.5</v>
      </c>
      <c r="F21" s="45">
        <f t="shared" si="5"/>
        <v>-0.29590517450884452</v>
      </c>
      <c r="G21" s="46">
        <v>86473.08</v>
      </c>
      <c r="H21" s="46">
        <f t="shared" si="6"/>
        <v>22171.919999999998</v>
      </c>
      <c r="I21" s="45">
        <f t="shared" si="7"/>
        <v>0.25640257060347565</v>
      </c>
      <c r="J21" s="58"/>
      <c r="K21" s="59"/>
    </row>
    <row r="22" spans="1:11" ht="15.75">
      <c r="A22" s="51" t="str">
        <v>Sunset A</v>
      </c>
      <c r="B22" s="48" t="str">
        <v>MA</v>
      </c>
      <c r="C22" s="36">
        <v>48560</v>
      </c>
      <c r="D22" s="37">
        <v>75720.88</v>
      </c>
      <c r="E22" s="37">
        <f t="shared" si="4"/>
        <v>-27160.880000000005</v>
      </c>
      <c r="F22" s="38">
        <f t="shared" si="5"/>
        <v>-0.35869736326360713</v>
      </c>
      <c r="G22" s="39">
        <v>32214.39</v>
      </c>
      <c r="H22" s="39">
        <f t="shared" si="6"/>
        <v>16345.61</v>
      </c>
      <c r="I22" s="40">
        <f t="shared" si="7"/>
        <v>0.50740088513238957</v>
      </c>
      <c r="J22" s="57"/>
      <c r="K22" s="57"/>
    </row>
    <row r="23" spans="1:11" ht="15.75">
      <c r="A23" s="49" t="str">
        <v>Sunset B</v>
      </c>
      <c r="B23" s="50" t="str">
        <v>MA</v>
      </c>
      <c r="C23" s="43">
        <v>46778.25</v>
      </c>
      <c r="D23" s="44">
        <v>53410.53</v>
      </c>
      <c r="E23" s="44">
        <f t="shared" si="4"/>
        <v>-6632.2799999999988</v>
      </c>
      <c r="F23" s="45">
        <f t="shared" si="5"/>
        <v>-0.12417551370488177</v>
      </c>
      <c r="G23" s="46">
        <v>31829.39</v>
      </c>
      <c r="H23" s="46">
        <f t="shared" si="6"/>
        <v>14948.86</v>
      </c>
      <c r="I23" s="45">
        <f t="shared" si="7"/>
        <v>0.46965587464918435</v>
      </c>
      <c r="J23" s="58"/>
      <c r="K23" s="59"/>
    </row>
    <row r="24" spans="1:11" ht="15.75">
      <c r="A24" s="51" t="str">
        <v>Woodchuck</v>
      </c>
      <c r="B24" s="48" t="str">
        <v>MA</v>
      </c>
      <c r="C24" s="36">
        <v>101409</v>
      </c>
      <c r="D24" s="37">
        <v>120011.6</v>
      </c>
      <c r="E24" s="37">
        <f t="shared" si="4"/>
        <v>-18602.600000000006</v>
      </c>
      <c r="F24" s="38">
        <f t="shared" si="5"/>
        <v>-0.15500668268734027</v>
      </c>
      <c r="G24" s="39">
        <v>90922.98</v>
      </c>
      <c r="H24" s="39">
        <f t="shared" si="6"/>
        <v>10486.020000000004</v>
      </c>
      <c r="I24" s="40">
        <f t="shared" si="7"/>
        <v>0.11532860009647732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M341"/>
  <sheetViews>
    <sheetView zoomScale="70" zoomScaleNormal="70" workbookViewId="0">
      <pane xSplit="2" ySplit="3" topLeftCell="F4" activePane="bottomRight" state="frozen"/>
      <selection pane="bottomRight" activeCell="J10" sqref="J10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85" t="str" cm="1">
        <f t="array" ref="A1">portfolio</f>
        <v>38 DN</v>
      </c>
      <c r="B1" s="85"/>
      <c r="C1" s="85"/>
      <c r="D1" s="86" t="s">
        <v>232</v>
      </c>
      <c r="E1" s="86"/>
      <c r="F1" s="86"/>
      <c r="G1" s="84" t="s">
        <v>233</v>
      </c>
      <c r="H1" s="84"/>
      <c r="I1" s="84"/>
      <c r="J1" s="4"/>
      <c r="K1" s="4"/>
    </row>
    <row r="2" spans="1:13" ht="19.5" customHeight="1">
      <c r="A2" s="87" t="s">
        <v>2</v>
      </c>
      <c r="B2" s="87"/>
      <c r="C2" s="5">
        <f>SUM(C4:C99)</f>
        <v>1655205.7351610451</v>
      </c>
      <c r="D2" s="5">
        <f>SUM(D4:D99)</f>
        <v>2752094.65</v>
      </c>
      <c r="E2" s="5">
        <f>C2-D2</f>
        <v>-1096888.9148389548</v>
      </c>
      <c r="F2" s="6">
        <f>IFERROR(E2/D2, 0)</f>
        <v>-0.39856511288191154</v>
      </c>
      <c r="G2" s="5">
        <f>SUM(G4:G99)</f>
        <v>2023994.1600000001</v>
      </c>
      <c r="H2" s="7">
        <f>C2-G2</f>
        <v>-368788.42483895505</v>
      </c>
      <c r="I2" s="6">
        <f>IFERROR(H2/G2, 0)</f>
        <v>-0.18220824552129886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3" ht="15.7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100347.981838786</v>
      </c>
      <c r="D4" s="37">
        <v>67888.399999999994</v>
      </c>
      <c r="E4" s="37">
        <f>IF(AND(ISNUMBER(C4),ISNUMBER(D4)), C4-D4, "")</f>
        <v>32459.581838786005</v>
      </c>
      <c r="F4" s="38">
        <f>IFERROR(E4/D4, "")</f>
        <v>0.47813148989792081</v>
      </c>
      <c r="G4" s="39">
        <v>137887.1</v>
      </c>
      <c r="H4" s="39">
        <f>IF(AND(ISNUMBER(C4),ISNUMBER(G4)), C4-G4, "")</f>
        <v>-37539.118161214006</v>
      </c>
      <c r="I4" s="40">
        <f>IFERROR(H4/G4, "")</f>
        <v>-0.27224532361050457</v>
      </c>
      <c r="J4" s="57" t="s">
        <v>234</v>
      </c>
      <c r="K4" s="57" t="s">
        <v>235</v>
      </c>
    </row>
    <row r="5" spans="1:13" ht="15.75">
      <c r="A5" s="49" t="str">
        <v>Barton Acres</v>
      </c>
      <c r="B5" s="50" t="str">
        <v>MA</v>
      </c>
      <c r="C5" s="43">
        <v>54335</v>
      </c>
      <c r="D5" s="44">
        <v>121611.7</v>
      </c>
      <c r="E5" s="44">
        <f t="shared" ref="E5:E24" si="0">IF(AND(ISNUMBER(C5),ISNUMBER(D5)), C5-D5, "")</f>
        <v>-67276.7</v>
      </c>
      <c r="F5" s="45">
        <f>IFERROR(E5/D5, "")</f>
        <v>-0.55320910734740159</v>
      </c>
      <c r="G5" s="46">
        <v>55871.41</v>
      </c>
      <c r="H5" s="46">
        <f t="shared" ref="H5:H24" si="1">IF(AND(ISNUMBER(C5),ISNUMBER(G5)), C5-G5, "")</f>
        <v>-1536.4100000000035</v>
      </c>
      <c r="I5" s="45">
        <f t="shared" ref="I5:I24" si="2">IFERROR(H5/G5, "")</f>
        <v>-2.7499037522052933E-2</v>
      </c>
      <c r="J5" s="58"/>
      <c r="K5" s="58"/>
    </row>
    <row r="6" spans="1:13" ht="28.5">
      <c r="A6" s="51" t="str">
        <v>Bowden</v>
      </c>
      <c r="B6" s="48" t="str">
        <v>MA</v>
      </c>
      <c r="C6" s="36">
        <v>113321</v>
      </c>
      <c r="D6" s="37">
        <v>183336.8</v>
      </c>
      <c r="E6" s="37">
        <f t="shared" si="0"/>
        <v>-70015.799999999988</v>
      </c>
      <c r="F6" s="38">
        <f t="shared" ref="F6:F24" si="3">IFERROR(E6/D6, "")</f>
        <v>-0.38189714230858174</v>
      </c>
      <c r="G6" s="39">
        <v>152061.9</v>
      </c>
      <c r="H6" s="39">
        <f t="shared" si="1"/>
        <v>-38740.899999999994</v>
      </c>
      <c r="I6" s="40">
        <f t="shared" si="2"/>
        <v>-0.2547705901346754</v>
      </c>
      <c r="J6" s="57" t="s">
        <v>236</v>
      </c>
      <c r="K6" s="57" t="s">
        <v>237</v>
      </c>
    </row>
    <row r="7" spans="1:13" ht="15.75">
      <c r="A7" s="49" t="str">
        <v>Blair Wire Village</v>
      </c>
      <c r="B7" s="50" t="str">
        <v>MA</v>
      </c>
      <c r="C7" s="43">
        <v>64604</v>
      </c>
      <c r="D7" s="44">
        <v>132303</v>
      </c>
      <c r="E7" s="44">
        <f t="shared" si="0"/>
        <v>-67699</v>
      </c>
      <c r="F7" s="45">
        <f t="shared" si="3"/>
        <v>-0.51169663575277957</v>
      </c>
      <c r="G7" s="46">
        <v>78530.880000000005</v>
      </c>
      <c r="H7" s="46">
        <f t="shared" si="1"/>
        <v>-13926.880000000005</v>
      </c>
      <c r="I7" s="45">
        <f t="shared" si="2"/>
        <v>-0.17734272174207144</v>
      </c>
      <c r="J7" s="58"/>
      <c r="K7" s="59"/>
    </row>
    <row r="8" spans="1:13" ht="15.75">
      <c r="A8" s="51" t="str">
        <v>Boutilier</v>
      </c>
      <c r="B8" s="48" t="str">
        <v>MA</v>
      </c>
      <c r="C8" s="36">
        <v>179200</v>
      </c>
      <c r="D8" s="37">
        <v>277827.09999999998</v>
      </c>
      <c r="E8" s="37">
        <f t="shared" si="0"/>
        <v>-98627.099999999977</v>
      </c>
      <c r="F8" s="38">
        <f t="shared" si="3"/>
        <v>-0.35499452717175534</v>
      </c>
      <c r="G8" s="39">
        <v>153373.4</v>
      </c>
      <c r="H8" s="39">
        <f t="shared" si="1"/>
        <v>25826.600000000006</v>
      </c>
      <c r="I8" s="40">
        <f t="shared" si="2"/>
        <v>0.1683903466963633</v>
      </c>
      <c r="J8" s="57"/>
      <c r="K8" s="57"/>
    </row>
    <row r="9" spans="1:13" ht="71.25">
      <c r="A9" s="49" t="str">
        <v>Cherry Valley</v>
      </c>
      <c r="B9" s="50" t="str">
        <v>MA</v>
      </c>
      <c r="C9" s="43">
        <v>52632</v>
      </c>
      <c r="D9" s="44">
        <v>129741.1</v>
      </c>
      <c r="E9" s="44">
        <f t="shared" si="0"/>
        <v>-77109.100000000006</v>
      </c>
      <c r="F9" s="45">
        <f t="shared" si="3"/>
        <v>-0.59433055523654421</v>
      </c>
      <c r="G9" s="46">
        <v>63584</v>
      </c>
      <c r="H9" s="46">
        <f t="shared" si="1"/>
        <v>-10952</v>
      </c>
      <c r="I9" s="45">
        <f t="shared" si="2"/>
        <v>-0.17224458983392049</v>
      </c>
      <c r="J9" s="67" t="s">
        <v>238</v>
      </c>
      <c r="K9" s="81" t="s">
        <v>239</v>
      </c>
    </row>
    <row r="10" spans="1:13" ht="15.75">
      <c r="A10" s="51" t="str">
        <v>Cohasse</v>
      </c>
      <c r="B10" s="48" t="str">
        <v>MA</v>
      </c>
      <c r="C10" s="36">
        <v>58714</v>
      </c>
      <c r="D10" s="37">
        <v>124760.2</v>
      </c>
      <c r="E10" s="37">
        <f t="shared" si="0"/>
        <v>-66046.2</v>
      </c>
      <c r="F10" s="38">
        <f t="shared" si="3"/>
        <v>-0.52938517251495265</v>
      </c>
      <c r="G10" s="39">
        <v>96248.19</v>
      </c>
      <c r="H10" s="39">
        <f t="shared" si="1"/>
        <v>-37534.19</v>
      </c>
      <c r="I10" s="40">
        <f t="shared" si="2"/>
        <v>-0.38997294390678933</v>
      </c>
      <c r="J10" s="57"/>
      <c r="K10" s="57"/>
    </row>
    <row r="11" spans="1:13" ht="42.75">
      <c r="A11" s="49" t="str">
        <v>ISM Dighton Solar 2</v>
      </c>
      <c r="B11" s="50" t="str">
        <v>MA</v>
      </c>
      <c r="C11" s="43">
        <v>186658</v>
      </c>
      <c r="D11" s="44">
        <v>223830.39999999999</v>
      </c>
      <c r="E11" s="44">
        <f t="shared" si="0"/>
        <v>-37172.399999999994</v>
      </c>
      <c r="F11" s="45">
        <f t="shared" si="3"/>
        <v>-0.16607395599525351</v>
      </c>
      <c r="G11" s="46">
        <v>186275.7</v>
      </c>
      <c r="H11" s="46">
        <f t="shared" si="1"/>
        <v>382.29999999998836</v>
      </c>
      <c r="I11" s="45">
        <f t="shared" si="2"/>
        <v>2.0523342550852761E-3</v>
      </c>
      <c r="J11" s="58" t="s">
        <v>240</v>
      </c>
      <c r="K11" s="79" t="s">
        <v>241</v>
      </c>
      <c r="M11" t="s">
        <v>242</v>
      </c>
    </row>
    <row r="12" spans="1:13" ht="28.5">
      <c r="A12" s="51" t="str">
        <v>Dudley River 1</v>
      </c>
      <c r="B12" s="48" t="str">
        <v>MA</v>
      </c>
      <c r="C12" s="36">
        <v>67663</v>
      </c>
      <c r="D12" s="37">
        <v>97857.22</v>
      </c>
      <c r="E12" s="37">
        <f t="shared" si="0"/>
        <v>-30194.22</v>
      </c>
      <c r="F12" s="38">
        <f t="shared" si="3"/>
        <v>-0.30855382975318529</v>
      </c>
      <c r="G12" s="39">
        <v>79277.460000000006</v>
      </c>
      <c r="H12" s="39">
        <f t="shared" si="1"/>
        <v>-11614.460000000006</v>
      </c>
      <c r="I12" s="40">
        <f t="shared" si="2"/>
        <v>-0.14650393693238917</v>
      </c>
      <c r="J12" s="66" t="s">
        <v>243</v>
      </c>
      <c r="K12" s="66" t="s">
        <v>244</v>
      </c>
    </row>
    <row r="13" spans="1:13" ht="15.75">
      <c r="A13" s="49" t="str">
        <v>Dudley River 2</v>
      </c>
      <c r="B13" s="50" t="str">
        <v>MA</v>
      </c>
      <c r="C13" s="43">
        <v>70508</v>
      </c>
      <c r="D13" s="44">
        <v>97063.84</v>
      </c>
      <c r="E13" s="44">
        <f t="shared" si="0"/>
        <v>-26555.839999999997</v>
      </c>
      <c r="F13" s="45">
        <f t="shared" si="3"/>
        <v>-0.27359148370804204</v>
      </c>
      <c r="G13" s="46">
        <v>78069.62</v>
      </c>
      <c r="H13" s="46">
        <f t="shared" si="1"/>
        <v>-7561.6199999999953</v>
      </c>
      <c r="I13" s="45">
        <f t="shared" si="2"/>
        <v>-9.6857394720250928E-2</v>
      </c>
      <c r="J13" s="58"/>
      <c r="K13" s="59"/>
    </row>
    <row r="14" spans="1:13" ht="15.75">
      <c r="A14" s="51" t="str">
        <v>Dudley River 3</v>
      </c>
      <c r="B14" s="48" t="str">
        <v>MA</v>
      </c>
      <c r="C14" s="36">
        <v>79292</v>
      </c>
      <c r="D14" s="37">
        <v>99036.72</v>
      </c>
      <c r="E14" s="37">
        <f t="shared" si="0"/>
        <v>-19744.72</v>
      </c>
      <c r="F14" s="38">
        <f t="shared" si="3"/>
        <v>-0.19936766888079493</v>
      </c>
      <c r="G14" s="39">
        <v>80964.67</v>
      </c>
      <c r="H14" s="39">
        <f t="shared" si="1"/>
        <v>-1672.6699999999983</v>
      </c>
      <c r="I14" s="40">
        <f t="shared" si="2"/>
        <v>-2.0659257920769617E-2</v>
      </c>
      <c r="J14" s="66"/>
      <c r="K14" s="66"/>
    </row>
    <row r="15" spans="1:13" ht="15.75">
      <c r="A15" s="49" t="str">
        <v>Flint Pond</v>
      </c>
      <c r="B15" s="50" t="str">
        <v>MA</v>
      </c>
      <c r="C15" s="43">
        <v>26224.5</v>
      </c>
      <c r="D15" s="44">
        <v>58372.52</v>
      </c>
      <c r="E15" s="44">
        <f t="shared" si="0"/>
        <v>-32148.019999999997</v>
      </c>
      <c r="F15" s="45">
        <f t="shared" si="3"/>
        <v>-0.55073894359880293</v>
      </c>
      <c r="G15" s="46">
        <v>26879.85</v>
      </c>
      <c r="H15" s="46">
        <f t="shared" si="1"/>
        <v>-655.34999999999854</v>
      </c>
      <c r="I15" s="45">
        <f t="shared" si="2"/>
        <v>-2.4380716410247773E-2</v>
      </c>
      <c r="J15" s="83" t="s">
        <v>245</v>
      </c>
      <c r="K15" s="80" t="s">
        <v>246</v>
      </c>
    </row>
    <row r="16" spans="1:13" ht="42.75">
      <c r="A16" s="51" t="str">
        <v>Incom</v>
      </c>
      <c r="B16" s="48" t="str">
        <v>MA</v>
      </c>
      <c r="C16" s="36">
        <v>137144</v>
      </c>
      <c r="D16" s="37">
        <v>231011.4</v>
      </c>
      <c r="E16" s="37">
        <f t="shared" si="0"/>
        <v>-93867.4</v>
      </c>
      <c r="F16" s="38">
        <f t="shared" si="3"/>
        <v>-0.4063323281881327</v>
      </c>
      <c r="G16" s="39">
        <v>186188.5</v>
      </c>
      <c r="H16" s="39">
        <f t="shared" si="1"/>
        <v>-49044.5</v>
      </c>
      <c r="I16" s="40">
        <f t="shared" si="2"/>
        <v>-0.26341315387362807</v>
      </c>
      <c r="J16" s="82" t="s">
        <v>247</v>
      </c>
      <c r="K16" s="57" t="s">
        <v>248</v>
      </c>
    </row>
    <row r="17" spans="1:11" ht="15.75">
      <c r="A17" s="49" t="str">
        <v>JH</v>
      </c>
      <c r="B17" s="50" t="str">
        <v>MA</v>
      </c>
      <c r="C17" s="43">
        <v>56647</v>
      </c>
      <c r="D17" s="44">
        <v>127226.8</v>
      </c>
      <c r="E17" s="44">
        <f t="shared" si="0"/>
        <v>-70579.8</v>
      </c>
      <c r="F17" s="45">
        <f t="shared" si="3"/>
        <v>-0.55475575900675012</v>
      </c>
      <c r="G17" s="46">
        <v>88609.01</v>
      </c>
      <c r="H17" s="46">
        <f t="shared" si="1"/>
        <v>-31962.009999999995</v>
      </c>
      <c r="I17" s="45">
        <f t="shared" si="2"/>
        <v>-0.3607083523447559</v>
      </c>
      <c r="J17" s="58"/>
      <c r="K17" s="80"/>
    </row>
    <row r="18" spans="1:11" ht="16.5" customHeight="1">
      <c r="A18" s="51" t="str">
        <v>Ledeaux</v>
      </c>
      <c r="B18" s="48" t="str">
        <v>MA</v>
      </c>
      <c r="C18" s="36">
        <v>50105</v>
      </c>
      <c r="D18" s="37">
        <v>82979.789999999994</v>
      </c>
      <c r="E18" s="37">
        <f t="shared" si="0"/>
        <v>-32874.789999999994</v>
      </c>
      <c r="F18" s="38">
        <f t="shared" si="3"/>
        <v>-0.39617827425207991</v>
      </c>
      <c r="G18" s="39">
        <v>82564.87</v>
      </c>
      <c r="H18" s="39">
        <f t="shared" si="1"/>
        <v>-32459.869999999995</v>
      </c>
      <c r="I18" s="40">
        <f t="shared" si="2"/>
        <v>-0.39314383950462223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139685.003322259</v>
      </c>
      <c r="D19" s="44">
        <v>243093.8</v>
      </c>
      <c r="E19" s="44">
        <f t="shared" si="0"/>
        <v>-103408.79667774099</v>
      </c>
      <c r="F19" s="45">
        <f t="shared" si="3"/>
        <v>-0.42538640096020958</v>
      </c>
      <c r="G19" s="46">
        <v>212224</v>
      </c>
      <c r="H19" s="46">
        <f t="shared" si="1"/>
        <v>-72538.996677741001</v>
      </c>
      <c r="I19" s="45">
        <f t="shared" si="2"/>
        <v>-0.3418039273491264</v>
      </c>
      <c r="J19" s="58"/>
      <c r="K19" s="58"/>
    </row>
    <row r="20" spans="1:11" ht="15.75">
      <c r="A20" s="51" t="str">
        <v>Palombo B</v>
      </c>
      <c r="B20" s="48" t="str">
        <v>MA</v>
      </c>
      <c r="C20" s="36">
        <v>53902</v>
      </c>
      <c r="D20" s="37">
        <v>124949.2</v>
      </c>
      <c r="E20" s="37">
        <f t="shared" si="0"/>
        <v>-71047.199999999997</v>
      </c>
      <c r="F20" s="38">
        <f t="shared" si="3"/>
        <v>-0.56860868256859587</v>
      </c>
      <c r="G20" s="39">
        <v>57627.33</v>
      </c>
      <c r="H20" s="39">
        <f t="shared" si="1"/>
        <v>-3725.3300000000017</v>
      </c>
      <c r="I20" s="40">
        <f t="shared" si="2"/>
        <v>-6.464519525718096E-2</v>
      </c>
      <c r="J20" s="57"/>
      <c r="K20" s="57"/>
    </row>
    <row r="21" spans="1:11" ht="15.75">
      <c r="A21" s="49" t="str">
        <v>St Josephs Church</v>
      </c>
      <c r="B21" s="50" t="str">
        <v>MA</v>
      </c>
      <c r="C21" s="43">
        <v>61443</v>
      </c>
      <c r="D21" s="44">
        <v>130398.7</v>
      </c>
      <c r="E21" s="44">
        <f t="shared" si="0"/>
        <v>-68955.7</v>
      </c>
      <c r="F21" s="45">
        <f t="shared" si="3"/>
        <v>-0.52880665221355738</v>
      </c>
      <c r="G21" s="46">
        <v>75859.399999999994</v>
      </c>
      <c r="H21" s="46">
        <f t="shared" si="1"/>
        <v>-14416.399999999994</v>
      </c>
      <c r="I21" s="45">
        <f t="shared" si="2"/>
        <v>-0.19004104962601859</v>
      </c>
      <c r="J21" s="58"/>
      <c r="K21" s="59"/>
    </row>
    <row r="22" spans="1:11" ht="30.75">
      <c r="A22" s="51" t="str">
        <v>Sunset A</v>
      </c>
      <c r="B22" s="48" t="str">
        <v>MA</v>
      </c>
      <c r="C22" s="36">
        <v>23047</v>
      </c>
      <c r="D22" s="37">
        <v>61232.34</v>
      </c>
      <c r="E22" s="37">
        <f t="shared" si="0"/>
        <v>-38185.339999999997</v>
      </c>
      <c r="F22" s="38">
        <f t="shared" si="3"/>
        <v>-0.62361392688896089</v>
      </c>
      <c r="G22" s="39">
        <v>26302.6</v>
      </c>
      <c r="H22" s="39">
        <f t="shared" si="1"/>
        <v>-3255.5999999999985</v>
      </c>
      <c r="I22" s="40">
        <f t="shared" si="2"/>
        <v>-0.12377483594777698</v>
      </c>
      <c r="J22" s="76" t="s">
        <v>249</v>
      </c>
      <c r="K22" s="57" t="s">
        <v>250</v>
      </c>
    </row>
    <row r="23" spans="1:11" ht="28.5">
      <c r="A23" s="49" t="str">
        <v>Sunset B</v>
      </c>
      <c r="B23" s="50" t="str">
        <v>MA</v>
      </c>
      <c r="C23" s="43">
        <v>23378.25</v>
      </c>
      <c r="D23" s="44">
        <v>41782.339999999997</v>
      </c>
      <c r="E23" s="44">
        <f t="shared" si="0"/>
        <v>-18404.089999999997</v>
      </c>
      <c r="F23" s="45">
        <f t="shared" si="3"/>
        <v>-0.44047533000784539</v>
      </c>
      <c r="G23" s="46">
        <v>25989.07</v>
      </c>
      <c r="H23" s="46">
        <f t="shared" si="1"/>
        <v>-2610.8199999999997</v>
      </c>
      <c r="I23" s="45">
        <f t="shared" si="2"/>
        <v>-0.10045838500569662</v>
      </c>
      <c r="J23" s="70" t="s">
        <v>251</v>
      </c>
      <c r="K23" s="77" t="s">
        <v>252</v>
      </c>
    </row>
    <row r="24" spans="1:11" ht="15.75">
      <c r="A24" s="51" t="str">
        <v>Woodchuck</v>
      </c>
      <c r="B24" s="48" t="str">
        <v>MA</v>
      </c>
      <c r="C24" s="36">
        <v>56355</v>
      </c>
      <c r="D24" s="37">
        <v>95791.28</v>
      </c>
      <c r="E24" s="37">
        <f t="shared" si="0"/>
        <v>-39436.28</v>
      </c>
      <c r="F24" s="38">
        <f t="shared" si="3"/>
        <v>-0.41168966528059758</v>
      </c>
      <c r="G24" s="39">
        <v>79605.2</v>
      </c>
      <c r="H24" s="39">
        <f t="shared" si="1"/>
        <v>-23250.199999999997</v>
      </c>
      <c r="I24" s="40">
        <f t="shared" si="2"/>
        <v>-0.29206885982322761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0"/>
  <sheetViews>
    <sheetView workbookViewId="0">
      <pane ySplit="3" topLeftCell="A4" activePane="bottomLeft" state="frozen"/>
      <selection pane="bottomLeft" activeCell="B30" sqref="B3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253</v>
      </c>
      <c r="B1" t="s">
        <v>254</v>
      </c>
    </row>
    <row r="3" spans="1:12">
      <c r="A3" t="s">
        <v>255</v>
      </c>
      <c r="B3" t="s">
        <v>3</v>
      </c>
      <c r="C3" t="s">
        <v>4</v>
      </c>
      <c r="D3" t="s">
        <v>256</v>
      </c>
      <c r="E3" s="2" t="s">
        <v>257</v>
      </c>
    </row>
    <row r="4" spans="1:12" ht="14.25">
      <c r="A4" s="26" t="s">
        <v>258</v>
      </c>
      <c r="B4" t="s">
        <v>258</v>
      </c>
      <c r="C4" s="25" t="s">
        <v>259</v>
      </c>
      <c r="D4" s="24" t="s">
        <v>260</v>
      </c>
      <c r="E4" t="s">
        <v>261</v>
      </c>
      <c r="G4" s="3"/>
    </row>
    <row r="5" spans="1:12" ht="14.25">
      <c r="A5" s="26" t="s">
        <v>262</v>
      </c>
      <c r="B5" t="s">
        <v>262</v>
      </c>
      <c r="C5" s="25" t="s">
        <v>263</v>
      </c>
      <c r="D5" s="24" t="s">
        <v>260</v>
      </c>
      <c r="E5" t="s">
        <v>261</v>
      </c>
      <c r="G5" s="3"/>
    </row>
    <row r="6" spans="1:12" ht="14.25">
      <c r="A6" s="26" t="s">
        <v>264</v>
      </c>
      <c r="B6" t="s">
        <v>264</v>
      </c>
      <c r="C6" s="25" t="s">
        <v>263</v>
      </c>
      <c r="D6" s="24" t="s">
        <v>260</v>
      </c>
      <c r="E6" t="s">
        <v>261</v>
      </c>
      <c r="G6" s="3"/>
    </row>
    <row r="7" spans="1:12" ht="12.75" customHeight="1">
      <c r="A7" s="26" t="s">
        <v>265</v>
      </c>
      <c r="B7" t="s">
        <v>265</v>
      </c>
      <c r="C7" s="25" t="s">
        <v>263</v>
      </c>
      <c r="D7" s="24" t="s">
        <v>260</v>
      </c>
      <c r="E7" t="s">
        <v>261</v>
      </c>
    </row>
    <row r="8" spans="1:12" ht="12.75" customHeight="1">
      <c r="A8" s="26" t="s">
        <v>266</v>
      </c>
      <c r="B8" t="s">
        <v>266</v>
      </c>
      <c r="C8" s="25" t="s">
        <v>263</v>
      </c>
      <c r="D8" s="24" t="s">
        <v>260</v>
      </c>
      <c r="E8" t="s">
        <v>261</v>
      </c>
    </row>
    <row r="9" spans="1:12" ht="12.75" customHeight="1">
      <c r="A9" s="26" t="s">
        <v>267</v>
      </c>
      <c r="B9" t="s">
        <v>267</v>
      </c>
      <c r="C9" s="25" t="s">
        <v>263</v>
      </c>
      <c r="D9" s="24" t="s">
        <v>260</v>
      </c>
      <c r="E9" t="s">
        <v>261</v>
      </c>
    </row>
    <row r="10" spans="1:12" ht="12.75" customHeight="1">
      <c r="A10" s="26" t="s">
        <v>268</v>
      </c>
      <c r="B10" t="s">
        <v>268</v>
      </c>
      <c r="C10" s="25" t="s">
        <v>263</v>
      </c>
      <c r="D10" s="24" t="s">
        <v>260</v>
      </c>
      <c r="E10" t="s">
        <v>261</v>
      </c>
      <c r="K10" s="21"/>
      <c r="L10" s="21"/>
    </row>
    <row r="11" spans="1:12" ht="12.75" customHeight="1">
      <c r="A11" s="26" t="s">
        <v>269</v>
      </c>
      <c r="B11" t="s">
        <v>269</v>
      </c>
      <c r="C11" s="25" t="s">
        <v>263</v>
      </c>
      <c r="D11" s="24" t="s">
        <v>260</v>
      </c>
      <c r="E11" t="s">
        <v>261</v>
      </c>
      <c r="K11" s="21"/>
      <c r="L11" s="21"/>
    </row>
    <row r="12" spans="1:12" ht="12.75" customHeight="1">
      <c r="A12" s="26" t="s">
        <v>270</v>
      </c>
      <c r="B12" t="s">
        <v>270</v>
      </c>
      <c r="C12" s="25" t="s">
        <v>263</v>
      </c>
      <c r="D12" s="24" t="s">
        <v>260</v>
      </c>
      <c r="E12" t="s">
        <v>261</v>
      </c>
      <c r="K12" s="21"/>
      <c r="L12" s="21"/>
    </row>
    <row r="13" spans="1:12" ht="12.75" customHeight="1">
      <c r="A13" s="26" t="s">
        <v>271</v>
      </c>
      <c r="B13" t="s">
        <v>271</v>
      </c>
      <c r="C13" s="25" t="s">
        <v>263</v>
      </c>
      <c r="D13" s="24" t="s">
        <v>260</v>
      </c>
      <c r="E13" t="s">
        <v>261</v>
      </c>
      <c r="K13" s="21"/>
      <c r="L13" s="21"/>
    </row>
    <row r="14" spans="1:12" ht="12.75" customHeight="1">
      <c r="A14" s="26" t="s">
        <v>272</v>
      </c>
      <c r="B14" t="s">
        <v>272</v>
      </c>
      <c r="C14" s="25" t="s">
        <v>263</v>
      </c>
      <c r="D14" s="24" t="s">
        <v>260</v>
      </c>
      <c r="E14" t="s">
        <v>261</v>
      </c>
      <c r="K14" s="21"/>
      <c r="L14" s="21"/>
    </row>
    <row r="15" spans="1:12" ht="12.75" customHeight="1">
      <c r="A15" s="26" t="s">
        <v>273</v>
      </c>
      <c r="B15" t="s">
        <v>273</v>
      </c>
      <c r="C15" s="25" t="s">
        <v>263</v>
      </c>
      <c r="D15" s="24" t="s">
        <v>260</v>
      </c>
      <c r="E15" t="s">
        <v>261</v>
      </c>
      <c r="K15" s="21"/>
      <c r="L15" s="21"/>
    </row>
    <row r="16" spans="1:12" ht="12.75" customHeight="1">
      <c r="A16" s="26" t="s">
        <v>274</v>
      </c>
      <c r="B16" t="s">
        <v>274</v>
      </c>
      <c r="C16" s="25" t="s">
        <v>263</v>
      </c>
      <c r="D16" s="24" t="s">
        <v>260</v>
      </c>
      <c r="E16" t="s">
        <v>261</v>
      </c>
      <c r="K16" s="21"/>
      <c r="L16" s="21"/>
    </row>
    <row r="17" spans="1:12" ht="12.75" customHeight="1">
      <c r="A17" s="26" t="s">
        <v>275</v>
      </c>
      <c r="B17" t="s">
        <v>275</v>
      </c>
      <c r="C17" s="25" t="s">
        <v>263</v>
      </c>
      <c r="D17" s="24" t="s">
        <v>260</v>
      </c>
      <c r="E17" t="s">
        <v>261</v>
      </c>
      <c r="K17" s="21"/>
      <c r="L17" s="21"/>
    </row>
    <row r="18" spans="1:12" ht="12.75" customHeight="1">
      <c r="A18" s="26" t="s">
        <v>276</v>
      </c>
      <c r="B18" t="s">
        <v>276</v>
      </c>
      <c r="C18" s="25" t="s">
        <v>263</v>
      </c>
      <c r="D18" s="24" t="s">
        <v>260</v>
      </c>
      <c r="E18" t="s">
        <v>261</v>
      </c>
      <c r="K18" s="21"/>
      <c r="L18" s="21"/>
    </row>
    <row r="19" spans="1:12" ht="12.75" customHeight="1">
      <c r="A19" s="26" t="s">
        <v>277</v>
      </c>
      <c r="B19" t="s">
        <v>277</v>
      </c>
      <c r="C19" s="25" t="s">
        <v>263</v>
      </c>
      <c r="D19" s="24" t="s">
        <v>260</v>
      </c>
      <c r="E19" t="s">
        <v>261</v>
      </c>
      <c r="K19" s="21"/>
      <c r="L19" s="21"/>
    </row>
    <row r="20" spans="1:12" ht="12.75" customHeight="1">
      <c r="A20" s="26" t="s">
        <v>278</v>
      </c>
      <c r="B20" t="s">
        <v>278</v>
      </c>
      <c r="C20" s="25" t="s">
        <v>263</v>
      </c>
      <c r="D20" s="24" t="s">
        <v>260</v>
      </c>
      <c r="E20" t="s">
        <v>261</v>
      </c>
      <c r="K20" s="21"/>
      <c r="L20" s="21"/>
    </row>
    <row r="21" spans="1:12" ht="12.75" customHeight="1">
      <c r="A21" s="26" t="s">
        <v>279</v>
      </c>
      <c r="B21" t="s">
        <v>279</v>
      </c>
      <c r="C21" s="25" t="s">
        <v>263</v>
      </c>
      <c r="D21" s="24" t="s">
        <v>260</v>
      </c>
      <c r="E21" t="s">
        <v>261</v>
      </c>
      <c r="K21" s="21"/>
      <c r="L21" s="21"/>
    </row>
    <row r="22" spans="1:12" ht="12.75" customHeight="1">
      <c r="A22" s="26" t="s">
        <v>280</v>
      </c>
      <c r="B22" t="s">
        <v>280</v>
      </c>
      <c r="C22" s="25" t="s">
        <v>263</v>
      </c>
      <c r="D22" s="24" t="s">
        <v>260</v>
      </c>
      <c r="E22" t="s">
        <v>261</v>
      </c>
      <c r="K22" s="21"/>
      <c r="L22" s="21"/>
    </row>
    <row r="23" spans="1:12" ht="12.75" customHeight="1">
      <c r="A23" s="26" t="s">
        <v>281</v>
      </c>
      <c r="B23" t="s">
        <v>281</v>
      </c>
      <c r="C23" s="25" t="s">
        <v>263</v>
      </c>
      <c r="D23" s="24" t="s">
        <v>260</v>
      </c>
      <c r="E23" t="s">
        <v>261</v>
      </c>
      <c r="K23" s="21"/>
      <c r="L23" s="21"/>
    </row>
    <row r="24" spans="1:12" ht="12.75" customHeight="1">
      <c r="A24" s="26" t="s">
        <v>282</v>
      </c>
      <c r="B24" t="s">
        <v>282</v>
      </c>
      <c r="C24" s="25" t="s">
        <v>263</v>
      </c>
      <c r="D24" s="24" t="s">
        <v>260</v>
      </c>
      <c r="E24" t="s">
        <v>261</v>
      </c>
      <c r="K24" s="21"/>
      <c r="L24" s="21"/>
    </row>
    <row r="25" spans="1:12" ht="12.75" customHeight="1">
      <c r="K25" s="21"/>
      <c r="L25" s="21"/>
    </row>
    <row r="26" spans="1:12" ht="12.75" customHeight="1">
      <c r="K26" s="21"/>
      <c r="L26" s="21"/>
    </row>
    <row r="27" spans="1:12" ht="12.75" customHeight="1">
      <c r="K27" s="21"/>
      <c r="L27" s="21"/>
    </row>
    <row r="28" spans="1:12" ht="12.75" customHeight="1">
      <c r="K28" s="21"/>
      <c r="L28" s="21"/>
    </row>
    <row r="29" spans="1:12" ht="12.75" customHeight="1">
      <c r="K29" s="21"/>
      <c r="L29" s="21"/>
    </row>
    <row r="30" spans="1:12" ht="12.75" customHeight="1">
      <c r="K30" s="21"/>
      <c r="L30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C0449006-4305-4902-B6DD-212EE926E0A1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2025-12-16T22:13:28Z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2024-09-18T22:52:08Z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328c4b08-a84b-4748-854a-b600fe988917</vt:lpwstr>
  </property>
  <property fmtid="{D5CDD505-2E9C-101B-9397-08002B2CF9AE}" pid="9" name="MSIP_Label_9d817c99-0b37-4a07-8277-96aa1f96b74b_ContentBits">
    <vt:lpwstr>0</vt:lpwstr>
  </property>
</Properties>
</file>