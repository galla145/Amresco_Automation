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A7383593-128C-44CB-96B7-9B10612B04DA}" xr6:coauthVersionLast="47" xr6:coauthVersionMax="47" xr10:uidLastSave="{A335746F-5B0E-4AC7-8FB4-0E698C5FF371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29"/>
  <c r="G4" i="30"/>
  <c r="I4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A1" i="72" a="1"/>
  <c r="A1" i="72" s="1"/>
  <c r="E4" i="30" l="1"/>
  <c r="F4" i="3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<sst xmlns="http://schemas.openxmlformats.org/spreadsheetml/2006/main" count="242" uniqueCount="55">
  <si>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</si>
  <si>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</si>
  <si>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</si>
  <si>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</si>
  <si>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</si>
  <si>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</si>
  <si>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</si>
  <si>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</si>
  <si>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</si>
  <si>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</si>
  <si>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</si>
  <si>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</si>
  <si>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</si>
  <si>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</si>
  <si>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</si>
  <si>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</si>
  <si>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</si>
  <si>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</si>
  <si>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</si>
  <si>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</si>
  <si>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</si>
  <si>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</si>
  <si>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</si>
  <si>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</si>
  <si>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</si>
  <si>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</si>
  <si>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</si>
  <si>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</si>
  <si>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</si>
  <si>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</si>
  <si>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</si>
  <si>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</si>
  <si>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</si>
  <si>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</si>
  <si>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</si>
  <si>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</si>
  <si>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</si>
  <si>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</si>
  <si>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</si>
  <si>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</si>
  <si>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</si>
  <si>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</si>
  <si>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1.Inverter 2 tripped offline at 12:30 on 11/29 through out the month.</t>
  </si>
  <si>
    <t>1.SR094077</t>
  </si>
  <si>
    <t>December Actual v. Expected</t>
  </si>
  <si>
    <t>December Actual v. Forecasted</t>
  </si>
  <si>
    <t>1.Inverter 2 is back online from at 13:45 on 12/10</t>
  </si>
  <si>
    <t>Portfolio:</t>
  </si>
  <si>
    <t>Superior USD</t>
  </si>
  <si>
    <t>Site DAS Name</t>
  </si>
  <si>
    <t>Update</t>
  </si>
  <si>
    <t>DAS</t>
  </si>
  <si>
    <t>AZ: Superior - Superior High School</t>
  </si>
  <si>
    <t>AZ: Superior High School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</si>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</sst>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tabSelected="1" workbookViewId="0">
      <pane ySplit="2" topLeftCell="A3" activePane="bottomLeft" state="frozen"/>
      <selection pane="bottomLeft" activeCell="E13" sqref="E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SUM(C4:C89)</f>
        <v>323549</v>
      </c>
      <c r="D2" s="6">
        <f>SUM(D4:D89)</f>
        <v>0</v>
      </c>
      <c r="E2" s="6">
        <f>C2-D2</f>
        <v>323549</v>
      </c>
      <c r="F2" s="7">
        <f>IFERROR(E2/D2, 0)</f>
        <v>0</v>
      </c>
      <c r="G2" s="6">
        <f>SUM(G4:G89)</f>
        <v>0</v>
      </c>
      <c r="H2" s="8">
        <f>C2-G2</f>
        <v>323549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SUM('1st Qtr'!C4, '2nd Qtr'!C4, '3rd Qtr'!C4, '4th Qtr'!C4)</f>
        <v>323549</v>
      </c>
      <c r="D4" s="14">
        <f>SUM('1st Qtr'!D4, '2nd Qtr'!D4, '3rd Qtr'!D4, '4th Qtr'!D4)</f>
        <v>0</v>
      </c>
      <c r="E4" s="14">
        <f>IF(AND(ISNUMBER(C4),ISNUMBER(D4)), C4-D4, "")</f>
        <v>323549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323549</v>
      </c>
      <c r="I4" s="17">
        <f>IFERROR(H4/G4, 0)</f>
        <v>0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SUM(C4:C89)</f>
        <v>66115</v>
      </c>
      <c r="D2" s="6">
        <f>SUM(D4:D89)</f>
        <v>0</v>
      </c>
      <c r="E2" s="6">
        <f>C2-D2</f>
        <v>66115</v>
      </c>
      <c r="F2" s="7">
        <f>IFERROR(E2/D2, 0)</f>
        <v>0</v>
      </c>
      <c r="G2" s="6">
        <f>SUM(G4:G89)</f>
        <v>0</v>
      </c>
      <c r="H2" s="8">
        <f>C2-G2</f>
        <v>66115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SUM(Jan!C4, Feb!C4, Mar!C4)</f>
        <v>66115</v>
      </c>
      <c r="D4" s="14">
        <f>SUM(Jan!D4, Feb!D4, Mar!D4)</f>
        <v>0</v>
      </c>
      <c r="E4" s="14">
        <f>IF(AND(ISNUMBER(C4),ISNUMBER(D4)), C4-D4, "")</f>
        <v>66115</v>
      </c>
      <c r="F4" s="15">
        <f>IFERROR(E4/D4, 0)</f>
        <v>0</v>
      </c>
      <c r="G4" s="16">
        <f>SUM(Jan!G4, Feb!G4, Mar!G4)</f>
        <v>0</v>
      </c>
      <c r="H4" s="16">
        <f>SUM(Jan!H4, Feb!H4, Mar!H4)</f>
        <v>66115</v>
      </c>
      <c r="I4" s="17">
        <f>IFERROR(H4/G4, 0)</f>
        <v>0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F15" sqref="F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102540</v>
      </c>
      <c r="D2" s="6">
        <f>SUM(D4:D89)</f>
        <v>0</v>
      </c>
      <c r="E2" s="6">
        <f>C2-D2</f>
        <v>102540</v>
      </c>
      <c r="F2" s="7">
        <f>IFERROR(E2/D2, 0)</f>
        <v>0</v>
      </c>
      <c r="G2" s="6">
        <f>SUM(G4:G89)</f>
        <v>0</v>
      </c>
      <c r="H2" s="8">
        <f>C2-G2</f>
        <v>102540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SUM(Apr!C4, May!C4, Jun!C4)</f>
        <v>102540</v>
      </c>
      <c r="D4" s="14">
        <f>SUM(Apr!D4, May!D4, Jun!D4)</f>
        <v>0</v>
      </c>
      <c r="E4" s="14">
        <f>IF(AND(ISNUMBER(C4),ISNUMBER(D4)), C4-D4, "")</f>
        <v>102540</v>
      </c>
      <c r="F4" s="15" t="str">
        <f>IFERROR(E4/D4, "")</f>
        <v/>
      </c>
      <c r="G4" s="16">
        <f>SUM(Apr!G4,May!G4,Jun!G4)</f>
        <v>0</v>
      </c>
      <c r="H4" s="16">
        <f>SUM(Apr!H4, May!H4, Jun!H4)</f>
        <v>102540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92883</v>
      </c>
      <c r="D2" s="6">
        <f>SUM(D4:D89)</f>
        <v>0</v>
      </c>
      <c r="E2" s="6">
        <f>C2-D2</f>
        <v>92883</v>
      </c>
      <c r="F2" s="7">
        <f>IFERROR(E2/D2, 0)</f>
        <v>0</v>
      </c>
      <c r="G2" s="6">
        <f>SUM(G4:G89)</f>
        <v>0</v>
      </c>
      <c r="H2" s="8">
        <f>C2-G2</f>
        <v>92883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SUM(Jul!C4, Aug!C4, Sep!C4)</f>
        <v>92883</v>
      </c>
      <c r="D4" s="14">
        <f>SUM(Jul!D4, Aug!D4, Sep!D4)</f>
        <v>0</v>
      </c>
      <c r="E4" s="14">
        <f>IF(AND(ISNUMBER(C4),ISNUMBER(D4)), C4-D4, "")</f>
        <v>92883</v>
      </c>
      <c r="F4" s="15" t="str">
        <f>IFERROR(E4/D4, "")</f>
        <v/>
      </c>
      <c r="G4" s="16">
        <f>SUM(Jul!G4,Aug!G4,Sep!G4)</f>
        <v>0</v>
      </c>
      <c r="H4" s="16">
        <f>SUM(Jul!H4, Aug!H4, Sep!H4)</f>
        <v>92883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62011</v>
      </c>
      <c r="D2" s="6">
        <f>SUM(D4:D89)</f>
        <v>0</v>
      </c>
      <c r="E2" s="6">
        <f>C2-D2</f>
        <v>62011</v>
      </c>
      <c r="F2" s="7">
        <f>IFERROR(E2/D2, 0)</f>
        <v>0</v>
      </c>
      <c r="G2" s="6">
        <f>SUM(G4:G89)</f>
        <v>0</v>
      </c>
      <c r="H2" s="8">
        <f>C2-G2</f>
        <v>62011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SUM(Oct!C4, Nov!C4, Dec!C4)</f>
        <v>62011</v>
      </c>
      <c r="D4" s="14">
        <f>SUM(Oct!D4, Nov!D4, Dec!D4)</f>
        <v>0</v>
      </c>
      <c r="E4" s="14">
        <f>IF(AND(ISNUMBER(C4),ISNUMBER(D4)), C4-D4, "")</f>
        <v>62011</v>
      </c>
      <c r="F4" s="15" t="str">
        <f>IFERROR(E4/D4, "")</f>
        <v/>
      </c>
      <c r="G4" s="16">
        <f>SUM(Oct!G4,Nov!G4,Dec!G4)</f>
        <v>0</v>
      </c>
      <c r="H4" s="16">
        <f>SUM(Oct!H4, Nov!H4, Dec!H4)</f>
        <v>62011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18248</v>
      </c>
      <c r="D2" s="6">
        <f>SUM(D4:D89)</f>
        <v>0</v>
      </c>
      <c r="E2" s="6">
        <f>C2-D2</f>
        <v>18248</v>
      </c>
      <c r="F2" s="7">
        <f>IFERROR(E2/D2, 0)</f>
        <v>0</v>
      </c>
      <c r="G2" s="6">
        <f>SUM(G4:G89)</f>
        <v>0</v>
      </c>
      <c r="H2" s="8">
        <f>C2-G2</f>
        <v>18248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18248</v>
      </c>
      <c r="D4" s="14">
        <v>0</v>
      </c>
      <c r="E4" s="14">
        <f>IF(AND(ISNUMBER(C4),ISNUMBER(D4)), C4-D4, "")</f>
        <v>18248</v>
      </c>
      <c r="F4" s="15">
        <f>IFERROR(E4/D4, 0)</f>
        <v>0</v>
      </c>
      <c r="G4" s="16">
        <v>0</v>
      </c>
      <c r="H4" s="16">
        <f>IF(AND(ISNUMBER(C4),ISNUMBER(G4)), C4-G4, "")</f>
        <v>18248</v>
      </c>
      <c r="I4" s="17">
        <f>IFERROR(H4/G4, 0)</f>
        <v>0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C9" sqref="C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20758</v>
      </c>
      <c r="D2" s="6">
        <f>SUM(D4:D90)</f>
        <v>0</v>
      </c>
      <c r="E2" s="6">
        <f>C2-D2</f>
        <v>20758</v>
      </c>
      <c r="F2" s="7">
        <f>IFERROR(E2/D2, 0)</f>
        <v>0</v>
      </c>
      <c r="G2" s="6">
        <f>SUM(G4:G90)</f>
        <v>0</v>
      </c>
      <c r="H2" s="8">
        <f>C2-G2</f>
        <v>20758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20758</v>
      </c>
      <c r="D4" s="14">
        <v>0</v>
      </c>
      <c r="E4" s="14">
        <f>IF(AND(ISNUMBER(C4),ISNUMBER(D4)), C4-D4, "")</f>
        <v>20758</v>
      </c>
      <c r="F4" s="15" t="str">
        <f>IFERROR(E4/D4, "")</f>
        <v/>
      </c>
      <c r="G4" s="16">
        <v>0</v>
      </c>
      <c r="H4" s="16">
        <f>IF(AND(ISNUMBER(C4),ISNUMBER(G4)), C4-G4, "")</f>
        <v>20758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10" sqref="G10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27109</v>
      </c>
      <c r="D2" s="6">
        <f>SUM(D4:D90)</f>
        <v>0</v>
      </c>
      <c r="E2" s="6">
        <f>C2-D2</f>
        <v>27109</v>
      </c>
      <c r="F2" s="7">
        <f>IFERROR(E2/D2, 0)</f>
        <v>0</v>
      </c>
      <c r="G2" s="6">
        <f>SUM(G4:G90)</f>
        <v>0</v>
      </c>
      <c r="H2" s="8">
        <f>C2-G2</f>
        <v>27109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27109</v>
      </c>
      <c r="D4" s="14">
        <v>0</v>
      </c>
      <c r="E4" s="14">
        <f>IF(AND(ISNUMBER(C4),ISNUMBER(D4)), C4-D4, "")</f>
        <v>27109</v>
      </c>
      <c r="F4" s="15" t="str">
        <f>IFERROR(E4/D4, "")</f>
        <v/>
      </c>
      <c r="G4" s="16">
        <v>0</v>
      </c>
      <c r="H4" s="16">
        <f>IF(AND(ISNUMBER(C4),ISNUMBER(G4)), C4-G4, "")</f>
        <v>27109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H4" sqref="H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33903</v>
      </c>
      <c r="D2" s="6">
        <f>SUM(D4:D90)</f>
        <v>0</v>
      </c>
      <c r="E2" s="6">
        <f>C2-D2</f>
        <v>33903</v>
      </c>
      <c r="F2" s="7">
        <f>IFERROR(E2/D2, 0)</f>
        <v>0</v>
      </c>
      <c r="G2" s="6">
        <f>SUM(G4:G90)</f>
        <v>0</v>
      </c>
      <c r="H2" s="8">
        <f>C2-G2</f>
        <v>33903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33903</v>
      </c>
      <c r="D4" s="14">
        <v>0</v>
      </c>
      <c r="E4" s="14">
        <f>IF(AND(ISNUMBER(C4),ISNUMBER(D4)), C4-D4, "")</f>
        <v>33903</v>
      </c>
      <c r="F4" s="15" t="str">
        <f>IFERROR(E4/D4, "")</f>
        <v/>
      </c>
      <c r="G4" s="16">
        <v>0</v>
      </c>
      <c r="H4" s="16">
        <f>IF(AND(ISNUMBER(C4),ISNUMBER(G4)), C4-G4, "")</f>
        <v>33903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G3" activePane="bottomLeft" state="frozen"/>
      <selection pane="bottomLeft" activeCell="G4" sqref="G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36741</v>
      </c>
      <c r="D2" s="6">
        <f>SUM(D4:D90)</f>
        <v>0</v>
      </c>
      <c r="E2" s="6">
        <f>C2-D2</f>
        <v>36741</v>
      </c>
      <c r="F2" s="7">
        <f>IFERROR(E2/D2, 0)</f>
        <v>0</v>
      </c>
      <c r="G2" s="6">
        <f>SUM(G4:G90)</f>
        <v>0</v>
      </c>
      <c r="H2" s="8">
        <f>C2-G2</f>
        <v>36741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36741</v>
      </c>
      <c r="D4" s="14">
        <v>0</v>
      </c>
      <c r="E4" s="14">
        <f>IF(AND(ISNUMBER(C4),ISNUMBER(D4)), C4-D4, "")</f>
        <v>36741</v>
      </c>
      <c r="F4" s="15" t="str">
        <f>IFERROR(E4/D4, "")</f>
        <v/>
      </c>
      <c r="G4" s="16">
        <v>0</v>
      </c>
      <c r="H4" s="16">
        <f>IF(AND(ISNUMBER(C4),ISNUMBER(G4)), C4-G4, "")</f>
        <v>36741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C19" sqref="C1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31896</v>
      </c>
      <c r="D2" s="6">
        <f>SUM(D4:D90)</f>
        <v>0</v>
      </c>
      <c r="E2" s="6">
        <f>C2-D2</f>
        <v>31896</v>
      </c>
      <c r="F2" s="7">
        <f>IFERROR(E2/D2, 0)</f>
        <v>0</v>
      </c>
      <c r="G2" s="6">
        <f>SUM(G4:G90)</f>
        <v>0</v>
      </c>
      <c r="H2" s="8">
        <f>C2-G2</f>
        <v>31896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31896</v>
      </c>
      <c r="D4" s="14">
        <v>0</v>
      </c>
      <c r="E4" s="14">
        <f>IF(AND(ISNUMBER(C4),ISNUMBER(D4)), C4-D4, "")</f>
        <v>31896</v>
      </c>
      <c r="F4" s="15" t="str">
        <f>IFERROR(E4/D4, "")</f>
        <v/>
      </c>
      <c r="G4" s="16">
        <v>0</v>
      </c>
      <c r="H4" s="16">
        <f>IF(AND(ISNUMBER(C4),ISNUMBER(G4)), C4-G4, "")</f>
        <v>31896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33283</v>
      </c>
      <c r="D2" s="6">
        <f>SUM(D4:D90)</f>
        <v>0</v>
      </c>
      <c r="E2" s="6">
        <f>C2-D2</f>
        <v>33283</v>
      </c>
      <c r="F2" s="7">
        <f>IFERROR(E2/D2, 0)</f>
        <v>0</v>
      </c>
      <c r="G2" s="6">
        <f>SUM(G4:G90)</f>
        <v>0</v>
      </c>
      <c r="H2" s="8">
        <f>C2-G2</f>
        <v>33283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33283</v>
      </c>
      <c r="D4" s="14">
        <v>0</v>
      </c>
      <c r="E4" s="14">
        <f>IF(AND(ISNUMBER(C4),ISNUMBER(D4)), C4-D4, "")</f>
        <v>33283</v>
      </c>
      <c r="F4" s="15" t="str">
        <f>IFERROR(E4/D4, "")</f>
        <v/>
      </c>
      <c r="G4" s="16">
        <v>0</v>
      </c>
      <c r="H4" s="16">
        <f>IF(AND(ISNUMBER(C4),ISNUMBER(G4)), C4-G4, "")</f>
        <v>33283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D3" activePane="bottomLeft" state="frozen"/>
      <selection pane="bottomLeft" activeCell="D8" sqref="D8:D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30235</v>
      </c>
      <c r="D2" s="6">
        <f>SUM(D4:D90)</f>
        <v>0</v>
      </c>
      <c r="E2" s="6">
        <f>C2-D2</f>
        <v>30235</v>
      </c>
      <c r="F2" s="7">
        <f>IFERROR(E2/D2, 0)</f>
        <v>0</v>
      </c>
      <c r="G2" s="6">
        <f>SUM(G4:G90)</f>
        <v>0</v>
      </c>
      <c r="H2" s="8">
        <f>C2-G2</f>
        <v>30235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30235</v>
      </c>
      <c r="D4" s="14">
        <v>0</v>
      </c>
      <c r="E4" s="14">
        <f>IF(AND(ISNUMBER(C4),ISNUMBER(D4)), C4-D4, "")</f>
        <v>30235</v>
      </c>
      <c r="F4" s="15" t="str">
        <f>IFERROR(E4/D4, "")</f>
        <v/>
      </c>
      <c r="G4" s="16">
        <v>0</v>
      </c>
      <c r="H4" s="16">
        <f>IF(AND(ISNUMBER(C4),ISNUMBER(G4)), C4-G4, "")</f>
        <v>30235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H4" sqref="H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29365</v>
      </c>
      <c r="D2" s="6">
        <f>SUM(D4:D90)</f>
        <v>0</v>
      </c>
      <c r="E2" s="6">
        <f>C2-D2</f>
        <v>29365</v>
      </c>
      <c r="F2" s="7">
        <f>IFERROR(E2/D2, 0)</f>
        <v>0</v>
      </c>
      <c r="G2" s="6">
        <f>SUM(G4:G90)</f>
        <v>0</v>
      </c>
      <c r="H2" s="8">
        <f>C2-G2</f>
        <v>29365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29365</v>
      </c>
      <c r="D4" s="14">
        <v>0</v>
      </c>
      <c r="E4" s="14">
        <f>IF(AND(ISNUMBER(C4),ISNUMBER(D4)), C4-D4, "")</f>
        <v>29365</v>
      </c>
      <c r="F4" s="15" t="str">
        <f>IFERROR(E4/D4, "")</f>
        <v/>
      </c>
      <c r="G4" s="16">
        <v>0</v>
      </c>
      <c r="H4" s="16">
        <f>IF(AND(ISNUMBER(C4),ISNUMBER(G4)), C4-G4, "")</f>
        <v>29365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25362</v>
      </c>
      <c r="D2" s="6">
        <f>SUM(D4:D90)</f>
        <v>0</v>
      </c>
      <c r="E2" s="6">
        <f>C2-D2</f>
        <v>25362</v>
      </c>
      <c r="F2" s="7">
        <f>IFERROR(E2/D2, 0)</f>
        <v>0</v>
      </c>
      <c r="G2" s="6">
        <f>SUM(G4:G90)</f>
        <v>0</v>
      </c>
      <c r="H2" s="8">
        <f>C2-G2</f>
        <v>25362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25362</v>
      </c>
      <c r="D4" s="14">
        <v>0</v>
      </c>
      <c r="E4" s="14">
        <f>IF(AND(ISNUMBER(C4),ISNUMBER(D4)), C4-D4, "")</f>
        <v>25362</v>
      </c>
      <c r="F4" s="15" t="str">
        <f>IFERROR(E4/D4, "")</f>
        <v/>
      </c>
      <c r="G4" s="16">
        <v>0</v>
      </c>
      <c r="H4" s="16">
        <f>IF(AND(ISNUMBER(C4),ISNUMBER(G4)), C4-G4, "")</f>
        <v>25362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D3" activePane="bottomLeft" state="frozen"/>
      <selection pane="bottomLeft" activeCell="J11" sqref="J11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20213</v>
      </c>
      <c r="D2" s="6">
        <f>SUM(D4:D90)</f>
        <v>0</v>
      </c>
      <c r="E2" s="6">
        <f>C2-D2</f>
        <v>20213</v>
      </c>
      <c r="F2" s="7">
        <f>IFERROR(E2/D2, 0)</f>
        <v>0</v>
      </c>
      <c r="G2" s="6">
        <f>SUM(G4:G90)</f>
        <v>0</v>
      </c>
      <c r="H2" s="8">
        <f>C2-G2</f>
        <v>20213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20213</v>
      </c>
      <c r="D4" s="14">
        <v>0</v>
      </c>
      <c r="E4" s="14">
        <f>IF(AND(ISNUMBER(C4),ISNUMBER(D4)), C4-D4, "")</f>
        <v>20213</v>
      </c>
      <c r="F4" s="15" t="str">
        <f>IFERROR(E4/D4, "")</f>
        <v/>
      </c>
      <c r="G4" s="16">
        <v>0</v>
      </c>
      <c r="H4" s="16">
        <f>IF(AND(ISNUMBER(C4),ISNUMBER(G4)), C4-G4, "")</f>
        <v>20213</v>
      </c>
      <c r="I4" s="17" t="str">
        <f>IFERROR(H4/G4, "")</f>
        <v/>
      </c>
      <c r="J4" s="18" t="s">
        <v>42</v>
      </c>
      <c r="K4" s="18" t="s">
        <v>43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D3" activePane="bottomLeft" state="frozen"/>
      <selection pane="bottomLeft" activeCell="J4" sqref="J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16436</v>
      </c>
      <c r="D2" s="6">
        <f>SUM(D4:D90)</f>
        <v>0</v>
      </c>
      <c r="E2" s="6">
        <f>C2-D2</f>
        <v>16436</v>
      </c>
      <c r="F2" s="7">
        <f>IFERROR(E2/D2, 0)</f>
        <v>0</v>
      </c>
      <c r="G2" s="6">
        <f>SUM(G4:G90)</f>
        <v>0</v>
      </c>
      <c r="H2" s="8">
        <f>C2-G2</f>
        <v>16436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16436</v>
      </c>
      <c r="D4" s="14">
        <v>0</v>
      </c>
      <c r="E4" s="14">
        <f>IF(AND(ISNUMBER(C4),ISNUMBER(D4)), C4-D4, "")</f>
        <v>16436</v>
      </c>
      <c r="F4" s="15" t="str">
        <f>IFERROR(E4/D4, "")</f>
        <v/>
      </c>
      <c r="G4" s="16">
        <v>0</v>
      </c>
      <c r="H4" s="16">
        <f>IF(AND(ISNUMBER(C4),ISNUMBER(G4)), C4-G4, "")</f>
        <v>16436</v>
      </c>
      <c r="I4" s="17" t="str">
        <f>IFERROR(H4/G4, "")</f>
        <v/>
      </c>
      <c r="J4" s="18" t="s">
        <v>46</v>
      </c>
      <c r="K4" s="18" t="s">
        <v>43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" sqref="B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47</v>
      </c>
      <c r="B1" s="36" t="s">
        <v>48</v>
      </c>
    </row>
    <row r="3" spans="1:7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7" ht="14.45">
      <c r="A4" t="s">
        <v>52</v>
      </c>
      <c r="B4" t="s">
        <v>53</v>
      </c>
      <c r="C4" s="4" t="s">
        <v>54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2025-02-13T07:15:15Z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