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33" documentId="13_ncr:1_{74A58B94-DBE4-420F-9B5A-B282CC63A13D}" xr6:coauthVersionLast="47" xr6:coauthVersionMax="47" xr10:uidLastSave="{C7B57D6A-78A8-4E66-A380-A193A4619B46}"/>
  <bookViews>
    <workbookView xWindow="30750" yWindow="2160" windowWidth="17280" windowHeight="8880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4" i="29"/>
  <c r="G4" i="18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<sst xmlns="http://schemas.openxmlformats.org/spreadsheetml/2006/main" count="258" uniqueCount="67">
  <si>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</si>
  <si>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</si>
  <si>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</si>
  <si>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</si>
  <si>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</si>
  <si>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</si>
  <si>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</si>
  <si>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</si>
  <si>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</si>
  <si>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</si>
  <si>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</si>
  <si>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</si>
  <si>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</si>
  <si>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</si>
  <si>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</si>
  <si>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</si>
  <si>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</si>
  <si>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</si>
  <si>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</si>
  <si>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</si>
  <si>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</si>
  <si>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</si>
  <si>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3 was offline from 10/28 to till.
2. Inverter 14 is underperforming 10kW compared to its peers.</t>
  </si>
  <si>
    <t>1. SR077823
2. SR076525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</si>
  <si>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</si>
  <si>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</si>
  <si>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</si>
  <si>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</si>
  <si>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</si>
  <si>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</si>
  <si>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</si>
  <si>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</si>
  <si>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1.Inverter 7 underperforming by 3kW since 5/2/24 and increased to 6kW from 05/24/24</t>
  </si>
  <si>
    <t>1. SR084518</t>
  </si>
  <si>
    <t>June Actual v. Expected</t>
  </si>
  <si>
    <t>June Actual v. Forecasted</t>
  </si>
  <si>
    <t>1.Inverter 13 was tripped offline at 12:15 on 06/05 and back online at 10:30 on 06/14.
2.Inverter 14 was offline from 06/08 throughout the month</t>
  </si>
  <si>
    <t>1.	SR085588
2.SR085759</t>
  </si>
  <si>
    <t>July Actual v. Expected</t>
  </si>
  <si>
    <t>July Actual v. Forecasted</t>
  </si>
  <si>
    <t>1. Inverter 14 was offline since 06/08.
2. Inverter 12 was offline from 07/02 throughout the month.</t>
  </si>
  <si>
    <t>1. SR085759.
2. SR087305.</t>
  </si>
  <si>
    <t>August Actual v. Expected</t>
  </si>
  <si>
    <t>August Actual v. Forecasted</t>
  </si>
  <si>
    <t>September Actual v. Expected</t>
  </si>
  <si>
    <t>September Actual v. Forecasted</t>
  </si>
  <si>
    <t>1. Inverter 12 was offline from 07/02 and back online at 11:45EDT on 09/06.
2. Inverter 15 tripped offline from 10:45 to 12 and from 12:45 to 14:45 on 09/06/2024.
3. Inverter 9 was offline from 09/23  throught out the month.
4.Inverter 14 was offline since 06/08.</t>
  </si>
  <si>
    <t>1. SR087305, SR089907.
2. SR090065.
3. SR091076.
4.SR085759.</t>
  </si>
  <si>
    <t>October Actual v. Expected</t>
  </si>
  <si>
    <t>October Actual v. Forecasted</t>
  </si>
  <si>
    <t>1. Inverter 9 was offline since 09/23.
2.Inverter 14 was offline since 06/08.
3.Inverter 7 tripped offline at 14:00 on 10/14 and came back online at 10:30AM on 10/15 and again tripped offline again at 13:45 on 10/15 and back online on 08:00AM and again tripped offline at 13:45 on 10/17 and came back online at 14:00 on 10/18.</t>
  </si>
  <si>
    <t>1.SR091076
2.SR085759
3.SR092128</t>
  </si>
  <si>
    <t>November Actual v. Expected</t>
  </si>
  <si>
    <t>November Actual v. Forecasted</t>
  </si>
  <si>
    <t>1. Inverter 9 was offline since 09/23.
2.Inverter 14 was offline since 06/08.</t>
  </si>
  <si>
    <t>1.SR091076
2.SR085759</t>
  </si>
  <si>
    <t>December Actual v. Expected</t>
  </si>
  <si>
    <t>December Actual v. Forecasted</t>
  </si>
  <si>
    <t>Portfolio:</t>
  </si>
  <si>
    <t>Accel International</t>
  </si>
  <si>
    <t>Site DAS Name</t>
  </si>
  <si>
    <t>Update</t>
  </si>
  <si>
    <t>DAS</t>
  </si>
  <si>
    <t>CT: Meriden - Accel International</t>
  </si>
  <si>
    <t>CT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</si>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</sst>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2CC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rgb="FF000000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2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35" fillId="46" borderId="12" xfId="0" applyFont="1" applyFill="1" applyBorder="1" applyAlignment="1">
      <alignment horizontal="left" vertical="top" wrapText="1"/>
    </xf>
    <xf numFmtId="0" fontId="34" fillId="40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9"/>
  <sheetViews>
    <sheetView workbookViewId="0">
      <pane xSplit="2" ySplit="3" topLeftCell="C4" activePane="bottomRight" state="frozen"/>
      <selection pane="bottomRight" activeCell="G4" sqref="G4"/>
      <selection pane="bottomLeft" activeCell="A11" sqref="A11"/>
      <selection pane="topRight" activeCell="A11" sqref="A1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Accel International</v>
      </c>
      <c r="B1" s="49"/>
      <c r="C1" s="49"/>
      <c r="D1" s="50" t="s">
        <v>0</v>
      </c>
      <c r="E1" s="50"/>
      <c r="F1" s="50"/>
      <c r="G1" s="48" t="s">
        <v>1</v>
      </c>
      <c r="H1" s="48"/>
      <c r="I1" s="48"/>
    </row>
    <row r="2" spans="1:9" ht="19.5" customHeight="1">
      <c r="A2" s="51" t="s">
        <v>2</v>
      </c>
      <c r="B2" s="51"/>
      <c r="C2" s="5">
        <f>SUM(C4:C77)</f>
        <v>709114.54013608303</v>
      </c>
      <c r="D2" s="5">
        <f>SUM(D4:D77)</f>
        <v>0</v>
      </c>
      <c r="E2" s="5">
        <f>C2-D2</f>
        <v>709114.54013608303</v>
      </c>
      <c r="F2" s="6">
        <f>IFERROR(E2/D2, 0)</f>
        <v>0</v>
      </c>
      <c r="G2" s="5">
        <f>SUM(G4:G77)</f>
        <v>752746.46</v>
      </c>
      <c r="H2" s="7">
        <f>C2-G2</f>
        <v>-43631.919863916934</v>
      </c>
      <c r="I2" s="6">
        <f>IFERROR(H2/G2, 0)</f>
        <v>-5.7963633417707383E-2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CT: Meriden - Accel International</v>
      </c>
      <c r="B4" s="9" t="str" cm="1">
        <f t="array" ref="B4">Sites[State]</f>
        <v>CT</v>
      </c>
      <c r="C4" s="23">
        <f>SUM('1st Qtr'!C4, '2nd Qtr'!C4, '3rd Qtr'!C4, '4th Qtr'!C4)</f>
        <v>709114.54013608303</v>
      </c>
      <c r="D4" s="12">
        <f>SUM('1st Qtr'!D4, '2nd Qtr'!D4, '3rd Qtr'!D4, '4th Qtr'!D4)</f>
        <v>0</v>
      </c>
      <c r="E4" s="12">
        <f>IF(AND(ISNUMBER(C4),ISNUMBER(D4)), C4-D4, "")</f>
        <v>709114.54013608303</v>
      </c>
      <c r="F4" s="13" t="str">
        <f>IFERROR(E4/D4, "")</f>
        <v/>
      </c>
      <c r="G4" s="14">
        <f>SUM('1st Qtr'!G4, '2nd Qtr'!G4, '3rd Qtr'!G4, '4th Qtr'!G4)</f>
        <v>752746.46</v>
      </c>
      <c r="H4" s="14">
        <f>SUM('1st Qtr'!H4, '2nd Qtr'!H4, '3rd Qtr'!H4, '4th Qtr'!H4)</f>
        <v>-43631.919863916992</v>
      </c>
      <c r="I4" s="15">
        <f>IFERROR(H4/G4, "")</f>
        <v>-5.7963633417707459E-2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7 I4:I77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9"/>
  <sheetViews>
    <sheetView zoomScale="90" zoomScaleNormal="90" workbookViewId="0">
      <pane xSplit="2" ySplit="3" topLeftCell="C4" activePane="bottomRight" state="frozen"/>
      <selection pane="bottomRight" activeCell="H4" sqref="H4"/>
      <selection pane="bottomLeft" activeCell="A11" sqref="A11"/>
      <selection pane="topRight" activeCell="A11" sqref="A1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Accel International</v>
      </c>
      <c r="B1" s="49"/>
      <c r="C1" s="49"/>
      <c r="D1" s="50" t="s">
        <v>10</v>
      </c>
      <c r="E1" s="50"/>
      <c r="F1" s="50"/>
      <c r="G1" s="48" t="s">
        <v>11</v>
      </c>
      <c r="H1" s="48"/>
      <c r="I1" s="48"/>
    </row>
    <row r="2" spans="1:9" ht="19.5" customHeight="1">
      <c r="A2" s="51" t="s">
        <v>2</v>
      </c>
      <c r="B2" s="51"/>
      <c r="C2" s="5">
        <f>SUM(C4:C77)</f>
        <v>141080.59972650901</v>
      </c>
      <c r="D2" s="5">
        <f>SUM(D4:D77)</f>
        <v>0</v>
      </c>
      <c r="E2" s="5">
        <f>C2-D2</f>
        <v>141080.59972650901</v>
      </c>
      <c r="F2" s="6">
        <f>IFERROR(E2/D2, 0)</f>
        <v>0</v>
      </c>
      <c r="G2" s="5">
        <f>SUM(G4:G77)</f>
        <v>142896.26</v>
      </c>
      <c r="H2" s="7">
        <f>C2-G2</f>
        <v>-1815.6602734909975</v>
      </c>
      <c r="I2" s="6">
        <f>IFERROR(H2/G2, 0)</f>
        <v>-1.270614271843782E-2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CT: Meriden - Accel International</v>
      </c>
      <c r="B4" s="9" t="str" cm="1">
        <f t="array" ref="B4">Sites[State]</f>
        <v>CT</v>
      </c>
      <c r="C4" s="23">
        <f>SUM(Jan!C4, Feb!C4, Mar!C4)</f>
        <v>141080.59972650901</v>
      </c>
      <c r="D4" s="12">
        <f>SUM(Jan!D4, Feb!D4, Mar!D4)</f>
        <v>0</v>
      </c>
      <c r="E4" s="12">
        <f>IF(AND(ISNUMBER(C4),ISNUMBER(D4)), C4-D4, "")</f>
        <v>141080.59972650901</v>
      </c>
      <c r="F4" s="13" t="str">
        <f>IFERROR(E4/D4, "")</f>
        <v/>
      </c>
      <c r="G4" s="14">
        <f>SUM(Jan!G4, Feb!G4, Mar!G4)</f>
        <v>142896.26</v>
      </c>
      <c r="H4" s="14">
        <f>SUM(Jan!H4, Feb!H4, Mar!H4)</f>
        <v>-1815.6602734909975</v>
      </c>
      <c r="I4" s="15">
        <f>IFERROR(H4/G4, "")</f>
        <v>-1.270614271843782E-2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7 I4:I77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9"/>
  <sheetViews>
    <sheetView workbookViewId="0">
      <pane xSplit="2" ySplit="3" topLeftCell="G4" activePane="bottomRight" state="frozen"/>
      <selection pane="bottomRight" activeCell="G4" sqref="G4"/>
      <selection pane="bottomLeft" activeCell="A11" sqref="A11"/>
      <selection pane="topRight" activeCell="A11" sqref="A1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Accel International</v>
      </c>
      <c r="B1" s="49"/>
      <c r="C1" s="49"/>
      <c r="D1" s="50" t="s">
        <v>12</v>
      </c>
      <c r="E1" s="50"/>
      <c r="F1" s="50"/>
      <c r="G1" s="48" t="s">
        <v>13</v>
      </c>
      <c r="H1" s="48"/>
      <c r="I1" s="48"/>
    </row>
    <row r="2" spans="1:9" ht="19.5" customHeight="1">
      <c r="A2" s="51" t="s">
        <v>2</v>
      </c>
      <c r="B2" s="51"/>
      <c r="C2" s="5">
        <f>SUM(C4:C77)</f>
        <v>231713.1801158562</v>
      </c>
      <c r="D2" s="5">
        <f>SUM(D4:D77)</f>
        <v>0</v>
      </c>
      <c r="E2" s="5">
        <f>C2-D2</f>
        <v>231713.1801158562</v>
      </c>
      <c r="F2" s="6">
        <f>IFERROR(E2/D2, 0)</f>
        <v>0</v>
      </c>
      <c r="G2" s="5">
        <f>SUM(G4:G77)</f>
        <v>262600.02</v>
      </c>
      <c r="H2" s="7">
        <f>C2-G2</f>
        <v>-30886.839884143817</v>
      </c>
      <c r="I2" s="6">
        <f>IFERROR(H2/G2, 0)</f>
        <v>-0.1176193356121748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CT: Meriden - Accel International</v>
      </c>
      <c r="B4" s="9" t="str" cm="1">
        <f t="array" ref="B4">Sites[State]</f>
        <v>CT</v>
      </c>
      <c r="C4" s="23">
        <f>SUM(Apr!C4, May!C4, Jun!C4)</f>
        <v>231713.1801158562</v>
      </c>
      <c r="D4" s="12">
        <f>SUM(Apr!D4, May!D4, Jun!D4)</f>
        <v>0</v>
      </c>
      <c r="E4" s="12">
        <f>IF(AND(ISNUMBER(C4),ISNUMBER(D4)), C4-D4, "")</f>
        <v>231713.1801158562</v>
      </c>
      <c r="F4" s="13" t="str">
        <f>IFERROR(E4/D4, "")</f>
        <v/>
      </c>
      <c r="G4" s="14">
        <f>SUM(Apr!G4,May!G4,Jun!G4)</f>
        <v>262600.02</v>
      </c>
      <c r="H4" s="14">
        <f>SUM(Apr!H4, May!H4, Jun!H4)</f>
        <v>-30886.839884143788</v>
      </c>
      <c r="I4" s="15">
        <f>IFERROR(H4/G4, "")</f>
        <v>-0.11761933561217469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9"/>
  <sheetViews>
    <sheetView workbookViewId="0">
      <pane xSplit="2" ySplit="3" topLeftCell="G4" activePane="bottomRight" state="frozen"/>
      <selection pane="bottomRight" activeCell="G5" sqref="G5"/>
      <selection pane="bottomLeft" activeCell="A11" sqref="A11"/>
      <selection pane="topRight" activeCell="A11" sqref="A1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Accel International</v>
      </c>
      <c r="B1" s="49"/>
      <c r="C1" s="49"/>
      <c r="D1" s="50" t="s">
        <v>14</v>
      </c>
      <c r="E1" s="50"/>
      <c r="F1" s="50"/>
      <c r="G1" s="48" t="s">
        <v>15</v>
      </c>
      <c r="H1" s="48"/>
      <c r="I1" s="48"/>
    </row>
    <row r="2" spans="1:9" ht="19.5" customHeight="1">
      <c r="A2" s="51" t="s">
        <v>2</v>
      </c>
      <c r="B2" s="51"/>
      <c r="C2" s="5">
        <f>SUM(C4:C77)</f>
        <v>203796.05948672342</v>
      </c>
      <c r="D2" s="5">
        <f>SUM(D4:D77)</f>
        <v>0</v>
      </c>
      <c r="E2" s="5">
        <f>C2-D2</f>
        <v>203796.05948672342</v>
      </c>
      <c r="F2" s="6">
        <f>IFERROR(E2/D2, 0)</f>
        <v>0</v>
      </c>
      <c r="G2" s="5">
        <f>SUM(G4:G77)</f>
        <v>241577.80999999997</v>
      </c>
      <c r="H2" s="7">
        <f>C2-G2</f>
        <v>-37781.750513276551</v>
      </c>
      <c r="I2" s="6">
        <f>IFERROR(H2/G2, 0)</f>
        <v>-0.15639578201854118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CT: Meriden - Accel International</v>
      </c>
      <c r="B4" s="9" t="str" cm="1">
        <f t="array" ref="B4">Sites[State]</f>
        <v>CT</v>
      </c>
      <c r="C4" s="23">
        <f>SUM(Jul!C4, Aug!C4, Sep!C4)</f>
        <v>203796.05948672342</v>
      </c>
      <c r="D4" s="12">
        <f>SUM(Jul!D4, Aug!D4, Sep!D4)</f>
        <v>0</v>
      </c>
      <c r="E4" s="12">
        <f>IF(AND(ISNUMBER(C4),ISNUMBER(D4)), C4-D4, "")</f>
        <v>203796.05948672342</v>
      </c>
      <c r="F4" s="13" t="str">
        <f>IFERROR(E4/D4, "")</f>
        <v/>
      </c>
      <c r="G4" s="14">
        <f>SUM(Jul!G4,Aug!G4,Sep!G4)</f>
        <v>241577.80999999997</v>
      </c>
      <c r="H4" s="14">
        <f>SUM(Jul!H4, Aug!H4, Sep!H4)</f>
        <v>-37781.750513276595</v>
      </c>
      <c r="I4" s="15">
        <f>IFERROR(H4/G4, "")</f>
        <v>-0.15639578201854135</v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9"/>
  <sheetViews>
    <sheetView workbookViewId="0">
      <pane xSplit="2" ySplit="3" topLeftCell="C4" activePane="bottomRight" state="frozen"/>
      <selection pane="bottomRight" activeCell="G5" sqref="G5"/>
      <selection pane="bottomLeft" activeCell="A11" sqref="A11"/>
      <selection pane="topRight" activeCell="A11" sqref="A1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Accel International</v>
      </c>
      <c r="B1" s="49"/>
      <c r="C1" s="49"/>
      <c r="D1" s="50" t="s">
        <v>16</v>
      </c>
      <c r="E1" s="50"/>
      <c r="F1" s="50"/>
      <c r="G1" s="48" t="s">
        <v>17</v>
      </c>
      <c r="H1" s="48"/>
      <c r="I1" s="48"/>
    </row>
    <row r="2" spans="1:9" ht="19.5" customHeight="1">
      <c r="A2" s="51" t="s">
        <v>2</v>
      </c>
      <c r="B2" s="51"/>
      <c r="C2" s="5">
        <f>SUM(C4:C77)</f>
        <v>132524.7008069944</v>
      </c>
      <c r="D2" s="5">
        <f>SUM(D4:D77)</f>
        <v>0</v>
      </c>
      <c r="E2" s="5">
        <f>C2-D2</f>
        <v>132524.7008069944</v>
      </c>
      <c r="F2" s="6">
        <f>IFERROR(E2/D2, 0)</f>
        <v>0</v>
      </c>
      <c r="G2" s="5">
        <f>SUM(G4:G77)</f>
        <v>105672.37</v>
      </c>
      <c r="H2" s="7">
        <f>C2-G2</f>
        <v>26852.330806994403</v>
      </c>
      <c r="I2" s="6">
        <f>IFERROR(H2/G2, 0)</f>
        <v>0.25410928899384394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CT: Meriden - Accel International</v>
      </c>
      <c r="B4" s="9" t="str" cm="1">
        <f t="array" ref="B4">Sites[State]</f>
        <v>CT</v>
      </c>
      <c r="C4" s="23">
        <f>SUM(Oct!C4, Nov!C4, Dec!C4)</f>
        <v>132524.7008069944</v>
      </c>
      <c r="D4" s="12">
        <f>SUM(Oct!D4, Nov!D4, Dec!D4)</f>
        <v>0</v>
      </c>
      <c r="E4" s="12">
        <f>IF(AND(ISNUMBER(C4),ISNUMBER(D4)), C4-D4, "")</f>
        <v>132524.7008069944</v>
      </c>
      <c r="F4" s="13" t="str">
        <f>IFERROR(E4/D4, "")</f>
        <v/>
      </c>
      <c r="G4" s="14">
        <f>SUM(Oct!G4,Nov!G4,Dec!G4)</f>
        <v>105672.37</v>
      </c>
      <c r="H4" s="14">
        <f>SUM(Oct!H4, Nov!H4, Dec!H4)</f>
        <v>26852.330806994392</v>
      </c>
      <c r="I4" s="15">
        <f>IFERROR(H4/G4, "")</f>
        <v>0.25410928899384383</v>
      </c>
    </row>
    <row r="5" spans="1:9" ht="14.45">
      <c r="A5" s="20"/>
      <c r="B5" s="10"/>
      <c r="C5" s="40"/>
      <c r="D5" s="17"/>
      <c r="E5" s="17"/>
      <c r="F5" s="18"/>
      <c r="G5" s="19"/>
      <c r="H5" s="19"/>
      <c r="I5" s="18"/>
    </row>
    <row r="6" spans="1:9" ht="14.45">
      <c r="A6" s="20"/>
      <c r="B6" s="10"/>
      <c r="C6" s="40"/>
      <c r="D6" s="17"/>
      <c r="E6" s="17"/>
      <c r="F6" s="18"/>
      <c r="G6" s="19"/>
      <c r="H6" s="19"/>
      <c r="I6" s="18"/>
    </row>
    <row r="7" spans="1:9" ht="14.45">
      <c r="A7" s="20"/>
      <c r="B7" s="10"/>
      <c r="C7" s="40"/>
      <c r="D7" s="17"/>
      <c r="E7" s="17"/>
      <c r="F7" s="18"/>
      <c r="G7" s="19"/>
      <c r="H7" s="19"/>
      <c r="I7" s="18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8"/>
  <sheetViews>
    <sheetView zoomScale="90" zoomScaleNormal="90" workbookViewId="0">
      <pane xSplit="2" ySplit="3" topLeftCell="D4" activePane="bottomRight" state="frozen"/>
      <selection pane="bottomRight" activeCell="J9" sqref="J9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Accel International</v>
      </c>
      <c r="B1" s="49"/>
      <c r="C1" s="49"/>
      <c r="D1" s="50" t="s">
        <v>18</v>
      </c>
      <c r="E1" s="50"/>
      <c r="F1" s="50"/>
      <c r="G1" s="48" t="s">
        <v>19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SUM(C4:C76)</f>
        <v>19139.559694245501</v>
      </c>
      <c r="D2" s="5">
        <f>SUM(D4:D76)</f>
        <v>0</v>
      </c>
      <c r="E2" s="5">
        <f>C2-D2</f>
        <v>19139.559694245501</v>
      </c>
      <c r="F2" s="6">
        <f>IFERROR(E2/D2, 0)</f>
        <v>0</v>
      </c>
      <c r="G2" s="5">
        <f>SUM(G4:G76)</f>
        <v>34815</v>
      </c>
      <c r="H2" s="7">
        <f>C2-G2</f>
        <v>-15675.440305754499</v>
      </c>
      <c r="I2" s="6">
        <f>IFERROR(H2/G2, 0)</f>
        <v>-0.45024961383755563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6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45" t="str" cm="1">
        <f t="array" ref="A4">Sites[Site]</f>
        <v>CT: Meriden - Accel International</v>
      </c>
      <c r="B4" s="27" t="str" cm="1">
        <f t="array" ref="B4">Sites[State]</f>
        <v>CT</v>
      </c>
      <c r="C4" s="12">
        <v>19139.559694245501</v>
      </c>
      <c r="D4" s="12">
        <v>0</v>
      </c>
      <c r="E4" s="12">
        <f>IF(AND(ISNUMBER(C4),ISNUMBER(D4)), C4-D4, "")</f>
        <v>19139.559694245501</v>
      </c>
      <c r="F4" s="39" t="str">
        <f>IFERROR(E4/D4, "")</f>
        <v/>
      </c>
      <c r="G4" s="14">
        <v>34815</v>
      </c>
      <c r="H4" s="14">
        <f>IF(AND(ISNUMBER(C4),ISNUMBER(G4)), C4-G4, "")</f>
        <v>-15675.440305754499</v>
      </c>
      <c r="I4" s="15">
        <f>IFERROR(H4/G4, "")</f>
        <v>-0.45024961383755563</v>
      </c>
      <c r="J4" s="46" t="s">
        <v>22</v>
      </c>
      <c r="K4" s="46" t="s">
        <v>23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</sheetData>
  <mergeCells count="4">
    <mergeCell ref="D1:F1"/>
    <mergeCell ref="A1:C1"/>
    <mergeCell ref="G1:I1"/>
    <mergeCell ref="A2:B2"/>
  </mergeCells>
  <conditionalFormatting sqref="F2 I2 I4:I76 F5:F76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9"/>
  <sheetViews>
    <sheetView workbookViewId="0">
      <pane xSplit="2" ySplit="3" topLeftCell="C4" activePane="bottomRight" state="frozen"/>
      <selection pane="bottomRight" activeCell="G13" sqref="G13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Accel International</v>
      </c>
      <c r="B1" s="49"/>
      <c r="C1" s="49"/>
      <c r="D1" s="50" t="s">
        <v>24</v>
      </c>
      <c r="E1" s="50"/>
      <c r="F1" s="50"/>
      <c r="G1" s="48" t="s">
        <v>25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50980.220082263499</v>
      </c>
      <c r="D2" s="5">
        <f>SUM(D4:D77)</f>
        <v>0</v>
      </c>
      <c r="E2" s="5">
        <f>C2-D2</f>
        <v>50980.220082263499</v>
      </c>
      <c r="F2" s="6">
        <f>IFERROR(E2/D2, 0)</f>
        <v>0</v>
      </c>
      <c r="G2" s="5">
        <f>SUM(G4:G77)</f>
        <v>44165.46</v>
      </c>
      <c r="H2" s="7">
        <f>C2-G2</f>
        <v>6814.7600822634995</v>
      </c>
      <c r="I2" s="6">
        <f>IFERROR(H2/G2, 0)</f>
        <v>0.15430067030352451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5" t="str" cm="1">
        <f t="array" ref="A4">Sites[Site]</f>
        <v>CT: Meriden - Accel International</v>
      </c>
      <c r="B4" s="27" t="str" cm="1">
        <f t="array" ref="B4">Sites[State]</f>
        <v>CT</v>
      </c>
      <c r="C4" s="23">
        <v>50980.220082263499</v>
      </c>
      <c r="D4" s="12">
        <v>0</v>
      </c>
      <c r="E4" s="12">
        <f>IF(AND(ISNUMBER(C4),ISNUMBER(D4)), C4-D4, "")</f>
        <v>50980.220082263499</v>
      </c>
      <c r="F4" s="13" t="str">
        <f>IFERROR(E4/D4, "")</f>
        <v/>
      </c>
      <c r="G4" s="14">
        <v>44165.46</v>
      </c>
      <c r="H4" s="14">
        <f>IF(AND(ISNUMBER(C4),ISNUMBER(G4)), C4-G4, "")</f>
        <v>6814.7600822634995</v>
      </c>
      <c r="I4" s="15">
        <f>IFERROR(H4/G4, "")</f>
        <v>0.15430067030352451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9"/>
  <sheetViews>
    <sheetView workbookViewId="0">
      <pane xSplit="2" ySplit="3" topLeftCell="H4" activePane="bottomRight" state="frozen"/>
      <selection pane="bottomRight" activeCell="I12" sqref="I12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Accel International</v>
      </c>
      <c r="B1" s="49"/>
      <c r="C1" s="49"/>
      <c r="D1" s="50" t="s">
        <v>26</v>
      </c>
      <c r="E1" s="50"/>
      <c r="F1" s="50"/>
      <c r="G1" s="48" t="s">
        <v>27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70960.819950000005</v>
      </c>
      <c r="D2" s="5">
        <f>SUM(D4:D77)</f>
        <v>0</v>
      </c>
      <c r="E2" s="5">
        <f>C2-D2</f>
        <v>70960.819950000005</v>
      </c>
      <c r="F2" s="6">
        <f>IFERROR(E2/D2, 0)</f>
        <v>0</v>
      </c>
      <c r="G2" s="5">
        <f>SUM(G4:G77)</f>
        <v>63915.8</v>
      </c>
      <c r="H2" s="7">
        <f>C2-G2</f>
        <v>7045.0199500000017</v>
      </c>
      <c r="I2" s="6">
        <f>IFERROR(H2/G2, 0)</f>
        <v>0.11022344944442534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Meriden - Accel International</v>
      </c>
      <c r="B4" s="27" t="str" cm="1">
        <f t="array" ref="B4">Sites[State]</f>
        <v>CT</v>
      </c>
      <c r="C4" s="23">
        <v>70960.819950000005</v>
      </c>
      <c r="D4" s="12">
        <v>0</v>
      </c>
      <c r="E4" s="12">
        <f>IF(AND(ISNUMBER(C4),ISNUMBER(D4)), C4-D4, "")</f>
        <v>70960.819950000005</v>
      </c>
      <c r="F4" s="13" t="str">
        <f>IFERROR(E4/D4, "")</f>
        <v/>
      </c>
      <c r="G4" s="14">
        <v>63915.8</v>
      </c>
      <c r="H4" s="14">
        <f>IF(AND(ISNUMBER(C4),ISNUMBER(G4)), C4-G4, "")</f>
        <v>7045.0199500000017</v>
      </c>
      <c r="I4" s="15">
        <f>IFERROR(H4/G4, "")</f>
        <v>0.11022344944442534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9"/>
  <sheetViews>
    <sheetView workbookViewId="0">
      <pane xSplit="2" ySplit="3" topLeftCell="J4" activePane="bottomRight" state="frozen"/>
      <selection pane="bottomRight" activeCell="J16" sqref="J16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Accel International</v>
      </c>
      <c r="B1" s="49"/>
      <c r="C1" s="49"/>
      <c r="D1" s="50" t="s">
        <v>28</v>
      </c>
      <c r="E1" s="50"/>
      <c r="F1" s="50"/>
      <c r="G1" s="48" t="s">
        <v>29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70271.509686017394</v>
      </c>
      <c r="D2" s="5">
        <f>SUM(D4:D77)</f>
        <v>0</v>
      </c>
      <c r="E2" s="5">
        <f>C2-D2</f>
        <v>70271.509686017394</v>
      </c>
      <c r="F2" s="6">
        <f>IFERROR(E2/D2, 0)</f>
        <v>0</v>
      </c>
      <c r="G2" s="5">
        <f>SUM(G4:G77)</f>
        <v>78936.59</v>
      </c>
      <c r="H2" s="7">
        <f>C2-G2</f>
        <v>-8665.0803139826021</v>
      </c>
      <c r="I2" s="6">
        <f>IFERROR(H2/G2, 0)</f>
        <v>-0.10977267087395848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Meriden - Accel International</v>
      </c>
      <c r="B4" s="27" t="str" cm="1">
        <f t="array" ref="B4">Sites[State]</f>
        <v>CT</v>
      </c>
      <c r="C4" s="23">
        <v>70271.509686017394</v>
      </c>
      <c r="D4" s="12">
        <v>0</v>
      </c>
      <c r="E4" s="12">
        <f>IF(AND(ISNUMBER(C4),ISNUMBER(D4)), C4-D4, "")</f>
        <v>70271.509686017394</v>
      </c>
      <c r="F4" s="13" t="str">
        <f>IFERROR(E4/D4, "")</f>
        <v/>
      </c>
      <c r="G4" s="14">
        <v>78936.59</v>
      </c>
      <c r="H4" s="14">
        <f>IF(AND(ISNUMBER(C4),ISNUMBER(G4)), C4-G4, "")</f>
        <v>-8665.0803139826021</v>
      </c>
      <c r="I4" s="15">
        <f>IFERROR(H4/G4, "")</f>
        <v>-0.10977267087395848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9"/>
  <sheetViews>
    <sheetView workbookViewId="0">
      <pane xSplit="2" ySplit="3" topLeftCell="J4" activePane="bottomRight" state="frozen"/>
      <selection pane="bottomRight" activeCell="J7" sqref="J7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Accel International</v>
      </c>
      <c r="B1" s="49"/>
      <c r="C1" s="49"/>
      <c r="D1" s="50" t="s">
        <v>30</v>
      </c>
      <c r="E1" s="50"/>
      <c r="F1" s="50"/>
      <c r="G1" s="48" t="s">
        <v>31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81286.4804277066</v>
      </c>
      <c r="D2" s="5">
        <f>SUM(D4:D77)</f>
        <v>0</v>
      </c>
      <c r="E2" s="5">
        <f>C2-D2</f>
        <v>81286.4804277066</v>
      </c>
      <c r="F2" s="6">
        <f>IFERROR(E2/D2, 0)</f>
        <v>0</v>
      </c>
      <c r="G2" s="5">
        <f>SUM(G4:G77)</f>
        <v>88787.03</v>
      </c>
      <c r="H2" s="7">
        <f>C2-G2</f>
        <v>-7500.5495722933993</v>
      </c>
      <c r="I2" s="6">
        <f>IFERROR(H2/G2, 0)</f>
        <v>-8.44779870696587E-2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28" t="str" cm="1">
        <f t="array" ref="A4">Sites[Site]</f>
        <v>CT: Meriden - Accel International</v>
      </c>
      <c r="B4" s="27" t="str" cm="1">
        <f t="array" ref="B4">Sites[State]</f>
        <v>CT</v>
      </c>
      <c r="C4" s="23">
        <v>81286.4804277066</v>
      </c>
      <c r="D4" s="12">
        <v>0</v>
      </c>
      <c r="E4" s="12">
        <f>IF(AND(ISNUMBER(C4),ISNUMBER(D4)), C4-D4, "")</f>
        <v>81286.4804277066</v>
      </c>
      <c r="F4" s="13" t="str">
        <f>IFERROR(E4/D4, "")</f>
        <v/>
      </c>
      <c r="G4" s="14">
        <v>88787.03</v>
      </c>
      <c r="H4" s="14">
        <f>IF(AND(ISNUMBER(C4),ISNUMBER(G4)), C4-G4, "")</f>
        <v>-7500.5495722933993</v>
      </c>
      <c r="I4" s="15">
        <f>IFERROR(H4/G4, "")</f>
        <v>-8.44779870696587E-2</v>
      </c>
      <c r="J4" s="37" t="s">
        <v>32</v>
      </c>
      <c r="K4" s="37" t="s">
        <v>33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9"/>
  <sheetViews>
    <sheetView workbookViewId="0">
      <pane xSplit="2" ySplit="3" topLeftCell="J6" activePane="bottomRight" state="frozen"/>
      <selection pane="bottomRight" activeCell="J7" sqref="J7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Accel International</v>
      </c>
      <c r="B1" s="49"/>
      <c r="C1" s="49"/>
      <c r="D1" s="50" t="s">
        <v>34</v>
      </c>
      <c r="E1" s="50"/>
      <c r="F1" s="50"/>
      <c r="G1" s="48" t="s">
        <v>35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80155.190002132207</v>
      </c>
      <c r="D2" s="5">
        <f>SUM(D4:D77)</f>
        <v>0</v>
      </c>
      <c r="E2" s="5">
        <f>C2-D2</f>
        <v>80155.190002132207</v>
      </c>
      <c r="F2" s="6">
        <f>IFERROR(E2/D2, 0)</f>
        <v>0</v>
      </c>
      <c r="G2" s="5">
        <f>SUM(G4:G77)</f>
        <v>94876.4</v>
      </c>
      <c r="H2" s="7">
        <f>C2-G2</f>
        <v>-14721.209997867787</v>
      </c>
      <c r="I2" s="6">
        <f>IFERROR(H2/G2, 0)</f>
        <v>-0.15516197914199725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43.15">
      <c r="A4" s="28" t="str" cm="1">
        <f t="array" ref="A4">Sites[Site]</f>
        <v>CT: Meriden - Accel International</v>
      </c>
      <c r="B4" s="27" t="str" cm="1">
        <f t="array" ref="B4">Sites[State]</f>
        <v>CT</v>
      </c>
      <c r="C4" s="23">
        <v>80155.190002132207</v>
      </c>
      <c r="D4" s="12">
        <v>0</v>
      </c>
      <c r="E4" s="12">
        <f>IF(AND(ISNUMBER(C4),ISNUMBER(D4)), C4-D4, "")</f>
        <v>80155.190002132207</v>
      </c>
      <c r="F4" s="13" t="str">
        <f>IFERROR(E4/D4, "")</f>
        <v/>
      </c>
      <c r="G4" s="14">
        <v>94876.4</v>
      </c>
      <c r="H4" s="14">
        <f>IF(AND(ISNUMBER(C4),ISNUMBER(G4)), C4-G4, "")</f>
        <v>-14721.209997867787</v>
      </c>
      <c r="I4" s="15">
        <f>IFERROR(H4/G4, "")</f>
        <v>-0.15516197914199725</v>
      </c>
      <c r="J4" s="37" t="s">
        <v>36</v>
      </c>
      <c r="K4" s="37" t="s">
        <v>37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9"/>
  <sheetViews>
    <sheetView workbookViewId="0">
      <pane xSplit="2" ySplit="3" topLeftCell="C4" activePane="bottomRight" state="frozen"/>
      <selection pane="bottomRight" activeCell="K4" sqref="K4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Accel International</v>
      </c>
      <c r="B1" s="49"/>
      <c r="C1" s="49"/>
      <c r="D1" s="50" t="s">
        <v>38</v>
      </c>
      <c r="E1" s="50"/>
      <c r="F1" s="50"/>
      <c r="G1" s="48" t="s">
        <v>39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76379.089710730099</v>
      </c>
      <c r="D2" s="5">
        <f>SUM(D4:D77)</f>
        <v>0</v>
      </c>
      <c r="E2" s="5">
        <f>C2-D2</f>
        <v>76379.089710730099</v>
      </c>
      <c r="F2" s="6">
        <f>IFERROR(E2/D2, 0)</f>
        <v>0</v>
      </c>
      <c r="G2" s="5">
        <f>SUM(G4:G77)</f>
        <v>93041.95</v>
      </c>
      <c r="H2" s="7">
        <f>C2-G2</f>
        <v>-16662.860289269898</v>
      </c>
      <c r="I2" s="6">
        <f>IFERROR(H2/G2, 0)</f>
        <v>-0.17908975778420269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28" t="str" cm="1">
        <f t="array" ref="A4">Sites[Site]</f>
        <v>CT: Meriden - Accel International</v>
      </c>
      <c r="B4" s="27" t="str" cm="1">
        <f t="array" ref="B4">Sites[State]</f>
        <v>CT</v>
      </c>
      <c r="C4" s="23">
        <v>76379.089710730099</v>
      </c>
      <c r="D4" s="12">
        <v>0</v>
      </c>
      <c r="E4" s="12">
        <f>IF(AND(ISNUMBER(C4),ISNUMBER(D4)), C4-D4, "")</f>
        <v>76379.089710730099</v>
      </c>
      <c r="F4" s="13" t="str">
        <f>IFERROR(E4/D4, "")</f>
        <v/>
      </c>
      <c r="G4" s="14">
        <v>93041.95</v>
      </c>
      <c r="H4" s="14">
        <f>IF(AND(ISNUMBER(C4),ISNUMBER(G4)), C4-G4, "")</f>
        <v>-16662.860289269898</v>
      </c>
      <c r="I4" s="15">
        <f>IFERROR(H4/G4, "")</f>
        <v>-0.17908975778420269</v>
      </c>
      <c r="J4" s="37" t="s">
        <v>40</v>
      </c>
      <c r="K4" s="37" t="s">
        <v>41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9"/>
  <sheetViews>
    <sheetView workbookViewId="0">
      <pane xSplit="2" ySplit="3" topLeftCell="G4" activePane="bottomRight" state="frozen"/>
      <selection pane="bottomRight" activeCell="J4" sqref="J4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Accel International</v>
      </c>
      <c r="B1" s="49"/>
      <c r="C1" s="49"/>
      <c r="D1" s="50" t="s">
        <v>42</v>
      </c>
      <c r="E1" s="50"/>
      <c r="F1" s="50"/>
      <c r="G1" s="48" t="s">
        <v>43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68623.220407788598</v>
      </c>
      <c r="D2" s="5">
        <f>SUM(D4:D77)</f>
        <v>0</v>
      </c>
      <c r="E2" s="5">
        <f>C2-D2</f>
        <v>68623.220407788598</v>
      </c>
      <c r="F2" s="6">
        <f>IFERROR(E2/D2, 0)</f>
        <v>0</v>
      </c>
      <c r="G2" s="5">
        <f>SUM(G4:G77)</f>
        <v>83435.839999999997</v>
      </c>
      <c r="H2" s="7">
        <f>C2-G2</f>
        <v>-14812.619592211398</v>
      </c>
      <c r="I2" s="6">
        <f>IFERROR(H2/G2, 0)</f>
        <v>-0.17753305524593987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30.75">
      <c r="A4" s="28" t="str" cm="1">
        <f t="array" ref="A4">Sites[Site]</f>
        <v>CT: Meriden - Accel International</v>
      </c>
      <c r="B4" s="27" t="str" cm="1">
        <f t="array" ref="B4">Sites[State]</f>
        <v>CT</v>
      </c>
      <c r="C4" s="23">
        <v>68623.220407788598</v>
      </c>
      <c r="D4" s="12">
        <v>0</v>
      </c>
      <c r="E4" s="12">
        <f>IF(AND(ISNUMBER(C4),ISNUMBER(D4)), C4-D4, "")</f>
        <v>68623.220407788598</v>
      </c>
      <c r="F4" s="13" t="str">
        <f>IFERROR(E4/D4, "")</f>
        <v/>
      </c>
      <c r="G4" s="14">
        <v>83435.839999999997</v>
      </c>
      <c r="H4" s="14">
        <f>IF(AND(ISNUMBER(C4),ISNUMBER(G4)), C4-G4, "")</f>
        <v>-14812.619592211398</v>
      </c>
      <c r="I4" s="15">
        <f>IFERROR(H4/G4, "")</f>
        <v>-0.17753305524593987</v>
      </c>
      <c r="J4" s="37" t="s">
        <v>40</v>
      </c>
      <c r="K4" s="37" t="s">
        <v>41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9"/>
  <sheetViews>
    <sheetView workbookViewId="0">
      <pane xSplit="2" ySplit="3" topLeftCell="C4" activePane="bottomRight" state="frozen"/>
      <selection pane="bottomRight" activeCell="A4" sqref="A4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Accel International</v>
      </c>
      <c r="B1" s="49"/>
      <c r="C1" s="49"/>
      <c r="D1" s="50" t="s">
        <v>44</v>
      </c>
      <c r="E1" s="50"/>
      <c r="F1" s="50"/>
      <c r="G1" s="48" t="s">
        <v>45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58793.749368204699</v>
      </c>
      <c r="D2" s="5">
        <f>SUM(D4:D77)</f>
        <v>0</v>
      </c>
      <c r="E2" s="5">
        <f>C2-D2</f>
        <v>58793.749368204699</v>
      </c>
      <c r="F2" s="6">
        <f>IFERROR(E2/D2, 0)</f>
        <v>0</v>
      </c>
      <c r="G2" s="5">
        <f>SUM(G4:G77)</f>
        <v>65100.02</v>
      </c>
      <c r="H2" s="7">
        <f>C2-G2</f>
        <v>-6306.270631795298</v>
      </c>
      <c r="I2" s="6">
        <f>IFERROR(H2/G2, 0)</f>
        <v>-9.6870486856921068E-2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76.5">
      <c r="A4" s="47" t="str" cm="1">
        <f t="array" ref="A4">Sites[Site]</f>
        <v>CT: Meriden - Accel International</v>
      </c>
      <c r="B4" s="27" t="str" cm="1">
        <f t="array" ref="B4">Sites[State]</f>
        <v>CT</v>
      </c>
      <c r="C4" s="23">
        <v>58793.749368204699</v>
      </c>
      <c r="D4" s="12">
        <v>0</v>
      </c>
      <c r="E4" s="12">
        <f>IF(AND(ISNUMBER(C4),ISNUMBER(D4)), C4-D4, "")</f>
        <v>58793.749368204699</v>
      </c>
      <c r="F4" s="13" t="str">
        <f>IFERROR(E4/D4, "")</f>
        <v/>
      </c>
      <c r="G4" s="14">
        <v>65100.02</v>
      </c>
      <c r="H4" s="14">
        <f>IF(AND(ISNUMBER(C4),ISNUMBER(G4)), C4-G4, "")</f>
        <v>-6306.270631795298</v>
      </c>
      <c r="I4" s="15">
        <f>IFERROR(H4/G4, "")</f>
        <v>-9.6870486856921068E-2</v>
      </c>
      <c r="J4" s="37" t="s">
        <v>46</v>
      </c>
      <c r="K4" s="37" t="s">
        <v>47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9"/>
  <sheetViews>
    <sheetView workbookViewId="0">
      <pane xSplit="2" ySplit="3" topLeftCell="F4" activePane="bottomRight" state="frozen"/>
      <selection pane="bottomRight" activeCell="J10" sqref="J10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Accel International</v>
      </c>
      <c r="B1" s="49"/>
      <c r="C1" s="49"/>
      <c r="D1" s="50" t="s">
        <v>48</v>
      </c>
      <c r="E1" s="50"/>
      <c r="F1" s="50"/>
      <c r="G1" s="48" t="s">
        <v>49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56134.320796770997</v>
      </c>
      <c r="D2" s="5">
        <f>SUM(D4:D77)</f>
        <v>0</v>
      </c>
      <c r="E2" s="5">
        <f>C2-D2</f>
        <v>56134.320796770997</v>
      </c>
      <c r="F2" s="6">
        <f>IFERROR(E2/D2, 0)</f>
        <v>0</v>
      </c>
      <c r="G2" s="5">
        <f>SUM(G4:G77)</f>
        <v>48428.93</v>
      </c>
      <c r="H2" s="7">
        <f>C2-G2</f>
        <v>7705.3907967709965</v>
      </c>
      <c r="I2" s="6">
        <f>IFERROR(H2/G2, 0)</f>
        <v>0.15910718648483452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91.5">
      <c r="A4" s="47" t="str" cm="1">
        <f t="array" ref="A4">Sites[Site]</f>
        <v>CT: Meriden - Accel International</v>
      </c>
      <c r="B4" s="27" t="str" cm="1">
        <f t="array" ref="B4">Sites[State]</f>
        <v>CT</v>
      </c>
      <c r="C4" s="23">
        <v>56134.320796770997</v>
      </c>
      <c r="D4" s="12">
        <v>0</v>
      </c>
      <c r="E4" s="12">
        <f>IF(AND(ISNUMBER(C4),ISNUMBER(D4)), C4-D4, "")</f>
        <v>56134.320796770997</v>
      </c>
      <c r="F4" s="13" t="str">
        <f>IFERROR(E4/D4, "")</f>
        <v/>
      </c>
      <c r="G4" s="14">
        <v>48428.93</v>
      </c>
      <c r="H4" s="14">
        <f>IF(AND(ISNUMBER(C4),ISNUMBER(G4)), C4-G4, "")</f>
        <v>7705.3907967709965</v>
      </c>
      <c r="I4" s="15">
        <f>IFERROR(H4/G4, "")</f>
        <v>0.15910718648483452</v>
      </c>
      <c r="J4" s="37" t="s">
        <v>50</v>
      </c>
      <c r="K4" s="37" t="s">
        <v>51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9"/>
  <sheetViews>
    <sheetView workbookViewId="0">
      <pane xSplit="2" ySplit="3" topLeftCell="F4" activePane="bottomRight" state="frozen"/>
      <selection pane="bottomRight" activeCell="K4" sqref="K4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Accel International</v>
      </c>
      <c r="B1" s="49"/>
      <c r="C1" s="49"/>
      <c r="D1" s="50" t="s">
        <v>52</v>
      </c>
      <c r="E1" s="50"/>
      <c r="F1" s="50"/>
      <c r="G1" s="48" t="s">
        <v>53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43937.629760223397</v>
      </c>
      <c r="D2" s="5">
        <f>SUM(D4:D77)</f>
        <v>0</v>
      </c>
      <c r="E2" s="5">
        <f>C2-D2</f>
        <v>43937.629760223397</v>
      </c>
      <c r="F2" s="6">
        <f>IFERROR(E2/D2, 0)</f>
        <v>0</v>
      </c>
      <c r="G2" s="5">
        <f>SUM(G4:G77)</f>
        <v>30311.22</v>
      </c>
      <c r="H2" s="7">
        <f>C2-G2</f>
        <v>13626.409760223396</v>
      </c>
      <c r="I2" s="6">
        <f>IFERROR(H2/G2, 0)</f>
        <v>0.44955002669715688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30.75">
      <c r="A4" s="47" t="str" cm="1">
        <f t="array" ref="A4">Sites[Site]</f>
        <v>CT: Meriden - Accel International</v>
      </c>
      <c r="B4" s="27" t="str" cm="1">
        <f t="array" ref="B4">Sites[State]</f>
        <v>CT</v>
      </c>
      <c r="C4" s="23">
        <v>43937.629760223397</v>
      </c>
      <c r="D4" s="12">
        <v>0</v>
      </c>
      <c r="E4" s="12">
        <f>IF(AND(ISNUMBER(C4),ISNUMBER(D4)), C4-D4, "")</f>
        <v>43937.629760223397</v>
      </c>
      <c r="F4" s="13" t="str">
        <f>IFERROR(E4/D4, "")</f>
        <v/>
      </c>
      <c r="G4" s="14">
        <v>30311.22</v>
      </c>
      <c r="H4" s="14">
        <f>IF(AND(ISNUMBER(C4),ISNUMBER(G4)), C4-G4, "")</f>
        <v>13626.409760223396</v>
      </c>
      <c r="I4" s="15">
        <f>IFERROR(H4/G4, "")</f>
        <v>0.44955002669715688</v>
      </c>
      <c r="J4" s="37" t="s">
        <v>54</v>
      </c>
      <c r="K4" s="37" t="s">
        <v>55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9"/>
  <sheetViews>
    <sheetView tabSelected="1" workbookViewId="0">
      <pane xSplit="2" ySplit="3" topLeftCell="E4" activePane="bottomRight" state="frozen"/>
      <selection pane="bottomRight" activeCell="J4" sqref="J4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Accel International</v>
      </c>
      <c r="B1" s="49"/>
      <c r="C1" s="49"/>
      <c r="D1" s="50" t="s">
        <v>56</v>
      </c>
      <c r="E1" s="50"/>
      <c r="F1" s="50"/>
      <c r="G1" s="48" t="s">
        <v>57</v>
      </c>
      <c r="H1" s="48"/>
      <c r="I1" s="48"/>
      <c r="J1" s="4"/>
      <c r="K1" s="4"/>
    </row>
    <row r="2" spans="1:11" ht="19.5" customHeight="1">
      <c r="A2" s="51" t="s">
        <v>2</v>
      </c>
      <c r="B2" s="51"/>
      <c r="C2" s="5">
        <f>SUM(C4:C77)</f>
        <v>32452.750250000001</v>
      </c>
      <c r="D2" s="5">
        <f>SUM(D4:D77)</f>
        <v>0</v>
      </c>
      <c r="E2" s="5">
        <f>C2-D2</f>
        <v>32452.750250000001</v>
      </c>
      <c r="F2" s="6">
        <f>IFERROR(E2/D2, 0)</f>
        <v>0</v>
      </c>
      <c r="G2" s="5">
        <f>SUM(G4:G77)</f>
        <v>26932.22</v>
      </c>
      <c r="H2" s="7">
        <f>C2-G2</f>
        <v>5520.5302499999998</v>
      </c>
      <c r="I2" s="6">
        <f>IFERROR(H2/G2, 0)</f>
        <v>0.20497865567710347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30.75">
      <c r="A4" s="28" t="str" cm="1">
        <f t="array" ref="A4">Sites[Site]</f>
        <v>CT: Meriden - Accel International</v>
      </c>
      <c r="B4" s="27" t="str" cm="1">
        <f t="array" ref="B4">Sites[State]</f>
        <v>CT</v>
      </c>
      <c r="C4" s="23">
        <v>32452.750250000001</v>
      </c>
      <c r="D4" s="12">
        <v>0</v>
      </c>
      <c r="E4" s="12">
        <f>IF(AND(ISNUMBER(C4),ISNUMBER(D4)), C4-D4, "")</f>
        <v>32452.750250000001</v>
      </c>
      <c r="F4" s="13" t="str">
        <f>IFERROR(E4/D4, "")</f>
        <v/>
      </c>
      <c r="G4" s="14">
        <v>26932.22</v>
      </c>
      <c r="H4" s="14">
        <f>IF(AND(ISNUMBER(C4),ISNUMBER(G4)), C4-G4, "")</f>
        <v>5520.5302499999998</v>
      </c>
      <c r="I4" s="15">
        <f>IFERROR(H4/G4, "")</f>
        <v>0.20497865567710347</v>
      </c>
      <c r="J4" s="37" t="s">
        <v>54</v>
      </c>
      <c r="K4" s="37" t="s">
        <v>55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4" sqref="B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58</v>
      </c>
      <c r="B1" t="s">
        <v>59</v>
      </c>
    </row>
    <row r="3" spans="1:12" ht="13.15">
      <c r="A3" t="s">
        <v>60</v>
      </c>
      <c r="B3" t="s">
        <v>3</v>
      </c>
      <c r="C3" t="s">
        <v>4</v>
      </c>
      <c r="D3" t="s">
        <v>61</v>
      </c>
      <c r="E3" s="2" t="s">
        <v>62</v>
      </c>
    </row>
    <row r="4" spans="1:12" ht="14.45">
      <c r="A4" s="44" t="s">
        <v>59</v>
      </c>
      <c r="B4" t="s">
        <v>63</v>
      </c>
      <c r="C4" s="42" t="s">
        <v>64</v>
      </c>
      <c r="D4" s="41" t="s">
        <v>65</v>
      </c>
      <c r="E4" t="s">
        <v>66</v>
      </c>
      <c r="G4" s="3"/>
    </row>
    <row r="5" spans="1:12" ht="14.45">
      <c r="A5" s="44"/>
      <c r="C5" s="42"/>
      <c r="D5" s="41"/>
      <c r="G5" s="3"/>
    </row>
    <row r="6" spans="1:12" ht="14.45">
      <c r="A6" s="44"/>
      <c r="C6" s="42"/>
      <c r="D6" s="41"/>
      <c r="G6" s="3"/>
    </row>
    <row r="7" spans="1:12" ht="12.75" customHeight="1">
      <c r="A7" s="44"/>
      <c r="C7" s="42"/>
      <c r="D7" s="41"/>
    </row>
    <row r="8" spans="1:12" ht="12.75" customHeight="1">
      <c r="A8" s="44"/>
      <c r="C8" s="42"/>
      <c r="D8" s="41"/>
    </row>
    <row r="9" spans="1:12" ht="12.75" customHeight="1">
      <c r="A9" s="44"/>
      <c r="C9" s="42"/>
      <c r="D9" s="41"/>
    </row>
    <row r="10" spans="1:12" ht="12.75" customHeight="1">
      <c r="A10" s="44"/>
      <c r="C10" s="42"/>
      <c r="D10" s="41"/>
      <c r="K10" s="38"/>
      <c r="L10" s="38"/>
    </row>
    <row r="11" spans="1:12" ht="12.75" customHeight="1">
      <c r="A11" s="44"/>
      <c r="C11" s="42"/>
      <c r="D11" s="41"/>
      <c r="K11" s="38"/>
      <c r="L11" s="38"/>
    </row>
    <row r="12" spans="1:12" ht="12.75" customHeight="1">
      <c r="A12" s="44"/>
      <c r="C12" s="42"/>
      <c r="D12" s="41"/>
      <c r="K12" s="38"/>
      <c r="L12" s="38"/>
    </row>
    <row r="13" spans="1:12" ht="12.75" customHeight="1">
      <c r="A13" s="44"/>
      <c r="C13" s="42"/>
      <c r="D13" s="41"/>
      <c r="K13" s="38"/>
      <c r="L13" s="38"/>
    </row>
    <row r="14" spans="1:12" ht="12.75" customHeight="1">
      <c r="A14" s="44"/>
      <c r="C14" s="42"/>
      <c r="D14" s="41"/>
      <c r="K14" s="38"/>
      <c r="L14" s="38"/>
    </row>
    <row r="15" spans="1:12" ht="12.75" customHeight="1">
      <c r="A15" s="44"/>
      <c r="C15" s="42"/>
      <c r="D15" s="41"/>
      <c r="K15" s="38"/>
      <c r="L15" s="38"/>
    </row>
    <row r="16" spans="1:12" ht="12.75" customHeight="1">
      <c r="A16" s="44"/>
      <c r="C16" s="42"/>
      <c r="D16" s="41"/>
      <c r="K16" s="38"/>
      <c r="L16" s="38"/>
    </row>
    <row r="17" spans="1:12" ht="12.75" customHeight="1">
      <c r="A17" s="44"/>
      <c r="C17" s="42"/>
      <c r="D17" s="41"/>
      <c r="K17" s="38"/>
      <c r="L17" s="38"/>
    </row>
    <row r="18" spans="1:12" ht="12.75" customHeight="1">
      <c r="A18" s="44"/>
      <c r="C18" s="42"/>
      <c r="D18" s="41"/>
      <c r="K18" s="38"/>
      <c r="L18" s="38"/>
    </row>
    <row r="19" spans="1:12" ht="12.75" customHeight="1">
      <c r="A19" s="44"/>
      <c r="C19" s="42"/>
      <c r="D19" s="41"/>
      <c r="K19" s="38"/>
      <c r="L19" s="38"/>
    </row>
    <row r="20" spans="1:12" ht="12.75" customHeight="1">
      <c r="A20" s="44"/>
      <c r="C20" s="42"/>
      <c r="D20" s="41"/>
      <c r="K20" s="38"/>
      <c r="L20" s="38"/>
    </row>
    <row r="21" spans="1:12" ht="12.75" customHeight="1">
      <c r="A21" s="44"/>
      <c r="C21" s="42"/>
      <c r="D21" s="41"/>
      <c r="K21" s="38"/>
      <c r="L21" s="38"/>
    </row>
    <row r="22" spans="1:12" ht="12.75" customHeight="1">
      <c r="A22" s="44"/>
      <c r="C22" s="42"/>
      <c r="D22" s="41"/>
      <c r="K22" s="38"/>
      <c r="L22" s="38"/>
    </row>
    <row r="23" spans="1:12" ht="12.75" customHeight="1">
      <c r="A23" s="44"/>
      <c r="C23" s="42"/>
      <c r="D23" s="41"/>
      <c r="K23" s="38"/>
      <c r="L23" s="38"/>
    </row>
    <row r="24" spans="1:12" ht="12.75" customHeight="1">
      <c r="A24" s="44"/>
      <c r="C24" s="42"/>
      <c r="D24" s="41"/>
      <c r="K24" s="38"/>
      <c r="L24" s="38"/>
    </row>
    <row r="25" spans="1:12" ht="12.75" customHeight="1">
      <c r="A25" s="44"/>
      <c r="C25" s="42"/>
      <c r="D25" s="41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��
</file>

<file path=customXml/item2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BF5C6359-7763-4C37-8EAF-2BC4698CB285}"/>
</file>

<file path=customXml/itemProps2.xml><?xml version="1.0" encoding="utf-8"?>
<ds:datastoreItem xmlns:ds="http://schemas.openxmlformats.org/officeDocument/2006/customXml" ds:itemID="{0389C43E-394D-44C0-87DC-4780FCFCFB40}"/>
</file>

<file path=customXml/itemProps3.xml><?xml version="1.0" encoding="utf-8"?>
<ds:datastoreItem xmlns:ds="http://schemas.openxmlformats.org/officeDocument/2006/customXml" ds:itemID="{3AEAA9D8-2182-46BA-A58E-96C72DDA1C54}"/>
</file>

<file path=customXml/itemProps4.xml><?xml version="1.0" encoding="utf-8"?>
<ds:datastoreItem xmlns:ds="http://schemas.openxmlformats.org/officeDocument/2006/customXml" ds:itemID="{2BC74AAC-D69B-4AF1-9649-B21EF3C1C463}"/>
</file>

<file path=customXml/itemProps5.xml><?xml version="1.0" encoding="utf-8"?>
<ds:datastoreItem xmlns:ds="http://schemas.openxmlformats.org/officeDocument/2006/customXml" ds:itemID="{89CF5C07-45EB-4100-9AFB-2C6AF77FA787}"/>
</file>

<file path=customXml/itemProps6.xml><?xml version="1.0" encoding="utf-8"?>
<ds:datastoreItem xmlns:ds="http://schemas.openxmlformats.org/officeDocument/2006/customXml" ds:itemID="{1954BBA4-0359-438C-B0EC-A756015F7C02}"/>
</file>

<file path=customXml/itemProps7.xml><?xml version="1.0" encoding="utf-8"?>
<ds:datastoreItem xmlns:ds="http://schemas.openxmlformats.org/officeDocument/2006/customXml" ds:itemID="{98A113BB-8B7A-453C-8BD4-8EFC67FC2D3F}"/>
</file>

<file path=customXml/itemProps8.xml><?xml version="1.0" encoding="utf-8"?>
<ds:datastoreItem xmlns:ds="http://schemas.openxmlformats.org/officeDocument/2006/customXml" ds:itemID="{CB52044A-5C0B-44A2-99D0-C1C315EC302D}"/>
</file>

<file path=customXml/itemProps9.xml><?xml version="1.0" encoding="utf-8"?>
<ds:datastoreItem xmlns:ds="http://schemas.openxmlformats.org/officeDocument/2006/customXml" ds:itemID="{66B09F59-6532-46F8-924A-9A02417E070D}"/>
</file>

<file path=customXml/itemProps10.xml><?xml version="1.0" encoding="utf-8"?>
<ds:datastoreItem xmlns:ds="http://schemas.openxmlformats.org/officeDocument/2006/customXml" ds:itemID="{D3A7101F-9A85-4235-8B03-415370C100B2}"/>
</file>

<file path=customXml/itemProps11.xml><?xml version="1.0" encoding="utf-8"?>
<ds:datastoreItem xmlns:ds="http://schemas.openxmlformats.org/officeDocument/2006/customXml" ds:itemID="{14966E4F-347B-477B-B74C-9DAC05405806}"/>
</file>

<file path=customXml/itemProps12.xml><?xml version="1.0" encoding="utf-8"?>
<ds:datastoreItem xmlns:ds="http://schemas.openxmlformats.org/officeDocument/2006/customXml" ds:itemID="{C0BCDC1E-6052-4E48-9BAF-94A40814E7C2}"/>
</file>

<file path=customXml/itemProps13.xml><?xml version="1.0" encoding="utf-8"?>
<ds:datastoreItem xmlns:ds="http://schemas.openxmlformats.org/officeDocument/2006/customXml" ds:itemID="{E3716282-BFD2-4ED2-BA47-BFA1123827F0}"/>
</file>

<file path=customXml/itemProps14.xml><?xml version="1.0" encoding="utf-8"?>
<ds:datastoreItem xmlns:ds="http://schemas.openxmlformats.org/officeDocument/2006/customXml" ds:itemID="{BE26B669-A686-459C-A5E9-FEC3409C4C81}"/>
</file>

<file path=customXml/itemProps15.xml><?xml version="1.0" encoding="utf-8"?>
<ds:datastoreItem xmlns:ds="http://schemas.openxmlformats.org/officeDocument/2006/customXml" ds:itemID="{E20E8303-6A67-485C-B6F4-303542CC295C}"/>
</file>

<file path=customXml/itemProps16.xml><?xml version="1.0" encoding="utf-8"?>
<ds:datastoreItem xmlns:ds="http://schemas.openxmlformats.org/officeDocument/2006/customXml" ds:itemID="{F12EFA50-0068-4A8C-85A0-F1B26389EBC3}"/>
</file>

<file path=customXml/itemProps17.xml><?xml version="1.0" encoding="utf-8"?>
<ds:datastoreItem xmlns:ds="http://schemas.openxmlformats.org/officeDocument/2006/customXml" ds:itemID="{078388C9-06F9-42F4-B857-EF76B5CAF1FD}"/>
</file>

<file path=customXml/itemProps18.xml><?xml version="1.0" encoding="utf-8"?>
<ds:datastoreItem xmlns:ds="http://schemas.openxmlformats.org/officeDocument/2006/customXml" ds:itemID="{7946C510-7D04-49D8-9B25-EEC04582A1CA}"/>
</file>

<file path=customXml/itemProps19.xml><?xml version="1.0" encoding="utf-8"?>
<ds:datastoreItem xmlns:ds="http://schemas.openxmlformats.org/officeDocument/2006/customXml" ds:itemID="{F6B2B1A1-1C4B-4AC9-9A7D-7A102DD1C942}"/>
</file>

<file path=customXml/itemProps20.xml><?xml version="1.0" encoding="utf-8"?>
<ds:datastoreItem xmlns:ds="http://schemas.openxmlformats.org/officeDocument/2006/customXml" ds:itemID="{8D732231-4216-4543-A665-18A2886B0E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2025-01-14T07:05:23Z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