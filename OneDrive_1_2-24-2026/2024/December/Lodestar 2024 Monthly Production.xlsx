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4/December/"/>
    </mc:Choice>
  </mc:AlternateContent>
  <xr:revisionPtr revIDLastSave="113" documentId="13_ncr:1_{DA4ACFFC-FDA7-4159-904C-9F0534F5EF11}" xr6:coauthVersionLast="47" xr6:coauthVersionMax="47" xr10:uidLastSave="{28180B5F-7BC2-40FB-AEC7-A9EAC9CB10F3}"/>
  <bookViews>
    <workbookView xWindow="-110" yWindow="-110" windowWidth="24220" windowHeight="15500"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1" l="1"/>
  <c r="H23" i="21"/>
  <c r="I23" i="21"/>
  <c r="I15" i="32"/>
  <c r="I16" i="32"/>
  <c r="I17" i="32"/>
  <c r="I5" i="32"/>
  <c r="I20" i="1"/>
  <c r="I21" i="1"/>
  <c r="I22" i="1"/>
  <c r="F20" i="1"/>
  <c r="F21" i="1"/>
  <c r="F22" i="1"/>
  <c r="I20" i="29"/>
  <c r="I21" i="29"/>
  <c r="I22" i="29"/>
  <c r="I23" i="29"/>
  <c r="H20" i="29"/>
  <c r="H21" i="29"/>
  <c r="H22" i="29"/>
  <c r="F20" i="29"/>
  <c r="F21" i="29"/>
  <c r="F22" i="29"/>
  <c r="F23" i="29"/>
  <c r="E20" i="29"/>
  <c r="E21" i="29"/>
  <c r="E22" i="29"/>
  <c r="D20" i="29"/>
  <c r="D21" i="29"/>
  <c r="D22" i="29"/>
  <c r="C20" i="29"/>
  <c r="C21" i="29"/>
  <c r="C22" i="29"/>
  <c r="I22" i="33"/>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2" i="30" s="1"/>
  <c r="H22" i="34" s="1"/>
  <c r="H23" i="33"/>
  <c r="I23" i="33" s="1"/>
  <c r="H24" i="33"/>
  <c r="I24" i="33" s="1"/>
  <c r="H25" i="33"/>
  <c r="I25" i="33" s="1"/>
  <c r="H26" i="33"/>
  <c r="I26" i="33" s="1"/>
  <c r="H27" i="33"/>
  <c r="I27" i="33" s="1"/>
  <c r="H28" i="33"/>
  <c r="I28" i="33" s="1"/>
  <c r="F8" i="33"/>
  <c r="F10" i="33"/>
  <c r="F22" i="33"/>
  <c r="F24" i="33"/>
  <c r="F28" i="33"/>
  <c r="E5" i="33"/>
  <c r="F5" i="33" s="1"/>
  <c r="E6" i="33"/>
  <c r="F6" i="33" s="1"/>
  <c r="E7" i="33"/>
  <c r="F7" i="33" s="1"/>
  <c r="E8" i="33"/>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E23" i="33"/>
  <c r="F23" i="33" s="1"/>
  <c r="E24" i="33"/>
  <c r="E25" i="33"/>
  <c r="F25" i="33" s="1"/>
  <c r="E26" i="33"/>
  <c r="F26" i="33" s="1"/>
  <c r="E27" i="33"/>
  <c r="F27" i="33" s="1"/>
  <c r="E28" i="33"/>
  <c r="I4" i="32"/>
  <c r="H4" i="33"/>
  <c r="I4" i="33" s="1"/>
  <c r="H4" i="32"/>
  <c r="F4" i="32"/>
  <c r="E4" i="33"/>
  <c r="F4" i="33" s="1"/>
  <c r="E4" i="32"/>
  <c r="H28" i="32"/>
  <c r="I28" i="32" s="1"/>
  <c r="F28" i="32"/>
  <c r="E28" i="32"/>
  <c r="D20" i="30"/>
  <c r="D21" i="30"/>
  <c r="D22" i="30"/>
  <c r="D23" i="30"/>
  <c r="C20" i="30"/>
  <c r="E20" i="30" s="1"/>
  <c r="F20" i="30" s="1"/>
  <c r="C21" i="30"/>
  <c r="E21" i="30" s="1"/>
  <c r="F21" i="30" s="1"/>
  <c r="C22" i="30"/>
  <c r="E22" i="30" s="1"/>
  <c r="F22" i="30" s="1"/>
  <c r="G6" i="30"/>
  <c r="G7" i="30"/>
  <c r="G8" i="30"/>
  <c r="G9" i="30"/>
  <c r="G10" i="30"/>
  <c r="G11" i="30"/>
  <c r="G12" i="30"/>
  <c r="G13" i="30"/>
  <c r="G14" i="30"/>
  <c r="G15" i="30"/>
  <c r="G16" i="30"/>
  <c r="G17" i="30"/>
  <c r="G18" i="30"/>
  <c r="G19" i="30"/>
  <c r="G20" i="30"/>
  <c r="G20" i="34" s="1"/>
  <c r="G21" i="30"/>
  <c r="G22" i="30"/>
  <c r="G23" i="30"/>
  <c r="G24" i="30"/>
  <c r="G25" i="30"/>
  <c r="G26" i="30"/>
  <c r="G27" i="30"/>
  <c r="G28" i="30"/>
  <c r="G5" i="30"/>
  <c r="G4" i="30"/>
  <c r="F15" i="32"/>
  <c r="I20" i="32"/>
  <c r="I23" i="32"/>
  <c r="I26" i="32"/>
  <c r="I27" i="32"/>
  <c r="H16" i="32"/>
  <c r="H17" i="32"/>
  <c r="H18" i="32"/>
  <c r="I18" i="32" s="1"/>
  <c r="H19" i="32"/>
  <c r="I19" i="32" s="1"/>
  <c r="H20" i="32"/>
  <c r="H21" i="32"/>
  <c r="I21" i="32" s="1"/>
  <c r="H22" i="32"/>
  <c r="I22" i="32" s="1"/>
  <c r="H23" i="32"/>
  <c r="H24" i="32"/>
  <c r="I24" i="32" s="1"/>
  <c r="H25" i="32"/>
  <c r="I25" i="32" s="1"/>
  <c r="H26" i="32"/>
  <c r="H27" i="32"/>
  <c r="F18" i="32"/>
  <c r="F19" i="32"/>
  <c r="F20" i="32"/>
  <c r="F21" i="32"/>
  <c r="F22" i="32"/>
  <c r="F23" i="32"/>
  <c r="F24" i="32"/>
  <c r="F25" i="32"/>
  <c r="F26" i="32"/>
  <c r="F27" i="32"/>
  <c r="F13" i="32"/>
  <c r="E16" i="32"/>
  <c r="F16" i="32" s="1"/>
  <c r="E17" i="32"/>
  <c r="F17" i="32" s="1"/>
  <c r="E18" i="32"/>
  <c r="E19" i="32"/>
  <c r="E20" i="32"/>
  <c r="E21" i="32"/>
  <c r="E22" i="32"/>
  <c r="E23" i="32"/>
  <c r="E24" i="32"/>
  <c r="E25" i="32"/>
  <c r="E26" i="32"/>
  <c r="E27" i="32"/>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18" i="26"/>
  <c r="I19" i="26"/>
  <c r="I20" i="26"/>
  <c r="I21" i="26"/>
  <c r="I22" i="26"/>
  <c r="I24" i="26"/>
  <c r="I25" i="26"/>
  <c r="I26" i="26"/>
  <c r="I27" i="26"/>
  <c r="I28" i="26"/>
  <c r="H15" i="26"/>
  <c r="I15" i="26" s="1"/>
  <c r="H16" i="26"/>
  <c r="I16" i="26" s="1"/>
  <c r="H17" i="26"/>
  <c r="I17" i="26" s="1"/>
  <c r="H18" i="26"/>
  <c r="H19" i="26"/>
  <c r="H20" i="26"/>
  <c r="H21" i="26"/>
  <c r="H22" i="26"/>
  <c r="H23" i="26"/>
  <c r="I23" i="26" s="1"/>
  <c r="H24" i="26"/>
  <c r="H25" i="26"/>
  <c r="H26" i="26"/>
  <c r="H27" i="26"/>
  <c r="H28" i="26"/>
  <c r="F18" i="26"/>
  <c r="F19" i="26"/>
  <c r="F20" i="26"/>
  <c r="F21" i="26"/>
  <c r="F22" i="26"/>
  <c r="F24" i="26"/>
  <c r="F25" i="26"/>
  <c r="F26" i="26"/>
  <c r="F27" i="26"/>
  <c r="F28" i="26"/>
  <c r="E15" i="26"/>
  <c r="F15" i="26" s="1"/>
  <c r="E16" i="26"/>
  <c r="F16" i="26" s="1"/>
  <c r="E17" i="26"/>
  <c r="F17" i="26" s="1"/>
  <c r="E18" i="26"/>
  <c r="E19" i="26"/>
  <c r="E20" i="26"/>
  <c r="E21" i="26"/>
  <c r="E22" i="26"/>
  <c r="E23" i="26"/>
  <c r="F23" i="26" s="1"/>
  <c r="E24" i="26"/>
  <c r="E25" i="26"/>
  <c r="E26" i="26"/>
  <c r="E27" i="26"/>
  <c r="E28" i="26"/>
  <c r="I18" i="27"/>
  <c r="I19" i="27"/>
  <c r="I20" i="27"/>
  <c r="I21" i="27"/>
  <c r="I22" i="27"/>
  <c r="I24" i="27"/>
  <c r="I25" i="27"/>
  <c r="I26" i="27"/>
  <c r="I27" i="27"/>
  <c r="I28" i="27"/>
  <c r="H15" i="27"/>
  <c r="I15" i="27" s="1"/>
  <c r="H16" i="27"/>
  <c r="I16" i="27" s="1"/>
  <c r="H17" i="27"/>
  <c r="I17" i="27" s="1"/>
  <c r="H18" i="27"/>
  <c r="H19" i="27"/>
  <c r="H20" i="27"/>
  <c r="H21" i="27"/>
  <c r="H22" i="27"/>
  <c r="H23" i="27"/>
  <c r="I23" i="27" s="1"/>
  <c r="H24" i="27"/>
  <c r="H25" i="27"/>
  <c r="H26" i="27"/>
  <c r="H27" i="27"/>
  <c r="H28" i="27"/>
  <c r="F18" i="27"/>
  <c r="F19" i="27"/>
  <c r="F20" i="27"/>
  <c r="F21" i="27"/>
  <c r="F22" i="27"/>
  <c r="F24" i="27"/>
  <c r="F25" i="27"/>
  <c r="F26" i="27"/>
  <c r="F27" i="27"/>
  <c r="F28" i="27"/>
  <c r="E15" i="27"/>
  <c r="F15" i="27" s="1"/>
  <c r="E16" i="27"/>
  <c r="F16" i="27" s="1"/>
  <c r="E17" i="27"/>
  <c r="F17" i="27" s="1"/>
  <c r="E18" i="27"/>
  <c r="E19" i="27"/>
  <c r="E20" i="27"/>
  <c r="E21" i="27"/>
  <c r="E22" i="27"/>
  <c r="E23" i="27"/>
  <c r="F23" i="27" s="1"/>
  <c r="E24" i="27"/>
  <c r="E25" i="27"/>
  <c r="E26" i="27"/>
  <c r="E27" i="27"/>
  <c r="E28" i="27"/>
  <c r="I18" i="28"/>
  <c r="I19" i="28"/>
  <c r="I20" i="28"/>
  <c r="I21" i="28"/>
  <c r="I22" i="28"/>
  <c r="I24" i="28"/>
  <c r="I25" i="28"/>
  <c r="I26" i="28"/>
  <c r="I27" i="28"/>
  <c r="I28" i="28"/>
  <c r="H15" i="28"/>
  <c r="I15" i="28" s="1"/>
  <c r="H16" i="28"/>
  <c r="I16" i="28" s="1"/>
  <c r="H17" i="28"/>
  <c r="I17" i="28" s="1"/>
  <c r="H18" i="28"/>
  <c r="H19" i="28"/>
  <c r="H20" i="28"/>
  <c r="H21" i="28"/>
  <c r="H22" i="28"/>
  <c r="H23" i="28"/>
  <c r="I23" i="28" s="1"/>
  <c r="H24" i="28"/>
  <c r="H25" i="28"/>
  <c r="H26" i="28"/>
  <c r="H27" i="28"/>
  <c r="H28" i="28"/>
  <c r="F18" i="28"/>
  <c r="F19" i="28"/>
  <c r="F20" i="28"/>
  <c r="F21" i="28"/>
  <c r="F22" i="28"/>
  <c r="F24" i="28"/>
  <c r="F25" i="28"/>
  <c r="F26" i="28"/>
  <c r="F27" i="28"/>
  <c r="F28" i="28"/>
  <c r="E15" i="28"/>
  <c r="F15" i="28" s="1"/>
  <c r="E16" i="28"/>
  <c r="F16" i="28" s="1"/>
  <c r="E17" i="28"/>
  <c r="F17" i="28" s="1"/>
  <c r="E18" i="28"/>
  <c r="E19" i="28"/>
  <c r="E20" i="28"/>
  <c r="E21" i="28"/>
  <c r="E22" i="28"/>
  <c r="E23" i="28"/>
  <c r="F23" i="28" s="1"/>
  <c r="E24" i="28"/>
  <c r="E25" i="28"/>
  <c r="E26" i="28"/>
  <c r="E27" i="28"/>
  <c r="E28" i="28"/>
  <c r="I18" i="19"/>
  <c r="I19" i="19"/>
  <c r="I20" i="19"/>
  <c r="I21" i="19"/>
  <c r="I22" i="19"/>
  <c r="I24" i="19"/>
  <c r="I25" i="19"/>
  <c r="I26" i="19"/>
  <c r="I27" i="19"/>
  <c r="I28" i="19"/>
  <c r="H15" i="19"/>
  <c r="I15" i="19" s="1"/>
  <c r="H16" i="19"/>
  <c r="I16" i="19" s="1"/>
  <c r="H17" i="19"/>
  <c r="I17" i="19" s="1"/>
  <c r="H18" i="19"/>
  <c r="H19" i="19"/>
  <c r="H20" i="19"/>
  <c r="H21" i="19"/>
  <c r="H22" i="19"/>
  <c r="H23" i="19"/>
  <c r="I23" i="19" s="1"/>
  <c r="H24" i="19"/>
  <c r="H25" i="19"/>
  <c r="H26" i="19"/>
  <c r="H27" i="19"/>
  <c r="H28" i="19"/>
  <c r="F15" i="19"/>
  <c r="F18" i="19"/>
  <c r="F19" i="19"/>
  <c r="F20" i="19"/>
  <c r="F21" i="19"/>
  <c r="F22" i="19"/>
  <c r="F24" i="19"/>
  <c r="F25" i="19"/>
  <c r="F26" i="19"/>
  <c r="F27" i="19"/>
  <c r="F28" i="19"/>
  <c r="E15" i="19"/>
  <c r="E16" i="19"/>
  <c r="F16" i="19" s="1"/>
  <c r="E17" i="19"/>
  <c r="F17" i="19" s="1"/>
  <c r="E18" i="19"/>
  <c r="E19" i="19"/>
  <c r="E20" i="19"/>
  <c r="E21" i="19"/>
  <c r="E22" i="19"/>
  <c r="E23" i="19"/>
  <c r="F23" i="19" s="1"/>
  <c r="E24" i="19"/>
  <c r="E25" i="19"/>
  <c r="E26" i="19"/>
  <c r="E27" i="19"/>
  <c r="E28" i="19"/>
  <c r="H20" i="18"/>
  <c r="I20" i="18" s="1"/>
  <c r="H21" i="18"/>
  <c r="I21" i="18" s="1"/>
  <c r="H22" i="18"/>
  <c r="I22" i="18" s="1"/>
  <c r="F20" i="18"/>
  <c r="F21" i="18"/>
  <c r="F22" i="18"/>
  <c r="E20" i="18"/>
  <c r="E21" i="18"/>
  <c r="E22" i="18"/>
  <c r="D20" i="18"/>
  <c r="D21" i="18"/>
  <c r="D22" i="18"/>
  <c r="D23" i="18"/>
  <c r="C20" i="18"/>
  <c r="C21" i="18"/>
  <c r="C22" i="18"/>
  <c r="C23" i="18"/>
  <c r="E23" i="18" s="1"/>
  <c r="F23" i="18" s="1"/>
  <c r="G5" i="18"/>
  <c r="G6" i="18"/>
  <c r="G7" i="18"/>
  <c r="G8" i="18"/>
  <c r="G9" i="18"/>
  <c r="G10" i="18"/>
  <c r="G11" i="18"/>
  <c r="G12" i="18"/>
  <c r="G13" i="18"/>
  <c r="G14" i="18"/>
  <c r="G15" i="18"/>
  <c r="G16" i="18"/>
  <c r="G17" i="18"/>
  <c r="G18" i="18"/>
  <c r="G19" i="18"/>
  <c r="G20" i="18"/>
  <c r="G21" i="18"/>
  <c r="G22" i="18"/>
  <c r="G23" i="18"/>
  <c r="G24" i="18"/>
  <c r="G25" i="18"/>
  <c r="G26" i="18"/>
  <c r="G27" i="18"/>
  <c r="G28" i="18"/>
  <c r="G4" i="18"/>
  <c r="I18" i="20"/>
  <c r="I19" i="20"/>
  <c r="I20" i="20"/>
  <c r="I21" i="20"/>
  <c r="I22" i="20"/>
  <c r="I24" i="20"/>
  <c r="I25" i="20"/>
  <c r="I26" i="20"/>
  <c r="I27" i="20"/>
  <c r="I28" i="20"/>
  <c r="H15" i="20"/>
  <c r="I15" i="20" s="1"/>
  <c r="H16" i="20"/>
  <c r="I16" i="20" s="1"/>
  <c r="H17" i="20"/>
  <c r="I17" i="20" s="1"/>
  <c r="H18" i="20"/>
  <c r="H18" i="18" s="1"/>
  <c r="I18" i="18" s="1"/>
  <c r="H19" i="20"/>
  <c r="H20" i="20"/>
  <c r="H21" i="20"/>
  <c r="H22" i="20"/>
  <c r="H23" i="20"/>
  <c r="I23" i="20" s="1"/>
  <c r="H24" i="20"/>
  <c r="H25" i="20"/>
  <c r="H26" i="20"/>
  <c r="H27" i="20"/>
  <c r="H27" i="18" s="1"/>
  <c r="I27" i="18" s="1"/>
  <c r="H28" i="20"/>
  <c r="H28" i="18" s="1"/>
  <c r="I28" i="18" s="1"/>
  <c r="F18" i="20"/>
  <c r="F19" i="20"/>
  <c r="F20" i="20"/>
  <c r="F21" i="20"/>
  <c r="F22" i="20"/>
  <c r="F24" i="20"/>
  <c r="F25" i="20"/>
  <c r="F26" i="20"/>
  <c r="F27" i="20"/>
  <c r="F28" i="20"/>
  <c r="E15" i="20"/>
  <c r="F15" i="20" s="1"/>
  <c r="E16" i="20"/>
  <c r="F16" i="20" s="1"/>
  <c r="E17" i="20"/>
  <c r="F17" i="20" s="1"/>
  <c r="E18" i="20"/>
  <c r="E19" i="20"/>
  <c r="E20" i="20"/>
  <c r="E21" i="20"/>
  <c r="E22" i="20"/>
  <c r="E23" i="20"/>
  <c r="F23" i="20" s="1"/>
  <c r="E24" i="20"/>
  <c r="E25" i="20"/>
  <c r="E26" i="20"/>
  <c r="E27" i="20"/>
  <c r="E28" i="20"/>
  <c r="I18" i="21"/>
  <c r="I19" i="21"/>
  <c r="I20" i="21"/>
  <c r="I21" i="21"/>
  <c r="I22" i="21"/>
  <c r="I24" i="21"/>
  <c r="I25" i="21"/>
  <c r="I26" i="21"/>
  <c r="I27" i="21"/>
  <c r="I28" i="21"/>
  <c r="H18" i="21"/>
  <c r="H19" i="21"/>
  <c r="H20" i="21"/>
  <c r="H21" i="21"/>
  <c r="H22" i="21"/>
  <c r="H24" i="21"/>
  <c r="H24" i="18" s="1"/>
  <c r="I24" i="18" s="1"/>
  <c r="H25" i="21"/>
  <c r="H25" i="18" s="1"/>
  <c r="H26" i="21"/>
  <c r="H27" i="21"/>
  <c r="H28" i="21"/>
  <c r="H15" i="21"/>
  <c r="I15" i="21" s="1"/>
  <c r="H16" i="21"/>
  <c r="I16" i="21" s="1"/>
  <c r="H17" i="21"/>
  <c r="I17" i="21" s="1"/>
  <c r="F18" i="21"/>
  <c r="F19" i="21"/>
  <c r="F20" i="21"/>
  <c r="F21" i="21"/>
  <c r="F22" i="21"/>
  <c r="F24" i="21"/>
  <c r="F25" i="21"/>
  <c r="F26" i="21"/>
  <c r="F27" i="21"/>
  <c r="F28" i="21"/>
  <c r="E15" i="21"/>
  <c r="F15" i="21" s="1"/>
  <c r="E16" i="21"/>
  <c r="F16" i="21" s="1"/>
  <c r="E17" i="21"/>
  <c r="F17" i="21" s="1"/>
  <c r="E18" i="21"/>
  <c r="E19" i="21"/>
  <c r="E20" i="21"/>
  <c r="E21" i="21"/>
  <c r="E22" i="21"/>
  <c r="F23" i="21"/>
  <c r="E24" i="21"/>
  <c r="E25" i="21"/>
  <c r="E26" i="21"/>
  <c r="E27" i="21"/>
  <c r="E28" i="21"/>
  <c r="H5" i="1"/>
  <c r="H6" i="1"/>
  <c r="H7" i="1"/>
  <c r="H8" i="1"/>
  <c r="H9" i="1"/>
  <c r="H10" i="1"/>
  <c r="H11" i="1"/>
  <c r="H12" i="1"/>
  <c r="H13" i="1"/>
  <c r="H14" i="1"/>
  <c r="H15" i="1"/>
  <c r="H18" i="1"/>
  <c r="H19" i="1"/>
  <c r="H20" i="1"/>
  <c r="H21" i="1"/>
  <c r="H22" i="1"/>
  <c r="H24" i="1"/>
  <c r="H25" i="1"/>
  <c r="H26" i="1"/>
  <c r="H27" i="1"/>
  <c r="H28" i="1"/>
  <c r="H4" i="1"/>
  <c r="D20" i="34"/>
  <c r="D21" i="34"/>
  <c r="D22" i="34"/>
  <c r="C20" i="34"/>
  <c r="C21" i="34"/>
  <c r="C22" i="34"/>
  <c r="G5" i="1"/>
  <c r="G6" i="1"/>
  <c r="G7" i="1"/>
  <c r="G8" i="1"/>
  <c r="G9" i="1"/>
  <c r="G10" i="1"/>
  <c r="G11" i="1"/>
  <c r="G12" i="1"/>
  <c r="G13" i="1"/>
  <c r="G14" i="1"/>
  <c r="G15" i="1"/>
  <c r="G16" i="1"/>
  <c r="G17" i="1"/>
  <c r="G18" i="1"/>
  <c r="G19" i="1"/>
  <c r="G20" i="1"/>
  <c r="G21" i="1"/>
  <c r="G21" i="34" s="1"/>
  <c r="G22" i="1"/>
  <c r="G23" i="1"/>
  <c r="G24" i="1"/>
  <c r="G25" i="1"/>
  <c r="G26" i="1"/>
  <c r="G27" i="1"/>
  <c r="G28" i="1"/>
  <c r="G4" i="1"/>
  <c r="D5" i="1"/>
  <c r="D6" i="1"/>
  <c r="D7" i="1"/>
  <c r="D8" i="1"/>
  <c r="D9" i="1"/>
  <c r="D10" i="1"/>
  <c r="D11" i="1"/>
  <c r="D12" i="1"/>
  <c r="D13" i="1"/>
  <c r="D14" i="1"/>
  <c r="D15" i="1"/>
  <c r="D16" i="1"/>
  <c r="D17" i="1"/>
  <c r="D18" i="1"/>
  <c r="D19" i="1"/>
  <c r="D20" i="1"/>
  <c r="D21" i="1"/>
  <c r="E21" i="1" s="1"/>
  <c r="D22" i="1"/>
  <c r="D23" i="1"/>
  <c r="D24" i="1"/>
  <c r="D25" i="1"/>
  <c r="D26" i="1"/>
  <c r="D27" i="1"/>
  <c r="D28" i="1"/>
  <c r="D4" i="1"/>
  <c r="C5" i="1"/>
  <c r="C6" i="1"/>
  <c r="C7" i="1"/>
  <c r="C8" i="1"/>
  <c r="C9" i="1"/>
  <c r="C10" i="1"/>
  <c r="C11" i="1"/>
  <c r="C12" i="1"/>
  <c r="C13" i="1"/>
  <c r="C14" i="1"/>
  <c r="C15" i="1"/>
  <c r="C16" i="1"/>
  <c r="C17" i="1"/>
  <c r="C18" i="1"/>
  <c r="C19" i="1"/>
  <c r="C20" i="1"/>
  <c r="C21" i="1"/>
  <c r="C22" i="1"/>
  <c r="C23" i="1"/>
  <c r="C24" i="1"/>
  <c r="C25" i="1"/>
  <c r="C26" i="1"/>
  <c r="C27" i="1"/>
  <c r="C28" i="1"/>
  <c r="E22" i="1"/>
  <c r="C4" i="1"/>
  <c r="H28" i="73"/>
  <c r="I28" i="73" s="1"/>
  <c r="E28" i="73"/>
  <c r="F28" i="73" s="1"/>
  <c r="H27" i="73"/>
  <c r="I27" i="73" s="1"/>
  <c r="E27" i="73"/>
  <c r="F27" i="73" s="1"/>
  <c r="H26" i="73"/>
  <c r="I26" i="73" s="1"/>
  <c r="E26" i="73"/>
  <c r="F26" i="73" s="1"/>
  <c r="H25" i="73"/>
  <c r="I25" i="73" s="1"/>
  <c r="E25" i="73"/>
  <c r="F25" i="73" s="1"/>
  <c r="H24" i="73"/>
  <c r="I24" i="73" s="1"/>
  <c r="E24" i="73"/>
  <c r="F24" i="73" s="1"/>
  <c r="H23" i="73"/>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G22" i="34"/>
  <c r="G23" i="34"/>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F18" i="4"/>
  <c r="F20" i="4"/>
  <c r="E15" i="4"/>
  <c r="F15" i="4" s="1"/>
  <c r="E16" i="4"/>
  <c r="F16" i="4" s="1"/>
  <c r="E17" i="4"/>
  <c r="F17" i="4" s="1"/>
  <c r="E18" i="4"/>
  <c r="E19" i="4"/>
  <c r="F19" i="4" s="1"/>
  <c r="E20" i="4"/>
  <c r="E21" i="4"/>
  <c r="F21" i="4" s="1"/>
  <c r="E22" i="4"/>
  <c r="F22" i="4" s="1"/>
  <c r="E23" i="4"/>
  <c r="F23" i="4" s="1"/>
  <c r="E24" i="4"/>
  <c r="F24" i="4" s="1"/>
  <c r="E25" i="4"/>
  <c r="F25" i="4" s="1"/>
  <c r="E26" i="4"/>
  <c r="F26" i="4" s="1"/>
  <c r="E27" i="4"/>
  <c r="F27" i="4" s="1"/>
  <c r="E28" i="4"/>
  <c r="F28" i="4" s="1"/>
  <c r="F18" i="3"/>
  <c r="F19" i="3"/>
  <c r="F20" i="3"/>
  <c r="F21" i="3"/>
  <c r="F22" i="3"/>
  <c r="F23" i="3"/>
  <c r="F24" i="3"/>
  <c r="F25" i="3"/>
  <c r="F26" i="3"/>
  <c r="F27" i="3"/>
  <c r="F28" i="3"/>
  <c r="I18" i="3"/>
  <c r="I19" i="3"/>
  <c r="I20" i="3"/>
  <c r="I21" i="3"/>
  <c r="I22" i="3"/>
  <c r="I23" i="3"/>
  <c r="I24" i="3"/>
  <c r="I25" i="3"/>
  <c r="I26" i="3"/>
  <c r="I27" i="3"/>
  <c r="I28" i="3"/>
  <c r="H18" i="3"/>
  <c r="H19" i="3"/>
  <c r="H20" i="3"/>
  <c r="H21" i="3"/>
  <c r="H22" i="3"/>
  <c r="H23" i="3"/>
  <c r="H24" i="3"/>
  <c r="H25" i="3"/>
  <c r="H26" i="3"/>
  <c r="H27" i="3"/>
  <c r="H28" i="3"/>
  <c r="H15" i="3"/>
  <c r="I15" i="3" s="1"/>
  <c r="H16" i="3"/>
  <c r="I16" i="3" s="1"/>
  <c r="H17" i="3"/>
  <c r="I17" i="3" s="1"/>
  <c r="E15" i="3"/>
  <c r="F15" i="3" s="1"/>
  <c r="E16" i="3"/>
  <c r="F16" i="3" s="1"/>
  <c r="E17" i="3"/>
  <c r="F17" i="3" s="1"/>
  <c r="E18" i="3"/>
  <c r="E19" i="3"/>
  <c r="E20" i="3"/>
  <c r="E21" i="3"/>
  <c r="E22" i="3"/>
  <c r="E23" i="3"/>
  <c r="E24" i="3"/>
  <c r="E25" i="3"/>
  <c r="E26" i="3"/>
  <c r="E27" i="3"/>
  <c r="E28" i="3"/>
  <c r="C18" i="29"/>
  <c r="D18" i="29"/>
  <c r="H18" i="29"/>
  <c r="I18" i="29" s="1"/>
  <c r="C19" i="29"/>
  <c r="D19" i="29"/>
  <c r="H19" i="29"/>
  <c r="I19" i="29" s="1"/>
  <c r="C23" i="29"/>
  <c r="D23" i="29"/>
  <c r="H23" i="29"/>
  <c r="C24" i="29"/>
  <c r="D24" i="29"/>
  <c r="H24" i="29"/>
  <c r="I24" i="29" s="1"/>
  <c r="C25" i="29"/>
  <c r="D25" i="29"/>
  <c r="H25" i="29"/>
  <c r="I25" i="29" s="1"/>
  <c r="C26" i="29"/>
  <c r="D26" i="29"/>
  <c r="H26" i="29"/>
  <c r="I26" i="29" s="1"/>
  <c r="C27" i="29"/>
  <c r="D27" i="29"/>
  <c r="H27" i="29"/>
  <c r="I27" i="29" s="1"/>
  <c r="C28" i="29"/>
  <c r="D28" i="29"/>
  <c r="H28" i="29"/>
  <c r="I28" i="29" s="1"/>
  <c r="C17" i="18"/>
  <c r="D17" i="18"/>
  <c r="C18" i="18"/>
  <c r="D18" i="18"/>
  <c r="C19" i="18"/>
  <c r="D19" i="18"/>
  <c r="H19" i="18"/>
  <c r="I19" i="18" s="1"/>
  <c r="C24" i="18"/>
  <c r="D24" i="18"/>
  <c r="C25" i="18"/>
  <c r="D25" i="18"/>
  <c r="C26" i="18"/>
  <c r="D26" i="18"/>
  <c r="H26" i="18"/>
  <c r="I26" i="18" s="1"/>
  <c r="C27" i="18"/>
  <c r="D27" i="18"/>
  <c r="C28" i="18"/>
  <c r="D28" i="18"/>
  <c r="I23" i="73" l="1"/>
  <c r="H23" i="1"/>
  <c r="I23" i="1" s="1"/>
  <c r="H21" i="30"/>
  <c r="H21" i="34" s="1"/>
  <c r="H20" i="30"/>
  <c r="H20" i="34" s="1"/>
  <c r="I20" i="30"/>
  <c r="I22" i="30"/>
  <c r="H23" i="18"/>
  <c r="I23" i="18" s="1"/>
  <c r="E17" i="18"/>
  <c r="F17" i="18" s="1"/>
  <c r="I16" i="4"/>
  <c r="H16" i="1"/>
  <c r="I17" i="4"/>
  <c r="H17" i="1"/>
  <c r="I25" i="18"/>
  <c r="I20" i="34"/>
  <c r="I21" i="34"/>
  <c r="I22" i="34"/>
  <c r="E20" i="1"/>
  <c r="E21" i="34"/>
  <c r="F21" i="34" s="1"/>
  <c r="E20" i="34"/>
  <c r="F20" i="34" s="1"/>
  <c r="E22" i="34"/>
  <c r="F22" i="34" s="1"/>
  <c r="E2" i="73"/>
  <c r="F2" i="73" s="1"/>
  <c r="H2" i="73"/>
  <c r="I2" i="73" s="1"/>
  <c r="E18" i="29"/>
  <c r="F18" i="29" s="1"/>
  <c r="E26" i="29"/>
  <c r="F26" i="29" s="1"/>
  <c r="E23" i="29"/>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C28" i="34" s="1"/>
  <c r="D28" i="30"/>
  <c r="D28" i="34" s="1"/>
  <c r="H28" i="30"/>
  <c r="C18" i="30"/>
  <c r="C18" i="34" s="1"/>
  <c r="D18" i="30"/>
  <c r="D18" i="34" s="1"/>
  <c r="H18" i="30"/>
  <c r="C19" i="30"/>
  <c r="C19" i="34" s="1"/>
  <c r="D19" i="30"/>
  <c r="D19" i="34" s="1"/>
  <c r="H19" i="30"/>
  <c r="C23" i="30"/>
  <c r="C23" i="34" s="1"/>
  <c r="D23" i="34"/>
  <c r="H23" i="30"/>
  <c r="I23" i="30" s="1"/>
  <c r="C24" i="30"/>
  <c r="C24" i="34" s="1"/>
  <c r="D24" i="30"/>
  <c r="D24" i="34" s="1"/>
  <c r="H24" i="30"/>
  <c r="C25" i="30"/>
  <c r="C25" i="34" s="1"/>
  <c r="D25" i="30"/>
  <c r="D25" i="34" s="1"/>
  <c r="H25" i="30"/>
  <c r="C26" i="30"/>
  <c r="C26" i="34" s="1"/>
  <c r="D26" i="30"/>
  <c r="D26" i="34" s="1"/>
  <c r="H26" i="30"/>
  <c r="C27" i="30"/>
  <c r="C27" i="34" s="1"/>
  <c r="D27" i="30"/>
  <c r="D27" i="34" s="1"/>
  <c r="H27" i="30"/>
  <c r="C16" i="30"/>
  <c r="D16" i="30"/>
  <c r="E16" i="30"/>
  <c r="F16" i="30" s="1"/>
  <c r="C17" i="30"/>
  <c r="D17" i="30"/>
  <c r="C16" i="29"/>
  <c r="D16" i="29"/>
  <c r="C17" i="29"/>
  <c r="C17" i="34" s="1"/>
  <c r="D17" i="29"/>
  <c r="D17" i="34" s="1"/>
  <c r="C16" i="18"/>
  <c r="D16" i="18"/>
  <c r="D16" i="34" s="1"/>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E14" i="29" s="1"/>
  <c r="F14" i="29" s="1"/>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D13" i="18"/>
  <c r="C13" i="18"/>
  <c r="D12" i="18"/>
  <c r="C12" i="18"/>
  <c r="C12" i="34" s="1"/>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E15" i="32"/>
  <c r="H14" i="32"/>
  <c r="I14" i="32" s="1"/>
  <c r="E14" i="32"/>
  <c r="F14" i="32" s="1"/>
  <c r="H13" i="32"/>
  <c r="I13" i="32" s="1"/>
  <c r="E13" i="32"/>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D10" i="34" l="1"/>
  <c r="D7" i="34"/>
  <c r="I21" i="30"/>
  <c r="C5" i="34"/>
  <c r="E5" i="34" s="1"/>
  <c r="F5" i="34" s="1"/>
  <c r="E13" i="30"/>
  <c r="F13" i="30" s="1"/>
  <c r="D11" i="34"/>
  <c r="C11" i="34"/>
  <c r="E8" i="30"/>
  <c r="F8" i="30" s="1"/>
  <c r="E26" i="34"/>
  <c r="F26" i="34" s="1"/>
  <c r="I27" i="30"/>
  <c r="H27" i="34"/>
  <c r="I27" i="34" s="1"/>
  <c r="I26" i="30"/>
  <c r="H26" i="34"/>
  <c r="I25" i="30"/>
  <c r="H25" i="34"/>
  <c r="I25" i="34" s="1"/>
  <c r="I24" i="30"/>
  <c r="H24" i="34"/>
  <c r="I24" i="34" s="1"/>
  <c r="H23" i="34"/>
  <c r="E23" i="34"/>
  <c r="F23" i="34" s="1"/>
  <c r="I19" i="30"/>
  <c r="H19" i="34"/>
  <c r="I19" i="34" s="1"/>
  <c r="I18" i="30"/>
  <c r="H18" i="34"/>
  <c r="I28" i="30"/>
  <c r="H28" i="34"/>
  <c r="E25" i="34"/>
  <c r="F25" i="34" s="1"/>
  <c r="E24" i="34"/>
  <c r="F24" i="34" s="1"/>
  <c r="E28" i="34"/>
  <c r="F28" i="34" s="1"/>
  <c r="E19" i="34"/>
  <c r="F19" i="34" s="1"/>
  <c r="E27" i="34"/>
  <c r="F27" i="34" s="1"/>
  <c r="E18" i="34"/>
  <c r="F18" i="34" s="1"/>
  <c r="E14" i="30"/>
  <c r="F14" i="30" s="1"/>
  <c r="C10" i="34"/>
  <c r="D13" i="34"/>
  <c r="C13" i="34"/>
  <c r="D12" i="34"/>
  <c r="E12" i="34" s="1"/>
  <c r="F12" i="34" s="1"/>
  <c r="D9" i="34"/>
  <c r="C9" i="34"/>
  <c r="D8" i="34"/>
  <c r="C7" i="34"/>
  <c r="E7" i="34" s="1"/>
  <c r="F7" i="34" s="1"/>
  <c r="D14" i="34"/>
  <c r="D6" i="34"/>
  <c r="C6" i="34"/>
  <c r="E6" i="34" s="1"/>
  <c r="F6" i="34" s="1"/>
  <c r="D5" i="34"/>
  <c r="E16" i="18"/>
  <c r="F16" i="18" s="1"/>
  <c r="C16" i="34"/>
  <c r="E8" i="18"/>
  <c r="F8" i="18" s="1"/>
  <c r="C8" i="34"/>
  <c r="E14" i="18"/>
  <c r="F14" i="18" s="1"/>
  <c r="C14" i="34"/>
  <c r="I23" i="34"/>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8" i="34"/>
  <c r="I27" i="1"/>
  <c r="I28" i="1"/>
  <c r="I26" i="1"/>
  <c r="I24" i="1"/>
  <c r="I18" i="34"/>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11" i="34"/>
  <c r="F11" i="34"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7" i="1"/>
  <c r="I5" i="1"/>
  <c r="I15" i="1"/>
  <c r="I12" i="1"/>
  <c r="I11" i="1"/>
  <c r="I10" i="1"/>
  <c r="I6" i="1"/>
  <c r="C2" i="1"/>
  <c r="E2" i="3"/>
  <c r="F2" i="3" s="1"/>
  <c r="E4" i="1"/>
  <c r="F4" i="1" s="1"/>
  <c r="I14" i="1"/>
  <c r="I13" i="1"/>
  <c r="I9" i="1"/>
  <c r="I8" i="1"/>
  <c r="D2" i="1"/>
  <c r="E2" i="33"/>
  <c r="F2" i="33" s="1"/>
  <c r="E2" i="32"/>
  <c r="F2" i="32" s="1"/>
  <c r="E2" i="31"/>
  <c r="F2" i="31" s="1"/>
  <c r="E2" i="27"/>
  <c r="F2" i="27" s="1"/>
  <c r="E2" i="26"/>
  <c r="F2" i="26" s="1"/>
  <c r="E2" i="19"/>
  <c r="F2" i="19" s="1"/>
  <c r="E2" i="21"/>
  <c r="F2" i="21" s="1"/>
  <c r="E2" i="4"/>
  <c r="F2" i="4" s="1"/>
  <c r="E10" i="34" l="1"/>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<sst xmlns="http://schemas.openxmlformats.org/spreadsheetml/2006/main" count="698" uniqueCount="404">
  <si>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</si>
  <si>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</si>
  <si>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</si>
  <si>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</si>
  <si>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</si>
  <si>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</si>
  <si>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</si>
  <si>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</si>
  <si>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</si>
  <si>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</si>
  <si>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</si>
  <si>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</si>
  <si>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</si>
  <si>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</si>
  <si>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</si>
  <si>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</si>
  <si>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</si>
  <si>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</si>
  <si>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</si>
  <si>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</si>
  <si>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</si>
  <si>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</si>
  <si>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
  </si>
  <si>
    <t>1. Inverter 1 started at 14:00 on 01/05.
2. Inverter 1 offline on 01/07 and resolved on 01/10  and reporting Bus Differential High Fault - Fault 0110.
2.  inverter 4 is currently offline on 01/07 and resolved on 01/09 and reporting Bus Differential High Fault - Fault 0110.
3. Inverters 1, 4 and 11 are offline on 01/13 and resolved on 01/14 due to "Bus differential high fault".
4.  Inverter 11 is offline on 01/13 resolved on 01/19 due to Bus differential fault.
5. Inverter 11 is offline from 01/19  due to Bus differential fault.</t>
  </si>
  <si>
    <t>1. SR079979
2.  SR080049
3. SR080194
4. SR080314
5. SR080441</t>
  </si>
  <si>
    <t>1.Inverters 61 to 64 have tripped offline at 11:15am on 01/01 and resolved next day
2.Inverters 61 to 64 have tripped offline at 11:15am on 01/15 and resolved next day
3.Inverter 48 was offline due to "Bus sum high" fault on 01/27 and RMA'd</t>
  </si>
  <si>
    <t>1.SR079853
2.SR080230
3.SR080522</t>
  </si>
  <si>
    <t>1.Inverter 1 is offline and reporting "Excessive Leakage Current" from 01/01 to 01/15
2.Inverter 5 is offline and reporting "Internal hardware failure" on 01/22 and back online next day
3.Inverter 1 is offline and reporting "Excessive Leakage Current from 01/25 and still offline</t>
  </si>
  <si>
    <t>1.SR078505
2.SR080384	
3.SR080614</t>
  </si>
  <si>
    <t xml:space="preserve"> </t>
  </si>
  <si>
    <t>1.Site tripped offline on 01/16 at 19:15 and autoreclosed at 19:30
2. CB 1.8 on DAS, (CB 10 onsite) was offline from 01/23 to 02/01.</t>
  </si>
  <si>
    <t>1.SR080271	
2.SR080413</t>
  </si>
  <si>
    <t xml:space="preserve">1.Site was tripped offline from 12/22/2023 to 01/10/2024 and again tripped offline on the same day and still offline
</t>
  </si>
  <si>
    <t xml:space="preserve">1.SR080143
</t>
  </si>
  <si>
    <t>1.Inverters 20,24,25 and 26 came back online on 01/25</t>
  </si>
  <si>
    <t>1.SR077715</t>
  </si>
  <si>
    <t>1.Site was offline at around 6:30am and later back online at 19:15 due to planned outage
2.Site was offline from 01/12 till 01/26 due to planned outage.</t>
  </si>
  <si>
    <t xml:space="preserve">1.SR080613
2.SR080117	</t>
  </si>
  <si>
    <t>1.Site has a brief outage and later auto reclosed.</t>
  </si>
  <si>
    <t>1.SR080569</t>
  </si>
  <si>
    <t>1.Inverter 11 tripped offline on an arc fault on 01/31 at EOD and back online next day.</t>
  </si>
  <si>
    <t>1.SR080631</t>
  </si>
  <si>
    <t>1. Site tripped offline at 10:05 am on 01/05 and back online at 7:00 Am  on 01/06.
2. Inverter 29 started late for the production on 01/15, 01/17 and 01/20
3. Inverter was 25 tripped offline on 01/22  and back online 02/06.
4. Site has a brief outage and later self resolved on 01/29</t>
  </si>
  <si>
    <t>1.SR079976
2.SR080227
3.SR080394
4.SR080570</t>
  </si>
  <si>
    <t>February Actual v. Expected</t>
  </si>
  <si>
    <t>February Actual v. Forecasted</t>
  </si>
  <si>
    <t xml:space="preserve">1. Inverter 48 was offline from 01/27 &amp; back online on 02/07 after replacement of inverter. 
2. Inverter 36 is offline from 08:00 to 14:45 on 02/24, offline on 02/28 &amp; back online on 02/29. 
3. Inverter 49 is offline on 02/26 &amp; RMA'd. </t>
  </si>
  <si>
    <t>1.SR080522
2. SR081051
3.SR081326</t>
  </si>
  <si>
    <t>1. SEL relay tripped open due to drop in B phase Voltage. Battery mode activate from 02/15 at 13:15 and back online on 02/18 at 09:00
2.  After site came back online on 02/18, Inverter 2 Combiner boxes  2.15 and 2.16 offline and back onlline at 11:30</t>
  </si>
  <si>
    <t>1. 	SR081008
2.  SR081084</t>
  </si>
  <si>
    <t>1.Site was tripped offline from 12/22/2023 to 01/10/2024 and again tripped offline on the same day and still offline</t>
  </si>
  <si>
    <t>1. .SR080143</t>
  </si>
  <si>
    <t>1. Inverter 4 offline  due to isolation fault on 02/24  and back online at EOD</t>
  </si>
  <si>
    <t>1. SR081293</t>
  </si>
  <si>
    <t>1. Inverter 55 tripped offline 02/02 at 11:30 and back online on 022/03 and again offline from 02/14 and back online on 02/06
2.  Utility planned outage from 02/25 to 02/28</t>
  </si>
  <si>
    <t>1. SR080677
2. SR081010</t>
  </si>
  <si>
    <t>1. planned outage from 01/31 to 02/09
2. Planned outage on 2/29/24</t>
  </si>
  <si>
    <t>2. SR081024</t>
  </si>
  <si>
    <t>1. planned outage from 02/25 to 02/28</t>
  </si>
  <si>
    <t>1. SR081011</t>
  </si>
  <si>
    <t>1. SR081012</t>
  </si>
  <si>
    <t>1. Site tripped offline on 02/17/2024 at 10:45AM and later back online on 02/18/2024 at 07:45AM.
2. Inverters 2 to 6, 8, 10 to 19, 21 to 32 are tripped offline on 02/22/2024 at 12:15 and later back online on 02/22/2024 at 16:15
3. Inverters 2, 3, 5, 8, 15, 23, 27 and 28 are tripped offline 02/26/2024 at 13:30 and later back online on 02/26/2024 at 14:15</t>
  </si>
  <si>
    <t>1. 	SR081075
2. SR081200
3. 	SR081338</t>
  </si>
  <si>
    <t>1. Inverters 1, 2, 8, 9, 10, 14, 15, 22, 23, 24, 25, 27, and 30 having tripping events on 02/03/2024, 02/04/2024 and 02/05/2024.
2. Inverters 1, 4-6, 9, 11-13, 16, 17, 20, 22, 24, and 29 are offline on 02/22/2024 at 12:15 and later back online on 02/22/2024 at 16:15</t>
  </si>
  <si>
    <t>1. SR080710
2. 	SR081201</t>
  </si>
  <si>
    <t>1. Site tripped offline on 03/08 and back online on 03/09 and again the site is offline on 03/11 and back online on 03/12.</t>
  </si>
  <si>
    <t>1. SR081731</t>
  </si>
  <si>
    <t>1. Inverter 25 is offline on 03/06 and back online on 03/07
2. Inverter 16 is offline on 03/11 and back online on 03/21</t>
  </si>
  <si>
    <t>1. SR081597
2. SR081757</t>
  </si>
  <si>
    <t>1. Inverter 49 is offline from 03/01 to 03/21</t>
  </si>
  <si>
    <t>1. SR082215</t>
  </si>
  <si>
    <t>1. Site was offline from 10:05AM to 10:36AM on 03/19.
2. Inverter 6 tripped offline on 03/10 and back online on 03/21.</t>
  </si>
  <si>
    <t>1. SR082098
2. SR081729</t>
  </si>
  <si>
    <t>1. Site was offline for whole month.</t>
  </si>
  <si>
    <t>1. SR082823</t>
  </si>
  <si>
    <t>1. Inverter 5 was offline from 11/07 to 03/25. Inverter 3 is offline since 11/07</t>
  </si>
  <si>
    <t>1. SR078016</t>
  </si>
  <si>
    <t>1. Inverter 23 tripped offline on 03/30 and inverter 25 is offline on 03/31.</t>
  </si>
  <si>
    <t>1. SR082932</t>
  </si>
  <si>
    <t>1. Inverter 13 is underproducing 100kW down compared to its peers since 03/15</t>
  </si>
  <si>
    <t>1. SR081967</t>
  </si>
  <si>
    <t>1. Inverters 5, 23, and 27 tripped offline on 03817 at 13:15 and back online at 14:45  and again all inverters except inverter 7 tripped offline at 15:45 and back online at 17:15
2. inverters 2, 3, 5, 8, 15, 23, and 27 have tripped offline on 03/02 and back online on 03/03.</t>
  </si>
  <si>
    <t>1. SR081969
2. SR081519</t>
  </si>
  <si>
    <t>1. All the inverters have tripped offline on 03/17 at 15:45 and back online at 17:15 and inverters 1-6, 8,10 -13, 15- 17, 21, 23, 24,28 and 29 tripped offline on 03/24 at 11:00 and back online at 17:15 and again Inverters 1,2,8,9, 11-13,15,17,20,24,25,28,29 tripped offline on 03/30 at 8:45 and back online at 10:30</t>
  </si>
  <si>
    <t>1. 	SR081977</t>
  </si>
  <si>
    <t>April Actual v. Expected</t>
  </si>
  <si>
    <t>April Actual v. Forecasted</t>
  </si>
  <si>
    <t>1. Inverters 5 and 29 are underperforming approximately 4kW compared to its peers from 01/15/24.</t>
  </si>
  <si>
    <t>1. SR083869</t>
  </si>
  <si>
    <t>1. Inverters 48, 49. 50 and 51 tripped offline due to "Grid under frequency" at 15:00 on 04/09 and later back online at 09:00AM on 11:30AM and site was offline from 07:30AM to 09:00AM on 04/10.
2. Inverters 47, 50 and 53 are underperforming approximately 6kW compared to its peers from 12/21/23.</t>
  </si>
  <si>
    <t>1. SR083271
2. SR083868</t>
  </si>
  <si>
    <t>1. Inverter 2 was offline at 07:00AM on 04/11 and inverter was back at 07:00AM on 04/12.</t>
  </si>
  <si>
    <t>1. SR083323, SR083324</t>
  </si>
  <si>
    <t>1. Combiner box 1.3 underperforming 6kW compared to its peers combiner box since 7/3/21</t>
  </si>
  <si>
    <t>1. SR083968</t>
  </si>
  <si>
    <t>1. Inverter 31 was offline from 12:15PM to 14:30 on 04/04/2024.
2. Inverter 44 tripped offline at 07:00AM on 04/26 and inverter was back online at 13:30 on 04/30.</t>
  </si>
  <si>
    <t>1. SR083095
2. SR083848, SR083990</t>
  </si>
  <si>
    <t>1. Inverter 66 tripped offline 06:45AM to 15:45 on 04/08.
2. Inverter 5 was underperforming approximately 18kW compared to its peers.
3. Inverter 30 and 56 are offline on 04/12 , inverter 30 was back online at 08:30AM and inverter 56 was back online at 09:15AM on 04/13.
4. Inverter 66 tripped offline from 07:45AM to 14:00 on 04/15 
5. Weather station was not communicated from 04/15 to 05/08 due to that expected energy was low</t>
  </si>
  <si>
    <t>1. SR083192
2. SR083238, SR072698, SR084779
3. SR083364
4. SR083424</t>
  </si>
  <si>
    <t>1. Inverter was offline from 12:00PM to 17:15 on 04/16. 
2. Technician took site offline from 07:25AM to 11:30AM on 04/17 to work on relay.</t>
  </si>
  <si>
    <t>1. SR083488
2. SR083527</t>
  </si>
  <si>
    <t>1. Inverter 4 was offline at 07:00AM on 04/13 and inverter back online at 07:10AM on 04/14.</t>
  </si>
  <si>
    <t>1. SR083379</t>
  </si>
  <si>
    <t>1. Site tripped offline at 13:00 on 04/05 and back online at 11:00AM on 04/06.
2. Site was offline from 05:00AM to 07:15AM on 04/12.</t>
  </si>
  <si>
    <t>1. SR083124
2. SR083349</t>
  </si>
  <si>
    <t>1. Site tripped at 23:15 on 04/04 and back online at 09:00AM on 04/05
2. Expected energy values are low compared to actual and estimated, case created with Also Energy.</t>
  </si>
  <si>
    <t>1. SR083052
2. SR087370</t>
  </si>
  <si>
    <t>1. Inverters 1,12 and 26 are underperforming approximately 20kW compared to its peers from 04/24</t>
  </si>
  <si>
    <t>1. SR083822</t>
  </si>
  <si>
    <t>1. Inverters 24 was offline from 03/31, inverter 25 was offline from 04/01 and inverters are back online after replacing the AC panel board at 12:00 on 04/26.
Inverters 23 was offline from 03/31, inverter 22 was offline from 04/01.
2. Inverter 34 tripped offline at 12:00PM on 04/09 and back online at 12:45PM on 04/10.</t>
  </si>
  <si>
    <t>1. SR083067
2. SR083265</t>
  </si>
  <si>
    <t xml:space="preserve">478,696	</t>
  </si>
  <si>
    <t>1. Pad 4 was offline from 07:00AM to 10:30AM on 04/04.
2. Pads 3 and 4 are offline from 10:15AM to 11:15AM on 04/16</t>
  </si>
  <si>
    <t>1. SR083072
2. 	SR083480</t>
  </si>
  <si>
    <t>1. Site tripped offline at 13:00 on 04/05 and back online at 10:45AM on 04/06.
2. Site was offline from 05:00AM to 07:00AM on 04/12</t>
  </si>
  <si>
    <t>1. SR083125
2. SR083347</t>
  </si>
  <si>
    <t>1. Site was offline from 13:00 to 19:45 on 04/05.
2. Site was offline from 05:00PM to 07:15PM on 04/12.</t>
  </si>
  <si>
    <t>1. SR083123
2. SR083348</t>
  </si>
  <si>
    <t>1. Site was offline at 20:00 on 04/03 and back online at 02:00AM on 04/04.</t>
  </si>
  <si>
    <t>1. SR083051</t>
  </si>
  <si>
    <t>1. Inverter 2,3,4,5,6,8,10,14,15,16,17,18,19,22,23,25,27,28 and 29 are offline from 11:15AM to 13:30 on 04/21.</t>
  </si>
  <si>
    <t>1. SR083658</t>
  </si>
  <si>
    <t>1. Inverters 1 and 20 was offline from 14:45 to 15:30 on 04/01</t>
  </si>
  <si>
    <t>1. SR081977</t>
  </si>
  <si>
    <t>May Actual v. Expected</t>
  </si>
  <si>
    <t>May Actual v. Forecasted</t>
  </si>
  <si>
    <t>1.Combiner box 1.13 was offline from 05/13</t>
  </si>
  <si>
    <t>1. SR084617</t>
  </si>
  <si>
    <t>1. Site was offline from 09:45AM to 13:35 on 05/14.</t>
  </si>
  <si>
    <t>1. SR084667</t>
  </si>
  <si>
    <t>1. Inverter  29 was underperforming approximately 4kW compared to its peers from 01/15/24.</t>
  </si>
  <si>
    <t>1.SR083869</t>
  </si>
  <si>
    <t>1. Inverter 55 was offline at 07:00AM on 05/23 due to "Bus differential High Fault 0110" and later back online at 11:00AM on 05/24.
2. Inverter 55 was offline at 07:00AM on 05/25 due to "Bus differential High Fault 0110" and back online at 16:15 on 05/29.
3. Inverter 55 was offline from 07:00AM to 14:15 due to "Bus differential High Fault  05/29.</t>
  </si>
  <si>
    <t>1. SR085050
2. SR085150
3. SR085318</t>
  </si>
  <si>
    <t>1.Inverter 6 derating during high irradiance days since 5/24/24
2.Inverter 3 underperforming since 5/21/24</t>
  </si>
  <si>
    <t>1.SR085493
2.SR085494</t>
  </si>
  <si>
    <t>1. Site tripped offline at 08:45AM on 05/10 and later site back online at 13:15 on 05/12.</t>
  </si>
  <si>
    <t>1. SR084537</t>
  </si>
  <si>
    <t>1. Inverter 56 was offline from 07:00AM to 17:00 on 05/16.
2. Inverter 5 was underperforming approximately 3kW from 05/13 at 12:45 and back to its peers from 05/17 at 10:00
inverter 7  was underperforming approximately 10kW 05/10 and back to its peers from 05/17 at 10:00
inverter 26 was underperforming approximately 4kW from 06/09/21 and back to its peers from 05/17 at 10:00.
3. Inverter 56 was offline from 07:00AM to 12:00PM on 05/19.
4. Inverter 64 was offline from 10:00AM to 13:45 on 05/21.
5. Inverter 6 was offline at 13:30 on 05/23 and back online at 07:00AM on 05/24.
6. Inverter 51 was underperforming approximately 4kW compare to its peers from 05/21 at 14:15
7. Weather station was not communicated from 04/15 to 05/08</t>
  </si>
  <si>
    <t>1. SR084763
2. SR084779, SR083238, SR072698
3. SR084836
4. SR084939
5. SR085082
6. SR085277</t>
  </si>
  <si>
    <t>1. Inverter 3 was offline at 07:00AM on 05/25 and later back online at 14:50 on 05/28,  
2. Inverter 3 was offline from 07:00AM on 05/29 and Inverter 3 needs an arc board and will stay offline, inverter 5 tripped offline on 05/29 at 15:25 and back online on 05/31 at 16:00</t>
  </si>
  <si>
    <t>1. SR085151
2. SR085278</t>
  </si>
  <si>
    <t>1. Site offline from 12:50PM on 05/28 to month end</t>
  </si>
  <si>
    <t>1. SR085274</t>
  </si>
  <si>
    <t>1. Inverter 7 tripped offline at 10:15AM on 05/21 and later back online at 07:00AM on 05/22</t>
  </si>
  <si>
    <t>1. SR084969</t>
  </si>
  <si>
    <t>1. Planned outage from 05/28 to 06/01
2. Expected energy values are low compared to actual and estimated, case created with Also Energy.</t>
  </si>
  <si>
    <t>1. SR084791
2. SR087370</t>
  </si>
  <si>
    <t>1.Inverter 13 tripped offline on 05/28 at 08:15 till end of the month</t>
  </si>
  <si>
    <t>1.SR085230</t>
  </si>
  <si>
    <t>1. Inverters 17-21 were left offline on 05/10 for stripped lug for panel HP5 and back online on 05/31 at 13:00</t>
  </si>
  <si>
    <t>1.SR084525</t>
  </si>
  <si>
    <t>1.Pad 4 was offline from 08:00 to 09:45 on 05/31</t>
  </si>
  <si>
    <t>1.SR085345</t>
  </si>
  <si>
    <t>1.Inverter 13 tripped offline on 05/05 at 11:15 till end of the month
2.Inverter 25 started late at 16:00 on 05/10
3.Inverter 14 has a string down from 03/17 till end of the month and tripped offline on 06/27 at 09:30 and back online at 14:45.</t>
  </si>
  <si>
    <t>1.SR084274
2.SR084564
3.SR081968</t>
  </si>
  <si>
    <t>1.Inverters 1-6, 8, 10-19, 22-30 are tripped offline on 05/23 at 13:45 and back online at 15:00, site has a brief outage from 09:44 AM to 10:04AM on 05/27 and inverters back back online at 11:15 but inverter 27 was back online at 14:30 and inevrter 27 again tripped offline at 17:30 and resolved at the end of the day
2.Site tripped offline on 05/14 at 00:30 and back online at 03:00</t>
  </si>
  <si>
    <t xml:space="preserve">1.SR083658
2.SR084647
</t>
  </si>
  <si>
    <t>1.Site tripped offline on 05/14 at 00:30 and back online at 01:30
2.All Inverters except 10 &amp; 14 tripped offline at 18:30 on 05/26 and back online on 05/27 at 07:00, Site  has a brief outage from 09:43AM to 10:00AM and inverters started late at 11:00.</t>
  </si>
  <si>
    <t>1.SR084646
2.SR085174</t>
  </si>
  <si>
    <t>June Actual v. Expected</t>
  </si>
  <si>
    <t>June Actual v. Forecasted</t>
  </si>
  <si>
    <t xml:space="preserve">1.Site tripped offline on 06/21 at 19:00 and back online on 06/26 at 15:00
2.Combiner box 1.13 was offline from 05/13
3.Combiner box 1.1 was offline from 06/04 at 07:00
4.Site tripped offline on 06/30 at 14:30
5.The site was taken offline from 09:00 to 12:15 on 06/17 for safety inspect the AC switchgear. </t>
  </si>
  <si>
    <t>1.SR086618
2.SR084617
3.SR085539
4.SR087141
5.PM3268</t>
  </si>
  <si>
    <t>1.Inverter 7 tripped offline at 16:00 on 06/01 and back online on 06/13 at 09:45
2. Inverter 4 was offline from 06/05 at 07:00 and back online on 06/06
3.Inverter 4 was offline from 06/18 at 07:00 and back online on 06/19 and again offline on 06/23 at 07:00 and back online on 06/24
4.Inverter 25 was offline from 06/23 at 07:00 and back online on 06/24
5. Inverter  29 was underperforming approximately 4kW compared to its peers from 01/15/24.</t>
  </si>
  <si>
    <t>1.SR085410
2.SR085568
3.SR086136
4.SR086764
5. SR083869</t>
  </si>
  <si>
    <t xml:space="preserve">1.Inverter 55 was back online on 06/02 at 11:30
2.Inverter 55 was offline from 06/03 at 07:00 and back online on 06/13 at 10:00
3.Inverter 61 was offline from 06/17 at 06:15 </t>
  </si>
  <si>
    <t xml:space="preserve">1.SR085318
2.SR085761	
3.SR086313	</t>
  </si>
  <si>
    <t>1.Inverter 6 derating during high irradiance days since 5/24/24
2.Inverter 3 underperforming since 5/21/24 and back to peersfrom 06/12 at 15:15
3.Inverter 4 tripped offline on 06/20 at 06:45 and back online on 06/26 at 12:45
4.Inverter 6 tripped offline at 07:30 on 06/22 and back online on 06/26 at 09:30</t>
  </si>
  <si>
    <t>1.SR085493
2.SR085494
3.SR086487
4.SR086637</t>
  </si>
  <si>
    <t>1.Site tripped offline at 12:30 on 06/30</t>
  </si>
  <si>
    <t>1.SR087147</t>
  </si>
  <si>
    <t>1.Inverter 44 tripped offline on 06/24 at 10:30 and back online on 06/27 at 14:45</t>
  </si>
  <si>
    <t>1.SR086870</t>
  </si>
  <si>
    <t>1.Inverter 51 was producing with its peers from 06/21 at 11:00</t>
  </si>
  <si>
    <t>1.SR085277</t>
  </si>
  <si>
    <t>1.Inverter 3 was offline from 07:00AM on 05/29 through out the month
2.Inverter 5 tripped offline on 06/10 at 18:10</t>
  </si>
  <si>
    <t>1.SR085278
2.SR085862</t>
  </si>
  <si>
    <t>1.Site was back online from 06/06 at 09:15
2.Site was offline on 06/08 at 12:30 and back online on 06/09 at 10:35
3.Site was offline on 06/10 at 14:05 back online 06/13 at 09:40
4.Site was offline on 06/20 at 12:30 and back online on 06/21 at 08:15 and again offline from 10:20 and back online on 06/26 at 09:00</t>
  </si>
  <si>
    <t>1. SR085274
2.SR085758
3.SR085857
4.SR086514</t>
  </si>
  <si>
    <t>1.Site tripped offline on 06/24 at 20:30 and back online at 21:15</t>
  </si>
  <si>
    <t>1.SR086878</t>
  </si>
  <si>
    <t>1.Inverters 57-63 are tripped offline on 06/28 at 09:45 and back online at 16:00</t>
  </si>
  <si>
    <t>1.SR087087</t>
  </si>
  <si>
    <t>1.Site was back online on 06/01 at 12:00
2.Site was offline from 20:00 on 06/01 and back online on 11:45 on 06/02
3. Expected Gneration values are too low , reached out to AlsoEnergy for asswastance</t>
  </si>
  <si>
    <t>1. SR084791
2.SR085414
3. SR087370</t>
  </si>
  <si>
    <t>1.Inverter 13 was back online from 06/02 at 11:15 and offline from 06/03 and back online from 06/10 at 06:30</t>
  </si>
  <si>
    <t>1.Inverter 19 was derating about 17kW and external fan fault from 06/02 at 14:15 and back to normal on 06/07
2.Inverter 6 tripped offline on 06/04 at 09:15 and back online at 12:15 on 06/05 and again tripped offline 10:00 on 06/06 and back online on 06/07 and again tripped offline on 06/07 at 11 :15 and back online on 06/26 at 12:45
3.Inverter 22 has a multiple tripping and have a hwastory of self resolving and again tripping offline the next day
4. Weather station stopped communicating from 06/09 to 06/26 due to that expected generation was nearly half of the actual.</t>
  </si>
  <si>
    <t>1.SR085486	
2.SR085541
3.SR087059
4.SR085796</t>
  </si>
  <si>
    <t>1. Site was kept offline from 06/13 at 06:15 and tunedback online on 06/14 at 10:15
2.Site tripped offline on 06/23 at 21:15 and back online on 06/24 at 13:30
3.Inverter 8 was kept offline on 06/23 and back online on 06/26 at 09:30</t>
  </si>
  <si>
    <t>1.SR085727
2.SR086809
3.SR086848</t>
  </si>
  <si>
    <t>1.Inverter 13 tripped offline on 05/05 at 11:15 till end of the month
2.Inverter 14 has a string down from 03/17 till end of the month and tripped offline on 06/27 at 09:30 and back online at 14:45.</t>
  </si>
  <si>
    <t>1.SR084274
2.SR081968</t>
  </si>
  <si>
    <t>1.Inverters 2, 8, 13, 14, 15, 17, 18, 22, 26, 27, 28 are tripped offline on 06/05 at 18:30 and back online at 07:00 on 06/06, Inverters 2, 3, 5, 8, 14, 15, 19, 23 &amp; 27 at 17:15 on 06/06 and back online at 19:00, Inverters 2, 5, 8, 14, 23, 27 &amp; 28 are tripped offline on 06/17 at 14:45 and back online at 16:45
2.Site was offline on 06/20 at 17:15 and back online on 06/21 at 07:00
3.Site tripped offline on 06/30 at 08:30 and back online on 07/01</t>
  </si>
  <si>
    <t>1.SR085607
2.SR086524
3.SR087138</t>
  </si>
  <si>
    <t>1.Site was offline on 06/20 at 17:15 and back online on 06/21 at 07:00
2.Site has tripped offline on 06/30 at 08:30 and back online on 07/01</t>
  </si>
  <si>
    <t>1.SR086525
2.SR087137</t>
  </si>
  <si>
    <t>July Actual v. Expected</t>
  </si>
  <si>
    <t>July Actual v. Forecasted</t>
  </si>
  <si>
    <t>1. Combiner box 1.14 is producing double the amps compared to peers  from 06/03.
2. Combiner box 1.1 is offline from 06/04.
3. Site tripped offline at 14:30 on 06/30 and back online at 07:45AM on 07/01.</t>
  </si>
  <si>
    <t>1. 	SR085462, SR084617
2. SR085539
3. SR087141</t>
  </si>
  <si>
    <t xml:space="preserve">1. Inverter 25 is offline on 07/07 later back online on 07/08 and inverter 25 is again offline on 07/25 and back online on 07/26.
</t>
  </si>
  <si>
    <t>1. SR086764, SR088228</t>
  </si>
  <si>
    <t>1. Site offline from 07/01.</t>
  </si>
  <si>
    <t>1. SR087330</t>
  </si>
  <si>
    <t>1.Inverter 6 is offline on 07/06 and back online on 07/08 and Inverter 6 again offline from 07/17.</t>
  </si>
  <si>
    <t xml:space="preserve">1. SR087409,SR087575,SR087821,SR088376
</t>
  </si>
  <si>
    <t>1. Inverter 9  is offline from 07:00AM to 12:00PM on 07/15.
2. Again inverer 9 offline from 07:00AM to 17:15 on 07/24, inverter 9 offline from 07:00AM to 14:30 on 07/25 and inverter 9 offline from 07:00AM to 10:00AM on 07/26.</t>
  </si>
  <si>
    <t xml:space="preserve">1. SR087707
2. SR088101
</t>
  </si>
  <si>
    <t>1. Site tripped offline at 17:45 on 07/31 and back online at 13:$5 on 08/01.</t>
  </si>
  <si>
    <t>1.SR088485</t>
  </si>
  <si>
    <t xml:space="preserve">1. Inverters 29, 39 and 44 are offline at 07:00AM on 07/10 and back online at  11:45AM on 07/11.
</t>
  </si>
  <si>
    <t>1.SR087548</t>
  </si>
  <si>
    <t>1. Inverter 6 is from 07:00AM to 14:30 on 07/21.
2. Inverter 49 tripped offline at 16:15 on 07/28 and back online at 07:00AM on 07/29.</t>
  </si>
  <si>
    <t>1. SR087973
2. SR088322, SR088449</t>
  </si>
  <si>
    <t>1. Inverter 52 is offline from 07:00AM to 10:00AM on 07/27.</t>
  </si>
  <si>
    <t>1. SR088292</t>
  </si>
  <si>
    <t>1. Expected generation values are low compared to the Actual and Estimated values</t>
  </si>
  <si>
    <t>1. SR087370</t>
  </si>
  <si>
    <t>1. Site is offline from 16:00 on 07/17 and back online at 12:00PM on 07/19.</t>
  </si>
  <si>
    <t>1. SR087853</t>
  </si>
  <si>
    <t>1. Inverters 2,3,5,8,10, 14 and 15 are offline from 14:30 to 17:30 on 07/02.
2. Meter offline from 07//03 and back online at 19:00 on 07/05.
3. Inverters are offline from 15:30 to 18:45 on 07/04.
4. Site tripped offline at 11:15AM on 07/22 and back online at 14:30 on 07/23.
5. Inverters 1,2,3,4,6,5,8,10,14 and 15 are offline from 14:00 to 18:45 on 07/27.
6. Site tripped offline on 06/30 at 08:30AM and back online at 15:30 on 07/01</t>
  </si>
  <si>
    <t>1. SR087295
2. SR087367
3. SR087377
4. SR088004
5. SR088302
6. SR087138</t>
  </si>
  <si>
    <t>1. Inverters are offline from 15:30 to 18:45 on 07/04.
2. Inverter 15 offline from 11:30AM to 12:30PM on 07/10.
3.  Inverters 1, 2 &amp; 15 are offline from 15:14 to 18:20 on 07/27.
4. All inverter are offline from 08:15AM to 11:30AM on 07/31.
5. Site tripped offline on 06/30 at 08:30 and back online at 15:30 on 07/01</t>
  </si>
  <si>
    <t>1. SR087376
2. SR087551
3. SR088303
4. SR088452
5. SR087137</t>
  </si>
  <si>
    <t>August Actual v. Expected</t>
  </si>
  <si>
    <t>August Actual v. Forecasted</t>
  </si>
  <si>
    <t>1. Inverter module 1.3 derated due to multiple tripping events from 8/22 resolved on 8/28
2.Combiner box 1.13 was offline from 05/13
3. Inverter CTs in CB1.13 and 1.14, the inverter will be taken offline on 8/29</t>
  </si>
  <si>
    <t>1.SR089436
2.SR084617
3.SR089658</t>
  </si>
  <si>
    <t>1.Inverters 5,6,7 and 8 tripped offline and reporting " Grid under Frequency" from 8/10 at 14:15 and back online on 8/12 at 10:15
2.Inverter 31 is underperforming approximately 5kW and also derating during noon hours on high irradiance days.</t>
  </si>
  <si>
    <t>1.SR088878
2.SR089585</t>
  </si>
  <si>
    <t xml:space="preserve">1.Inverter 59 offline ffrom 8/8  through out the month and also Inverter 61 offline from 8/8 and back online on 8/9
2.Inverter 61 is derating, producing 39.8kW and reporting "External fan fault" from 8/10 </t>
  </si>
  <si>
    <t>1.SR088760,SR088920
2.SR088877</t>
  </si>
  <si>
    <t>1.Site offline through out the month</t>
  </si>
  <si>
    <t>1.SR087160,PM #4561</t>
  </si>
  <si>
    <t>1.Inverter 6 back online on 8/20
2. Inverter 1 production dropped and constantly producing 4kW from 8/5
3.Inverter 2 offline on 8/29 and back online on 8/30</t>
  </si>
  <si>
    <t>1.SR087409
2.	SR088659
3.	SR089699</t>
  </si>
  <si>
    <t>1.Site offline from 8/2 at 15:00 and back online at 08:15 on 8/3
2.Inverter 9 offfline from 8/2 and back online on 8/15 at 13:45</t>
  </si>
  <si>
    <t>1.	SR088551
2.	SR089048</t>
  </si>
  <si>
    <t>1.Site back online on 8/1 at 13:45
2. Inverter 2.1 is offline due to Phase A &amp; B voltages dropped down from 8/19 and back online 8/28 at 15:00</t>
  </si>
  <si>
    <t>1.SR088485
2.	SR089268</t>
  </si>
  <si>
    <t>1.Inverters 47 &amp; 59 are underperforming approximately 10kW</t>
  </si>
  <si>
    <t>1.SR089715</t>
  </si>
  <si>
    <t xml:space="preserve">1.Inverter 67 offline multiple days
2. Inverter 12 offline from 8/18 and back online on 8/19 and again offline on 8/28 back online on 8/29
3.inverters 3 and 26 are down 1 string each and inverter 5 is down 2 strings. The total kW down is about 20kW
4.Inverter  49 tripped offline every day from 8/22 at 12:45 </t>
  </si>
  <si>
    <t>1.	SR088450
2.SR089216
3.SR089351
4.SR088322</t>
  </si>
  <si>
    <t>1.Expected Gneration values are too low , reached out to AlsoEnergy for assistance</t>
  </si>
  <si>
    <t>1.	SR087370</t>
  </si>
  <si>
    <t>1.Inverter 13 tripped offline multiple days , inverter is under RMA'd process.
2.Site offline from 8/16 at 22:30 and back online on 8/19 at 09:45AM 
3.Site offline from 8/27 at 08:45 AM through out the month</t>
  </si>
  <si>
    <t>1.SR085853
2.	SR089183
3.SR089633</t>
  </si>
  <si>
    <t>1. Inverter 34 is underproducing.  DC current 3 dropped to zero at 1:15pm from 7/25.</t>
  </si>
  <si>
    <t>1.	SR088281</t>
  </si>
  <si>
    <t>1.Pad 4 tripped offline at 12:30 on 8/4
2. Pad 4 tripped offline at 12:47 on 8/11</t>
  </si>
  <si>
    <t>1.	SR088585
2.	SR088903</t>
  </si>
  <si>
    <t>1. Inverters 2,3,5,8,14,15 offline after brief outage on 8/15 and also again All inverters tripped offline, inverter and meter voltages are available. Inverter 4 tripped offline at 09:30Am from 8/25 and back online on 8/28 and again inverter 4 offline from 8/29</t>
  </si>
  <si>
    <t>1.	SR089133</t>
  </si>
  <si>
    <t>September Actual v. Expected</t>
  </si>
  <si>
    <t>September Actual v. Forecasted</t>
  </si>
  <si>
    <t>1. Production meter power has dropped from 380 kW to 209 kW, and approximately 6 inverters are offline. We can confirm that inverters 25, 28, and 29 are tripped offline at 12:30PM on 09/05 as they are communicating but remaining inverters are not communicating and issue resolved on 09/06.
2. Inverters from 25 to 32 tripped offline at 10:00AM on 09/11 and back online at 10:30AM on 09/12.
3. Inverter 24 is offline from 09/21 and back online at 08:45AM on 09/22.</t>
  </si>
  <si>
    <t>1. SR090026
2. SR090294
3. SR091025</t>
  </si>
  <si>
    <t>1. Battery 4 is offline from 09/24.
2. Expected generation values are low compared to the Actual and Estimated values. Expected values are calculated based on inverter data and weather conditions. However, due to communication issues with the inverters, the current expected value remains low.</t>
  </si>
  <si>
    <t>1. SR091349
2. SR087370</t>
  </si>
  <si>
    <t>October Actual v. Expected</t>
  </si>
  <si>
    <t>October Actual v. Forecasted</t>
  </si>
  <si>
    <t>1. Combiner 1.14 (DCP-3) is showing constant value of 312Amps from 08/30</t>
  </si>
  <si>
    <t>1. SR089788</t>
  </si>
  <si>
    <t xml:space="preserve">1. Inverter 32 is underperforming approximately 4-5kw started from 10/5/2024 and throughout the month.
2. Inverter 1 underperforming approximately 5kW compared to its peers started from 10/19/2024 and throughout the month.
    Inverter 2 underperforming approximately 4kW compared to its peers from 10/18/2024 and throughout the month. </t>
  </si>
  <si>
    <t xml:space="preserve">1. SR091897
2. SR092641
</t>
  </si>
  <si>
    <t>1. Inverter 68 has tripped offline at 09:00AM on 10/12/2024 and back online at 9:00AM on 10/15/2024.
2. Inverter 36 has started late for production at 14:00 on 10/30/2024.</t>
  </si>
  <si>
    <t>1. SR092081
2. SR092771</t>
  </si>
  <si>
    <t>1. Site is offline from 8AM on 07/01/2024 and back online at 10AM on 10/17/2024.
2. Site tripped offline at 11:15AM on 10/20/2024 and back online at 07:15AM on 10/21/2024.
3. Site is offline from 13:15 on 10/31/2024 and back online at 13:15 on 11/01.</t>
  </si>
  <si>
    <t xml:space="preserve">1. SR087330
2. SR092371 
3. SR092854 </t>
  </si>
  <si>
    <t>1. Inverter 12 is offline from 13:00 on 09/16/2024 and back online at 12Pm on 10/09/2024.
2. Inverter 10 tripped offline at 09:15 on 09/18/2024 and being RMA'd and back online at 12Pm on 10/09/2024.
3. Site offline from 10:30AM to 11:00AM on 10/10/24.</t>
  </si>
  <si>
    <t>1.SR090627
2.SR090668
3. SR091969</t>
  </si>
  <si>
    <t>1. Site tripped offline at 18:00 on 10/25/2024 and back online at 14:00 on 10/26/2024.</t>
  </si>
  <si>
    <t>1.SR092605</t>
  </si>
  <si>
    <t>1. Inverters 43, 47 and 59 are derating through out the month.
2. Inverter 24 was offline on 10/07 and back online at 09:30 on 11/08 and again offline on 10/30 and back online on 10/31.
3.Site tripped offline at 14:45 on 10/31.</t>
  </si>
  <si>
    <t>1.SR091836
2.SR091861,SR092775
3.SR092845</t>
  </si>
  <si>
    <t>1. Inverter 67 is being RMA'D from 10/09/24.
2. Inverter 49 is being RMA'D.
3. Inverter 6 started delay production at 12:30 on 10/05.
4. Inverter 56  started delay production at 13:00 on 10/11 and delay started at 15:30 on 10/20 and was offline on 10/28.
5. Inverter 12 was offline on 10/13, 10/15, 10/21, 10/28 and 10/29.
6. Inverter 66 tripped offline at 08:45 on 10/28 and back online on 10/29. 
7. Inverter 7 was offline on 10/29 and back online on 10/30.
8. Inverter 57 is being RMA'D</t>
  </si>
  <si>
    <t>1.SR088450, SR089929,SR092649
2.SR090383
3.SR091815
4.SR092043
5.SR092114
6.SR092649
7. SR092740
8.SR077362,SR091962</t>
  </si>
  <si>
    <t>1. Battery Inverter 4 is offline from 09/28.
2. Expected generation values are low compared to the Actual values. Also Energy stated that Expected values are calculated based on inverter data and weather conditions also recommended onsite visit. However, due to communication issues with the inverters, the current expected value remains low.</t>
  </si>
  <si>
    <t xml:space="preserve">1.SR091349, SR092422
2.SR087370 </t>
  </si>
  <si>
    <t>1. Inverter 13 is being RMA'D from 06/07 and back online on 10/22.</t>
  </si>
  <si>
    <t>1.SR085230, SR085853</t>
  </si>
  <si>
    <t>1.Site tripped offline at 8:15 on 10/01 and back online on 10/05.
2.Inverter 34 is underproducing from 07/26 and is being RMA'D from 10/31.</t>
  </si>
  <si>
    <t>1.SR091305
2.SR088281, SR092816</t>
  </si>
  <si>
    <t>1.Inverter 4 was offline throughout the month and is being RMA'D from 08/27.
2.Inverter 21 tripped offline at 08:30 on 10/24 and back online at 07:30 on 10/25 and Inverter 21 was having multiple trippings on 10/26 and issue self resolved on 10/27.And again Inverter 21 tripped offline at 11:00 on 10/30 throughout the month.</t>
  </si>
  <si>
    <t>1.SR089133,SR093547
2.SR092521</t>
  </si>
  <si>
    <t>1.Inverter 1 tripped offline at 11:00 on 10/19 and back online at 12:00 on 10/19</t>
  </si>
  <si>
    <t>1.SR092334</t>
  </si>
  <si>
    <t>November Actual v. Expected</t>
  </si>
  <si>
    <t>November Actual v. Forecasted</t>
  </si>
  <si>
    <t>1.Inverter 25 was offline from 11/21 throughout the month</t>
  </si>
  <si>
    <t>1.SR093486</t>
  </si>
  <si>
    <t xml:space="preserve">1.Inverter 54 was tripped offline on 11/03 and it is being RMA'd from 11/04 </t>
  </si>
  <si>
    <t>1.SR092910</t>
  </si>
  <si>
    <t xml:space="preserve">1.Site is offline from 10:30AM on 11/07 and back online at 16:30 PM on 11/07
2.Site is offline from 12:00 PM on 11/09 and back online at 13:30 PM on 11/10
3.Site is offline from 12:00 PM on 11/13 and back online at 12:15 on 11/14 and again site is offline from 11/18 throughout the month </t>
  </si>
  <si>
    <t xml:space="preserve">1.SR093032
2.SR093111 
3.SR093209
</t>
  </si>
  <si>
    <t>1.Inverter 2 was offline from 11/16 and back online at 11:00 AM on 11/18
2. Inverters 5,6,9,10 are underperforming approximately 10 kW 
    Inverters 2,4 are underperforming approximately 15 kW 
    Inverters 7,11 are underperforming approximately 20 kW 
    Inverter 8 is underperforming approximately 30 kW 
    Above mentioned inverters are underperforming from 11/27.</t>
  </si>
  <si>
    <t>1.SR093337
2.SR093686</t>
  </si>
  <si>
    <t>1. Site tripped offline at 14:45 on 10/31 and back online at 13:00 on 11/07.
2. Inverters 43, 47 and 59 are derating through out the month.
3. Inverter 39 is offline on 11/18 and back online at 13:45 on 11/22.</t>
  </si>
  <si>
    <t>1.SR092845
2.SR091836
3.SR093098,SR093376, SR094255</t>
  </si>
  <si>
    <t>1.Inverter 16 tripped offline at 8:15 on 11/13 and is being RMA'D.
2.Inverter 12 is being RMA'D.
3.Inverter 67 is being RMA'D.
4.Inverter 57 is being RMA'D.
5.Inverter 10 tripped offline at 7:30AM and back online at 11:45AM on 11/04. 
6.Inverter 15 tripped offline at 8AM on 11/20 and back online at 14:15 on 11/22.
7.Inverter 6 started for delay production at 9:45AM on 11/20.</t>
  </si>
  <si>
    <t>1.SR093207
2.SR092114,SR093117
3.SR088450,SR089929,SR092649
4.SR077362,SR091962
5.SR092941
6.SR093456
7.SR093456</t>
  </si>
  <si>
    <t>1. Site lost communication on 11/28 at 11:00 and restored on 12/02 at 07:00</t>
  </si>
  <si>
    <t>1.SR093706</t>
  </si>
  <si>
    <t>1. Site tripped offline at 8AM on 11/10 and back online at 9:45AM on 11/11.
2.Battery Inverter 4 is offline from 09/28.
3. Expected generation values are low compared to the Actual values. Also Energy stated that Expected values are calculated based on inverter data and weather conditions also recommended onsite visit. However, due to communication issues with the inverters, the current expected value remains low.</t>
  </si>
  <si>
    <t>1.SR093118
2.SR091349, SR092422
3.SR087370</t>
  </si>
  <si>
    <t>1.Inverter 34 is being RMA'D from 10/31
2.Inverter 83 was offline from 07:00 on 11/23 to 11:00 on 11/27.</t>
  </si>
  <si>
    <t>1.SR092816
2.SR093591</t>
  </si>
  <si>
    <t>1.Inverter 32 tripped offline at 08:00 on 11/02 and back online at 08:45 on 11/04 and again Inverter 32 tripped offline at 14:15 on 11/05 and back online at 08:45 on 11/06 and again Inverter 32 tripped offline at 08:15 on 11/29 throughout the month</t>
  </si>
  <si>
    <t>1.SR092893,SR092985,
	SR093718</t>
  </si>
  <si>
    <t>1.Inverter 3 tripped offline at 11:00 on 11/18 and back online at 06:15 on 11/19 and again tripped offline at 09:15 on 11/19  and baack online at 06:15 on 11/20
2.Inverter 2 Communication board is being RMA'd</t>
  </si>
  <si>
    <t>1.SR093378
2.SR078570</t>
  </si>
  <si>
    <t xml:space="preserve">1.Inverter 13 and 25 were offfline on 11/22 and back online at 11/23
2.Inverter 7 is producing the constant value 2.09 kW throughout the day on 11/23 and it is producing as expected from 11/24. </t>
  </si>
  <si>
    <t>1.SR093543
2.SR093557</t>
  </si>
  <si>
    <t>1.Inverter 4 was offline from 11/01 and back online at 12:15 on 11/13.
2.Inverter 21 has multiple trippings and resolved on 11/26/2024.
3. Inverter 27 tripped offline at 11:00 on 11/09 and back online at 11:30 on 11/09
4.Site tripped offline at 01:00 AM on 11/21 and back online at 09:15 on 11/21</t>
  </si>
  <si>
    <t>1.SR089133
2.SR092521
3.SR093101
4.SR093479</t>
  </si>
  <si>
    <t>1.Site tripped offline at 11:45 on 11/03 and back online at 10:30 on 11/04
2.Site tripped offline at 01:00 AM on 11/21 and bck online at 09:15 on 11/21</t>
  </si>
  <si>
    <t>1.SR092915
2.SR093480</t>
  </si>
  <si>
    <t>December Actual v. Expected</t>
  </si>
  <si>
    <t>December Actual v. Forecasted</t>
  </si>
  <si>
    <t>1. Combiner 1.14 (DCP-3) is showing constant value of 312Amps from 08/30
2. Inverter 1.2 is derating by approximately 120 kW due to multiple trip events from 12/13 and tripped offline at 10:15 AM on 12/15 and back online on 12/17 .</t>
  </si>
  <si>
    <t>1. SR089788
2. SR094679</t>
  </si>
  <si>
    <t>1. Inverter 25 was offline at 6:45AM on 12/03 and back online at 11:45AM on 12/10, and having multiple tripping events from 12/11
2.  Inverter 12 tripped offline at 13:30 on 12/30</t>
  </si>
  <si>
    <t>1. SR094843
2. SR095170</t>
  </si>
  <si>
    <t xml:space="preserve">1.Inverter 54  back online at 12:45 on 12/02.
2. Inverter 36 was offline from 7:00 on 12/05 and was back online at 7:00AM  12/06, and again  offline at 7:00Am on 12/10 and back online at 14:00 on 12/10,  and again offline at 7:00Am on 12/28 and back online at 11:15 on 12/30.
</t>
  </si>
  <si>
    <t>1. SR092910
2. SR095132</t>
  </si>
  <si>
    <t>1. Site is offline from 11/18 and back online at 9:15 on 12/02/25.
2. Site tripped offline from 22:15 on 12/10 and back online at 01:45 AM on 12/11.</t>
  </si>
  <si>
    <t>1. SR093209
2. SR094378</t>
  </si>
  <si>
    <t>1. All Inverters tripped offline at 08:45AM and back online at 15:15 on 12/05.
2. Inverter IH production dropped and constantly producing 5kW.</t>
  </si>
  <si>
    <t>1. SR094065
2. SR095081</t>
  </si>
  <si>
    <t xml:space="preserve">1. Inverter 2 has multiple tripping events from 12/02.
2. Inverter 39 offline on 12/08 and back online at 10:30AM on 12/10, and Inverter 39 strings 5 &amp; 6 are kept offline.
</t>
  </si>
  <si>
    <t>1. SR093777
2. SR094255, 	SR094894</t>
  </si>
  <si>
    <t>1.Inverter 16 tripped offline at 8:15 on 11/13 and is being RMA'D.
2.Inverter 12 is being RMA'D.
3.Inverter 67 is being RMA'D.
4.Inverter 57 is being RMA'D.
5.Inverter 66 is offline since 12/14 and back online at 07:45AM on 12/16</t>
  </si>
  <si>
    <t>1.SR093207
2.SR092114,SR093117
3.SR088450,SR089929,SR092649
4.SR077362,SR091962
5. SR094685</t>
  </si>
  <si>
    <t>1. Actual data was taken from total inverter production since data has not backfilled at meter level which lost communication on 11/28 at 11:00 and regained on 12/02</t>
  </si>
  <si>
    <t>1. Inverter 47 is offline on 12/13 and back online at 9:30AM on 12/16.
2. Inverter 61 is offline from 7:00 AM to 2:00 PM on 12/23, and again offline from 12/24 until coming back online at 2:30 PM on 12/26.</t>
  </si>
  <si>
    <t>1. SR094605
2. SR095034, SR095088</t>
  </si>
  <si>
    <t>1. Pad 4 PV back online at 12:15 on 12/13 and again from 12/16 undergoing multiple tripping events.
2.  Expected generation values are low compared to the Actual values. Also Energy stated that Expected values are calculated based on inverter data and weather conditions also recommended onsite visit. However, due to communication issues with the inverters, the current expected value remains low.</t>
  </si>
  <si>
    <t>1. SR092970
2. SR087370</t>
  </si>
  <si>
    <t>1. Inverter 83 has string 8 down from 11/27 through the month.</t>
  </si>
  <si>
    <t>1. SR093591</t>
  </si>
  <si>
    <t>1. Pad 2 has tripped offline at 15:30 on 12/18 and back online at  07:10 on 12/19.</t>
  </si>
  <si>
    <t>1. SR094944</t>
  </si>
  <si>
    <t>1. Inverter 32 back online at 11:45 on 12/02
2. Inverter 32 tripped offline at 8:30 on 12/14 and back online at 10:30 on 12/16.
3.Inverter 35 tripped offline at 7:30 on 12/17 and  back online at 13:30 on 12/19. It tripped offline again at 7:30 on 12/20 and  back online on 12/22. It was offline from 12/24 to 12/27 and tripped offline again on 12/28, being resolved at 12:45 on 12/30.</t>
  </si>
  <si>
    <t>1. SR093718
2. SR094667
3. SR094837</t>
  </si>
  <si>
    <t xml:space="preserve">1. Inverter 3 tripped offline at 10:45 on 12/08 and back online on 12/09.
</t>
  </si>
  <si>
    <t xml:space="preserve">1. SR093378
</t>
  </si>
  <si>
    <t>1.Inverter 18 was offline from 7:45 to 12:00 on 12/12/2024, then went offline again on 12/18 and back online on 12/21.
2. Inverter 13 has been offline since 12/20/2024 and remains offline throughout the month.
3. Inverter 25 was offline on 12/20/2024 and back online on 12/22. It went offline again from 7:45 to 13:45 on 12/24/2024.</t>
  </si>
  <si>
    <t>1. SR094509
2. SR094509, SR094997
3. SR094509</t>
  </si>
  <si>
    <t>1. Inverter 18 has multiple tripping events from 12/06.</t>
  </si>
  <si>
    <t>1. SR094254</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</si>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</sst>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5">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164" fontId="28" fillId="0" borderId="0" xfId="1" applyNumberFormat="1" applyFont="1" applyFill="1" applyBorder="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34" fillId="40" borderId="0" xfId="0" applyFont="1" applyFill="1" applyAlignment="1">
      <alignment horizontal="left"/>
    </xf>
    <xf numFmtId="0" fontId="27" fillId="0" borderId="0" xfId="0" applyFont="1" applyAlignment="1">
      <alignment horizontal="left" vertical="center"/>
    </xf>
    <xf numFmtId="0" fontId="2" fillId="0" borderId="0" xfId="0" applyFont="1"/>
    <xf numFmtId="0" fontId="22" fillId="0" borderId="0" xfId="43" applyFont="1"/>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3" fontId="30" fillId="4" borderId="0" xfId="1" applyNumberFormat="1" applyFont="1" applyFill="1" applyAlignment="1">
      <alignment vertical="center"/>
    </xf>
    <xf numFmtId="3" fontId="30" fillId="0" borderId="0" xfId="1" applyNumberFormat="1" applyFont="1" applyAlignment="1">
      <alignment vertical="center"/>
    </xf>
    <xf numFmtId="164" fontId="28" fillId="44" borderId="0" xfId="1" applyNumberFormat="1" applyFont="1" applyFill="1" applyAlignment="1">
      <alignment horizontal="center" vertical="center"/>
    </xf>
    <xf numFmtId="9" fontId="30" fillId="0" borderId="0" xfId="2" applyFont="1" applyAlignment="1">
      <alignment horizontal="center" vertical="center"/>
    </xf>
    <xf numFmtId="9" fontId="30" fillId="3" borderId="0" xfId="2" applyFont="1" applyFill="1" applyAlignment="1">
      <alignment horizontal="center" vertical="center"/>
    </xf>
    <xf numFmtId="9" fontId="30" fillId="37" borderId="0" xfId="2" applyFont="1" applyFill="1" applyAlignment="1">
      <alignment horizontal="center" vertical="center"/>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8" totalsRowShown="0">
  <autoFilter ref="A3:E28"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C4" activePane="bottomRight" state="frozen"/>
      <selection pane="bottomRight" activeCell="D23" sqref="D23"/>
      <selection pane="bottomLeft"/>
      <selection pane="topRight"/>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Lodestar</v>
      </c>
      <c r="B1" s="60"/>
      <c r="C1" s="60"/>
      <c r="D1" s="61" t="s">
        <v>0</v>
      </c>
      <c r="E1" s="61"/>
      <c r="F1" s="61"/>
      <c r="G1" s="59" t="s">
        <v>1</v>
      </c>
      <c r="H1" s="59"/>
      <c r="I1" s="59"/>
    </row>
    <row r="2" spans="1:9" ht="19.5" customHeight="1">
      <c r="A2" s="62" t="s">
        <v>2</v>
      </c>
      <c r="B2" s="62"/>
      <c r="C2" s="5">
        <f>SUM(C4:C103)</f>
        <v>78125244.849999994</v>
      </c>
      <c r="D2" s="5">
        <f>SUM(D4:D103)</f>
        <v>72250536.679999992</v>
      </c>
      <c r="E2" s="5">
        <f>C2-D2</f>
        <v>5874708.1700000018</v>
      </c>
      <c r="F2" s="6">
        <f>IFERROR(E2/D2, 0)</f>
        <v>8.131023574287452E-2</v>
      </c>
      <c r="G2" s="5">
        <f>SUM(G4:G103)</f>
        <v>68686520.930000007</v>
      </c>
      <c r="H2" s="7">
        <f>C2-G2</f>
        <v>9438723.9199999869</v>
      </c>
      <c r="I2" s="6">
        <f>IFERROR(H2/G2, 0)</f>
        <v>0.13741741162897456</v>
      </c>
    </row>
    <row r="3" spans="1:9" ht="14.25" customHeight="1">
      <c r="A3" s="8" t="s">
        <v>3</v>
      </c>
      <c r="B3" s="8" t="s">
        <v>4</v>
      </c>
      <c r="C3" s="23" t="s">
        <v>5</v>
      </c>
      <c r="D3" s="33" t="s">
        <v>6</v>
      </c>
      <c r="E3" s="33" t="s">
        <v>7</v>
      </c>
      <c r="F3" s="34" t="s">
        <v>8</v>
      </c>
      <c r="G3" s="35" t="s">
        <v>9</v>
      </c>
      <c r="H3" s="36" t="s">
        <v>7</v>
      </c>
      <c r="I3" s="37" t="s">
        <v>8</v>
      </c>
    </row>
    <row r="4" spans="1:9" ht="15.6">
      <c r="A4" s="12" t="str" cm="1">
        <f t="array" ref="A4:A28">Sites[Site]</f>
        <v>Barkhamsted</v>
      </c>
      <c r="B4" s="9" t="str" cm="1">
        <f t="array" ref="B4:B28">Sites[State]</f>
        <v>CT</v>
      </c>
      <c r="C4" s="24">
        <f>SUM('1st Qtr'!C4, '2nd Qtr'!C4, '3rd Qtr'!C4, '4th Qtr'!C4)</f>
        <v>1651520</v>
      </c>
      <c r="D4" s="13">
        <f>SUM('1st Qtr'!D4, '2nd Qtr'!D4, '3rd Qtr'!D4, '4th Qtr'!D4)</f>
        <v>1880792.61</v>
      </c>
      <c r="E4" s="13">
        <f>IF(AND(ISNUMBER(C4),ISNUMBER(D4)), C4-D4, "")</f>
        <v>-229272.6100000001</v>
      </c>
      <c r="F4" s="14">
        <f>IFERROR(E4/D4, "")</f>
        <v>-0.12190212189317359</v>
      </c>
      <c r="G4" s="15">
        <f>SUM('1st Qtr'!G4, '2nd Qtr'!G4, '3rd Qtr'!G4, '4th Qtr'!G4)</f>
        <v>1790062.17</v>
      </c>
      <c r="H4" s="15">
        <f>SUM('1st Qtr'!H4, '2nd Qtr'!H4, '3rd Qtr'!H4, '4th Qtr'!H4)</f>
        <v>-138542.16999999998</v>
      </c>
      <c r="I4" s="16">
        <f>IFERROR(H4/G4, "")</f>
        <v>-7.7395172258179157E-2</v>
      </c>
    </row>
    <row r="5" spans="1:9" ht="15.6">
      <c r="A5" s="17" t="str">
        <v>Bunce</v>
      </c>
      <c r="B5" s="10" t="str">
        <v>CT</v>
      </c>
      <c r="C5" s="11">
        <f>SUM('1st Qtr'!C5, '2nd Qtr'!C5, '3rd Qtr'!C5, '4th Qtr'!C5)</f>
        <v>3315861</v>
      </c>
      <c r="D5" s="18">
        <f>SUM('1st Qtr'!D5, '2nd Qtr'!D5, '3rd Qtr'!D5, '4th Qtr'!D5)</f>
        <v>3017831.4</v>
      </c>
      <c r="E5" s="18">
        <f t="shared" ref="E5:E15" si="0">IF(AND(ISNUMBER(C5),ISNUMBER(D5)), C5-D5, "")</f>
        <v>298029.60000000009</v>
      </c>
      <c r="F5" s="19">
        <f>IFERROR(E5/D5, "")</f>
        <v>9.8756212822227282E-2</v>
      </c>
      <c r="G5" s="20">
        <f>SUM('1st Qtr'!G5, '2nd Qtr'!G5, '3rd Qtr'!G5, '4th Qtr'!G5)</f>
        <v>0</v>
      </c>
      <c r="H5" s="20">
        <f>SUM('1st Qtr'!H5, '2nd Qtr'!H5, '3rd Qtr'!H5, '4th Qtr'!H5)</f>
        <v>3315861</v>
      </c>
      <c r="I5" s="19" t="str">
        <f>IFERROR(H5/G5, "")</f>
        <v/>
      </c>
    </row>
    <row r="6" spans="1:9" ht="15.6">
      <c r="A6" s="12" t="str">
        <v>Norcap North</v>
      </c>
      <c r="B6" s="9" t="str">
        <v>CT</v>
      </c>
      <c r="C6" s="24">
        <f>SUM('1st Qtr'!C6, '2nd Qtr'!C6, '3rd Qtr'!C6, '4th Qtr'!C6)</f>
        <v>3483334.5</v>
      </c>
      <c r="D6" s="13">
        <f>SUM('1st Qtr'!D6, '2nd Qtr'!D6, '3rd Qtr'!D6, '4th Qtr'!D6)</f>
        <v>3748756.7</v>
      </c>
      <c r="E6" s="13">
        <f t="shared" si="0"/>
        <v>-265422.20000000019</v>
      </c>
      <c r="F6" s="14">
        <f t="shared" ref="F6:F15" si="1">IFERROR(E6/D6, "")</f>
        <v>-7.0802727741707053E-2</v>
      </c>
      <c r="G6" s="15">
        <f>SUM('1st Qtr'!G6, '2nd Qtr'!G6, '3rd Qtr'!G6, '4th Qtr'!G6)</f>
        <v>3458261.7</v>
      </c>
      <c r="H6" s="15">
        <f>SUM('1st Qtr'!H6, '2nd Qtr'!H6, '3rd Qtr'!H6, '4th Qtr'!H6)</f>
        <v>25072.79999999993</v>
      </c>
      <c r="I6" s="16">
        <f t="shared" ref="I6:I15" si="2">IFERROR(H6/G6, "")</f>
        <v>7.2501164385563787E-3</v>
      </c>
    </row>
    <row r="7" spans="1:9" ht="15.6">
      <c r="A7" s="17" t="str">
        <v>Norcap South</v>
      </c>
      <c r="B7" s="10" t="str">
        <v>CT</v>
      </c>
      <c r="C7" s="11">
        <f>SUM('1st Qtr'!C7, '2nd Qtr'!C7, '3rd Qtr'!C7, '4th Qtr'!C7)</f>
        <v>3567818</v>
      </c>
      <c r="D7" s="18">
        <f>SUM('1st Qtr'!D7, '2nd Qtr'!D7, '3rd Qtr'!D7, '4th Qtr'!D7)</f>
        <v>4007649.3</v>
      </c>
      <c r="E7" s="18">
        <f t="shared" si="0"/>
        <v>-439831.29999999981</v>
      </c>
      <c r="F7" s="19">
        <f t="shared" si="1"/>
        <v>-0.10974795124912747</v>
      </c>
      <c r="G7" s="20">
        <f>SUM('1st Qtr'!G7, '2nd Qtr'!G7, '3rd Qtr'!G7, '4th Qtr'!G7)</f>
        <v>3321259.8000000003</v>
      </c>
      <c r="H7" s="20">
        <f>SUM('1st Qtr'!H7, '2nd Qtr'!H7, '3rd Qtr'!H7, '4th Qtr'!H7)</f>
        <v>246558.20000000004</v>
      </c>
      <c r="I7" s="19">
        <f t="shared" si="2"/>
        <v>7.4236348508478628E-2</v>
      </c>
    </row>
    <row r="8" spans="1:9" ht="15.6">
      <c r="A8" s="12" t="str">
        <v>Platt Hill</v>
      </c>
      <c r="B8" s="9" t="str">
        <v>CT</v>
      </c>
      <c r="C8" s="24">
        <f>SUM('1st Qtr'!C8, '2nd Qtr'!C8, '3rd Qtr'!C8, '4th Qtr'!C8)</f>
        <v>2403919</v>
      </c>
      <c r="D8" s="13">
        <f>SUM('1st Qtr'!D8, '2nd Qtr'!D8, '3rd Qtr'!D8, '4th Qtr'!D8)</f>
        <v>2584739.9299999997</v>
      </c>
      <c r="E8" s="13">
        <f t="shared" si="0"/>
        <v>-180820.9299999997</v>
      </c>
      <c r="F8" s="14">
        <f t="shared" si="1"/>
        <v>-6.9957107831734436E-2</v>
      </c>
      <c r="G8" s="15">
        <f>SUM('1st Qtr'!G8, '2nd Qtr'!G8, '3rd Qtr'!G8, '4th Qtr'!G8)</f>
        <v>3204437.9</v>
      </c>
      <c r="H8" s="15">
        <f>SUM('1st Qtr'!H8, '2nd Qtr'!H8, '3rd Qtr'!H8, '4th Qtr'!H8)</f>
        <v>-800518.9</v>
      </c>
      <c r="I8" s="16">
        <f t="shared" si="2"/>
        <v>-0.2498157009065459</v>
      </c>
    </row>
    <row r="9" spans="1:9" ht="15.6">
      <c r="A9" s="17" t="str">
        <v>Powder Hill</v>
      </c>
      <c r="B9" s="10" t="str">
        <v>CT</v>
      </c>
      <c r="C9" s="11">
        <f>SUM('1st Qtr'!C9, '2nd Qtr'!C9, '3rd Qtr'!C9, '4th Qtr'!C9)</f>
        <v>3325460</v>
      </c>
      <c r="D9" s="18">
        <f>SUM('1st Qtr'!D9, '2nd Qtr'!D9, '3rd Qtr'!D9, '4th Qtr'!D9)</f>
        <v>3518455.8</v>
      </c>
      <c r="E9" s="18">
        <f t="shared" si="0"/>
        <v>-192995.79999999981</v>
      </c>
      <c r="F9" s="19">
        <f t="shared" si="1"/>
        <v>-5.485241565348066E-2</v>
      </c>
      <c r="G9" s="20">
        <f>SUM('1st Qtr'!G9, '2nd Qtr'!G9, '3rd Qtr'!G9, '4th Qtr'!G9)</f>
        <v>2690268</v>
      </c>
      <c r="H9" s="20">
        <f>SUM('1st Qtr'!H9, '2nd Qtr'!H9, '3rd Qtr'!H9, '4th Qtr'!H9)</f>
        <v>635192</v>
      </c>
      <c r="I9" s="19">
        <f t="shared" si="2"/>
        <v>0.23610733205762399</v>
      </c>
    </row>
    <row r="10" spans="1:9" ht="15.6">
      <c r="A10" s="12" t="str">
        <v>Sand Road</v>
      </c>
      <c r="B10" s="9" t="str">
        <v>CT</v>
      </c>
      <c r="C10" s="24">
        <f>SUM('1st Qtr'!C10, '2nd Qtr'!C10, '3rd Qtr'!C10, '4th Qtr'!C10)</f>
        <v>3545625.5</v>
      </c>
      <c r="D10" s="13">
        <f>SUM('1st Qtr'!D10, '2nd Qtr'!D10, '3rd Qtr'!D10, '4th Qtr'!D10)</f>
        <v>3260106.4</v>
      </c>
      <c r="E10" s="13">
        <f t="shared" si="0"/>
        <v>285519.10000000009</v>
      </c>
      <c r="F10" s="14">
        <f t="shared" si="1"/>
        <v>8.7579687583202837E-2</v>
      </c>
      <c r="G10" s="15">
        <f>SUM('1st Qtr'!G10, '2nd Qtr'!G10, '3rd Qtr'!G10, '4th Qtr'!G10)</f>
        <v>3021906</v>
      </c>
      <c r="H10" s="15">
        <f>SUM('1st Qtr'!H10, '2nd Qtr'!H10, '3rd Qtr'!H10, '4th Qtr'!H10)</f>
        <v>523719.5</v>
      </c>
      <c r="I10" s="16">
        <f t="shared" si="2"/>
        <v>0.17330767403089309</v>
      </c>
    </row>
    <row r="11" spans="1:9" ht="15.6">
      <c r="A11" s="17" t="str">
        <v>Suffield</v>
      </c>
      <c r="B11" s="10" t="str">
        <v>CT</v>
      </c>
      <c r="C11" s="11">
        <f>SUM('1st Qtr'!C11, '2nd Qtr'!C11, '3rd Qtr'!C11, '4th Qtr'!C11)</f>
        <v>3556742</v>
      </c>
      <c r="D11" s="18">
        <f>SUM('1st Qtr'!D11, '2nd Qtr'!D11, '3rd Qtr'!D11, '4th Qtr'!D11)</f>
        <v>3519626.3</v>
      </c>
      <c r="E11" s="18">
        <f t="shared" si="0"/>
        <v>37115.700000000186</v>
      </c>
      <c r="F11" s="19">
        <f t="shared" si="1"/>
        <v>1.0545352499496946E-2</v>
      </c>
      <c r="G11" s="20">
        <f>SUM('1st Qtr'!G11, '2nd Qtr'!G11, '3rd Qtr'!G11, '4th Qtr'!G11)</f>
        <v>3507192.5</v>
      </c>
      <c r="H11" s="20">
        <f>SUM('1st Qtr'!H11, '2nd Qtr'!H11, '3rd Qtr'!H11, '4th Qtr'!H11)</f>
        <v>49549.500000000058</v>
      </c>
      <c r="I11" s="19">
        <f t="shared" si="2"/>
        <v>1.4127967027757975E-2</v>
      </c>
    </row>
    <row r="12" spans="1:9" ht="15.6">
      <c r="A12" s="12" t="str">
        <v>Ashby-Duffy</v>
      </c>
      <c r="B12" s="9" t="str">
        <v>MA</v>
      </c>
      <c r="C12" s="24">
        <f>SUM('1st Qtr'!C12, '2nd Qtr'!C12, '3rd Qtr'!C12, '4th Qtr'!C12)</f>
        <v>3177404</v>
      </c>
      <c r="D12" s="13">
        <f>SUM('1st Qtr'!D12, '2nd Qtr'!D12, '3rd Qtr'!D12, '4th Qtr'!D12)</f>
        <v>4106077</v>
      </c>
      <c r="E12" s="13">
        <f t="shared" si="0"/>
        <v>-928673</v>
      </c>
      <c r="F12" s="14">
        <f t="shared" si="1"/>
        <v>-0.22617038112047094</v>
      </c>
      <c r="G12" s="15">
        <f>SUM('1st Qtr'!G12, '2nd Qtr'!G12, '3rd Qtr'!G12, '4th Qtr'!G12)</f>
        <v>3271755.8000000003</v>
      </c>
      <c r="H12" s="15">
        <f>SUM('1st Qtr'!H12, '2nd Qtr'!H12, '3rd Qtr'!H12, '4th Qtr'!H12)</f>
        <v>-94351.799999999988</v>
      </c>
      <c r="I12" s="16">
        <f t="shared" si="2"/>
        <v>-2.8838276988765475E-2</v>
      </c>
    </row>
    <row r="13" spans="1:9" ht="15.6">
      <c r="A13" s="17" t="str">
        <v>Ashland</v>
      </c>
      <c r="B13" s="10" t="str">
        <v>MA</v>
      </c>
      <c r="C13" s="11">
        <f>SUM('1st Qtr'!C13, '2nd Qtr'!C13, '3rd Qtr'!C13, '4th Qtr'!C13)</f>
        <v>2713770.5000000009</v>
      </c>
      <c r="D13" s="18">
        <f>SUM('1st Qtr'!D13, '2nd Qtr'!D13, '3rd Qtr'!D13, '4th Qtr'!D13)</f>
        <v>2637796.9899999998</v>
      </c>
      <c r="E13" s="18">
        <f t="shared" si="0"/>
        <v>75973.510000001173</v>
      </c>
      <c r="F13" s="19">
        <f t="shared" si="1"/>
        <v>2.8801879101394069E-2</v>
      </c>
      <c r="G13" s="20">
        <f>SUM('1st Qtr'!G13, '2nd Qtr'!G13, '3rd Qtr'!G13, '4th Qtr'!G13)</f>
        <v>3166410.1999999997</v>
      </c>
      <c r="H13" s="20">
        <f>SUM('1st Qtr'!H13, '2nd Qtr'!H13, '3rd Qtr'!H13, '4th Qtr'!H13)</f>
        <v>-452639.69999999914</v>
      </c>
      <c r="I13" s="19">
        <f t="shared" si="2"/>
        <v>-0.14295043011167635</v>
      </c>
    </row>
    <row r="14" spans="1:9" ht="15.6">
      <c r="A14" s="12" t="str">
        <v>Barrington</v>
      </c>
      <c r="B14" s="9" t="str">
        <v>MA</v>
      </c>
      <c r="C14" s="24">
        <f>SUM('1st Qtr'!C14, '2nd Qtr'!C14, '3rd Qtr'!C14, '4th Qtr'!C14)</f>
        <v>736564.5</v>
      </c>
      <c r="D14" s="13">
        <f>SUM('1st Qtr'!D14, '2nd Qtr'!D14, '3rd Qtr'!D14, '4th Qtr'!D14)</f>
        <v>670779.64</v>
      </c>
      <c r="E14" s="13">
        <f t="shared" si="0"/>
        <v>65784.859999999986</v>
      </c>
      <c r="F14" s="14">
        <f t="shared" si="1"/>
        <v>9.8072237255143857E-2</v>
      </c>
      <c r="G14" s="15">
        <f>SUM('1st Qtr'!G14, '2nd Qtr'!G14, '3rd Qtr'!G14, '4th Qtr'!G14)</f>
        <v>788100</v>
      </c>
      <c r="H14" s="15">
        <f>SUM('1st Qtr'!H14, '2nd Qtr'!H14, '3rd Qtr'!H14, '4th Qtr'!H14)</f>
        <v>-51535.5</v>
      </c>
      <c r="I14" s="16">
        <f t="shared" si="2"/>
        <v>-6.5392082223068138E-2</v>
      </c>
    </row>
    <row r="15" spans="1:9" ht="15.6">
      <c r="A15" s="17" t="str">
        <v>Bedford - 205 Burlington Rd</v>
      </c>
      <c r="B15" s="10" t="str">
        <v>MA</v>
      </c>
      <c r="C15" s="11">
        <f>SUM('1st Qtr'!C15, '2nd Qtr'!C15, '3rd Qtr'!C15, '4th Qtr'!C15)</f>
        <v>352907</v>
      </c>
      <c r="D15" s="18">
        <f>SUM('1st Qtr'!D15, '2nd Qtr'!D15, '3rd Qtr'!D15, '4th Qtr'!D15)</f>
        <v>0</v>
      </c>
      <c r="E15" s="18">
        <f t="shared" si="0"/>
        <v>352907</v>
      </c>
      <c r="F15" s="19" t="str">
        <f t="shared" si="1"/>
        <v/>
      </c>
      <c r="G15" s="20">
        <f>SUM('1st Qtr'!G15, '2nd Qtr'!G15, '3rd Qtr'!G15, '4th Qtr'!G15)</f>
        <v>0</v>
      </c>
      <c r="H15" s="20">
        <f>SUM('1st Qtr'!H15, '2nd Qtr'!H15, '3rd Qtr'!H15, '4th Qtr'!H15)</f>
        <v>352907</v>
      </c>
      <c r="I15" s="19" t="str">
        <f t="shared" si="2"/>
        <v/>
      </c>
    </row>
    <row r="16" spans="1:9" ht="15.6">
      <c r="A16" s="12" t="str">
        <v>Billerica - 6 Cook Street</v>
      </c>
      <c r="B16" s="9" t="str">
        <v>MA</v>
      </c>
      <c r="C16" s="24">
        <f>SUM('1st Qtr'!C16, '2nd Qtr'!C16, '3rd Qtr'!C16, '4th Qtr'!C16)</f>
        <v>329537</v>
      </c>
      <c r="D16" s="13">
        <f>SUM('1st Qtr'!D16, '2nd Qtr'!D16, '3rd Qtr'!D16, '4th Qtr'!D16)</f>
        <v>0</v>
      </c>
      <c r="E16" s="13">
        <f t="shared" ref="E16:E19" si="3">IF(AND(ISNUMBER(C16),ISNUMBER(D16)), C16-D16, "")</f>
        <v>329537</v>
      </c>
      <c r="F16" s="14" t="str">
        <f t="shared" ref="F16:F19" si="4">IFERROR(E16/D16, "")</f>
        <v/>
      </c>
      <c r="G16" s="15">
        <f>SUM('1st Qtr'!G16, '2nd Qtr'!G16, '3rd Qtr'!G16, '4th Qtr'!G16)</f>
        <v>0</v>
      </c>
      <c r="H16" s="15">
        <f>SUM('1st Qtr'!H16, '2nd Qtr'!H16, '3rd Qtr'!H16, '4th Qtr'!H16)</f>
        <v>329537</v>
      </c>
      <c r="I16" s="16" t="str">
        <f t="shared" ref="I16:I19" si="5">IFERROR(H16/G16, "")</f>
        <v/>
      </c>
    </row>
    <row r="17" spans="1:9" ht="15.6">
      <c r="A17" s="17" t="str">
        <v>Billerica - 780 Boston Road</v>
      </c>
      <c r="B17" s="10" t="str">
        <v>MA</v>
      </c>
      <c r="C17" s="11">
        <f>SUM('1st Qtr'!C17, '2nd Qtr'!C17, '3rd Qtr'!C17, '4th Qtr'!C17)</f>
        <v>395239</v>
      </c>
      <c r="D17" s="18">
        <f>SUM('1st Qtr'!D17, '2nd Qtr'!D17, '3rd Qtr'!D17, '4th Qtr'!D17)</f>
        <v>0</v>
      </c>
      <c r="E17" s="18">
        <f t="shared" si="3"/>
        <v>395239</v>
      </c>
      <c r="F17" s="19" t="str">
        <f t="shared" si="4"/>
        <v/>
      </c>
      <c r="G17" s="20">
        <f>SUM('1st Qtr'!G17, '2nd Qtr'!G17, '3rd Qtr'!G17, '4th Qtr'!G17)</f>
        <v>0</v>
      </c>
      <c r="H17" s="20">
        <f>SUM('1st Qtr'!H17, '2nd Qtr'!H17, '3rd Qtr'!H17, '4th Qtr'!H17)</f>
        <v>395239</v>
      </c>
      <c r="I17" s="19" t="str">
        <f t="shared" si="5"/>
        <v/>
      </c>
    </row>
    <row r="18" spans="1:9" ht="12.75" customHeight="1">
      <c r="A18" s="12" t="str">
        <v>Cheshire</v>
      </c>
      <c r="B18" s="9" t="str">
        <v>MA</v>
      </c>
      <c r="C18" s="24">
        <f>SUM('1st Qtr'!C18, '2nd Qtr'!C18, '3rd Qtr'!C18, '4th Qtr'!C18)</f>
        <v>748397.25</v>
      </c>
      <c r="D18" s="13">
        <f>SUM('1st Qtr'!D18, '2nd Qtr'!D18, '3rd Qtr'!D18, '4th Qtr'!D18)</f>
        <v>814220.83000000007</v>
      </c>
      <c r="E18" s="13">
        <f t="shared" si="3"/>
        <v>-65823.580000000075</v>
      </c>
      <c r="F18" s="14">
        <f t="shared" si="4"/>
        <v>-8.084241716095629E-2</v>
      </c>
      <c r="G18" s="15">
        <f>SUM('1st Qtr'!G18, '2nd Qtr'!G18, '3rd Qtr'!G18, '4th Qtr'!G18)</f>
        <v>581695.72</v>
      </c>
      <c r="H18" s="15">
        <f>SUM('1st Qtr'!H18, '2nd Qtr'!H18, '3rd Qtr'!H18, '4th Qtr'!H18)</f>
        <v>166701.53</v>
      </c>
      <c r="I18" s="16">
        <f t="shared" si="5"/>
        <v>0.28657857410400062</v>
      </c>
    </row>
    <row r="19" spans="1:9" ht="15.6">
      <c r="A19" s="17" t="str">
        <v>Lilly Lane</v>
      </c>
      <c r="B19" s="10" t="str">
        <v>MA</v>
      </c>
      <c r="C19" s="11">
        <f>SUM('1st Qtr'!C19, '2nd Qtr'!C19, '3rd Qtr'!C19, '4th Qtr'!C19)</f>
        <v>1699296</v>
      </c>
      <c r="D19" s="18">
        <f>SUM('1st Qtr'!D19, '2nd Qtr'!D19, '3rd Qtr'!D19, '4th Qtr'!D19)</f>
        <v>1630692.26</v>
      </c>
      <c r="E19" s="18">
        <f t="shared" si="3"/>
        <v>68603.739999999991</v>
      </c>
      <c r="F19" s="19">
        <f t="shared" si="4"/>
        <v>4.2070316811339985E-2</v>
      </c>
      <c r="G19" s="20">
        <f>SUM('1st Qtr'!G19, '2nd Qtr'!G19, '3rd Qtr'!G19, '4th Qtr'!G19)</f>
        <v>1808754.8499999999</v>
      </c>
      <c r="H19" s="20">
        <f>SUM('1st Qtr'!H19, '2nd Qtr'!H19, '3rd Qtr'!H19, '4th Qtr'!H19)</f>
        <v>-109458.84999999996</v>
      </c>
      <c r="I19" s="19">
        <f t="shared" si="5"/>
        <v>-6.0516133515827186E-2</v>
      </c>
    </row>
    <row r="20" spans="1:9" ht="15.6">
      <c r="A20" s="12" t="str">
        <v>Monument Valley</v>
      </c>
      <c r="B20" s="9" t="str">
        <v>MA</v>
      </c>
      <c r="C20" s="24">
        <f>SUM('1st Qtr'!C20, '2nd Qtr'!C20, '3rd Qtr'!C20, '4th Qtr'!C20)</f>
        <v>3171593.4999999995</v>
      </c>
      <c r="D20" s="13">
        <f>SUM('1st Qtr'!D20, '2nd Qtr'!D20, '3rd Qtr'!D20, '4th Qtr'!D20)</f>
        <v>705233.71</v>
      </c>
      <c r="E20" s="13">
        <f t="shared" ref="E20:E22" si="6">IF(AND(ISNUMBER(C20),ISNUMBER(D20)), C20-D20, "")</f>
        <v>2466359.7899999996</v>
      </c>
      <c r="F20" s="14">
        <f t="shared" ref="F20:F23" si="7">IFERROR(E20/D20, "")</f>
        <v>3.4972233389127125</v>
      </c>
      <c r="G20" s="15">
        <f>SUM('1st Qtr'!G20, '2nd Qtr'!G20, '3rd Qtr'!G20, '4th Qtr'!G20)</f>
        <v>0</v>
      </c>
      <c r="H20" s="15">
        <f>SUM('1st Qtr'!H20, '2nd Qtr'!H20, '3rd Qtr'!H20, '4th Qtr'!H20)</f>
        <v>3171593.4999999995</v>
      </c>
      <c r="I20" s="16" t="str">
        <f t="shared" ref="I20:I23" si="8">IFERROR(H20/G20, "")</f>
        <v/>
      </c>
    </row>
    <row r="21" spans="1:9" ht="15.6">
      <c r="A21" s="17" t="str">
        <v>Nationwide</v>
      </c>
      <c r="B21" s="10" t="str">
        <v>MA</v>
      </c>
      <c r="C21" s="11">
        <f>SUM('1st Qtr'!C21, '2nd Qtr'!C21, '3rd Qtr'!C21, '4th Qtr'!C21)</f>
        <v>5474346.5</v>
      </c>
      <c r="D21" s="18">
        <f>SUM('1st Qtr'!D21, '2nd Qtr'!D21, '3rd Qtr'!D21, '4th Qtr'!D21)</f>
        <v>4944623.8</v>
      </c>
      <c r="E21" s="18">
        <f t="shared" si="6"/>
        <v>529722.70000000019</v>
      </c>
      <c r="F21" s="19">
        <f t="shared" si="7"/>
        <v>0.10713104200161803</v>
      </c>
      <c r="G21" s="20">
        <f>SUM('1st Qtr'!G21, '2nd Qtr'!G21, '3rd Qtr'!G21, '4th Qtr'!G21)</f>
        <v>5182815.6999999993</v>
      </c>
      <c r="H21" s="20">
        <f>SUM('1st Qtr'!H21, '2nd Qtr'!H21, '3rd Qtr'!H21, '4th Qtr'!H21)</f>
        <v>291530.80000000005</v>
      </c>
      <c r="I21" s="19">
        <f t="shared" si="8"/>
        <v>5.624950159813711E-2</v>
      </c>
    </row>
    <row r="22" spans="1:9" ht="15.6">
      <c r="A22" s="12" t="str">
        <v>Pulpit Hill</v>
      </c>
      <c r="B22" s="9" t="str">
        <v>MA</v>
      </c>
      <c r="C22" s="24">
        <f>SUM('1st Qtr'!C22, '2nd Qtr'!C22, '3rd Qtr'!C22, '4th Qtr'!C22)</f>
        <v>7211047.4000000004</v>
      </c>
      <c r="D22" s="13">
        <f>SUM('1st Qtr'!D22, '2nd Qtr'!D22, '3rd Qtr'!D22, '4th Qtr'!D22)</f>
        <v>6975942</v>
      </c>
      <c r="E22" s="13">
        <f t="shared" si="6"/>
        <v>235105.40000000037</v>
      </c>
      <c r="F22" s="14">
        <f t="shared" si="7"/>
        <v>3.3702315758932684E-2</v>
      </c>
      <c r="G22" s="15">
        <f>SUM('1st Qtr'!G22, '2nd Qtr'!G22, '3rd Qtr'!G22, '4th Qtr'!G22)</f>
        <v>7259745.5</v>
      </c>
      <c r="H22" s="15">
        <f>SUM('1st Qtr'!H22, '2nd Qtr'!H22, '3rd Qtr'!H22, '4th Qtr'!H22)</f>
        <v>-48698.100000000093</v>
      </c>
      <c r="I22" s="16">
        <f t="shared" si="8"/>
        <v>-6.7079624209967267E-3</v>
      </c>
    </row>
    <row r="23" spans="1:9" ht="15.6">
      <c r="A23" s="17" t="str">
        <v>Sandwich</v>
      </c>
      <c r="B23" s="10" t="str">
        <v>MA</v>
      </c>
      <c r="C23" s="11">
        <f>SUM('1st Qtr'!C23, '2nd Qtr'!C23, '3rd Qtr'!C23, '4th Qtr'!C23)</f>
        <v>4907243</v>
      </c>
      <c r="D23" s="18">
        <f>SUM('1st Qtr'!D23, '2nd Qtr'!D23, '3rd Qtr'!D23, '4th Qtr'!D23)</f>
        <v>73621</v>
      </c>
      <c r="E23" s="18">
        <f t="shared" ref="E23:E28" si="9">IF(AND(ISNUMBER(C23),ISNUMBER(D23)), C23-D23, "")</f>
        <v>4833622</v>
      </c>
      <c r="F23" s="19">
        <f t="shared" si="7"/>
        <v>65.655478735686827</v>
      </c>
      <c r="G23" s="20">
        <f>SUM('1st Qtr'!G23, '2nd Qtr'!G23, '3rd Qtr'!G23, '4th Qtr'!G23)</f>
        <v>818577</v>
      </c>
      <c r="H23" s="20">
        <f>SUM('1st Qtr'!H23, '2nd Qtr'!H23, '3rd Qtr'!H23, '4th Qtr'!H23)</f>
        <v>4610492</v>
      </c>
      <c r="I23" s="19">
        <f t="shared" si="8"/>
        <v>5.6323253646266629</v>
      </c>
    </row>
    <row r="24" spans="1:9" ht="15.6">
      <c r="A24" s="12" t="str">
        <v>Sturbridge Barn</v>
      </c>
      <c r="B24" s="9" t="str">
        <v>MA</v>
      </c>
      <c r="C24" s="24">
        <f>SUM('1st Qtr'!C24, '2nd Qtr'!C24, '3rd Qtr'!C24, '4th Qtr'!C24)</f>
        <v>1699064.5</v>
      </c>
      <c r="D24" s="13">
        <f>SUM('1st Qtr'!D24, '2nd Qtr'!D24, '3rd Qtr'!D24, '4th Qtr'!D24)</f>
        <v>1820847.26</v>
      </c>
      <c r="E24" s="13">
        <f t="shared" si="9"/>
        <v>-121782.76000000001</v>
      </c>
      <c r="F24" s="14">
        <f t="shared" ref="F24:F28" si="10">IFERROR(E24/D24, "")</f>
        <v>-6.6882468768961992E-2</v>
      </c>
      <c r="G24" s="15">
        <f>SUM('1st Qtr'!G24, '2nd Qtr'!G24, '3rd Qtr'!G24, '4th Qtr'!G24)</f>
        <v>1910412.38</v>
      </c>
      <c r="H24" s="15">
        <f>SUM('1st Qtr'!H24, '2nd Qtr'!H24, '3rd Qtr'!H24, '4th Qtr'!H24)</f>
        <v>-211347.88</v>
      </c>
      <c r="I24" s="16">
        <f t="shared" ref="I24:I28" si="11">IFERROR(H24/G24, "")</f>
        <v>-0.11062945477771664</v>
      </c>
    </row>
    <row r="25" spans="1:9" ht="15.6">
      <c r="A25" s="17" t="str">
        <v>Sturbridge Garage</v>
      </c>
      <c r="B25" s="10" t="str">
        <v>MA</v>
      </c>
      <c r="C25" s="11">
        <f>SUM('1st Qtr'!C25, '2nd Qtr'!C25, '3rd Qtr'!C25, '4th Qtr'!C25)</f>
        <v>858494.25</v>
      </c>
      <c r="D25" s="18">
        <f>SUM('1st Qtr'!D25, '2nd Qtr'!D25, '3rd Qtr'!D25, '4th Qtr'!D25)</f>
        <v>868572.25</v>
      </c>
      <c r="E25" s="18">
        <f t="shared" si="9"/>
        <v>-10078</v>
      </c>
      <c r="F25" s="19">
        <f t="shared" si="10"/>
        <v>-1.160294955313159E-2</v>
      </c>
      <c r="G25" s="20">
        <f>SUM('1st Qtr'!G25, '2nd Qtr'!G25, '3rd Qtr'!G25, '4th Qtr'!G25)</f>
        <v>893481.21000000008</v>
      </c>
      <c r="H25" s="20">
        <f>SUM('1st Qtr'!H25, '2nd Qtr'!H25, '3rd Qtr'!H25, '4th Qtr'!H25)</f>
        <v>-34986.960000000006</v>
      </c>
      <c r="I25" s="19">
        <f t="shared" si="11"/>
        <v>-3.9158025494458917E-2</v>
      </c>
    </row>
    <row r="26" spans="1:9" ht="15.6">
      <c r="A26" s="12" t="str">
        <v>Halsey Valley</v>
      </c>
      <c r="B26" s="9" t="str">
        <v>NY</v>
      </c>
      <c r="C26" s="24">
        <f>SUM('1st Qtr'!C26, '2nd Qtr'!C26, '3rd Qtr'!C26, '4th Qtr'!C26)</f>
        <v>8159793</v>
      </c>
      <c r="D26" s="13">
        <f>SUM('1st Qtr'!D26, '2nd Qtr'!D26, '3rd Qtr'!D26, '4th Qtr'!D26)</f>
        <v>8522227.5</v>
      </c>
      <c r="E26" s="13">
        <f t="shared" si="9"/>
        <v>-362434.5</v>
      </c>
      <c r="F26" s="14">
        <f t="shared" si="10"/>
        <v>-4.2528141850238101E-2</v>
      </c>
      <c r="G26" s="15">
        <f>SUM('1st Qtr'!G26, '2nd Qtr'!G26, '3rd Qtr'!G26, '4th Qtr'!G26)</f>
        <v>8817000</v>
      </c>
      <c r="H26" s="15">
        <f>SUM('1st Qtr'!H26, '2nd Qtr'!H26, '3rd Qtr'!H26, '4th Qtr'!H26)</f>
        <v>-657207</v>
      </c>
      <c r="I26" s="16">
        <f t="shared" si="11"/>
        <v>-7.4538618577747531E-2</v>
      </c>
    </row>
    <row r="27" spans="1:9" ht="15.6">
      <c r="A27" s="17" t="str">
        <v>Hunt Creek</v>
      </c>
      <c r="B27" s="10" t="str">
        <v>NY</v>
      </c>
      <c r="C27" s="11">
        <f>SUM('1st Qtr'!C27, '2nd Qtr'!C27, '3rd Qtr'!C27, '4th Qtr'!C27)</f>
        <v>5431424.4500000002</v>
      </c>
      <c r="D27" s="18">
        <f>SUM('1st Qtr'!D27, '2nd Qtr'!D27, '3rd Qtr'!D27, '4th Qtr'!D27)</f>
        <v>6137832.3000000007</v>
      </c>
      <c r="E27" s="18">
        <f t="shared" si="9"/>
        <v>-706407.85000000056</v>
      </c>
      <c r="F27" s="19">
        <f t="shared" si="10"/>
        <v>-0.11509077072698784</v>
      </c>
      <c r="G27" s="20">
        <f>SUM('1st Qtr'!G27, '2nd Qtr'!G27, '3rd Qtr'!G27, '4th Qtr'!G27)</f>
        <v>6128700</v>
      </c>
      <c r="H27" s="20">
        <f>SUM('1st Qtr'!H27, '2nd Qtr'!H27, '3rd Qtr'!H27, '4th Qtr'!H27)</f>
        <v>-697275.55</v>
      </c>
      <c r="I27" s="19">
        <f t="shared" si="11"/>
        <v>-0.11377217843914697</v>
      </c>
    </row>
    <row r="28" spans="1:9" ht="15.6">
      <c r="A28" s="12" t="str">
        <v>Smith Creek</v>
      </c>
      <c r="B28" s="9" t="str">
        <v>NY</v>
      </c>
      <c r="C28" s="24">
        <f>SUM('1st Qtr'!C28, '2nd Qtr'!C28, '3rd Qtr'!C28, '4th Qtr'!C28)</f>
        <v>6208843</v>
      </c>
      <c r="D28" s="13">
        <f>SUM('1st Qtr'!D28, '2nd Qtr'!D28, '3rd Qtr'!D28, '4th Qtr'!D28)</f>
        <v>6804111.7000000002</v>
      </c>
      <c r="E28" s="13">
        <f t="shared" si="9"/>
        <v>-595268.70000000019</v>
      </c>
      <c r="F28" s="14">
        <f t="shared" si="10"/>
        <v>-8.7486614894931869E-2</v>
      </c>
      <c r="G28" s="15">
        <f>SUM('1st Qtr'!G28, '2nd Qtr'!G28, '3rd Qtr'!G28, '4th Qtr'!G28)</f>
        <v>7065684.5</v>
      </c>
      <c r="H28" s="15">
        <f>SUM('1st Qtr'!H28, '2nd Qtr'!H28, '3rd Qtr'!H28, '4th Qtr'!H28)</f>
        <v>-856841.5</v>
      </c>
      <c r="I28" s="16">
        <f t="shared" si="11"/>
        <v>-0.1212680101977381</v>
      </c>
    </row>
    <row r="29" spans="1:9" ht="12.95">
      <c r="A29" s="21"/>
      <c r="B29" s="21"/>
      <c r="C29" s="21"/>
      <c r="D29" s="21"/>
      <c r="E29" s="21"/>
      <c r="F29" s="21"/>
      <c r="G29" s="21"/>
      <c r="H29" s="21"/>
      <c r="I29" s="21"/>
    </row>
    <row r="30" spans="1:9" ht="12.95">
      <c r="A30" s="21"/>
      <c r="B30" s="21"/>
      <c r="C30" s="21"/>
      <c r="D30" s="21"/>
      <c r="E30" s="21"/>
      <c r="F30" s="21"/>
      <c r="G30" s="21"/>
      <c r="H30" s="21"/>
      <c r="I30" s="21"/>
    </row>
    <row r="31" spans="1:9" ht="12.95">
      <c r="A31" s="21"/>
      <c r="B31" s="21"/>
      <c r="C31" s="21"/>
      <c r="D31" s="21"/>
      <c r="E31" s="21"/>
      <c r="F31" s="21"/>
      <c r="G31" s="21"/>
      <c r="H31" s="21"/>
      <c r="I31" s="21"/>
    </row>
    <row r="32" spans="1:9" ht="12.95">
      <c r="A32" s="21"/>
      <c r="B32" s="21"/>
      <c r="C32" s="21"/>
      <c r="D32" s="21"/>
      <c r="E32" s="21"/>
      <c r="F32" s="21"/>
      <c r="G32" s="21"/>
      <c r="H32" s="21"/>
      <c r="I32" s="21"/>
    </row>
    <row r="33" spans="1:9" ht="12.95">
      <c r="A33" s="21"/>
      <c r="B33" s="21"/>
      <c r="C33" s="21"/>
      <c r="D33" s="21"/>
      <c r="E33" s="21"/>
      <c r="F33" s="21"/>
      <c r="G33" s="21"/>
      <c r="H33" s="21"/>
      <c r="I33" s="21"/>
    </row>
    <row r="34" spans="1:9" ht="12.95">
      <c r="A34" s="21"/>
      <c r="B34" s="21"/>
      <c r="C34" s="21"/>
      <c r="D34" s="21"/>
      <c r="E34" s="21"/>
      <c r="F34" s="21"/>
      <c r="G34" s="21"/>
      <c r="H34" s="21"/>
      <c r="I34" s="21"/>
    </row>
    <row r="35" spans="1:9" ht="12.95">
      <c r="A35" s="21"/>
      <c r="B35" s="21"/>
      <c r="C35" s="21"/>
      <c r="D35" s="21"/>
      <c r="E35" s="21"/>
      <c r="F35" s="21"/>
      <c r="G35" s="21"/>
      <c r="H35" s="21"/>
      <c r="I35" s="21"/>
    </row>
    <row r="36" spans="1:9" ht="12.95">
      <c r="A36" s="21"/>
      <c r="B36" s="21"/>
      <c r="C36" s="21"/>
      <c r="D36" s="21"/>
      <c r="E36" s="21"/>
      <c r="F36" s="22"/>
      <c r="G36" s="21"/>
      <c r="H36" s="21"/>
      <c r="I36" s="22"/>
    </row>
    <row r="37" spans="1:9" ht="12.95">
      <c r="A37" s="21"/>
      <c r="B37" s="21"/>
      <c r="C37" s="21"/>
      <c r="D37" s="21"/>
      <c r="E37" s="21"/>
      <c r="F37" s="22"/>
      <c r="G37" s="21"/>
      <c r="H37" s="21"/>
      <c r="I37" s="22"/>
    </row>
    <row r="38" spans="1:9" ht="12.95">
      <c r="A38" s="21"/>
      <c r="B38" s="21"/>
      <c r="C38" s="21"/>
      <c r="D38" s="21"/>
      <c r="E38" s="21"/>
      <c r="F38" s="22"/>
      <c r="G38" s="21"/>
      <c r="H38" s="21"/>
      <c r="I38" s="22"/>
    </row>
    <row r="39" spans="1:9" ht="12.95">
      <c r="A39" s="21"/>
      <c r="B39" s="21"/>
      <c r="C39" s="21"/>
      <c r="D39" s="21"/>
      <c r="E39" s="21"/>
      <c r="F39" s="22"/>
      <c r="G39" s="21"/>
      <c r="H39" s="21"/>
      <c r="I39" s="22"/>
    </row>
    <row r="40" spans="1:9" ht="12.95">
      <c r="A40" s="21"/>
      <c r="B40" s="21"/>
      <c r="C40" s="21"/>
      <c r="D40" s="21"/>
      <c r="E40" s="21"/>
      <c r="F40" s="22"/>
      <c r="G40" s="21"/>
      <c r="H40" s="21"/>
      <c r="I40" s="22"/>
    </row>
    <row r="41" spans="1:9" ht="12.95">
      <c r="A41" s="21"/>
      <c r="B41" s="21"/>
      <c r="C41" s="21"/>
      <c r="D41" s="21"/>
      <c r="E41" s="21"/>
      <c r="F41" s="22"/>
      <c r="G41" s="21"/>
      <c r="H41" s="21"/>
      <c r="I41" s="22"/>
    </row>
    <row r="42" spans="1:9" ht="12.95">
      <c r="A42" s="21"/>
      <c r="B42" s="21"/>
      <c r="C42" s="21"/>
      <c r="D42" s="21"/>
      <c r="E42" s="21"/>
      <c r="F42" s="22"/>
      <c r="G42" s="21"/>
      <c r="H42" s="21"/>
      <c r="I42" s="22"/>
    </row>
    <row r="43" spans="1:9" ht="12.95">
      <c r="A43" s="21"/>
      <c r="B43" s="21"/>
      <c r="C43" s="21"/>
      <c r="D43" s="21"/>
      <c r="E43" s="21"/>
      <c r="F43" s="22"/>
      <c r="G43" s="21"/>
      <c r="H43" s="21"/>
      <c r="I43" s="22"/>
    </row>
    <row r="44" spans="1:9" ht="12.95">
      <c r="A44" s="21"/>
      <c r="B44" s="21"/>
      <c r="C44" s="21"/>
      <c r="D44" s="21"/>
      <c r="E44" s="21"/>
      <c r="F44" s="22"/>
      <c r="G44" s="21"/>
      <c r="H44" s="21"/>
      <c r="I44" s="22"/>
    </row>
    <row r="45" spans="1:9" ht="12.95">
      <c r="A45" s="21"/>
      <c r="B45" s="21"/>
      <c r="C45" s="21"/>
      <c r="D45" s="21"/>
      <c r="E45" s="21"/>
      <c r="F45" s="22"/>
      <c r="G45" s="21"/>
      <c r="H45" s="21"/>
      <c r="I45" s="22"/>
    </row>
    <row r="46" spans="1:9" ht="12.95">
      <c r="A46" s="21"/>
      <c r="B46" s="21"/>
      <c r="C46" s="21"/>
      <c r="D46" s="21"/>
      <c r="E46" s="21"/>
      <c r="F46" s="22"/>
      <c r="G46" s="21"/>
      <c r="H46" s="21"/>
      <c r="I46" s="22"/>
    </row>
    <row r="47" spans="1:9" ht="12.95">
      <c r="A47" s="21"/>
      <c r="B47" s="21"/>
      <c r="C47" s="21"/>
      <c r="D47" s="21"/>
      <c r="E47" s="21"/>
      <c r="F47" s="22"/>
      <c r="G47" s="21"/>
      <c r="H47" s="21"/>
      <c r="I47" s="22"/>
    </row>
    <row r="48" spans="1:9" ht="12.95">
      <c r="A48" s="21"/>
      <c r="B48" s="21"/>
      <c r="C48" s="21"/>
      <c r="D48" s="21"/>
      <c r="E48" s="21"/>
      <c r="F48" s="22"/>
      <c r="G48" s="21"/>
      <c r="H48" s="21"/>
      <c r="I48" s="22"/>
    </row>
    <row r="49" spans="1:9" ht="12.95">
      <c r="A49" s="21"/>
      <c r="B49" s="21"/>
      <c r="C49" s="21"/>
      <c r="D49" s="21"/>
      <c r="E49" s="21"/>
      <c r="F49" s="22"/>
      <c r="G49" s="21"/>
      <c r="H49" s="21"/>
      <c r="I49" s="22"/>
    </row>
    <row r="50" spans="1:9" ht="12.95">
      <c r="A50" s="21"/>
      <c r="B50" s="21"/>
      <c r="C50" s="21"/>
      <c r="D50" s="21"/>
      <c r="E50" s="21"/>
      <c r="F50" s="22"/>
      <c r="G50" s="21"/>
      <c r="H50" s="21"/>
      <c r="I50" s="22"/>
    </row>
    <row r="51" spans="1:9" ht="12.95">
      <c r="A51" s="21"/>
      <c r="B51" s="21"/>
      <c r="C51" s="21"/>
      <c r="D51" s="21"/>
      <c r="E51" s="21"/>
      <c r="F51" s="22"/>
      <c r="G51" s="21"/>
      <c r="H51" s="21"/>
      <c r="I51" s="22"/>
    </row>
    <row r="52" spans="1:9" ht="12.95">
      <c r="A52" s="21"/>
      <c r="B52" s="21"/>
      <c r="C52" s="21"/>
      <c r="D52" s="21"/>
      <c r="E52" s="21"/>
      <c r="F52" s="22"/>
      <c r="G52" s="21"/>
      <c r="H52" s="21"/>
      <c r="I52" s="22"/>
    </row>
    <row r="53" spans="1:9" ht="12.95">
      <c r="A53" s="21"/>
      <c r="B53" s="21"/>
      <c r="C53" s="21"/>
      <c r="D53" s="21"/>
      <c r="E53" s="21"/>
      <c r="F53" s="22"/>
      <c r="G53" s="21"/>
      <c r="H53" s="21"/>
      <c r="I53" s="22"/>
    </row>
    <row r="54" spans="1:9" ht="12.95">
      <c r="A54" s="21"/>
      <c r="B54" s="21"/>
      <c r="C54" s="21"/>
      <c r="D54" s="21"/>
      <c r="E54" s="21"/>
      <c r="F54" s="22"/>
      <c r="G54" s="21"/>
      <c r="H54" s="21"/>
      <c r="I54" s="22"/>
    </row>
    <row r="55" spans="1:9" ht="12.95">
      <c r="A55" s="21"/>
      <c r="B55" s="21"/>
      <c r="C55" s="21"/>
      <c r="D55" s="21"/>
      <c r="E55" s="21"/>
      <c r="F55" s="22"/>
      <c r="G55" s="21"/>
      <c r="H55" s="21"/>
      <c r="I55" s="22"/>
    </row>
    <row r="56" spans="1:9" ht="12.95">
      <c r="A56" s="21"/>
      <c r="B56" s="21"/>
      <c r="C56" s="21"/>
      <c r="D56" s="21"/>
      <c r="E56" s="21"/>
      <c r="F56" s="22"/>
      <c r="G56" s="21"/>
      <c r="H56" s="21"/>
      <c r="I56" s="22"/>
    </row>
    <row r="57" spans="1:9" ht="12.95">
      <c r="A57" s="21"/>
      <c r="B57" s="21"/>
      <c r="C57" s="21"/>
      <c r="D57" s="21"/>
      <c r="E57" s="21"/>
      <c r="F57" s="22"/>
      <c r="G57" s="21"/>
      <c r="H57" s="21"/>
      <c r="I57" s="22"/>
    </row>
    <row r="58" spans="1:9" ht="12.95">
      <c r="A58" s="21"/>
      <c r="B58" s="21"/>
      <c r="C58" s="21"/>
      <c r="D58" s="21"/>
      <c r="E58" s="21"/>
      <c r="F58" s="22"/>
      <c r="G58" s="21"/>
      <c r="H58" s="21"/>
      <c r="I58" s="22"/>
    </row>
    <row r="59" spans="1:9" ht="12.95">
      <c r="A59" s="21"/>
      <c r="B59" s="21"/>
      <c r="C59" s="21"/>
      <c r="D59" s="21"/>
      <c r="E59" s="21"/>
      <c r="F59" s="22"/>
      <c r="G59" s="21"/>
      <c r="H59" s="21"/>
      <c r="I59" s="22"/>
    </row>
    <row r="60" spans="1:9" ht="12.95">
      <c r="A60" s="21"/>
      <c r="B60" s="21"/>
      <c r="C60" s="21"/>
      <c r="D60" s="21"/>
      <c r="E60" s="21"/>
      <c r="F60" s="22"/>
      <c r="G60" s="21"/>
      <c r="H60" s="21"/>
      <c r="I60" s="22"/>
    </row>
    <row r="61" spans="1:9" ht="12.95">
      <c r="A61" s="21"/>
      <c r="B61" s="21"/>
      <c r="C61" s="21"/>
      <c r="D61" s="21"/>
      <c r="E61" s="21"/>
      <c r="F61" s="22"/>
      <c r="G61" s="21"/>
      <c r="H61" s="21"/>
      <c r="I61" s="22"/>
    </row>
    <row r="62" spans="1:9" ht="12.95">
      <c r="A62" s="21"/>
      <c r="B62" s="21"/>
      <c r="C62" s="21"/>
      <c r="D62" s="21"/>
      <c r="E62" s="21"/>
      <c r="F62" s="22"/>
      <c r="G62" s="21"/>
      <c r="H62" s="21"/>
      <c r="I62" s="22"/>
    </row>
    <row r="63" spans="1:9" ht="12.95">
      <c r="A63" s="21"/>
      <c r="B63" s="21"/>
      <c r="C63" s="21"/>
      <c r="D63" s="21"/>
      <c r="E63" s="21"/>
      <c r="F63" s="22"/>
      <c r="G63" s="21"/>
      <c r="H63" s="21"/>
      <c r="I63" s="22"/>
    </row>
    <row r="64" spans="1:9" ht="12.95">
      <c r="A64" s="21"/>
      <c r="B64" s="21"/>
      <c r="C64" s="21"/>
      <c r="D64" s="21"/>
      <c r="E64" s="21"/>
      <c r="F64" s="22"/>
      <c r="G64" s="21"/>
      <c r="H64" s="21"/>
      <c r="I64" s="22"/>
    </row>
    <row r="65" spans="1:9" ht="12.95">
      <c r="A65" s="21"/>
      <c r="B65" s="21"/>
      <c r="C65" s="21"/>
      <c r="D65" s="21"/>
      <c r="E65" s="21"/>
      <c r="F65" s="22"/>
      <c r="G65" s="21"/>
      <c r="H65" s="21"/>
      <c r="I65" s="22"/>
    </row>
    <row r="66" spans="1:9" ht="12.95">
      <c r="A66" s="21"/>
      <c r="B66" s="21"/>
      <c r="C66" s="21"/>
      <c r="D66" s="21"/>
      <c r="E66" s="21"/>
      <c r="F66" s="22"/>
      <c r="G66" s="21"/>
      <c r="H66" s="21"/>
      <c r="I66" s="22"/>
    </row>
    <row r="67" spans="1:9" ht="12.95">
      <c r="A67" s="21"/>
      <c r="B67" s="21"/>
      <c r="C67" s="21"/>
      <c r="D67" s="21"/>
      <c r="E67" s="21"/>
      <c r="F67" s="22"/>
      <c r="G67" s="21"/>
      <c r="H67" s="21"/>
      <c r="I67" s="22"/>
    </row>
    <row r="68" spans="1:9" ht="12.95">
      <c r="A68" s="21"/>
      <c r="B68" s="21"/>
      <c r="C68" s="21"/>
      <c r="D68" s="21"/>
      <c r="E68" s="21"/>
      <c r="F68" s="22"/>
      <c r="G68" s="21"/>
      <c r="H68" s="21"/>
      <c r="I68" s="22"/>
    </row>
    <row r="69" spans="1:9" ht="12.95">
      <c r="A69" s="21"/>
      <c r="B69" s="21"/>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row r="343" spans="1:9" ht="12.95">
      <c r="A343" s="21"/>
      <c r="B343" s="21"/>
      <c r="C343" s="21"/>
      <c r="D343" s="21"/>
      <c r="E343" s="21"/>
      <c r="F343" s="22"/>
      <c r="G343" s="21"/>
      <c r="H343" s="21"/>
      <c r="I343" s="22"/>
    </row>
    <row r="344" spans="1:9" ht="12.95">
      <c r="A344" s="21"/>
      <c r="B344" s="21"/>
      <c r="C344" s="21"/>
      <c r="D344" s="21"/>
      <c r="E344" s="21"/>
      <c r="F344" s="22"/>
      <c r="G344" s="21"/>
      <c r="H344" s="21"/>
      <c r="I344" s="22"/>
    </row>
    <row r="345" spans="1:9" ht="12.95">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4" activePane="bottomRight" state="frozen"/>
      <selection pane="bottomRight" activeCell="H17" sqref="H17"/>
      <selection pane="bottomLeft" activeCell="M14" sqref="M14"/>
      <selection pane="topRight" activeCell="M14" sqref="M14"/>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Lodestar</v>
      </c>
      <c r="B1" s="60"/>
      <c r="C1" s="60"/>
      <c r="D1" s="61" t="s">
        <v>10</v>
      </c>
      <c r="E1" s="61"/>
      <c r="F1" s="61"/>
      <c r="G1" s="59" t="s">
        <v>11</v>
      </c>
      <c r="H1" s="59"/>
      <c r="I1" s="59"/>
    </row>
    <row r="2" spans="1:9" ht="19.5" customHeight="1">
      <c r="A2" s="62" t="s">
        <v>2</v>
      </c>
      <c r="B2" s="62"/>
      <c r="C2" s="5">
        <f>SUM(C4:C103)</f>
        <v>14301791.444221105</v>
      </c>
      <c r="D2" s="5">
        <f>SUM(D4:D103)</f>
        <v>14695832.350000001</v>
      </c>
      <c r="E2" s="5">
        <f>C2-D2</f>
        <v>-394040.90577889606</v>
      </c>
      <c r="F2" s="6">
        <f>IFERROR(E2/D2, 0)</f>
        <v>-2.6813105674745673E-2</v>
      </c>
      <c r="G2" s="5">
        <f>SUM(G4:G103)</f>
        <v>13873875.93</v>
      </c>
      <c r="H2" s="7">
        <f>C2-G2</f>
        <v>427915.51422110572</v>
      </c>
      <c r="I2" s="6">
        <f>IFERROR(H2/G2, 0)</f>
        <v>3.0843256518952145E-2</v>
      </c>
    </row>
    <row r="3" spans="1:9" ht="14.25" customHeight="1">
      <c r="A3" s="8" t="s">
        <v>3</v>
      </c>
      <c r="B3" s="8" t="s">
        <v>4</v>
      </c>
      <c r="C3" s="23" t="s">
        <v>5</v>
      </c>
      <c r="D3" s="33" t="s">
        <v>6</v>
      </c>
      <c r="E3" s="33" t="s">
        <v>7</v>
      </c>
      <c r="F3" s="34" t="s">
        <v>8</v>
      </c>
      <c r="G3" s="35" t="s">
        <v>9</v>
      </c>
      <c r="H3" s="36" t="s">
        <v>7</v>
      </c>
      <c r="I3" s="37" t="s">
        <v>8</v>
      </c>
    </row>
    <row r="4" spans="1:9" ht="15.6">
      <c r="A4" s="42" t="str" cm="1">
        <f t="array" ref="A4:A28">Sites[Site]</f>
        <v>Barkhamsted</v>
      </c>
      <c r="B4" s="9" t="str" cm="1">
        <f t="array" ref="B4:B28">Sites[State]</f>
        <v>CT</v>
      </c>
      <c r="C4" s="24">
        <f>SUM(Jan!C4, Feb!C4, Mar!C4)</f>
        <v>331357</v>
      </c>
      <c r="D4" s="13">
        <f>SUM(Jan!D4, Feb!D4, Mar!D4)</f>
        <v>391097.81</v>
      </c>
      <c r="E4" s="13">
        <f>IF(AND(ISNUMBER(C4),ISNUMBER(D4)), C4-D4, "")</f>
        <v>-59740.81</v>
      </c>
      <c r="F4" s="14">
        <f>IFERROR(E4/D4, "")</f>
        <v>-0.1527515840602636</v>
      </c>
      <c r="G4" s="15">
        <f>SUM(Jan!G4, Feb!G4, Mar!G4)</f>
        <v>378859.37</v>
      </c>
      <c r="H4" s="15">
        <f>SUM(Jan!H4, Feb!H4, Mar!H4)</f>
        <v>-47502.37000000001</v>
      </c>
      <c r="I4" s="16">
        <f>IFERROR(H4/G4, "")</f>
        <v>-0.12538259249071762</v>
      </c>
    </row>
    <row r="5" spans="1:9" ht="15.6">
      <c r="A5" s="43" t="str">
        <v>Bunce</v>
      </c>
      <c r="B5" s="10" t="str">
        <v>CT</v>
      </c>
      <c r="C5" s="11">
        <f>SUM(Jan!C5, Feb!C5, Mar!C5)</f>
        <v>589639.25</v>
      </c>
      <c r="D5" s="18">
        <f>SUM(Jan!D5, Feb!D5, Mar!D5)</f>
        <v>643231.5</v>
      </c>
      <c r="E5" s="18">
        <f t="shared" ref="E5:E15" si="0">IF(AND(ISNUMBER(C5),ISNUMBER(D5)), C5-D5, "")</f>
        <v>-53592.25</v>
      </c>
      <c r="F5" s="19">
        <f>IFERROR(E5/D5, "")</f>
        <v>-8.3317203837187701E-2</v>
      </c>
      <c r="G5" s="20">
        <f>SUM(Jan!G5, Feb!G5, Mar!G5)</f>
        <v>0</v>
      </c>
      <c r="H5" s="20">
        <f>SUM(Jan!H5, Feb!H5, Mar!H5)</f>
        <v>589639.25</v>
      </c>
      <c r="I5" s="19" t="str">
        <f>IFERROR(H5/G5, "")</f>
        <v/>
      </c>
    </row>
    <row r="6" spans="1:9" ht="15.6">
      <c r="A6" s="42" t="str">
        <v>Norcap North</v>
      </c>
      <c r="B6" s="9" t="str">
        <v>CT</v>
      </c>
      <c r="C6" s="24">
        <f>SUM(Jan!C6, Feb!C6, Mar!C6)</f>
        <v>642155</v>
      </c>
      <c r="D6" s="13">
        <f>SUM(Jan!D6, Feb!D6, Mar!D6)</f>
        <v>816049.60000000009</v>
      </c>
      <c r="E6" s="13">
        <f t="shared" si="0"/>
        <v>-173894.60000000009</v>
      </c>
      <c r="F6" s="14">
        <f t="shared" ref="F6:F15" si="1">IFERROR(E6/D6, "")</f>
        <v>-0.21309317472859501</v>
      </c>
      <c r="G6" s="15">
        <f>SUM(Jan!G6, Feb!G6, Mar!G6)</f>
        <v>700223.8</v>
      </c>
      <c r="H6" s="15">
        <f>SUM(Jan!H6, Feb!H6, Mar!H6)</f>
        <v>-58068.799999999988</v>
      </c>
      <c r="I6" s="16">
        <f t="shared" ref="I6:I15" si="2">IFERROR(H6/G6, "")</f>
        <v>-8.2928915012600232E-2</v>
      </c>
    </row>
    <row r="7" spans="1:9" ht="15.6">
      <c r="A7" s="43" t="str">
        <v>Norcap South</v>
      </c>
      <c r="B7" s="10" t="str">
        <v>CT</v>
      </c>
      <c r="C7" s="11">
        <f>SUM(Jan!C7, Feb!C7, Mar!C7)</f>
        <v>665333.5</v>
      </c>
      <c r="D7" s="18">
        <f>SUM(Jan!D7, Feb!D7, Mar!D7)</f>
        <v>894303.9</v>
      </c>
      <c r="E7" s="18">
        <f t="shared" si="0"/>
        <v>-228970.40000000002</v>
      </c>
      <c r="F7" s="19">
        <f t="shared" si="1"/>
        <v>-0.25603198196944016</v>
      </c>
      <c r="G7" s="20">
        <f>SUM(Jan!G7, Feb!G7, Mar!G7)</f>
        <v>659879.89999999991</v>
      </c>
      <c r="H7" s="20">
        <f>SUM(Jan!H7, Feb!H7, Mar!H7)</f>
        <v>5453.6000000000349</v>
      </c>
      <c r="I7" s="19">
        <f t="shared" si="2"/>
        <v>8.2645341978139289E-3</v>
      </c>
    </row>
    <row r="8" spans="1:9" ht="15.6">
      <c r="A8" s="42" t="str">
        <v>Platt Hill</v>
      </c>
      <c r="B8" s="9" t="str">
        <v>CT</v>
      </c>
      <c r="C8" s="24">
        <f>SUM(Jan!C8, Feb!C8, Mar!C8)</f>
        <v>713579.34422110603</v>
      </c>
      <c r="D8" s="13">
        <f>SUM(Jan!D8, Feb!D8, Mar!D8)</f>
        <v>797244.8</v>
      </c>
      <c r="E8" s="13">
        <f t="shared" si="0"/>
        <v>-83665.455778894015</v>
      </c>
      <c r="F8" s="14">
        <f t="shared" si="1"/>
        <v>-0.10494324425683806</v>
      </c>
      <c r="G8" s="15">
        <f>SUM(Jan!G8, Feb!G8, Mar!G8)</f>
        <v>861464.79999999993</v>
      </c>
      <c r="H8" s="15">
        <f>SUM(Jan!H8, Feb!H8, Mar!H8)</f>
        <v>-147885.45577889401</v>
      </c>
      <c r="I8" s="16">
        <f t="shared" si="2"/>
        <v>-0.17166743873794266</v>
      </c>
    </row>
    <row r="9" spans="1:9" ht="15.6">
      <c r="A9" s="43" t="str">
        <v>Powder Hill</v>
      </c>
      <c r="B9" s="10" t="str">
        <v>CT</v>
      </c>
      <c r="C9" s="11">
        <f>SUM(Jan!C9, Feb!C9, Mar!C9)</f>
        <v>611028</v>
      </c>
      <c r="D9" s="18">
        <f>SUM(Jan!D9, Feb!D9, Mar!D9)</f>
        <v>714272.8</v>
      </c>
      <c r="E9" s="18">
        <f t="shared" si="0"/>
        <v>-103244.80000000005</v>
      </c>
      <c r="F9" s="19">
        <f t="shared" si="1"/>
        <v>-0.14454533337962755</v>
      </c>
      <c r="G9" s="20">
        <f>SUM(Jan!G9, Feb!G9, Mar!G9)</f>
        <v>566964</v>
      </c>
      <c r="H9" s="20">
        <f>SUM(Jan!H9, Feb!H9, Mar!H9)</f>
        <v>44064</v>
      </c>
      <c r="I9" s="19">
        <f t="shared" si="2"/>
        <v>7.7719220267953526E-2</v>
      </c>
    </row>
    <row r="10" spans="1:9" ht="15.6">
      <c r="A10" s="42" t="str">
        <v>Sand Road</v>
      </c>
      <c r="B10" s="9" t="str">
        <v>CT</v>
      </c>
      <c r="C10" s="24">
        <f>SUM(Jan!C10, Feb!C10, Mar!C10)</f>
        <v>639429</v>
      </c>
      <c r="D10" s="13">
        <f>SUM(Jan!D10, Feb!D10, Mar!D10)</f>
        <v>660829.69999999995</v>
      </c>
      <c r="E10" s="13">
        <f t="shared" si="0"/>
        <v>-21400.699999999953</v>
      </c>
      <c r="F10" s="14">
        <f t="shared" si="1"/>
        <v>-3.2384591673164743E-2</v>
      </c>
      <c r="G10" s="15">
        <f>SUM(Jan!G10, Feb!G10, Mar!G10)</f>
        <v>602989</v>
      </c>
      <c r="H10" s="15">
        <f>SUM(Jan!H10, Feb!H10, Mar!H10)</f>
        <v>36440</v>
      </c>
      <c r="I10" s="16">
        <f t="shared" si="2"/>
        <v>6.0432279859168242E-2</v>
      </c>
    </row>
    <row r="11" spans="1:9" ht="15.6">
      <c r="A11" s="43" t="str">
        <v>Suffield</v>
      </c>
      <c r="B11" s="10" t="str">
        <v>CT</v>
      </c>
      <c r="C11" s="11">
        <f>SUM(Jan!C11, Feb!C11, Mar!C11)</f>
        <v>645254</v>
      </c>
      <c r="D11" s="18">
        <f>SUM(Jan!D11, Feb!D11, Mar!D11)</f>
        <v>692965.8</v>
      </c>
      <c r="E11" s="18">
        <f t="shared" si="0"/>
        <v>-47711.800000000047</v>
      </c>
      <c r="F11" s="19">
        <f t="shared" si="1"/>
        <v>-6.8851594119074919E-2</v>
      </c>
      <c r="G11" s="20">
        <f>SUM(Jan!G11, Feb!G11, Mar!G11)</f>
        <v>732511.5</v>
      </c>
      <c r="H11" s="20">
        <f>SUM(Jan!H11, Feb!H11, Mar!H11)</f>
        <v>-87257.5</v>
      </c>
      <c r="I11" s="19">
        <f t="shared" si="2"/>
        <v>-0.11912099673520483</v>
      </c>
    </row>
    <row r="12" spans="1:9" ht="15.6">
      <c r="A12" s="42" t="str">
        <v>Ashby-Duffy</v>
      </c>
      <c r="B12" s="9" t="str">
        <v>MA</v>
      </c>
      <c r="C12" s="24">
        <f>SUM(Jan!C12, Feb!C12, Mar!C12)</f>
        <v>623058</v>
      </c>
      <c r="D12" s="13">
        <f>SUM(Jan!D12, Feb!D12, Mar!D12)</f>
        <v>1011075.2</v>
      </c>
      <c r="E12" s="13">
        <f t="shared" si="0"/>
        <v>-388017.19999999995</v>
      </c>
      <c r="F12" s="14">
        <f t="shared" si="1"/>
        <v>-0.38376690477622233</v>
      </c>
      <c r="G12" s="15">
        <f>SUM(Jan!G12, Feb!G12, Mar!G12)</f>
        <v>651654.5</v>
      </c>
      <c r="H12" s="15">
        <f>SUM(Jan!H12, Feb!H12, Mar!H12)</f>
        <v>-28596.499999999971</v>
      </c>
      <c r="I12" s="16">
        <f t="shared" si="2"/>
        <v>-4.3882916484118455E-2</v>
      </c>
    </row>
    <row r="13" spans="1:9" ht="15.6">
      <c r="A13" s="43" t="str">
        <v>Ashland</v>
      </c>
      <c r="B13" s="10" t="str">
        <v>MA</v>
      </c>
      <c r="C13" s="11">
        <f>SUM(Jan!C13, Feb!C13, Mar!C13)</f>
        <v>9993.5</v>
      </c>
      <c r="D13" s="18">
        <f>SUM(Jan!D13, Feb!D13, Mar!D13)</f>
        <v>38664.69</v>
      </c>
      <c r="E13" s="18">
        <f t="shared" si="0"/>
        <v>-28671.190000000002</v>
      </c>
      <c r="F13" s="19">
        <f t="shared" si="1"/>
        <v>-0.74153420084319832</v>
      </c>
      <c r="G13" s="20">
        <f>SUM(Jan!G13, Feb!G13, Mar!G13)</f>
        <v>361298.4</v>
      </c>
      <c r="H13" s="20">
        <f>SUM(Jan!H13, Feb!H13, Mar!H13)</f>
        <v>-351304.9</v>
      </c>
      <c r="I13" s="19">
        <f t="shared" si="2"/>
        <v>-0.97234003804057811</v>
      </c>
    </row>
    <row r="14" spans="1:9" ht="15.6">
      <c r="A14" s="42" t="str">
        <v>Barrington</v>
      </c>
      <c r="B14" s="9" t="str">
        <v>MA</v>
      </c>
      <c r="C14" s="24">
        <f>SUM(Jan!C14, Feb!C14, Mar!C14)</f>
        <v>133250</v>
      </c>
      <c r="D14" s="13">
        <f>SUM(Jan!D14, Feb!D14, Mar!D14)</f>
        <v>132357.65000000002</v>
      </c>
      <c r="E14" s="13">
        <f t="shared" si="0"/>
        <v>892.34999999997672</v>
      </c>
      <c r="F14" s="14">
        <f t="shared" si="1"/>
        <v>6.7419601360403161E-3</v>
      </c>
      <c r="G14" s="15">
        <f>SUM(Jan!G14, Feb!G14, Mar!G14)</f>
        <v>159190</v>
      </c>
      <c r="H14" s="15">
        <f>SUM(Jan!H14, Feb!H14, Mar!H14)</f>
        <v>-25940</v>
      </c>
      <c r="I14" s="16">
        <f t="shared" si="2"/>
        <v>-0.16294993404108299</v>
      </c>
    </row>
    <row r="15" spans="1:9" ht="15.6">
      <c r="A15" s="43" t="str">
        <v>Bedford - 205 Burlington Rd</v>
      </c>
      <c r="B15" s="10" t="str">
        <v>MA</v>
      </c>
      <c r="C15" s="11">
        <f>SUM(Jan!C15, Feb!C15, Mar!C15)</f>
        <v>68679</v>
      </c>
      <c r="D15" s="18">
        <f>SUM(Jan!D15, Feb!D15, Mar!D15)</f>
        <v>0</v>
      </c>
      <c r="E15" s="18">
        <f t="shared" si="0"/>
        <v>68679</v>
      </c>
      <c r="F15" s="19" t="str">
        <f t="shared" si="1"/>
        <v/>
      </c>
      <c r="G15" s="20">
        <f>SUM(Jan!G15, Feb!G15, Mar!G15)</f>
        <v>0</v>
      </c>
      <c r="H15" s="20">
        <f>SUM(Jan!H15, Feb!H15, Mar!H15)</f>
        <v>68679</v>
      </c>
      <c r="I15" s="19" t="str">
        <f t="shared" si="2"/>
        <v/>
      </c>
    </row>
    <row r="16" spans="1:9" ht="15.6">
      <c r="A16" s="42" t="str">
        <v>Billerica - 6 Cook Street</v>
      </c>
      <c r="B16" s="9" t="str">
        <v>MA</v>
      </c>
      <c r="C16" s="24">
        <f>SUM(Jan!C16, Feb!C16, Mar!C16)</f>
        <v>60164</v>
      </c>
      <c r="D16" s="13">
        <f>SUM(Jan!D16, Feb!D16, Mar!D16)</f>
        <v>0</v>
      </c>
      <c r="E16" s="13">
        <f t="shared" ref="E16:E18" si="3">IF(AND(ISNUMBER(C16),ISNUMBER(D16)), C16-D16, "")</f>
        <v>60164</v>
      </c>
      <c r="F16" s="14" t="str">
        <f t="shared" ref="F16:F22" si="4">IFERROR(E16/D16, "")</f>
        <v/>
      </c>
      <c r="G16" s="15">
        <f>SUM(Jan!G16, Feb!G16, Mar!G16)</f>
        <v>0</v>
      </c>
      <c r="H16" s="15">
        <f>SUM(Jan!H16, Feb!H16, Mar!H16)</f>
        <v>60164</v>
      </c>
      <c r="I16" s="16" t="str">
        <f t="shared" ref="I16:I22" si="5">IFERROR(H16/G16, "")</f>
        <v/>
      </c>
    </row>
    <row r="17" spans="1:9" ht="15.6">
      <c r="A17" s="43" t="str">
        <v>Billerica - 780 Boston Road</v>
      </c>
      <c r="B17" s="10" t="str">
        <v>MA</v>
      </c>
      <c r="C17" s="11">
        <f>SUM(Jan!C17, Feb!C17, Mar!C17)</f>
        <v>67050</v>
      </c>
      <c r="D17" s="18">
        <f>SUM(Jan!D17, Feb!D17, Mar!D17)</f>
        <v>0</v>
      </c>
      <c r="E17" s="18">
        <f t="shared" si="3"/>
        <v>67050</v>
      </c>
      <c r="F17" s="19" t="str">
        <f t="shared" si="4"/>
        <v/>
      </c>
      <c r="G17" s="20">
        <f>SUM(Jan!G17, Feb!G17, Mar!G17)</f>
        <v>0</v>
      </c>
      <c r="H17" s="20">
        <f>SUM(Jan!H17, Feb!H17, Mar!H17)</f>
        <v>67050</v>
      </c>
      <c r="I17" s="19" t="str">
        <f t="shared" si="5"/>
        <v/>
      </c>
    </row>
    <row r="18" spans="1:9" ht="12.75" customHeight="1">
      <c r="A18" s="42" t="str">
        <v>Cheshire</v>
      </c>
      <c r="B18" s="9" t="str">
        <v>MA</v>
      </c>
      <c r="C18" s="24">
        <f>SUM(Jan!C18, Feb!C18, Mar!C18)</f>
        <v>136259.5</v>
      </c>
      <c r="D18" s="13">
        <f>SUM(Jan!D18, Feb!D18, Mar!D18)</f>
        <v>156576.82</v>
      </c>
      <c r="E18" s="13">
        <f t="shared" si="3"/>
        <v>-20317.320000000007</v>
      </c>
      <c r="F18" s="14">
        <f t="shared" si="4"/>
        <v>-0.12975943693325748</v>
      </c>
      <c r="G18" s="15">
        <f>SUM(Jan!G18, Feb!G18, Mar!G18)</f>
        <v>106349.84</v>
      </c>
      <c r="H18" s="15">
        <f>SUM(Jan!H18, Feb!H18, Mar!H18)</f>
        <v>29909.66</v>
      </c>
      <c r="I18" s="16">
        <f t="shared" si="5"/>
        <v>0.28123841088994589</v>
      </c>
    </row>
    <row r="19" spans="1:9" ht="15.6">
      <c r="A19" s="43" t="str">
        <v>Lilly Lane</v>
      </c>
      <c r="B19" s="10" t="str">
        <v>MA</v>
      </c>
      <c r="C19" s="11">
        <f>SUM(Jan!C19, Feb!C19, Mar!C19)</f>
        <v>293261</v>
      </c>
      <c r="D19" s="18">
        <f>SUM(Jan!D19, Feb!D19, Mar!D19)</f>
        <v>319905.81</v>
      </c>
      <c r="E19" s="18">
        <f t="shared" ref="E19:E28" si="6">IF(AND(ISNUMBER(C19),ISNUMBER(D19)), C19-D19, "")</f>
        <v>-26644.809999999998</v>
      </c>
      <c r="F19" s="19">
        <f t="shared" ref="F19:F28" si="7">IFERROR(E19/D19, "")</f>
        <v>-8.3289547007602008E-2</v>
      </c>
      <c r="G19" s="20">
        <f>SUM(Jan!G19, Feb!G19, Mar!G19)</f>
        <v>407685.3</v>
      </c>
      <c r="H19" s="20">
        <f>SUM(Jan!H19, Feb!H19, Mar!H19)</f>
        <v>-114424.29999999999</v>
      </c>
      <c r="I19" s="19">
        <f t="shared" ref="I19:I28" si="8">IFERROR(H19/G19, "")</f>
        <v>-0.28066820167418349</v>
      </c>
    </row>
    <row r="20" spans="1:9" ht="15.6">
      <c r="A20" s="42" t="str">
        <v>Monument Valley</v>
      </c>
      <c r="B20" s="9" t="str">
        <v>MA</v>
      </c>
      <c r="C20" s="24">
        <f>SUM(Jan!C20, Feb!C20, Mar!C20)</f>
        <v>597881</v>
      </c>
      <c r="D20" s="13">
        <f>SUM(Jan!D20, Feb!D20, Mar!D20)</f>
        <v>148824.21</v>
      </c>
      <c r="E20" s="13">
        <f t="shared" si="6"/>
        <v>449056.79000000004</v>
      </c>
      <c r="F20" s="14">
        <f t="shared" si="4"/>
        <v>3.0173638415416422</v>
      </c>
      <c r="G20" s="15">
        <f>SUM(Jan!G20, Feb!G20, Mar!G20)</f>
        <v>0</v>
      </c>
      <c r="H20" s="15">
        <f>SUM(Jan!H20, Feb!H20, Mar!H20)</f>
        <v>597881</v>
      </c>
      <c r="I20" s="16" t="str">
        <f t="shared" si="5"/>
        <v/>
      </c>
    </row>
    <row r="21" spans="1:9" ht="15.6">
      <c r="A21" s="43" t="str">
        <v>Nationwide</v>
      </c>
      <c r="B21" s="10" t="str">
        <v>MA</v>
      </c>
      <c r="C21" s="11">
        <f>SUM(Jan!C21, Feb!C21, Mar!C21)</f>
        <v>953320.5</v>
      </c>
      <c r="D21" s="18">
        <f>SUM(Jan!D21, Feb!D21, Mar!D21)</f>
        <v>1079498</v>
      </c>
      <c r="E21" s="18">
        <f t="shared" si="6"/>
        <v>-126177.5</v>
      </c>
      <c r="F21" s="19">
        <f t="shared" si="7"/>
        <v>-0.11688534856016408</v>
      </c>
      <c r="G21" s="20">
        <f>SUM(Jan!G21, Feb!G21, Mar!G21)</f>
        <v>1097779</v>
      </c>
      <c r="H21" s="20">
        <f>SUM(Jan!H21, Feb!H21, Mar!H21)</f>
        <v>-144458.49999999994</v>
      </c>
      <c r="I21" s="19">
        <f t="shared" si="8"/>
        <v>-0.13159160450327428</v>
      </c>
    </row>
    <row r="22" spans="1:9" ht="15.6">
      <c r="A22" s="42" t="str">
        <v>Pulpit Hill</v>
      </c>
      <c r="B22" s="9" t="str">
        <v>MA</v>
      </c>
      <c r="C22" s="24">
        <f>SUM(Jan!C22, Feb!C22, Mar!C22)</f>
        <v>1415998.4</v>
      </c>
      <c r="D22" s="13">
        <f>SUM(Jan!D22, Feb!D22, Mar!D22)</f>
        <v>1508555.5999999999</v>
      </c>
      <c r="E22" s="13">
        <f t="shared" si="6"/>
        <v>-92557.199999999953</v>
      </c>
      <c r="F22" s="14">
        <f t="shared" si="4"/>
        <v>-6.135484830655228E-2</v>
      </c>
      <c r="G22" s="15">
        <f>SUM(Jan!G22, Feb!G22, Mar!G22)</f>
        <v>1513090.9</v>
      </c>
      <c r="H22" s="15">
        <f>SUM(Jan!H22, Feb!H22, Mar!H22)</f>
        <v>-97092.500000000058</v>
      </c>
      <c r="I22" s="16">
        <f t="shared" si="5"/>
        <v>-6.4168319299256954E-2</v>
      </c>
    </row>
    <row r="23" spans="1:9" ht="15.6">
      <c r="A23" s="43" t="str">
        <v>Sandwich</v>
      </c>
      <c r="B23" s="10" t="str">
        <v>MA</v>
      </c>
      <c r="C23" s="11">
        <f>SUM(Jan!C23, Feb!C23, Mar!C23)</f>
        <v>1215871</v>
      </c>
      <c r="D23" s="18">
        <f>SUM(Jan!D23, Feb!D23, Mar!D23)</f>
        <v>73621</v>
      </c>
      <c r="E23" s="18">
        <f t="shared" si="6"/>
        <v>1142250</v>
      </c>
      <c r="F23" s="19">
        <f t="shared" si="7"/>
        <v>15.515274174488258</v>
      </c>
      <c r="G23" s="20">
        <f>SUM(Jan!G23, Feb!G23, Mar!G23)</f>
        <v>296751</v>
      </c>
      <c r="H23" s="20">
        <f>SUM(Jan!H23, Feb!H23, Mar!H23)</f>
        <v>919120</v>
      </c>
      <c r="I23" s="19">
        <f t="shared" si="8"/>
        <v>3.0972768415270715</v>
      </c>
    </row>
    <row r="24" spans="1:9" ht="15.6">
      <c r="A24" s="42" t="str">
        <v>Sturbridge Barn</v>
      </c>
      <c r="B24" s="9" t="str">
        <v>MA</v>
      </c>
      <c r="C24" s="24">
        <f>SUM(Jan!C24, Feb!C24, Mar!C24)</f>
        <v>300101</v>
      </c>
      <c r="D24" s="13">
        <f>SUM(Jan!D24, Feb!D24, Mar!D24)</f>
        <v>374920.06</v>
      </c>
      <c r="E24" s="13">
        <f t="shared" si="6"/>
        <v>-74819.06</v>
      </c>
      <c r="F24" s="14">
        <f t="shared" si="7"/>
        <v>-0.19956003421102619</v>
      </c>
      <c r="G24" s="15">
        <f>SUM(Jan!G24, Feb!G24, Mar!G24)</f>
        <v>417980.1</v>
      </c>
      <c r="H24" s="15">
        <f>SUM(Jan!H24, Feb!H24, Mar!H24)</f>
        <v>-117879.1</v>
      </c>
      <c r="I24" s="16">
        <f t="shared" si="8"/>
        <v>-0.28202084261906252</v>
      </c>
    </row>
    <row r="25" spans="1:9" ht="15.6">
      <c r="A25" s="43" t="str">
        <v>Sturbridge Garage</v>
      </c>
      <c r="B25" s="10" t="str">
        <v>MA</v>
      </c>
      <c r="C25" s="11">
        <f>SUM(Jan!C25, Feb!C25, Mar!C25)</f>
        <v>148743</v>
      </c>
      <c r="D25" s="18">
        <f>SUM(Jan!D25, Feb!D25, Mar!D25)</f>
        <v>179839.5</v>
      </c>
      <c r="E25" s="18">
        <f t="shared" si="6"/>
        <v>-31096.5</v>
      </c>
      <c r="F25" s="19">
        <f t="shared" si="7"/>
        <v>-0.17291251365801172</v>
      </c>
      <c r="G25" s="20">
        <f>SUM(Jan!G25, Feb!G25, Mar!G25)</f>
        <v>201387.32</v>
      </c>
      <c r="H25" s="20">
        <f>SUM(Jan!H25, Feb!H25, Mar!H25)</f>
        <v>-52644.319999999992</v>
      </c>
      <c r="I25" s="19">
        <f t="shared" si="8"/>
        <v>-0.26140831508160489</v>
      </c>
    </row>
    <row r="26" spans="1:9" ht="15.6">
      <c r="A26" s="42" t="str">
        <v>Halsey Valley</v>
      </c>
      <c r="B26" s="9" t="str">
        <v>NY</v>
      </c>
      <c r="C26" s="24">
        <f>SUM(Jan!C26, Feb!C26, Mar!C26)</f>
        <v>1416755</v>
      </c>
      <c r="D26" s="13">
        <f>SUM(Jan!D26, Feb!D26, Mar!D26)</f>
        <v>1627635.5</v>
      </c>
      <c r="E26" s="13">
        <f t="shared" si="6"/>
        <v>-210880.5</v>
      </c>
      <c r="F26" s="14">
        <f t="shared" si="7"/>
        <v>-0.1295624849666894</v>
      </c>
      <c r="G26" s="15">
        <f>SUM(Jan!G26, Feb!G26, Mar!G26)</f>
        <v>1609000</v>
      </c>
      <c r="H26" s="15">
        <f>SUM(Jan!H26, Feb!H26, Mar!H26)</f>
        <v>-192245</v>
      </c>
      <c r="I26" s="16">
        <f t="shared" si="8"/>
        <v>-0.11948104412678683</v>
      </c>
    </row>
    <row r="27" spans="1:9" ht="15.6">
      <c r="A27" s="43" t="str">
        <v>Hunt Creek</v>
      </c>
      <c r="B27" s="10" t="str">
        <v>NY</v>
      </c>
      <c r="C27" s="11">
        <f>SUM(Jan!C27, Feb!C27, Mar!C27)</f>
        <v>927108.45</v>
      </c>
      <c r="D27" s="18">
        <f>SUM(Jan!D27, Feb!D27, Mar!D27)</f>
        <v>1155381.6000000001</v>
      </c>
      <c r="E27" s="18">
        <f t="shared" si="6"/>
        <v>-228273.15000000014</v>
      </c>
      <c r="F27" s="19">
        <f t="shared" si="7"/>
        <v>-0.1975738145734709</v>
      </c>
      <c r="G27" s="20">
        <f>SUM(Jan!G27, Feb!G27, Mar!G27)</f>
        <v>1067900</v>
      </c>
      <c r="H27" s="20">
        <f>SUM(Jan!H27, Feb!H27, Mar!H27)</f>
        <v>-140791.54999999999</v>
      </c>
      <c r="I27" s="19">
        <f t="shared" si="8"/>
        <v>-0.13183963854293473</v>
      </c>
    </row>
    <row r="28" spans="1:9" ht="15.6">
      <c r="A28" s="42" t="str">
        <v>Smith Creek</v>
      </c>
      <c r="B28" s="9" t="str">
        <v>NY</v>
      </c>
      <c r="C28" s="24">
        <f>SUM(Jan!C28, Feb!C28, Mar!C28)</f>
        <v>1096523</v>
      </c>
      <c r="D28" s="13">
        <f>SUM(Jan!D28, Feb!D28, Mar!D28)</f>
        <v>1278980.7999999998</v>
      </c>
      <c r="E28" s="13">
        <f t="shared" si="6"/>
        <v>-182457.79999999981</v>
      </c>
      <c r="F28" s="14">
        <f t="shared" si="7"/>
        <v>-0.14265874827831648</v>
      </c>
      <c r="G28" s="15">
        <f>SUM(Jan!G28, Feb!G28, Mar!G28)</f>
        <v>1480917.2000000002</v>
      </c>
      <c r="H28" s="15">
        <f>SUM(Jan!H28, Feb!H28, Mar!H28)</f>
        <v>-384394.2</v>
      </c>
      <c r="I28" s="16">
        <f t="shared" si="8"/>
        <v>-0.25956495069406982</v>
      </c>
    </row>
    <row r="29" spans="1:9" ht="14.45">
      <c r="A29" s="21"/>
      <c r="B29" s="10"/>
      <c r="C29" s="21"/>
      <c r="D29" s="21"/>
      <c r="E29" s="21"/>
      <c r="F29" s="21"/>
      <c r="G29" s="21"/>
      <c r="H29" s="21"/>
      <c r="I29" s="21"/>
    </row>
    <row r="30" spans="1:9" ht="12.95">
      <c r="A30" s="21"/>
      <c r="B30" s="21"/>
      <c r="C30" s="21"/>
      <c r="D30" s="21"/>
      <c r="E30" s="21"/>
      <c r="F30" s="21"/>
      <c r="G30" s="21"/>
      <c r="H30" s="21"/>
      <c r="I30" s="21"/>
    </row>
    <row r="31" spans="1:9" ht="12.95">
      <c r="A31" s="21"/>
      <c r="B31" s="21"/>
      <c r="C31" s="21"/>
      <c r="D31" s="21"/>
      <c r="E31" s="21"/>
      <c r="F31" s="21"/>
      <c r="G31" s="21"/>
      <c r="H31" s="21"/>
      <c r="I31" s="21"/>
    </row>
    <row r="32" spans="1:9" ht="12.95">
      <c r="A32" s="21"/>
      <c r="B32" s="21"/>
      <c r="C32" s="21"/>
      <c r="D32" s="21"/>
      <c r="E32" s="21"/>
      <c r="F32" s="21"/>
      <c r="G32" s="21"/>
      <c r="H32" s="21"/>
      <c r="I32" s="21"/>
    </row>
    <row r="33" spans="1:9" ht="12.95">
      <c r="A33" s="21"/>
      <c r="B33" s="21"/>
      <c r="C33" s="21"/>
      <c r="D33" s="21"/>
      <c r="E33" s="21"/>
      <c r="F33" s="21"/>
      <c r="G33" s="21"/>
      <c r="H33" s="21"/>
      <c r="I33" s="21"/>
    </row>
    <row r="34" spans="1:9" ht="12.95">
      <c r="A34" s="21"/>
      <c r="B34" s="21"/>
      <c r="C34" s="21"/>
      <c r="D34" s="21"/>
      <c r="E34" s="21"/>
      <c r="F34" s="21"/>
      <c r="G34" s="21"/>
      <c r="H34" s="21"/>
      <c r="I34" s="21"/>
    </row>
    <row r="35" spans="1:9" ht="12.95">
      <c r="A35" s="21"/>
      <c r="B35" s="21"/>
      <c r="C35" s="21"/>
      <c r="D35" s="21"/>
      <c r="E35" s="21"/>
      <c r="F35" s="21"/>
      <c r="G35" s="21"/>
      <c r="H35" s="21"/>
      <c r="I35" s="21"/>
    </row>
    <row r="36" spans="1:9" ht="12.95">
      <c r="A36" s="21"/>
      <c r="B36" s="21"/>
      <c r="C36" s="21"/>
      <c r="D36" s="21"/>
      <c r="E36" s="21"/>
      <c r="F36" s="22"/>
      <c r="G36" s="21"/>
      <c r="H36" s="21"/>
      <c r="I36" s="22"/>
    </row>
    <row r="37" spans="1:9" ht="12.95">
      <c r="A37" s="21"/>
      <c r="B37" s="21"/>
      <c r="C37" s="21"/>
      <c r="D37" s="21"/>
      <c r="E37" s="21"/>
      <c r="F37" s="22"/>
      <c r="G37" s="21"/>
      <c r="H37" s="21"/>
      <c r="I37" s="22"/>
    </row>
    <row r="38" spans="1:9" ht="12.95">
      <c r="A38" s="21"/>
      <c r="B38" s="21"/>
      <c r="C38" s="21"/>
      <c r="D38" s="21"/>
      <c r="E38" s="21"/>
      <c r="F38" s="22"/>
      <c r="G38" s="21"/>
      <c r="H38" s="21"/>
      <c r="I38" s="22"/>
    </row>
    <row r="39" spans="1:9" ht="12.95">
      <c r="A39" s="21"/>
      <c r="B39" s="21"/>
      <c r="C39" s="21"/>
      <c r="D39" s="21"/>
      <c r="E39" s="21"/>
      <c r="F39" s="22"/>
      <c r="G39" s="21"/>
      <c r="H39" s="21"/>
      <c r="I39" s="22"/>
    </row>
    <row r="40" spans="1:9" ht="12.95">
      <c r="A40" s="21"/>
      <c r="B40" s="21"/>
      <c r="C40" s="21"/>
      <c r="D40" s="21"/>
      <c r="E40" s="21"/>
      <c r="F40" s="22"/>
      <c r="G40" s="21"/>
      <c r="H40" s="21"/>
      <c r="I40" s="22"/>
    </row>
    <row r="41" spans="1:9" ht="12.95">
      <c r="A41" s="21"/>
      <c r="B41" s="21"/>
      <c r="C41" s="21"/>
      <c r="D41" s="21"/>
      <c r="E41" s="21"/>
      <c r="F41" s="22"/>
      <c r="G41" s="21"/>
      <c r="H41" s="21"/>
      <c r="I41" s="22"/>
    </row>
    <row r="42" spans="1:9" ht="12.95">
      <c r="A42" s="21"/>
      <c r="B42" s="21"/>
      <c r="C42" s="21"/>
      <c r="D42" s="21"/>
      <c r="E42" s="21"/>
      <c r="F42" s="22"/>
      <c r="G42" s="21"/>
      <c r="H42" s="21"/>
      <c r="I42" s="22"/>
    </row>
    <row r="43" spans="1:9" ht="12.95">
      <c r="A43" s="21"/>
      <c r="B43" s="21"/>
      <c r="C43" s="21"/>
      <c r="D43" s="21"/>
      <c r="E43" s="21"/>
      <c r="F43" s="22"/>
      <c r="G43" s="21"/>
      <c r="H43" s="21"/>
      <c r="I43" s="22"/>
    </row>
    <row r="44" spans="1:9" ht="12.95">
      <c r="A44" s="21"/>
      <c r="B44" s="21"/>
      <c r="C44" s="21"/>
      <c r="D44" s="21"/>
      <c r="E44" s="21"/>
      <c r="F44" s="22"/>
      <c r="G44" s="21"/>
      <c r="H44" s="21"/>
      <c r="I44" s="22"/>
    </row>
    <row r="45" spans="1:9" ht="12.95">
      <c r="A45" s="21"/>
      <c r="B45" s="21"/>
      <c r="C45" s="21"/>
      <c r="D45" s="21"/>
      <c r="E45" s="21"/>
      <c r="F45" s="22"/>
      <c r="G45" s="21"/>
      <c r="H45" s="21"/>
      <c r="I45" s="22"/>
    </row>
    <row r="46" spans="1:9" ht="12.95">
      <c r="A46" s="21"/>
      <c r="B46" s="21"/>
      <c r="C46" s="21"/>
      <c r="D46" s="21"/>
      <c r="E46" s="21"/>
      <c r="F46" s="22"/>
      <c r="G46" s="21"/>
      <c r="H46" s="21"/>
      <c r="I46" s="22"/>
    </row>
    <row r="47" spans="1:9" ht="12.95">
      <c r="A47" s="21"/>
      <c r="B47" s="21"/>
      <c r="C47" s="21"/>
      <c r="D47" s="21"/>
      <c r="E47" s="21"/>
      <c r="F47" s="22"/>
      <c r="G47" s="21"/>
      <c r="H47" s="21"/>
      <c r="I47" s="22"/>
    </row>
    <row r="48" spans="1:9" ht="12.95">
      <c r="A48" s="21"/>
      <c r="B48" s="21"/>
      <c r="C48" s="21"/>
      <c r="D48" s="21"/>
      <c r="E48" s="21"/>
      <c r="F48" s="22"/>
      <c r="G48" s="21"/>
      <c r="H48" s="21"/>
      <c r="I48" s="22"/>
    </row>
    <row r="49" spans="1:9" ht="12.95">
      <c r="A49" s="21"/>
      <c r="B49" s="21"/>
      <c r="C49" s="21"/>
      <c r="D49" s="21"/>
      <c r="E49" s="21"/>
      <c r="F49" s="22"/>
      <c r="G49" s="21"/>
      <c r="H49" s="21"/>
      <c r="I49" s="22"/>
    </row>
    <row r="50" spans="1:9" ht="12.95">
      <c r="A50" s="21"/>
      <c r="B50" s="21"/>
      <c r="C50" s="21"/>
      <c r="D50" s="21"/>
      <c r="E50" s="21"/>
      <c r="F50" s="22"/>
      <c r="G50" s="21"/>
      <c r="H50" s="21"/>
      <c r="I50" s="22"/>
    </row>
    <row r="51" spans="1:9" ht="12.95">
      <c r="A51" s="21"/>
      <c r="B51" s="21"/>
      <c r="C51" s="21"/>
      <c r="D51" s="21"/>
      <c r="E51" s="21"/>
      <c r="F51" s="22"/>
      <c r="G51" s="21"/>
      <c r="H51" s="21"/>
      <c r="I51" s="22"/>
    </row>
    <row r="52" spans="1:9" ht="12.95">
      <c r="A52" s="21"/>
      <c r="B52" s="21"/>
      <c r="C52" s="21"/>
      <c r="D52" s="21"/>
      <c r="E52" s="21"/>
      <c r="F52" s="22"/>
      <c r="G52" s="21"/>
      <c r="H52" s="21"/>
      <c r="I52" s="22"/>
    </row>
    <row r="53" spans="1:9" ht="12.95">
      <c r="A53" s="21"/>
      <c r="B53" s="21"/>
      <c r="C53" s="21"/>
      <c r="D53" s="21"/>
      <c r="E53" s="21"/>
      <c r="F53" s="22"/>
      <c r="G53" s="21"/>
      <c r="H53" s="21"/>
      <c r="I53" s="22"/>
    </row>
    <row r="54" spans="1:9" ht="12.95">
      <c r="A54" s="21"/>
      <c r="B54" s="21"/>
      <c r="C54" s="21"/>
      <c r="D54" s="21"/>
      <c r="E54" s="21"/>
      <c r="F54" s="22"/>
      <c r="G54" s="21"/>
      <c r="H54" s="21"/>
      <c r="I54" s="22"/>
    </row>
    <row r="55" spans="1:9" ht="12.95">
      <c r="A55" s="21"/>
      <c r="B55" s="21"/>
      <c r="C55" s="21"/>
      <c r="D55" s="21"/>
      <c r="E55" s="21"/>
      <c r="F55" s="22"/>
      <c r="G55" s="21"/>
      <c r="H55" s="21"/>
      <c r="I55" s="22"/>
    </row>
    <row r="56" spans="1:9" ht="12.95">
      <c r="A56" s="21"/>
      <c r="B56" s="21"/>
      <c r="C56" s="21"/>
      <c r="D56" s="21"/>
      <c r="E56" s="21"/>
      <c r="F56" s="22"/>
      <c r="G56" s="21"/>
      <c r="H56" s="21"/>
      <c r="I56" s="22"/>
    </row>
    <row r="57" spans="1:9" ht="12.95">
      <c r="A57" s="21"/>
      <c r="B57" s="21"/>
      <c r="C57" s="21"/>
      <c r="D57" s="21"/>
      <c r="E57" s="21"/>
      <c r="F57" s="22"/>
      <c r="G57" s="21"/>
      <c r="H57" s="21"/>
      <c r="I57" s="22"/>
    </row>
    <row r="58" spans="1:9" ht="12.95">
      <c r="A58" s="21"/>
      <c r="B58" s="21"/>
      <c r="C58" s="21"/>
      <c r="D58" s="21"/>
      <c r="E58" s="21"/>
      <c r="F58" s="22"/>
      <c r="G58" s="21"/>
      <c r="H58" s="21"/>
      <c r="I58" s="22"/>
    </row>
    <row r="59" spans="1:9" ht="12.95">
      <c r="A59" s="21"/>
      <c r="B59" s="21"/>
      <c r="C59" s="21"/>
      <c r="D59" s="21"/>
      <c r="E59" s="21"/>
      <c r="F59" s="22"/>
      <c r="G59" s="21"/>
      <c r="H59" s="21"/>
      <c r="I59" s="22"/>
    </row>
    <row r="60" spans="1:9" ht="12.95">
      <c r="A60" s="21"/>
      <c r="B60" s="21"/>
      <c r="C60" s="21"/>
      <c r="D60" s="21"/>
      <c r="E60" s="21"/>
      <c r="F60" s="22"/>
      <c r="G60" s="21"/>
      <c r="H60" s="21"/>
      <c r="I60" s="22"/>
    </row>
    <row r="61" spans="1:9" ht="12.95">
      <c r="A61" s="21"/>
      <c r="B61" s="21"/>
      <c r="C61" s="21"/>
      <c r="D61" s="21"/>
      <c r="E61" s="21"/>
      <c r="F61" s="22"/>
      <c r="G61" s="21"/>
      <c r="H61" s="21"/>
      <c r="I61" s="22"/>
    </row>
    <row r="62" spans="1:9" ht="12.95">
      <c r="A62" s="21"/>
      <c r="B62" s="21"/>
      <c r="C62" s="21"/>
      <c r="D62" s="21"/>
      <c r="E62" s="21"/>
      <c r="F62" s="22"/>
      <c r="G62" s="21"/>
      <c r="H62" s="21"/>
      <c r="I62" s="22"/>
    </row>
    <row r="63" spans="1:9" ht="12.95">
      <c r="A63" s="21"/>
      <c r="B63" s="21"/>
      <c r="C63" s="21"/>
      <c r="D63" s="21"/>
      <c r="E63" s="21"/>
      <c r="F63" s="22"/>
      <c r="G63" s="21"/>
      <c r="H63" s="21"/>
      <c r="I63" s="22"/>
    </row>
    <row r="64" spans="1:9" ht="12.95">
      <c r="A64" s="21"/>
      <c r="B64" s="21"/>
      <c r="C64" s="21"/>
      <c r="D64" s="21"/>
      <c r="E64" s="21"/>
      <c r="F64" s="22"/>
      <c r="G64" s="21"/>
      <c r="H64" s="21"/>
      <c r="I64" s="22"/>
    </row>
    <row r="65" spans="1:9" ht="12.95">
      <c r="A65" s="21"/>
      <c r="B65" s="21"/>
      <c r="C65" s="21"/>
      <c r="D65" s="21"/>
      <c r="E65" s="21"/>
      <c r="F65" s="22"/>
      <c r="G65" s="21"/>
      <c r="H65" s="21"/>
      <c r="I65" s="22"/>
    </row>
    <row r="66" spans="1:9" ht="12.95">
      <c r="A66" s="21"/>
      <c r="B66" s="21"/>
      <c r="C66" s="21"/>
      <c r="D66" s="21"/>
      <c r="E66" s="21"/>
      <c r="F66" s="22"/>
      <c r="G66" s="21"/>
      <c r="H66" s="21"/>
      <c r="I66" s="22"/>
    </row>
    <row r="67" spans="1:9" ht="12.95">
      <c r="A67" s="21"/>
      <c r="B67" s="21"/>
      <c r="C67" s="21"/>
      <c r="D67" s="21"/>
      <c r="E67" s="21"/>
      <c r="F67" s="22"/>
      <c r="G67" s="21"/>
      <c r="H67" s="21"/>
      <c r="I67" s="22"/>
    </row>
    <row r="68" spans="1:9" ht="12.95">
      <c r="A68" s="21"/>
      <c r="B68" s="21"/>
      <c r="C68" s="21"/>
      <c r="D68" s="21"/>
      <c r="E68" s="21"/>
      <c r="F68" s="22"/>
      <c r="G68" s="21"/>
      <c r="H68" s="21"/>
      <c r="I68" s="22"/>
    </row>
    <row r="69" spans="1:9" ht="12.95">
      <c r="A69" s="21"/>
      <c r="B69" s="21"/>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row r="343" spans="1:9" ht="12.95">
      <c r="A343" s="21"/>
      <c r="B343" s="21"/>
      <c r="C343" s="21"/>
      <c r="D343" s="21"/>
      <c r="E343" s="21"/>
      <c r="F343" s="22"/>
      <c r="G343" s="21"/>
      <c r="H343" s="21"/>
      <c r="I343" s="22"/>
    </row>
    <row r="344" spans="1:9" ht="12.95">
      <c r="A344" s="21"/>
      <c r="B344" s="21"/>
      <c r="C344" s="21"/>
      <c r="D344" s="21"/>
      <c r="E344" s="21"/>
      <c r="F344" s="22"/>
      <c r="G344" s="21"/>
      <c r="H344" s="21"/>
      <c r="I344" s="22"/>
    </row>
    <row r="345" spans="1:9" ht="12.95">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4" activePane="bottomRight" state="frozen"/>
      <selection pane="bottomRight" activeCell="F15" sqref="F15"/>
      <selection pane="bottomLeft" activeCell="M14" sqref="M14"/>
      <selection pane="topRight" activeCell="M14" sqref="M14"/>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Lodestar</v>
      </c>
      <c r="B1" s="60"/>
      <c r="C1" s="60"/>
      <c r="D1" s="61" t="s">
        <v>12</v>
      </c>
      <c r="E1" s="61"/>
      <c r="F1" s="61"/>
      <c r="G1" s="59" t="s">
        <v>13</v>
      </c>
      <c r="H1" s="59"/>
      <c r="I1" s="59"/>
    </row>
    <row r="2" spans="1:9" ht="19.5" customHeight="1">
      <c r="A2" s="62" t="s">
        <v>2</v>
      </c>
      <c r="B2" s="62"/>
      <c r="C2" s="5">
        <f>SUM(C4:C103)</f>
        <v>25207200.178076699</v>
      </c>
      <c r="D2" s="5">
        <f>SUM(D4:D103)</f>
        <v>21347716.989999995</v>
      </c>
      <c r="E2" s="5">
        <f>C2-D2</f>
        <v>3859483.1880767047</v>
      </c>
      <c r="F2" s="6">
        <f>IFERROR(E2/D2, 0)</f>
        <v>0.18079137876357548</v>
      </c>
      <c r="G2" s="5">
        <f>SUM(G4:G103)</f>
        <v>22319986.039999995</v>
      </c>
      <c r="H2" s="7">
        <f>C2-G2</f>
        <v>2887214.138076704</v>
      </c>
      <c r="I2" s="6">
        <f>IFERROR(H2/G2, 0)</f>
        <v>0.12935555304122873</v>
      </c>
    </row>
    <row r="3" spans="1:9" ht="14.25" customHeight="1">
      <c r="A3" s="8" t="s">
        <v>3</v>
      </c>
      <c r="B3" s="8" t="s">
        <v>4</v>
      </c>
      <c r="C3" s="23" t="s">
        <v>5</v>
      </c>
      <c r="D3" s="33" t="s">
        <v>6</v>
      </c>
      <c r="E3" s="33" t="s">
        <v>7</v>
      </c>
      <c r="F3" s="34" t="s">
        <v>8</v>
      </c>
      <c r="G3" s="35" t="s">
        <v>9</v>
      </c>
      <c r="H3" s="36" t="s">
        <v>7</v>
      </c>
      <c r="I3" s="37" t="s">
        <v>8</v>
      </c>
    </row>
    <row r="4" spans="1:9" ht="15.6">
      <c r="A4" s="42" t="str" cm="1">
        <f t="array" ref="A4:A28">Sites[Site]</f>
        <v>Barkhamsted</v>
      </c>
      <c r="B4" s="9" t="str" cm="1">
        <f t="array" ref="B4:B28">Sites[State]</f>
        <v>CT</v>
      </c>
      <c r="C4" s="24">
        <f>SUM(Apr!C4, May!C4, Jun!C4)</f>
        <v>483902</v>
      </c>
      <c r="D4" s="13">
        <f>SUM(Apr!D4, May!D4, Jun!D4)</f>
        <v>506022.3</v>
      </c>
      <c r="E4" s="13">
        <f>IF(AND(ISNUMBER(C4),ISNUMBER(D4)), C4-D4, "")</f>
        <v>-22120.299999999988</v>
      </c>
      <c r="F4" s="14">
        <f>IFERROR(E4/D4, "")</f>
        <v>-4.371408137546505E-2</v>
      </c>
      <c r="G4" s="15">
        <f>SUM(Apr!G4,May!G4,Jun!G4)</f>
        <v>553076.9</v>
      </c>
      <c r="H4" s="15">
        <f>SUM(Apr!H4, May!H4, Jun!H4)</f>
        <v>-69174.899999999994</v>
      </c>
      <c r="I4" s="16">
        <f>IFERROR(H4/G4, "")</f>
        <v>-0.12507284249260817</v>
      </c>
    </row>
    <row r="5" spans="1:9" ht="15.6">
      <c r="A5" s="43" t="str">
        <v>Bunce</v>
      </c>
      <c r="B5" s="10" t="str">
        <v>CT</v>
      </c>
      <c r="C5" s="11">
        <f>SUM(Apr!C5, May!C5, Jun!C5)</f>
        <v>1041829.5</v>
      </c>
      <c r="D5" s="18">
        <f>SUM(Apr!D5, May!D5, Jun!D5)</f>
        <v>816525.60000000009</v>
      </c>
      <c r="E5" s="18">
        <f t="shared" ref="E5:E15" si="0">IF(AND(ISNUMBER(C5),ISNUMBER(D5)), C5-D5, "")</f>
        <v>225303.89999999991</v>
      </c>
      <c r="F5" s="19">
        <f>IFERROR(E5/D5, "")</f>
        <v>0.27592998921283041</v>
      </c>
      <c r="G5" s="51">
        <f>SUM(Apr!G5,May!G5,Jun!G5)</f>
        <v>0</v>
      </c>
      <c r="H5" s="20">
        <f>SUM(Apr!H5, May!H5, Jun!H5)</f>
        <v>1041829.5</v>
      </c>
      <c r="I5" s="19" t="str">
        <f>IFERROR(H5/G5, "")</f>
        <v/>
      </c>
    </row>
    <row r="6" spans="1:9" ht="15.6">
      <c r="A6" s="42" t="str">
        <v>Norcap North</v>
      </c>
      <c r="B6" s="9" t="str">
        <v>CT</v>
      </c>
      <c r="C6" s="24">
        <f>SUM(Apr!C6, May!C6, Jun!C6)</f>
        <v>1068839</v>
      </c>
      <c r="D6" s="13">
        <f>SUM(Apr!D6, May!D6, Jun!D6)</f>
        <v>983849.3</v>
      </c>
      <c r="E6" s="13">
        <f t="shared" si="0"/>
        <v>84989.699999999953</v>
      </c>
      <c r="F6" s="14">
        <f t="shared" ref="F6:F15" si="1">IFERROR(E6/D6, "")</f>
        <v>8.6384876220372317E-2</v>
      </c>
      <c r="G6" s="15">
        <f>SUM(Apr!G6,May!G6,Jun!G6)</f>
        <v>1061382.5</v>
      </c>
      <c r="H6" s="15">
        <f>SUM(Apr!H6, May!H6, Jun!H6)</f>
        <v>7456.4999999999418</v>
      </c>
      <c r="I6" s="16">
        <f t="shared" ref="I6:I15" si="2">IFERROR(H6/G6, "")</f>
        <v>7.0252712853282788E-3</v>
      </c>
    </row>
    <row r="7" spans="1:9" ht="15.6">
      <c r="A7" s="43" t="str">
        <v>Norcap South</v>
      </c>
      <c r="B7" s="10" t="str">
        <v>CT</v>
      </c>
      <c r="C7" s="11">
        <f>SUM(Apr!C7, May!C7, Jun!C7)</f>
        <v>1082382.5</v>
      </c>
      <c r="D7" s="18">
        <f>SUM(Apr!D7, May!D7, Jun!D7)</f>
        <v>1041942.3</v>
      </c>
      <c r="E7" s="18">
        <f t="shared" si="0"/>
        <v>40440.199999999953</v>
      </c>
      <c r="F7" s="19">
        <f t="shared" si="1"/>
        <v>3.8812321949113646E-2</v>
      </c>
      <c r="G7" s="51">
        <f>SUM(Apr!G7,May!G7,Jun!G7)</f>
        <v>1039883.7000000001</v>
      </c>
      <c r="H7" s="20">
        <f>SUM(Apr!H7, May!H7, Jun!H7)</f>
        <v>42498.799999999988</v>
      </c>
      <c r="I7" s="19">
        <f t="shared" si="2"/>
        <v>4.0868801001496598E-2</v>
      </c>
    </row>
    <row r="8" spans="1:9" ht="15.6">
      <c r="A8" s="42" t="str">
        <v>Platt Hill</v>
      </c>
      <c r="B8" s="9" t="str">
        <v>CT</v>
      </c>
      <c r="C8" s="24">
        <f>SUM(Apr!C8, May!C8, Jun!C8)</f>
        <v>1163399.655778894</v>
      </c>
      <c r="D8" s="13">
        <f>SUM(Apr!D8, May!D8, Jun!D8)</f>
        <v>1160344.2</v>
      </c>
      <c r="E8" s="13">
        <f t="shared" si="0"/>
        <v>3055.4557788940147</v>
      </c>
      <c r="F8" s="14">
        <f t="shared" si="1"/>
        <v>2.6332322589228394E-3</v>
      </c>
      <c r="G8" s="15">
        <f>SUM(Apr!G8,May!G8,Jun!G8)</f>
        <v>1214750.7</v>
      </c>
      <c r="H8" s="15">
        <f>SUM(Apr!H8, May!H8, Jun!H8)</f>
        <v>-51351.044221105985</v>
      </c>
      <c r="I8" s="16">
        <f t="shared" si="2"/>
        <v>-4.2272907701231197E-2</v>
      </c>
    </row>
    <row r="9" spans="1:9" ht="15.6">
      <c r="A9" s="43" t="str">
        <v>Powder Hill</v>
      </c>
      <c r="B9" s="10" t="str">
        <v>CT</v>
      </c>
      <c r="C9" s="11">
        <f>SUM(Apr!C9, May!C9, Jun!C9)</f>
        <v>1066609</v>
      </c>
      <c r="D9" s="18">
        <f>SUM(Apr!D9, May!D9, Jun!D9)</f>
        <v>1062212.8999999999</v>
      </c>
      <c r="E9" s="18">
        <f t="shared" si="0"/>
        <v>4396.1000000000931</v>
      </c>
      <c r="F9" s="19">
        <f t="shared" si="1"/>
        <v>4.1386241872981332E-3</v>
      </c>
      <c r="G9" s="51">
        <f>SUM(Apr!G9,May!G9,Jun!G9)</f>
        <v>838176</v>
      </c>
      <c r="H9" s="20">
        <f>SUM(Apr!H9, May!H9, Jun!H9)</f>
        <v>228433</v>
      </c>
      <c r="I9" s="19">
        <f t="shared" si="2"/>
        <v>0.27253583972817164</v>
      </c>
    </row>
    <row r="10" spans="1:9" ht="15.6">
      <c r="A10" s="42" t="str">
        <v>Sand Road</v>
      </c>
      <c r="B10" s="9" t="str">
        <v>CT</v>
      </c>
      <c r="C10" s="24">
        <f>SUM(Apr!C10, May!C10, Jun!C10)</f>
        <v>1123596.480212616</v>
      </c>
      <c r="D10" s="13">
        <f>SUM(Apr!D10, May!D10, Jun!D10)</f>
        <v>967197.3</v>
      </c>
      <c r="E10" s="13">
        <f t="shared" si="0"/>
        <v>156399.18021261599</v>
      </c>
      <c r="F10" s="14">
        <f t="shared" si="1"/>
        <v>0.16170349132758743</v>
      </c>
      <c r="G10" s="15">
        <f>SUM(Apr!G10,May!G10,Jun!G10)</f>
        <v>1002416</v>
      </c>
      <c r="H10" s="15">
        <f>SUM(Apr!H10, May!H10, Jun!H10)</f>
        <v>121180.48021261598</v>
      </c>
      <c r="I10" s="16">
        <f t="shared" si="2"/>
        <v>0.12088841380486343</v>
      </c>
    </row>
    <row r="11" spans="1:9" ht="15.6">
      <c r="A11" s="43" t="str">
        <v>Suffield</v>
      </c>
      <c r="B11" s="10" t="str">
        <v>CT</v>
      </c>
      <c r="C11" s="11">
        <f>SUM(Apr!C11, May!C11, Jun!C11)</f>
        <v>1106769</v>
      </c>
      <c r="D11" s="18">
        <f>SUM(Apr!D11, May!D11, Jun!D11)</f>
        <v>1053877.3</v>
      </c>
      <c r="E11" s="18">
        <f t="shared" si="0"/>
        <v>52891.699999999953</v>
      </c>
      <c r="F11" s="19">
        <f t="shared" si="1"/>
        <v>5.0187721094286736E-2</v>
      </c>
      <c r="G11" s="51">
        <f>SUM(Apr!G11,May!G11,Jun!G11)</f>
        <v>1094753</v>
      </c>
      <c r="H11" s="20">
        <f>SUM(Apr!H11, May!H11, Jun!H11)</f>
        <v>12016.000000000058</v>
      </c>
      <c r="I11" s="19">
        <f t="shared" si="2"/>
        <v>1.0975991844735807E-2</v>
      </c>
    </row>
    <row r="12" spans="1:9" ht="15.6">
      <c r="A12" s="42" t="str">
        <v>Ashby-Duffy</v>
      </c>
      <c r="B12" s="9" t="str">
        <v>MA</v>
      </c>
      <c r="C12" s="24">
        <f>SUM(Apr!C12, May!C12, Jun!C12)</f>
        <v>1001020</v>
      </c>
      <c r="D12" s="13">
        <f>SUM(Apr!D12, May!D12, Jun!D12)</f>
        <v>1084740.7</v>
      </c>
      <c r="E12" s="13">
        <f t="shared" si="0"/>
        <v>-83720.699999999953</v>
      </c>
      <c r="F12" s="14">
        <f t="shared" si="1"/>
        <v>-7.7180380527807207E-2</v>
      </c>
      <c r="G12" s="15">
        <f>SUM(Apr!G12,May!G12,Jun!G12)</f>
        <v>1001422.4</v>
      </c>
      <c r="H12" s="15">
        <f>SUM(Apr!H12, May!H12, Jun!H12)</f>
        <v>-402.40000000002328</v>
      </c>
      <c r="I12" s="16">
        <f t="shared" si="2"/>
        <v>-4.0182843922806528E-4</v>
      </c>
    </row>
    <row r="13" spans="1:9" ht="15.6">
      <c r="A13" s="43" t="str">
        <v>Ashland</v>
      </c>
      <c r="B13" s="10" t="str">
        <v>MA</v>
      </c>
      <c r="C13" s="11">
        <f>SUM(Apr!C13, May!C13, Jun!C13)</f>
        <v>1106492.047348486</v>
      </c>
      <c r="D13" s="18">
        <f>SUM(Apr!D13, May!D13, Jun!D13)</f>
        <v>808930.5</v>
      </c>
      <c r="E13" s="18">
        <f t="shared" si="0"/>
        <v>297561.54734848603</v>
      </c>
      <c r="F13" s="19">
        <f t="shared" si="1"/>
        <v>0.36784562746550664</v>
      </c>
      <c r="G13" s="51">
        <f>SUM(Apr!G13,May!G13,Jun!G13)</f>
        <v>1150840</v>
      </c>
      <c r="H13" s="20">
        <f>SUM(Apr!H13, May!H13, Jun!H13)</f>
        <v>-44347.952651514061</v>
      </c>
      <c r="I13" s="19">
        <f t="shared" si="2"/>
        <v>-3.8535289572411507E-2</v>
      </c>
    </row>
    <row r="14" spans="1:9" ht="15.6">
      <c r="A14" s="42" t="str">
        <v>Barrington</v>
      </c>
      <c r="B14" s="9" t="str">
        <v>MA</v>
      </c>
      <c r="C14" s="24">
        <f>SUM(Apr!C14, May!C14, Jun!C14)</f>
        <v>237104</v>
      </c>
      <c r="D14" s="13">
        <f>SUM(Apr!D14, May!D14, Jun!D14)</f>
        <v>216939.89</v>
      </c>
      <c r="E14" s="13">
        <f t="shared" si="0"/>
        <v>20164.109999999986</v>
      </c>
      <c r="F14" s="14">
        <f t="shared" si="1"/>
        <v>9.2947912898821816E-2</v>
      </c>
      <c r="G14" s="15">
        <f>SUM(Apr!G14,May!G14,Jun!G14)</f>
        <v>248210</v>
      </c>
      <c r="H14" s="15">
        <f>SUM(Apr!H14, May!H14, Jun!H14)</f>
        <v>-11106</v>
      </c>
      <c r="I14" s="16">
        <f t="shared" si="2"/>
        <v>-4.4744369686958621E-2</v>
      </c>
    </row>
    <row r="15" spans="1:9" ht="15.6">
      <c r="A15" s="43" t="str">
        <v>Bedford - 205 Burlington Rd</v>
      </c>
      <c r="B15" s="10" t="str">
        <v>MA</v>
      </c>
      <c r="C15" s="11">
        <f>SUM(Apr!C15, May!C15, Jun!C15)</f>
        <v>119081</v>
      </c>
      <c r="D15" s="18">
        <f>SUM(Apr!D15, May!D15, Jun!D15)</f>
        <v>0</v>
      </c>
      <c r="E15" s="18">
        <f t="shared" si="0"/>
        <v>119081</v>
      </c>
      <c r="F15" s="19" t="str">
        <f t="shared" si="1"/>
        <v/>
      </c>
      <c r="G15" s="51">
        <f>SUM(Apr!G15,May!G15,Jun!G15)</f>
        <v>0</v>
      </c>
      <c r="H15" s="20">
        <f>SUM(Apr!H15, May!H15, Jun!H15)</f>
        <v>119081</v>
      </c>
      <c r="I15" s="19" t="str">
        <f t="shared" si="2"/>
        <v/>
      </c>
    </row>
    <row r="16" spans="1:9" ht="15.6">
      <c r="A16" s="42" t="str">
        <v>Billerica - 6 Cook Street</v>
      </c>
      <c r="B16" s="9" t="str">
        <v>MA</v>
      </c>
      <c r="C16" s="24">
        <f>SUM(Apr!C16, May!C16, Jun!C16)</f>
        <v>101170</v>
      </c>
      <c r="D16" s="13">
        <f>SUM(Apr!D16, May!D16, Jun!D16)</f>
        <v>0</v>
      </c>
      <c r="E16" s="13">
        <f t="shared" ref="E16:E18" si="3">IF(AND(ISNUMBER(C16),ISNUMBER(D16)), C16-D16, "")</f>
        <v>101170</v>
      </c>
      <c r="F16" s="14" t="str">
        <f t="shared" ref="F16:F18" si="4">IFERROR(E16/D16, "")</f>
        <v/>
      </c>
      <c r="G16" s="15">
        <f>SUM(Apr!G16,May!G16,Jun!G16)</f>
        <v>0</v>
      </c>
      <c r="H16" s="15">
        <f>SUM(Apr!H16, May!H16, Jun!H16)</f>
        <v>101170</v>
      </c>
      <c r="I16" s="16" t="str">
        <f t="shared" ref="I16:I18" si="5">IFERROR(H16/G16, "")</f>
        <v/>
      </c>
    </row>
    <row r="17" spans="1:9" ht="15.6">
      <c r="A17" s="43" t="str">
        <v>Billerica - 780 Boston Road</v>
      </c>
      <c r="B17" s="10" t="str">
        <v>MA</v>
      </c>
      <c r="C17" s="11">
        <f>SUM(Apr!C17, May!C17, Jun!C17)</f>
        <v>136270</v>
      </c>
      <c r="D17" s="18">
        <f>SUM(Apr!D17, May!D17, Jun!D17)</f>
        <v>0</v>
      </c>
      <c r="E17" s="18">
        <f t="shared" si="3"/>
        <v>136270</v>
      </c>
      <c r="F17" s="19" t="str">
        <f t="shared" si="4"/>
        <v/>
      </c>
      <c r="G17" s="51">
        <f>SUM(Apr!G17,May!G17,Jun!G17)</f>
        <v>0</v>
      </c>
      <c r="H17" s="20">
        <f>SUM(Apr!H17, May!H17, Jun!H17)</f>
        <v>136270</v>
      </c>
      <c r="I17" s="19" t="str">
        <f t="shared" si="5"/>
        <v/>
      </c>
    </row>
    <row r="18" spans="1:9" ht="12.75" customHeight="1">
      <c r="A18" s="42" t="str">
        <v>Cheshire</v>
      </c>
      <c r="B18" s="9" t="str">
        <v>MA</v>
      </c>
      <c r="C18" s="24">
        <f>SUM(Apr!C18, May!C18, Jun!C18)</f>
        <v>239853.25</v>
      </c>
      <c r="D18" s="13">
        <f>SUM(Apr!D18, May!D18, Jun!D18)</f>
        <v>250365.22</v>
      </c>
      <c r="E18" s="13">
        <f t="shared" si="3"/>
        <v>-10511.970000000001</v>
      </c>
      <c r="F18" s="14">
        <f t="shared" si="4"/>
        <v>-4.198654269950116E-2</v>
      </c>
      <c r="G18" s="15">
        <f>SUM(Apr!G18,May!G18,Jun!G18)</f>
        <v>203327.58</v>
      </c>
      <c r="H18" s="15">
        <f>SUM(Apr!H18, May!H18, Jun!H18)</f>
        <v>36525.67</v>
      </c>
      <c r="I18" s="16">
        <f t="shared" si="5"/>
        <v>0.17963952553805046</v>
      </c>
    </row>
    <row r="19" spans="1:9" ht="15.6">
      <c r="A19" s="43" t="str">
        <v>Lilly Lane</v>
      </c>
      <c r="B19" s="10" t="str">
        <v>MA</v>
      </c>
      <c r="C19" s="11">
        <f>SUM(Apr!C19, May!C19, Jun!C19)</f>
        <v>546575.5</v>
      </c>
      <c r="D19" s="18">
        <f>SUM(Apr!D19, May!D19, Jun!D19)</f>
        <v>505665.5</v>
      </c>
      <c r="E19" s="18">
        <f t="shared" ref="E19:E28" si="6">IF(AND(ISNUMBER(C19),ISNUMBER(D19)), C19-D19, "")</f>
        <v>40910</v>
      </c>
      <c r="F19" s="19">
        <f t="shared" ref="F19:F28" si="7">IFERROR(E19/D19, "")</f>
        <v>8.0903284879035642E-2</v>
      </c>
      <c r="G19" s="51">
        <f>SUM(Apr!G19,May!G19,Jun!G19)</f>
        <v>532788.1</v>
      </c>
      <c r="H19" s="20">
        <f>SUM(Apr!H19, May!H19, Jun!H19)</f>
        <v>13787.400000000023</v>
      </c>
      <c r="I19" s="19">
        <f t="shared" ref="I19:I28" si="8">IFERROR(H19/G19, "")</f>
        <v>2.5877830229316352E-2</v>
      </c>
    </row>
    <row r="20" spans="1:9" ht="15.6">
      <c r="A20" s="42" t="str">
        <v>Monument Valley</v>
      </c>
      <c r="B20" s="9" t="str">
        <v>MA</v>
      </c>
      <c r="C20" s="52">
        <f>SUM(Apr!C20, May!C20, Jun!C20)</f>
        <v>1043012.5000000009</v>
      </c>
      <c r="D20" s="13">
        <f>SUM(Apr!D20, May!D20, Jun!D20)</f>
        <v>191069.27</v>
      </c>
      <c r="E20" s="13">
        <f>IF(AND(ISNUMBER(C20),ISNUMBER(D20)), C20-D20, "")</f>
        <v>851943.23000000091</v>
      </c>
      <c r="F20" s="54">
        <f>IFERROR(E20/D20, "")</f>
        <v>4.4588186786917694</v>
      </c>
      <c r="G20" s="15">
        <f>SUM(Apr!G20,May!G20,Jun!G20)</f>
        <v>0</v>
      </c>
      <c r="H20" s="50">
        <f>SUM(Apr!H20, May!H20, Jun!H20)</f>
        <v>1043012.5000000009</v>
      </c>
      <c r="I20" s="55" t="str">
        <f>IFERROR(H20/G20, "")</f>
        <v/>
      </c>
    </row>
    <row r="21" spans="1:9" ht="15.6">
      <c r="A21" s="43" t="str">
        <v>Nationwide</v>
      </c>
      <c r="B21" s="10" t="str">
        <v>MA</v>
      </c>
      <c r="C21" s="11">
        <f>SUM(Apr!C21, May!C21, Jun!C21)</f>
        <v>2007063.5</v>
      </c>
      <c r="D21" s="18">
        <f>SUM(Apr!D21, May!D21, Jun!D21)</f>
        <v>1554853</v>
      </c>
      <c r="E21" s="18">
        <f>IF(AND(ISNUMBER(C21),ISNUMBER(D21)), C21-D21, "")</f>
        <v>452210.5</v>
      </c>
      <c r="F21" s="19">
        <f>IFERROR(E21/D21, "")</f>
        <v>0.29083810495268686</v>
      </c>
      <c r="G21" s="51">
        <f>SUM(Apr!G21,May!G21,Jun!G21)</f>
        <v>1614023.1</v>
      </c>
      <c r="H21" s="20">
        <f>SUM(Apr!H21, May!H21, Jun!H21)</f>
        <v>393040.4</v>
      </c>
      <c r="I21" s="19">
        <f>IFERROR(H21/G21, "")</f>
        <v>0.24351596950502133</v>
      </c>
    </row>
    <row r="22" spans="1:9" ht="15.6">
      <c r="A22" s="42" t="str">
        <v>Pulpit Hill</v>
      </c>
      <c r="B22" s="9" t="str">
        <v>MA</v>
      </c>
      <c r="C22" s="52">
        <f>SUM(Apr!C22, May!C22, Jun!C22)</f>
        <v>2150328.25</v>
      </c>
      <c r="D22" s="13">
        <f>SUM(Apr!D22, May!D22, Jun!D22)</f>
        <v>1791934.2</v>
      </c>
      <c r="E22" s="13">
        <f>IF(AND(ISNUMBER(C22),ISNUMBER(D22)), C22-D22, "")</f>
        <v>358394.05000000005</v>
      </c>
      <c r="F22" s="54">
        <f>IFERROR(E22/D22, "")</f>
        <v>0.20000402358524105</v>
      </c>
      <c r="G22" s="15">
        <f>SUM(Apr!G22,May!G22,Jun!G22)</f>
        <v>2275842.6</v>
      </c>
      <c r="H22" s="50">
        <f>SUM(Apr!H22, May!H22, Jun!H22)</f>
        <v>-125514.34999999998</v>
      </c>
      <c r="I22" s="55">
        <f>IFERROR(H22/G22, "")</f>
        <v>-5.5150716486280719E-2</v>
      </c>
    </row>
    <row r="23" spans="1:9" ht="15.6">
      <c r="A23" s="43" t="str">
        <v>Sandwich</v>
      </c>
      <c r="B23" s="10" t="str">
        <v>MA</v>
      </c>
      <c r="C23" s="11">
        <f>SUM(Apr!C23, May!C23, Jun!C23)</f>
        <v>1137172</v>
      </c>
      <c r="D23" s="18">
        <f>SUM(Apr!D23, May!D23, Jun!D23)</f>
        <v>0</v>
      </c>
      <c r="E23" s="18">
        <f>IF(AND(ISNUMBER(C23),ISNUMBER(D23)), C23-D23, "")</f>
        <v>1137172</v>
      </c>
      <c r="F23" s="19" t="str">
        <f>IFERROR(E23/D23, "")</f>
        <v/>
      </c>
      <c r="G23" s="51">
        <f>SUM(Apr!G23,May!G23,Jun!G23)</f>
        <v>521826</v>
      </c>
      <c r="H23" s="20">
        <f>SUM(Apr!H23, May!H23, Jun!H23)</f>
        <v>1137172</v>
      </c>
      <c r="I23" s="19">
        <f>IFERROR(H23/G23, "")</f>
        <v>2.1792168270649603</v>
      </c>
    </row>
    <row r="24" spans="1:9" ht="15.6">
      <c r="A24" s="42" t="str">
        <v>Sturbridge Barn</v>
      </c>
      <c r="B24" s="9" t="str">
        <v>MA</v>
      </c>
      <c r="C24" s="24">
        <f>SUM(Apr!C24, May!C24, Jun!C24)</f>
        <v>536632</v>
      </c>
      <c r="D24" s="13">
        <f>SUM(Apr!D24, May!D24, Jun!D24)</f>
        <v>529378.69999999995</v>
      </c>
      <c r="E24" s="13">
        <f t="shared" si="6"/>
        <v>7253.3000000000466</v>
      </c>
      <c r="F24" s="14">
        <f t="shared" si="7"/>
        <v>1.3701533514665489E-2</v>
      </c>
      <c r="G24" s="15">
        <f>SUM(Apr!G24,May!G24,Jun!G24)</f>
        <v>575361.19999999995</v>
      </c>
      <c r="H24" s="15">
        <f>SUM(Apr!H24, May!H24, Jun!H24)</f>
        <v>-38729.200000000012</v>
      </c>
      <c r="I24" s="16">
        <f t="shared" si="8"/>
        <v>-6.7312846260748932E-2</v>
      </c>
    </row>
    <row r="25" spans="1:9" ht="15.6">
      <c r="A25" s="43" t="str">
        <v>Sturbridge Garage</v>
      </c>
      <c r="B25" s="10" t="str">
        <v>MA</v>
      </c>
      <c r="C25" s="11">
        <f>SUM(Apr!C25, May!C25, Jun!C25)</f>
        <v>274505.75</v>
      </c>
      <c r="D25" s="18">
        <f>SUM(Apr!D25, May!D25, Jun!D25)</f>
        <v>253072.31</v>
      </c>
      <c r="E25" s="18">
        <f t="shared" si="6"/>
        <v>21433.440000000002</v>
      </c>
      <c r="F25" s="19">
        <f t="shared" si="7"/>
        <v>8.4692948035286847E-2</v>
      </c>
      <c r="G25" s="51">
        <f>SUM(Apr!G25,May!G25,Jun!G25)</f>
        <v>263183.56</v>
      </c>
      <c r="H25" s="20">
        <f>SUM(Apr!H25, May!H25, Jun!H25)</f>
        <v>11322.190000000002</v>
      </c>
      <c r="I25" s="19">
        <f t="shared" si="8"/>
        <v>4.302012633311899E-2</v>
      </c>
    </row>
    <row r="26" spans="1:9" ht="15.6">
      <c r="A26" s="42" t="str">
        <v>Halsey Valley</v>
      </c>
      <c r="B26" s="9" t="str">
        <v>NY</v>
      </c>
      <c r="C26" s="24">
        <f>SUM(Apr!C26, May!C26, Jun!C26)</f>
        <v>2557880</v>
      </c>
      <c r="D26" s="13">
        <f>SUM(Apr!D26, May!D26, Jun!D26)</f>
        <v>2580465.4</v>
      </c>
      <c r="E26" s="13">
        <f t="shared" si="6"/>
        <v>-22585.399999999907</v>
      </c>
      <c r="F26" s="14">
        <f t="shared" si="7"/>
        <v>-8.7524521739372699E-3</v>
      </c>
      <c r="G26" s="15">
        <f>SUM(Apr!G26,May!G26,Jun!G26)</f>
        <v>2876000</v>
      </c>
      <c r="H26" s="15">
        <f>SUM(Apr!H26, May!H26, Jun!H26)</f>
        <v>-318120</v>
      </c>
      <c r="I26" s="16">
        <f t="shared" si="8"/>
        <v>-0.11061196105702364</v>
      </c>
    </row>
    <row r="27" spans="1:9" ht="15.6">
      <c r="A27" s="43" t="str">
        <v>Hunt Creek</v>
      </c>
      <c r="B27" s="10" t="str">
        <v>NY</v>
      </c>
      <c r="C27" s="11">
        <f>SUM(Apr!C27, May!C27, Jun!C27)</f>
        <v>1889993.4640279</v>
      </c>
      <c r="D27" s="18">
        <f>SUM(Apr!D27, May!D27, Jun!D27)</f>
        <v>1906453.7000000002</v>
      </c>
      <c r="E27" s="18">
        <f t="shared" si="6"/>
        <v>-16460.23597210017</v>
      </c>
      <c r="F27" s="19">
        <f t="shared" si="7"/>
        <v>-8.6339552710355191E-3</v>
      </c>
      <c r="G27" s="51">
        <f>SUM(Apr!G27,May!G27,Jun!G27)</f>
        <v>2078200</v>
      </c>
      <c r="H27" s="20">
        <f>SUM(Apr!H27, May!H27, Jun!H27)</f>
        <v>-188206.53597209998</v>
      </c>
      <c r="I27" s="19">
        <f t="shared" si="8"/>
        <v>-9.0562282731257812E-2</v>
      </c>
    </row>
    <row r="28" spans="1:9" ht="15.6">
      <c r="A28" s="42" t="str">
        <v>Smith Creek</v>
      </c>
      <c r="B28" s="9" t="str">
        <v>NY</v>
      </c>
      <c r="C28" s="24">
        <f>SUM(Apr!C28, May!C28, Jun!C28)</f>
        <v>1985719.7807087991</v>
      </c>
      <c r="D28" s="13">
        <f>SUM(Apr!D28, May!D28, Jun!D28)</f>
        <v>2081877.4</v>
      </c>
      <c r="E28" s="13">
        <f t="shared" si="6"/>
        <v>-96157.619291200768</v>
      </c>
      <c r="F28" s="14">
        <f t="shared" si="7"/>
        <v>-4.6187935606198889E-2</v>
      </c>
      <c r="G28" s="15">
        <f>SUM(Apr!G28,May!G28,Jun!G28)</f>
        <v>2174522.7000000002</v>
      </c>
      <c r="H28" s="15">
        <f>SUM(Apr!H28, May!H28, Jun!H28)</f>
        <v>-188802.91929120105</v>
      </c>
      <c r="I28" s="16">
        <f t="shared" si="8"/>
        <v>-8.6824993499125591E-2</v>
      </c>
    </row>
    <row r="29" spans="1:9" ht="12.95">
      <c r="A29" s="21"/>
      <c r="B29" s="21"/>
      <c r="C29" s="21"/>
      <c r="D29" s="21"/>
      <c r="E29" s="21"/>
      <c r="F29" s="21"/>
      <c r="G29" s="21"/>
      <c r="H29" s="21"/>
      <c r="I29" s="21"/>
    </row>
    <row r="30" spans="1:9" ht="12.95">
      <c r="A30" s="21"/>
      <c r="B30" s="21"/>
      <c r="C30" s="21"/>
      <c r="D30" s="21"/>
      <c r="E30" s="21"/>
      <c r="F30" s="21"/>
      <c r="G30" s="21"/>
      <c r="H30" s="21"/>
      <c r="I30" s="21"/>
    </row>
    <row r="31" spans="1:9" ht="12.95">
      <c r="A31" s="21"/>
      <c r="B31" s="21"/>
      <c r="C31" s="21"/>
      <c r="D31" s="21"/>
      <c r="E31" s="21"/>
      <c r="F31" s="21"/>
      <c r="G31" s="21"/>
      <c r="H31" s="21"/>
      <c r="I31" s="21"/>
    </row>
    <row r="32" spans="1:9" ht="12.95">
      <c r="A32" s="21"/>
      <c r="B32" s="21"/>
      <c r="C32" s="21"/>
      <c r="D32" s="21"/>
      <c r="E32" s="21"/>
      <c r="F32" s="21"/>
      <c r="G32" s="21"/>
      <c r="H32" s="21"/>
      <c r="I32" s="21"/>
    </row>
    <row r="33" spans="1:9" ht="12.95">
      <c r="A33" s="21"/>
      <c r="B33" s="21"/>
      <c r="C33" s="21"/>
      <c r="D33" s="21"/>
      <c r="E33" s="21"/>
      <c r="F33" s="21"/>
      <c r="G33" s="21"/>
      <c r="H33" s="21"/>
      <c r="I33" s="21"/>
    </row>
    <row r="34" spans="1:9" ht="12.95">
      <c r="A34" s="21"/>
      <c r="B34" s="21"/>
      <c r="C34" s="21"/>
      <c r="D34" s="21"/>
      <c r="E34" s="21"/>
      <c r="F34" s="21"/>
      <c r="G34" s="21"/>
      <c r="H34" s="21"/>
      <c r="I34" s="21"/>
    </row>
    <row r="35" spans="1:9" ht="12.95">
      <c r="A35" s="21"/>
      <c r="B35" s="21"/>
      <c r="C35" s="21"/>
      <c r="D35" s="21"/>
      <c r="E35" s="21"/>
      <c r="F35" s="21"/>
      <c r="G35" s="21"/>
      <c r="H35" s="21"/>
      <c r="I35" s="21"/>
    </row>
    <row r="36" spans="1:9" ht="12.95">
      <c r="A36" s="21"/>
      <c r="B36" s="21"/>
      <c r="C36" s="21"/>
      <c r="D36" s="21"/>
      <c r="E36" s="21"/>
      <c r="F36" s="22"/>
      <c r="G36" s="21"/>
      <c r="H36" s="21"/>
      <c r="I36" s="22"/>
    </row>
    <row r="37" spans="1:9" ht="12.95">
      <c r="A37" s="21"/>
      <c r="B37" s="21"/>
      <c r="C37" s="21"/>
      <c r="D37" s="21"/>
      <c r="E37" s="21"/>
      <c r="F37" s="22"/>
      <c r="G37" s="21"/>
      <c r="H37" s="21"/>
      <c r="I37" s="22"/>
    </row>
    <row r="38" spans="1:9" ht="12.95">
      <c r="A38" s="21"/>
      <c r="B38" s="21"/>
      <c r="C38" s="21"/>
      <c r="D38" s="21"/>
      <c r="E38" s="21"/>
      <c r="F38" s="22"/>
      <c r="G38" s="21"/>
      <c r="H38" s="21"/>
      <c r="I38" s="22"/>
    </row>
    <row r="39" spans="1:9" ht="12.95">
      <c r="A39" s="21"/>
      <c r="B39" s="21"/>
      <c r="C39" s="21"/>
      <c r="D39" s="21"/>
      <c r="E39" s="21"/>
      <c r="F39" s="22"/>
      <c r="G39" s="21"/>
      <c r="H39" s="21"/>
      <c r="I39" s="22"/>
    </row>
    <row r="40" spans="1:9" ht="12.95">
      <c r="A40" s="21"/>
      <c r="B40" s="21"/>
      <c r="C40" s="21"/>
      <c r="D40" s="21"/>
      <c r="E40" s="21"/>
      <c r="F40" s="22"/>
      <c r="G40" s="21"/>
      <c r="H40" s="21"/>
      <c r="I40" s="22"/>
    </row>
    <row r="41" spans="1:9" ht="12.95">
      <c r="A41" s="21"/>
      <c r="B41" s="21"/>
      <c r="C41" s="21"/>
      <c r="D41" s="21"/>
      <c r="E41" s="21"/>
      <c r="F41" s="22"/>
      <c r="G41" s="21"/>
      <c r="H41" s="21"/>
      <c r="I41" s="22"/>
    </row>
    <row r="42" spans="1:9" ht="12.95">
      <c r="A42" s="21"/>
      <c r="B42" s="21"/>
      <c r="C42" s="21"/>
      <c r="D42" s="21"/>
      <c r="E42" s="21"/>
      <c r="F42" s="22"/>
      <c r="G42" s="21"/>
      <c r="H42" s="21"/>
      <c r="I42" s="22"/>
    </row>
    <row r="43" spans="1:9" ht="12.95">
      <c r="A43" s="21"/>
      <c r="B43" s="21"/>
      <c r="C43" s="21"/>
      <c r="D43" s="21"/>
      <c r="E43" s="21"/>
      <c r="F43" s="22"/>
      <c r="G43" s="21"/>
      <c r="H43" s="21"/>
      <c r="I43" s="22"/>
    </row>
    <row r="44" spans="1:9" ht="12.95">
      <c r="A44" s="21"/>
      <c r="B44" s="21"/>
      <c r="C44" s="21"/>
      <c r="D44" s="21"/>
      <c r="E44" s="21"/>
      <c r="F44" s="22"/>
      <c r="G44" s="21"/>
      <c r="H44" s="21"/>
      <c r="I44" s="22"/>
    </row>
    <row r="45" spans="1:9" ht="12.95">
      <c r="A45" s="21"/>
      <c r="B45" s="21"/>
      <c r="C45" s="21"/>
      <c r="D45" s="21"/>
      <c r="E45" s="21"/>
      <c r="F45" s="22"/>
      <c r="G45" s="21"/>
      <c r="H45" s="21"/>
      <c r="I45" s="22"/>
    </row>
    <row r="46" spans="1:9" ht="12.95">
      <c r="A46" s="21"/>
      <c r="B46" s="21"/>
      <c r="C46" s="21"/>
      <c r="D46" s="21"/>
      <c r="E46" s="21"/>
      <c r="F46" s="22"/>
      <c r="G46" s="21"/>
      <c r="H46" s="21"/>
      <c r="I46" s="22"/>
    </row>
    <row r="47" spans="1:9" ht="12.95">
      <c r="A47" s="21"/>
      <c r="B47" s="21"/>
      <c r="C47" s="21"/>
      <c r="D47" s="21"/>
      <c r="E47" s="21"/>
      <c r="F47" s="22"/>
      <c r="G47" s="21"/>
      <c r="H47" s="21"/>
      <c r="I47" s="22"/>
    </row>
    <row r="48" spans="1:9" ht="12.95">
      <c r="A48" s="21"/>
      <c r="B48" s="21"/>
      <c r="C48" s="21"/>
      <c r="D48" s="21"/>
      <c r="E48" s="21"/>
      <c r="F48" s="22"/>
      <c r="G48" s="21"/>
      <c r="H48" s="21"/>
      <c r="I48" s="22"/>
    </row>
    <row r="49" spans="1:9" ht="12.95">
      <c r="A49" s="21"/>
      <c r="B49" s="21"/>
      <c r="C49" s="21"/>
      <c r="D49" s="21"/>
      <c r="E49" s="21"/>
      <c r="F49" s="22"/>
      <c r="G49" s="21"/>
      <c r="H49" s="21"/>
      <c r="I49" s="22"/>
    </row>
    <row r="50" spans="1:9" ht="12.95">
      <c r="A50" s="21"/>
      <c r="B50" s="21"/>
      <c r="C50" s="21"/>
      <c r="D50" s="21"/>
      <c r="E50" s="21"/>
      <c r="F50" s="22"/>
      <c r="G50" s="21"/>
      <c r="H50" s="21"/>
      <c r="I50" s="22"/>
    </row>
    <row r="51" spans="1:9" ht="12.95">
      <c r="A51" s="21"/>
      <c r="B51" s="21"/>
      <c r="C51" s="21"/>
      <c r="D51" s="21"/>
      <c r="E51" s="21"/>
      <c r="F51" s="22"/>
      <c r="G51" s="21"/>
      <c r="H51" s="21"/>
      <c r="I51" s="22"/>
    </row>
    <row r="52" spans="1:9" ht="12.95">
      <c r="A52" s="21"/>
      <c r="B52" s="21"/>
      <c r="C52" s="21"/>
      <c r="D52" s="21"/>
      <c r="E52" s="21"/>
      <c r="F52" s="22"/>
      <c r="G52" s="21"/>
      <c r="H52" s="21"/>
      <c r="I52" s="22"/>
    </row>
    <row r="53" spans="1:9" ht="12.95">
      <c r="A53" s="21"/>
      <c r="B53" s="21"/>
      <c r="C53" s="21"/>
      <c r="D53" s="21"/>
      <c r="E53" s="21"/>
      <c r="F53" s="22"/>
      <c r="G53" s="21"/>
      <c r="H53" s="21"/>
      <c r="I53" s="22"/>
    </row>
    <row r="54" spans="1:9" ht="12.95">
      <c r="A54" s="21"/>
      <c r="B54" s="21"/>
      <c r="C54" s="21"/>
      <c r="D54" s="21"/>
      <c r="E54" s="21"/>
      <c r="F54" s="22"/>
      <c r="G54" s="21"/>
      <c r="H54" s="21"/>
      <c r="I54" s="22"/>
    </row>
    <row r="55" spans="1:9" ht="12.95">
      <c r="A55" s="21"/>
      <c r="B55" s="21"/>
      <c r="C55" s="21"/>
      <c r="D55" s="21"/>
      <c r="E55" s="21"/>
      <c r="F55" s="22"/>
      <c r="G55" s="21"/>
      <c r="H55" s="21"/>
      <c r="I55" s="22"/>
    </row>
    <row r="56" spans="1:9" ht="12.95">
      <c r="A56" s="21"/>
      <c r="B56" s="21"/>
      <c r="C56" s="21"/>
      <c r="D56" s="21"/>
      <c r="E56" s="21"/>
      <c r="F56" s="22"/>
      <c r="G56" s="21"/>
      <c r="H56" s="21"/>
      <c r="I56" s="22"/>
    </row>
    <row r="57" spans="1:9" ht="12.95">
      <c r="A57" s="21"/>
      <c r="B57" s="21"/>
      <c r="C57" s="21"/>
      <c r="D57" s="21"/>
      <c r="E57" s="21"/>
      <c r="F57" s="22"/>
      <c r="G57" s="21"/>
      <c r="H57" s="21"/>
      <c r="I57" s="22"/>
    </row>
    <row r="58" spans="1:9" ht="12.95">
      <c r="A58" s="21"/>
      <c r="B58" s="21"/>
      <c r="C58" s="21"/>
      <c r="D58" s="21"/>
      <c r="E58" s="21"/>
      <c r="F58" s="22"/>
      <c r="G58" s="21"/>
      <c r="H58" s="21"/>
      <c r="I58" s="22"/>
    </row>
    <row r="59" spans="1:9" ht="12.95">
      <c r="A59" s="21"/>
      <c r="B59" s="21"/>
      <c r="C59" s="21"/>
      <c r="D59" s="21"/>
      <c r="E59" s="21"/>
      <c r="F59" s="22"/>
      <c r="G59" s="21"/>
      <c r="H59" s="21"/>
      <c r="I59" s="22"/>
    </row>
    <row r="60" spans="1:9" ht="12.95">
      <c r="A60" s="21"/>
      <c r="B60" s="21"/>
      <c r="C60" s="21"/>
      <c r="D60" s="21"/>
      <c r="E60" s="21"/>
      <c r="F60" s="22"/>
      <c r="G60" s="21"/>
      <c r="H60" s="21"/>
      <c r="I60" s="22"/>
    </row>
    <row r="61" spans="1:9" ht="12.95">
      <c r="A61" s="21"/>
      <c r="B61" s="21"/>
      <c r="C61" s="21"/>
      <c r="D61" s="21"/>
      <c r="E61" s="21"/>
      <c r="F61" s="22"/>
      <c r="G61" s="21"/>
      <c r="H61" s="21"/>
      <c r="I61" s="22"/>
    </row>
    <row r="62" spans="1:9" ht="12.95">
      <c r="A62" s="21"/>
      <c r="B62" s="21"/>
      <c r="C62" s="21"/>
      <c r="D62" s="21"/>
      <c r="E62" s="21"/>
      <c r="F62" s="22"/>
      <c r="G62" s="21"/>
      <c r="H62" s="21"/>
      <c r="I62" s="22"/>
    </row>
    <row r="63" spans="1:9" ht="12.95">
      <c r="A63" s="21"/>
      <c r="B63" s="21"/>
      <c r="C63" s="21"/>
      <c r="D63" s="21"/>
      <c r="E63" s="21"/>
      <c r="F63" s="22"/>
      <c r="G63" s="21"/>
      <c r="H63" s="21"/>
      <c r="I63" s="22"/>
    </row>
    <row r="64" spans="1:9" ht="12.95">
      <c r="A64" s="21"/>
      <c r="B64" s="21"/>
      <c r="C64" s="21"/>
      <c r="D64" s="21"/>
      <c r="E64" s="21"/>
      <c r="F64" s="22"/>
      <c r="G64" s="21"/>
      <c r="H64" s="21"/>
      <c r="I64" s="22"/>
    </row>
    <row r="65" spans="1:9" ht="12.95">
      <c r="A65" s="21"/>
      <c r="B65" s="21"/>
      <c r="C65" s="21"/>
      <c r="D65" s="21"/>
      <c r="E65" s="21"/>
      <c r="F65" s="22"/>
      <c r="G65" s="21"/>
      <c r="H65" s="21"/>
      <c r="I65" s="22"/>
    </row>
    <row r="66" spans="1:9" ht="12.95">
      <c r="A66" s="21"/>
      <c r="B66" s="21"/>
      <c r="C66" s="21"/>
      <c r="D66" s="21"/>
      <c r="E66" s="21"/>
      <c r="F66" s="22"/>
      <c r="G66" s="21"/>
      <c r="H66" s="21"/>
      <c r="I66" s="22"/>
    </row>
    <row r="67" spans="1:9" ht="12.95">
      <c r="A67" s="21"/>
      <c r="B67" s="21"/>
      <c r="C67" s="21"/>
      <c r="D67" s="21"/>
      <c r="E67" s="21"/>
      <c r="F67" s="22"/>
      <c r="G67" s="21"/>
      <c r="H67" s="21"/>
      <c r="I67" s="22"/>
    </row>
    <row r="68" spans="1:9" ht="12.95">
      <c r="A68" s="21"/>
      <c r="B68" s="21"/>
      <c r="C68" s="21"/>
      <c r="D68" s="21"/>
      <c r="E68" s="21"/>
      <c r="F68" s="22"/>
      <c r="G68" s="21"/>
      <c r="H68" s="21"/>
      <c r="I68" s="22"/>
    </row>
    <row r="69" spans="1:9" ht="12.95">
      <c r="A69" s="21"/>
      <c r="B69" s="21"/>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row r="343" spans="1:9" ht="12.95">
      <c r="A343" s="21"/>
      <c r="B343" s="21"/>
      <c r="C343" s="21"/>
      <c r="D343" s="21"/>
      <c r="E343" s="21"/>
      <c r="F343" s="22"/>
      <c r="G343" s="21"/>
      <c r="H343" s="21"/>
      <c r="I343" s="22"/>
    </row>
    <row r="344" spans="1:9" ht="12.95">
      <c r="A344" s="21"/>
      <c r="B344" s="21"/>
      <c r="C344" s="21"/>
      <c r="D344" s="21"/>
      <c r="E344" s="21"/>
      <c r="F344" s="22"/>
      <c r="G344" s="21"/>
      <c r="H344" s="21"/>
      <c r="I344" s="22"/>
    </row>
    <row r="345" spans="1:9" ht="12.95">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4" activePane="bottomRight" state="frozen"/>
      <selection pane="bottomRight" activeCell="F23" sqref="F23"/>
      <selection pane="bottomLeft" activeCell="M12" sqref="M12"/>
      <selection pane="topRight" activeCell="M12" sqref="M12"/>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Lodestar</v>
      </c>
      <c r="B1" s="60"/>
      <c r="C1" s="60"/>
      <c r="D1" s="61" t="s">
        <v>14</v>
      </c>
      <c r="E1" s="61"/>
      <c r="F1" s="61"/>
      <c r="G1" s="59" t="s">
        <v>15</v>
      </c>
      <c r="H1" s="59"/>
      <c r="I1" s="59"/>
    </row>
    <row r="2" spans="1:9" ht="19.5" customHeight="1">
      <c r="A2" s="62" t="s">
        <v>2</v>
      </c>
      <c r="B2" s="62"/>
      <c r="C2" s="5">
        <f>SUM(C4:C103)</f>
        <v>23800467.39004571</v>
      </c>
      <c r="D2" s="5">
        <f>SUM(D4:D103)</f>
        <v>20785262.360000003</v>
      </c>
      <c r="E2" s="5">
        <f>C2-D2</f>
        <v>3015205.0300457068</v>
      </c>
      <c r="F2" s="6">
        <f>IFERROR(E2/D2, 0)</f>
        <v>0.14506456439290796</v>
      </c>
      <c r="G2" s="5">
        <f>SUM(G4:G103)</f>
        <v>21005261.02</v>
      </c>
      <c r="H2" s="7">
        <f>C2-G2</f>
        <v>2795206.3700457104</v>
      </c>
      <c r="I2" s="6">
        <f>IFERROR(H2/G2, 0)</f>
        <v>0.13307172747742937</v>
      </c>
    </row>
    <row r="3" spans="1:9" ht="14.25" customHeight="1">
      <c r="A3" s="8" t="s">
        <v>3</v>
      </c>
      <c r="B3" s="8" t="s">
        <v>4</v>
      </c>
      <c r="C3" s="23" t="s">
        <v>5</v>
      </c>
      <c r="D3" s="33" t="s">
        <v>6</v>
      </c>
      <c r="E3" s="33" t="s">
        <v>7</v>
      </c>
      <c r="F3" s="34" t="s">
        <v>8</v>
      </c>
      <c r="G3" s="35" t="s">
        <v>9</v>
      </c>
      <c r="H3" s="36" t="s">
        <v>7</v>
      </c>
      <c r="I3" s="37" t="s">
        <v>8</v>
      </c>
    </row>
    <row r="4" spans="1:9" ht="15.6">
      <c r="A4" s="42" t="str" cm="1">
        <f t="array" ref="A4:A28">Sites[Site]</f>
        <v>Barkhamsted</v>
      </c>
      <c r="B4" s="9" t="str" cm="1">
        <f t="array" ref="B4:B28">Sites[State]</f>
        <v>CT</v>
      </c>
      <c r="C4" s="24">
        <f>SUM(Jul!C4, Aug!C4, Sep!C4)</f>
        <v>464601</v>
      </c>
      <c r="D4" s="13">
        <f>SUM(Jul!D4, Aug!D4, Sep!D4)</f>
        <v>536830.9</v>
      </c>
      <c r="E4" s="13">
        <f>IF(AND(ISNUMBER(C4),ISNUMBER(D4)), C4-D4, "")</f>
        <v>-72229.900000000023</v>
      </c>
      <c r="F4" s="14">
        <f>IFERROR(E4/D4, "")</f>
        <v>-0.13454870053121015</v>
      </c>
      <c r="G4" s="15">
        <f xml:space="preserve"> SUM(Jul!G4,Aug!G4,Sep!G4)</f>
        <v>547331.19999999995</v>
      </c>
      <c r="H4" s="15">
        <f>SUM(Jul!H4, Aug!H4, Sep!H4)</f>
        <v>-82730.199999999983</v>
      </c>
      <c r="I4" s="16">
        <f>IFERROR(H4/G4, "")</f>
        <v>-0.15115198987377293</v>
      </c>
    </row>
    <row r="5" spans="1:9" ht="15.6">
      <c r="A5" s="43" t="str">
        <v>Bunce</v>
      </c>
      <c r="B5" s="10" t="str">
        <v>CT</v>
      </c>
      <c r="C5" s="11">
        <f>SUM(Jul!C5, Aug!C5, Sep!C5)</f>
        <v>1029483.25</v>
      </c>
      <c r="D5" s="18">
        <f>SUM(Jul!D5, Aug!D5, Sep!D5)</f>
        <v>830747.2</v>
      </c>
      <c r="E5" s="18">
        <f t="shared" ref="E5:E15" si="0">IF(AND(ISNUMBER(C5),ISNUMBER(D5)), C5-D5, "")</f>
        <v>198736.05000000005</v>
      </c>
      <c r="F5" s="19">
        <f>IFERROR(E5/D5, "")</f>
        <v>0.23922566335462828</v>
      </c>
      <c r="G5" s="18">
        <f xml:space="preserve"> SUM(Jul!G5,Aug!G5,Sep!G5)</f>
        <v>0</v>
      </c>
      <c r="H5" s="20">
        <f>SUM(Jul!H5, Aug!H5, Sep!H5)</f>
        <v>1029483.25</v>
      </c>
      <c r="I5" s="19" t="str">
        <f>IFERROR(H5/G5, "")</f>
        <v/>
      </c>
    </row>
    <row r="6" spans="1:9" ht="15.6">
      <c r="A6" s="42" t="str">
        <v>Norcap North</v>
      </c>
      <c r="B6" s="9" t="str">
        <v>CT</v>
      </c>
      <c r="C6" s="24">
        <f>SUM(Jul!C6, Aug!C6, Sep!C6)</f>
        <v>1039621.5</v>
      </c>
      <c r="D6" s="13">
        <f>SUM(Jul!D6, Aug!D6, Sep!D6)</f>
        <v>997174.60000000009</v>
      </c>
      <c r="E6" s="13">
        <f t="shared" si="0"/>
        <v>42446.899999999907</v>
      </c>
      <c r="F6" s="14">
        <f t="shared" ref="F6:F15" si="1">IFERROR(E6/D6, "")</f>
        <v>4.2567169280083854E-2</v>
      </c>
      <c r="G6" s="15">
        <f xml:space="preserve"> SUM(Jul!G6,Aug!G6,Sep!G6)</f>
        <v>1064446.2</v>
      </c>
      <c r="H6" s="15">
        <f>SUM(Jul!H6, Aug!H6, Sep!H6)</f>
        <v>-24824.700000000012</v>
      </c>
      <c r="I6" s="16">
        <f t="shared" ref="I6:I15" si="2">IFERROR(H6/G6, "")</f>
        <v>-2.3321704751259401E-2</v>
      </c>
    </row>
    <row r="7" spans="1:9" ht="15.6">
      <c r="A7" s="43" t="str">
        <v>Norcap South</v>
      </c>
      <c r="B7" s="10" t="str">
        <v>CT</v>
      </c>
      <c r="C7" s="11">
        <f>SUM(Jul!C7, Aug!C7, Sep!C7)</f>
        <v>1047841</v>
      </c>
      <c r="D7" s="18">
        <f>SUM(Jul!D7, Aug!D7, Sep!D7)</f>
        <v>1051499.3</v>
      </c>
      <c r="E7" s="18">
        <f t="shared" si="0"/>
        <v>-3658.3000000000466</v>
      </c>
      <c r="F7" s="19">
        <f t="shared" si="1"/>
        <v>-3.4791273755484632E-3</v>
      </c>
      <c r="G7" s="18">
        <f xml:space="preserve"> SUM(Jul!G7,Aug!G7,Sep!G7)</f>
        <v>1044230.3</v>
      </c>
      <c r="H7" s="20">
        <f>SUM(Jul!H7, Aug!H7, Sep!H7)</f>
        <v>3610.7000000000116</v>
      </c>
      <c r="I7" s="19">
        <f t="shared" si="2"/>
        <v>3.4577621430828156E-3</v>
      </c>
    </row>
    <row r="8" spans="1:9" ht="15.6">
      <c r="A8" s="42" t="str">
        <v>Platt Hill</v>
      </c>
      <c r="B8" s="9" t="str">
        <v>CT</v>
      </c>
      <c r="C8" s="24">
        <f>SUM(Jul!C8, Aug!C8, Sep!C8)</f>
        <v>645</v>
      </c>
      <c r="D8" s="13">
        <f>SUM(Jul!D8, Aug!D8, Sep!D8)</f>
        <v>52792.23</v>
      </c>
      <c r="E8" s="13">
        <f t="shared" si="0"/>
        <v>-52147.23</v>
      </c>
      <c r="F8" s="14">
        <f t="shared" si="1"/>
        <v>-0.98778229296243025</v>
      </c>
      <c r="G8" s="15">
        <f xml:space="preserve"> SUM(Jul!G8,Aug!G8,Sep!G8)</f>
        <v>460450.4</v>
      </c>
      <c r="H8" s="15">
        <f>SUM(Jul!H8, Aug!H8, Sep!H8)</f>
        <v>-459805.4</v>
      </c>
      <c r="I8" s="16">
        <f t="shared" si="2"/>
        <v>-0.99859919765516547</v>
      </c>
    </row>
    <row r="9" spans="1:9" ht="15.6">
      <c r="A9" s="43" t="str">
        <v>Powder Hill</v>
      </c>
      <c r="B9" s="10" t="str">
        <v>CT</v>
      </c>
      <c r="C9" s="11">
        <f>SUM(Jul!C9, Aug!C9, Sep!C9)</f>
        <v>976725</v>
      </c>
      <c r="D9" s="18">
        <f>SUM(Jul!D9, Aug!D9, Sep!D9)</f>
        <v>1013341.6</v>
      </c>
      <c r="E9" s="18">
        <f t="shared" si="0"/>
        <v>-36616.599999999977</v>
      </c>
      <c r="F9" s="19">
        <f t="shared" si="1"/>
        <v>-3.613450785006752E-2</v>
      </c>
      <c r="G9" s="18">
        <f xml:space="preserve"> SUM(Jul!G9,Aug!G9,Sep!G9)</f>
        <v>837084</v>
      </c>
      <c r="H9" s="20">
        <f>SUM(Jul!H9, Aug!H9, Sep!H9)</f>
        <v>139641</v>
      </c>
      <c r="I9" s="19">
        <f t="shared" si="2"/>
        <v>0.16681838381811145</v>
      </c>
    </row>
    <row r="10" spans="1:9" ht="15.6">
      <c r="A10" s="42" t="str">
        <v>Sand Road</v>
      </c>
      <c r="B10" s="9" t="str">
        <v>CT</v>
      </c>
      <c r="C10" s="24">
        <f>SUM(Jul!C10, Aug!C10, Sep!C10)</f>
        <v>1078627.019787384</v>
      </c>
      <c r="D10" s="13">
        <f>SUM(Jul!D10, Aug!D10, Sep!D10)</f>
        <v>946091.60000000009</v>
      </c>
      <c r="E10" s="13">
        <f t="shared" si="0"/>
        <v>132535.41978738387</v>
      </c>
      <c r="F10" s="14">
        <f t="shared" si="1"/>
        <v>0.14008730210413436</v>
      </c>
      <c r="G10" s="15">
        <f xml:space="preserve"> SUM(Jul!G10,Aug!G10,Sep!G10)</f>
        <v>972780</v>
      </c>
      <c r="H10" s="15">
        <f>SUM(Jul!H10, Aug!H10, Sep!H10)</f>
        <v>105847.01978738402</v>
      </c>
      <c r="I10" s="16">
        <f t="shared" si="2"/>
        <v>0.10880879519252454</v>
      </c>
    </row>
    <row r="11" spans="1:9" ht="15.6">
      <c r="A11" s="43" t="str">
        <v>Suffield</v>
      </c>
      <c r="B11" s="10" t="str">
        <v>CT</v>
      </c>
      <c r="C11" s="11">
        <f>SUM(Jul!C11, Aug!C11, Sep!C11)</f>
        <v>1049427</v>
      </c>
      <c r="D11" s="18">
        <f>SUM(Jul!D11, Aug!D11, Sep!D11)</f>
        <v>1034108.5</v>
      </c>
      <c r="E11" s="18">
        <f t="shared" si="0"/>
        <v>15318.5</v>
      </c>
      <c r="F11" s="19">
        <f t="shared" si="1"/>
        <v>1.4813242517588822E-2</v>
      </c>
      <c r="G11" s="18">
        <f xml:space="preserve"> SUM(Jul!G11,Aug!G11,Sep!G11)</f>
        <v>1072921</v>
      </c>
      <c r="H11" s="20">
        <f>SUM(Jul!H11, Aug!H11, Sep!H11)</f>
        <v>-23494</v>
      </c>
      <c r="I11" s="19">
        <f t="shared" si="2"/>
        <v>-2.1897231949043777E-2</v>
      </c>
    </row>
    <row r="12" spans="1:9" ht="15.6">
      <c r="A12" s="42" t="str">
        <v>Ashby-Duffy</v>
      </c>
      <c r="B12" s="9" t="str">
        <v>MA</v>
      </c>
      <c r="C12" s="24">
        <f>SUM(Jul!C12, Aug!C12, Sep!C12)</f>
        <v>923920</v>
      </c>
      <c r="D12" s="13">
        <f>SUM(Jul!D12, Aug!D12, Sep!D12)</f>
        <v>1074553.5</v>
      </c>
      <c r="E12" s="13">
        <f t="shared" si="0"/>
        <v>-150633.5</v>
      </c>
      <c r="F12" s="14">
        <f t="shared" si="1"/>
        <v>-0.14018241064777137</v>
      </c>
      <c r="G12" s="15">
        <f xml:space="preserve"> SUM(Jul!G12,Aug!G12,Sep!G12)</f>
        <v>1021186.8</v>
      </c>
      <c r="H12" s="15">
        <f>SUM(Jul!H12, Aug!H12, Sep!H12)</f>
        <v>-97266.799999999988</v>
      </c>
      <c r="I12" s="16">
        <f t="shared" si="2"/>
        <v>-9.5248783082585858E-2</v>
      </c>
    </row>
    <row r="13" spans="1:9" ht="15.6">
      <c r="A13" s="43" t="str">
        <v>Ashland</v>
      </c>
      <c r="B13" s="10" t="str">
        <v>MA</v>
      </c>
      <c r="C13" s="11">
        <f>SUM(Jul!C13, Aug!C13, Sep!C13)</f>
        <v>1029195.832816805</v>
      </c>
      <c r="D13" s="18">
        <f>SUM(Jul!D13, Aug!D13, Sep!D13)</f>
        <v>1044899.2</v>
      </c>
      <c r="E13" s="18">
        <f t="shared" si="0"/>
        <v>-15703.367183194961</v>
      </c>
      <c r="F13" s="19">
        <f t="shared" si="1"/>
        <v>-1.5028595278085161E-2</v>
      </c>
      <c r="G13" s="18">
        <f xml:space="preserve"> SUM(Jul!G13,Aug!G13,Sep!G13)</f>
        <v>1127421.8999999999</v>
      </c>
      <c r="H13" s="20">
        <f>SUM(Jul!H13, Aug!H13, Sep!H13)</f>
        <v>-98226.067183195031</v>
      </c>
      <c r="I13" s="19">
        <f t="shared" si="2"/>
        <v>-8.7124498098888309E-2</v>
      </c>
    </row>
    <row r="14" spans="1:9" ht="15.6">
      <c r="A14" s="42" t="str">
        <v>Barrington</v>
      </c>
      <c r="B14" s="9" t="str">
        <v>MA</v>
      </c>
      <c r="C14" s="24">
        <f>SUM(Jul!C14, Aug!C14, Sep!C14)</f>
        <v>232974</v>
      </c>
      <c r="D14" s="13">
        <f>SUM(Jul!D14, Aug!D14, Sep!D14)</f>
        <v>199147.21000000002</v>
      </c>
      <c r="E14" s="13">
        <f t="shared" si="0"/>
        <v>33826.789999999979</v>
      </c>
      <c r="F14" s="14">
        <f t="shared" si="1"/>
        <v>0.16985821694413883</v>
      </c>
      <c r="G14" s="15">
        <f xml:space="preserve"> SUM(Jul!G14,Aug!G14,Sep!G14)</f>
        <v>253900</v>
      </c>
      <c r="H14" s="15">
        <f>SUM(Jul!H14, Aug!H14, Sep!H14)</f>
        <v>-20926</v>
      </c>
      <c r="I14" s="16">
        <f t="shared" si="2"/>
        <v>-8.2418274911382428E-2</v>
      </c>
    </row>
    <row r="15" spans="1:9" ht="15.6">
      <c r="A15" s="43" t="str">
        <v>Bedford - 205 Burlington Rd</v>
      </c>
      <c r="B15" s="10" t="str">
        <v>MA</v>
      </c>
      <c r="C15" s="11">
        <f>SUM(Jul!C15, Aug!C15, Sep!C15)</f>
        <v>99700</v>
      </c>
      <c r="D15" s="18">
        <f>SUM(Jul!D15, Aug!D15, Sep!D15)</f>
        <v>0</v>
      </c>
      <c r="E15" s="18">
        <f t="shared" si="0"/>
        <v>99700</v>
      </c>
      <c r="F15" s="19" t="str">
        <f t="shared" si="1"/>
        <v/>
      </c>
      <c r="G15" s="18">
        <f xml:space="preserve"> SUM(Jul!G15,Aug!G15,Sep!G15)</f>
        <v>0</v>
      </c>
      <c r="H15" s="20">
        <f>SUM(Jul!H15, Aug!H15, Sep!H15)</f>
        <v>99700</v>
      </c>
      <c r="I15" s="19" t="str">
        <f t="shared" si="2"/>
        <v/>
      </c>
    </row>
    <row r="16" spans="1:9" ht="15.6">
      <c r="A16" s="42" t="str">
        <v>Billerica - 6 Cook Street</v>
      </c>
      <c r="B16" s="9" t="str">
        <v>MA</v>
      </c>
      <c r="C16" s="24">
        <f>SUM(Jul!C16, Aug!C16, Sep!C16)</f>
        <v>112721</v>
      </c>
      <c r="D16" s="13">
        <f>SUM(Jul!D16, Aug!D16, Sep!D16)</f>
        <v>0</v>
      </c>
      <c r="E16" s="13">
        <f t="shared" ref="E16:E22" si="3">IF(AND(ISNUMBER(C16),ISNUMBER(D16)), C16-D16, "")</f>
        <v>112721</v>
      </c>
      <c r="F16" s="14" t="str">
        <f t="shared" ref="F16:F23" si="4">IFERROR(E16/D16, "")</f>
        <v/>
      </c>
      <c r="G16" s="15">
        <f xml:space="preserve"> SUM(Jul!G16,Aug!G16,Sep!G16)</f>
        <v>0</v>
      </c>
      <c r="H16" s="15">
        <f>SUM(Jul!H16, Aug!H16, Sep!H16)</f>
        <v>112721</v>
      </c>
      <c r="I16" s="16" t="str">
        <f t="shared" ref="I16:I23" si="5">IFERROR(H16/G16, "")</f>
        <v/>
      </c>
    </row>
    <row r="17" spans="1:9" ht="15.6">
      <c r="A17" s="43" t="str">
        <v>Billerica - 780 Boston Road</v>
      </c>
      <c r="B17" s="10" t="str">
        <v>MA</v>
      </c>
      <c r="C17" s="11">
        <f>SUM(Jul!C17, Aug!C17, Sep!C17)</f>
        <v>128738</v>
      </c>
      <c r="D17" s="18">
        <f>SUM(Jul!D17, Aug!D17, Sep!D17)</f>
        <v>0</v>
      </c>
      <c r="E17" s="18">
        <f t="shared" si="3"/>
        <v>128738</v>
      </c>
      <c r="F17" s="19" t="str">
        <f t="shared" si="4"/>
        <v/>
      </c>
      <c r="G17" s="18">
        <f xml:space="preserve"> SUM(Jul!G17,Aug!G17,Sep!G17)</f>
        <v>0</v>
      </c>
      <c r="H17" s="20">
        <f>SUM(Jul!H17, Aug!H17, Sep!H17)</f>
        <v>128738</v>
      </c>
      <c r="I17" s="19" t="str">
        <f t="shared" si="5"/>
        <v/>
      </c>
    </row>
    <row r="18" spans="1:9" ht="12.75" customHeight="1">
      <c r="A18" s="42" t="str">
        <v>Cheshire</v>
      </c>
      <c r="B18" s="9" t="str">
        <v>MA</v>
      </c>
      <c r="C18" s="24">
        <f>SUM(Jul!C18, Aug!C18, Sep!C18)</f>
        <v>236628.75</v>
      </c>
      <c r="D18" s="13">
        <f>SUM(Jul!D18, Aug!D18, Sep!D18)</f>
        <v>246559.08000000002</v>
      </c>
      <c r="E18" s="13">
        <f t="shared" si="3"/>
        <v>-9930.3300000000163</v>
      </c>
      <c r="F18" s="14">
        <f t="shared" si="4"/>
        <v>-4.0275661314115932E-2</v>
      </c>
      <c r="G18" s="15">
        <f xml:space="preserve"> SUM(Jul!G18,Aug!G18,Sep!G18)</f>
        <v>191515.45</v>
      </c>
      <c r="H18" s="15">
        <f>SUM(Jul!H18, Aug!H18, Sep!H18)</f>
        <v>45113.3</v>
      </c>
      <c r="I18" s="16">
        <f t="shared" si="5"/>
        <v>0.23555958540159555</v>
      </c>
    </row>
    <row r="19" spans="1:9" ht="15.6">
      <c r="A19" s="43" t="str">
        <v>Lilly Lane</v>
      </c>
      <c r="B19" s="10" t="str">
        <v>MA</v>
      </c>
      <c r="C19" s="11">
        <f>SUM(Jul!C19, Aug!C19, Sep!C19)</f>
        <v>533083</v>
      </c>
      <c r="D19" s="18">
        <f>SUM(Jul!D19, Aug!D19, Sep!D19)</f>
        <v>492540.9</v>
      </c>
      <c r="E19" s="18">
        <f t="shared" si="3"/>
        <v>40542.099999999977</v>
      </c>
      <c r="F19" s="19">
        <f t="shared" si="4"/>
        <v>8.2312149102744508E-2</v>
      </c>
      <c r="G19" s="18">
        <f xml:space="preserve"> SUM(Jul!G19,Aug!G19,Sep!G19)</f>
        <v>530891.89999999991</v>
      </c>
      <c r="H19" s="20">
        <f>SUM(Jul!H19, Aug!H19, Sep!H19)</f>
        <v>2191.1000000000058</v>
      </c>
      <c r="I19" s="19">
        <f t="shared" si="5"/>
        <v>4.1272055572895462E-3</v>
      </c>
    </row>
    <row r="20" spans="1:9" ht="15.6">
      <c r="A20" s="42" t="str">
        <v>Monument Valley</v>
      </c>
      <c r="B20" s="9" t="str">
        <v>MA</v>
      </c>
      <c r="C20" s="24">
        <f>SUM(Jul!C20, Aug!C20, Sep!C20)</f>
        <v>1069709.7821782171</v>
      </c>
      <c r="D20" s="13">
        <f>SUM(Jul!D20, Aug!D20, Sep!D20)</f>
        <v>209176.95</v>
      </c>
      <c r="E20" s="13">
        <f t="shared" si="3"/>
        <v>860532.83217821713</v>
      </c>
      <c r="F20" s="14">
        <f t="shared" si="4"/>
        <v>4.1138989366572991</v>
      </c>
      <c r="G20" s="15">
        <f xml:space="preserve"> SUM(Jul!G20,Aug!G20,Sep!G20)</f>
        <v>0</v>
      </c>
      <c r="H20" s="15">
        <f>SUM(Jul!H20, Aug!H20, Sep!H20)</f>
        <v>1069709.7821782171</v>
      </c>
      <c r="I20" s="16" t="str">
        <f t="shared" si="5"/>
        <v/>
      </c>
    </row>
    <row r="21" spans="1:9" ht="15.6">
      <c r="A21" s="43" t="str">
        <v>Nationwide</v>
      </c>
      <c r="B21" s="10" t="str">
        <v>MA</v>
      </c>
      <c r="C21" s="11">
        <f>SUM(Jul!C21, Aug!C21, Sep!C21)</f>
        <v>1591893</v>
      </c>
      <c r="D21" s="18">
        <f>SUM(Jul!D21, Aug!D21, Sep!D21)</f>
        <v>1252273.8</v>
      </c>
      <c r="E21" s="18">
        <f t="shared" si="3"/>
        <v>339619.19999999995</v>
      </c>
      <c r="F21" s="19">
        <f t="shared" si="4"/>
        <v>0.27120203265452009</v>
      </c>
      <c r="G21" s="18">
        <f xml:space="preserve"> SUM(Jul!G21,Aug!G21,Sep!G21)</f>
        <v>1604230.5</v>
      </c>
      <c r="H21" s="20">
        <f>SUM(Jul!H21, Aug!H21, Sep!H21)</f>
        <v>-12337.500000000058</v>
      </c>
      <c r="I21" s="19">
        <f t="shared" si="5"/>
        <v>-7.6906030648339237E-3</v>
      </c>
    </row>
    <row r="22" spans="1:9" ht="15.6">
      <c r="A22" s="42" t="str">
        <v>Pulpit Hill</v>
      </c>
      <c r="B22" s="9" t="str">
        <v>MA</v>
      </c>
      <c r="C22" s="24">
        <f>SUM(Jul!C22, Aug!C22, Sep!C22)</f>
        <v>2294253.75</v>
      </c>
      <c r="D22" s="13">
        <f>SUM(Jul!D22, Aug!D22, Sep!D22)</f>
        <v>2227841.2999999998</v>
      </c>
      <c r="E22" s="13">
        <f t="shared" si="3"/>
        <v>66412.450000000186</v>
      </c>
      <c r="F22" s="14">
        <f t="shared" si="4"/>
        <v>2.9810224812692087E-2</v>
      </c>
      <c r="G22" s="15">
        <f xml:space="preserve"> SUM(Jul!G22,Aug!G22,Sep!G22)</f>
        <v>2254058.2999999998</v>
      </c>
      <c r="H22" s="15">
        <f>SUM(Jul!H22, Aug!H22, Sep!H22)</f>
        <v>40195.449999999953</v>
      </c>
      <c r="I22" s="16">
        <f t="shared" si="5"/>
        <v>1.7832480198049873E-2</v>
      </c>
    </row>
    <row r="23" spans="1:9" ht="15.6">
      <c r="A23" s="43" t="str">
        <v>Sandwich</v>
      </c>
      <c r="B23" s="10" t="str">
        <v>MA</v>
      </c>
      <c r="C23" s="11">
        <f>SUM(Jul!C23, Aug!C23, Sep!C23)</f>
        <v>1509328</v>
      </c>
      <c r="D23" s="18">
        <f>SUM(Jul!D23, Aug!D23, Sep!D23)</f>
        <v>0</v>
      </c>
      <c r="E23" s="18">
        <f t="shared" ref="E23:E28" si="6">IF(AND(ISNUMBER(C23),ISNUMBER(D23)), C23-D23, "")</f>
        <v>1509328</v>
      </c>
      <c r="F23" s="19" t="str">
        <f t="shared" si="4"/>
        <v/>
      </c>
      <c r="G23" s="18">
        <f xml:space="preserve"> SUM(Jul!G23,Aug!G23,Sep!G23)</f>
        <v>0</v>
      </c>
      <c r="H23" s="20">
        <f>SUM(Jul!H23, Aug!H23, Sep!H23)</f>
        <v>1509328</v>
      </c>
      <c r="I23" s="19" t="str">
        <f t="shared" si="5"/>
        <v/>
      </c>
    </row>
    <row r="24" spans="1:9" ht="15.6">
      <c r="A24" s="42" t="str">
        <v>Sturbridge Barn</v>
      </c>
      <c r="B24" s="9" t="str">
        <v>MA</v>
      </c>
      <c r="C24" s="24">
        <f>SUM(Jul!C24, Aug!C24, Sep!C24)</f>
        <v>519292.5</v>
      </c>
      <c r="D24" s="13">
        <f>SUM(Jul!D24, Aug!D24, Sep!D24)</f>
        <v>513272</v>
      </c>
      <c r="E24" s="13">
        <f t="shared" si="6"/>
        <v>6020.5</v>
      </c>
      <c r="F24" s="14">
        <f t="shared" ref="F24:F28" si="7">IFERROR(E24/D24, "")</f>
        <v>1.1729648217709129E-2</v>
      </c>
      <c r="G24" s="15">
        <f xml:space="preserve"> SUM(Jul!G24,Aug!G24,Sep!G24)</f>
        <v>567619.1</v>
      </c>
      <c r="H24" s="15">
        <f>SUM(Jul!H24, Aug!H24, Sep!H24)</f>
        <v>-48326.600000000006</v>
      </c>
      <c r="I24" s="16">
        <f t="shared" ref="I24:I28" si="8">IFERROR(H24/G24, "")</f>
        <v>-8.513913643850253E-2</v>
      </c>
    </row>
    <row r="25" spans="1:9" ht="15.6">
      <c r="A25" s="43" t="str">
        <v>Sturbridge Garage</v>
      </c>
      <c r="B25" s="10" t="str">
        <v>MA</v>
      </c>
      <c r="C25" s="11">
        <f>SUM(Jul!C25, Aug!C25, Sep!C25)</f>
        <v>266531.25</v>
      </c>
      <c r="D25" s="18">
        <f>SUM(Jul!D25, Aug!D25, Sep!D25)</f>
        <v>245458.38999999998</v>
      </c>
      <c r="E25" s="18">
        <f t="shared" si="6"/>
        <v>21072.860000000015</v>
      </c>
      <c r="F25" s="19">
        <f t="shared" si="7"/>
        <v>8.58510479108089E-2</v>
      </c>
      <c r="G25" s="18">
        <f xml:space="preserve"> SUM(Jul!G25,Aug!G25,Sep!G25)</f>
        <v>262248.17000000004</v>
      </c>
      <c r="H25" s="20">
        <f>SUM(Jul!H25, Aug!H25, Sep!H25)</f>
        <v>4283.0799999999872</v>
      </c>
      <c r="I25" s="19">
        <f t="shared" si="8"/>
        <v>1.6332163538071539E-2</v>
      </c>
    </row>
    <row r="26" spans="1:9" ht="15.6">
      <c r="A26" s="42" t="str">
        <v>Halsey Valley</v>
      </c>
      <c r="B26" s="9" t="str">
        <v>NY</v>
      </c>
      <c r="C26" s="24">
        <f>SUM(Jul!C26, Aug!C26, Sep!C26)</f>
        <v>2736351</v>
      </c>
      <c r="D26" s="13">
        <f>SUM(Jul!D26, Aug!D26, Sep!D26)</f>
        <v>2706844.9</v>
      </c>
      <c r="E26" s="13">
        <f t="shared" si="6"/>
        <v>29506.100000000093</v>
      </c>
      <c r="F26" s="14">
        <f t="shared" si="7"/>
        <v>1.0900550674329398E-2</v>
      </c>
      <c r="G26" s="15">
        <f xml:space="preserve"> SUM(Jul!G26,Aug!G26,Sep!G26)</f>
        <v>2919000</v>
      </c>
      <c r="H26" s="15">
        <f>SUM(Jul!H26, Aug!H26, Sep!H26)</f>
        <v>-182649</v>
      </c>
      <c r="I26" s="16">
        <f t="shared" si="8"/>
        <v>-6.2572456320657763E-2</v>
      </c>
    </row>
    <row r="27" spans="1:9" ht="15.6">
      <c r="A27" s="43" t="str">
        <v>Hunt Creek</v>
      </c>
      <c r="B27" s="10" t="str">
        <v>NY</v>
      </c>
      <c r="C27" s="11">
        <f>SUM(Jul!C27, Aug!C27, Sep!C27)</f>
        <v>1819564.5359721</v>
      </c>
      <c r="D27" s="18">
        <f>SUM(Jul!D27, Aug!D27, Sep!D27)</f>
        <v>1954500.4000000001</v>
      </c>
      <c r="E27" s="18">
        <f t="shared" si="6"/>
        <v>-134935.86402790016</v>
      </c>
      <c r="F27" s="19">
        <f t="shared" si="7"/>
        <v>-6.9038545107435206E-2</v>
      </c>
      <c r="G27" s="18">
        <f xml:space="preserve"> SUM(Jul!G27,Aug!G27,Sep!G27)</f>
        <v>2081600</v>
      </c>
      <c r="H27" s="20">
        <f>SUM(Jul!H27, Aug!H27, Sep!H27)</f>
        <v>-262035.46402790002</v>
      </c>
      <c r="I27" s="19">
        <f t="shared" si="8"/>
        <v>-0.1258817563546791</v>
      </c>
    </row>
    <row r="28" spans="1:9" ht="15.6">
      <c r="A28" s="42" t="str">
        <v>Smith Creek</v>
      </c>
      <c r="B28" s="9" t="str">
        <v>NY</v>
      </c>
      <c r="C28" s="24">
        <f>SUM(Jul!C28, Aug!C28, Sep!C28)</f>
        <v>2009612.2192912009</v>
      </c>
      <c r="D28" s="13">
        <f>SUM(Jul!D28, Aug!D28, Sep!D28)</f>
        <v>2155608.7999999998</v>
      </c>
      <c r="E28" s="13">
        <f t="shared" si="6"/>
        <v>-145996.58070879895</v>
      </c>
      <c r="F28" s="14">
        <f t="shared" si="7"/>
        <v>-6.7728699525071046E-2</v>
      </c>
      <c r="G28" s="15">
        <f xml:space="preserve"> SUM(Jul!G28,Aug!G28,Sep!G28)</f>
        <v>2192345.7999999998</v>
      </c>
      <c r="H28" s="15">
        <f>SUM(Jul!H28, Aug!H28, Sep!H28)</f>
        <v>-182733.58070879895</v>
      </c>
      <c r="I28" s="16">
        <f t="shared" si="8"/>
        <v>-8.3350710781482998E-2</v>
      </c>
    </row>
    <row r="29" spans="1:9" ht="15.6">
      <c r="A29" s="17"/>
      <c r="B29" s="21"/>
      <c r="C29" s="21"/>
      <c r="D29" s="21"/>
      <c r="E29" s="21"/>
      <c r="F29" s="21"/>
      <c r="G29" s="21"/>
      <c r="H29" s="21"/>
      <c r="I29" s="21"/>
    </row>
    <row r="30" spans="1:9" ht="15.6">
      <c r="A30" s="17"/>
      <c r="B30" s="21"/>
      <c r="C30" s="21"/>
      <c r="D30" s="21"/>
      <c r="E30" s="21"/>
      <c r="F30" s="21"/>
      <c r="G30" s="21"/>
      <c r="H30" s="21"/>
      <c r="I30" s="21"/>
    </row>
    <row r="31" spans="1:9" ht="15.6">
      <c r="A31" s="17"/>
      <c r="B31" s="21"/>
      <c r="C31" s="21"/>
      <c r="D31" s="21"/>
      <c r="E31" s="21"/>
      <c r="F31" s="21"/>
      <c r="G31" s="21"/>
      <c r="H31" s="21"/>
      <c r="I31" s="21"/>
    </row>
    <row r="32" spans="1:9" ht="15.6">
      <c r="A32" s="17"/>
      <c r="B32" s="21"/>
      <c r="C32" s="21"/>
      <c r="D32" s="21"/>
      <c r="E32" s="21"/>
      <c r="F32" s="21"/>
      <c r="G32" s="21"/>
      <c r="H32" s="21"/>
      <c r="I32" s="21"/>
    </row>
    <row r="33" spans="1:9" ht="15.6">
      <c r="A33" s="17"/>
      <c r="B33" s="21"/>
      <c r="C33" s="21"/>
      <c r="D33" s="21"/>
      <c r="E33" s="21"/>
      <c r="F33" s="21"/>
      <c r="G33" s="21"/>
      <c r="H33" s="21"/>
      <c r="I33" s="21"/>
    </row>
    <row r="34" spans="1:9" ht="15.6">
      <c r="A34" s="17"/>
      <c r="B34" s="21"/>
      <c r="C34" s="21"/>
      <c r="D34" s="21"/>
      <c r="E34" s="21"/>
      <c r="F34" s="21"/>
      <c r="G34" s="21"/>
      <c r="H34" s="21"/>
      <c r="I34" s="21"/>
    </row>
    <row r="35" spans="1:9" ht="12.95">
      <c r="A35" s="21"/>
      <c r="B35" s="21"/>
      <c r="C35" s="21"/>
      <c r="D35" s="21"/>
      <c r="E35" s="21"/>
      <c r="F35" s="21"/>
      <c r="G35" s="21"/>
      <c r="H35" s="21"/>
      <c r="I35" s="21"/>
    </row>
    <row r="36" spans="1:9" ht="12.95">
      <c r="A36" s="21"/>
      <c r="B36" s="21"/>
      <c r="C36" s="21"/>
      <c r="D36" s="21"/>
      <c r="E36" s="21"/>
      <c r="F36" s="22"/>
      <c r="G36" s="21"/>
      <c r="H36" s="21"/>
      <c r="I36" s="22"/>
    </row>
    <row r="37" spans="1:9" ht="12.95">
      <c r="A37" s="21"/>
      <c r="B37" s="21"/>
      <c r="C37" s="21"/>
      <c r="D37" s="21"/>
      <c r="E37" s="21"/>
      <c r="F37" s="22"/>
      <c r="G37" s="21"/>
      <c r="H37" s="21"/>
      <c r="I37" s="22"/>
    </row>
    <row r="38" spans="1:9" ht="12.95">
      <c r="A38" s="21"/>
      <c r="B38" s="21"/>
      <c r="C38" s="21"/>
      <c r="D38" s="21"/>
      <c r="E38" s="21"/>
      <c r="F38" s="22"/>
      <c r="G38" s="21"/>
      <c r="H38" s="21"/>
      <c r="I38" s="22"/>
    </row>
    <row r="39" spans="1:9" ht="12.95">
      <c r="A39" s="21"/>
      <c r="B39" s="21"/>
      <c r="C39" s="21"/>
      <c r="D39" s="21"/>
      <c r="E39" s="21"/>
      <c r="F39" s="22"/>
      <c r="G39" s="21"/>
      <c r="H39" s="21"/>
      <c r="I39" s="22"/>
    </row>
    <row r="40" spans="1:9" ht="12.95">
      <c r="A40" s="21"/>
      <c r="B40" s="21"/>
      <c r="C40" s="21"/>
      <c r="D40" s="21"/>
      <c r="E40" s="21"/>
      <c r="F40" s="22"/>
      <c r="G40" s="21"/>
      <c r="H40" s="21"/>
      <c r="I40" s="22"/>
    </row>
    <row r="41" spans="1:9" ht="12.95">
      <c r="A41" s="21"/>
      <c r="B41" s="21"/>
      <c r="C41" s="21"/>
      <c r="D41" s="21"/>
      <c r="E41" s="21"/>
      <c r="F41" s="22"/>
      <c r="G41" s="21"/>
      <c r="H41" s="21"/>
      <c r="I41" s="22"/>
    </row>
    <row r="42" spans="1:9" ht="12.95">
      <c r="A42" s="21"/>
      <c r="B42" s="21"/>
      <c r="C42" s="21"/>
      <c r="D42" s="21"/>
      <c r="E42" s="21"/>
      <c r="F42" s="22"/>
      <c r="G42" s="21"/>
      <c r="H42" s="21"/>
      <c r="I42" s="22"/>
    </row>
    <row r="43" spans="1:9" ht="12.95">
      <c r="A43" s="21"/>
      <c r="B43" s="21"/>
      <c r="C43" s="21"/>
      <c r="D43" s="21"/>
      <c r="E43" s="21"/>
      <c r="F43" s="22"/>
      <c r="G43" s="21"/>
      <c r="H43" s="21"/>
      <c r="I43" s="22"/>
    </row>
    <row r="44" spans="1:9" ht="12.95">
      <c r="A44" s="21"/>
      <c r="B44" s="21"/>
      <c r="C44" s="21"/>
      <c r="D44" s="21"/>
      <c r="E44" s="21"/>
      <c r="F44" s="22"/>
      <c r="G44" s="21"/>
      <c r="H44" s="21"/>
      <c r="I44" s="22"/>
    </row>
    <row r="45" spans="1:9" ht="12.95">
      <c r="A45" s="21"/>
      <c r="B45" s="21"/>
      <c r="C45" s="21"/>
      <c r="D45" s="21"/>
      <c r="E45" s="21"/>
      <c r="F45" s="22"/>
      <c r="G45" s="21"/>
      <c r="H45" s="21"/>
      <c r="I45" s="22"/>
    </row>
    <row r="46" spans="1:9" ht="12.95">
      <c r="A46" s="21"/>
      <c r="B46" s="21"/>
      <c r="C46" s="21"/>
      <c r="D46" s="21"/>
      <c r="E46" s="21"/>
      <c r="F46" s="22"/>
      <c r="G46" s="21"/>
      <c r="H46" s="21"/>
      <c r="I46" s="22"/>
    </row>
    <row r="47" spans="1:9" ht="12.95">
      <c r="A47" s="21"/>
      <c r="B47" s="21"/>
      <c r="C47" s="21"/>
      <c r="D47" s="21"/>
      <c r="E47" s="21"/>
      <c r="F47" s="22"/>
      <c r="G47" s="21"/>
      <c r="H47" s="21"/>
      <c r="I47" s="22"/>
    </row>
    <row r="48" spans="1:9" ht="12.95">
      <c r="A48" s="21"/>
      <c r="B48" s="21"/>
      <c r="C48" s="21"/>
      <c r="D48" s="21"/>
      <c r="E48" s="21"/>
      <c r="F48" s="22"/>
      <c r="G48" s="21"/>
      <c r="H48" s="21"/>
      <c r="I48" s="22"/>
    </row>
    <row r="49" spans="1:9" ht="12.95">
      <c r="A49" s="21"/>
      <c r="B49" s="21"/>
      <c r="C49" s="21"/>
      <c r="D49" s="21"/>
      <c r="E49" s="21"/>
      <c r="F49" s="22"/>
      <c r="G49" s="21"/>
      <c r="H49" s="21"/>
      <c r="I49" s="22"/>
    </row>
    <row r="50" spans="1:9" ht="12.95">
      <c r="A50" s="21"/>
      <c r="B50" s="21"/>
      <c r="C50" s="21"/>
      <c r="D50" s="21"/>
      <c r="E50" s="21"/>
      <c r="F50" s="22"/>
      <c r="G50" s="21"/>
      <c r="H50" s="21"/>
      <c r="I50" s="22"/>
    </row>
    <row r="51" spans="1:9" ht="12.95">
      <c r="A51" s="21"/>
      <c r="B51" s="21"/>
      <c r="C51" s="21"/>
      <c r="D51" s="21"/>
      <c r="E51" s="21"/>
      <c r="F51" s="22"/>
      <c r="G51" s="21"/>
      <c r="H51" s="21"/>
      <c r="I51" s="22"/>
    </row>
    <row r="52" spans="1:9" ht="12.95">
      <c r="A52" s="21"/>
      <c r="B52" s="21"/>
      <c r="C52" s="21"/>
      <c r="D52" s="21"/>
      <c r="E52" s="21"/>
      <c r="F52" s="22"/>
      <c r="G52" s="21"/>
      <c r="H52" s="21"/>
      <c r="I52" s="22"/>
    </row>
    <row r="53" spans="1:9" ht="12.95">
      <c r="A53" s="21"/>
      <c r="B53" s="21"/>
      <c r="C53" s="21"/>
      <c r="D53" s="21"/>
      <c r="E53" s="21"/>
      <c r="F53" s="22"/>
      <c r="G53" s="21"/>
      <c r="H53" s="21"/>
      <c r="I53" s="22"/>
    </row>
    <row r="54" spans="1:9" ht="12.95">
      <c r="A54" s="21"/>
      <c r="B54" s="21"/>
      <c r="C54" s="21"/>
      <c r="D54" s="21"/>
      <c r="E54" s="21"/>
      <c r="F54" s="22"/>
      <c r="G54" s="21"/>
      <c r="H54" s="21"/>
      <c r="I54" s="22"/>
    </row>
    <row r="55" spans="1:9" ht="12.95">
      <c r="A55" s="21"/>
      <c r="B55" s="21"/>
      <c r="C55" s="21"/>
      <c r="D55" s="21"/>
      <c r="E55" s="21"/>
      <c r="F55" s="22"/>
      <c r="G55" s="21"/>
      <c r="H55" s="21"/>
      <c r="I55" s="22"/>
    </row>
    <row r="56" spans="1:9" ht="12.95">
      <c r="A56" s="21"/>
      <c r="B56" s="21"/>
      <c r="C56" s="21"/>
      <c r="D56" s="21"/>
      <c r="E56" s="21"/>
      <c r="F56" s="22"/>
      <c r="G56" s="21"/>
      <c r="H56" s="21"/>
      <c r="I56" s="22"/>
    </row>
    <row r="57" spans="1:9" ht="12.95">
      <c r="A57" s="21"/>
      <c r="B57" s="21"/>
      <c r="C57" s="21"/>
      <c r="D57" s="21"/>
      <c r="E57" s="21"/>
      <c r="F57" s="22"/>
      <c r="G57" s="21"/>
      <c r="H57" s="21"/>
      <c r="I57" s="22"/>
    </row>
    <row r="58" spans="1:9" ht="12.95">
      <c r="A58" s="21"/>
      <c r="B58" s="21"/>
      <c r="C58" s="21"/>
      <c r="D58" s="21"/>
      <c r="E58" s="21"/>
      <c r="F58" s="22"/>
      <c r="G58" s="21"/>
      <c r="H58" s="21"/>
      <c r="I58" s="22"/>
    </row>
    <row r="59" spans="1:9" ht="12.95">
      <c r="A59" s="21"/>
      <c r="B59" s="21"/>
      <c r="C59" s="21"/>
      <c r="D59" s="21"/>
      <c r="E59" s="21"/>
      <c r="F59" s="22"/>
      <c r="G59" s="21"/>
      <c r="H59" s="21"/>
      <c r="I59" s="22"/>
    </row>
    <row r="60" spans="1:9" ht="12.95">
      <c r="A60" s="21"/>
      <c r="B60" s="21"/>
      <c r="C60" s="21"/>
      <c r="D60" s="21"/>
      <c r="E60" s="21"/>
      <c r="F60" s="22"/>
      <c r="G60" s="21"/>
      <c r="H60" s="21"/>
      <c r="I60" s="22"/>
    </row>
    <row r="61" spans="1:9" ht="12.95">
      <c r="A61" s="21"/>
      <c r="B61" s="21"/>
      <c r="C61" s="21"/>
      <c r="D61" s="21"/>
      <c r="E61" s="21"/>
      <c r="F61" s="22"/>
      <c r="G61" s="21"/>
      <c r="H61" s="21"/>
      <c r="I61" s="22"/>
    </row>
    <row r="62" spans="1:9" ht="12.95">
      <c r="A62" s="21"/>
      <c r="B62" s="21"/>
      <c r="C62" s="21"/>
      <c r="D62" s="21"/>
      <c r="E62" s="21"/>
      <c r="F62" s="22"/>
      <c r="G62" s="21"/>
      <c r="H62" s="21"/>
      <c r="I62" s="22"/>
    </row>
    <row r="63" spans="1:9" ht="12.95">
      <c r="A63" s="21"/>
      <c r="B63" s="21"/>
      <c r="C63" s="21"/>
      <c r="D63" s="21"/>
      <c r="E63" s="21"/>
      <c r="F63" s="22"/>
      <c r="G63" s="21"/>
      <c r="H63" s="21"/>
      <c r="I63" s="22"/>
    </row>
    <row r="64" spans="1:9" ht="12.95">
      <c r="A64" s="21"/>
      <c r="B64" s="21"/>
      <c r="C64" s="21"/>
      <c r="D64" s="21"/>
      <c r="E64" s="21"/>
      <c r="F64" s="22"/>
      <c r="G64" s="21"/>
      <c r="H64" s="21"/>
      <c r="I64" s="22"/>
    </row>
    <row r="65" spans="1:9" ht="12.95">
      <c r="A65" s="21"/>
      <c r="B65" s="21"/>
      <c r="C65" s="21"/>
      <c r="D65" s="21"/>
      <c r="E65" s="21"/>
      <c r="F65" s="22"/>
      <c r="G65" s="21"/>
      <c r="H65" s="21"/>
      <c r="I65" s="22"/>
    </row>
    <row r="66" spans="1:9" ht="12.95">
      <c r="A66" s="21"/>
      <c r="B66" s="21"/>
      <c r="C66" s="21"/>
      <c r="D66" s="21"/>
      <c r="E66" s="21"/>
      <c r="F66" s="22"/>
      <c r="G66" s="21"/>
      <c r="H66" s="21"/>
      <c r="I66" s="22"/>
    </row>
    <row r="67" spans="1:9" ht="12.95">
      <c r="A67" s="21"/>
      <c r="B67" s="21"/>
      <c r="C67" s="21"/>
      <c r="D67" s="21"/>
      <c r="E67" s="21"/>
      <c r="F67" s="22"/>
      <c r="G67" s="21"/>
      <c r="H67" s="21"/>
      <c r="I67" s="22"/>
    </row>
    <row r="68" spans="1:9" ht="12.95">
      <c r="A68" s="21"/>
      <c r="B68" s="21"/>
      <c r="C68" s="21"/>
      <c r="D68" s="21"/>
      <c r="E68" s="21"/>
      <c r="F68" s="22"/>
      <c r="G68" s="21"/>
      <c r="H68" s="21"/>
      <c r="I68" s="22"/>
    </row>
    <row r="69" spans="1:9" ht="12.95">
      <c r="A69" s="21"/>
      <c r="B69" s="21"/>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row r="343" spans="1:9" ht="12.95">
      <c r="A343" s="21"/>
      <c r="B343" s="21"/>
      <c r="C343" s="21"/>
      <c r="D343" s="21"/>
      <c r="E343" s="21"/>
      <c r="F343" s="22"/>
      <c r="G343" s="21"/>
      <c r="H343" s="21"/>
      <c r="I343" s="22"/>
    </row>
    <row r="344" spans="1:9" ht="12.95">
      <c r="A344" s="21"/>
      <c r="B344" s="21"/>
      <c r="C344" s="21"/>
      <c r="D344" s="21"/>
      <c r="E344" s="21"/>
      <c r="F344" s="22"/>
      <c r="G344" s="21"/>
      <c r="H344" s="21"/>
      <c r="I344" s="22"/>
    </row>
    <row r="345" spans="1:9" ht="12.95">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C4" activePane="bottomRight" state="frozen"/>
      <selection pane="bottomRight" activeCell="L26" sqref="L26"/>
      <selection pane="bottomLeft" activeCell="M12" sqref="M12"/>
      <selection pane="topRight" activeCell="M12" sqref="M12"/>
    </sheetView>
  </sheetViews>
  <sheetFormatPr defaultRowHeight="12.6"/>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Lodestar</v>
      </c>
      <c r="B1" s="60"/>
      <c r="C1" s="60"/>
      <c r="D1" s="61" t="s">
        <v>16</v>
      </c>
      <c r="E1" s="61"/>
      <c r="F1" s="61"/>
      <c r="G1" s="59" t="s">
        <v>17</v>
      </c>
      <c r="H1" s="59"/>
      <c r="I1" s="59"/>
    </row>
    <row r="2" spans="1:9" ht="19.5" customHeight="1">
      <c r="A2" s="62" t="s">
        <v>2</v>
      </c>
      <c r="B2" s="62"/>
      <c r="C2" s="5">
        <f>SUM(C4:C103)</f>
        <v>14815785.837656491</v>
      </c>
      <c r="D2" s="5">
        <f>SUM(D4:D103)</f>
        <v>15421724.98</v>
      </c>
      <c r="E2" s="5">
        <f>C2-D2</f>
        <v>-605939.14234350994</v>
      </c>
      <c r="F2" s="6">
        <f>IFERROR(E2/D2, 0)</f>
        <v>-3.9291268851528303E-2</v>
      </c>
      <c r="G2" s="5">
        <f>SUM(G4:G103)</f>
        <v>11487397.939999999</v>
      </c>
      <c r="H2" s="7">
        <f>C2-G2</f>
        <v>3328387.897656491</v>
      </c>
      <c r="I2" s="6">
        <f>IFERROR(H2/G2, 0)</f>
        <v>0.28974254352822493</v>
      </c>
    </row>
    <row r="3" spans="1:9" ht="14.25" customHeight="1">
      <c r="A3" s="8" t="s">
        <v>3</v>
      </c>
      <c r="B3" s="8" t="s">
        <v>4</v>
      </c>
      <c r="C3" s="23" t="s">
        <v>5</v>
      </c>
      <c r="D3" s="33" t="s">
        <v>6</v>
      </c>
      <c r="E3" s="33" t="s">
        <v>7</v>
      </c>
      <c r="F3" s="34" t="s">
        <v>8</v>
      </c>
      <c r="G3" s="35" t="s">
        <v>9</v>
      </c>
      <c r="H3" s="36" t="s">
        <v>7</v>
      </c>
      <c r="I3" s="37" t="s">
        <v>8</v>
      </c>
    </row>
    <row r="4" spans="1:9" ht="15.6">
      <c r="A4" s="42" t="str" cm="1">
        <f t="array" ref="A4:A28">Sites[Site]</f>
        <v>Barkhamsted</v>
      </c>
      <c r="B4" s="9" t="str" cm="1">
        <f t="array" ref="B4:B28">Sites[State]</f>
        <v>CT</v>
      </c>
      <c r="C4" s="24">
        <f>SUM(Oct!C4, Nov!C4, Dec!C4)</f>
        <v>371660</v>
      </c>
      <c r="D4" s="13">
        <f>SUM(Oct!D4, Nov!D4, Dec!D4)</f>
        <v>446841.60000000003</v>
      </c>
      <c r="E4" s="13">
        <f>IF(AND(ISNUMBER(C4),ISNUMBER(D4)), C4-D4, "")</f>
        <v>-75181.600000000035</v>
      </c>
      <c r="F4" s="14">
        <f>IFERROR(E4/D4, "")</f>
        <v>-0.16825112075509538</v>
      </c>
      <c r="G4" s="15">
        <f>SUM(Oct!G4,Nov!G4,Dec!G4)</f>
        <v>310794.7</v>
      </c>
      <c r="H4" s="15">
        <f>SUM(Oct!H4, Nov!H4, Dec!H4)</f>
        <v>60865.3</v>
      </c>
      <c r="I4" s="16">
        <f>IFERROR(H4/G4, "")</f>
        <v>0.19583763815792227</v>
      </c>
    </row>
    <row r="5" spans="1:9" ht="15.6">
      <c r="A5" s="43" t="str">
        <v>Bunce</v>
      </c>
      <c r="B5" s="10" t="str">
        <v>CT</v>
      </c>
      <c r="C5" s="11">
        <f>SUM(Oct!C5, Nov!C5, Dec!C5)</f>
        <v>654909</v>
      </c>
      <c r="D5" s="18">
        <f>SUM(Oct!D5, Nov!D5, Dec!D5)</f>
        <v>727327.10000000009</v>
      </c>
      <c r="E5" s="18">
        <f t="shared" ref="E5:E15" si="0">IF(AND(ISNUMBER(C5),ISNUMBER(D5)), C5-D5, "")</f>
        <v>-72418.100000000093</v>
      </c>
      <c r="F5" s="19">
        <f>IFERROR(E5/D5, "")</f>
        <v>-9.95674435889988E-2</v>
      </c>
      <c r="G5" s="18">
        <f>SUM(Oct!G5,Nov!G5,Dec!G5)</f>
        <v>0</v>
      </c>
      <c r="H5" s="20">
        <f>SUM(Oct!H5, Nov!H5, Dec!H5)</f>
        <v>654909</v>
      </c>
      <c r="I5" s="19" t="str">
        <f>IFERROR(H5/G5, "")</f>
        <v/>
      </c>
    </row>
    <row r="6" spans="1:9" ht="15.6">
      <c r="A6" s="42" t="str">
        <v>Norcap North</v>
      </c>
      <c r="B6" s="9" t="str">
        <v>CT</v>
      </c>
      <c r="C6" s="24">
        <f>SUM(Oct!C6, Nov!C6, Dec!C6)</f>
        <v>732719</v>
      </c>
      <c r="D6" s="13">
        <f>SUM(Oct!D6, Nov!D6, Dec!D6)</f>
        <v>951683.2</v>
      </c>
      <c r="E6" s="13">
        <f t="shared" si="0"/>
        <v>-218964.19999999995</v>
      </c>
      <c r="F6" s="14">
        <f t="shared" ref="F6:F15" si="1">IFERROR(E6/D6, "")</f>
        <v>-0.23008097652664244</v>
      </c>
      <c r="G6" s="15">
        <f>SUM(Oct!G6,Nov!G6,Dec!G6)</f>
        <v>632209.19999999995</v>
      </c>
      <c r="H6" s="15">
        <f>SUM(Oct!H6, Nov!H6, Dec!H6)</f>
        <v>100509.79999999999</v>
      </c>
      <c r="I6" s="16">
        <f t="shared" ref="I6:I15" si="2">IFERROR(H6/G6, "")</f>
        <v>0.15898186865993091</v>
      </c>
    </row>
    <row r="7" spans="1:9" ht="15.6">
      <c r="A7" s="43" t="str">
        <v>Norcap South</v>
      </c>
      <c r="B7" s="10" t="str">
        <v>CT</v>
      </c>
      <c r="C7" s="11">
        <f>SUM(Oct!C7, Nov!C7, Dec!C7)</f>
        <v>772261</v>
      </c>
      <c r="D7" s="18">
        <f>SUM(Oct!D7, Nov!D7, Dec!D7)</f>
        <v>1019903.7999999999</v>
      </c>
      <c r="E7" s="18">
        <f t="shared" si="0"/>
        <v>-247642.79999999993</v>
      </c>
      <c r="F7" s="19">
        <f t="shared" si="1"/>
        <v>-0.24280995913536155</v>
      </c>
      <c r="G7" s="18">
        <f>SUM(Oct!G7,Nov!G7,Dec!G7)</f>
        <v>577265.9</v>
      </c>
      <c r="H7" s="20">
        <f>SUM(Oct!H7, Nov!H7, Dec!H7)</f>
        <v>194995.1</v>
      </c>
      <c r="I7" s="19">
        <f t="shared" si="2"/>
        <v>0.33779078237602461</v>
      </c>
    </row>
    <row r="8" spans="1:9" ht="15.6">
      <c r="A8" s="42" t="str">
        <v>Platt Hill</v>
      </c>
      <c r="B8" s="9" t="str">
        <v>CT</v>
      </c>
      <c r="C8" s="24">
        <f>SUM(Oct!C8, Nov!C8, Dec!C8)</f>
        <v>526295</v>
      </c>
      <c r="D8" s="13">
        <f>SUM(Oct!D8, Nov!D8, Dec!D8)</f>
        <v>574358.69999999995</v>
      </c>
      <c r="E8" s="13">
        <f t="shared" si="0"/>
        <v>-48063.699999999953</v>
      </c>
      <c r="F8" s="14">
        <f t="shared" si="1"/>
        <v>-8.3682374794705749E-2</v>
      </c>
      <c r="G8" s="15">
        <f>SUM(Oct!G8,Nov!G8,Dec!G8)</f>
        <v>667772</v>
      </c>
      <c r="H8" s="15">
        <f>SUM(Oct!H8, Nov!H8, Dec!H8)</f>
        <v>-141477</v>
      </c>
      <c r="I8" s="16">
        <f t="shared" si="2"/>
        <v>-0.21186422910813871</v>
      </c>
    </row>
    <row r="9" spans="1:9" ht="15.6">
      <c r="A9" s="43" t="str">
        <v>Powder Hill</v>
      </c>
      <c r="B9" s="10" t="str">
        <v>CT</v>
      </c>
      <c r="C9" s="11">
        <f>SUM(Oct!C9, Nov!C9, Dec!C9)</f>
        <v>671098</v>
      </c>
      <c r="D9" s="18">
        <f>SUM(Oct!D9, Nov!D9, Dec!D9)</f>
        <v>728628.5</v>
      </c>
      <c r="E9" s="18">
        <f t="shared" si="0"/>
        <v>-57530.5</v>
      </c>
      <c r="F9" s="19">
        <f t="shared" si="1"/>
        <v>-7.8957246388248609E-2</v>
      </c>
      <c r="G9" s="18">
        <f>SUM(Oct!G9,Nov!G9,Dec!G9)</f>
        <v>448044</v>
      </c>
      <c r="H9" s="20">
        <f>SUM(Oct!H9, Nov!H9, Dec!H9)</f>
        <v>223054</v>
      </c>
      <c r="I9" s="19">
        <f t="shared" si="2"/>
        <v>0.4978394979064556</v>
      </c>
    </row>
    <row r="10" spans="1:9" ht="15.6">
      <c r="A10" s="42" t="str">
        <v>Sand Road</v>
      </c>
      <c r="B10" s="9" t="str">
        <v>CT</v>
      </c>
      <c r="C10" s="24">
        <f>SUM(Oct!C10, Nov!C10, Dec!C10)</f>
        <v>703973</v>
      </c>
      <c r="D10" s="13">
        <f>SUM(Oct!D10, Nov!D10, Dec!D10)</f>
        <v>685987.79999999993</v>
      </c>
      <c r="E10" s="13">
        <f t="shared" si="0"/>
        <v>17985.20000000007</v>
      </c>
      <c r="F10" s="14">
        <f t="shared" si="1"/>
        <v>2.6217958978279311E-2</v>
      </c>
      <c r="G10" s="15">
        <f>SUM(Oct!G10,Nov!G10,Dec!G10)</f>
        <v>443721</v>
      </c>
      <c r="H10" s="15">
        <f>SUM(Oct!H10, Nov!H10, Dec!H10)</f>
        <v>260252</v>
      </c>
      <c r="I10" s="16">
        <f t="shared" si="2"/>
        <v>0.58652171071461567</v>
      </c>
    </row>
    <row r="11" spans="1:9" ht="15.6">
      <c r="A11" s="43" t="str">
        <v>Suffield</v>
      </c>
      <c r="B11" s="10" t="str">
        <v>CT</v>
      </c>
      <c r="C11" s="11">
        <f>SUM(Oct!C11, Nov!C11, Dec!C11)</f>
        <v>755292</v>
      </c>
      <c r="D11" s="18">
        <f>SUM(Oct!D11, Nov!D11, Dec!D11)</f>
        <v>738674.7</v>
      </c>
      <c r="E11" s="18">
        <f t="shared" si="0"/>
        <v>16617.300000000047</v>
      </c>
      <c r="F11" s="19">
        <f t="shared" si="1"/>
        <v>2.2496100110102658E-2</v>
      </c>
      <c r="G11" s="18">
        <f>SUM(Oct!G11,Nov!G11,Dec!G11)</f>
        <v>607007</v>
      </c>
      <c r="H11" s="20">
        <f>SUM(Oct!H11, Nov!H11, Dec!H11)</f>
        <v>148285</v>
      </c>
      <c r="I11" s="19">
        <f t="shared" si="2"/>
        <v>0.24428878085425704</v>
      </c>
    </row>
    <row r="12" spans="1:9" ht="15.6">
      <c r="A12" s="42" t="str">
        <v>Ashby-Duffy</v>
      </c>
      <c r="B12" s="9" t="str">
        <v>MA</v>
      </c>
      <c r="C12" s="24">
        <f>SUM(Oct!C12, Nov!C12, Dec!C12)</f>
        <v>629406</v>
      </c>
      <c r="D12" s="13">
        <f>SUM(Oct!D12, Nov!D12, Dec!D12)</f>
        <v>935707.60000000009</v>
      </c>
      <c r="E12" s="13">
        <f t="shared" si="0"/>
        <v>-306301.60000000009</v>
      </c>
      <c r="F12" s="14">
        <f t="shared" si="1"/>
        <v>-0.32734756028485829</v>
      </c>
      <c r="G12" s="15">
        <f>SUM(Oct!G12,Nov!G12,Dec!G12)</f>
        <v>597492.1</v>
      </c>
      <c r="H12" s="15">
        <f>SUM(Oct!H12, Nov!H12, Dec!H12)</f>
        <v>31913.899999999994</v>
      </c>
      <c r="I12" s="16">
        <f t="shared" si="2"/>
        <v>5.3413091152167524E-2</v>
      </c>
    </row>
    <row r="13" spans="1:9" ht="15.6">
      <c r="A13" s="43" t="str">
        <v>Ashland</v>
      </c>
      <c r="B13" s="10" t="str">
        <v>MA</v>
      </c>
      <c r="C13" s="11">
        <f>SUM(Oct!C13, Nov!C13, Dec!C13)</f>
        <v>568089.11983471003</v>
      </c>
      <c r="D13" s="18">
        <f>SUM(Oct!D13, Nov!D13, Dec!D13)</f>
        <v>745302.6</v>
      </c>
      <c r="E13" s="18">
        <f t="shared" si="0"/>
        <v>-177213.48016528995</v>
      </c>
      <c r="F13" s="19">
        <f t="shared" si="1"/>
        <v>-0.23777386549475335</v>
      </c>
      <c r="G13" s="18">
        <f>SUM(Oct!G13,Nov!G13,Dec!G13)</f>
        <v>526849.9</v>
      </c>
      <c r="H13" s="20">
        <f>SUM(Oct!H13, Nov!H13, Dec!H13)</f>
        <v>41239.219834710035</v>
      </c>
      <c r="I13" s="19">
        <f t="shared" si="2"/>
        <v>7.8275083348616048E-2</v>
      </c>
    </row>
    <row r="14" spans="1:9" ht="15.6">
      <c r="A14" s="42" t="str">
        <v>Barrington</v>
      </c>
      <c r="B14" s="9" t="str">
        <v>MA</v>
      </c>
      <c r="C14" s="24">
        <f>SUM(Oct!C14, Nov!C14, Dec!C14)</f>
        <v>133236.5</v>
      </c>
      <c r="D14" s="13">
        <f>SUM(Oct!D14, Nov!D14, Dec!D14)</f>
        <v>122334.89</v>
      </c>
      <c r="E14" s="13">
        <f t="shared" si="0"/>
        <v>10901.61</v>
      </c>
      <c r="F14" s="14">
        <f t="shared" si="1"/>
        <v>8.9112844258902757E-2</v>
      </c>
      <c r="G14" s="15">
        <f>SUM(Oct!G14,Nov!G14,Dec!G14)</f>
        <v>126800</v>
      </c>
      <c r="H14" s="15">
        <f>SUM(Oct!H14, Nov!H14, Dec!H14)</f>
        <v>6436.5</v>
      </c>
      <c r="I14" s="16">
        <f t="shared" si="2"/>
        <v>5.0761041009463721E-2</v>
      </c>
    </row>
    <row r="15" spans="1:9" ht="15.6">
      <c r="A15" s="43" t="str">
        <v>Bedford - 205 Burlington Rd</v>
      </c>
      <c r="B15" s="10" t="str">
        <v>MA</v>
      </c>
      <c r="C15" s="11">
        <f>SUM(Oct!C15, Nov!C15, Dec!C15)</f>
        <v>65447</v>
      </c>
      <c r="D15" s="18">
        <f>SUM(Oct!D15, Nov!D15, Dec!D15)</f>
        <v>0</v>
      </c>
      <c r="E15" s="18">
        <f t="shared" si="0"/>
        <v>65447</v>
      </c>
      <c r="F15" s="19" t="str">
        <f t="shared" si="1"/>
        <v/>
      </c>
      <c r="G15" s="18">
        <f>SUM(Oct!G15,Nov!G15,Dec!G15)</f>
        <v>0</v>
      </c>
      <c r="H15" s="20">
        <f>SUM(Oct!H15, Nov!H15, Dec!H15)</f>
        <v>65447</v>
      </c>
      <c r="I15" s="19" t="str">
        <f t="shared" si="2"/>
        <v/>
      </c>
    </row>
    <row r="16" spans="1:9" ht="15.6">
      <c r="A16" s="42" t="str">
        <v>Billerica - 6 Cook Street</v>
      </c>
      <c r="B16" s="9" t="str">
        <v>MA</v>
      </c>
      <c r="C16" s="24">
        <f>SUM(Oct!C16, Nov!C16, Dec!C16)</f>
        <v>55482</v>
      </c>
      <c r="D16" s="13">
        <f>SUM(Oct!D16, Nov!D16, Dec!D16)</f>
        <v>0</v>
      </c>
      <c r="E16" s="13">
        <f t="shared" ref="E16:E18" si="3">IF(AND(ISNUMBER(C16),ISNUMBER(D16)), C16-D16, "")</f>
        <v>55482</v>
      </c>
      <c r="F16" s="14" t="str">
        <f t="shared" ref="F16:F18" si="4">IFERROR(E16/D16, "")</f>
        <v/>
      </c>
      <c r="G16" s="15">
        <f>SUM(Oct!G16,Nov!G16,Dec!G16)</f>
        <v>0</v>
      </c>
      <c r="H16" s="15">
        <f>SUM(Oct!H16, Nov!H16, Dec!H16)</f>
        <v>55482</v>
      </c>
      <c r="I16" s="16" t="str">
        <f t="shared" ref="I16:I18" si="5">IFERROR(H16/G16, "")</f>
        <v/>
      </c>
    </row>
    <row r="17" spans="1:9" ht="15.6">
      <c r="A17" s="43" t="str">
        <v>Billerica - 780 Boston Road</v>
      </c>
      <c r="B17" s="10" t="str">
        <v>MA</v>
      </c>
      <c r="C17" s="11">
        <f>SUM(Oct!C17, Nov!C17, Dec!C17)</f>
        <v>63181</v>
      </c>
      <c r="D17" s="18">
        <f>SUM(Oct!D17, Nov!D17, Dec!D17)</f>
        <v>0</v>
      </c>
      <c r="E17" s="18">
        <f t="shared" si="3"/>
        <v>63181</v>
      </c>
      <c r="F17" s="19" t="str">
        <f t="shared" si="4"/>
        <v/>
      </c>
      <c r="G17" s="18">
        <f>SUM(Oct!G17,Nov!G17,Dec!G17)</f>
        <v>0</v>
      </c>
      <c r="H17" s="20">
        <f>SUM(Oct!H17, Nov!H17, Dec!H17)</f>
        <v>63181</v>
      </c>
      <c r="I17" s="19" t="str">
        <f t="shared" si="5"/>
        <v/>
      </c>
    </row>
    <row r="18" spans="1:9" ht="12.75" customHeight="1">
      <c r="A18" s="42" t="str">
        <v>Cheshire</v>
      </c>
      <c r="B18" s="9" t="str">
        <v>MA</v>
      </c>
      <c r="C18" s="24">
        <f>SUM(Oct!C18, Nov!C18, Dec!C18)</f>
        <v>135655.75</v>
      </c>
      <c r="D18" s="13">
        <f>SUM(Oct!D18, Nov!D18, Dec!D18)</f>
        <v>160719.71</v>
      </c>
      <c r="E18" s="13">
        <f t="shared" si="3"/>
        <v>-25063.959999999992</v>
      </c>
      <c r="F18" s="14">
        <f t="shared" si="4"/>
        <v>-0.15594826546165366</v>
      </c>
      <c r="G18" s="15">
        <f>SUM(Oct!G18,Nov!G18,Dec!G18)</f>
        <v>80502.850000000006</v>
      </c>
      <c r="H18" s="15">
        <f>SUM(Oct!H18, Nov!H18, Dec!H18)</f>
        <v>55152.9</v>
      </c>
      <c r="I18" s="16">
        <f t="shared" si="5"/>
        <v>0.6851049372786181</v>
      </c>
    </row>
    <row r="19" spans="1:9" ht="15.6">
      <c r="A19" s="43" t="str">
        <v>Lilly Lane</v>
      </c>
      <c r="B19" s="10" t="str">
        <v>MA</v>
      </c>
      <c r="C19" s="11">
        <f>SUM(Oct!C19, Nov!C19, Dec!C19)</f>
        <v>326376.5</v>
      </c>
      <c r="D19" s="18">
        <f>SUM(Oct!D19, Nov!D19, Dec!D19)</f>
        <v>312580.05000000005</v>
      </c>
      <c r="E19" s="18">
        <f t="shared" ref="E19:E28" si="6">IF(AND(ISNUMBER(C19),ISNUMBER(D19)), C19-D19, "")</f>
        <v>13796.449999999953</v>
      </c>
      <c r="F19" s="19">
        <f t="shared" ref="F19:F28" si="7">IFERROR(E19/D19, "")</f>
        <v>4.413733378057861E-2</v>
      </c>
      <c r="G19" s="18">
        <f>SUM(Oct!G19,Nov!G19,Dec!G19)</f>
        <v>337389.55</v>
      </c>
      <c r="H19" s="20">
        <f>SUM(Oct!H19, Nov!H19, Dec!H19)</f>
        <v>-11013.050000000003</v>
      </c>
      <c r="I19" s="19">
        <f t="shared" ref="I19:I28" si="8">IFERROR(H19/G19, "")</f>
        <v>-3.2641941636900144E-2</v>
      </c>
    </row>
    <row r="20" spans="1:9" ht="15.6">
      <c r="A20" s="42" t="str">
        <v>Monument Valley</v>
      </c>
      <c r="B20" s="9" t="str">
        <v>MA</v>
      </c>
      <c r="C20" s="24">
        <f>SUM(Oct!C20, Nov!C20, Dec!C20)</f>
        <v>460990.21782178158</v>
      </c>
      <c r="D20" s="13">
        <f>SUM(Oct!D20, Nov!D20, Dec!D20)</f>
        <v>156163.28</v>
      </c>
      <c r="E20" s="13">
        <f>IF(AND(ISNUMBER(C20),ISNUMBER(D20)), C20-D20, "")</f>
        <v>304826.93782178161</v>
      </c>
      <c r="F20" s="14">
        <f>IFERROR(E20/D20, "")</f>
        <v>1.9519757642243529</v>
      </c>
      <c r="G20" s="15">
        <f>SUM(Oct!G20,Nov!G20,Dec!G20)</f>
        <v>0</v>
      </c>
      <c r="H20" s="15">
        <f>SUM(Oct!H20, Nov!H20, Dec!H20)</f>
        <v>460990.21782178158</v>
      </c>
      <c r="I20" s="16" t="str">
        <f>IFERROR(H20/G20, "")</f>
        <v/>
      </c>
    </row>
    <row r="21" spans="1:9" ht="15.6">
      <c r="A21" s="43" t="str">
        <v>Nationwide</v>
      </c>
      <c r="B21" s="10" t="str">
        <v>MA</v>
      </c>
      <c r="C21" s="11">
        <f>SUM(Oct!C21, Nov!C21, Dec!C21)</f>
        <v>922069.5</v>
      </c>
      <c r="D21" s="18">
        <f>SUM(Oct!D21, Nov!D21, Dec!D21)</f>
        <v>1057999</v>
      </c>
      <c r="E21" s="18">
        <f>IF(AND(ISNUMBER(C21),ISNUMBER(D21)), C21-D21, "")</f>
        <v>-135929.5</v>
      </c>
      <c r="F21" s="19">
        <f>IFERROR(E21/D21, "")</f>
        <v>-0.12847790971447043</v>
      </c>
      <c r="G21" s="18">
        <f>SUM(Oct!G21,Nov!G21,Dec!G21)</f>
        <v>866783.1</v>
      </c>
      <c r="H21" s="20">
        <f>SUM(Oct!H21, Nov!H21, Dec!H21)</f>
        <v>55286.399999999994</v>
      </c>
      <c r="I21" s="19">
        <f>IFERROR(H21/G21, "")</f>
        <v>6.3783430941373911E-2</v>
      </c>
    </row>
    <row r="22" spans="1:9" ht="15.6">
      <c r="A22" s="42" t="str">
        <v>Pulpit Hill</v>
      </c>
      <c r="B22" s="9" t="str">
        <v>MA</v>
      </c>
      <c r="C22" s="24">
        <f>SUM(Oct!C22, Nov!C22, Dec!C22)</f>
        <v>1350467</v>
      </c>
      <c r="D22" s="13">
        <f>SUM(Oct!D22, Nov!D22, Dec!D22)</f>
        <v>1447610.9</v>
      </c>
      <c r="E22" s="13">
        <f>IF(AND(ISNUMBER(C22),ISNUMBER(D22)), C22-D22, "")</f>
        <v>-97143.899999999907</v>
      </c>
      <c r="F22" s="14">
        <f>IFERROR(E22/D22, "")</f>
        <v>-6.7106361246658142E-2</v>
      </c>
      <c r="G22" s="15">
        <f>SUM(Oct!G22,Nov!G22,Dec!G22)</f>
        <v>1216753.7</v>
      </c>
      <c r="H22" s="15">
        <f>SUM(Oct!H22, Nov!H22, Dec!H22)</f>
        <v>133713.29999999999</v>
      </c>
      <c r="I22" s="16">
        <f>IFERROR(H22/G22, "")</f>
        <v>0.10989348131836377</v>
      </c>
    </row>
    <row r="23" spans="1:9" ht="15.6">
      <c r="A23" s="43" t="str">
        <v>Sandwich</v>
      </c>
      <c r="B23" s="10" t="str">
        <v>MA</v>
      </c>
      <c r="C23" s="11">
        <f>SUM(Oct!C23, Nov!C23, Dec!C23)</f>
        <v>1044872</v>
      </c>
      <c r="D23" s="18">
        <f>SUM(Oct!D23, Nov!D23, Dec!D23)</f>
        <v>0</v>
      </c>
      <c r="E23" s="18">
        <f t="shared" si="6"/>
        <v>1044872</v>
      </c>
      <c r="F23" s="19" t="str">
        <f>IFERROR(E23/D23, "")</f>
        <v/>
      </c>
      <c r="G23" s="18">
        <f>SUM(Oct!G23,Nov!G23,Dec!G23)</f>
        <v>0</v>
      </c>
      <c r="H23" s="20">
        <f>SUM(Oct!H23, Nov!H23, Dec!H23)</f>
        <v>1044872</v>
      </c>
      <c r="I23" s="19" t="str">
        <f>IFERROR(H23/G23, "")</f>
        <v/>
      </c>
    </row>
    <row r="24" spans="1:9" ht="15.6">
      <c r="A24" s="42" t="str">
        <v>Sturbridge Barn</v>
      </c>
      <c r="B24" s="9" t="str">
        <v>MA</v>
      </c>
      <c r="C24" s="24">
        <f>SUM(Oct!C24, Nov!C24, Dec!C24)</f>
        <v>343039</v>
      </c>
      <c r="D24" s="13">
        <f>SUM(Oct!D24, Nov!D24, Dec!D24)</f>
        <v>403276.5</v>
      </c>
      <c r="E24" s="13">
        <f t="shared" si="6"/>
        <v>-60237.5</v>
      </c>
      <c r="F24" s="14">
        <f t="shared" si="7"/>
        <v>-0.14937022117579377</v>
      </c>
      <c r="G24" s="15">
        <f>SUM(Oct!G24,Nov!G24,Dec!G24)</f>
        <v>349451.98</v>
      </c>
      <c r="H24" s="15">
        <f>SUM(Oct!H24, Nov!H24, Dec!H24)</f>
        <v>-6412.9799999999959</v>
      </c>
      <c r="I24" s="16">
        <f t="shared" si="8"/>
        <v>-1.8351534308090046E-2</v>
      </c>
    </row>
    <row r="25" spans="1:9" ht="15.6">
      <c r="A25" s="43" t="str">
        <v>Sturbridge Garage</v>
      </c>
      <c r="B25" s="10" t="str">
        <v>MA</v>
      </c>
      <c r="C25" s="11">
        <f>SUM(Oct!C25, Nov!C25, Dec!C25)</f>
        <v>168714.25</v>
      </c>
      <c r="D25" s="18">
        <f>SUM(Oct!D25, Nov!D25, Dec!D25)</f>
        <v>190202.05</v>
      </c>
      <c r="E25" s="18">
        <f t="shared" si="6"/>
        <v>-21487.799999999988</v>
      </c>
      <c r="F25" s="19">
        <f t="shared" si="7"/>
        <v>-0.11297354576357084</v>
      </c>
      <c r="G25" s="18">
        <f>SUM(Oct!G25,Nov!G25,Dec!G25)</f>
        <v>166662.16</v>
      </c>
      <c r="H25" s="20">
        <f>SUM(Oct!H25, Nov!H25, Dec!H25)</f>
        <v>2052.0899999999965</v>
      </c>
      <c r="I25" s="19">
        <f t="shared" si="8"/>
        <v>1.2312872940084279E-2</v>
      </c>
    </row>
    <row r="26" spans="1:9" ht="15.6">
      <c r="A26" s="42" t="str">
        <v>Halsey Valley</v>
      </c>
      <c r="B26" s="9" t="str">
        <v>NY</v>
      </c>
      <c r="C26" s="24">
        <f>SUM(Oct!C26, Nov!C26, Dec!C26)</f>
        <v>1448807</v>
      </c>
      <c r="D26" s="13">
        <f>SUM(Oct!D26, Nov!D26, Dec!D26)</f>
        <v>1607281.6999999997</v>
      </c>
      <c r="E26" s="13">
        <f t="shared" si="6"/>
        <v>-158474.69999999972</v>
      </c>
      <c r="F26" s="14">
        <f t="shared" si="7"/>
        <v>-9.8597962012508297E-2</v>
      </c>
      <c r="G26" s="15">
        <f>SUM(Oct!G26,Nov!G26,Dec!G26)</f>
        <v>1413000</v>
      </c>
      <c r="H26" s="15">
        <f>SUM(Oct!H26, Nov!H26, Dec!H26)</f>
        <v>35807</v>
      </c>
      <c r="I26" s="16">
        <f t="shared" si="8"/>
        <v>2.5341118188251945E-2</v>
      </c>
    </row>
    <row r="27" spans="1:9" ht="15.6">
      <c r="A27" s="43" t="str">
        <v>Hunt Creek</v>
      </c>
      <c r="B27" s="10" t="str">
        <v>NY</v>
      </c>
      <c r="C27" s="11">
        <f>SUM(Oct!C27, Nov!C27, Dec!C27)</f>
        <v>794758</v>
      </c>
      <c r="D27" s="18">
        <f>SUM(Oct!D27, Nov!D27, Dec!D27)</f>
        <v>1121496.6000000001</v>
      </c>
      <c r="E27" s="18">
        <f t="shared" si="6"/>
        <v>-326738.60000000009</v>
      </c>
      <c r="F27" s="19">
        <f t="shared" si="7"/>
        <v>-0.2913415876606314</v>
      </c>
      <c r="G27" s="18">
        <f>SUM(Oct!G27,Nov!G27,Dec!G27)</f>
        <v>901000</v>
      </c>
      <c r="H27" s="20">
        <f>SUM(Oct!H27, Nov!H27, Dec!H27)</f>
        <v>-106242.00000000003</v>
      </c>
      <c r="I27" s="19">
        <f t="shared" si="8"/>
        <v>-0.11791564927857939</v>
      </c>
    </row>
    <row r="28" spans="1:9" ht="15.6">
      <c r="A28" s="42" t="str">
        <v>Smith Creek</v>
      </c>
      <c r="B28" s="9" t="str">
        <v>NY</v>
      </c>
      <c r="C28" s="24">
        <f>SUM(Oct!C28, Nov!C28, Dec!C28)</f>
        <v>1116988</v>
      </c>
      <c r="D28" s="13">
        <f>SUM(Oct!D28, Nov!D28, Dec!D28)</f>
        <v>1287644.7000000002</v>
      </c>
      <c r="E28" s="13">
        <f t="shared" si="6"/>
        <v>-170656.70000000019</v>
      </c>
      <c r="F28" s="14">
        <f t="shared" si="7"/>
        <v>-0.13253399792660209</v>
      </c>
      <c r="G28" s="15">
        <f>SUM(Oct!G28,Nov!G28,Dec!G28)</f>
        <v>1217898.8</v>
      </c>
      <c r="H28" s="15">
        <f>SUM(Oct!H28, Nov!H28, Dec!H28)</f>
        <v>-100910.79999999999</v>
      </c>
      <c r="I28" s="16">
        <f t="shared" si="8"/>
        <v>-8.2856473789119409E-2</v>
      </c>
    </row>
    <row r="29" spans="1:9" ht="15.6">
      <c r="A29" s="17"/>
      <c r="B29" s="10"/>
      <c r="C29" s="41"/>
      <c r="D29" s="18"/>
      <c r="E29" s="18"/>
      <c r="F29" s="19"/>
      <c r="G29" s="20"/>
      <c r="H29" s="20"/>
      <c r="I29" s="19"/>
    </row>
    <row r="30" spans="1:9" ht="14.45">
      <c r="A30" s="21"/>
      <c r="B30" s="10"/>
      <c r="C30" s="41"/>
      <c r="D30" s="18"/>
      <c r="E30" s="18"/>
      <c r="F30" s="19"/>
      <c r="G30" s="20"/>
      <c r="H30" s="20"/>
      <c r="I30" s="19"/>
    </row>
    <row r="31" spans="1:9" ht="14.45">
      <c r="A31" s="21"/>
      <c r="B31" s="10"/>
      <c r="C31" s="41"/>
      <c r="D31" s="18"/>
      <c r="E31" s="18"/>
      <c r="F31" s="19"/>
      <c r="G31" s="20"/>
      <c r="H31" s="20"/>
      <c r="I31" s="19"/>
    </row>
    <row r="32" spans="1:9" ht="14.45">
      <c r="A32" s="21"/>
      <c r="B32" s="10"/>
      <c r="C32" s="41"/>
      <c r="D32" s="18"/>
      <c r="E32" s="18"/>
      <c r="F32" s="19"/>
      <c r="G32" s="20"/>
      <c r="H32" s="20"/>
      <c r="I32" s="19"/>
    </row>
    <row r="33" spans="1:9" ht="14.45">
      <c r="A33" s="21"/>
      <c r="B33" s="10"/>
      <c r="C33" s="41"/>
      <c r="D33" s="18"/>
      <c r="E33" s="18"/>
      <c r="F33" s="19"/>
      <c r="G33" s="20"/>
      <c r="H33" s="20"/>
      <c r="I33" s="19"/>
    </row>
    <row r="34" spans="1:9" ht="12.95">
      <c r="A34" s="21"/>
      <c r="B34" s="21"/>
      <c r="C34" s="21"/>
      <c r="D34" s="21"/>
      <c r="E34" s="21"/>
      <c r="F34" s="21"/>
      <c r="G34" s="21"/>
      <c r="H34" s="21"/>
      <c r="I34" s="21"/>
    </row>
    <row r="35" spans="1:9" ht="12.95">
      <c r="A35" s="21"/>
      <c r="B35" s="21"/>
      <c r="C35" s="21"/>
      <c r="D35" s="21"/>
      <c r="E35" s="21"/>
      <c r="F35" s="21"/>
      <c r="G35" s="21"/>
      <c r="H35" s="21"/>
      <c r="I35" s="21"/>
    </row>
    <row r="36" spans="1:9" ht="12.95">
      <c r="A36" s="21"/>
      <c r="B36" s="21"/>
      <c r="C36" s="21"/>
      <c r="D36" s="21"/>
      <c r="E36" s="21"/>
      <c r="F36" s="22"/>
      <c r="G36" s="21"/>
      <c r="H36" s="21"/>
      <c r="I36" s="22"/>
    </row>
    <row r="37" spans="1:9" ht="12.95">
      <c r="A37" s="21"/>
      <c r="B37" s="21"/>
      <c r="C37" s="21"/>
      <c r="D37" s="21"/>
      <c r="E37" s="21"/>
      <c r="F37" s="22"/>
      <c r="G37" s="21"/>
      <c r="H37" s="21"/>
      <c r="I37" s="22"/>
    </row>
    <row r="38" spans="1:9" ht="12.95">
      <c r="A38" s="21"/>
      <c r="B38" s="21"/>
      <c r="C38" s="21"/>
      <c r="D38" s="21"/>
      <c r="E38" s="21"/>
      <c r="F38" s="22"/>
      <c r="G38" s="21"/>
      <c r="H38" s="21"/>
      <c r="I38" s="22"/>
    </row>
    <row r="39" spans="1:9" ht="12.95">
      <c r="A39" s="21"/>
      <c r="B39" s="21"/>
      <c r="C39" s="21"/>
      <c r="D39" s="21"/>
      <c r="E39" s="21"/>
      <c r="F39" s="22"/>
      <c r="G39" s="21"/>
      <c r="H39" s="21"/>
      <c r="I39" s="22"/>
    </row>
    <row r="40" spans="1:9" ht="12.95">
      <c r="A40" s="21"/>
      <c r="B40" s="21"/>
      <c r="C40" s="21"/>
      <c r="D40" s="21"/>
      <c r="E40" s="21"/>
      <c r="F40" s="22"/>
      <c r="G40" s="21"/>
      <c r="H40" s="21"/>
      <c r="I40" s="22"/>
    </row>
    <row r="41" spans="1:9" ht="12.95">
      <c r="A41" s="21"/>
      <c r="B41" s="21"/>
      <c r="C41" s="21"/>
      <c r="D41" s="21"/>
      <c r="E41" s="21"/>
      <c r="F41" s="22"/>
      <c r="G41" s="21"/>
      <c r="H41" s="21"/>
      <c r="I41" s="22"/>
    </row>
    <row r="42" spans="1:9" ht="12.95">
      <c r="A42" s="21"/>
      <c r="B42" s="21"/>
      <c r="C42" s="21"/>
      <c r="D42" s="21"/>
      <c r="E42" s="21"/>
      <c r="F42" s="22"/>
      <c r="G42" s="21"/>
      <c r="H42" s="21"/>
      <c r="I42" s="22"/>
    </row>
    <row r="43" spans="1:9" ht="12.95">
      <c r="A43" s="21"/>
      <c r="B43" s="21"/>
      <c r="C43" s="21"/>
      <c r="D43" s="21"/>
      <c r="E43" s="21"/>
      <c r="F43" s="22"/>
      <c r="G43" s="21"/>
      <c r="H43" s="21"/>
      <c r="I43" s="22"/>
    </row>
    <row r="44" spans="1:9" ht="12.95">
      <c r="A44" s="21"/>
      <c r="B44" s="21"/>
      <c r="C44" s="21"/>
      <c r="D44" s="21"/>
      <c r="E44" s="21"/>
      <c r="F44" s="22"/>
      <c r="G44" s="21"/>
      <c r="H44" s="21"/>
      <c r="I44" s="22"/>
    </row>
    <row r="45" spans="1:9" ht="12.95">
      <c r="A45" s="21"/>
      <c r="B45" s="21"/>
      <c r="C45" s="21"/>
      <c r="D45" s="21"/>
      <c r="E45" s="21"/>
      <c r="F45" s="22"/>
      <c r="G45" s="21"/>
      <c r="H45" s="21"/>
      <c r="I45" s="22"/>
    </row>
    <row r="46" spans="1:9" ht="12.95">
      <c r="A46" s="21"/>
      <c r="B46" s="21"/>
      <c r="C46" s="21"/>
      <c r="D46" s="21"/>
      <c r="E46" s="21"/>
      <c r="F46" s="22"/>
      <c r="G46" s="21"/>
      <c r="H46" s="21"/>
      <c r="I46" s="22"/>
    </row>
    <row r="47" spans="1:9" ht="12.95">
      <c r="A47" s="21"/>
      <c r="B47" s="21"/>
      <c r="C47" s="21"/>
      <c r="D47" s="21"/>
      <c r="E47" s="21"/>
      <c r="F47" s="22"/>
      <c r="G47" s="21"/>
      <c r="H47" s="21"/>
      <c r="I47" s="22"/>
    </row>
    <row r="48" spans="1:9" ht="12.95">
      <c r="A48" s="21"/>
      <c r="B48" s="21"/>
      <c r="C48" s="21"/>
      <c r="D48" s="21"/>
      <c r="E48" s="21"/>
      <c r="F48" s="22"/>
      <c r="G48" s="21"/>
      <c r="H48" s="21"/>
      <c r="I48" s="22"/>
    </row>
    <row r="49" spans="1:9" ht="12.95">
      <c r="A49" s="21"/>
      <c r="B49" s="21"/>
      <c r="C49" s="21"/>
      <c r="D49" s="21"/>
      <c r="E49" s="21"/>
      <c r="F49" s="22"/>
      <c r="G49" s="21"/>
      <c r="H49" s="21"/>
      <c r="I49" s="22"/>
    </row>
    <row r="50" spans="1:9" ht="12.95">
      <c r="A50" s="21"/>
      <c r="B50" s="21"/>
      <c r="C50" s="21"/>
      <c r="D50" s="21"/>
      <c r="E50" s="21"/>
      <c r="F50" s="22"/>
      <c r="G50" s="21"/>
      <c r="H50" s="21"/>
      <c r="I50" s="22"/>
    </row>
    <row r="51" spans="1:9" ht="12.95">
      <c r="A51" s="21"/>
      <c r="B51" s="21"/>
      <c r="C51" s="21"/>
      <c r="D51" s="21"/>
      <c r="E51" s="21"/>
      <c r="F51" s="22"/>
      <c r="G51" s="21"/>
      <c r="H51" s="21"/>
      <c r="I51" s="22"/>
    </row>
    <row r="52" spans="1:9" ht="12.95">
      <c r="A52" s="21"/>
      <c r="B52" s="21"/>
      <c r="C52" s="21"/>
      <c r="D52" s="21"/>
      <c r="E52" s="21"/>
      <c r="F52" s="22"/>
      <c r="G52" s="21"/>
      <c r="H52" s="21"/>
      <c r="I52" s="22"/>
    </row>
    <row r="53" spans="1:9" ht="12.95">
      <c r="A53" s="21"/>
      <c r="B53" s="21"/>
      <c r="C53" s="21"/>
      <c r="D53" s="21"/>
      <c r="E53" s="21"/>
      <c r="F53" s="22"/>
      <c r="G53" s="21"/>
      <c r="H53" s="21"/>
      <c r="I53" s="22"/>
    </row>
    <row r="54" spans="1:9" ht="12.95">
      <c r="A54" s="21"/>
      <c r="B54" s="21"/>
      <c r="C54" s="21"/>
      <c r="D54" s="21"/>
      <c r="E54" s="21"/>
      <c r="F54" s="22"/>
      <c r="G54" s="21"/>
      <c r="H54" s="21"/>
      <c r="I54" s="22"/>
    </row>
    <row r="55" spans="1:9" ht="12.95">
      <c r="A55" s="21"/>
      <c r="B55" s="21"/>
      <c r="C55" s="21"/>
      <c r="D55" s="21"/>
      <c r="E55" s="21"/>
      <c r="F55" s="22"/>
      <c r="G55" s="21"/>
      <c r="H55" s="21"/>
      <c r="I55" s="22"/>
    </row>
    <row r="56" spans="1:9" ht="12.95">
      <c r="A56" s="21"/>
      <c r="B56" s="21"/>
      <c r="C56" s="21"/>
      <c r="D56" s="21"/>
      <c r="E56" s="21"/>
      <c r="F56" s="22"/>
      <c r="G56" s="21"/>
      <c r="H56" s="21"/>
      <c r="I56" s="22"/>
    </row>
    <row r="57" spans="1:9" ht="12.95">
      <c r="A57" s="21"/>
      <c r="B57" s="21"/>
      <c r="C57" s="21"/>
      <c r="D57" s="21"/>
      <c r="E57" s="21"/>
      <c r="F57" s="22"/>
      <c r="G57" s="21"/>
      <c r="H57" s="21"/>
      <c r="I57" s="22"/>
    </row>
    <row r="58" spans="1:9" ht="12.95">
      <c r="A58" s="21"/>
      <c r="B58" s="21"/>
      <c r="C58" s="21"/>
      <c r="D58" s="21"/>
      <c r="E58" s="21"/>
      <c r="F58" s="22"/>
      <c r="G58" s="21"/>
      <c r="H58" s="21"/>
      <c r="I58" s="22"/>
    </row>
    <row r="59" spans="1:9" ht="12.95">
      <c r="A59" s="21"/>
      <c r="B59" s="21"/>
      <c r="C59" s="21"/>
      <c r="D59" s="21"/>
      <c r="E59" s="21"/>
      <c r="F59" s="22"/>
      <c r="G59" s="21"/>
      <c r="H59" s="21"/>
      <c r="I59" s="22"/>
    </row>
    <row r="60" spans="1:9" ht="12.95">
      <c r="A60" s="21"/>
      <c r="B60" s="21"/>
      <c r="C60" s="21"/>
      <c r="D60" s="21"/>
      <c r="E60" s="21"/>
      <c r="F60" s="22"/>
      <c r="G60" s="21"/>
      <c r="H60" s="21"/>
      <c r="I60" s="22"/>
    </row>
    <row r="61" spans="1:9" ht="12.95">
      <c r="A61" s="21"/>
      <c r="B61" s="21"/>
      <c r="C61" s="21"/>
      <c r="D61" s="21"/>
      <c r="E61" s="21"/>
      <c r="F61" s="22"/>
      <c r="G61" s="21"/>
      <c r="H61" s="21"/>
      <c r="I61" s="22"/>
    </row>
    <row r="62" spans="1:9" ht="12.95">
      <c r="A62" s="21"/>
      <c r="B62" s="21"/>
      <c r="C62" s="21"/>
      <c r="D62" s="21"/>
      <c r="E62" s="21"/>
      <c r="F62" s="22"/>
      <c r="G62" s="21"/>
      <c r="H62" s="21"/>
      <c r="I62" s="22"/>
    </row>
    <row r="63" spans="1:9" ht="12.95">
      <c r="A63" s="21"/>
      <c r="B63" s="21"/>
      <c r="C63" s="21"/>
      <c r="D63" s="21"/>
      <c r="E63" s="21"/>
      <c r="F63" s="22"/>
      <c r="G63" s="21"/>
      <c r="H63" s="21"/>
      <c r="I63" s="22"/>
    </row>
    <row r="64" spans="1:9" ht="12.95">
      <c r="A64" s="21"/>
      <c r="B64" s="21"/>
      <c r="C64" s="21"/>
      <c r="D64" s="21"/>
      <c r="E64" s="21"/>
      <c r="F64" s="22"/>
      <c r="G64" s="21"/>
      <c r="H64" s="21"/>
      <c r="I64" s="22"/>
    </row>
    <row r="65" spans="1:9" ht="12.95">
      <c r="A65" s="21"/>
      <c r="B65" s="21"/>
      <c r="C65" s="21"/>
      <c r="D65" s="21"/>
      <c r="E65" s="21"/>
      <c r="F65" s="22"/>
      <c r="G65" s="21"/>
      <c r="H65" s="21"/>
      <c r="I65" s="22"/>
    </row>
    <row r="66" spans="1:9" ht="12.95">
      <c r="A66" s="21"/>
      <c r="B66" s="21"/>
      <c r="C66" s="21"/>
      <c r="D66" s="21"/>
      <c r="E66" s="21"/>
      <c r="F66" s="22"/>
      <c r="G66" s="21"/>
      <c r="H66" s="21"/>
      <c r="I66" s="22"/>
    </row>
    <row r="67" spans="1:9" ht="12.95">
      <c r="A67" s="21"/>
      <c r="B67" s="21"/>
      <c r="C67" s="21"/>
      <c r="D67" s="21"/>
      <c r="E67" s="21"/>
      <c r="F67" s="22"/>
      <c r="G67" s="21"/>
      <c r="H67" s="21"/>
      <c r="I67" s="22"/>
    </row>
    <row r="68" spans="1:9" ht="12.95">
      <c r="A68" s="21"/>
      <c r="B68" s="21"/>
      <c r="C68" s="21"/>
      <c r="D68" s="21"/>
      <c r="E68" s="21"/>
      <c r="F68" s="22"/>
      <c r="G68" s="21"/>
      <c r="H68" s="21"/>
      <c r="I68" s="22"/>
    </row>
    <row r="69" spans="1:9" ht="12.95">
      <c r="A69" s="21"/>
      <c r="B69" s="21"/>
      <c r="C69" s="21"/>
      <c r="D69" s="21"/>
      <c r="E69" s="21"/>
      <c r="F69" s="22"/>
      <c r="G69" s="21"/>
      <c r="H69" s="21"/>
      <c r="I69" s="22"/>
    </row>
    <row r="70" spans="1:9" ht="12.95">
      <c r="A70" s="21"/>
      <c r="B70" s="21"/>
      <c r="C70" s="21"/>
      <c r="D70" s="21"/>
      <c r="E70" s="21"/>
      <c r="F70" s="22"/>
      <c r="G70" s="21"/>
      <c r="H70" s="21"/>
      <c r="I70" s="22"/>
    </row>
    <row r="71" spans="1:9" ht="12.95">
      <c r="A71" s="21"/>
      <c r="B71" s="21"/>
      <c r="C71" s="21"/>
      <c r="D71" s="21"/>
      <c r="E71" s="21"/>
      <c r="F71" s="22"/>
      <c r="G71" s="21"/>
      <c r="H71" s="21"/>
      <c r="I71" s="22"/>
    </row>
    <row r="72" spans="1:9" ht="12.95">
      <c r="A72" s="21"/>
      <c r="B72" s="21"/>
      <c r="C72" s="21"/>
      <c r="D72" s="21"/>
      <c r="E72" s="21"/>
      <c r="F72" s="22"/>
      <c r="G72" s="21"/>
      <c r="H72" s="21"/>
      <c r="I72" s="22"/>
    </row>
    <row r="73" spans="1:9" ht="12.95">
      <c r="A73" s="21"/>
      <c r="B73" s="21"/>
      <c r="C73" s="21"/>
      <c r="D73" s="21"/>
      <c r="E73" s="21"/>
      <c r="F73" s="22"/>
      <c r="G73" s="21"/>
      <c r="H73" s="21"/>
      <c r="I73" s="22"/>
    </row>
    <row r="74" spans="1:9" ht="12.95">
      <c r="A74" s="21"/>
      <c r="B74" s="21"/>
      <c r="C74" s="21"/>
      <c r="D74" s="21"/>
      <c r="E74" s="21"/>
      <c r="F74" s="22"/>
      <c r="G74" s="21"/>
      <c r="H74" s="21"/>
      <c r="I74" s="22"/>
    </row>
    <row r="75" spans="1:9" ht="12.95">
      <c r="A75" s="21"/>
      <c r="B75" s="21"/>
      <c r="C75" s="21"/>
      <c r="D75" s="21"/>
      <c r="E75" s="21"/>
      <c r="F75" s="22"/>
      <c r="G75" s="21"/>
      <c r="H75" s="21"/>
      <c r="I75" s="22"/>
    </row>
    <row r="76" spans="1:9" ht="12.95">
      <c r="A76" s="21"/>
      <c r="B76" s="21"/>
      <c r="C76" s="21"/>
      <c r="D76" s="21"/>
      <c r="E76" s="21"/>
      <c r="F76" s="22"/>
      <c r="G76" s="21"/>
      <c r="H76" s="21"/>
      <c r="I76" s="22"/>
    </row>
    <row r="77" spans="1:9" ht="12.95">
      <c r="A77" s="21"/>
      <c r="B77" s="21"/>
      <c r="C77" s="21"/>
      <c r="D77" s="21"/>
      <c r="E77" s="21"/>
      <c r="F77" s="22"/>
      <c r="G77" s="21"/>
      <c r="H77" s="21"/>
      <c r="I77" s="22"/>
    </row>
    <row r="78" spans="1:9" ht="12.95">
      <c r="A78" s="21"/>
      <c r="B78" s="21"/>
      <c r="C78" s="21"/>
      <c r="D78" s="21"/>
      <c r="E78" s="21"/>
      <c r="F78" s="22"/>
      <c r="G78" s="21"/>
      <c r="H78" s="21"/>
      <c r="I78" s="22"/>
    </row>
    <row r="79" spans="1:9" ht="12.95">
      <c r="A79" s="21"/>
      <c r="B79" s="21"/>
      <c r="C79" s="21"/>
      <c r="D79" s="21"/>
      <c r="E79" s="21"/>
      <c r="F79" s="22"/>
      <c r="G79" s="21"/>
      <c r="H79" s="21"/>
      <c r="I79" s="22"/>
    </row>
    <row r="80" spans="1:9" ht="12.95">
      <c r="A80" s="21"/>
      <c r="B80" s="21"/>
      <c r="C80" s="21"/>
      <c r="D80" s="21"/>
      <c r="E80" s="21"/>
      <c r="F80" s="22"/>
      <c r="G80" s="21"/>
      <c r="H80" s="21"/>
      <c r="I80" s="22"/>
    </row>
    <row r="81" spans="1:9" ht="12.95">
      <c r="A81" s="21"/>
      <c r="B81" s="21"/>
      <c r="C81" s="21"/>
      <c r="D81" s="21"/>
      <c r="E81" s="21"/>
      <c r="F81" s="22"/>
      <c r="G81" s="21"/>
      <c r="H81" s="21"/>
      <c r="I81" s="22"/>
    </row>
    <row r="82" spans="1:9" ht="12.95">
      <c r="A82" s="21"/>
      <c r="B82" s="21"/>
      <c r="C82" s="21"/>
      <c r="D82" s="21"/>
      <c r="E82" s="21"/>
      <c r="F82" s="22"/>
      <c r="G82" s="21"/>
      <c r="H82" s="21"/>
      <c r="I82" s="22"/>
    </row>
    <row r="83" spans="1:9" ht="12.95">
      <c r="A83" s="21"/>
      <c r="B83" s="21"/>
      <c r="C83" s="21"/>
      <c r="D83" s="21"/>
      <c r="E83" s="21"/>
      <c r="F83" s="22"/>
      <c r="G83" s="21"/>
      <c r="H83" s="21"/>
      <c r="I83" s="22"/>
    </row>
    <row r="84" spans="1:9" ht="12.95">
      <c r="A84" s="21"/>
      <c r="B84" s="21"/>
      <c r="C84" s="21"/>
      <c r="D84" s="21"/>
      <c r="E84" s="21"/>
      <c r="F84" s="22"/>
      <c r="G84" s="21"/>
      <c r="H84" s="21"/>
      <c r="I84" s="22"/>
    </row>
    <row r="85" spans="1:9" ht="12.95">
      <c r="A85" s="21"/>
      <c r="B85" s="21"/>
      <c r="C85" s="21"/>
      <c r="D85" s="21"/>
      <c r="E85" s="21"/>
      <c r="F85" s="22"/>
      <c r="G85" s="21"/>
      <c r="H85" s="21"/>
      <c r="I85" s="22"/>
    </row>
    <row r="86" spans="1:9" ht="12.95">
      <c r="A86" s="21"/>
      <c r="B86" s="21"/>
      <c r="C86" s="21"/>
      <c r="D86" s="21"/>
      <c r="E86" s="21"/>
      <c r="F86" s="22"/>
      <c r="G86" s="21"/>
      <c r="H86" s="21"/>
      <c r="I86" s="22"/>
    </row>
    <row r="87" spans="1:9" ht="12.95">
      <c r="A87" s="21"/>
      <c r="B87" s="21"/>
      <c r="C87" s="21"/>
      <c r="D87" s="21"/>
      <c r="E87" s="21"/>
      <c r="F87" s="22"/>
      <c r="G87" s="21"/>
      <c r="H87" s="21"/>
      <c r="I87" s="22"/>
    </row>
    <row r="88" spans="1:9" ht="12.95">
      <c r="A88" s="21"/>
      <c r="B88" s="21"/>
      <c r="C88" s="21"/>
      <c r="D88" s="21"/>
      <c r="E88" s="21"/>
      <c r="F88" s="22"/>
      <c r="G88" s="21"/>
      <c r="H88" s="21"/>
      <c r="I88" s="22"/>
    </row>
    <row r="89" spans="1:9" ht="12.95">
      <c r="A89" s="21"/>
      <c r="B89" s="21"/>
      <c r="C89" s="21"/>
      <c r="D89" s="21"/>
      <c r="E89" s="21"/>
      <c r="F89" s="22"/>
      <c r="G89" s="21"/>
      <c r="H89" s="21"/>
      <c r="I89" s="22"/>
    </row>
    <row r="90" spans="1:9" ht="12.95">
      <c r="A90" s="21"/>
      <c r="B90" s="21"/>
      <c r="C90" s="21"/>
      <c r="D90" s="21"/>
      <c r="E90" s="21"/>
      <c r="F90" s="22"/>
      <c r="G90" s="21"/>
      <c r="H90" s="21"/>
      <c r="I90" s="22"/>
    </row>
    <row r="91" spans="1:9" ht="12.95">
      <c r="A91" s="21"/>
      <c r="B91" s="21"/>
      <c r="C91" s="21"/>
      <c r="D91" s="21"/>
      <c r="E91" s="21"/>
      <c r="F91" s="22"/>
      <c r="G91" s="21"/>
      <c r="H91" s="21"/>
      <c r="I91" s="22"/>
    </row>
    <row r="92" spans="1:9" ht="12.95">
      <c r="A92" s="21"/>
      <c r="B92" s="21"/>
      <c r="C92" s="21"/>
      <c r="D92" s="21"/>
      <c r="E92" s="21"/>
      <c r="F92" s="22"/>
      <c r="G92" s="21"/>
      <c r="H92" s="21"/>
      <c r="I92" s="22"/>
    </row>
    <row r="93" spans="1:9" ht="12.95">
      <c r="A93" s="21"/>
      <c r="B93" s="21"/>
      <c r="C93" s="21"/>
      <c r="D93" s="21"/>
      <c r="E93" s="21"/>
      <c r="F93" s="22"/>
      <c r="G93" s="21"/>
      <c r="H93" s="21"/>
      <c r="I93" s="22"/>
    </row>
    <row r="94" spans="1:9" ht="12.95">
      <c r="A94" s="21"/>
      <c r="B94" s="21"/>
      <c r="C94" s="21"/>
      <c r="D94" s="21"/>
      <c r="E94" s="21"/>
      <c r="F94" s="22"/>
      <c r="G94" s="21"/>
      <c r="H94" s="21"/>
      <c r="I94" s="22"/>
    </row>
    <row r="95" spans="1:9" ht="12.95">
      <c r="A95" s="21"/>
      <c r="B95" s="21"/>
      <c r="C95" s="21"/>
      <c r="D95" s="21"/>
      <c r="E95" s="21"/>
      <c r="F95" s="22"/>
      <c r="G95" s="21"/>
      <c r="H95" s="21"/>
      <c r="I95" s="22"/>
    </row>
    <row r="96" spans="1:9" ht="12.95">
      <c r="A96" s="21"/>
      <c r="B96" s="21"/>
      <c r="C96" s="21"/>
      <c r="D96" s="21"/>
      <c r="E96" s="21"/>
      <c r="F96" s="22"/>
      <c r="G96" s="21"/>
      <c r="H96" s="21"/>
      <c r="I96" s="22"/>
    </row>
    <row r="97" spans="1:9" ht="12.95">
      <c r="A97" s="21"/>
      <c r="B97" s="21"/>
      <c r="C97" s="21"/>
      <c r="D97" s="21"/>
      <c r="E97" s="21"/>
      <c r="F97" s="22"/>
      <c r="G97" s="21"/>
      <c r="H97" s="21"/>
      <c r="I97" s="22"/>
    </row>
    <row r="98" spans="1:9" ht="12.95">
      <c r="A98" s="21"/>
      <c r="B98" s="21"/>
      <c r="C98" s="21"/>
      <c r="D98" s="21"/>
      <c r="E98" s="21"/>
      <c r="F98" s="22"/>
      <c r="G98" s="21"/>
      <c r="H98" s="21"/>
      <c r="I98" s="22"/>
    </row>
    <row r="99" spans="1:9" ht="12.95">
      <c r="A99" s="21"/>
      <c r="B99" s="21"/>
      <c r="C99" s="21"/>
      <c r="D99" s="21"/>
      <c r="E99" s="21"/>
      <c r="F99" s="22"/>
      <c r="G99" s="21"/>
      <c r="H99" s="21"/>
      <c r="I99" s="22"/>
    </row>
    <row r="100" spans="1:9" ht="12.95">
      <c r="A100" s="21"/>
      <c r="B100" s="21"/>
      <c r="C100" s="21"/>
      <c r="D100" s="21"/>
      <c r="E100" s="21"/>
      <c r="F100" s="22"/>
      <c r="G100" s="21"/>
      <c r="H100" s="21"/>
      <c r="I100" s="22"/>
    </row>
    <row r="101" spans="1:9" ht="12.95">
      <c r="A101" s="21"/>
      <c r="B101" s="21"/>
      <c r="C101" s="21"/>
      <c r="D101" s="21"/>
      <c r="E101" s="21"/>
      <c r="F101" s="22"/>
      <c r="G101" s="21"/>
      <c r="H101" s="21"/>
      <c r="I101" s="22"/>
    </row>
    <row r="102" spans="1:9" ht="12.95">
      <c r="A102" s="21"/>
      <c r="B102" s="21"/>
      <c r="C102" s="21"/>
      <c r="D102" s="21"/>
      <c r="E102" s="21"/>
      <c r="F102" s="22"/>
      <c r="G102" s="21"/>
      <c r="H102" s="21"/>
      <c r="I102" s="22"/>
    </row>
    <row r="103" spans="1:9" ht="12.95">
      <c r="A103" s="21"/>
      <c r="B103" s="21"/>
      <c r="C103" s="21"/>
      <c r="D103" s="21"/>
      <c r="E103" s="21"/>
      <c r="F103" s="22"/>
      <c r="G103" s="21"/>
      <c r="H103" s="21"/>
      <c r="I103" s="22"/>
    </row>
    <row r="104" spans="1:9" ht="12.95">
      <c r="A104" s="21"/>
      <c r="B104" s="21"/>
      <c r="C104" s="21"/>
      <c r="D104" s="21"/>
      <c r="E104" s="21"/>
      <c r="F104" s="22"/>
      <c r="G104" s="21"/>
      <c r="H104" s="21"/>
      <c r="I104" s="22"/>
    </row>
    <row r="105" spans="1:9" ht="12.95">
      <c r="A105" s="21"/>
      <c r="B105" s="21"/>
      <c r="C105" s="21"/>
      <c r="D105" s="21"/>
      <c r="E105" s="21"/>
      <c r="F105" s="22"/>
      <c r="G105" s="21"/>
      <c r="H105" s="21"/>
      <c r="I105" s="22"/>
    </row>
    <row r="106" spans="1:9" ht="12.95">
      <c r="A106" s="21"/>
      <c r="B106" s="21"/>
      <c r="C106" s="21"/>
      <c r="D106" s="21"/>
      <c r="E106" s="21"/>
      <c r="F106" s="22"/>
      <c r="G106" s="21"/>
      <c r="H106" s="21"/>
      <c r="I106" s="22"/>
    </row>
    <row r="107" spans="1:9" ht="12.95">
      <c r="A107" s="21"/>
      <c r="B107" s="21"/>
      <c r="C107" s="21"/>
      <c r="D107" s="21"/>
      <c r="E107" s="21"/>
      <c r="F107" s="22"/>
      <c r="G107" s="21"/>
      <c r="H107" s="21"/>
      <c r="I107" s="22"/>
    </row>
    <row r="108" spans="1:9" ht="12.95">
      <c r="A108" s="21"/>
      <c r="B108" s="21"/>
      <c r="C108" s="21"/>
      <c r="D108" s="21"/>
      <c r="E108" s="21"/>
      <c r="F108" s="22"/>
      <c r="G108" s="21"/>
      <c r="H108" s="21"/>
      <c r="I108" s="22"/>
    </row>
    <row r="109" spans="1:9" ht="12.95">
      <c r="A109" s="21"/>
      <c r="B109" s="21"/>
      <c r="C109" s="21"/>
      <c r="D109" s="21"/>
      <c r="E109" s="21"/>
      <c r="F109" s="22"/>
      <c r="G109" s="21"/>
      <c r="H109" s="21"/>
      <c r="I109" s="22"/>
    </row>
    <row r="110" spans="1:9" ht="12.95">
      <c r="A110" s="21"/>
      <c r="B110" s="21"/>
      <c r="C110" s="21"/>
      <c r="D110" s="21"/>
      <c r="E110" s="21"/>
      <c r="F110" s="22"/>
      <c r="G110" s="21"/>
      <c r="H110" s="21"/>
      <c r="I110" s="22"/>
    </row>
    <row r="111" spans="1:9" ht="12.95">
      <c r="A111" s="21"/>
      <c r="B111" s="21"/>
      <c r="C111" s="21"/>
      <c r="D111" s="21"/>
      <c r="E111" s="21"/>
      <c r="F111" s="22"/>
      <c r="G111" s="21"/>
      <c r="H111" s="21"/>
      <c r="I111" s="22"/>
    </row>
    <row r="112" spans="1:9" ht="12.95">
      <c r="A112" s="21"/>
      <c r="B112" s="21"/>
      <c r="C112" s="21"/>
      <c r="D112" s="21"/>
      <c r="E112" s="21"/>
      <c r="F112" s="22"/>
      <c r="G112" s="21"/>
      <c r="H112" s="21"/>
      <c r="I112" s="22"/>
    </row>
    <row r="113" spans="1:9" ht="12.95">
      <c r="A113" s="21"/>
      <c r="B113" s="21"/>
      <c r="C113" s="21"/>
      <c r="D113" s="21"/>
      <c r="E113" s="21"/>
      <c r="F113" s="22"/>
      <c r="G113" s="21"/>
      <c r="H113" s="21"/>
      <c r="I113" s="22"/>
    </row>
    <row r="114" spans="1:9" ht="12.95">
      <c r="A114" s="21"/>
      <c r="B114" s="21"/>
      <c r="C114" s="21"/>
      <c r="D114" s="21"/>
      <c r="E114" s="21"/>
      <c r="F114" s="22"/>
      <c r="G114" s="21"/>
      <c r="H114" s="21"/>
      <c r="I114" s="22"/>
    </row>
    <row r="115" spans="1:9" ht="12.95">
      <c r="A115" s="21"/>
      <c r="B115" s="21"/>
      <c r="C115" s="21"/>
      <c r="D115" s="21"/>
      <c r="E115" s="21"/>
      <c r="F115" s="22"/>
      <c r="G115" s="21"/>
      <c r="H115" s="21"/>
      <c r="I115" s="22"/>
    </row>
    <row r="116" spans="1:9" ht="12.95">
      <c r="A116" s="21"/>
      <c r="B116" s="21"/>
      <c r="C116" s="21"/>
      <c r="D116" s="21"/>
      <c r="E116" s="21"/>
      <c r="F116" s="22"/>
      <c r="G116" s="21"/>
      <c r="H116" s="21"/>
      <c r="I116" s="22"/>
    </row>
    <row r="117" spans="1:9" ht="12.95">
      <c r="A117" s="21"/>
      <c r="B117" s="21"/>
      <c r="C117" s="21"/>
      <c r="D117" s="21"/>
      <c r="E117" s="21"/>
      <c r="F117" s="22"/>
      <c r="G117" s="21"/>
      <c r="H117" s="21"/>
      <c r="I117" s="22"/>
    </row>
    <row r="118" spans="1:9" ht="12.95">
      <c r="A118" s="21"/>
      <c r="B118" s="21"/>
      <c r="C118" s="21"/>
      <c r="D118" s="21"/>
      <c r="E118" s="21"/>
      <c r="F118" s="22"/>
      <c r="G118" s="21"/>
      <c r="H118" s="21"/>
      <c r="I118" s="22"/>
    </row>
    <row r="119" spans="1:9" ht="12.95">
      <c r="A119" s="21"/>
      <c r="B119" s="21"/>
      <c r="C119" s="21"/>
      <c r="D119" s="21"/>
      <c r="E119" s="21"/>
      <c r="F119" s="22"/>
      <c r="G119" s="21"/>
      <c r="H119" s="21"/>
      <c r="I119" s="22"/>
    </row>
    <row r="120" spans="1:9" ht="12.95">
      <c r="A120" s="21"/>
      <c r="B120" s="21"/>
      <c r="C120" s="21"/>
      <c r="D120" s="21"/>
      <c r="E120" s="21"/>
      <c r="F120" s="22"/>
      <c r="G120" s="21"/>
      <c r="H120" s="21"/>
      <c r="I120" s="22"/>
    </row>
    <row r="121" spans="1:9" ht="12.95">
      <c r="A121" s="21"/>
      <c r="B121" s="21"/>
      <c r="C121" s="21"/>
      <c r="D121" s="21"/>
      <c r="E121" s="21"/>
      <c r="F121" s="22"/>
      <c r="G121" s="21"/>
      <c r="H121" s="21"/>
      <c r="I121" s="22"/>
    </row>
    <row r="122" spans="1:9" ht="12.95">
      <c r="A122" s="21"/>
      <c r="B122" s="21"/>
      <c r="C122" s="21"/>
      <c r="D122" s="21"/>
      <c r="E122" s="21"/>
      <c r="F122" s="22"/>
      <c r="G122" s="21"/>
      <c r="H122" s="21"/>
      <c r="I122" s="22"/>
    </row>
    <row r="123" spans="1:9" ht="12.95">
      <c r="A123" s="21"/>
      <c r="B123" s="21"/>
      <c r="C123" s="21"/>
      <c r="D123" s="21"/>
      <c r="E123" s="21"/>
      <c r="F123" s="22"/>
      <c r="G123" s="21"/>
      <c r="H123" s="21"/>
      <c r="I123" s="22"/>
    </row>
    <row r="124" spans="1:9" ht="12.95">
      <c r="A124" s="21"/>
      <c r="B124" s="21"/>
      <c r="C124" s="21"/>
      <c r="D124" s="21"/>
      <c r="E124" s="21"/>
      <c r="F124" s="22"/>
      <c r="G124" s="21"/>
      <c r="H124" s="21"/>
      <c r="I124" s="22"/>
    </row>
    <row r="125" spans="1:9" ht="12.95">
      <c r="A125" s="21"/>
      <c r="B125" s="21"/>
      <c r="C125" s="21"/>
      <c r="D125" s="21"/>
      <c r="E125" s="21"/>
      <c r="F125" s="22"/>
      <c r="G125" s="21"/>
      <c r="H125" s="21"/>
      <c r="I125" s="22"/>
    </row>
    <row r="126" spans="1:9" ht="12.95">
      <c r="A126" s="21"/>
      <c r="B126" s="21"/>
      <c r="C126" s="21"/>
      <c r="D126" s="21"/>
      <c r="E126" s="21"/>
      <c r="F126" s="22"/>
      <c r="G126" s="21"/>
      <c r="H126" s="21"/>
      <c r="I126" s="22"/>
    </row>
    <row r="127" spans="1:9" ht="12.95">
      <c r="A127" s="21"/>
      <c r="B127" s="21"/>
      <c r="C127" s="21"/>
      <c r="D127" s="21"/>
      <c r="E127" s="21"/>
      <c r="F127" s="22"/>
      <c r="G127" s="21"/>
      <c r="H127" s="21"/>
      <c r="I127" s="22"/>
    </row>
    <row r="128" spans="1:9" ht="12.95">
      <c r="A128" s="21"/>
      <c r="B128" s="21"/>
      <c r="C128" s="21"/>
      <c r="D128" s="21"/>
      <c r="E128" s="21"/>
      <c r="F128" s="22"/>
      <c r="G128" s="21"/>
      <c r="H128" s="21"/>
      <c r="I128" s="22"/>
    </row>
    <row r="129" spans="1:9" ht="12.95">
      <c r="A129" s="21"/>
      <c r="B129" s="21"/>
      <c r="C129" s="21"/>
      <c r="D129" s="21"/>
      <c r="E129" s="21"/>
      <c r="F129" s="22"/>
      <c r="G129" s="21"/>
      <c r="H129" s="21"/>
      <c r="I129" s="22"/>
    </row>
    <row r="130" spans="1:9" ht="12.95">
      <c r="A130" s="21"/>
      <c r="B130" s="21"/>
      <c r="C130" s="21"/>
      <c r="D130" s="21"/>
      <c r="E130" s="21"/>
      <c r="F130" s="22"/>
      <c r="G130" s="21"/>
      <c r="H130" s="21"/>
      <c r="I130" s="22"/>
    </row>
    <row r="131" spans="1:9" ht="12.95">
      <c r="A131" s="21"/>
      <c r="B131" s="21"/>
      <c r="C131" s="21"/>
      <c r="D131" s="21"/>
      <c r="E131" s="21"/>
      <c r="F131" s="22"/>
      <c r="G131" s="21"/>
      <c r="H131" s="21"/>
      <c r="I131" s="22"/>
    </row>
    <row r="132" spans="1:9" ht="12.95">
      <c r="A132" s="21"/>
      <c r="B132" s="21"/>
      <c r="C132" s="21"/>
      <c r="D132" s="21"/>
      <c r="E132" s="21"/>
      <c r="F132" s="22"/>
      <c r="G132" s="21"/>
      <c r="H132" s="21"/>
      <c r="I132" s="22"/>
    </row>
    <row r="133" spans="1:9" ht="12.95">
      <c r="A133" s="21"/>
      <c r="B133" s="21"/>
      <c r="C133" s="21"/>
      <c r="D133" s="21"/>
      <c r="E133" s="21"/>
      <c r="F133" s="22"/>
      <c r="G133" s="21"/>
      <c r="H133" s="21"/>
      <c r="I133" s="22"/>
    </row>
    <row r="134" spans="1:9" ht="12.95">
      <c r="A134" s="21"/>
      <c r="B134" s="21"/>
      <c r="C134" s="21"/>
      <c r="D134" s="21"/>
      <c r="E134" s="21"/>
      <c r="F134" s="22"/>
      <c r="G134" s="21"/>
      <c r="H134" s="21"/>
      <c r="I134" s="22"/>
    </row>
    <row r="135" spans="1:9" ht="12.95">
      <c r="A135" s="21"/>
      <c r="B135" s="21"/>
      <c r="C135" s="21"/>
      <c r="D135" s="21"/>
      <c r="E135" s="21"/>
      <c r="F135" s="22"/>
      <c r="G135" s="21"/>
      <c r="H135" s="21"/>
      <c r="I135" s="22"/>
    </row>
    <row r="136" spans="1:9" ht="12.95">
      <c r="A136" s="21"/>
      <c r="B136" s="21"/>
      <c r="C136" s="21"/>
      <c r="D136" s="21"/>
      <c r="E136" s="21"/>
      <c r="F136" s="22"/>
      <c r="G136" s="21"/>
      <c r="H136" s="21"/>
      <c r="I136" s="22"/>
    </row>
    <row r="137" spans="1:9" ht="12.95">
      <c r="A137" s="21"/>
      <c r="B137" s="21"/>
      <c r="C137" s="21"/>
      <c r="D137" s="21"/>
      <c r="E137" s="21"/>
      <c r="F137" s="22"/>
      <c r="G137" s="21"/>
      <c r="H137" s="21"/>
      <c r="I137" s="22"/>
    </row>
    <row r="138" spans="1:9" ht="12.95">
      <c r="A138" s="21"/>
      <c r="B138" s="21"/>
      <c r="C138" s="21"/>
      <c r="D138" s="21"/>
      <c r="E138" s="21"/>
      <c r="F138" s="22"/>
      <c r="G138" s="21"/>
      <c r="H138" s="21"/>
      <c r="I138" s="22"/>
    </row>
    <row r="139" spans="1:9" ht="12.95">
      <c r="A139" s="21"/>
      <c r="B139" s="21"/>
      <c r="C139" s="21"/>
      <c r="D139" s="21"/>
      <c r="E139" s="21"/>
      <c r="F139" s="22"/>
      <c r="G139" s="21"/>
      <c r="H139" s="21"/>
      <c r="I139" s="22"/>
    </row>
    <row r="140" spans="1:9" ht="12.95">
      <c r="A140" s="21"/>
      <c r="B140" s="21"/>
      <c r="C140" s="21"/>
      <c r="D140" s="21"/>
      <c r="E140" s="21"/>
      <c r="F140" s="22"/>
      <c r="G140" s="21"/>
      <c r="H140" s="21"/>
      <c r="I140" s="22"/>
    </row>
    <row r="141" spans="1:9" ht="12.95">
      <c r="A141" s="21"/>
      <c r="B141" s="21"/>
      <c r="C141" s="21"/>
      <c r="D141" s="21"/>
      <c r="E141" s="21"/>
      <c r="F141" s="22"/>
      <c r="G141" s="21"/>
      <c r="H141" s="21"/>
      <c r="I141" s="22"/>
    </row>
    <row r="142" spans="1:9" ht="12.95">
      <c r="A142" s="21"/>
      <c r="B142" s="21"/>
      <c r="C142" s="21"/>
      <c r="D142" s="21"/>
      <c r="E142" s="21"/>
      <c r="F142" s="22"/>
      <c r="G142" s="21"/>
      <c r="H142" s="21"/>
      <c r="I142" s="22"/>
    </row>
    <row r="143" spans="1:9" ht="12.95">
      <c r="A143" s="21"/>
      <c r="B143" s="21"/>
      <c r="C143" s="21"/>
      <c r="D143" s="21"/>
      <c r="E143" s="21"/>
      <c r="F143" s="22"/>
      <c r="G143" s="21"/>
      <c r="H143" s="21"/>
      <c r="I143" s="22"/>
    </row>
    <row r="144" spans="1:9" ht="12.95">
      <c r="A144" s="21"/>
      <c r="B144" s="21"/>
      <c r="C144" s="21"/>
      <c r="D144" s="21"/>
      <c r="E144" s="21"/>
      <c r="F144" s="22"/>
      <c r="G144" s="21"/>
      <c r="H144" s="21"/>
      <c r="I144" s="22"/>
    </row>
    <row r="145" spans="1:9" ht="12.95">
      <c r="A145" s="21"/>
      <c r="B145" s="21"/>
      <c r="C145" s="21"/>
      <c r="D145" s="21"/>
      <c r="E145" s="21"/>
      <c r="F145" s="22"/>
      <c r="G145" s="21"/>
      <c r="H145" s="21"/>
      <c r="I145" s="22"/>
    </row>
    <row r="146" spans="1:9" ht="12.95">
      <c r="A146" s="21"/>
      <c r="B146" s="21"/>
      <c r="C146" s="21"/>
      <c r="D146" s="21"/>
      <c r="E146" s="21"/>
      <c r="F146" s="22"/>
      <c r="G146" s="21"/>
      <c r="H146" s="21"/>
      <c r="I146" s="22"/>
    </row>
    <row r="147" spans="1:9" ht="12.95">
      <c r="A147" s="21"/>
      <c r="B147" s="21"/>
      <c r="C147" s="21"/>
      <c r="D147" s="21"/>
      <c r="E147" s="21"/>
      <c r="F147" s="22"/>
      <c r="G147" s="21"/>
      <c r="H147" s="21"/>
      <c r="I147" s="22"/>
    </row>
    <row r="148" spans="1:9" ht="12.95">
      <c r="A148" s="21"/>
      <c r="B148" s="21"/>
      <c r="C148" s="21"/>
      <c r="D148" s="21"/>
      <c r="E148" s="21"/>
      <c r="F148" s="22"/>
      <c r="G148" s="21"/>
      <c r="H148" s="21"/>
      <c r="I148" s="22"/>
    </row>
    <row r="149" spans="1:9" ht="12.95">
      <c r="A149" s="21"/>
      <c r="B149" s="21"/>
      <c r="C149" s="21"/>
      <c r="D149" s="21"/>
      <c r="E149" s="21"/>
      <c r="F149" s="22"/>
      <c r="G149" s="21"/>
      <c r="H149" s="21"/>
      <c r="I149" s="22"/>
    </row>
    <row r="150" spans="1:9" ht="12.95">
      <c r="A150" s="21"/>
      <c r="B150" s="21"/>
      <c r="C150" s="21"/>
      <c r="D150" s="21"/>
      <c r="E150" s="21"/>
      <c r="F150" s="22"/>
      <c r="G150" s="21"/>
      <c r="H150" s="21"/>
      <c r="I150" s="22"/>
    </row>
    <row r="151" spans="1:9" ht="12.95">
      <c r="A151" s="21"/>
      <c r="B151" s="21"/>
      <c r="C151" s="21"/>
      <c r="D151" s="21"/>
      <c r="E151" s="21"/>
      <c r="F151" s="22"/>
      <c r="G151" s="21"/>
      <c r="H151" s="21"/>
      <c r="I151" s="22"/>
    </row>
    <row r="152" spans="1:9" ht="12.95">
      <c r="A152" s="21"/>
      <c r="B152" s="21"/>
      <c r="C152" s="21"/>
      <c r="D152" s="21"/>
      <c r="E152" s="21"/>
      <c r="F152" s="22"/>
      <c r="G152" s="21"/>
      <c r="H152" s="21"/>
      <c r="I152" s="22"/>
    </row>
    <row r="153" spans="1:9" ht="12.95">
      <c r="A153" s="21"/>
      <c r="B153" s="21"/>
      <c r="C153" s="21"/>
      <c r="D153" s="21"/>
      <c r="E153" s="21"/>
      <c r="F153" s="22"/>
      <c r="G153" s="21"/>
      <c r="H153" s="21"/>
      <c r="I153" s="22"/>
    </row>
    <row r="154" spans="1:9" ht="12.95">
      <c r="A154" s="21"/>
      <c r="B154" s="21"/>
      <c r="C154" s="21"/>
      <c r="D154" s="21"/>
      <c r="E154" s="21"/>
      <c r="F154" s="22"/>
      <c r="G154" s="21"/>
      <c r="H154" s="21"/>
      <c r="I154" s="22"/>
    </row>
    <row r="155" spans="1:9" ht="12.95">
      <c r="A155" s="21"/>
      <c r="B155" s="21"/>
      <c r="C155" s="21"/>
      <c r="D155" s="21"/>
      <c r="E155" s="21"/>
      <c r="F155" s="22"/>
      <c r="G155" s="21"/>
      <c r="H155" s="21"/>
      <c r="I155" s="22"/>
    </row>
    <row r="156" spans="1:9" ht="12.95">
      <c r="A156" s="21"/>
      <c r="B156" s="21"/>
      <c r="C156" s="21"/>
      <c r="D156" s="21"/>
      <c r="E156" s="21"/>
      <c r="F156" s="22"/>
      <c r="G156" s="21"/>
      <c r="H156" s="21"/>
      <c r="I156" s="22"/>
    </row>
    <row r="157" spans="1:9" ht="12.95">
      <c r="A157" s="21"/>
      <c r="B157" s="21"/>
      <c r="C157" s="21"/>
      <c r="D157" s="21"/>
      <c r="E157" s="21"/>
      <c r="F157" s="22"/>
      <c r="G157" s="21"/>
      <c r="H157" s="21"/>
      <c r="I157" s="22"/>
    </row>
    <row r="158" spans="1:9" ht="12.95">
      <c r="A158" s="21"/>
      <c r="B158" s="21"/>
      <c r="C158" s="21"/>
      <c r="D158" s="21"/>
      <c r="E158" s="21"/>
      <c r="F158" s="22"/>
      <c r="G158" s="21"/>
      <c r="H158" s="21"/>
      <c r="I158" s="22"/>
    </row>
    <row r="159" spans="1:9" ht="12.95">
      <c r="A159" s="21"/>
      <c r="B159" s="21"/>
      <c r="C159" s="21"/>
      <c r="D159" s="21"/>
      <c r="E159" s="21"/>
      <c r="F159" s="22"/>
      <c r="G159" s="21"/>
      <c r="H159" s="21"/>
      <c r="I159" s="22"/>
    </row>
    <row r="160" spans="1:9" ht="12.95">
      <c r="A160" s="21"/>
      <c r="B160" s="21"/>
      <c r="C160" s="21"/>
      <c r="D160" s="21"/>
      <c r="E160" s="21"/>
      <c r="F160" s="22"/>
      <c r="G160" s="21"/>
      <c r="H160" s="21"/>
      <c r="I160" s="22"/>
    </row>
    <row r="161" spans="1:9" ht="12.95">
      <c r="A161" s="21"/>
      <c r="B161" s="21"/>
      <c r="C161" s="21"/>
      <c r="D161" s="21"/>
      <c r="E161" s="21"/>
      <c r="F161" s="22"/>
      <c r="G161" s="21"/>
      <c r="H161" s="21"/>
      <c r="I161" s="22"/>
    </row>
    <row r="162" spans="1:9" ht="12.95">
      <c r="A162" s="21"/>
      <c r="B162" s="21"/>
      <c r="C162" s="21"/>
      <c r="D162" s="21"/>
      <c r="E162" s="21"/>
      <c r="F162" s="22"/>
      <c r="G162" s="21"/>
      <c r="H162" s="21"/>
      <c r="I162" s="22"/>
    </row>
    <row r="163" spans="1:9" ht="12.95">
      <c r="A163" s="21"/>
      <c r="B163" s="21"/>
      <c r="C163" s="21"/>
      <c r="D163" s="21"/>
      <c r="E163" s="21"/>
      <c r="F163" s="22"/>
      <c r="G163" s="21"/>
      <c r="H163" s="21"/>
      <c r="I163" s="22"/>
    </row>
    <row r="164" spans="1:9" ht="12.95">
      <c r="A164" s="21"/>
      <c r="B164" s="21"/>
      <c r="C164" s="21"/>
      <c r="D164" s="21"/>
      <c r="E164" s="21"/>
      <c r="F164" s="22"/>
      <c r="G164" s="21"/>
      <c r="H164" s="21"/>
      <c r="I164" s="22"/>
    </row>
    <row r="165" spans="1:9" ht="12.95">
      <c r="A165" s="21"/>
      <c r="B165" s="21"/>
      <c r="C165" s="21"/>
      <c r="D165" s="21"/>
      <c r="E165" s="21"/>
      <c r="F165" s="22"/>
      <c r="G165" s="21"/>
      <c r="H165" s="21"/>
      <c r="I165" s="22"/>
    </row>
    <row r="166" spans="1:9" ht="12.95">
      <c r="A166" s="21"/>
      <c r="B166" s="21"/>
      <c r="C166" s="21"/>
      <c r="D166" s="21"/>
      <c r="E166" s="21"/>
      <c r="F166" s="22"/>
      <c r="G166" s="21"/>
      <c r="H166" s="21"/>
      <c r="I166" s="22"/>
    </row>
    <row r="167" spans="1:9" ht="12.95">
      <c r="A167" s="21"/>
      <c r="B167" s="21"/>
      <c r="C167" s="21"/>
      <c r="D167" s="21"/>
      <c r="E167" s="21"/>
      <c r="F167" s="22"/>
      <c r="G167" s="21"/>
      <c r="H167" s="21"/>
      <c r="I167" s="22"/>
    </row>
    <row r="168" spans="1:9" ht="12.95">
      <c r="A168" s="21"/>
      <c r="B168" s="21"/>
      <c r="C168" s="21"/>
      <c r="D168" s="21"/>
      <c r="E168" s="21"/>
      <c r="F168" s="22"/>
      <c r="G168" s="21"/>
      <c r="H168" s="21"/>
      <c r="I168" s="22"/>
    </row>
    <row r="169" spans="1:9" ht="12.95">
      <c r="A169" s="21"/>
      <c r="B169" s="21"/>
      <c r="C169" s="21"/>
      <c r="D169" s="21"/>
      <c r="E169" s="21"/>
      <c r="F169" s="22"/>
      <c r="G169" s="21"/>
      <c r="H169" s="21"/>
      <c r="I169" s="22"/>
    </row>
    <row r="170" spans="1:9" ht="12.95">
      <c r="A170" s="21"/>
      <c r="B170" s="21"/>
      <c r="C170" s="21"/>
      <c r="D170" s="21"/>
      <c r="E170" s="21"/>
      <c r="F170" s="22"/>
      <c r="G170" s="21"/>
      <c r="H170" s="21"/>
      <c r="I170" s="22"/>
    </row>
    <row r="171" spans="1:9" ht="12.95">
      <c r="A171" s="21"/>
      <c r="B171" s="21"/>
      <c r="C171" s="21"/>
      <c r="D171" s="21"/>
      <c r="E171" s="21"/>
      <c r="F171" s="22"/>
      <c r="G171" s="21"/>
      <c r="H171" s="21"/>
      <c r="I171" s="22"/>
    </row>
    <row r="172" spans="1:9" ht="12.95">
      <c r="A172" s="21"/>
      <c r="B172" s="21"/>
      <c r="C172" s="21"/>
      <c r="D172" s="21"/>
      <c r="E172" s="21"/>
      <c r="F172" s="22"/>
      <c r="G172" s="21"/>
      <c r="H172" s="21"/>
      <c r="I172" s="22"/>
    </row>
    <row r="173" spans="1:9" ht="12.95">
      <c r="A173" s="21"/>
      <c r="B173" s="21"/>
      <c r="C173" s="21"/>
      <c r="D173" s="21"/>
      <c r="E173" s="21"/>
      <c r="F173" s="22"/>
      <c r="G173" s="21"/>
      <c r="H173" s="21"/>
      <c r="I173" s="22"/>
    </row>
    <row r="174" spans="1:9" ht="12.95">
      <c r="A174" s="21"/>
      <c r="B174" s="21"/>
      <c r="C174" s="21"/>
      <c r="D174" s="21"/>
      <c r="E174" s="21"/>
      <c r="F174" s="22"/>
      <c r="G174" s="21"/>
      <c r="H174" s="21"/>
      <c r="I174" s="22"/>
    </row>
    <row r="175" spans="1:9" ht="12.95">
      <c r="A175" s="21"/>
      <c r="B175" s="21"/>
      <c r="C175" s="21"/>
      <c r="D175" s="21"/>
      <c r="E175" s="21"/>
      <c r="F175" s="22"/>
      <c r="G175" s="21"/>
      <c r="H175" s="21"/>
      <c r="I175" s="22"/>
    </row>
    <row r="176" spans="1:9" ht="12.95">
      <c r="A176" s="21"/>
      <c r="B176" s="21"/>
      <c r="C176" s="21"/>
      <c r="D176" s="21"/>
      <c r="E176" s="21"/>
      <c r="F176" s="22"/>
      <c r="G176" s="21"/>
      <c r="H176" s="21"/>
      <c r="I176" s="22"/>
    </row>
    <row r="177" spans="1:9" ht="12.95">
      <c r="A177" s="21"/>
      <c r="B177" s="21"/>
      <c r="C177" s="21"/>
      <c r="D177" s="21"/>
      <c r="E177" s="21"/>
      <c r="F177" s="22"/>
      <c r="G177" s="21"/>
      <c r="H177" s="21"/>
      <c r="I177" s="22"/>
    </row>
    <row r="178" spans="1:9" ht="12.95">
      <c r="A178" s="21"/>
      <c r="B178" s="21"/>
      <c r="C178" s="21"/>
      <c r="D178" s="21"/>
      <c r="E178" s="21"/>
      <c r="F178" s="22"/>
      <c r="G178" s="21"/>
      <c r="H178" s="21"/>
      <c r="I178" s="22"/>
    </row>
    <row r="179" spans="1:9" ht="12.95">
      <c r="A179" s="21"/>
      <c r="B179" s="21"/>
      <c r="C179" s="21"/>
      <c r="D179" s="21"/>
      <c r="E179" s="21"/>
      <c r="F179" s="22"/>
      <c r="G179" s="21"/>
      <c r="H179" s="21"/>
      <c r="I179" s="22"/>
    </row>
    <row r="180" spans="1:9" ht="12.95">
      <c r="A180" s="21"/>
      <c r="B180" s="21"/>
      <c r="C180" s="21"/>
      <c r="D180" s="21"/>
      <c r="E180" s="21"/>
      <c r="F180" s="22"/>
      <c r="G180" s="21"/>
      <c r="H180" s="21"/>
      <c r="I180" s="22"/>
    </row>
    <row r="181" spans="1:9" ht="12.95">
      <c r="A181" s="21"/>
      <c r="B181" s="21"/>
      <c r="C181" s="21"/>
      <c r="D181" s="21"/>
      <c r="E181" s="21"/>
      <c r="F181" s="22"/>
      <c r="G181" s="21"/>
      <c r="H181" s="21"/>
      <c r="I181" s="22"/>
    </row>
    <row r="182" spans="1:9" ht="12.95">
      <c r="A182" s="21"/>
      <c r="B182" s="21"/>
      <c r="C182" s="21"/>
      <c r="D182" s="21"/>
      <c r="E182" s="21"/>
      <c r="F182" s="22"/>
      <c r="G182" s="21"/>
      <c r="H182" s="21"/>
      <c r="I182" s="22"/>
    </row>
    <row r="183" spans="1:9" ht="12.95">
      <c r="A183" s="21"/>
      <c r="B183" s="21"/>
      <c r="C183" s="21"/>
      <c r="D183" s="21"/>
      <c r="E183" s="21"/>
      <c r="F183" s="22"/>
      <c r="G183" s="21"/>
      <c r="H183" s="21"/>
      <c r="I183" s="22"/>
    </row>
    <row r="184" spans="1:9" ht="12.95">
      <c r="A184" s="21"/>
      <c r="B184" s="21"/>
      <c r="C184" s="21"/>
      <c r="D184" s="21"/>
      <c r="E184" s="21"/>
      <c r="F184" s="22"/>
      <c r="G184" s="21"/>
      <c r="H184" s="21"/>
      <c r="I184" s="22"/>
    </row>
    <row r="185" spans="1:9" ht="12.95">
      <c r="A185" s="21"/>
      <c r="B185" s="21"/>
      <c r="C185" s="21"/>
      <c r="D185" s="21"/>
      <c r="E185" s="21"/>
      <c r="F185" s="22"/>
      <c r="G185" s="21"/>
      <c r="H185" s="21"/>
      <c r="I185" s="22"/>
    </row>
    <row r="186" spans="1:9" ht="12.95">
      <c r="A186" s="21"/>
      <c r="B186" s="21"/>
      <c r="C186" s="21"/>
      <c r="D186" s="21"/>
      <c r="E186" s="21"/>
      <c r="F186" s="22"/>
      <c r="G186" s="21"/>
      <c r="H186" s="21"/>
      <c r="I186" s="22"/>
    </row>
    <row r="187" spans="1:9" ht="12.95">
      <c r="A187" s="21"/>
      <c r="B187" s="21"/>
      <c r="C187" s="21"/>
      <c r="D187" s="21"/>
      <c r="E187" s="21"/>
      <c r="F187" s="22"/>
      <c r="G187" s="21"/>
      <c r="H187" s="21"/>
      <c r="I187" s="22"/>
    </row>
    <row r="188" spans="1:9" ht="12.95">
      <c r="A188" s="21"/>
      <c r="B188" s="21"/>
      <c r="C188" s="21"/>
      <c r="D188" s="21"/>
      <c r="E188" s="21"/>
      <c r="F188" s="22"/>
      <c r="G188" s="21"/>
      <c r="H188" s="21"/>
      <c r="I188" s="22"/>
    </row>
    <row r="189" spans="1:9" ht="12.95">
      <c r="A189" s="21"/>
      <c r="B189" s="21"/>
      <c r="C189" s="21"/>
      <c r="D189" s="21"/>
      <c r="E189" s="21"/>
      <c r="F189" s="22"/>
      <c r="G189" s="21"/>
      <c r="H189" s="21"/>
      <c r="I189" s="22"/>
    </row>
    <row r="190" spans="1:9" ht="12.95">
      <c r="A190" s="21"/>
      <c r="B190" s="21"/>
      <c r="C190" s="21"/>
      <c r="D190" s="21"/>
      <c r="E190" s="21"/>
      <c r="F190" s="22"/>
      <c r="G190" s="21"/>
      <c r="H190" s="21"/>
      <c r="I190" s="22"/>
    </row>
    <row r="191" spans="1:9" ht="12.95">
      <c r="A191" s="21"/>
      <c r="B191" s="21"/>
      <c r="C191" s="21"/>
      <c r="D191" s="21"/>
      <c r="E191" s="21"/>
      <c r="F191" s="22"/>
      <c r="G191" s="21"/>
      <c r="H191" s="21"/>
      <c r="I191" s="22"/>
    </row>
    <row r="192" spans="1:9" ht="12.95">
      <c r="A192" s="21"/>
      <c r="B192" s="21"/>
      <c r="C192" s="21"/>
      <c r="D192" s="21"/>
      <c r="E192" s="21"/>
      <c r="F192" s="22"/>
      <c r="G192" s="21"/>
      <c r="H192" s="21"/>
      <c r="I192" s="22"/>
    </row>
    <row r="193" spans="1:9" ht="12.95">
      <c r="A193" s="21"/>
      <c r="B193" s="21"/>
      <c r="C193" s="21"/>
      <c r="D193" s="21"/>
      <c r="E193" s="21"/>
      <c r="F193" s="22"/>
      <c r="G193" s="21"/>
      <c r="H193" s="21"/>
      <c r="I193" s="22"/>
    </row>
    <row r="194" spans="1:9" ht="12.95">
      <c r="A194" s="21"/>
      <c r="B194" s="21"/>
      <c r="C194" s="21"/>
      <c r="D194" s="21"/>
      <c r="E194" s="21"/>
      <c r="F194" s="22"/>
      <c r="G194" s="21"/>
      <c r="H194" s="21"/>
      <c r="I194" s="22"/>
    </row>
    <row r="195" spans="1:9" ht="12.95">
      <c r="A195" s="21"/>
      <c r="B195" s="21"/>
      <c r="C195" s="21"/>
      <c r="D195" s="21"/>
      <c r="E195" s="21"/>
      <c r="F195" s="22"/>
      <c r="G195" s="21"/>
      <c r="H195" s="21"/>
      <c r="I195" s="22"/>
    </row>
    <row r="196" spans="1:9" ht="12.95">
      <c r="A196" s="21"/>
      <c r="B196" s="21"/>
      <c r="C196" s="21"/>
      <c r="D196" s="21"/>
      <c r="E196" s="21"/>
      <c r="F196" s="22"/>
      <c r="G196" s="21"/>
      <c r="H196" s="21"/>
      <c r="I196" s="22"/>
    </row>
    <row r="197" spans="1:9" ht="12.95">
      <c r="A197" s="21"/>
      <c r="B197" s="21"/>
      <c r="C197" s="21"/>
      <c r="D197" s="21"/>
      <c r="E197" s="21"/>
      <c r="F197" s="22"/>
      <c r="G197" s="21"/>
      <c r="H197" s="21"/>
      <c r="I197" s="22"/>
    </row>
    <row r="198" spans="1:9" ht="12.95">
      <c r="A198" s="21"/>
      <c r="B198" s="21"/>
      <c r="C198" s="21"/>
      <c r="D198" s="21"/>
      <c r="E198" s="21"/>
      <c r="F198" s="22"/>
      <c r="G198" s="21"/>
      <c r="H198" s="21"/>
      <c r="I198" s="22"/>
    </row>
    <row r="199" spans="1:9" ht="12.95">
      <c r="A199" s="21"/>
      <c r="B199" s="21"/>
      <c r="C199" s="21"/>
      <c r="D199" s="21"/>
      <c r="E199" s="21"/>
      <c r="F199" s="22"/>
      <c r="G199" s="21"/>
      <c r="H199" s="21"/>
      <c r="I199" s="22"/>
    </row>
    <row r="200" spans="1:9" ht="12.95">
      <c r="A200" s="21"/>
      <c r="B200" s="21"/>
      <c r="C200" s="21"/>
      <c r="D200" s="21"/>
      <c r="E200" s="21"/>
      <c r="F200" s="22"/>
      <c r="G200" s="21"/>
      <c r="H200" s="21"/>
      <c r="I200" s="22"/>
    </row>
    <row r="201" spans="1:9" ht="12.95">
      <c r="A201" s="21"/>
      <c r="B201" s="21"/>
      <c r="C201" s="21"/>
      <c r="D201" s="21"/>
      <c r="E201" s="21"/>
      <c r="F201" s="22"/>
      <c r="G201" s="21"/>
      <c r="H201" s="21"/>
      <c r="I201" s="22"/>
    </row>
    <row r="202" spans="1:9" ht="12.95">
      <c r="A202" s="21"/>
      <c r="B202" s="21"/>
      <c r="C202" s="21"/>
      <c r="D202" s="21"/>
      <c r="E202" s="21"/>
      <c r="F202" s="22"/>
      <c r="G202" s="21"/>
      <c r="H202" s="21"/>
      <c r="I202" s="22"/>
    </row>
    <row r="203" spans="1:9" ht="12.95">
      <c r="A203" s="21"/>
      <c r="B203" s="21"/>
      <c r="C203" s="21"/>
      <c r="D203" s="21"/>
      <c r="E203" s="21"/>
      <c r="F203" s="22"/>
      <c r="G203" s="21"/>
      <c r="H203" s="21"/>
      <c r="I203" s="22"/>
    </row>
    <row r="204" spans="1:9" ht="12.95">
      <c r="A204" s="21"/>
      <c r="B204" s="21"/>
      <c r="C204" s="21"/>
      <c r="D204" s="21"/>
      <c r="E204" s="21"/>
      <c r="F204" s="22"/>
      <c r="G204" s="21"/>
      <c r="H204" s="21"/>
      <c r="I204" s="22"/>
    </row>
    <row r="205" spans="1:9" ht="12.95">
      <c r="A205" s="21"/>
      <c r="B205" s="21"/>
      <c r="C205" s="21"/>
      <c r="D205" s="21"/>
      <c r="E205" s="21"/>
      <c r="F205" s="22"/>
      <c r="G205" s="21"/>
      <c r="H205" s="21"/>
      <c r="I205" s="22"/>
    </row>
    <row r="206" spans="1:9" ht="12.95">
      <c r="A206" s="21"/>
      <c r="B206" s="21"/>
      <c r="C206" s="21"/>
      <c r="D206" s="21"/>
      <c r="E206" s="21"/>
      <c r="F206" s="22"/>
      <c r="G206" s="21"/>
      <c r="H206" s="21"/>
      <c r="I206" s="22"/>
    </row>
    <row r="207" spans="1:9" ht="12.95">
      <c r="A207" s="21"/>
      <c r="B207" s="21"/>
      <c r="C207" s="21"/>
      <c r="D207" s="21"/>
      <c r="E207" s="21"/>
      <c r="F207" s="22"/>
      <c r="G207" s="21"/>
      <c r="H207" s="21"/>
      <c r="I207" s="22"/>
    </row>
    <row r="208" spans="1:9" ht="12.95">
      <c r="A208" s="21"/>
      <c r="B208" s="21"/>
      <c r="C208" s="21"/>
      <c r="D208" s="21"/>
      <c r="E208" s="21"/>
      <c r="F208" s="22"/>
      <c r="G208" s="21"/>
      <c r="H208" s="21"/>
      <c r="I208" s="22"/>
    </row>
    <row r="209" spans="1:9" ht="12.95">
      <c r="A209" s="21"/>
      <c r="B209" s="21"/>
      <c r="C209" s="21"/>
      <c r="D209" s="21"/>
      <c r="E209" s="21"/>
      <c r="F209" s="22"/>
      <c r="G209" s="21"/>
      <c r="H209" s="21"/>
      <c r="I209" s="22"/>
    </row>
    <row r="210" spans="1:9" ht="12.95">
      <c r="A210" s="21"/>
      <c r="B210" s="21"/>
      <c r="C210" s="21"/>
      <c r="D210" s="21"/>
      <c r="E210" s="21"/>
      <c r="F210" s="22"/>
      <c r="G210" s="21"/>
      <c r="H210" s="21"/>
      <c r="I210" s="22"/>
    </row>
    <row r="211" spans="1:9" ht="12.95">
      <c r="A211" s="21"/>
      <c r="B211" s="21"/>
      <c r="C211" s="21"/>
      <c r="D211" s="21"/>
      <c r="E211" s="21"/>
      <c r="F211" s="22"/>
      <c r="G211" s="21"/>
      <c r="H211" s="21"/>
      <c r="I211" s="22"/>
    </row>
    <row r="212" spans="1:9" ht="12.95">
      <c r="A212" s="21"/>
      <c r="B212" s="21"/>
      <c r="C212" s="21"/>
      <c r="D212" s="21"/>
      <c r="E212" s="21"/>
      <c r="F212" s="22"/>
      <c r="G212" s="21"/>
      <c r="H212" s="21"/>
      <c r="I212" s="22"/>
    </row>
    <row r="213" spans="1:9" ht="12.95">
      <c r="A213" s="21"/>
      <c r="B213" s="21"/>
      <c r="C213" s="21"/>
      <c r="D213" s="21"/>
      <c r="E213" s="21"/>
      <c r="F213" s="22"/>
      <c r="G213" s="21"/>
      <c r="H213" s="21"/>
      <c r="I213" s="22"/>
    </row>
    <row r="214" spans="1:9" ht="12.95">
      <c r="A214" s="21"/>
      <c r="B214" s="21"/>
      <c r="C214" s="21"/>
      <c r="D214" s="21"/>
      <c r="E214" s="21"/>
      <c r="F214" s="22"/>
      <c r="G214" s="21"/>
      <c r="H214" s="21"/>
      <c r="I214" s="22"/>
    </row>
    <row r="215" spans="1:9" ht="12.95">
      <c r="A215" s="21"/>
      <c r="B215" s="21"/>
      <c r="C215" s="21"/>
      <c r="D215" s="21"/>
      <c r="E215" s="21"/>
      <c r="F215" s="22"/>
      <c r="G215" s="21"/>
      <c r="H215" s="21"/>
      <c r="I215" s="22"/>
    </row>
    <row r="216" spans="1:9" ht="12.95">
      <c r="A216" s="21"/>
      <c r="B216" s="21"/>
      <c r="C216" s="21"/>
      <c r="D216" s="21"/>
      <c r="E216" s="21"/>
      <c r="F216" s="22"/>
      <c r="G216" s="21"/>
      <c r="H216" s="21"/>
      <c r="I216" s="22"/>
    </row>
    <row r="217" spans="1:9" ht="12.95">
      <c r="A217" s="21"/>
      <c r="B217" s="21"/>
      <c r="C217" s="21"/>
      <c r="D217" s="21"/>
      <c r="E217" s="21"/>
      <c r="F217" s="22"/>
      <c r="G217" s="21"/>
      <c r="H217" s="21"/>
      <c r="I217" s="22"/>
    </row>
    <row r="218" spans="1:9" ht="12.95">
      <c r="A218" s="21"/>
      <c r="B218" s="21"/>
      <c r="C218" s="21"/>
      <c r="D218" s="21"/>
      <c r="E218" s="21"/>
      <c r="F218" s="22"/>
      <c r="G218" s="21"/>
      <c r="H218" s="21"/>
      <c r="I218" s="22"/>
    </row>
    <row r="219" spans="1:9" ht="12.95">
      <c r="A219" s="21"/>
      <c r="B219" s="21"/>
      <c r="C219" s="21"/>
      <c r="D219" s="21"/>
      <c r="E219" s="21"/>
      <c r="F219" s="22"/>
      <c r="G219" s="21"/>
      <c r="H219" s="21"/>
      <c r="I219" s="22"/>
    </row>
    <row r="220" spans="1:9" ht="12.95">
      <c r="A220" s="21"/>
      <c r="B220" s="21"/>
      <c r="C220" s="21"/>
      <c r="D220" s="21"/>
      <c r="E220" s="21"/>
      <c r="F220" s="22"/>
      <c r="G220" s="21"/>
      <c r="H220" s="21"/>
      <c r="I220" s="22"/>
    </row>
    <row r="221" spans="1:9" ht="12.95">
      <c r="A221" s="21"/>
      <c r="B221" s="21"/>
      <c r="C221" s="21"/>
      <c r="D221" s="21"/>
      <c r="E221" s="21"/>
      <c r="F221" s="22"/>
      <c r="G221" s="21"/>
      <c r="H221" s="21"/>
      <c r="I221" s="22"/>
    </row>
    <row r="222" spans="1:9" ht="12.95">
      <c r="A222" s="21"/>
      <c r="B222" s="21"/>
      <c r="C222" s="21"/>
      <c r="D222" s="21"/>
      <c r="E222" s="21"/>
      <c r="F222" s="22"/>
      <c r="G222" s="21"/>
      <c r="H222" s="21"/>
      <c r="I222" s="22"/>
    </row>
    <row r="223" spans="1:9" ht="12.95">
      <c r="A223" s="21"/>
      <c r="B223" s="21"/>
      <c r="C223" s="21"/>
      <c r="D223" s="21"/>
      <c r="E223" s="21"/>
      <c r="F223" s="22"/>
      <c r="G223" s="21"/>
      <c r="H223" s="21"/>
      <c r="I223" s="22"/>
    </row>
    <row r="224" spans="1:9" ht="12.95">
      <c r="A224" s="21"/>
      <c r="B224" s="21"/>
      <c r="C224" s="21"/>
      <c r="D224" s="21"/>
      <c r="E224" s="21"/>
      <c r="F224" s="22"/>
      <c r="G224" s="21"/>
      <c r="H224" s="21"/>
      <c r="I224" s="22"/>
    </row>
    <row r="225" spans="1:9" ht="12.95">
      <c r="A225" s="21"/>
      <c r="B225" s="21"/>
      <c r="C225" s="21"/>
      <c r="D225" s="21"/>
      <c r="E225" s="21"/>
      <c r="F225" s="22"/>
      <c r="G225" s="21"/>
      <c r="H225" s="21"/>
      <c r="I225" s="22"/>
    </row>
    <row r="226" spans="1:9" ht="12.95">
      <c r="A226" s="21"/>
      <c r="B226" s="21"/>
      <c r="C226" s="21"/>
      <c r="D226" s="21"/>
      <c r="E226" s="21"/>
      <c r="F226" s="22"/>
      <c r="G226" s="21"/>
      <c r="H226" s="21"/>
      <c r="I226" s="22"/>
    </row>
    <row r="227" spans="1:9" ht="12.95">
      <c r="A227" s="21"/>
      <c r="B227" s="21"/>
      <c r="C227" s="21"/>
      <c r="D227" s="21"/>
      <c r="E227" s="21"/>
      <c r="F227" s="22"/>
      <c r="G227" s="21"/>
      <c r="H227" s="21"/>
      <c r="I227" s="22"/>
    </row>
    <row r="228" spans="1:9" ht="12.95">
      <c r="A228" s="21"/>
      <c r="B228" s="21"/>
      <c r="C228" s="21"/>
      <c r="D228" s="21"/>
      <c r="E228" s="21"/>
      <c r="F228" s="22"/>
      <c r="G228" s="21"/>
      <c r="H228" s="21"/>
      <c r="I228" s="22"/>
    </row>
    <row r="229" spans="1:9" ht="12.95">
      <c r="A229" s="21"/>
      <c r="B229" s="21"/>
      <c r="C229" s="21"/>
      <c r="D229" s="21"/>
      <c r="E229" s="21"/>
      <c r="F229" s="22"/>
      <c r="G229" s="21"/>
      <c r="H229" s="21"/>
      <c r="I229" s="22"/>
    </row>
    <row r="230" spans="1:9" ht="12.95">
      <c r="A230" s="21"/>
      <c r="B230" s="21"/>
      <c r="C230" s="21"/>
      <c r="D230" s="21"/>
      <c r="E230" s="21"/>
      <c r="F230" s="22"/>
      <c r="G230" s="21"/>
      <c r="H230" s="21"/>
      <c r="I230" s="22"/>
    </row>
    <row r="231" spans="1:9" ht="12.95">
      <c r="A231" s="21"/>
      <c r="B231" s="21"/>
      <c r="C231" s="21"/>
      <c r="D231" s="21"/>
      <c r="E231" s="21"/>
      <c r="F231" s="22"/>
      <c r="G231" s="21"/>
      <c r="H231" s="21"/>
      <c r="I231" s="22"/>
    </row>
    <row r="232" spans="1:9" ht="12.95">
      <c r="A232" s="21"/>
      <c r="B232" s="21"/>
      <c r="C232" s="21"/>
      <c r="D232" s="21"/>
      <c r="E232" s="21"/>
      <c r="F232" s="22"/>
      <c r="G232" s="21"/>
      <c r="H232" s="21"/>
      <c r="I232" s="22"/>
    </row>
    <row r="233" spans="1:9" ht="12.95">
      <c r="A233" s="21"/>
      <c r="B233" s="21"/>
      <c r="C233" s="21"/>
      <c r="D233" s="21"/>
      <c r="E233" s="21"/>
      <c r="F233" s="22"/>
      <c r="G233" s="21"/>
      <c r="H233" s="21"/>
      <c r="I233" s="22"/>
    </row>
    <row r="234" spans="1:9" ht="12.95">
      <c r="A234" s="21"/>
      <c r="B234" s="21"/>
      <c r="C234" s="21"/>
      <c r="D234" s="21"/>
      <c r="E234" s="21"/>
      <c r="F234" s="22"/>
      <c r="G234" s="21"/>
      <c r="H234" s="21"/>
      <c r="I234" s="22"/>
    </row>
    <row r="235" spans="1:9" ht="12.95">
      <c r="A235" s="21"/>
      <c r="B235" s="21"/>
      <c r="C235" s="21"/>
      <c r="D235" s="21"/>
      <c r="E235" s="21"/>
      <c r="F235" s="22"/>
      <c r="G235" s="21"/>
      <c r="H235" s="21"/>
      <c r="I235" s="22"/>
    </row>
    <row r="236" spans="1:9" ht="12.95">
      <c r="A236" s="21"/>
      <c r="B236" s="21"/>
      <c r="C236" s="21"/>
      <c r="D236" s="21"/>
      <c r="E236" s="21"/>
      <c r="F236" s="22"/>
      <c r="G236" s="21"/>
      <c r="H236" s="21"/>
      <c r="I236" s="22"/>
    </row>
    <row r="237" spans="1:9" ht="12.95">
      <c r="A237" s="21"/>
      <c r="B237" s="21"/>
      <c r="C237" s="21"/>
      <c r="D237" s="21"/>
      <c r="E237" s="21"/>
      <c r="F237" s="22"/>
      <c r="G237" s="21"/>
      <c r="H237" s="21"/>
      <c r="I237" s="22"/>
    </row>
    <row r="238" spans="1:9" ht="12.95">
      <c r="A238" s="21"/>
      <c r="B238" s="21"/>
      <c r="C238" s="21"/>
      <c r="D238" s="21"/>
      <c r="E238" s="21"/>
      <c r="F238" s="22"/>
      <c r="G238" s="21"/>
      <c r="H238" s="21"/>
      <c r="I238" s="22"/>
    </row>
    <row r="239" spans="1:9" ht="12.95">
      <c r="A239" s="21"/>
      <c r="B239" s="21"/>
      <c r="C239" s="21"/>
      <c r="D239" s="21"/>
      <c r="E239" s="21"/>
      <c r="F239" s="22"/>
      <c r="G239" s="21"/>
      <c r="H239" s="21"/>
      <c r="I239" s="22"/>
    </row>
    <row r="240" spans="1:9" ht="12.95">
      <c r="A240" s="21"/>
      <c r="B240" s="21"/>
      <c r="C240" s="21"/>
      <c r="D240" s="21"/>
      <c r="E240" s="21"/>
      <c r="F240" s="22"/>
      <c r="G240" s="21"/>
      <c r="H240" s="21"/>
      <c r="I240" s="22"/>
    </row>
    <row r="241" spans="1:9" ht="12.95">
      <c r="A241" s="21"/>
      <c r="B241" s="21"/>
      <c r="C241" s="21"/>
      <c r="D241" s="21"/>
      <c r="E241" s="21"/>
      <c r="F241" s="22"/>
      <c r="G241" s="21"/>
      <c r="H241" s="21"/>
      <c r="I241" s="22"/>
    </row>
    <row r="242" spans="1:9" ht="12.95">
      <c r="A242" s="21"/>
      <c r="B242" s="21"/>
      <c r="C242" s="21"/>
      <c r="D242" s="21"/>
      <c r="E242" s="21"/>
      <c r="F242" s="22"/>
      <c r="G242" s="21"/>
      <c r="H242" s="21"/>
      <c r="I242" s="22"/>
    </row>
    <row r="243" spans="1:9" ht="12.95">
      <c r="A243" s="21"/>
      <c r="B243" s="21"/>
      <c r="C243" s="21"/>
      <c r="D243" s="21"/>
      <c r="E243" s="21"/>
      <c r="F243" s="22"/>
      <c r="G243" s="21"/>
      <c r="H243" s="21"/>
      <c r="I243" s="22"/>
    </row>
    <row r="244" spans="1:9" ht="12.95">
      <c r="A244" s="21"/>
      <c r="B244" s="21"/>
      <c r="C244" s="21"/>
      <c r="D244" s="21"/>
      <c r="E244" s="21"/>
      <c r="F244" s="22"/>
      <c r="G244" s="21"/>
      <c r="H244" s="21"/>
      <c r="I244" s="22"/>
    </row>
    <row r="245" spans="1:9" ht="12.95">
      <c r="A245" s="21"/>
      <c r="B245" s="21"/>
      <c r="C245" s="21"/>
      <c r="D245" s="21"/>
      <c r="E245" s="21"/>
      <c r="F245" s="22"/>
      <c r="G245" s="21"/>
      <c r="H245" s="21"/>
      <c r="I245" s="22"/>
    </row>
    <row r="246" spans="1:9" ht="12.95">
      <c r="A246" s="21"/>
      <c r="B246" s="21"/>
      <c r="C246" s="21"/>
      <c r="D246" s="21"/>
      <c r="E246" s="21"/>
      <c r="F246" s="22"/>
      <c r="G246" s="21"/>
      <c r="H246" s="21"/>
      <c r="I246" s="22"/>
    </row>
    <row r="247" spans="1:9" ht="12.95">
      <c r="A247" s="21"/>
      <c r="B247" s="21"/>
      <c r="C247" s="21"/>
      <c r="D247" s="21"/>
      <c r="E247" s="21"/>
      <c r="F247" s="22"/>
      <c r="G247" s="21"/>
      <c r="H247" s="21"/>
      <c r="I247" s="22"/>
    </row>
    <row r="248" spans="1:9" ht="12.95">
      <c r="A248" s="21"/>
      <c r="B248" s="21"/>
      <c r="C248" s="21"/>
      <c r="D248" s="21"/>
      <c r="E248" s="21"/>
      <c r="F248" s="22"/>
      <c r="G248" s="21"/>
      <c r="H248" s="21"/>
      <c r="I248" s="22"/>
    </row>
    <row r="249" spans="1:9" ht="12.95">
      <c r="A249" s="21"/>
      <c r="B249" s="21"/>
      <c r="C249" s="21"/>
      <c r="D249" s="21"/>
      <c r="E249" s="21"/>
      <c r="F249" s="22"/>
      <c r="G249" s="21"/>
      <c r="H249" s="21"/>
      <c r="I249" s="22"/>
    </row>
    <row r="250" spans="1:9" ht="12.95">
      <c r="A250" s="21"/>
      <c r="B250" s="21"/>
      <c r="C250" s="21"/>
      <c r="D250" s="21"/>
      <c r="E250" s="21"/>
      <c r="F250" s="22"/>
      <c r="G250" s="21"/>
      <c r="H250" s="21"/>
      <c r="I250" s="22"/>
    </row>
    <row r="251" spans="1:9" ht="12.95">
      <c r="A251" s="21"/>
      <c r="B251" s="21"/>
      <c r="C251" s="21"/>
      <c r="D251" s="21"/>
      <c r="E251" s="21"/>
      <c r="F251" s="22"/>
      <c r="G251" s="21"/>
      <c r="H251" s="21"/>
      <c r="I251" s="22"/>
    </row>
    <row r="252" spans="1:9" ht="12.95">
      <c r="A252" s="21"/>
      <c r="B252" s="21"/>
      <c r="C252" s="21"/>
      <c r="D252" s="21"/>
      <c r="E252" s="21"/>
      <c r="F252" s="22"/>
      <c r="G252" s="21"/>
      <c r="H252" s="21"/>
      <c r="I252" s="22"/>
    </row>
    <row r="253" spans="1:9" ht="12.95">
      <c r="A253" s="21"/>
      <c r="B253" s="21"/>
      <c r="C253" s="21"/>
      <c r="D253" s="21"/>
      <c r="E253" s="21"/>
      <c r="F253" s="22"/>
      <c r="G253" s="21"/>
      <c r="H253" s="21"/>
      <c r="I253" s="22"/>
    </row>
    <row r="254" spans="1:9" ht="12.95">
      <c r="A254" s="21"/>
      <c r="B254" s="21"/>
      <c r="C254" s="21"/>
      <c r="D254" s="21"/>
      <c r="E254" s="21"/>
      <c r="F254" s="22"/>
      <c r="G254" s="21"/>
      <c r="H254" s="21"/>
      <c r="I254" s="22"/>
    </row>
    <row r="255" spans="1:9" ht="12.95">
      <c r="A255" s="21"/>
      <c r="B255" s="21"/>
      <c r="C255" s="21"/>
      <c r="D255" s="21"/>
      <c r="E255" s="21"/>
      <c r="F255" s="22"/>
      <c r="G255" s="21"/>
      <c r="H255" s="21"/>
      <c r="I255" s="22"/>
    </row>
    <row r="256" spans="1:9" ht="12.95">
      <c r="A256" s="21"/>
      <c r="B256" s="21"/>
      <c r="C256" s="21"/>
      <c r="D256" s="21"/>
      <c r="E256" s="21"/>
      <c r="F256" s="22"/>
      <c r="G256" s="21"/>
      <c r="H256" s="21"/>
      <c r="I256" s="22"/>
    </row>
    <row r="257" spans="1:9" ht="12.95">
      <c r="A257" s="21"/>
      <c r="B257" s="21"/>
      <c r="C257" s="21"/>
      <c r="D257" s="21"/>
      <c r="E257" s="21"/>
      <c r="F257" s="22"/>
      <c r="G257" s="21"/>
      <c r="H257" s="21"/>
      <c r="I257" s="22"/>
    </row>
    <row r="258" spans="1:9" ht="12.95">
      <c r="A258" s="21"/>
      <c r="B258" s="21"/>
      <c r="C258" s="21"/>
      <c r="D258" s="21"/>
      <c r="E258" s="21"/>
      <c r="F258" s="22"/>
      <c r="G258" s="21"/>
      <c r="H258" s="21"/>
      <c r="I258" s="22"/>
    </row>
    <row r="259" spans="1:9" ht="12.95">
      <c r="A259" s="21"/>
      <c r="B259" s="21"/>
      <c r="C259" s="21"/>
      <c r="D259" s="21"/>
      <c r="E259" s="21"/>
      <c r="F259" s="22"/>
      <c r="G259" s="21"/>
      <c r="H259" s="21"/>
      <c r="I259" s="22"/>
    </row>
    <row r="260" spans="1:9" ht="12.95">
      <c r="A260" s="21"/>
      <c r="B260" s="21"/>
      <c r="C260" s="21"/>
      <c r="D260" s="21"/>
      <c r="E260" s="21"/>
      <c r="F260" s="22"/>
      <c r="G260" s="21"/>
      <c r="H260" s="21"/>
      <c r="I260" s="22"/>
    </row>
    <row r="261" spans="1:9" ht="12.95">
      <c r="A261" s="21"/>
      <c r="B261" s="21"/>
      <c r="C261" s="21"/>
      <c r="D261" s="21"/>
      <c r="E261" s="21"/>
      <c r="F261" s="22"/>
      <c r="G261" s="21"/>
      <c r="H261" s="21"/>
      <c r="I261" s="22"/>
    </row>
    <row r="262" spans="1:9" ht="12.95">
      <c r="A262" s="21"/>
      <c r="B262" s="21"/>
      <c r="C262" s="21"/>
      <c r="D262" s="21"/>
      <c r="E262" s="21"/>
      <c r="F262" s="22"/>
      <c r="G262" s="21"/>
      <c r="H262" s="21"/>
      <c r="I262" s="22"/>
    </row>
    <row r="263" spans="1:9" ht="12.95">
      <c r="A263" s="21"/>
      <c r="B263" s="21"/>
      <c r="C263" s="21"/>
      <c r="D263" s="21"/>
      <c r="E263" s="21"/>
      <c r="F263" s="22"/>
      <c r="G263" s="21"/>
      <c r="H263" s="21"/>
      <c r="I263" s="22"/>
    </row>
    <row r="264" spans="1:9" ht="12.95">
      <c r="A264" s="21"/>
      <c r="B264" s="21"/>
      <c r="C264" s="21"/>
      <c r="D264" s="21"/>
      <c r="E264" s="21"/>
      <c r="F264" s="22"/>
      <c r="G264" s="21"/>
      <c r="H264" s="21"/>
      <c r="I264" s="22"/>
    </row>
    <row r="265" spans="1:9" ht="12.95">
      <c r="A265" s="21"/>
      <c r="B265" s="21"/>
      <c r="C265" s="21"/>
      <c r="D265" s="21"/>
      <c r="E265" s="21"/>
      <c r="F265" s="22"/>
      <c r="G265" s="21"/>
      <c r="H265" s="21"/>
      <c r="I265" s="22"/>
    </row>
    <row r="266" spans="1:9" ht="12.95">
      <c r="A266" s="21"/>
      <c r="B266" s="21"/>
      <c r="C266" s="21"/>
      <c r="D266" s="21"/>
      <c r="E266" s="21"/>
      <c r="F266" s="22"/>
      <c r="G266" s="21"/>
      <c r="H266" s="21"/>
      <c r="I266" s="22"/>
    </row>
    <row r="267" spans="1:9" ht="12.95">
      <c r="A267" s="21"/>
      <c r="B267" s="21"/>
      <c r="C267" s="21"/>
      <c r="D267" s="21"/>
      <c r="E267" s="21"/>
      <c r="F267" s="22"/>
      <c r="G267" s="21"/>
      <c r="H267" s="21"/>
      <c r="I267" s="22"/>
    </row>
    <row r="268" spans="1:9" ht="12.95">
      <c r="A268" s="21"/>
      <c r="B268" s="21"/>
      <c r="C268" s="21"/>
      <c r="D268" s="21"/>
      <c r="E268" s="21"/>
      <c r="F268" s="22"/>
      <c r="G268" s="21"/>
      <c r="H268" s="21"/>
      <c r="I268" s="22"/>
    </row>
    <row r="269" spans="1:9" ht="12.95">
      <c r="A269" s="21"/>
      <c r="B269" s="21"/>
      <c r="C269" s="21"/>
      <c r="D269" s="21"/>
      <c r="E269" s="21"/>
      <c r="F269" s="22"/>
      <c r="G269" s="21"/>
      <c r="H269" s="21"/>
      <c r="I269" s="22"/>
    </row>
    <row r="270" spans="1:9" ht="12.95">
      <c r="A270" s="21"/>
      <c r="B270" s="21"/>
      <c r="C270" s="21"/>
      <c r="D270" s="21"/>
      <c r="E270" s="21"/>
      <c r="F270" s="22"/>
      <c r="G270" s="21"/>
      <c r="H270" s="21"/>
      <c r="I270" s="22"/>
    </row>
    <row r="271" spans="1:9" ht="12.95">
      <c r="A271" s="21"/>
      <c r="B271" s="21"/>
      <c r="C271" s="21"/>
      <c r="D271" s="21"/>
      <c r="E271" s="21"/>
      <c r="F271" s="22"/>
      <c r="G271" s="21"/>
      <c r="H271" s="21"/>
      <c r="I271" s="22"/>
    </row>
    <row r="272" spans="1:9" ht="12.95">
      <c r="A272" s="21"/>
      <c r="B272" s="21"/>
      <c r="C272" s="21"/>
      <c r="D272" s="21"/>
      <c r="E272" s="21"/>
      <c r="F272" s="22"/>
      <c r="G272" s="21"/>
      <c r="H272" s="21"/>
      <c r="I272" s="22"/>
    </row>
    <row r="273" spans="1:9" ht="12.95">
      <c r="A273" s="21"/>
      <c r="B273" s="21"/>
      <c r="C273" s="21"/>
      <c r="D273" s="21"/>
      <c r="E273" s="21"/>
      <c r="F273" s="22"/>
      <c r="G273" s="21"/>
      <c r="H273" s="21"/>
      <c r="I273" s="22"/>
    </row>
    <row r="274" spans="1:9" ht="12.95">
      <c r="A274" s="21"/>
      <c r="B274" s="21"/>
      <c r="C274" s="21"/>
      <c r="D274" s="21"/>
      <c r="E274" s="21"/>
      <c r="F274" s="22"/>
      <c r="G274" s="21"/>
      <c r="H274" s="21"/>
      <c r="I274" s="22"/>
    </row>
    <row r="275" spans="1:9" ht="12.95">
      <c r="A275" s="21"/>
      <c r="B275" s="21"/>
      <c r="C275" s="21"/>
      <c r="D275" s="21"/>
      <c r="E275" s="21"/>
      <c r="F275" s="22"/>
      <c r="G275" s="21"/>
      <c r="H275" s="21"/>
      <c r="I275" s="22"/>
    </row>
    <row r="276" spans="1:9" ht="12.95">
      <c r="A276" s="21"/>
      <c r="B276" s="21"/>
      <c r="C276" s="21"/>
      <c r="D276" s="21"/>
      <c r="E276" s="21"/>
      <c r="F276" s="22"/>
      <c r="G276" s="21"/>
      <c r="H276" s="21"/>
      <c r="I276" s="22"/>
    </row>
    <row r="277" spans="1:9" ht="12.95">
      <c r="A277" s="21"/>
      <c r="B277" s="21"/>
      <c r="C277" s="21"/>
      <c r="D277" s="21"/>
      <c r="E277" s="21"/>
      <c r="F277" s="22"/>
      <c r="G277" s="21"/>
      <c r="H277" s="21"/>
      <c r="I277" s="22"/>
    </row>
    <row r="278" spans="1:9" ht="12.95">
      <c r="A278" s="21"/>
      <c r="B278" s="21"/>
      <c r="C278" s="21"/>
      <c r="D278" s="21"/>
      <c r="E278" s="21"/>
      <c r="F278" s="22"/>
      <c r="G278" s="21"/>
      <c r="H278" s="21"/>
      <c r="I278" s="22"/>
    </row>
    <row r="279" spans="1:9" ht="12.95">
      <c r="A279" s="21"/>
      <c r="B279" s="21"/>
      <c r="C279" s="21"/>
      <c r="D279" s="21"/>
      <c r="E279" s="21"/>
      <c r="F279" s="22"/>
      <c r="G279" s="21"/>
      <c r="H279" s="21"/>
      <c r="I279" s="22"/>
    </row>
    <row r="280" spans="1:9" ht="12.95">
      <c r="A280" s="21"/>
      <c r="B280" s="21"/>
      <c r="C280" s="21"/>
      <c r="D280" s="21"/>
      <c r="E280" s="21"/>
      <c r="F280" s="22"/>
      <c r="G280" s="21"/>
      <c r="H280" s="21"/>
      <c r="I280" s="22"/>
    </row>
    <row r="281" spans="1:9" ht="12.95">
      <c r="A281" s="21"/>
      <c r="B281" s="21"/>
      <c r="C281" s="21"/>
      <c r="D281" s="21"/>
      <c r="E281" s="21"/>
      <c r="F281" s="22"/>
      <c r="G281" s="21"/>
      <c r="H281" s="21"/>
      <c r="I281" s="22"/>
    </row>
    <row r="282" spans="1:9" ht="12.95">
      <c r="A282" s="21"/>
      <c r="B282" s="21"/>
      <c r="C282" s="21"/>
      <c r="D282" s="21"/>
      <c r="E282" s="21"/>
      <c r="F282" s="22"/>
      <c r="G282" s="21"/>
      <c r="H282" s="21"/>
      <c r="I282" s="22"/>
    </row>
    <row r="283" spans="1:9" ht="12.95">
      <c r="A283" s="21"/>
      <c r="B283" s="21"/>
      <c r="C283" s="21"/>
      <c r="D283" s="21"/>
      <c r="E283" s="21"/>
      <c r="F283" s="22"/>
      <c r="G283" s="21"/>
      <c r="H283" s="21"/>
      <c r="I283" s="22"/>
    </row>
    <row r="284" spans="1:9" ht="12.95">
      <c r="A284" s="21"/>
      <c r="B284" s="21"/>
      <c r="C284" s="21"/>
      <c r="D284" s="21"/>
      <c r="E284" s="21"/>
      <c r="F284" s="22"/>
      <c r="G284" s="21"/>
      <c r="H284" s="21"/>
      <c r="I284" s="22"/>
    </row>
    <row r="285" spans="1:9" ht="12.95">
      <c r="A285" s="21"/>
      <c r="B285" s="21"/>
      <c r="C285" s="21"/>
      <c r="D285" s="21"/>
      <c r="E285" s="21"/>
      <c r="F285" s="22"/>
      <c r="G285" s="21"/>
      <c r="H285" s="21"/>
      <c r="I285" s="22"/>
    </row>
    <row r="286" spans="1:9" ht="12.95">
      <c r="A286" s="21"/>
      <c r="B286" s="21"/>
      <c r="C286" s="21"/>
      <c r="D286" s="21"/>
      <c r="E286" s="21"/>
      <c r="F286" s="22"/>
      <c r="G286" s="21"/>
      <c r="H286" s="21"/>
      <c r="I286" s="22"/>
    </row>
    <row r="287" spans="1:9" ht="12.95">
      <c r="A287" s="21"/>
      <c r="B287" s="21"/>
      <c r="C287" s="21"/>
      <c r="D287" s="21"/>
      <c r="E287" s="21"/>
      <c r="F287" s="22"/>
      <c r="G287" s="21"/>
      <c r="H287" s="21"/>
      <c r="I287" s="22"/>
    </row>
    <row r="288" spans="1:9" ht="12.95">
      <c r="A288" s="21"/>
      <c r="B288" s="21"/>
      <c r="C288" s="21"/>
      <c r="D288" s="21"/>
      <c r="E288" s="21"/>
      <c r="F288" s="22"/>
      <c r="G288" s="21"/>
      <c r="H288" s="21"/>
      <c r="I288" s="22"/>
    </row>
    <row r="289" spans="1:9" ht="12.95">
      <c r="A289" s="21"/>
      <c r="B289" s="21"/>
      <c r="C289" s="21"/>
      <c r="D289" s="21"/>
      <c r="E289" s="21"/>
      <c r="F289" s="22"/>
      <c r="G289" s="21"/>
      <c r="H289" s="21"/>
      <c r="I289" s="22"/>
    </row>
    <row r="290" spans="1:9" ht="12.95">
      <c r="A290" s="21"/>
      <c r="B290" s="21"/>
      <c r="C290" s="21"/>
      <c r="D290" s="21"/>
      <c r="E290" s="21"/>
      <c r="F290" s="22"/>
      <c r="G290" s="21"/>
      <c r="H290" s="21"/>
      <c r="I290" s="22"/>
    </row>
    <row r="291" spans="1:9" ht="12.95">
      <c r="A291" s="21"/>
      <c r="B291" s="21"/>
      <c r="C291" s="21"/>
      <c r="D291" s="21"/>
      <c r="E291" s="21"/>
      <c r="F291" s="22"/>
      <c r="G291" s="21"/>
      <c r="H291" s="21"/>
      <c r="I291" s="22"/>
    </row>
    <row r="292" spans="1:9" ht="12.95">
      <c r="A292" s="21"/>
      <c r="B292" s="21"/>
      <c r="C292" s="21"/>
      <c r="D292" s="21"/>
      <c r="E292" s="21"/>
      <c r="F292" s="22"/>
      <c r="G292" s="21"/>
      <c r="H292" s="21"/>
      <c r="I292" s="22"/>
    </row>
    <row r="293" spans="1:9" ht="12.95">
      <c r="A293" s="21"/>
      <c r="B293" s="21"/>
      <c r="C293" s="21"/>
      <c r="D293" s="21"/>
      <c r="E293" s="21"/>
      <c r="F293" s="22"/>
      <c r="G293" s="21"/>
      <c r="H293" s="21"/>
      <c r="I293" s="22"/>
    </row>
    <row r="294" spans="1:9" ht="12.95">
      <c r="A294" s="21"/>
      <c r="B294" s="21"/>
      <c r="C294" s="21"/>
      <c r="D294" s="21"/>
      <c r="E294" s="21"/>
      <c r="F294" s="22"/>
      <c r="G294" s="21"/>
      <c r="H294" s="21"/>
      <c r="I294" s="22"/>
    </row>
    <row r="295" spans="1:9" ht="12.95">
      <c r="A295" s="21"/>
      <c r="B295" s="21"/>
      <c r="C295" s="21"/>
      <c r="D295" s="21"/>
      <c r="E295" s="21"/>
      <c r="F295" s="22"/>
      <c r="G295" s="21"/>
      <c r="H295" s="21"/>
      <c r="I295" s="22"/>
    </row>
    <row r="296" spans="1:9" ht="12.95">
      <c r="A296" s="21"/>
      <c r="B296" s="21"/>
      <c r="C296" s="21"/>
      <c r="D296" s="21"/>
      <c r="E296" s="21"/>
      <c r="F296" s="22"/>
      <c r="G296" s="21"/>
      <c r="H296" s="21"/>
      <c r="I296" s="22"/>
    </row>
    <row r="297" spans="1:9" ht="12.95">
      <c r="A297" s="21"/>
      <c r="B297" s="21"/>
      <c r="C297" s="21"/>
      <c r="D297" s="21"/>
      <c r="E297" s="21"/>
      <c r="F297" s="22"/>
      <c r="G297" s="21"/>
      <c r="H297" s="21"/>
      <c r="I297" s="22"/>
    </row>
    <row r="298" spans="1:9" ht="12.95">
      <c r="A298" s="21"/>
      <c r="B298" s="21"/>
      <c r="C298" s="21"/>
      <c r="D298" s="21"/>
      <c r="E298" s="21"/>
      <c r="F298" s="22"/>
      <c r="G298" s="21"/>
      <c r="H298" s="21"/>
      <c r="I298" s="22"/>
    </row>
    <row r="299" spans="1:9" ht="12.95">
      <c r="A299" s="21"/>
      <c r="B299" s="21"/>
      <c r="C299" s="21"/>
      <c r="D299" s="21"/>
      <c r="E299" s="21"/>
      <c r="F299" s="22"/>
      <c r="G299" s="21"/>
      <c r="H299" s="21"/>
      <c r="I299" s="22"/>
    </row>
    <row r="300" spans="1:9" ht="12.95">
      <c r="A300" s="21"/>
      <c r="B300" s="21"/>
      <c r="C300" s="21"/>
      <c r="D300" s="21"/>
      <c r="E300" s="21"/>
      <c r="F300" s="22"/>
      <c r="G300" s="21"/>
      <c r="H300" s="21"/>
      <c r="I300" s="22"/>
    </row>
    <row r="301" spans="1:9" ht="12.95">
      <c r="A301" s="21"/>
      <c r="B301" s="21"/>
      <c r="C301" s="21"/>
      <c r="D301" s="21"/>
      <c r="E301" s="21"/>
      <c r="F301" s="22"/>
      <c r="G301" s="21"/>
      <c r="H301" s="21"/>
      <c r="I301" s="22"/>
    </row>
    <row r="302" spans="1:9" ht="12.95">
      <c r="A302" s="21"/>
      <c r="B302" s="21"/>
      <c r="C302" s="21"/>
      <c r="D302" s="21"/>
      <c r="E302" s="21"/>
      <c r="F302" s="22"/>
      <c r="G302" s="21"/>
      <c r="H302" s="21"/>
      <c r="I302" s="22"/>
    </row>
    <row r="303" spans="1:9" ht="12.95">
      <c r="A303" s="21"/>
      <c r="B303" s="21"/>
      <c r="C303" s="21"/>
      <c r="D303" s="21"/>
      <c r="E303" s="21"/>
      <c r="F303" s="22"/>
      <c r="G303" s="21"/>
      <c r="H303" s="21"/>
      <c r="I303" s="22"/>
    </row>
    <row r="304" spans="1:9" ht="12.95">
      <c r="A304" s="21"/>
      <c r="B304" s="21"/>
      <c r="C304" s="21"/>
      <c r="D304" s="21"/>
      <c r="E304" s="21"/>
      <c r="F304" s="22"/>
      <c r="G304" s="21"/>
      <c r="H304" s="21"/>
      <c r="I304" s="22"/>
    </row>
    <row r="305" spans="1:9" ht="12.95">
      <c r="A305" s="21"/>
      <c r="B305" s="21"/>
      <c r="C305" s="21"/>
      <c r="D305" s="21"/>
      <c r="E305" s="21"/>
      <c r="F305" s="22"/>
      <c r="G305" s="21"/>
      <c r="H305" s="21"/>
      <c r="I305" s="22"/>
    </row>
    <row r="306" spans="1:9" ht="12.95">
      <c r="A306" s="21"/>
      <c r="B306" s="21"/>
      <c r="C306" s="21"/>
      <c r="D306" s="21"/>
      <c r="E306" s="21"/>
      <c r="F306" s="22"/>
      <c r="G306" s="21"/>
      <c r="H306" s="21"/>
      <c r="I306" s="22"/>
    </row>
    <row r="307" spans="1:9" ht="12.95">
      <c r="A307" s="21"/>
      <c r="B307" s="21"/>
      <c r="C307" s="21"/>
      <c r="D307" s="21"/>
      <c r="E307" s="21"/>
      <c r="F307" s="22"/>
      <c r="G307" s="21"/>
      <c r="H307" s="21"/>
      <c r="I307" s="22"/>
    </row>
    <row r="308" spans="1:9" ht="12.95">
      <c r="A308" s="21"/>
      <c r="B308" s="21"/>
      <c r="C308" s="21"/>
      <c r="D308" s="21"/>
      <c r="E308" s="21"/>
      <c r="F308" s="22"/>
      <c r="G308" s="21"/>
      <c r="H308" s="21"/>
      <c r="I308" s="22"/>
    </row>
    <row r="309" spans="1:9" ht="12.95">
      <c r="A309" s="21"/>
      <c r="B309" s="21"/>
      <c r="C309" s="21"/>
      <c r="D309" s="21"/>
      <c r="E309" s="21"/>
      <c r="F309" s="22"/>
      <c r="G309" s="21"/>
      <c r="H309" s="21"/>
      <c r="I309" s="22"/>
    </row>
    <row r="310" spans="1:9" ht="12.95">
      <c r="A310" s="21"/>
      <c r="B310" s="21"/>
      <c r="C310" s="21"/>
      <c r="D310" s="21"/>
      <c r="E310" s="21"/>
      <c r="F310" s="22"/>
      <c r="G310" s="21"/>
      <c r="H310" s="21"/>
      <c r="I310" s="22"/>
    </row>
    <row r="311" spans="1:9" ht="12.95">
      <c r="A311" s="21"/>
      <c r="B311" s="21"/>
      <c r="C311" s="21"/>
      <c r="D311" s="21"/>
      <c r="E311" s="21"/>
      <c r="F311" s="22"/>
      <c r="G311" s="21"/>
      <c r="H311" s="21"/>
      <c r="I311" s="22"/>
    </row>
    <row r="312" spans="1:9" ht="12.95">
      <c r="A312" s="21"/>
      <c r="B312" s="21"/>
      <c r="C312" s="21"/>
      <c r="D312" s="21"/>
      <c r="E312" s="21"/>
      <c r="F312" s="22"/>
      <c r="G312" s="21"/>
      <c r="H312" s="21"/>
      <c r="I312" s="22"/>
    </row>
    <row r="313" spans="1:9" ht="12.95">
      <c r="A313" s="21"/>
      <c r="B313" s="21"/>
      <c r="C313" s="21"/>
      <c r="D313" s="21"/>
      <c r="E313" s="21"/>
      <c r="F313" s="22"/>
      <c r="G313" s="21"/>
      <c r="H313" s="21"/>
      <c r="I313" s="22"/>
    </row>
    <row r="314" spans="1:9" ht="12.95">
      <c r="A314" s="21"/>
      <c r="B314" s="21"/>
      <c r="C314" s="21"/>
      <c r="D314" s="21"/>
      <c r="E314" s="21"/>
      <c r="F314" s="22"/>
      <c r="G314" s="21"/>
      <c r="H314" s="21"/>
      <c r="I314" s="22"/>
    </row>
    <row r="315" spans="1:9" ht="12.95">
      <c r="A315" s="21"/>
      <c r="B315" s="21"/>
      <c r="C315" s="21"/>
      <c r="D315" s="21"/>
      <c r="E315" s="21"/>
      <c r="F315" s="22"/>
      <c r="G315" s="21"/>
      <c r="H315" s="21"/>
      <c r="I315" s="22"/>
    </row>
    <row r="316" spans="1:9" ht="12.95">
      <c r="A316" s="21"/>
      <c r="B316" s="21"/>
      <c r="C316" s="21"/>
      <c r="D316" s="21"/>
      <c r="E316" s="21"/>
      <c r="F316" s="22"/>
      <c r="G316" s="21"/>
      <c r="H316" s="21"/>
      <c r="I316" s="22"/>
    </row>
    <row r="317" spans="1:9" ht="12.95">
      <c r="A317" s="21"/>
      <c r="B317" s="21"/>
      <c r="C317" s="21"/>
      <c r="D317" s="21"/>
      <c r="E317" s="21"/>
      <c r="F317" s="22"/>
      <c r="G317" s="21"/>
      <c r="H317" s="21"/>
      <c r="I317" s="22"/>
    </row>
    <row r="318" spans="1:9" ht="12.95">
      <c r="A318" s="21"/>
      <c r="B318" s="21"/>
      <c r="C318" s="21"/>
      <c r="D318" s="21"/>
      <c r="E318" s="21"/>
      <c r="F318" s="22"/>
      <c r="G318" s="21"/>
      <c r="H318" s="21"/>
      <c r="I318" s="22"/>
    </row>
    <row r="319" spans="1:9" ht="12.95">
      <c r="A319" s="21"/>
      <c r="B319" s="21"/>
      <c r="C319" s="21"/>
      <c r="D319" s="21"/>
      <c r="E319" s="21"/>
      <c r="F319" s="22"/>
      <c r="G319" s="21"/>
      <c r="H319" s="21"/>
      <c r="I319" s="22"/>
    </row>
    <row r="320" spans="1:9" ht="12.95">
      <c r="A320" s="21"/>
      <c r="B320" s="21"/>
      <c r="C320" s="21"/>
      <c r="D320" s="21"/>
      <c r="E320" s="21"/>
      <c r="F320" s="22"/>
      <c r="G320" s="21"/>
      <c r="H320" s="21"/>
      <c r="I320" s="22"/>
    </row>
    <row r="321" spans="1:9" ht="12.95">
      <c r="A321" s="21"/>
      <c r="B321" s="21"/>
      <c r="C321" s="21"/>
      <c r="D321" s="21"/>
      <c r="E321" s="21"/>
      <c r="F321" s="22"/>
      <c r="G321" s="21"/>
      <c r="H321" s="21"/>
      <c r="I321" s="22"/>
    </row>
    <row r="322" spans="1:9" ht="12.95">
      <c r="A322" s="21"/>
      <c r="B322" s="21"/>
      <c r="C322" s="21"/>
      <c r="D322" s="21"/>
      <c r="E322" s="21"/>
      <c r="F322" s="22"/>
      <c r="G322" s="21"/>
      <c r="H322" s="21"/>
      <c r="I322" s="22"/>
    </row>
    <row r="323" spans="1:9" ht="12.95">
      <c r="A323" s="21"/>
      <c r="B323" s="21"/>
      <c r="C323" s="21"/>
      <c r="D323" s="21"/>
      <c r="E323" s="21"/>
      <c r="F323" s="22"/>
      <c r="G323" s="21"/>
      <c r="H323" s="21"/>
      <c r="I323" s="22"/>
    </row>
    <row r="324" spans="1:9" ht="12.95">
      <c r="A324" s="21"/>
      <c r="B324" s="21"/>
      <c r="C324" s="21"/>
      <c r="D324" s="21"/>
      <c r="E324" s="21"/>
      <c r="F324" s="22"/>
      <c r="G324" s="21"/>
      <c r="H324" s="21"/>
      <c r="I324" s="22"/>
    </row>
    <row r="325" spans="1:9" ht="12.95">
      <c r="A325" s="21"/>
      <c r="B325" s="21"/>
      <c r="C325" s="21"/>
      <c r="D325" s="21"/>
      <c r="E325" s="21"/>
      <c r="F325" s="22"/>
      <c r="G325" s="21"/>
      <c r="H325" s="21"/>
      <c r="I325" s="22"/>
    </row>
    <row r="326" spans="1:9" ht="12.95">
      <c r="A326" s="21"/>
      <c r="B326" s="21"/>
      <c r="C326" s="21"/>
      <c r="D326" s="21"/>
      <c r="E326" s="21"/>
      <c r="F326" s="22"/>
      <c r="G326" s="21"/>
      <c r="H326" s="21"/>
      <c r="I326" s="22"/>
    </row>
    <row r="327" spans="1:9" ht="12.95">
      <c r="A327" s="21"/>
      <c r="B327" s="21"/>
      <c r="C327" s="21"/>
      <c r="D327" s="21"/>
      <c r="E327" s="21"/>
      <c r="F327" s="22"/>
      <c r="G327" s="21"/>
      <c r="H327" s="21"/>
      <c r="I327" s="22"/>
    </row>
    <row r="328" spans="1:9" ht="12.95">
      <c r="A328" s="21"/>
      <c r="B328" s="21"/>
      <c r="C328" s="21"/>
      <c r="D328" s="21"/>
      <c r="E328" s="21"/>
      <c r="F328" s="22"/>
      <c r="G328" s="21"/>
      <c r="H328" s="21"/>
      <c r="I328" s="22"/>
    </row>
    <row r="329" spans="1:9" ht="12.95">
      <c r="A329" s="21"/>
      <c r="B329" s="21"/>
      <c r="C329" s="21"/>
      <c r="D329" s="21"/>
      <c r="E329" s="21"/>
      <c r="F329" s="22"/>
      <c r="G329" s="21"/>
      <c r="H329" s="21"/>
      <c r="I329" s="22"/>
    </row>
    <row r="330" spans="1:9" ht="12.95">
      <c r="A330" s="21"/>
      <c r="B330" s="21"/>
      <c r="C330" s="21"/>
      <c r="D330" s="21"/>
      <c r="E330" s="21"/>
      <c r="F330" s="22"/>
      <c r="G330" s="21"/>
      <c r="H330" s="21"/>
      <c r="I330" s="22"/>
    </row>
    <row r="331" spans="1:9" ht="12.95">
      <c r="A331" s="21"/>
      <c r="B331" s="21"/>
      <c r="C331" s="21"/>
      <c r="D331" s="21"/>
      <c r="E331" s="21"/>
      <c r="F331" s="22"/>
      <c r="G331" s="21"/>
      <c r="H331" s="21"/>
      <c r="I331" s="22"/>
    </row>
    <row r="332" spans="1:9" ht="12.95">
      <c r="A332" s="21"/>
      <c r="B332" s="21"/>
      <c r="C332" s="21"/>
      <c r="D332" s="21"/>
      <c r="E332" s="21"/>
      <c r="F332" s="22"/>
      <c r="G332" s="21"/>
      <c r="H332" s="21"/>
      <c r="I332" s="22"/>
    </row>
    <row r="333" spans="1:9" ht="12.95">
      <c r="A333" s="21"/>
      <c r="B333" s="21"/>
      <c r="C333" s="21"/>
      <c r="D333" s="21"/>
      <c r="E333" s="21"/>
      <c r="F333" s="22"/>
      <c r="G333" s="21"/>
      <c r="H333" s="21"/>
      <c r="I333" s="22"/>
    </row>
    <row r="334" spans="1:9" ht="12.95">
      <c r="A334" s="21"/>
      <c r="B334" s="21"/>
      <c r="C334" s="21"/>
      <c r="D334" s="21"/>
      <c r="E334" s="21"/>
      <c r="F334" s="22"/>
      <c r="G334" s="21"/>
      <c r="H334" s="21"/>
      <c r="I334" s="22"/>
    </row>
    <row r="335" spans="1:9" ht="12.95">
      <c r="A335" s="21"/>
      <c r="B335" s="21"/>
      <c r="C335" s="21"/>
      <c r="D335" s="21"/>
      <c r="E335" s="21"/>
      <c r="F335" s="22"/>
      <c r="G335" s="21"/>
      <c r="H335" s="21"/>
      <c r="I335" s="22"/>
    </row>
    <row r="336" spans="1:9" ht="12.95">
      <c r="A336" s="21"/>
      <c r="B336" s="21"/>
      <c r="C336" s="21"/>
      <c r="D336" s="21"/>
      <c r="E336" s="21"/>
      <c r="F336" s="22"/>
      <c r="G336" s="21"/>
      <c r="H336" s="21"/>
      <c r="I336" s="22"/>
    </row>
    <row r="337" spans="1:9" ht="12.95">
      <c r="A337" s="21"/>
      <c r="B337" s="21"/>
      <c r="C337" s="21"/>
      <c r="D337" s="21"/>
      <c r="E337" s="21"/>
      <c r="F337" s="22"/>
      <c r="G337" s="21"/>
      <c r="H337" s="21"/>
      <c r="I337" s="22"/>
    </row>
    <row r="338" spans="1:9" ht="12.95">
      <c r="A338" s="21"/>
      <c r="B338" s="21"/>
      <c r="C338" s="21"/>
      <c r="D338" s="21"/>
      <c r="E338" s="21"/>
      <c r="F338" s="22"/>
      <c r="G338" s="21"/>
      <c r="H338" s="21"/>
      <c r="I338" s="22"/>
    </row>
    <row r="339" spans="1:9" ht="12.95">
      <c r="A339" s="21"/>
      <c r="B339" s="21"/>
      <c r="C339" s="21"/>
      <c r="D339" s="21"/>
      <c r="E339" s="21"/>
      <c r="F339" s="22"/>
      <c r="G339" s="21"/>
      <c r="H339" s="21"/>
      <c r="I339" s="22"/>
    </row>
    <row r="340" spans="1:9" ht="12.95">
      <c r="A340" s="21"/>
      <c r="B340" s="21"/>
      <c r="C340" s="21"/>
      <c r="D340" s="21"/>
      <c r="E340" s="21"/>
      <c r="F340" s="22"/>
      <c r="G340" s="21"/>
      <c r="H340" s="21"/>
      <c r="I340" s="22"/>
    </row>
    <row r="341" spans="1:9" ht="12.95">
      <c r="A341" s="21"/>
      <c r="B341" s="21"/>
      <c r="C341" s="21"/>
      <c r="D341" s="21"/>
      <c r="E341" s="21"/>
      <c r="F341" s="22"/>
      <c r="G341" s="21"/>
      <c r="H341" s="21"/>
      <c r="I341" s="22"/>
    </row>
    <row r="342" spans="1:9" ht="12.95">
      <c r="A342" s="21"/>
      <c r="B342" s="21"/>
      <c r="C342" s="21"/>
      <c r="D342" s="21"/>
      <c r="E342" s="21"/>
      <c r="F342" s="22"/>
      <c r="G342" s="21"/>
      <c r="H342" s="21"/>
      <c r="I342" s="22"/>
    </row>
    <row r="343" spans="1:9" ht="12.95">
      <c r="A343" s="21"/>
      <c r="B343" s="21"/>
      <c r="C343" s="21"/>
      <c r="D343" s="21"/>
      <c r="E343" s="21"/>
      <c r="F343" s="22"/>
      <c r="G343" s="21"/>
      <c r="H343" s="21"/>
      <c r="I343" s="22"/>
    </row>
    <row r="344" spans="1:9" ht="12.95">
      <c r="A344" s="21"/>
      <c r="B344" s="21"/>
      <c r="C344" s="21"/>
      <c r="D344" s="21"/>
      <c r="E344" s="21"/>
      <c r="F344" s="22"/>
      <c r="G344" s="21"/>
      <c r="H344" s="21"/>
      <c r="I344" s="22"/>
    </row>
    <row r="345" spans="1:9" ht="12.95">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workbookViewId="0">
      <pane xSplit="2" ySplit="3" topLeftCell="C4" activePane="bottomRight" state="frozen"/>
      <selection pane="bottomRight" activeCell="C23" sqref="C23"/>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18</v>
      </c>
      <c r="E1" s="61"/>
      <c r="F1" s="61"/>
      <c r="G1" s="59" t="s">
        <v>19</v>
      </c>
      <c r="H1" s="59"/>
      <c r="I1" s="59"/>
      <c r="J1" s="4"/>
      <c r="K1" s="4"/>
    </row>
    <row r="2" spans="1:11" ht="19.5" customHeight="1">
      <c r="A2" s="62" t="s">
        <v>2</v>
      </c>
      <c r="B2" s="62"/>
      <c r="C2" s="5">
        <f>SUM(C4:C102)</f>
        <v>1646953.443617021</v>
      </c>
      <c r="D2" s="5">
        <f>SUM(D4:D102)</f>
        <v>3008243.4099999997</v>
      </c>
      <c r="E2" s="5">
        <f>C2-D2</f>
        <v>-1361289.9663829787</v>
      </c>
      <c r="F2" s="6">
        <f>IFERROR(E2/D2, 0)</f>
        <v>-0.45251988647520341</v>
      </c>
      <c r="G2" s="5">
        <f>SUM(G4:G102)</f>
        <v>3755846.5300000003</v>
      </c>
      <c r="H2" s="7">
        <f>C2-G2</f>
        <v>-2108893.0863829795</v>
      </c>
      <c r="I2" s="6">
        <f>IFERROR(H2/G2, 0)</f>
        <v>-0.56149607539554591</v>
      </c>
      <c r="J2" s="26" t="str">
        <f ca="1">IF(AND(TODAY()&gt;DATE(2024, 1,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28">Sites[Site]</f>
        <v>Barkhamsted</v>
      </c>
      <c r="B4" s="27" t="str" cm="1">
        <f t="array" ref="B4:B28">Sites[State]</f>
        <v>CT</v>
      </c>
      <c r="C4" s="24">
        <v>40962</v>
      </c>
      <c r="D4" s="13">
        <v>81116.11</v>
      </c>
      <c r="E4" s="13">
        <f>IF(AND(ISNUMBER(C4),ISNUMBER(D4)), C4-D4, "")</f>
        <v>-40154.11</v>
      </c>
      <c r="F4" s="14">
        <f>IFERROR(E4/D4, "")</f>
        <v>-0.49502016307241559</v>
      </c>
      <c r="G4" s="15">
        <v>95666.17</v>
      </c>
      <c r="H4" s="15">
        <f>IF(AND(ISNUMBER(C4),ISNUMBER(G4)), C4-G4, "")</f>
        <v>-54704.17</v>
      </c>
      <c r="I4" s="16">
        <f>IFERROR(H4/G4, "")</f>
        <v>-0.57182356103521237</v>
      </c>
    </row>
    <row r="5" spans="1:11" ht="15.6">
      <c r="A5" s="28" t="str">
        <v>Bunce</v>
      </c>
      <c r="B5" s="29" t="str">
        <v>CT</v>
      </c>
      <c r="C5" s="11">
        <v>85317.75</v>
      </c>
      <c r="D5" s="18">
        <v>134339.20000000001</v>
      </c>
      <c r="E5" s="18">
        <f t="shared" ref="E5:E28" si="0">IF(AND(ISNUMBER(C5),ISNUMBER(D5)), C5-D5, "")</f>
        <v>-49021.450000000012</v>
      </c>
      <c r="F5" s="19">
        <f>IFERROR(E5/D5, "")</f>
        <v>-0.36490800898025305</v>
      </c>
      <c r="G5" s="20">
        <v>0</v>
      </c>
      <c r="H5" s="20">
        <f t="shared" ref="H5:H28" si="1">IF(AND(ISNUMBER(C5),ISNUMBER(G5)), C5-G5, "")</f>
        <v>85317.75</v>
      </c>
      <c r="I5" s="19" t="str">
        <f t="shared" ref="I5:I28" si="2">IFERROR(H5/G5, "")</f>
        <v/>
      </c>
      <c r="J5" s="38" t="s">
        <v>22</v>
      </c>
      <c r="K5" s="38" t="s">
        <v>22</v>
      </c>
    </row>
    <row r="6" spans="1:11" ht="15.6">
      <c r="A6" s="30" t="str">
        <v>Norcap North</v>
      </c>
      <c r="B6" s="27" t="str">
        <v>CT</v>
      </c>
      <c r="C6" s="24">
        <v>86946</v>
      </c>
      <c r="D6" s="13">
        <v>190151.4</v>
      </c>
      <c r="E6" s="13">
        <f t="shared" si="0"/>
        <v>-103205.4</v>
      </c>
      <c r="F6" s="14">
        <f t="shared" ref="F6:F28" si="3">IFERROR(E6/D6, "")</f>
        <v>-0.54275382668757632</v>
      </c>
      <c r="G6" s="15">
        <v>179846.6</v>
      </c>
      <c r="H6" s="15">
        <f t="shared" si="1"/>
        <v>-92900.6</v>
      </c>
      <c r="I6" s="16">
        <f t="shared" si="2"/>
        <v>-0.51655466380793413</v>
      </c>
      <c r="J6" s="39" t="s">
        <v>22</v>
      </c>
      <c r="K6" s="39" t="s">
        <v>22</v>
      </c>
    </row>
    <row r="7" spans="1:11" ht="130.5">
      <c r="A7" s="28" t="str">
        <v>Norcap South</v>
      </c>
      <c r="B7" s="29" t="str">
        <v>CT</v>
      </c>
      <c r="C7" s="11">
        <v>92879.5</v>
      </c>
      <c r="D7" s="18">
        <v>212284</v>
      </c>
      <c r="E7" s="18">
        <f t="shared" si="0"/>
        <v>-119404.5</v>
      </c>
      <c r="F7" s="19">
        <f t="shared" si="3"/>
        <v>-0.5624752689792919</v>
      </c>
      <c r="G7" s="20">
        <v>156565.5</v>
      </c>
      <c r="H7" s="20">
        <f t="shared" si="1"/>
        <v>-63686</v>
      </c>
      <c r="I7" s="19">
        <f t="shared" si="2"/>
        <v>-0.40676905193034224</v>
      </c>
      <c r="J7" s="38" t="s">
        <v>23</v>
      </c>
      <c r="K7" s="38" t="s">
        <v>24</v>
      </c>
    </row>
    <row r="8" spans="1:11" ht="43.5">
      <c r="A8" s="30" t="str">
        <v>Platt Hill</v>
      </c>
      <c r="B8" s="27" t="str">
        <v>CT</v>
      </c>
      <c r="C8" s="24">
        <v>104226.493617021</v>
      </c>
      <c r="D8" s="13">
        <v>164040.9</v>
      </c>
      <c r="E8" s="13">
        <f t="shared" si="0"/>
        <v>-59814.406382978996</v>
      </c>
      <c r="F8" s="14">
        <f t="shared" si="3"/>
        <v>-0.36463105471244672</v>
      </c>
      <c r="G8" s="15">
        <v>232504.1</v>
      </c>
      <c r="H8" s="15">
        <f t="shared" si="1"/>
        <v>-128277.60638297901</v>
      </c>
      <c r="I8" s="16">
        <f t="shared" si="2"/>
        <v>-0.55172191106728441</v>
      </c>
      <c r="J8" s="39" t="s">
        <v>25</v>
      </c>
      <c r="K8" s="39" t="s">
        <v>26</v>
      </c>
    </row>
    <row r="9" spans="1:11" ht="15.6">
      <c r="A9" s="28" t="str">
        <v>Powder Hill</v>
      </c>
      <c r="B9" s="29" t="str">
        <v>CT</v>
      </c>
      <c r="C9" s="11">
        <v>73609</v>
      </c>
      <c r="D9" s="18">
        <v>144364.9</v>
      </c>
      <c r="E9" s="18">
        <f t="shared" si="0"/>
        <v>-70755.899999999994</v>
      </c>
      <c r="F9" s="19">
        <f t="shared" si="3"/>
        <v>-0.49011844291791146</v>
      </c>
      <c r="G9" s="20">
        <v>155676</v>
      </c>
      <c r="H9" s="20">
        <f t="shared" si="1"/>
        <v>-82067</v>
      </c>
      <c r="I9" s="19">
        <f t="shared" si="2"/>
        <v>-0.52716539479431646</v>
      </c>
      <c r="J9" s="38" t="s">
        <v>22</v>
      </c>
      <c r="K9" s="38" t="s">
        <v>22</v>
      </c>
    </row>
    <row r="10" spans="1:11" ht="87">
      <c r="A10" s="30" t="str">
        <v>Sand Road</v>
      </c>
      <c r="B10" s="27" t="str">
        <v>CT</v>
      </c>
      <c r="C10" s="24">
        <v>78068.5</v>
      </c>
      <c r="D10" s="13">
        <v>124790</v>
      </c>
      <c r="E10" s="13">
        <f t="shared" si="0"/>
        <v>-46721.5</v>
      </c>
      <c r="F10" s="14">
        <f t="shared" si="3"/>
        <v>-0.37440099366936452</v>
      </c>
      <c r="G10" s="15">
        <v>145302</v>
      </c>
      <c r="H10" s="15">
        <f t="shared" si="1"/>
        <v>-67233.5</v>
      </c>
      <c r="I10" s="16">
        <f>IFERROR(H10/G10, "")</f>
        <v>-0.46271558547026193</v>
      </c>
      <c r="J10" s="39" t="s">
        <v>27</v>
      </c>
      <c r="K10" s="39" t="s">
        <v>28</v>
      </c>
    </row>
    <row r="11" spans="1:11" ht="15.6">
      <c r="A11" s="28" t="str">
        <v>Suffield</v>
      </c>
      <c r="B11" s="29" t="str">
        <v>CT</v>
      </c>
      <c r="C11" s="11">
        <v>86425</v>
      </c>
      <c r="D11" s="18">
        <v>139100</v>
      </c>
      <c r="E11" s="18">
        <f t="shared" si="0"/>
        <v>-52675</v>
      </c>
      <c r="F11" s="19">
        <f t="shared" si="3"/>
        <v>-0.37868439971243711</v>
      </c>
      <c r="G11" s="20">
        <v>191955.4</v>
      </c>
      <c r="H11" s="20">
        <f t="shared" si="1"/>
        <v>-105530.4</v>
      </c>
      <c r="I11" s="19">
        <f t="shared" si="2"/>
        <v>-0.54976520587594824</v>
      </c>
      <c r="J11" s="38" t="s">
        <v>22</v>
      </c>
      <c r="K11" s="38" t="s">
        <v>29</v>
      </c>
    </row>
    <row r="12" spans="1:11" ht="29.1">
      <c r="A12" s="30" t="str">
        <v>Ashby-Duffy</v>
      </c>
      <c r="B12" s="27" t="str">
        <v>MA</v>
      </c>
      <c r="C12" s="24">
        <v>83884</v>
      </c>
      <c r="D12" s="13">
        <v>228874</v>
      </c>
      <c r="E12" s="13">
        <f t="shared" si="0"/>
        <v>-144990</v>
      </c>
      <c r="F12" s="14">
        <f t="shared" si="3"/>
        <v>-0.63349266408591631</v>
      </c>
      <c r="G12" s="15">
        <v>158269.5</v>
      </c>
      <c r="H12" s="15">
        <f t="shared" si="1"/>
        <v>-74385.5</v>
      </c>
      <c r="I12" s="16">
        <f t="shared" si="2"/>
        <v>-0.46999263913767342</v>
      </c>
      <c r="J12" s="39" t="s">
        <v>30</v>
      </c>
      <c r="K12" s="39" t="s">
        <v>31</v>
      </c>
    </row>
    <row r="13" spans="1:11" ht="15.6">
      <c r="A13" s="28" t="str">
        <v>Ashland</v>
      </c>
      <c r="B13" s="29" t="str">
        <v>MA</v>
      </c>
      <c r="C13" s="11">
        <v>3053</v>
      </c>
      <c r="D13" s="18">
        <v>18082.05</v>
      </c>
      <c r="E13" s="18">
        <f t="shared" si="0"/>
        <v>-15029.05</v>
      </c>
      <c r="F13" s="19">
        <f t="shared" si="3"/>
        <v>-0.83115852461418915</v>
      </c>
      <c r="G13" s="20">
        <v>134293.1</v>
      </c>
      <c r="H13" s="20">
        <f t="shared" si="1"/>
        <v>-131240.1</v>
      </c>
      <c r="I13" s="19">
        <f t="shared" si="2"/>
        <v>-0.97726614397910239</v>
      </c>
      <c r="J13" s="38" t="s">
        <v>22</v>
      </c>
      <c r="K13" s="38" t="s">
        <v>22</v>
      </c>
    </row>
    <row r="14" spans="1:11" ht="43.5">
      <c r="A14" s="30" t="str">
        <v>Barrington</v>
      </c>
      <c r="B14" s="27" t="str">
        <v>MA</v>
      </c>
      <c r="C14" s="24">
        <v>15412</v>
      </c>
      <c r="D14" s="13">
        <v>23642.959999999999</v>
      </c>
      <c r="E14" s="13">
        <f t="shared" si="0"/>
        <v>-8230.9599999999991</v>
      </c>
      <c r="F14" s="14">
        <f t="shared" si="3"/>
        <v>-0.34813576641841798</v>
      </c>
      <c r="G14" s="15">
        <v>35820</v>
      </c>
      <c r="H14" s="15">
        <f t="shared" si="1"/>
        <v>-20408</v>
      </c>
      <c r="I14" s="16">
        <f t="shared" si="2"/>
        <v>-0.56973757677275261</v>
      </c>
      <c r="J14" s="39" t="s">
        <v>32</v>
      </c>
      <c r="K14" s="39" t="s">
        <v>33</v>
      </c>
    </row>
    <row r="15" spans="1:11" ht="15.6">
      <c r="A15" s="28" t="str">
        <v>Bedford - 205 Burlington Rd</v>
      </c>
      <c r="B15" s="29" t="str">
        <v>MA</v>
      </c>
      <c r="C15" s="11">
        <v>7938</v>
      </c>
      <c r="D15" s="18">
        <v>0</v>
      </c>
      <c r="E15" s="18">
        <f t="shared" si="0"/>
        <v>7938</v>
      </c>
      <c r="F15" s="19" t="str">
        <f t="shared" si="3"/>
        <v/>
      </c>
      <c r="G15" s="20">
        <v>0</v>
      </c>
      <c r="H15" s="20">
        <f t="shared" si="1"/>
        <v>7938</v>
      </c>
      <c r="I15" s="19" t="str">
        <f t="shared" si="2"/>
        <v/>
      </c>
      <c r="J15" s="38" t="s">
        <v>22</v>
      </c>
      <c r="K15" s="38" t="s">
        <v>22</v>
      </c>
    </row>
    <row r="16" spans="1:11" ht="15.6">
      <c r="A16" s="30" t="str">
        <v>Billerica - 6 Cook Street</v>
      </c>
      <c r="B16" s="27" t="str">
        <v>MA</v>
      </c>
      <c r="C16" s="24">
        <v>7069</v>
      </c>
      <c r="D16" s="13">
        <v>0</v>
      </c>
      <c r="E16" s="13">
        <f t="shared" si="0"/>
        <v>7069</v>
      </c>
      <c r="F16" s="14" t="str">
        <f t="shared" si="3"/>
        <v/>
      </c>
      <c r="G16" s="15">
        <v>0</v>
      </c>
      <c r="H16" s="15">
        <f t="shared" si="1"/>
        <v>7069</v>
      </c>
      <c r="I16" s="16" t="str">
        <f t="shared" si="2"/>
        <v/>
      </c>
      <c r="J16" s="39" t="s">
        <v>22</v>
      </c>
      <c r="K16" s="39" t="s">
        <v>22</v>
      </c>
    </row>
    <row r="17" spans="1:11" ht="15.6">
      <c r="A17" s="28" t="str">
        <v>Billerica - 780 Boston Road</v>
      </c>
      <c r="B17" s="29" t="str">
        <v>MA</v>
      </c>
      <c r="C17" s="11">
        <v>7922</v>
      </c>
      <c r="D17" s="18">
        <v>0</v>
      </c>
      <c r="E17" s="18">
        <f t="shared" si="0"/>
        <v>7922</v>
      </c>
      <c r="F17" s="19" t="str">
        <f t="shared" si="3"/>
        <v/>
      </c>
      <c r="G17" s="20">
        <v>0</v>
      </c>
      <c r="H17" s="20">
        <f t="shared" si="1"/>
        <v>7922</v>
      </c>
      <c r="I17" s="19" t="str">
        <f t="shared" si="2"/>
        <v/>
      </c>
      <c r="J17" s="38" t="s">
        <v>22</v>
      </c>
      <c r="K17" s="38" t="s">
        <v>22</v>
      </c>
    </row>
    <row r="18" spans="1:11" ht="15.6">
      <c r="A18" s="30" t="str">
        <v>Cheshire</v>
      </c>
      <c r="B18" s="27" t="str">
        <v>MA</v>
      </c>
      <c r="C18" s="24">
        <v>15272</v>
      </c>
      <c r="D18" s="13">
        <v>27330.66</v>
      </c>
      <c r="E18" s="13">
        <f t="shared" si="0"/>
        <v>-12058.66</v>
      </c>
      <c r="F18" s="14">
        <f t="shared" si="3"/>
        <v>-0.44121364065119539</v>
      </c>
      <c r="G18" s="15">
        <v>24314.38</v>
      </c>
      <c r="H18" s="15">
        <f t="shared" si="1"/>
        <v>-9042.380000000001</v>
      </c>
      <c r="I18" s="16">
        <f t="shared" si="2"/>
        <v>-0.37189432755431151</v>
      </c>
      <c r="J18" s="39" t="s">
        <v>22</v>
      </c>
      <c r="K18" s="39" t="s">
        <v>22</v>
      </c>
    </row>
    <row r="19" spans="1:11" ht="15.6">
      <c r="A19" s="28" t="str">
        <v>Lilly Lane</v>
      </c>
      <c r="B19" s="29" t="str">
        <v>MA</v>
      </c>
      <c r="C19" s="11">
        <v>37262</v>
      </c>
      <c r="D19" s="18">
        <v>61721.41</v>
      </c>
      <c r="E19" s="18">
        <f t="shared" si="0"/>
        <v>-24459.410000000003</v>
      </c>
      <c r="F19" s="19">
        <f t="shared" si="3"/>
        <v>-0.39628728507660471</v>
      </c>
      <c r="G19">
        <v>113135.5</v>
      </c>
      <c r="H19" s="20">
        <f t="shared" si="1"/>
        <v>-75873.5</v>
      </c>
      <c r="I19" s="19">
        <f t="shared" si="2"/>
        <v>-0.67064272487415533</v>
      </c>
      <c r="J19" s="38" t="s">
        <v>22</v>
      </c>
      <c r="K19" s="38" t="s">
        <v>22</v>
      </c>
    </row>
    <row r="20" spans="1:11" ht="15.6">
      <c r="A20" s="30" t="str">
        <v>Monument Valley</v>
      </c>
      <c r="B20" s="27" t="str">
        <v>MA</v>
      </c>
      <c r="C20" s="24">
        <v>68801</v>
      </c>
      <c r="D20" s="13">
        <v>28968.03</v>
      </c>
      <c r="E20" s="13">
        <f t="shared" si="0"/>
        <v>39832.97</v>
      </c>
      <c r="F20" s="14">
        <f t="shared" si="3"/>
        <v>1.3750665820216288</v>
      </c>
      <c r="G20" s="15">
        <v>0</v>
      </c>
      <c r="H20" s="15">
        <f t="shared" si="1"/>
        <v>68801</v>
      </c>
      <c r="I20" s="16" t="str">
        <f t="shared" si="2"/>
        <v/>
      </c>
      <c r="J20" s="39" t="s">
        <v>22</v>
      </c>
      <c r="K20" s="39" t="s">
        <v>22</v>
      </c>
    </row>
    <row r="21" spans="1:11" ht="15.6">
      <c r="A21" s="28" t="str">
        <v>Nationwide</v>
      </c>
      <c r="B21" s="29" t="str">
        <v>MA</v>
      </c>
      <c r="C21" s="11">
        <v>98960</v>
      </c>
      <c r="D21" s="18">
        <v>221313.9</v>
      </c>
      <c r="E21" s="18">
        <f t="shared" si="0"/>
        <v>-122353.9</v>
      </c>
      <c r="F21" s="19">
        <f t="shared" si="3"/>
        <v>-0.55285230615880876</v>
      </c>
      <c r="G21" s="20">
        <v>298977.59999999998</v>
      </c>
      <c r="H21" s="20">
        <f t="shared" si="1"/>
        <v>-200017.59999999998</v>
      </c>
      <c r="I21" s="19">
        <f t="shared" si="2"/>
        <v>-0.66900530340734554</v>
      </c>
      <c r="J21" s="38" t="s">
        <v>22</v>
      </c>
      <c r="K21" s="38" t="s">
        <v>22</v>
      </c>
    </row>
    <row r="22" spans="1:11" ht="15.6">
      <c r="A22" s="30" t="str">
        <v>Pulpit Hill</v>
      </c>
      <c r="B22" s="27" t="str">
        <v>MA</v>
      </c>
      <c r="C22" s="24">
        <v>147440</v>
      </c>
      <c r="D22" s="13">
        <v>286661.3</v>
      </c>
      <c r="E22" s="13">
        <f t="shared" si="0"/>
        <v>-139221.29999999999</v>
      </c>
      <c r="F22" s="14">
        <f t="shared" si="3"/>
        <v>-0.48566478977106431</v>
      </c>
      <c r="G22" s="15">
        <v>356965.5</v>
      </c>
      <c r="H22" s="15">
        <f t="shared" si="1"/>
        <v>-209525.5</v>
      </c>
      <c r="I22" s="16">
        <f t="shared" si="2"/>
        <v>-0.58696288576907296</v>
      </c>
      <c r="J22" s="39" t="s">
        <v>34</v>
      </c>
      <c r="K22" s="39" t="s">
        <v>35</v>
      </c>
    </row>
    <row r="23" spans="1:11" ht="15.6">
      <c r="A23" s="28" t="str">
        <v>Sandwich</v>
      </c>
      <c r="B23" s="29" t="str">
        <v>MA</v>
      </c>
      <c r="C23">
        <v>69116</v>
      </c>
      <c r="D23" s="18">
        <v>73621</v>
      </c>
      <c r="E23" s="18">
        <f t="shared" si="0"/>
        <v>-4505</v>
      </c>
      <c r="F23" s="19">
        <f t="shared" si="3"/>
        <v>-6.1191779519430597E-2</v>
      </c>
      <c r="G23" s="20">
        <v>296751</v>
      </c>
      <c r="H23" s="20">
        <f t="shared" si="1"/>
        <v>-227635</v>
      </c>
      <c r="I23" s="19">
        <f t="shared" si="2"/>
        <v>-0.76709092808448831</v>
      </c>
      <c r="J23" s="38" t="s">
        <v>22</v>
      </c>
      <c r="K23" s="38" t="s">
        <v>22</v>
      </c>
    </row>
    <row r="24" spans="1:11" ht="43.5">
      <c r="A24" s="30" t="str">
        <v>Sturbridge Barn</v>
      </c>
      <c r="B24" s="27" t="str">
        <v>MA</v>
      </c>
      <c r="C24" s="24">
        <v>40594</v>
      </c>
      <c r="D24" s="13">
        <v>79345.86</v>
      </c>
      <c r="E24" s="13">
        <f t="shared" si="0"/>
        <v>-38751.86</v>
      </c>
      <c r="F24" s="14">
        <f t="shared" si="3"/>
        <v>-0.48839170688930716</v>
      </c>
      <c r="G24" s="15">
        <v>110612.6</v>
      </c>
      <c r="H24" s="15">
        <f t="shared" si="1"/>
        <v>-70018.600000000006</v>
      </c>
      <c r="I24" s="16">
        <f t="shared" si="2"/>
        <v>-0.63300745123069169</v>
      </c>
      <c r="J24" s="39" t="s">
        <v>36</v>
      </c>
      <c r="K24" s="39" t="s">
        <v>37</v>
      </c>
    </row>
    <row r="25" spans="1:11" ht="15.6">
      <c r="A25" s="28" t="str">
        <v>Sturbridge Garage</v>
      </c>
      <c r="B25" s="29" t="str">
        <v>MA</v>
      </c>
      <c r="C25" s="11">
        <v>20528.25</v>
      </c>
      <c r="D25" s="18">
        <v>36997.33</v>
      </c>
      <c r="E25" s="18">
        <f t="shared" si="0"/>
        <v>-16469.080000000002</v>
      </c>
      <c r="F25" s="19">
        <f t="shared" si="3"/>
        <v>-0.44514239270779815</v>
      </c>
      <c r="G25" s="20">
        <v>55886.080000000002</v>
      </c>
      <c r="H25" s="20">
        <f t="shared" si="1"/>
        <v>-35357.83</v>
      </c>
      <c r="I25" s="19">
        <f t="shared" si="2"/>
        <v>-0.63267686694074809</v>
      </c>
      <c r="J25" s="38" t="s">
        <v>38</v>
      </c>
      <c r="K25" s="38" t="s">
        <v>39</v>
      </c>
    </row>
    <row r="26" spans="1:11" ht="29.1">
      <c r="A26" s="30" t="str">
        <v>Halsey Valley</v>
      </c>
      <c r="B26" s="27" t="str">
        <v>NY</v>
      </c>
      <c r="C26" s="24">
        <v>147564</v>
      </c>
      <c r="D26" s="13">
        <v>292774.59999999998</v>
      </c>
      <c r="E26" s="13">
        <f t="shared" si="0"/>
        <v>-145210.59999999998</v>
      </c>
      <c r="F26" s="14">
        <f t="shared" si="3"/>
        <v>-0.49598086719271406</v>
      </c>
      <c r="G26" s="15">
        <v>384000</v>
      </c>
      <c r="H26" s="15">
        <f t="shared" si="1"/>
        <v>-236436</v>
      </c>
      <c r="I26" s="16">
        <f t="shared" si="2"/>
        <v>-0.61571874999999998</v>
      </c>
      <c r="J26" s="39" t="s">
        <v>40</v>
      </c>
      <c r="K26" s="39" t="s">
        <v>41</v>
      </c>
    </row>
    <row r="27" spans="1:11" ht="57.95">
      <c r="A27" s="28" t="str">
        <v>Hunt Creek</v>
      </c>
      <c r="B27" s="29" t="str">
        <v>NY</v>
      </c>
      <c r="C27" s="11">
        <v>87616.95</v>
      </c>
      <c r="D27" s="18">
        <v>201235.3</v>
      </c>
      <c r="E27" s="18">
        <f t="shared" si="0"/>
        <v>-113618.34999999999</v>
      </c>
      <c r="F27" s="19">
        <f t="shared" si="3"/>
        <v>-0.56460447048803064</v>
      </c>
      <c r="G27" s="20">
        <v>228700</v>
      </c>
      <c r="H27" s="20">
        <f t="shared" si="1"/>
        <v>-141083.04999999999</v>
      </c>
      <c r="I27" s="19">
        <f t="shared" si="2"/>
        <v>-0.61689134236991683</v>
      </c>
      <c r="J27" s="38" t="s">
        <v>42</v>
      </c>
      <c r="K27" s="38" t="s">
        <v>43</v>
      </c>
    </row>
    <row r="28" spans="1:11" ht="15.6">
      <c r="A28" s="30" t="str">
        <v>Smith Creek</v>
      </c>
      <c r="B28" s="27" t="str">
        <v>NY</v>
      </c>
      <c r="C28" s="24">
        <v>140087</v>
      </c>
      <c r="D28" s="13">
        <v>237488.5</v>
      </c>
      <c r="E28" s="13">
        <f t="shared" si="0"/>
        <v>-97401.5</v>
      </c>
      <c r="F28" s="14">
        <f t="shared" si="3"/>
        <v>-0.41013143794331092</v>
      </c>
      <c r="G28" s="15">
        <v>400605.5</v>
      </c>
      <c r="H28" s="15">
        <f t="shared" si="1"/>
        <v>-260518.5</v>
      </c>
      <c r="I28" s="16">
        <f t="shared" si="2"/>
        <v>-0.65031184045151647</v>
      </c>
      <c r="J28" s="39" t="s">
        <v>22</v>
      </c>
      <c r="K28" s="39" t="s">
        <v>22</v>
      </c>
    </row>
    <row r="29" spans="1:11" ht="14.45">
      <c r="A29" s="21"/>
      <c r="B29" s="31"/>
      <c r="C29" s="21"/>
      <c r="D29" s="21"/>
      <c r="E29" s="21"/>
      <c r="F29" s="21"/>
      <c r="G29" s="21"/>
      <c r="H29" s="21"/>
      <c r="I29" s="21"/>
      <c r="J29" s="39"/>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45"/>
  <sheetViews>
    <sheetView workbookViewId="0">
      <pane xSplit="2" ySplit="3" topLeftCell="C4" activePane="bottomRight" state="frozen"/>
      <selection pane="bottomRight" activeCell="C23" sqref="C23"/>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44</v>
      </c>
      <c r="E1" s="61"/>
      <c r="F1" s="61"/>
      <c r="G1" s="59" t="s">
        <v>45</v>
      </c>
      <c r="H1" s="59"/>
      <c r="I1" s="59"/>
      <c r="J1" s="4"/>
      <c r="K1" s="4"/>
    </row>
    <row r="2" spans="1:11" ht="19.5" customHeight="1">
      <c r="A2" s="62" t="s">
        <v>2</v>
      </c>
      <c r="B2" s="62"/>
      <c r="C2" s="5">
        <f>SUM(C4:C103)</f>
        <v>5730613.6363829793</v>
      </c>
      <c r="D2" s="5">
        <f>SUM(D4:D103)</f>
        <v>5700189.2299999995</v>
      </c>
      <c r="E2" s="5">
        <f>C2-D2</f>
        <v>30424.406382979825</v>
      </c>
      <c r="F2" s="6">
        <f>IFERROR(E2/D2, 0)</f>
        <v>5.3374379613323518E-3</v>
      </c>
      <c r="G2" s="5">
        <f>SUM(G4:G103)</f>
        <v>4428387.1499999994</v>
      </c>
      <c r="H2" s="7">
        <f>C2-G2</f>
        <v>1302226.4863829799</v>
      </c>
      <c r="I2" s="6">
        <f>IFERROR(H2/G2, 0)</f>
        <v>0.29406337844309299</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44" t="str" cm="1">
        <f t="array" ref="A4:A28">Sites[Site]</f>
        <v>Barkhamsted</v>
      </c>
      <c r="B4" s="27" t="str" cm="1">
        <f t="array" ref="B4:B28">Sites[State]</f>
        <v>CT</v>
      </c>
      <c r="C4" s="24">
        <v>137901</v>
      </c>
      <c r="D4" s="13">
        <v>155136.70000000001</v>
      </c>
      <c r="E4" s="13">
        <f>IF(AND(ISNUMBER(C4),ISNUMBER(D4)), C4-D4, "")</f>
        <v>-17235.700000000012</v>
      </c>
      <c r="F4" s="14">
        <f>IFERROR(E4/D4, "")</f>
        <v>-0.11110008141207084</v>
      </c>
      <c r="G4" s="15">
        <v>118880.1</v>
      </c>
      <c r="H4" s="15">
        <f>IF(AND(ISNUMBER(C4),ISNUMBER(G4)), C4-G4, "")</f>
        <v>19020.899999999994</v>
      </c>
      <c r="I4" s="16">
        <f>IFERROR(H4/G4, "")</f>
        <v>0.16000070659429116</v>
      </c>
      <c r="J4" s="38"/>
      <c r="K4" s="38"/>
    </row>
    <row r="5" spans="1:11" ht="15.6">
      <c r="A5" s="45" t="str">
        <v>Bunce</v>
      </c>
      <c r="B5" s="29" t="str">
        <v>CT</v>
      </c>
      <c r="C5" s="11">
        <v>255566.25</v>
      </c>
      <c r="D5" s="18">
        <v>264677.8</v>
      </c>
      <c r="E5" s="18">
        <f t="shared" ref="E5:E28" si="0">IF(AND(ISNUMBER(C5),ISNUMBER(D5)), C5-D5, "")</f>
        <v>-9111.5499999999884</v>
      </c>
      <c r="F5" s="19">
        <f>IFERROR(E5/D5, "")</f>
        <v>-3.4425063227818839E-2</v>
      </c>
      <c r="G5" s="20">
        <v>0</v>
      </c>
      <c r="H5" s="20">
        <f t="shared" ref="H5:H28" si="1">IF(AND(ISNUMBER(C5),ISNUMBER(G5)), C5-G5, "")</f>
        <v>255566.25</v>
      </c>
      <c r="I5" s="19" t="str">
        <f t="shared" ref="I5:I28" si="2">IFERROR(H5/G5, "")</f>
        <v/>
      </c>
      <c r="J5" s="39"/>
      <c r="K5" s="39"/>
    </row>
    <row r="6" spans="1:11" ht="15.6">
      <c r="A6" s="44" t="str">
        <v>Norcap North</v>
      </c>
      <c r="B6" s="27" t="str">
        <v>CT</v>
      </c>
      <c r="C6" s="24">
        <v>258225.5</v>
      </c>
      <c r="D6" s="13">
        <v>313527</v>
      </c>
      <c r="E6" s="13">
        <f t="shared" si="0"/>
        <v>-55301.5</v>
      </c>
      <c r="F6" s="14">
        <f t="shared" ref="F6:F28" si="3">IFERROR(E6/D6, "")</f>
        <v>-0.17638512791561811</v>
      </c>
      <c r="G6" s="15">
        <v>213416.4</v>
      </c>
      <c r="H6" s="15">
        <f t="shared" si="1"/>
        <v>44809.100000000006</v>
      </c>
      <c r="I6" s="16">
        <f t="shared" si="2"/>
        <v>0.20996090272350207</v>
      </c>
      <c r="J6" s="38"/>
      <c r="K6" s="38"/>
    </row>
    <row r="7" spans="1:11" ht="72.599999999999994">
      <c r="A7" s="45" t="str">
        <v>Norcap South</v>
      </c>
      <c r="B7" s="29" t="str">
        <v>CT</v>
      </c>
      <c r="C7" s="11">
        <v>270255</v>
      </c>
      <c r="D7" s="18">
        <v>346522.8</v>
      </c>
      <c r="E7" s="18">
        <f t="shared" si="0"/>
        <v>-76267.799999999988</v>
      </c>
      <c r="F7" s="19">
        <f t="shared" si="3"/>
        <v>-0.22009460849329393</v>
      </c>
      <c r="G7" s="20">
        <v>203138.3</v>
      </c>
      <c r="H7" s="20">
        <f t="shared" si="1"/>
        <v>67116.700000000012</v>
      </c>
      <c r="I7" s="19">
        <f t="shared" si="2"/>
        <v>0.33039904341032694</v>
      </c>
      <c r="J7" s="39" t="s">
        <v>46</v>
      </c>
      <c r="K7" s="48" t="s">
        <v>47</v>
      </c>
    </row>
    <row r="8" spans="1:11" ht="15.6">
      <c r="A8" s="44" t="str">
        <v>Platt Hill</v>
      </c>
      <c r="B8" s="27" t="str">
        <v>CT</v>
      </c>
      <c r="C8" s="24">
        <v>291036.50638297899</v>
      </c>
      <c r="D8" s="13">
        <v>311905.09999999998</v>
      </c>
      <c r="E8" s="13">
        <f t="shared" si="0"/>
        <v>-20868.59361702099</v>
      </c>
      <c r="F8" s="14">
        <f t="shared" si="3"/>
        <v>-6.6906868842545347E-2</v>
      </c>
      <c r="G8" s="15">
        <v>274974.59999999998</v>
      </c>
      <c r="H8" s="15">
        <f t="shared" si="1"/>
        <v>16061.90638297901</v>
      </c>
      <c r="I8" s="16">
        <f t="shared" si="2"/>
        <v>5.8412327476716076E-2</v>
      </c>
      <c r="J8" s="38"/>
      <c r="K8" s="38"/>
    </row>
    <row r="9" spans="1:11" ht="15.6">
      <c r="A9" s="45" t="str">
        <v>Powder Hill</v>
      </c>
      <c r="B9" s="29" t="str">
        <v>CT</v>
      </c>
      <c r="C9" s="11">
        <v>245989</v>
      </c>
      <c r="D9" s="18">
        <v>275345.2</v>
      </c>
      <c r="E9" s="18">
        <f t="shared" si="0"/>
        <v>-29356.200000000012</v>
      </c>
      <c r="F9" s="19">
        <f t="shared" si="3"/>
        <v>-0.10661598604224809</v>
      </c>
      <c r="G9" s="20">
        <v>178140</v>
      </c>
      <c r="H9" s="20">
        <f t="shared" si="1"/>
        <v>67849</v>
      </c>
      <c r="I9" s="19">
        <f t="shared" si="2"/>
        <v>0.38087459301672844</v>
      </c>
      <c r="J9" s="39"/>
      <c r="K9" s="39"/>
    </row>
    <row r="10" spans="1:11" ht="15.6">
      <c r="A10" s="44" t="str">
        <v>Sand Road</v>
      </c>
      <c r="B10" s="27" t="str">
        <v>CT</v>
      </c>
      <c r="C10" s="24">
        <v>267257</v>
      </c>
      <c r="D10" s="13">
        <v>262006</v>
      </c>
      <c r="E10" s="13">
        <f t="shared" si="0"/>
        <v>5251</v>
      </c>
      <c r="F10" s="14">
        <f t="shared" si="3"/>
        <v>2.0041525766585497E-2</v>
      </c>
      <c r="G10" s="15">
        <v>179737</v>
      </c>
      <c r="H10" s="15">
        <f t="shared" si="1"/>
        <v>87520</v>
      </c>
      <c r="I10" s="16">
        <f t="shared" si="2"/>
        <v>0.48693368644185669</v>
      </c>
      <c r="J10" s="38"/>
      <c r="K10" s="38"/>
    </row>
    <row r="11" spans="1:11" ht="57.95">
      <c r="A11" s="45" t="str">
        <v>Suffield</v>
      </c>
      <c r="B11" s="29" t="str">
        <v>CT</v>
      </c>
      <c r="C11" s="11">
        <v>246077</v>
      </c>
      <c r="D11" s="18">
        <v>257109</v>
      </c>
      <c r="E11" s="18">
        <f t="shared" si="0"/>
        <v>-11032</v>
      </c>
      <c r="F11" s="19">
        <f t="shared" si="3"/>
        <v>-4.2907871758670446E-2</v>
      </c>
      <c r="G11" s="20">
        <v>223048.4</v>
      </c>
      <c r="H11" s="20">
        <f t="shared" si="1"/>
        <v>23028.600000000006</v>
      </c>
      <c r="I11" s="19">
        <f t="shared" si="2"/>
        <v>0.10324485627334698</v>
      </c>
      <c r="J11" s="39" t="s">
        <v>48</v>
      </c>
      <c r="K11" s="49" t="s">
        <v>49</v>
      </c>
    </row>
    <row r="12" spans="1:11" ht="15.6">
      <c r="A12" s="44" t="str">
        <v>Ashby-Duffy</v>
      </c>
      <c r="B12" s="27" t="str">
        <v>MA</v>
      </c>
      <c r="C12" s="24">
        <v>261552</v>
      </c>
      <c r="D12" s="13">
        <v>374863.5</v>
      </c>
      <c r="E12" s="13">
        <f t="shared" si="0"/>
        <v>-113311.5</v>
      </c>
      <c r="F12" s="14">
        <f t="shared" si="3"/>
        <v>-0.30227402774609957</v>
      </c>
      <c r="G12" s="15">
        <v>210128.9</v>
      </c>
      <c r="H12" s="15">
        <f t="shared" si="1"/>
        <v>51423.100000000006</v>
      </c>
      <c r="I12" s="16">
        <f t="shared" si="2"/>
        <v>0.24472169225651497</v>
      </c>
      <c r="J12" s="38"/>
      <c r="K12" s="38"/>
    </row>
    <row r="13" spans="1:11" ht="29.1">
      <c r="A13" s="45" t="str">
        <v>Ashland</v>
      </c>
      <c r="B13" s="29" t="str">
        <v>MA</v>
      </c>
      <c r="C13" s="11">
        <v>6940.5</v>
      </c>
      <c r="D13" s="18">
        <v>20582.64</v>
      </c>
      <c r="E13" s="18">
        <f t="shared" si="0"/>
        <v>-13642.14</v>
      </c>
      <c r="F13" s="19">
        <f t="shared" si="3"/>
        <v>-0.66279835822809896</v>
      </c>
      <c r="G13" s="20">
        <v>227005.3</v>
      </c>
      <c r="H13" s="20">
        <f t="shared" si="1"/>
        <v>-220064.8</v>
      </c>
      <c r="I13" s="19">
        <f t="shared" si="2"/>
        <v>-0.96942582397855914</v>
      </c>
      <c r="J13" s="39" t="s">
        <v>50</v>
      </c>
      <c r="K13" s="39" t="s">
        <v>51</v>
      </c>
    </row>
    <row r="14" spans="1:11" ht="15.6">
      <c r="A14" s="44" t="str">
        <v>Barrington</v>
      </c>
      <c r="B14" s="27" t="str">
        <v>MA</v>
      </c>
      <c r="C14" s="24">
        <v>57373.5</v>
      </c>
      <c r="D14" s="13">
        <v>51584.33</v>
      </c>
      <c r="E14" s="13">
        <f t="shared" si="0"/>
        <v>5789.1699999999983</v>
      </c>
      <c r="F14" s="14">
        <f t="shared" si="3"/>
        <v>0.11222729848386125</v>
      </c>
      <c r="G14" s="15">
        <v>54460</v>
      </c>
      <c r="H14" s="15">
        <f t="shared" si="1"/>
        <v>2913.5</v>
      </c>
      <c r="I14" s="16">
        <f t="shared" si="2"/>
        <v>5.3497980168931328E-2</v>
      </c>
      <c r="J14" s="38"/>
      <c r="K14" s="38"/>
    </row>
    <row r="15" spans="1:11" ht="15.6">
      <c r="A15" s="45" t="str">
        <v>Bedford - 205 Burlington Rd</v>
      </c>
      <c r="B15" s="29" t="str">
        <v>MA</v>
      </c>
      <c r="C15" s="11">
        <v>27156</v>
      </c>
      <c r="D15" s="18">
        <v>0</v>
      </c>
      <c r="E15" s="18">
        <f t="shared" si="0"/>
        <v>27156</v>
      </c>
      <c r="F15" s="19" t="str">
        <f t="shared" si="3"/>
        <v/>
      </c>
      <c r="G15" s="20">
        <v>0</v>
      </c>
      <c r="H15" s="20">
        <f t="shared" si="1"/>
        <v>27156</v>
      </c>
      <c r="I15" s="19" t="str">
        <f t="shared" si="2"/>
        <v/>
      </c>
      <c r="J15" s="39"/>
      <c r="K15" s="39"/>
    </row>
    <row r="16" spans="1:11" ht="15.6">
      <c r="A16" s="44" t="str">
        <v>Billerica - 6 Cook Street</v>
      </c>
      <c r="B16" s="27" t="str">
        <v>MA</v>
      </c>
      <c r="C16" s="24">
        <v>23191</v>
      </c>
      <c r="D16" s="13">
        <v>0</v>
      </c>
      <c r="E16" s="13">
        <f t="shared" si="0"/>
        <v>23191</v>
      </c>
      <c r="F16" s="14" t="str">
        <f t="shared" si="3"/>
        <v/>
      </c>
      <c r="G16" s="15">
        <v>0</v>
      </c>
      <c r="H16" s="15">
        <f t="shared" si="1"/>
        <v>23191</v>
      </c>
      <c r="I16" s="16" t="str">
        <f t="shared" si="2"/>
        <v/>
      </c>
      <c r="J16" s="38"/>
      <c r="K16" s="38"/>
    </row>
    <row r="17" spans="1:11" ht="15.6">
      <c r="A17" s="45" t="str">
        <v>Billerica - 780 Boston Road</v>
      </c>
      <c r="B17" s="29" t="str">
        <v>MA</v>
      </c>
      <c r="C17" s="11">
        <v>25917</v>
      </c>
      <c r="D17" s="18">
        <v>0</v>
      </c>
      <c r="E17" s="18">
        <f t="shared" si="0"/>
        <v>25917</v>
      </c>
      <c r="F17" s="19" t="str">
        <f t="shared" si="3"/>
        <v/>
      </c>
      <c r="G17" s="20">
        <v>0</v>
      </c>
      <c r="H17" s="20">
        <f t="shared" si="1"/>
        <v>25917</v>
      </c>
      <c r="I17" s="19" t="str">
        <f t="shared" si="2"/>
        <v/>
      </c>
      <c r="J17" s="39" t="s">
        <v>52</v>
      </c>
      <c r="K17" s="39" t="s">
        <v>53</v>
      </c>
    </row>
    <row r="18" spans="1:11" ht="12.75" customHeight="1">
      <c r="A18" s="44" t="str">
        <v>Cheshire</v>
      </c>
      <c r="B18" s="27" t="str">
        <v>MA</v>
      </c>
      <c r="C18" s="24">
        <v>59648.75</v>
      </c>
      <c r="D18" s="13">
        <v>63568.84</v>
      </c>
      <c r="E18" s="13">
        <f t="shared" si="0"/>
        <v>-3920.0899999999965</v>
      </c>
      <c r="F18" s="14">
        <f t="shared" si="3"/>
        <v>-6.1666848097275281E-2</v>
      </c>
      <c r="G18" s="15">
        <v>34278.74</v>
      </c>
      <c r="H18" s="15">
        <f t="shared" si="1"/>
        <v>25370.010000000002</v>
      </c>
      <c r="I18" s="16">
        <f t="shared" si="2"/>
        <v>0.74010917554145816</v>
      </c>
      <c r="J18" s="38"/>
      <c r="K18" s="38"/>
    </row>
    <row r="19" spans="1:11" ht="43.5">
      <c r="A19" s="45" t="str">
        <v>Lilly Lane</v>
      </c>
      <c r="B19" s="29" t="str">
        <v>MA</v>
      </c>
      <c r="C19" s="11">
        <v>106235.5</v>
      </c>
      <c r="D19" s="18">
        <v>114676.2</v>
      </c>
      <c r="E19" s="18">
        <f t="shared" si="0"/>
        <v>-8440.6999999999971</v>
      </c>
      <c r="F19" s="19">
        <f t="shared" si="3"/>
        <v>-7.3604636358721318E-2</v>
      </c>
      <c r="G19" s="20">
        <v>134093</v>
      </c>
      <c r="H19" s="20">
        <f t="shared" si="1"/>
        <v>-27857.5</v>
      </c>
      <c r="I19" s="19">
        <f t="shared" si="2"/>
        <v>-0.20774760800340061</v>
      </c>
      <c r="J19" s="39" t="s">
        <v>54</v>
      </c>
      <c r="K19" s="39" t="s">
        <v>55</v>
      </c>
    </row>
    <row r="20" spans="1:11" ht="15.6">
      <c r="A20" s="44" t="str">
        <v>Monument Valley</v>
      </c>
      <c r="B20" s="27" t="str">
        <v>MA</v>
      </c>
      <c r="C20" s="24">
        <v>256982.68</v>
      </c>
      <c r="D20" s="13">
        <v>60936.71</v>
      </c>
      <c r="E20" s="13">
        <f t="shared" si="0"/>
        <v>196045.97</v>
      </c>
      <c r="F20" s="14">
        <f t="shared" si="3"/>
        <v>3.2172063440904508</v>
      </c>
      <c r="G20" s="15">
        <v>0</v>
      </c>
      <c r="H20" s="15">
        <f t="shared" si="1"/>
        <v>256982.68</v>
      </c>
      <c r="I20" s="16" t="str">
        <f t="shared" si="2"/>
        <v/>
      </c>
      <c r="J20" s="38"/>
      <c r="K20" s="38"/>
    </row>
    <row r="21" spans="1:11" ht="15.6">
      <c r="A21" s="45" t="str">
        <v>Nationwide</v>
      </c>
      <c r="B21" s="29" t="str">
        <v>MA</v>
      </c>
      <c r="C21" s="11">
        <v>335697.5</v>
      </c>
      <c r="D21" s="18">
        <v>411623.2</v>
      </c>
      <c r="E21" s="18">
        <f t="shared" si="0"/>
        <v>-75925.700000000012</v>
      </c>
      <c r="F21" s="19">
        <f t="shared" si="3"/>
        <v>-0.18445437477770935</v>
      </c>
      <c r="G21" s="20">
        <v>341058.3</v>
      </c>
      <c r="H21" s="20">
        <f t="shared" si="1"/>
        <v>-5360.7999999999884</v>
      </c>
      <c r="I21" s="19">
        <f t="shared" si="2"/>
        <v>-1.5718133820522732E-2</v>
      </c>
      <c r="J21" s="39"/>
      <c r="K21" s="39"/>
    </row>
    <row r="22" spans="1:11" ht="15.6">
      <c r="A22" s="44" t="str">
        <v>Pulpit Hill</v>
      </c>
      <c r="B22" s="27" t="str">
        <v>MA</v>
      </c>
      <c r="C22" s="24">
        <v>599611.19999999995</v>
      </c>
      <c r="D22" s="13">
        <v>582439.6</v>
      </c>
      <c r="E22" s="13">
        <f t="shared" si="0"/>
        <v>17171.599999999977</v>
      </c>
      <c r="F22" s="14">
        <f t="shared" si="3"/>
        <v>2.9482198669183855E-2</v>
      </c>
      <c r="G22" s="15">
        <v>492197.3</v>
      </c>
      <c r="H22" s="15">
        <f t="shared" si="1"/>
        <v>107413.89999999997</v>
      </c>
      <c r="I22" s="16">
        <f t="shared" si="2"/>
        <v>0.21823341980949504</v>
      </c>
      <c r="J22" s="38"/>
      <c r="K22" s="38"/>
    </row>
    <row r="23" spans="1:11" ht="29.1">
      <c r="A23" s="45" t="str">
        <v>Sandwich</v>
      </c>
      <c r="B23" s="29" t="str">
        <v>MA</v>
      </c>
      <c r="C23" s="11">
        <v>388044</v>
      </c>
      <c r="D23" s="18">
        <v>0</v>
      </c>
      <c r="E23" s="18">
        <f t="shared" si="0"/>
        <v>388044</v>
      </c>
      <c r="F23" s="19" t="str">
        <f t="shared" si="3"/>
        <v/>
      </c>
      <c r="G23" s="20">
        <v>0</v>
      </c>
      <c r="H23" s="20">
        <f t="shared" si="1"/>
        <v>388044</v>
      </c>
      <c r="I23" s="19" t="str">
        <f t="shared" si="2"/>
        <v/>
      </c>
      <c r="J23" s="39" t="s">
        <v>56</v>
      </c>
      <c r="K23" s="39" t="s">
        <v>57</v>
      </c>
    </row>
    <row r="24" spans="1:11" ht="15.6">
      <c r="A24" s="44" t="str">
        <v>Sturbridge Barn</v>
      </c>
      <c r="B24" s="27" t="str">
        <v>MA</v>
      </c>
      <c r="C24" s="24">
        <v>109399</v>
      </c>
      <c r="D24" s="13">
        <v>145433.5</v>
      </c>
      <c r="E24" s="13">
        <f t="shared" si="0"/>
        <v>-36034.5</v>
      </c>
      <c r="F24" s="14">
        <f t="shared" si="3"/>
        <v>-0.24777303716131427</v>
      </c>
      <c r="G24" s="15">
        <v>134159</v>
      </c>
      <c r="H24" s="15">
        <f t="shared" si="1"/>
        <v>-24760</v>
      </c>
      <c r="I24" s="16">
        <f t="shared" si="2"/>
        <v>-0.1845571299726444</v>
      </c>
      <c r="J24" s="38" t="s">
        <v>58</v>
      </c>
      <c r="K24" s="38" t="s">
        <v>59</v>
      </c>
    </row>
    <row r="25" spans="1:11" ht="15.6">
      <c r="A25" s="45" t="str">
        <v>Sturbridge Garage</v>
      </c>
      <c r="B25" s="29" t="str">
        <v>MA</v>
      </c>
      <c r="C25" s="11">
        <v>54338.25</v>
      </c>
      <c r="D25" s="18">
        <v>70059.81</v>
      </c>
      <c r="E25" s="18">
        <f t="shared" si="0"/>
        <v>-15721.559999999998</v>
      </c>
      <c r="F25" s="19">
        <f t="shared" si="3"/>
        <v>-0.22440197882352234</v>
      </c>
      <c r="G25" s="20">
        <v>66239.009999999995</v>
      </c>
      <c r="H25" s="20">
        <f t="shared" si="1"/>
        <v>-11900.759999999995</v>
      </c>
      <c r="I25" s="19">
        <f t="shared" si="2"/>
        <v>-0.17966391707847076</v>
      </c>
      <c r="J25" s="39" t="s">
        <v>58</v>
      </c>
      <c r="K25" s="39" t="s">
        <v>60</v>
      </c>
    </row>
    <row r="26" spans="1:11" ht="15.6">
      <c r="A26" s="44" t="str">
        <v>Halsey Valley</v>
      </c>
      <c r="B26" s="27" t="str">
        <v>NY</v>
      </c>
      <c r="C26" s="24">
        <v>605139</v>
      </c>
      <c r="D26" s="13">
        <v>647510</v>
      </c>
      <c r="E26" s="13">
        <f t="shared" si="0"/>
        <v>-42371</v>
      </c>
      <c r="F26" s="14">
        <f t="shared" si="3"/>
        <v>-6.5436827230467481E-2</v>
      </c>
      <c r="G26" s="15">
        <v>528000</v>
      </c>
      <c r="H26" s="15">
        <f t="shared" si="1"/>
        <v>77139</v>
      </c>
      <c r="I26" s="16">
        <f t="shared" si="2"/>
        <v>0.14609659090909091</v>
      </c>
      <c r="J26" s="38"/>
      <c r="K26" s="38"/>
    </row>
    <row r="27" spans="1:11" ht="91.5" customHeight="1">
      <c r="A27" s="45" t="str">
        <v>Hunt Creek</v>
      </c>
      <c r="B27" s="29" t="str">
        <v>NY</v>
      </c>
      <c r="C27" s="11">
        <v>375246.5</v>
      </c>
      <c r="D27" s="18">
        <v>461895.2</v>
      </c>
      <c r="E27" s="18">
        <f t="shared" si="0"/>
        <v>-86648.700000000012</v>
      </c>
      <c r="F27" s="19">
        <f t="shared" si="3"/>
        <v>-0.18759385245830659</v>
      </c>
      <c r="G27" s="20">
        <v>340300</v>
      </c>
      <c r="H27" s="20">
        <f t="shared" si="1"/>
        <v>34946.5</v>
      </c>
      <c r="I27" s="19">
        <f t="shared" si="2"/>
        <v>0.10269321187187776</v>
      </c>
      <c r="J27" s="48" t="s">
        <v>61</v>
      </c>
      <c r="K27" s="48" t="s">
        <v>62</v>
      </c>
    </row>
    <row r="28" spans="1:11" ht="66" customHeight="1">
      <c r="A28" s="44" t="str">
        <v>Smith Creek</v>
      </c>
      <c r="B28" s="27" t="str">
        <v>NY</v>
      </c>
      <c r="C28" s="24">
        <v>465834</v>
      </c>
      <c r="D28" s="13">
        <v>508786.1</v>
      </c>
      <c r="E28" s="13">
        <f t="shared" si="0"/>
        <v>-42952.099999999977</v>
      </c>
      <c r="F28" s="14">
        <f t="shared" si="3"/>
        <v>-8.4420741840234986E-2</v>
      </c>
      <c r="G28" s="15">
        <v>475132.8</v>
      </c>
      <c r="H28" s="15">
        <f t="shared" si="1"/>
        <v>-9298.7999999999884</v>
      </c>
      <c r="I28" s="16">
        <f t="shared" si="2"/>
        <v>-1.9570949427191699E-2</v>
      </c>
      <c r="J28" s="38" t="s">
        <v>63</v>
      </c>
      <c r="K28" s="38" t="s">
        <v>64</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45"/>
  <sheetViews>
    <sheetView workbookViewId="0">
      <pane xSplit="2" ySplit="3" topLeftCell="C4" activePane="bottomRight" state="frozen"/>
      <selection pane="bottomRight" activeCell="C23" sqref="C23"/>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18</v>
      </c>
      <c r="E1" s="61"/>
      <c r="F1" s="61"/>
      <c r="G1" s="59" t="s">
        <v>19</v>
      </c>
      <c r="H1" s="59"/>
      <c r="I1" s="59"/>
      <c r="J1" s="4"/>
      <c r="K1" s="4"/>
    </row>
    <row r="2" spans="1:11" ht="19.5" customHeight="1">
      <c r="A2" s="62" t="s">
        <v>2</v>
      </c>
      <c r="B2" s="62"/>
      <c r="C2" s="5">
        <f>SUM(C4:C103)</f>
        <v>6924224.3642211054</v>
      </c>
      <c r="D2" s="5">
        <f>SUM(D4:D103)</f>
        <v>5987399.7100000009</v>
      </c>
      <c r="E2" s="5">
        <f>C2-D2</f>
        <v>936824.65422110446</v>
      </c>
      <c r="F2" s="6">
        <f>IFERROR(E2/D2, 0)</f>
        <v>0.15646602859275355</v>
      </c>
      <c r="G2" s="5">
        <f>SUM(G4:G103)</f>
        <v>5689642.25</v>
      </c>
      <c r="H2" s="7">
        <f>C2-G2</f>
        <v>1234582.1142211054</v>
      </c>
      <c r="I2" s="6">
        <f>IFERROR(H2/G2, 0)</f>
        <v>0.21698765229415001</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28">Sites[Site]</f>
        <v>Barkhamsted</v>
      </c>
      <c r="B4" s="27" t="str" cm="1">
        <f t="array" ref="B4:B28">Sites[State]</f>
        <v>CT</v>
      </c>
      <c r="C4" s="24">
        <v>152494</v>
      </c>
      <c r="D4" s="13">
        <v>154845</v>
      </c>
      <c r="E4" s="13">
        <f>IF(AND(ISNUMBER(C4),ISNUMBER(D4)), C4-D4, "")</f>
        <v>-2351</v>
      </c>
      <c r="F4" s="14">
        <f>IFERROR(E4/D4, "")</f>
        <v>-1.5182924860344215E-2</v>
      </c>
      <c r="G4" s="15">
        <v>164313.1</v>
      </c>
      <c r="H4" s="15">
        <f>IF(AND(ISNUMBER(C4),ISNUMBER(G4)), C4-G4, "")</f>
        <v>-11819.100000000006</v>
      </c>
      <c r="I4" s="16">
        <f>IFERROR(H4/G4, "")</f>
        <v>-7.1930357348257715E-2</v>
      </c>
      <c r="J4" s="38"/>
      <c r="K4" s="38"/>
    </row>
    <row r="5" spans="1:11" ht="29.1">
      <c r="A5" s="28" t="str">
        <v>Bunce</v>
      </c>
      <c r="B5" s="29" t="str">
        <v>CT</v>
      </c>
      <c r="C5" s="11">
        <v>248755.25</v>
      </c>
      <c r="D5" s="18">
        <v>244214.5</v>
      </c>
      <c r="E5" s="18">
        <f t="shared" ref="E5:E28" si="0">IF(AND(ISNUMBER(C5),ISNUMBER(D5)), C5-D5, "")</f>
        <v>4540.75</v>
      </c>
      <c r="F5" s="19">
        <f>IFERROR(E5/D5, "")</f>
        <v>1.8593285820457016E-2</v>
      </c>
      <c r="G5" s="20">
        <v>0</v>
      </c>
      <c r="H5" s="20">
        <f t="shared" ref="H5:H28" si="1">IF(AND(ISNUMBER(C5),ISNUMBER(G5)), C5-G5, "")</f>
        <v>248755.25</v>
      </c>
      <c r="I5" s="19" t="str">
        <f t="shared" ref="I5:I28" si="2">IFERROR(H5/G5, "")</f>
        <v/>
      </c>
      <c r="J5" s="49" t="s">
        <v>65</v>
      </c>
      <c r="K5" s="49" t="s">
        <v>66</v>
      </c>
    </row>
    <row r="6" spans="1:11" ht="29.1">
      <c r="A6" s="30" t="str">
        <v>Norcap North</v>
      </c>
      <c r="B6" s="27" t="str">
        <v>CT</v>
      </c>
      <c r="C6" s="24">
        <v>296983.5</v>
      </c>
      <c r="D6" s="13">
        <v>312371.20000000001</v>
      </c>
      <c r="E6" s="13">
        <f t="shared" si="0"/>
        <v>-15387.700000000012</v>
      </c>
      <c r="F6" s="14">
        <f t="shared" ref="F6:F28" si="3">IFERROR(E6/D6, "")</f>
        <v>-4.9260943390427837E-2</v>
      </c>
      <c r="G6" s="15">
        <v>306960.8</v>
      </c>
      <c r="H6" s="15">
        <f t="shared" si="1"/>
        <v>-9977.2999999999884</v>
      </c>
      <c r="I6" s="16">
        <f t="shared" si="2"/>
        <v>-3.2503498818090087E-2</v>
      </c>
      <c r="J6" s="38" t="s">
        <v>67</v>
      </c>
      <c r="K6" s="38" t="s">
        <v>68</v>
      </c>
    </row>
    <row r="7" spans="1:11" ht="15.6">
      <c r="A7" s="28" t="str">
        <v>Norcap South</v>
      </c>
      <c r="B7" s="29" t="str">
        <v>CT</v>
      </c>
      <c r="C7" s="11">
        <v>302199</v>
      </c>
      <c r="D7" s="18">
        <v>335497.09999999998</v>
      </c>
      <c r="E7" s="18">
        <f t="shared" si="0"/>
        <v>-33298.099999999977</v>
      </c>
      <c r="F7" s="19">
        <f t="shared" si="3"/>
        <v>-9.9250038226857934E-2</v>
      </c>
      <c r="G7" s="20">
        <v>300176.09999999998</v>
      </c>
      <c r="H7" s="20">
        <f t="shared" si="1"/>
        <v>2022.9000000000233</v>
      </c>
      <c r="I7" s="19">
        <f t="shared" si="2"/>
        <v>6.7390441810657922E-3</v>
      </c>
      <c r="J7" s="39" t="s">
        <v>69</v>
      </c>
      <c r="K7" s="39" t="s">
        <v>70</v>
      </c>
    </row>
    <row r="8" spans="1:11" ht="15.6">
      <c r="A8" s="30" t="str">
        <v>Platt Hill</v>
      </c>
      <c r="B8" s="27" t="str">
        <v>CT</v>
      </c>
      <c r="C8" s="24">
        <v>318316.34422110597</v>
      </c>
      <c r="D8" s="13">
        <v>321298.8</v>
      </c>
      <c r="E8" s="13">
        <f t="shared" si="0"/>
        <v>-2982.4557788940147</v>
      </c>
      <c r="F8" s="14">
        <f t="shared" si="3"/>
        <v>-9.2824989663640653E-3</v>
      </c>
      <c r="G8" s="15">
        <v>353986.1</v>
      </c>
      <c r="H8" s="15">
        <f t="shared" si="1"/>
        <v>-35669.755778894003</v>
      </c>
      <c r="I8" s="16">
        <f t="shared" si="2"/>
        <v>-0.1007659786045102</v>
      </c>
      <c r="J8" s="38"/>
      <c r="K8" s="38"/>
    </row>
    <row r="9" spans="1:11" ht="15.6">
      <c r="A9" s="28" t="str">
        <v>Powder Hill</v>
      </c>
      <c r="B9" s="29" t="str">
        <v>CT</v>
      </c>
      <c r="C9" s="11">
        <v>291430</v>
      </c>
      <c r="D9" s="18">
        <v>294562.7</v>
      </c>
      <c r="E9" s="18">
        <f t="shared" si="0"/>
        <v>-3132.7000000000116</v>
      </c>
      <c r="F9" s="19">
        <f t="shared" si="3"/>
        <v>-1.063508719875263E-2</v>
      </c>
      <c r="G9" s="20">
        <v>233148</v>
      </c>
      <c r="H9" s="20">
        <f t="shared" si="1"/>
        <v>58282</v>
      </c>
      <c r="I9" s="19">
        <f t="shared" si="2"/>
        <v>0.24997855439463346</v>
      </c>
      <c r="J9" s="39"/>
      <c r="K9" s="39"/>
    </row>
    <row r="10" spans="1:11" ht="15.6">
      <c r="A10" s="30" t="str">
        <v>Sand Road</v>
      </c>
      <c r="B10" s="27" t="str">
        <v>CT</v>
      </c>
      <c r="C10" s="24">
        <v>294103.5</v>
      </c>
      <c r="D10" s="13">
        <v>274033.7</v>
      </c>
      <c r="E10" s="13">
        <f t="shared" si="0"/>
        <v>20069.799999999988</v>
      </c>
      <c r="F10" s="14">
        <f t="shared" si="3"/>
        <v>7.3238437462253683E-2</v>
      </c>
      <c r="G10" s="15">
        <v>277950</v>
      </c>
      <c r="H10" s="15">
        <f t="shared" si="1"/>
        <v>16153.5</v>
      </c>
      <c r="I10" s="16">
        <f>IFERROR(H10/G10, "")</f>
        <v>5.8116567728008633E-2</v>
      </c>
      <c r="J10" s="38"/>
      <c r="K10" s="38"/>
    </row>
    <row r="11" spans="1:11" ht="15.6">
      <c r="A11" s="28" t="str">
        <v>Suffield</v>
      </c>
      <c r="B11" s="29" t="str">
        <v>CT</v>
      </c>
      <c r="C11" s="11">
        <v>312752</v>
      </c>
      <c r="D11" s="18">
        <v>296756.8</v>
      </c>
      <c r="E11" s="18">
        <f t="shared" si="0"/>
        <v>15995.200000000012</v>
      </c>
      <c r="F11" s="19">
        <f t="shared" si="3"/>
        <v>5.3900028575587865E-2</v>
      </c>
      <c r="G11" s="20">
        <v>317507.7</v>
      </c>
      <c r="H11" s="20">
        <f t="shared" si="1"/>
        <v>-4755.7000000000116</v>
      </c>
      <c r="I11" s="19">
        <f t="shared" si="2"/>
        <v>-1.497821942585963E-2</v>
      </c>
      <c r="J11" s="39"/>
      <c r="K11" s="39"/>
    </row>
    <row r="12" spans="1:11" ht="29.1">
      <c r="A12" s="30" t="str">
        <v>Ashby-Duffy</v>
      </c>
      <c r="B12" s="27" t="str">
        <v>MA</v>
      </c>
      <c r="C12" s="24">
        <v>277622</v>
      </c>
      <c r="D12" s="13">
        <v>407337.7</v>
      </c>
      <c r="E12" s="13">
        <f t="shared" si="0"/>
        <v>-129715.70000000001</v>
      </c>
      <c r="F12" s="14">
        <f t="shared" si="3"/>
        <v>-0.31844756819710035</v>
      </c>
      <c r="G12" s="15">
        <v>283256.09999999998</v>
      </c>
      <c r="H12" s="15">
        <f t="shared" si="1"/>
        <v>-5634.0999999999767</v>
      </c>
      <c r="I12" s="16">
        <f t="shared" si="2"/>
        <v>-1.9890480734571919E-2</v>
      </c>
      <c r="J12" s="38" t="s">
        <v>71</v>
      </c>
      <c r="K12" s="38" t="s">
        <v>72</v>
      </c>
    </row>
    <row r="13" spans="1:11" ht="15.6">
      <c r="A13" s="28" t="str">
        <v>Ashland</v>
      </c>
      <c r="B13" s="29" t="str">
        <v>MA</v>
      </c>
      <c r="C13" s="11">
        <v>0</v>
      </c>
      <c r="D13" s="18">
        <v>0</v>
      </c>
      <c r="E13" s="18">
        <f t="shared" si="0"/>
        <v>0</v>
      </c>
      <c r="F13" s="19" t="str">
        <f t="shared" si="3"/>
        <v/>
      </c>
      <c r="G13" s="20">
        <v>0</v>
      </c>
      <c r="H13" s="20">
        <f t="shared" si="1"/>
        <v>0</v>
      </c>
      <c r="I13" s="19" t="str">
        <f t="shared" si="2"/>
        <v/>
      </c>
      <c r="J13" s="39" t="s">
        <v>73</v>
      </c>
      <c r="K13" s="39" t="s">
        <v>74</v>
      </c>
    </row>
    <row r="14" spans="1:11" ht="15.6">
      <c r="A14" s="30" t="str">
        <v>Barrington</v>
      </c>
      <c r="B14" s="27" t="str">
        <v>MA</v>
      </c>
      <c r="C14" s="24">
        <v>60464.5</v>
      </c>
      <c r="D14" s="13">
        <v>57130.36</v>
      </c>
      <c r="E14" s="13">
        <f t="shared" si="0"/>
        <v>3334.1399999999994</v>
      </c>
      <c r="F14" s="14">
        <f t="shared" si="3"/>
        <v>5.8360213378665905E-2</v>
      </c>
      <c r="G14" s="15">
        <v>68910</v>
      </c>
      <c r="H14" s="15">
        <f t="shared" si="1"/>
        <v>-8445.5</v>
      </c>
      <c r="I14" s="16">
        <f t="shared" si="2"/>
        <v>-0.12255840951966333</v>
      </c>
      <c r="J14" s="38"/>
      <c r="K14" s="38"/>
    </row>
    <row r="15" spans="1:11" ht="15.6">
      <c r="A15" s="28" t="str">
        <v>Bedford - 205 Burlington Rd</v>
      </c>
      <c r="B15" s="29" t="str">
        <v>MA</v>
      </c>
      <c r="C15" s="11">
        <v>33585</v>
      </c>
      <c r="D15" s="18">
        <v>0</v>
      </c>
      <c r="E15" s="18">
        <f t="shared" si="0"/>
        <v>33585</v>
      </c>
      <c r="F15" s="19" t="str">
        <f t="shared" si="3"/>
        <v/>
      </c>
      <c r="G15" s="20">
        <v>0</v>
      </c>
      <c r="H15" s="20">
        <f t="shared" si="1"/>
        <v>33585</v>
      </c>
      <c r="I15" s="19" t="str">
        <f t="shared" si="2"/>
        <v/>
      </c>
      <c r="J15" s="39"/>
      <c r="K15" s="39"/>
    </row>
    <row r="16" spans="1:11" ht="15.6">
      <c r="A16" s="30" t="str">
        <v>Billerica - 6 Cook Street</v>
      </c>
      <c r="B16" s="27" t="str">
        <v>MA</v>
      </c>
      <c r="C16" s="24">
        <v>29904</v>
      </c>
      <c r="D16" s="13">
        <v>0</v>
      </c>
      <c r="E16" s="13">
        <f t="shared" si="0"/>
        <v>29904</v>
      </c>
      <c r="F16" s="14" t="str">
        <f t="shared" si="3"/>
        <v/>
      </c>
      <c r="G16" s="15">
        <v>0</v>
      </c>
      <c r="H16" s="15">
        <f t="shared" si="1"/>
        <v>29904</v>
      </c>
      <c r="I16" s="16" t="str">
        <f t="shared" si="2"/>
        <v/>
      </c>
      <c r="J16" s="38"/>
      <c r="K16" s="38"/>
    </row>
    <row r="17" spans="1:11" ht="15.6">
      <c r="A17" s="28" t="str">
        <v>Billerica - 780 Boston Road</v>
      </c>
      <c r="B17" s="29" t="str">
        <v>MA</v>
      </c>
      <c r="C17" s="11">
        <v>33211</v>
      </c>
      <c r="D17" s="18">
        <v>0</v>
      </c>
      <c r="E17" s="18">
        <f t="shared" si="0"/>
        <v>33211</v>
      </c>
      <c r="F17" s="19" t="str">
        <f t="shared" si="3"/>
        <v/>
      </c>
      <c r="G17" s="20">
        <v>0</v>
      </c>
      <c r="H17" s="20">
        <f t="shared" si="1"/>
        <v>33211</v>
      </c>
      <c r="I17" s="19" t="str">
        <f t="shared" si="2"/>
        <v/>
      </c>
      <c r="J17" s="39" t="s">
        <v>75</v>
      </c>
      <c r="K17" s="39" t="s">
        <v>76</v>
      </c>
    </row>
    <row r="18" spans="1:11" ht="15.6">
      <c r="A18" s="30" t="str">
        <v>Cheshire</v>
      </c>
      <c r="B18" s="27" t="str">
        <v>MA</v>
      </c>
      <c r="C18" s="24">
        <v>61338.75</v>
      </c>
      <c r="D18" s="13">
        <v>65677.320000000007</v>
      </c>
      <c r="E18" s="13">
        <f t="shared" si="0"/>
        <v>-4338.570000000007</v>
      </c>
      <c r="F18" s="14">
        <f t="shared" si="3"/>
        <v>-6.6058876945648923E-2</v>
      </c>
      <c r="G18" s="15">
        <v>47756.72</v>
      </c>
      <c r="H18" s="15">
        <f t="shared" si="1"/>
        <v>13582.029999999999</v>
      </c>
      <c r="I18" s="16">
        <f t="shared" si="2"/>
        <v>0.28440039433193903</v>
      </c>
      <c r="J18" s="38"/>
      <c r="K18" s="38"/>
    </row>
    <row r="19" spans="1:11" ht="15.6">
      <c r="A19" s="28" t="str">
        <v>Lilly Lane</v>
      </c>
      <c r="B19" s="29" t="str">
        <v>MA</v>
      </c>
      <c r="C19" s="11">
        <v>149763.5</v>
      </c>
      <c r="D19" s="18">
        <v>143508.20000000001</v>
      </c>
      <c r="E19" s="18">
        <f t="shared" si="0"/>
        <v>6255.2999999999884</v>
      </c>
      <c r="F19" s="19">
        <f t="shared" si="3"/>
        <v>4.3588449997979124E-2</v>
      </c>
      <c r="G19">
        <v>160456.79999999999</v>
      </c>
      <c r="H19" s="20">
        <f t="shared" si="1"/>
        <v>-10693.299999999988</v>
      </c>
      <c r="I19" s="19">
        <f t="shared" si="2"/>
        <v>-6.664285963573989E-2</v>
      </c>
      <c r="J19" s="39"/>
      <c r="K19" s="39"/>
    </row>
    <row r="20" spans="1:11" ht="15.6">
      <c r="A20" s="30" t="str">
        <v>Monument Valley</v>
      </c>
      <c r="B20" s="27" t="str">
        <v>MA</v>
      </c>
      <c r="C20" s="24">
        <v>272097.32</v>
      </c>
      <c r="D20" s="13">
        <v>58919.47</v>
      </c>
      <c r="E20" s="13">
        <f t="shared" si="0"/>
        <v>213177.85</v>
      </c>
      <c r="F20" s="14">
        <f t="shared" si="3"/>
        <v>3.6181223286631736</v>
      </c>
      <c r="G20" s="15">
        <v>0</v>
      </c>
      <c r="H20" s="15">
        <f t="shared" si="1"/>
        <v>272097.32</v>
      </c>
      <c r="I20" s="16" t="str">
        <f t="shared" si="2"/>
        <v/>
      </c>
      <c r="J20" s="38"/>
      <c r="K20" s="38"/>
    </row>
    <row r="21" spans="1:11" ht="15.6">
      <c r="A21" s="28" t="str">
        <v>Nationwide</v>
      </c>
      <c r="B21" s="29" t="str">
        <v>MA</v>
      </c>
      <c r="C21" s="11">
        <v>518663</v>
      </c>
      <c r="D21" s="18">
        <v>446560.9</v>
      </c>
      <c r="E21" s="18">
        <f t="shared" si="0"/>
        <v>72102.099999999977</v>
      </c>
      <c r="F21" s="19">
        <f t="shared" si="3"/>
        <v>0.16146084442233966</v>
      </c>
      <c r="G21" s="20">
        <v>457743.1</v>
      </c>
      <c r="H21" s="20">
        <f t="shared" si="1"/>
        <v>60919.900000000023</v>
      </c>
      <c r="I21" s="19">
        <f t="shared" si="2"/>
        <v>0.1330875331599756</v>
      </c>
      <c r="J21" s="39"/>
      <c r="K21" s="39"/>
    </row>
    <row r="22" spans="1:11" ht="15.6">
      <c r="A22" s="30" t="str">
        <v>Pulpit Hill</v>
      </c>
      <c r="B22" s="27" t="str">
        <v>MA</v>
      </c>
      <c r="C22" s="24">
        <v>668947.19999999995</v>
      </c>
      <c r="D22" s="13">
        <v>639454.69999999995</v>
      </c>
      <c r="E22" s="13">
        <f t="shared" si="0"/>
        <v>29492.5</v>
      </c>
      <c r="F22" s="14">
        <f t="shared" si="3"/>
        <v>4.6121328062801011E-2</v>
      </c>
      <c r="G22" s="15">
        <v>663928.1</v>
      </c>
      <c r="H22" s="15">
        <f t="shared" si="1"/>
        <v>5019.0999999999767</v>
      </c>
      <c r="I22" s="16">
        <f t="shared" si="2"/>
        <v>7.5597041306129037E-3</v>
      </c>
      <c r="J22" s="38" t="s">
        <v>77</v>
      </c>
      <c r="K22" s="38" t="s">
        <v>78</v>
      </c>
    </row>
    <row r="23" spans="1:11" ht="15.6">
      <c r="A23" s="28" t="str">
        <v>Sandwich</v>
      </c>
      <c r="B23" s="29" t="str">
        <v>MA</v>
      </c>
      <c r="C23">
        <v>758711</v>
      </c>
      <c r="D23" s="18">
        <v>0</v>
      </c>
      <c r="E23" s="18">
        <f t="shared" si="0"/>
        <v>758711</v>
      </c>
      <c r="F23" s="19" t="str">
        <f t="shared" si="3"/>
        <v/>
      </c>
      <c r="G23" s="20">
        <v>0</v>
      </c>
      <c r="H23" s="20">
        <f t="shared" si="1"/>
        <v>758711</v>
      </c>
      <c r="I23" s="19" t="str">
        <f t="shared" si="2"/>
        <v/>
      </c>
      <c r="J23" s="39"/>
      <c r="K23" s="39"/>
    </row>
    <row r="24" spans="1:11" ht="15.6">
      <c r="A24" s="30" t="str">
        <v>Sturbridge Barn</v>
      </c>
      <c r="B24" s="27" t="str">
        <v>MA</v>
      </c>
      <c r="C24" s="24">
        <v>150108</v>
      </c>
      <c r="D24" s="13">
        <v>150140.70000000001</v>
      </c>
      <c r="E24" s="13">
        <f t="shared" si="0"/>
        <v>-32.700000000011642</v>
      </c>
      <c r="F24" s="14">
        <f t="shared" si="3"/>
        <v>-2.1779570762632411E-4</v>
      </c>
      <c r="G24" s="15">
        <v>173208.5</v>
      </c>
      <c r="H24" s="15">
        <f t="shared" si="1"/>
        <v>-23100.5</v>
      </c>
      <c r="I24" s="16">
        <f t="shared" si="2"/>
        <v>-0.13336816611194025</v>
      </c>
      <c r="J24" s="38"/>
      <c r="K24" s="38"/>
    </row>
    <row r="25" spans="1:11" ht="15.6">
      <c r="A25" s="28" t="str">
        <v>Sturbridge Garage</v>
      </c>
      <c r="B25" s="29" t="str">
        <v>MA</v>
      </c>
      <c r="C25" s="11">
        <v>73876.5</v>
      </c>
      <c r="D25" s="18">
        <v>72782.36</v>
      </c>
      <c r="E25" s="18">
        <f t="shared" si="0"/>
        <v>1094.1399999999994</v>
      </c>
      <c r="F25" s="19">
        <f t="shared" si="3"/>
        <v>1.5033038225196317E-2</v>
      </c>
      <c r="G25" s="20">
        <v>79262.23</v>
      </c>
      <c r="H25" s="20">
        <f t="shared" si="1"/>
        <v>-5385.7299999999959</v>
      </c>
      <c r="I25" s="19">
        <f t="shared" si="2"/>
        <v>-6.7948252276020957E-2</v>
      </c>
      <c r="J25" s="39"/>
      <c r="K25" s="39"/>
    </row>
    <row r="26" spans="1:11" ht="15.6">
      <c r="A26" s="30" t="str">
        <v>Halsey Valley</v>
      </c>
      <c r="B26" s="27" t="str">
        <v>NY</v>
      </c>
      <c r="C26" s="24">
        <v>664052</v>
      </c>
      <c r="D26" s="13">
        <v>687350.9</v>
      </c>
      <c r="E26" s="13">
        <f t="shared" si="0"/>
        <v>-23298.900000000023</v>
      </c>
      <c r="F26" s="14">
        <f t="shared" si="3"/>
        <v>-3.389666035208512E-2</v>
      </c>
      <c r="G26" s="15">
        <v>697000</v>
      </c>
      <c r="H26" s="15">
        <f t="shared" si="1"/>
        <v>-32948</v>
      </c>
      <c r="I26" s="16">
        <f t="shared" si="2"/>
        <v>-4.7271162123385939E-2</v>
      </c>
      <c r="J26" s="38" t="s">
        <v>79</v>
      </c>
      <c r="K26" s="38" t="s">
        <v>80</v>
      </c>
    </row>
    <row r="27" spans="1:11" ht="72.599999999999994">
      <c r="A27" s="28" t="str">
        <v>Hunt Creek</v>
      </c>
      <c r="B27" s="29" t="str">
        <v>NY</v>
      </c>
      <c r="C27" s="11">
        <v>464245</v>
      </c>
      <c r="D27" s="18">
        <v>492251.1</v>
      </c>
      <c r="E27" s="18">
        <f t="shared" si="0"/>
        <v>-28006.099999999977</v>
      </c>
      <c r="F27" s="19">
        <f t="shared" si="3"/>
        <v>-5.6893930760134367E-2</v>
      </c>
      <c r="G27" s="20">
        <v>498900</v>
      </c>
      <c r="H27" s="20">
        <f t="shared" si="1"/>
        <v>-34655</v>
      </c>
      <c r="I27" s="19">
        <f t="shared" si="2"/>
        <v>-6.9462818200040091E-2</v>
      </c>
      <c r="J27" s="49" t="s">
        <v>81</v>
      </c>
      <c r="K27" s="49" t="s">
        <v>82</v>
      </c>
    </row>
    <row r="28" spans="1:11" ht="57.95">
      <c r="A28" s="30" t="str">
        <v>Smith Creek</v>
      </c>
      <c r="B28" s="27" t="str">
        <v>NY</v>
      </c>
      <c r="C28" s="24">
        <v>490602</v>
      </c>
      <c r="D28" s="13">
        <v>532706.19999999995</v>
      </c>
      <c r="E28" s="13">
        <f t="shared" si="0"/>
        <v>-42104.199999999953</v>
      </c>
      <c r="F28" s="14">
        <f t="shared" si="3"/>
        <v>-7.9038314177683602E-2</v>
      </c>
      <c r="G28" s="15">
        <v>605178.9</v>
      </c>
      <c r="H28" s="15">
        <f t="shared" si="1"/>
        <v>-114576.90000000002</v>
      </c>
      <c r="I28" s="16">
        <f t="shared" si="2"/>
        <v>-0.18932732122683063</v>
      </c>
      <c r="J28" s="38" t="s">
        <v>83</v>
      </c>
      <c r="K28" s="38" t="s">
        <v>84</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45"/>
  <sheetViews>
    <sheetView workbookViewId="0">
      <pane xSplit="2" ySplit="3" topLeftCell="C13" activePane="bottomRight" state="frozen"/>
      <selection pane="bottomRight" activeCell="D19" sqref="D19"/>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85</v>
      </c>
      <c r="E1" s="61"/>
      <c r="F1" s="61"/>
      <c r="G1" s="59" t="s">
        <v>86</v>
      </c>
      <c r="H1" s="59"/>
      <c r="I1" s="59"/>
      <c r="J1" s="4"/>
      <c r="K1" s="4"/>
    </row>
    <row r="2" spans="1:11" ht="19.5" customHeight="1">
      <c r="A2" s="62" t="s">
        <v>2</v>
      </c>
      <c r="B2" s="62"/>
      <c r="C2" s="5">
        <f>SUM(C4:C103)</f>
        <v>6808143.6945139468</v>
      </c>
      <c r="D2" s="5">
        <f>SUM(D4:D103)</f>
        <v>6153090.5700000003</v>
      </c>
      <c r="E2" s="5">
        <f>C2-D2</f>
        <v>655053.12451394647</v>
      </c>
      <c r="F2" s="6">
        <f>IFERROR(E2/D2, 0)</f>
        <v>0.10645920404742985</v>
      </c>
      <c r="G2" s="5">
        <f>SUM(G4:G103)</f>
        <v>7225641.2699999996</v>
      </c>
      <c r="H2" s="7">
        <f>C2-G2</f>
        <v>-417497.57548605278</v>
      </c>
      <c r="I2" s="6">
        <f>IFERROR(H2/G2, 0)</f>
        <v>-5.7780003170023526E-2</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28">Sites[Site]</f>
        <v>Barkhamsted</v>
      </c>
      <c r="B4" s="27" t="str" cm="1">
        <f t="array" ref="B4:B28">Sites[State]</f>
        <v>CT</v>
      </c>
      <c r="C4" s="24">
        <v>157884</v>
      </c>
      <c r="D4" s="13">
        <v>155450.79999999999</v>
      </c>
      <c r="E4" s="13">
        <f>IF(AND(ISNUMBER(C4),ISNUMBER(D4)), C4-D4, "")</f>
        <v>2433.2000000000116</v>
      </c>
      <c r="F4" s="14">
        <f>IFERROR(E4/D4, "")</f>
        <v>1.5652540868236201E-2</v>
      </c>
      <c r="G4" s="15">
        <v>171280.9</v>
      </c>
      <c r="H4" s="15">
        <f>IF(AND(ISNUMBER(C4),ISNUMBER(G4)), C4-G4, "")</f>
        <v>-13396.899999999994</v>
      </c>
      <c r="I4" s="16">
        <f>IFERROR(H4/G4, "")</f>
        <v>-7.821595986476014E-2</v>
      </c>
      <c r="J4" s="38"/>
      <c r="K4" s="38"/>
    </row>
    <row r="5" spans="1:11" ht="15.6">
      <c r="A5" s="28" t="str">
        <v>Bunce</v>
      </c>
      <c r="B5" s="29" t="str">
        <v>CT</v>
      </c>
      <c r="C5" s="11">
        <v>289452</v>
      </c>
      <c r="D5" s="18">
        <v>236881.7</v>
      </c>
      <c r="E5" s="18">
        <f t="shared" ref="E5:E28" si="0">IF(AND(ISNUMBER(C5),ISNUMBER(D5)), C5-D5, "")</f>
        <v>52570.299999999988</v>
      </c>
      <c r="F5" s="19">
        <f>IFERROR(E5/D5, "")</f>
        <v>0.22192638772855811</v>
      </c>
      <c r="G5" s="20">
        <v>0</v>
      </c>
      <c r="H5" s="20">
        <f t="shared" ref="H5:H28" si="1">IF(AND(ISNUMBER(C5),ISNUMBER(G5)), C5-G5, "")</f>
        <v>289452</v>
      </c>
      <c r="I5" s="19" t="str">
        <f t="shared" ref="I5:I28" si="2">IFERROR(H5/G5, "")</f>
        <v/>
      </c>
      <c r="J5" s="39"/>
      <c r="K5" s="39"/>
    </row>
    <row r="6" spans="1:11" ht="29.1">
      <c r="A6" s="30" t="str">
        <v>Norcap North</v>
      </c>
      <c r="B6" s="27" t="str">
        <v>CT</v>
      </c>
      <c r="C6" s="24">
        <v>307060</v>
      </c>
      <c r="D6" s="13">
        <v>292119.5</v>
      </c>
      <c r="E6" s="13">
        <f t="shared" si="0"/>
        <v>14940.5</v>
      </c>
      <c r="F6" s="14">
        <f t="shared" ref="F6:F28" si="3">IFERROR(E6/D6, "")</f>
        <v>5.1145164906827516E-2</v>
      </c>
      <c r="G6" s="15">
        <v>325819.40000000002</v>
      </c>
      <c r="H6" s="15">
        <f t="shared" si="1"/>
        <v>-18759.400000000023</v>
      </c>
      <c r="I6" s="16">
        <f t="shared" si="2"/>
        <v>-5.7576068214477166E-2</v>
      </c>
      <c r="J6" s="38" t="s">
        <v>87</v>
      </c>
      <c r="K6" s="38" t="s">
        <v>88</v>
      </c>
    </row>
    <row r="7" spans="1:11" ht="72.599999999999994">
      <c r="A7" s="28" t="str">
        <v>Norcap South</v>
      </c>
      <c r="B7" s="29" t="str">
        <v>CT</v>
      </c>
      <c r="C7" s="11">
        <v>313759.5</v>
      </c>
      <c r="D7" s="18">
        <v>311746.2</v>
      </c>
      <c r="E7" s="18">
        <f t="shared" si="0"/>
        <v>2013.2999999999884</v>
      </c>
      <c r="F7" s="19">
        <f t="shared" si="3"/>
        <v>6.4581380623083403E-3</v>
      </c>
      <c r="G7" s="20">
        <v>319425.09999999998</v>
      </c>
      <c r="H7" s="20">
        <f t="shared" si="1"/>
        <v>-5665.5999999999767</v>
      </c>
      <c r="I7" s="19">
        <f t="shared" si="2"/>
        <v>-1.7736865387222162E-2</v>
      </c>
      <c r="J7" s="39" t="s">
        <v>89</v>
      </c>
      <c r="K7" s="48" t="s">
        <v>90</v>
      </c>
    </row>
    <row r="8" spans="1:11" ht="15.6">
      <c r="A8" s="30" t="str">
        <v>Platt Hill</v>
      </c>
      <c r="B8" s="27" t="str">
        <v>CT</v>
      </c>
      <c r="C8" s="24">
        <v>331891.65577889403</v>
      </c>
      <c r="D8" s="13">
        <v>331208.90000000002</v>
      </c>
      <c r="E8" s="13">
        <f t="shared" si="0"/>
        <v>682.75577889400302</v>
      </c>
      <c r="F8" s="14">
        <f t="shared" si="3"/>
        <v>2.0614052910232876E-3</v>
      </c>
      <c r="G8" s="15">
        <v>384644.4</v>
      </c>
      <c r="H8" s="15">
        <f t="shared" si="1"/>
        <v>-52752.744221105997</v>
      </c>
      <c r="I8" s="16">
        <f t="shared" si="2"/>
        <v>-0.13714678862114202</v>
      </c>
      <c r="J8" s="38"/>
      <c r="K8" s="38"/>
    </row>
    <row r="9" spans="1:11" ht="48.75" customHeight="1">
      <c r="A9" s="28" t="str">
        <v>Powder Hill</v>
      </c>
      <c r="B9" s="29" t="str">
        <v>CT</v>
      </c>
      <c r="C9" s="11">
        <v>307749.00000000198</v>
      </c>
      <c r="D9" s="18">
        <v>304400.8</v>
      </c>
      <c r="E9" s="18">
        <f t="shared" si="0"/>
        <v>3348.2000000019907</v>
      </c>
      <c r="F9" s="19">
        <f t="shared" si="3"/>
        <v>1.0999314062256049E-2</v>
      </c>
      <c r="G9" s="20">
        <v>265344</v>
      </c>
      <c r="H9" s="20">
        <f t="shared" si="1"/>
        <v>42405.000000001979</v>
      </c>
      <c r="I9" s="19">
        <f t="shared" si="2"/>
        <v>0.15981141461650528</v>
      </c>
      <c r="J9" s="39" t="s">
        <v>91</v>
      </c>
      <c r="K9" s="48" t="s">
        <v>92</v>
      </c>
    </row>
    <row r="10" spans="1:11" ht="15.6">
      <c r="A10" s="30" t="str">
        <v>Sand Road</v>
      </c>
      <c r="B10" s="27" t="str">
        <v>CT</v>
      </c>
      <c r="C10" s="24">
        <v>309752.5</v>
      </c>
      <c r="D10" s="13">
        <v>274136.8</v>
      </c>
      <c r="E10" s="13">
        <f t="shared" si="0"/>
        <v>35615.700000000012</v>
      </c>
      <c r="F10" s="14">
        <f t="shared" si="3"/>
        <v>0.12991944168021227</v>
      </c>
      <c r="G10" s="15">
        <v>308583</v>
      </c>
      <c r="H10" s="15">
        <f t="shared" si="1"/>
        <v>1169.5</v>
      </c>
      <c r="I10" s="16">
        <f t="shared" si="2"/>
        <v>3.7899041748897379E-3</v>
      </c>
      <c r="J10" s="38"/>
      <c r="K10" s="38"/>
    </row>
    <row r="11" spans="1:11" ht="29.1">
      <c r="A11" s="28" t="str">
        <v>Suffield</v>
      </c>
      <c r="B11" s="29" t="str">
        <v>CT</v>
      </c>
      <c r="C11" s="11">
        <v>328549</v>
      </c>
      <c r="D11" s="18">
        <v>309402.90000000002</v>
      </c>
      <c r="E11" s="18">
        <f t="shared" si="0"/>
        <v>19146.099999999977</v>
      </c>
      <c r="F11" s="19">
        <f t="shared" si="3"/>
        <v>6.1880803315030257E-2</v>
      </c>
      <c r="G11" s="20">
        <v>336370.6</v>
      </c>
      <c r="H11" s="20">
        <f t="shared" si="1"/>
        <v>-7821.5999999999767</v>
      </c>
      <c r="I11" s="19">
        <f t="shared" si="2"/>
        <v>-2.325292400703265E-2</v>
      </c>
      <c r="J11" s="39" t="s">
        <v>93</v>
      </c>
      <c r="K11" s="39" t="s">
        <v>94</v>
      </c>
    </row>
    <row r="12" spans="1:11" ht="55.5" customHeight="1">
      <c r="A12" s="30" t="str">
        <v>Ashby-Duffy</v>
      </c>
      <c r="B12" s="27" t="str">
        <v>MA</v>
      </c>
      <c r="C12" s="24">
        <v>302085</v>
      </c>
      <c r="D12" s="13">
        <v>366955.6</v>
      </c>
      <c r="E12" s="13">
        <f t="shared" si="0"/>
        <v>-64870.599999999977</v>
      </c>
      <c r="F12" s="14">
        <f t="shared" si="3"/>
        <v>-0.17678051513589105</v>
      </c>
      <c r="G12" s="15">
        <v>296590.59999999998</v>
      </c>
      <c r="H12" s="15">
        <f t="shared" si="1"/>
        <v>5494.4000000000233</v>
      </c>
      <c r="I12" s="16">
        <f t="shared" si="2"/>
        <v>1.8525199382583346E-2</v>
      </c>
      <c r="J12" s="38" t="s">
        <v>95</v>
      </c>
      <c r="K12" s="38" t="s">
        <v>96</v>
      </c>
    </row>
    <row r="13" spans="1:11" ht="102" customHeight="1">
      <c r="A13" s="28" t="str">
        <v>Ashland</v>
      </c>
      <c r="B13" s="29" t="str">
        <v>MA</v>
      </c>
      <c r="C13" s="11">
        <v>245156.86072457899</v>
      </c>
      <c r="D13" s="18">
        <v>116306.1</v>
      </c>
      <c r="E13" s="18">
        <f t="shared" si="0"/>
        <v>128850.76072457898</v>
      </c>
      <c r="F13" s="19">
        <f t="shared" si="3"/>
        <v>1.1078590093260712</v>
      </c>
      <c r="G13" s="20">
        <v>351693.9</v>
      </c>
      <c r="H13" s="20">
        <f t="shared" si="1"/>
        <v>-106537.03927542103</v>
      </c>
      <c r="I13" s="19">
        <f t="shared" si="2"/>
        <v>-0.30292546807158449</v>
      </c>
      <c r="J13" s="48" t="s">
        <v>97</v>
      </c>
      <c r="K13" s="48" t="s">
        <v>98</v>
      </c>
    </row>
    <row r="14" spans="1:11" ht="57.75" customHeight="1">
      <c r="A14" s="56" t="str">
        <v>Barrington</v>
      </c>
      <c r="B14" s="27" t="str">
        <v>MA</v>
      </c>
      <c r="C14" s="24">
        <v>64661</v>
      </c>
      <c r="D14" s="13">
        <v>64127.95</v>
      </c>
      <c r="E14" s="13">
        <f t="shared" si="0"/>
        <v>533.05000000000291</v>
      </c>
      <c r="F14" s="14">
        <f t="shared" si="3"/>
        <v>8.3122881676398978E-3</v>
      </c>
      <c r="G14" s="15">
        <v>74480</v>
      </c>
      <c r="H14" s="15">
        <f t="shared" si="1"/>
        <v>-9819</v>
      </c>
      <c r="I14" s="16">
        <f t="shared" si="2"/>
        <v>-0.13183404940923737</v>
      </c>
      <c r="J14" s="38" t="s">
        <v>99</v>
      </c>
      <c r="K14" s="38" t="s">
        <v>100</v>
      </c>
    </row>
    <row r="15" spans="1:11" ht="15.6">
      <c r="A15" s="28" t="str">
        <v>Bedford - 205 Burlington Rd</v>
      </c>
      <c r="B15" s="29" t="str">
        <v>MA</v>
      </c>
      <c r="C15" s="11">
        <v>38794</v>
      </c>
      <c r="D15" s="18">
        <v>0</v>
      </c>
      <c r="E15" s="18">
        <f t="shared" si="0"/>
        <v>38794</v>
      </c>
      <c r="F15" s="18" t="str">
        <f t="shared" si="3"/>
        <v/>
      </c>
      <c r="G15" s="20">
        <v>0</v>
      </c>
      <c r="H15" s="20">
        <f t="shared" si="1"/>
        <v>38794</v>
      </c>
      <c r="I15" s="20" t="str">
        <f t="shared" si="2"/>
        <v/>
      </c>
      <c r="J15" s="39"/>
      <c r="K15" s="39"/>
    </row>
    <row r="16" spans="1:11" ht="15.6">
      <c r="A16" s="56" t="str">
        <v>Billerica - 6 Cook Street</v>
      </c>
      <c r="B16" s="27" t="str">
        <v>MA</v>
      </c>
      <c r="C16" s="24">
        <v>35642</v>
      </c>
      <c r="D16" s="13">
        <v>0</v>
      </c>
      <c r="E16" s="13">
        <f t="shared" si="0"/>
        <v>35642</v>
      </c>
      <c r="F16" s="14" t="str">
        <f t="shared" si="3"/>
        <v/>
      </c>
      <c r="G16" s="15">
        <v>0</v>
      </c>
      <c r="H16" s="15">
        <f t="shared" si="1"/>
        <v>35642</v>
      </c>
      <c r="I16" s="16" t="str">
        <f t="shared" si="2"/>
        <v/>
      </c>
      <c r="J16" s="38"/>
      <c r="K16" s="38"/>
    </row>
    <row r="17" spans="1:11" ht="29.1">
      <c r="A17" s="28" t="str">
        <v>Billerica - 780 Boston Road</v>
      </c>
      <c r="B17" s="29" t="str">
        <v>MA</v>
      </c>
      <c r="C17" s="11">
        <v>39610</v>
      </c>
      <c r="D17" s="18">
        <v>0</v>
      </c>
      <c r="E17" s="18">
        <f t="shared" si="0"/>
        <v>39610</v>
      </c>
      <c r="F17" s="18" t="str">
        <f t="shared" si="3"/>
        <v/>
      </c>
      <c r="G17" s="20">
        <v>0</v>
      </c>
      <c r="H17" s="20">
        <f t="shared" si="1"/>
        <v>39610</v>
      </c>
      <c r="I17" s="20" t="str">
        <f t="shared" si="2"/>
        <v/>
      </c>
      <c r="J17" s="39" t="s">
        <v>101</v>
      </c>
      <c r="K17" s="48" t="s">
        <v>102</v>
      </c>
    </row>
    <row r="18" spans="1:11" ht="15.6">
      <c r="A18" s="56" t="str">
        <v>Cheshire</v>
      </c>
      <c r="B18" s="27" t="str">
        <v>MA</v>
      </c>
      <c r="C18" s="24">
        <v>66969.75</v>
      </c>
      <c r="D18" s="13">
        <v>70639.95</v>
      </c>
      <c r="E18" s="13">
        <f t="shared" si="0"/>
        <v>-3670.1999999999971</v>
      </c>
      <c r="F18" s="14">
        <f t="shared" si="3"/>
        <v>-5.1956435416502945E-2</v>
      </c>
      <c r="G18" s="15">
        <v>59983.95</v>
      </c>
      <c r="H18" s="15">
        <f t="shared" si="1"/>
        <v>6985.8000000000029</v>
      </c>
      <c r="I18" s="16">
        <f t="shared" si="2"/>
        <v>0.11646115335852346</v>
      </c>
      <c r="J18" s="38"/>
      <c r="K18" s="38"/>
    </row>
    <row r="19" spans="1:11" ht="34.5" customHeight="1">
      <c r="A19" s="28" t="str">
        <v>Lilly Lane</v>
      </c>
      <c r="B19" s="29" t="str">
        <v>MA</v>
      </c>
      <c r="C19" s="11">
        <v>155710</v>
      </c>
      <c r="D19" s="18">
        <v>147625.5</v>
      </c>
      <c r="E19" s="18">
        <f t="shared" si="0"/>
        <v>8084.5</v>
      </c>
      <c r="F19" s="19">
        <f t="shared" si="3"/>
        <v>5.4763574043779698E-2</v>
      </c>
      <c r="G19" s="20">
        <v>179054.8</v>
      </c>
      <c r="H19" s="20">
        <f t="shared" si="1"/>
        <v>-23344.799999999988</v>
      </c>
      <c r="I19" s="19">
        <f t="shared" si="2"/>
        <v>-0.13037796250086561</v>
      </c>
      <c r="J19" s="48" t="s">
        <v>103</v>
      </c>
      <c r="K19" s="48" t="s">
        <v>104</v>
      </c>
    </row>
    <row r="20" spans="1:11" ht="43.5">
      <c r="A20" s="56" t="str">
        <v>Monument Valley</v>
      </c>
      <c r="B20" s="27" t="str">
        <v>MA</v>
      </c>
      <c r="C20" s="24">
        <v>305805.67801047099</v>
      </c>
      <c r="D20" s="13">
        <v>59124.94</v>
      </c>
      <c r="E20" s="13">
        <f t="shared" si="0"/>
        <v>246680.73801047099</v>
      </c>
      <c r="F20" s="14">
        <f t="shared" si="3"/>
        <v>4.1721943059979596</v>
      </c>
      <c r="G20" s="15">
        <v>0</v>
      </c>
      <c r="H20" s="15">
        <f t="shared" si="1"/>
        <v>305805.67801047099</v>
      </c>
      <c r="I20" s="16" t="str">
        <f t="shared" si="2"/>
        <v/>
      </c>
      <c r="J20" s="38" t="s">
        <v>105</v>
      </c>
      <c r="K20" s="38" t="s">
        <v>106</v>
      </c>
    </row>
    <row r="21" spans="1:11" ht="29.1">
      <c r="A21" s="28" t="str">
        <v>Nationwide</v>
      </c>
      <c r="B21" s="29" t="str">
        <v>MA</v>
      </c>
      <c r="C21" s="11">
        <v>573692.5</v>
      </c>
      <c r="D21" s="18">
        <v>473387.6</v>
      </c>
      <c r="E21" s="18">
        <f t="shared" si="0"/>
        <v>100304.90000000002</v>
      </c>
      <c r="F21" s="19">
        <f t="shared" si="3"/>
        <v>0.21188746811281078</v>
      </c>
      <c r="G21" s="20">
        <v>509562</v>
      </c>
      <c r="H21" s="20">
        <f t="shared" si="1"/>
        <v>64130.5</v>
      </c>
      <c r="I21" s="19">
        <f t="shared" si="2"/>
        <v>0.12585416494950566</v>
      </c>
      <c r="J21" s="39" t="s">
        <v>107</v>
      </c>
      <c r="K21" s="48" t="s">
        <v>108</v>
      </c>
    </row>
    <row r="22" spans="1:11" ht="60.75" customHeight="1">
      <c r="A22" s="56" t="str">
        <v>Pulpit Hill</v>
      </c>
      <c r="B22" s="27" t="str">
        <v>MA</v>
      </c>
      <c r="C22" s="24">
        <v>638849.75</v>
      </c>
      <c r="D22" s="13">
        <v>637225.19999999995</v>
      </c>
      <c r="E22" s="13">
        <f t="shared" si="0"/>
        <v>1624.5500000000466</v>
      </c>
      <c r="F22" s="14">
        <f t="shared" si="3"/>
        <v>2.5494126723174895E-3</v>
      </c>
      <c r="G22" s="15">
        <v>688685.2</v>
      </c>
      <c r="H22" s="15">
        <f t="shared" si="1"/>
        <v>-49835.449999999953</v>
      </c>
      <c r="I22" s="16">
        <f t="shared" si="2"/>
        <v>-7.2363178415914789E-2</v>
      </c>
      <c r="J22" s="38" t="s">
        <v>109</v>
      </c>
      <c r="K22" s="38" t="s">
        <v>110</v>
      </c>
    </row>
    <row r="23" spans="1:11" ht="29.1">
      <c r="A23" s="28" t="str">
        <v>Sandwich</v>
      </c>
      <c r="B23" s="29" t="str">
        <v>MA</v>
      </c>
      <c r="C23" s="11" t="s">
        <v>111</v>
      </c>
      <c r="D23" s="18">
        <v>0</v>
      </c>
      <c r="E23" s="18" t="str">
        <f t="shared" si="0"/>
        <v/>
      </c>
      <c r="F23" s="19" t="str">
        <f t="shared" si="3"/>
        <v/>
      </c>
      <c r="G23" s="20">
        <v>521826</v>
      </c>
      <c r="H23" s="15" t="str">
        <f t="shared" ref="H23" si="4">IF(AND(ISNUMBER(C23),ISNUMBER(G23)), C23-G23, "")</f>
        <v/>
      </c>
      <c r="I23" s="16" t="str">
        <f t="shared" ref="I23" si="5">IFERROR(H23/G23, "")</f>
        <v/>
      </c>
      <c r="J23" s="39" t="s">
        <v>112</v>
      </c>
      <c r="K23" s="48" t="s">
        <v>113</v>
      </c>
    </row>
    <row r="24" spans="1:11" ht="53.25" customHeight="1">
      <c r="A24" s="56" t="str">
        <v>Sturbridge Barn</v>
      </c>
      <c r="B24" s="27" t="str">
        <v>MA</v>
      </c>
      <c r="C24" s="24">
        <v>154149</v>
      </c>
      <c r="D24" s="13">
        <v>154864.9</v>
      </c>
      <c r="E24" s="13">
        <f t="shared" si="0"/>
        <v>-715.89999999999418</v>
      </c>
      <c r="F24" s="14">
        <f t="shared" si="3"/>
        <v>-4.622738916307015E-3</v>
      </c>
      <c r="G24" s="15">
        <v>177649.4</v>
      </c>
      <c r="H24" s="15">
        <f t="shared" si="1"/>
        <v>-23500.399999999994</v>
      </c>
      <c r="I24" s="16">
        <f t="shared" si="2"/>
        <v>-0.13228527650529637</v>
      </c>
      <c r="J24" s="38" t="s">
        <v>114</v>
      </c>
      <c r="K24" s="38" t="s">
        <v>115</v>
      </c>
    </row>
    <row r="25" spans="1:11" ht="29.1">
      <c r="A25" s="28" t="str">
        <v>Sturbridge Garage</v>
      </c>
      <c r="B25" s="29" t="str">
        <v>MA</v>
      </c>
      <c r="C25" s="11">
        <v>79604.5</v>
      </c>
      <c r="D25" s="18">
        <v>74429.429999999993</v>
      </c>
      <c r="E25" s="18">
        <f t="shared" si="0"/>
        <v>5175.070000000007</v>
      </c>
      <c r="F25" s="19">
        <f t="shared" si="3"/>
        <v>6.9529888916252711E-2</v>
      </c>
      <c r="G25" s="20">
        <v>88448.22</v>
      </c>
      <c r="H25" s="20">
        <f t="shared" si="1"/>
        <v>-8843.7200000000012</v>
      </c>
      <c r="I25" s="19">
        <f t="shared" si="2"/>
        <v>-9.9987540732871735E-2</v>
      </c>
      <c r="J25" s="39" t="s">
        <v>116</v>
      </c>
      <c r="K25" s="39" t="s">
        <v>117</v>
      </c>
    </row>
    <row r="26" spans="1:11" ht="15.6">
      <c r="A26" s="56" t="str">
        <v>Halsey Valley</v>
      </c>
      <c r="B26" s="27" t="str">
        <v>NY</v>
      </c>
      <c r="C26" s="24">
        <v>693683</v>
      </c>
      <c r="D26" s="13">
        <v>696330.8</v>
      </c>
      <c r="E26" s="13">
        <f t="shared" si="0"/>
        <v>-2647.8000000000466</v>
      </c>
      <c r="F26" s="14">
        <f t="shared" si="3"/>
        <v>-3.802503063199339E-3</v>
      </c>
      <c r="G26" s="15">
        <v>868000</v>
      </c>
      <c r="H26" s="15">
        <f t="shared" si="1"/>
        <v>-174317</v>
      </c>
      <c r="I26" s="16">
        <f t="shared" si="2"/>
        <v>-0.20082603686635944</v>
      </c>
      <c r="J26" s="38" t="s">
        <v>118</v>
      </c>
      <c r="K26" s="38" t="s">
        <v>119</v>
      </c>
    </row>
    <row r="27" spans="1:11" ht="29.1">
      <c r="A27" s="28" t="str">
        <v>Hunt Creek</v>
      </c>
      <c r="B27" s="29" t="str">
        <v>NY</v>
      </c>
      <c r="C27" s="11">
        <v>521834</v>
      </c>
      <c r="D27" s="18">
        <v>517166.8</v>
      </c>
      <c r="E27" s="18">
        <f t="shared" si="0"/>
        <v>4667.2000000000116</v>
      </c>
      <c r="F27" s="19">
        <f t="shared" si="3"/>
        <v>9.0245545537726152E-3</v>
      </c>
      <c r="G27" s="20">
        <v>629400</v>
      </c>
      <c r="H27" s="20">
        <f t="shared" si="1"/>
        <v>-107566</v>
      </c>
      <c r="I27" s="19">
        <f t="shared" si="2"/>
        <v>-0.17090244677470606</v>
      </c>
      <c r="J27" s="39" t="s">
        <v>120</v>
      </c>
      <c r="K27" s="39" t="s">
        <v>121</v>
      </c>
    </row>
    <row r="28" spans="1:11" ht="15.6">
      <c r="A28" s="56" t="str">
        <v>Smith Creek</v>
      </c>
      <c r="B28" s="27" t="str">
        <v>NY</v>
      </c>
      <c r="C28" s="24">
        <v>545799</v>
      </c>
      <c r="D28" s="13">
        <v>559558.19999999995</v>
      </c>
      <c r="E28" s="13">
        <f t="shared" si="0"/>
        <v>-13759.199999999953</v>
      </c>
      <c r="F28" s="14">
        <f t="shared" si="3"/>
        <v>-2.4589399279645898E-2</v>
      </c>
      <c r="G28" s="15">
        <v>668799.80000000005</v>
      </c>
      <c r="H28" s="15">
        <f t="shared" si="1"/>
        <v>-123000.80000000005</v>
      </c>
      <c r="I28" s="16">
        <f t="shared" si="2"/>
        <v>-0.18391273442366465</v>
      </c>
      <c r="J28" s="38" t="s">
        <v>122</v>
      </c>
      <c r="K28" s="38" t="s">
        <v>123</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45"/>
  <sheetViews>
    <sheetView workbookViewId="0">
      <pane xSplit="2" ySplit="3" topLeftCell="C15" activePane="bottomRight" state="frozen"/>
      <selection pane="bottomRight" activeCell="F21" sqref="F21"/>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124</v>
      </c>
      <c r="E1" s="61"/>
      <c r="F1" s="61"/>
      <c r="G1" s="59" t="s">
        <v>125</v>
      </c>
      <c r="H1" s="59"/>
      <c r="I1" s="59"/>
      <c r="J1" s="4"/>
      <c r="K1" s="4"/>
    </row>
    <row r="2" spans="1:11" ht="19.5" customHeight="1">
      <c r="A2" s="62" t="s">
        <v>2</v>
      </c>
      <c r="B2" s="62"/>
      <c r="C2" s="5">
        <f>SUM(C4:C103)</f>
        <v>9079070.9147776701</v>
      </c>
      <c r="D2" s="5">
        <f>SUM(D4:D103)</f>
        <v>7601050.3899999997</v>
      </c>
      <c r="E2" s="5">
        <f>C2-D2</f>
        <v>1478020.5247776704</v>
      </c>
      <c r="F2" s="6">
        <f>IFERROR(E2/D2, 0)</f>
        <v>0.19444951012588543</v>
      </c>
      <c r="G2" s="5">
        <f>SUM(G4:G103)</f>
        <v>7556275.2300000004</v>
      </c>
      <c r="H2" s="7">
        <f>C2-G2</f>
        <v>1522795.6847776696</v>
      </c>
      <c r="I2" s="6">
        <f>IFERROR(H2/G2, 0)</f>
        <v>0.20152729200914371</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28">Sites[Site]</f>
        <v>Barkhamsted</v>
      </c>
      <c r="B4" s="27" t="str" cm="1">
        <f t="array" ref="B4:B28">Sites[State]</f>
        <v>CT</v>
      </c>
      <c r="C4" s="24">
        <v>174396</v>
      </c>
      <c r="D4" s="13">
        <v>179679.3</v>
      </c>
      <c r="E4" s="13">
        <f>IF(AND(ISNUMBER(C4),ISNUMBER(D4)), C4-D4, "")</f>
        <v>-5283.2999999999884</v>
      </c>
      <c r="F4" s="14">
        <f>IFERROR(E4/D4, "")</f>
        <v>-2.940405489113097E-2</v>
      </c>
      <c r="G4" s="15">
        <v>187813.4</v>
      </c>
      <c r="H4" s="15">
        <f>IF(AND(ISNUMBER(C4),ISNUMBER(G4)), C4-G4, "")</f>
        <v>-13417.399999999994</v>
      </c>
      <c r="I4" s="16">
        <f>IFERROR(H4/G4, "")</f>
        <v>-7.1440056992738504E-2</v>
      </c>
      <c r="J4" s="38" t="s">
        <v>126</v>
      </c>
      <c r="K4" s="38" t="s">
        <v>127</v>
      </c>
    </row>
    <row r="5" spans="1:11" ht="15.6">
      <c r="A5" s="28" t="str">
        <v>Bunce</v>
      </c>
      <c r="B5" s="29" t="str">
        <v>CT</v>
      </c>
      <c r="C5" s="11">
        <v>374138.75</v>
      </c>
      <c r="D5" s="18">
        <v>294274.7</v>
      </c>
      <c r="E5" s="18">
        <f t="shared" ref="E5:E28" si="0">IF(AND(ISNUMBER(C5),ISNUMBER(D5)), C5-D5, "")</f>
        <v>79864.049999999988</v>
      </c>
      <c r="F5" s="19">
        <f>IFERROR(E5/D5, "")</f>
        <v>0.27139285164507854</v>
      </c>
      <c r="G5" s="20">
        <v>0</v>
      </c>
      <c r="H5" s="20">
        <f t="shared" ref="H5:H28" si="1">IF(AND(ISNUMBER(C5),ISNUMBER(G5)), C5-G5, "")</f>
        <v>374138.75</v>
      </c>
      <c r="I5" s="19" t="str">
        <f t="shared" ref="I5:I28" si="2">IFERROR(H5/G5, "")</f>
        <v/>
      </c>
      <c r="J5" s="39" t="s">
        <v>128</v>
      </c>
      <c r="K5" s="39" t="s">
        <v>129</v>
      </c>
    </row>
    <row r="6" spans="1:11" ht="29.1">
      <c r="A6" s="56" t="str">
        <v>Norcap North</v>
      </c>
      <c r="B6" s="27" t="str">
        <v>CT</v>
      </c>
      <c r="C6" s="24">
        <v>366441</v>
      </c>
      <c r="D6" s="13">
        <v>334709.09999999998</v>
      </c>
      <c r="E6" s="13">
        <f t="shared" si="0"/>
        <v>31731.900000000023</v>
      </c>
      <c r="F6" s="14">
        <f t="shared" ref="F6:F28" si="3">IFERROR(E6/D6, "")</f>
        <v>9.4804413743157942E-2</v>
      </c>
      <c r="G6" s="15">
        <v>363260.7</v>
      </c>
      <c r="H6" s="15">
        <f t="shared" si="1"/>
        <v>3180.2999999999884</v>
      </c>
      <c r="I6" s="16">
        <f t="shared" si="2"/>
        <v>8.7548694367433309E-3</v>
      </c>
      <c r="J6" s="38" t="s">
        <v>130</v>
      </c>
      <c r="K6" s="38" t="s">
        <v>131</v>
      </c>
    </row>
    <row r="7" spans="1:11" ht="87">
      <c r="A7" s="28" t="str">
        <v>Norcap South</v>
      </c>
      <c r="B7" s="29" t="str">
        <v>CT</v>
      </c>
      <c r="C7" s="11">
        <v>370295</v>
      </c>
      <c r="D7" s="18">
        <v>353336.4</v>
      </c>
      <c r="E7" s="18">
        <f t="shared" si="0"/>
        <v>16958.599999999977</v>
      </c>
      <c r="F7" s="19">
        <f t="shared" si="3"/>
        <v>4.7995621170080341E-2</v>
      </c>
      <c r="G7" s="20">
        <v>355513.2</v>
      </c>
      <c r="H7" s="20">
        <f t="shared" si="1"/>
        <v>14781.799999999988</v>
      </c>
      <c r="I7" s="19">
        <f t="shared" si="2"/>
        <v>4.1578765570448546E-2</v>
      </c>
      <c r="J7" s="39" t="s">
        <v>132</v>
      </c>
      <c r="K7" s="48" t="s">
        <v>133</v>
      </c>
    </row>
    <row r="8" spans="1:11" ht="15.6">
      <c r="A8" s="56" t="str">
        <v>Platt Hill</v>
      </c>
      <c r="B8" s="27" t="str">
        <v>CT</v>
      </c>
      <c r="C8" s="24">
        <v>396267</v>
      </c>
      <c r="D8" s="13">
        <v>396413</v>
      </c>
      <c r="E8" s="13">
        <f t="shared" si="0"/>
        <v>-146</v>
      </c>
      <c r="F8" s="14">
        <f t="shared" si="3"/>
        <v>-3.683027549550595E-4</v>
      </c>
      <c r="G8" s="15">
        <v>422036.3</v>
      </c>
      <c r="H8" s="15">
        <f t="shared" si="1"/>
        <v>-25769.299999999988</v>
      </c>
      <c r="I8" s="16">
        <f t="shared" si="2"/>
        <v>-6.1059439673791065E-2</v>
      </c>
      <c r="J8" s="38"/>
      <c r="K8" s="38"/>
    </row>
    <row r="9" spans="1:11" ht="29.1">
      <c r="A9" s="28" t="str">
        <v>Powder Hill</v>
      </c>
      <c r="B9" s="29" t="str">
        <v>CT</v>
      </c>
      <c r="C9" s="11">
        <v>371290.99999999802</v>
      </c>
      <c r="D9" s="18">
        <v>364769</v>
      </c>
      <c r="E9" s="18">
        <f t="shared" si="0"/>
        <v>6521.9999999980209</v>
      </c>
      <c r="F9" s="19">
        <f t="shared" si="3"/>
        <v>1.7879808865331265E-2</v>
      </c>
      <c r="G9" s="20">
        <v>285876</v>
      </c>
      <c r="H9" s="20">
        <f t="shared" si="1"/>
        <v>85414.999999998021</v>
      </c>
      <c r="I9" s="19">
        <f t="shared" si="2"/>
        <v>0.29878338860204434</v>
      </c>
      <c r="J9" s="39" t="s">
        <v>134</v>
      </c>
      <c r="K9" s="48" t="s">
        <v>135</v>
      </c>
    </row>
    <row r="10" spans="1:11" ht="15.6">
      <c r="A10" s="56" t="str">
        <v>Sand Road</v>
      </c>
      <c r="B10" s="27" t="str">
        <v>CT</v>
      </c>
      <c r="C10" s="24">
        <v>402004</v>
      </c>
      <c r="D10" s="13">
        <v>350805.7</v>
      </c>
      <c r="E10" s="13">
        <f t="shared" si="0"/>
        <v>51198.299999999988</v>
      </c>
      <c r="F10" s="14">
        <f t="shared" si="3"/>
        <v>0.14594489200146973</v>
      </c>
      <c r="G10" s="15">
        <v>345518</v>
      </c>
      <c r="H10" s="15">
        <f t="shared" si="1"/>
        <v>56486</v>
      </c>
      <c r="I10" s="16">
        <f t="shared" si="2"/>
        <v>0.16348207618705826</v>
      </c>
      <c r="J10" s="38"/>
      <c r="K10" s="38"/>
    </row>
    <row r="11" spans="1:11" ht="32.25" customHeight="1">
      <c r="A11" s="28" t="str">
        <v>Suffield</v>
      </c>
      <c r="B11" s="29" t="str">
        <v>CT</v>
      </c>
      <c r="C11" s="11">
        <v>369211</v>
      </c>
      <c r="D11" s="18">
        <v>346940.2</v>
      </c>
      <c r="E11" s="18">
        <f t="shared" si="0"/>
        <v>22270.799999999988</v>
      </c>
      <c r="F11" s="19">
        <f t="shared" si="3"/>
        <v>6.4192042317379155E-2</v>
      </c>
      <c r="G11" s="20">
        <v>372477.3</v>
      </c>
      <c r="H11" s="20">
        <f t="shared" si="1"/>
        <v>-3266.2999999999884</v>
      </c>
      <c r="I11" s="19">
        <f t="shared" si="2"/>
        <v>-8.7691249909725728E-3</v>
      </c>
      <c r="J11" s="39" t="s">
        <v>136</v>
      </c>
      <c r="K11" s="48" t="s">
        <v>137</v>
      </c>
    </row>
    <row r="12" spans="1:11" ht="15.6">
      <c r="A12" s="56" t="str">
        <v>Ashby-Duffy</v>
      </c>
      <c r="B12" s="27" t="str">
        <v>MA</v>
      </c>
      <c r="C12" s="24">
        <v>332695.5</v>
      </c>
      <c r="D12" s="13">
        <v>357298</v>
      </c>
      <c r="E12" s="13">
        <f t="shared" si="0"/>
        <v>-24602.5</v>
      </c>
      <c r="F12" s="14">
        <f t="shared" si="3"/>
        <v>-6.8857088480763953E-2</v>
      </c>
      <c r="G12" s="15">
        <v>348234.4</v>
      </c>
      <c r="H12" s="15">
        <f t="shared" si="1"/>
        <v>-15538.900000000023</v>
      </c>
      <c r="I12" s="16">
        <f t="shared" si="2"/>
        <v>-4.4621955786102757E-2</v>
      </c>
      <c r="J12" s="38"/>
      <c r="K12" s="38"/>
    </row>
    <row r="13" spans="1:11" ht="218.25" customHeight="1">
      <c r="A13" s="28" t="str">
        <v>Ashland</v>
      </c>
      <c r="B13" s="29" t="str">
        <v>MA</v>
      </c>
      <c r="C13" s="11">
        <v>452990.13927542203</v>
      </c>
      <c r="D13" s="18">
        <v>284266.8</v>
      </c>
      <c r="E13" s="18">
        <f t="shared" si="0"/>
        <v>168723.33927542204</v>
      </c>
      <c r="F13" s="19">
        <f t="shared" si="3"/>
        <v>0.59353867308958363</v>
      </c>
      <c r="G13" s="20">
        <v>397972.9</v>
      </c>
      <c r="H13" s="20">
        <f t="shared" si="1"/>
        <v>55017.239275422005</v>
      </c>
      <c r="I13" s="19">
        <f t="shared" si="2"/>
        <v>0.13824368261110745</v>
      </c>
      <c r="J13" s="48" t="s">
        <v>138</v>
      </c>
      <c r="K13" s="48" t="s">
        <v>139</v>
      </c>
    </row>
    <row r="14" spans="1:11" ht="15.6">
      <c r="A14" s="56" t="str">
        <v>Barrington</v>
      </c>
      <c r="B14" s="27" t="str">
        <v>MA</v>
      </c>
      <c r="C14" s="24">
        <v>86339.5</v>
      </c>
      <c r="D14" s="13">
        <v>77217.490000000005</v>
      </c>
      <c r="E14" s="13">
        <f t="shared" si="0"/>
        <v>9122.0099999999948</v>
      </c>
      <c r="F14" s="14">
        <f t="shared" si="3"/>
        <v>0.11813398752018479</v>
      </c>
      <c r="G14" s="15">
        <v>88630</v>
      </c>
      <c r="H14" s="15">
        <f t="shared" si="1"/>
        <v>-2290.5</v>
      </c>
      <c r="I14" s="16">
        <f t="shared" si="2"/>
        <v>-2.5843393884689158E-2</v>
      </c>
      <c r="J14" s="38"/>
      <c r="K14" s="38"/>
    </row>
    <row r="15" spans="1:11" ht="74.25" customHeight="1">
      <c r="A15" s="28" t="str">
        <v>Bedford - 205 Burlington Rd</v>
      </c>
      <c r="B15" s="29" t="str">
        <v>MA</v>
      </c>
      <c r="C15" s="11">
        <v>42474</v>
      </c>
      <c r="D15" s="18">
        <v>0</v>
      </c>
      <c r="E15" s="18">
        <f t="shared" si="0"/>
        <v>42474</v>
      </c>
      <c r="F15" s="19" t="str">
        <f t="shared" si="3"/>
        <v/>
      </c>
      <c r="G15" s="20">
        <v>0</v>
      </c>
      <c r="H15" s="20">
        <f t="shared" si="1"/>
        <v>42474</v>
      </c>
      <c r="I15" s="19" t="str">
        <f t="shared" si="2"/>
        <v/>
      </c>
      <c r="J15" s="39" t="s">
        <v>140</v>
      </c>
      <c r="K15" s="48" t="s">
        <v>141</v>
      </c>
    </row>
    <row r="16" spans="1:11" ht="15.6">
      <c r="A16" s="56" t="str">
        <v>Billerica - 6 Cook Street</v>
      </c>
      <c r="B16" s="27" t="str">
        <v>MA</v>
      </c>
      <c r="C16" s="24">
        <v>36051</v>
      </c>
      <c r="D16" s="13">
        <v>0</v>
      </c>
      <c r="E16" s="13">
        <f t="shared" si="0"/>
        <v>36051</v>
      </c>
      <c r="F16" s="14" t="str">
        <f t="shared" si="3"/>
        <v/>
      </c>
      <c r="G16" s="15">
        <v>0</v>
      </c>
      <c r="H16" s="15">
        <f t="shared" si="1"/>
        <v>36051</v>
      </c>
      <c r="I16" s="16" t="str">
        <f t="shared" si="2"/>
        <v/>
      </c>
      <c r="J16" s="38" t="s">
        <v>142</v>
      </c>
      <c r="K16" s="38" t="s">
        <v>143</v>
      </c>
    </row>
    <row r="17" spans="1:11" ht="29.1">
      <c r="A17" s="28" t="str">
        <v>Billerica - 780 Boston Road</v>
      </c>
      <c r="B17" s="29" t="str">
        <v>MA</v>
      </c>
      <c r="C17" s="11">
        <v>45941</v>
      </c>
      <c r="D17" s="18">
        <v>0</v>
      </c>
      <c r="E17" s="18">
        <f t="shared" si="0"/>
        <v>45941</v>
      </c>
      <c r="F17" s="19" t="str">
        <f t="shared" si="3"/>
        <v/>
      </c>
      <c r="G17" s="20">
        <v>0</v>
      </c>
      <c r="H17" s="20">
        <f t="shared" si="1"/>
        <v>45941</v>
      </c>
      <c r="I17" s="19" t="str">
        <f t="shared" si="2"/>
        <v/>
      </c>
      <c r="J17" s="39" t="s">
        <v>144</v>
      </c>
      <c r="K17" s="48" t="s">
        <v>145</v>
      </c>
    </row>
    <row r="18" spans="1:11" ht="12.75" customHeight="1">
      <c r="A18" s="56" t="str">
        <v>Cheshire</v>
      </c>
      <c r="B18" s="27" t="str">
        <v>MA</v>
      </c>
      <c r="C18" s="24">
        <v>86900</v>
      </c>
      <c r="D18" s="13">
        <v>90124.36</v>
      </c>
      <c r="E18" s="13">
        <f t="shared" si="0"/>
        <v>-3224.3600000000006</v>
      </c>
      <c r="F18" s="14">
        <f t="shared" si="3"/>
        <v>-3.5776786653464177E-2</v>
      </c>
      <c r="G18" s="15">
        <v>72538.91</v>
      </c>
      <c r="H18" s="15">
        <f t="shared" si="1"/>
        <v>14361.089999999997</v>
      </c>
      <c r="I18" s="16">
        <f t="shared" si="2"/>
        <v>0.19797774739102084</v>
      </c>
      <c r="J18" s="38"/>
      <c r="K18" s="38"/>
    </row>
    <row r="19" spans="1:11" ht="15.6">
      <c r="A19" s="28" t="str">
        <v>Lilly Lane</v>
      </c>
      <c r="B19" s="29" t="str">
        <v>MA</v>
      </c>
      <c r="C19" s="11">
        <v>187341</v>
      </c>
      <c r="D19" s="18">
        <v>170623</v>
      </c>
      <c r="E19" s="18">
        <f t="shared" si="0"/>
        <v>16718</v>
      </c>
      <c r="F19" s="19">
        <f t="shared" si="3"/>
        <v>9.7982100889094675E-2</v>
      </c>
      <c r="G19" s="20">
        <v>175820.9</v>
      </c>
      <c r="H19" s="20">
        <f t="shared" si="1"/>
        <v>11520.100000000006</v>
      </c>
      <c r="I19" s="19">
        <f t="shared" si="2"/>
        <v>6.552178950284071E-2</v>
      </c>
      <c r="J19" s="39"/>
      <c r="K19" s="39"/>
    </row>
    <row r="20" spans="1:11" ht="43.5">
      <c r="A20" s="56" t="str">
        <v>Monument Valley</v>
      </c>
      <c r="B20" s="27" t="str">
        <v>MA</v>
      </c>
      <c r="C20" s="24">
        <v>345191.52550225001</v>
      </c>
      <c r="D20" s="13">
        <v>62239.27</v>
      </c>
      <c r="E20" s="13">
        <f t="shared" si="0"/>
        <v>282952.25550224999</v>
      </c>
      <c r="F20" s="14">
        <f t="shared" si="3"/>
        <v>4.5462013854315773</v>
      </c>
      <c r="G20" s="15">
        <v>0</v>
      </c>
      <c r="H20" s="15">
        <f t="shared" si="1"/>
        <v>345191.52550225001</v>
      </c>
      <c r="I20" s="16" t="str">
        <f t="shared" si="2"/>
        <v/>
      </c>
      <c r="J20" s="38" t="s">
        <v>146</v>
      </c>
      <c r="K20" s="38" t="s">
        <v>147</v>
      </c>
    </row>
    <row r="21" spans="1:11" ht="15.6">
      <c r="A21" s="28" t="str">
        <v>Nationwide</v>
      </c>
      <c r="B21" s="29" t="str">
        <v>MA</v>
      </c>
      <c r="C21" s="11">
        <v>688778.5</v>
      </c>
      <c r="D21" s="18">
        <v>520436.9</v>
      </c>
      <c r="E21" s="18">
        <f t="shared" si="0"/>
        <v>168341.59999999998</v>
      </c>
      <c r="F21" s="19">
        <f t="shared" si="3"/>
        <v>0.32346207580592379</v>
      </c>
      <c r="G21" s="20">
        <v>551905.19999999995</v>
      </c>
      <c r="H21" s="20">
        <f t="shared" si="1"/>
        <v>136873.30000000005</v>
      </c>
      <c r="I21" s="19">
        <f t="shared" si="2"/>
        <v>0.2480014683681184</v>
      </c>
      <c r="J21" s="39" t="s">
        <v>148</v>
      </c>
      <c r="K21" s="39" t="s">
        <v>149</v>
      </c>
    </row>
    <row r="22" spans="1:11" ht="29.1">
      <c r="A22" s="56" t="str">
        <v>Pulpit Hill</v>
      </c>
      <c r="B22" s="27" t="str">
        <v>MA</v>
      </c>
      <c r="C22" s="24">
        <v>778918.25</v>
      </c>
      <c r="D22" s="13">
        <v>792881.8</v>
      </c>
      <c r="E22" s="13">
        <f t="shared" si="0"/>
        <v>-13963.550000000047</v>
      </c>
      <c r="F22" s="14">
        <f t="shared" si="3"/>
        <v>-1.7611136994190112E-2</v>
      </c>
      <c r="G22" s="15">
        <v>784998.9</v>
      </c>
      <c r="H22" s="15">
        <f t="shared" si="1"/>
        <v>-6080.6500000000233</v>
      </c>
      <c r="I22" s="16">
        <f t="shared" si="2"/>
        <v>-7.7460618097681703E-3</v>
      </c>
      <c r="J22" s="38" t="s">
        <v>150</v>
      </c>
      <c r="K22" s="38" t="s">
        <v>151</v>
      </c>
    </row>
    <row r="23" spans="1:11" ht="15.6">
      <c r="A23" s="28" t="str">
        <v>Sandwich</v>
      </c>
      <c r="B23" s="29" t="str">
        <v>MA</v>
      </c>
      <c r="C23" s="11">
        <v>554953</v>
      </c>
      <c r="D23" s="18">
        <v>0</v>
      </c>
      <c r="E23" s="18">
        <f t="shared" si="0"/>
        <v>554953</v>
      </c>
      <c r="F23" s="19" t="str">
        <f t="shared" si="3"/>
        <v/>
      </c>
      <c r="G23" s="20">
        <v>0</v>
      </c>
      <c r="H23" s="20">
        <f t="shared" si="1"/>
        <v>554953</v>
      </c>
      <c r="I23" s="19" t="str">
        <f t="shared" si="2"/>
        <v/>
      </c>
      <c r="J23" s="39" t="s">
        <v>152</v>
      </c>
      <c r="K23" s="39" t="s">
        <v>153</v>
      </c>
    </row>
    <row r="24" spans="1:11" ht="15.6">
      <c r="A24" s="56" t="str">
        <v>Sturbridge Barn</v>
      </c>
      <c r="B24" s="27" t="str">
        <v>MA</v>
      </c>
      <c r="C24" s="24">
        <v>183646</v>
      </c>
      <c r="D24" s="13">
        <v>179311.5</v>
      </c>
      <c r="E24" s="13">
        <f t="shared" si="0"/>
        <v>4334.5</v>
      </c>
      <c r="F24" s="14">
        <f t="shared" si="3"/>
        <v>2.4173017346907476E-2</v>
      </c>
      <c r="G24" s="15">
        <v>200705.7</v>
      </c>
      <c r="H24" s="15">
        <f t="shared" si="1"/>
        <v>-17059.700000000012</v>
      </c>
      <c r="I24" s="16">
        <f t="shared" si="2"/>
        <v>-8.4998582501643008E-2</v>
      </c>
      <c r="J24" s="38"/>
      <c r="K24" s="38"/>
    </row>
    <row r="25" spans="1:11" ht="15.6">
      <c r="A25" s="28" t="str">
        <v>Sturbridge Garage</v>
      </c>
      <c r="B25" s="29" t="str">
        <v>MA</v>
      </c>
      <c r="C25" s="11">
        <v>92582.75</v>
      </c>
      <c r="D25" s="18">
        <v>85768.17</v>
      </c>
      <c r="E25" s="18">
        <f t="shared" si="0"/>
        <v>6814.5800000000017</v>
      </c>
      <c r="F25" s="19">
        <f t="shared" si="3"/>
        <v>7.9453484900050941E-2</v>
      </c>
      <c r="G25" s="20">
        <v>86851.12</v>
      </c>
      <c r="H25" s="20">
        <f t="shared" si="1"/>
        <v>5731.6300000000047</v>
      </c>
      <c r="I25" s="19">
        <f t="shared" si="2"/>
        <v>6.5993737328891147E-2</v>
      </c>
      <c r="J25" s="39"/>
      <c r="K25" s="39"/>
    </row>
    <row r="26" spans="1:11" ht="57.95">
      <c r="A26" s="56" t="str">
        <v>Halsey Valley</v>
      </c>
      <c r="B26" s="27" t="str">
        <v>NY</v>
      </c>
      <c r="C26" s="24">
        <v>923966</v>
      </c>
      <c r="D26" s="13">
        <v>928661.1</v>
      </c>
      <c r="E26" s="13">
        <f t="shared" si="0"/>
        <v>-4695.0999999999767</v>
      </c>
      <c r="F26" s="14">
        <f t="shared" si="3"/>
        <v>-5.0557733063223784E-3</v>
      </c>
      <c r="G26" s="15">
        <v>1022000</v>
      </c>
      <c r="H26" s="15">
        <f t="shared" si="1"/>
        <v>-98034</v>
      </c>
      <c r="I26" s="16">
        <f t="shared" si="2"/>
        <v>-9.5923679060665359E-2</v>
      </c>
      <c r="J26" s="38" t="s">
        <v>154</v>
      </c>
      <c r="K26" s="38" t="s">
        <v>155</v>
      </c>
    </row>
    <row r="27" spans="1:11" ht="72.599999999999994">
      <c r="A27" s="28" t="str">
        <v>Hunt Creek</v>
      </c>
      <c r="B27" s="29" t="str">
        <v>NY</v>
      </c>
      <c r="C27" s="11">
        <v>691726</v>
      </c>
      <c r="D27" s="18">
        <v>684081.8</v>
      </c>
      <c r="E27" s="18">
        <f t="shared" si="0"/>
        <v>7644.1999999999534</v>
      </c>
      <c r="F27" s="19">
        <f t="shared" si="3"/>
        <v>1.1174394641108641E-2</v>
      </c>
      <c r="G27" s="20">
        <v>742100</v>
      </c>
      <c r="H27" s="20">
        <f t="shared" si="1"/>
        <v>-50374</v>
      </c>
      <c r="I27" s="19">
        <f t="shared" si="2"/>
        <v>-6.7880339576876433E-2</v>
      </c>
      <c r="J27" s="39" t="s">
        <v>156</v>
      </c>
      <c r="K27" s="48" t="s">
        <v>157</v>
      </c>
    </row>
    <row r="28" spans="1:11" ht="57.95">
      <c r="A28" s="56" t="str">
        <v>Smith Creek</v>
      </c>
      <c r="B28" s="27" t="str">
        <v>NY</v>
      </c>
      <c r="C28" s="24">
        <v>724533</v>
      </c>
      <c r="D28" s="13">
        <v>747212.80000000005</v>
      </c>
      <c r="E28" s="13">
        <f t="shared" si="0"/>
        <v>-22679.800000000047</v>
      </c>
      <c r="F28" s="14">
        <f t="shared" si="3"/>
        <v>-3.0352531434151082E-2</v>
      </c>
      <c r="G28" s="15">
        <v>752022.3</v>
      </c>
      <c r="H28" s="15">
        <f t="shared" si="1"/>
        <v>-27489.300000000047</v>
      </c>
      <c r="I28" s="16">
        <f t="shared" si="2"/>
        <v>-3.6553836235973379E-2</v>
      </c>
      <c r="J28" s="38" t="s">
        <v>158</v>
      </c>
      <c r="K28" s="38" t="s">
        <v>159</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45"/>
  <sheetViews>
    <sheetView zoomScale="70" zoomScaleNormal="70" workbookViewId="0">
      <pane xSplit="2" ySplit="3" topLeftCell="G4" activePane="bottomRight" state="frozen"/>
      <selection pane="bottomRight" activeCell="F21" sqref="F21"/>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160</v>
      </c>
      <c r="E1" s="61"/>
      <c r="F1" s="61"/>
      <c r="G1" s="59" t="s">
        <v>161</v>
      </c>
      <c r="H1" s="59"/>
      <c r="I1" s="59"/>
      <c r="J1" s="4"/>
      <c r="K1" s="4"/>
    </row>
    <row r="2" spans="1:11" ht="19.5" customHeight="1">
      <c r="A2" s="62" t="s">
        <v>2</v>
      </c>
      <c r="B2" s="62"/>
      <c r="C2" s="5">
        <f>SUM(C4:C103)</f>
        <v>9319985.5687850788</v>
      </c>
      <c r="D2" s="5">
        <f>SUM(D4:D103)</f>
        <v>7593576.0300000003</v>
      </c>
      <c r="E2" s="5">
        <f>C2-D2</f>
        <v>1726409.5387850786</v>
      </c>
      <c r="F2" s="6">
        <f>IFERROR(E2/D2, 0)</f>
        <v>0.22735132063793645</v>
      </c>
      <c r="G2" s="5">
        <f>SUM(G4:G103)</f>
        <v>7538069.5399999991</v>
      </c>
      <c r="H2" s="7">
        <f>C2-G2</f>
        <v>1781916.0287850797</v>
      </c>
      <c r="I2" s="6">
        <f>IFERROR(H2/G2, 0)</f>
        <v>0.23638890823831268</v>
      </c>
      <c r="J2" s="26"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87">
      <c r="A4" s="56" t="str" cm="1">
        <f t="array" ref="A4:A28">Sites[Site]</f>
        <v>Barkhamsted</v>
      </c>
      <c r="B4" s="27" t="str" cm="1">
        <f t="array" ref="B4:B28">Sites[State]</f>
        <v>CT</v>
      </c>
      <c r="C4" s="24">
        <v>151622</v>
      </c>
      <c r="D4" s="13">
        <v>170892.2</v>
      </c>
      <c r="E4" s="13">
        <f>IF(AND(ISNUMBER(C4),ISNUMBER(D4)), C4-D4, "")</f>
        <v>-19270.200000000012</v>
      </c>
      <c r="F4" s="14">
        <f>IFERROR(E4/D4, "")</f>
        <v>-0.11276231448831492</v>
      </c>
      <c r="G4" s="15">
        <v>193982.6</v>
      </c>
      <c r="H4" s="15">
        <f>IF(AND(ISNUMBER(C4),ISNUMBER(G4)), C4-G4, "")</f>
        <v>-42360.600000000006</v>
      </c>
      <c r="I4" s="16">
        <f>IFERROR(H4/G4, "")</f>
        <v>-0.2183731942968081</v>
      </c>
      <c r="J4" s="38" t="s">
        <v>162</v>
      </c>
      <c r="K4" s="38" t="s">
        <v>163</v>
      </c>
    </row>
    <row r="5" spans="1:11" ht="15.6">
      <c r="A5" s="28" t="str">
        <v>Bunce</v>
      </c>
      <c r="B5" s="29" t="str">
        <v>CT</v>
      </c>
      <c r="C5" s="11">
        <v>378238.75</v>
      </c>
      <c r="D5" s="18">
        <v>285369.2</v>
      </c>
      <c r="E5" s="18">
        <f t="shared" ref="E5:E14" si="0">IF(AND(ISNUMBER(C5),ISNUMBER(D5)), C5-D5, "")</f>
        <v>92869.549999999988</v>
      </c>
      <c r="F5" s="19">
        <f>IFERROR(E5/D5, "")</f>
        <v>0.32543648718922707</v>
      </c>
      <c r="G5" s="20">
        <v>0</v>
      </c>
      <c r="H5" s="20">
        <f t="shared" ref="H5:H14" si="1">IF(AND(ISNUMBER(C5),ISNUMBER(G5)), C5-G5, "")</f>
        <v>378238.75</v>
      </c>
      <c r="I5" s="19" t="str">
        <f t="shared" ref="I5:I14" si="2">IFERROR(H5/G5, "")</f>
        <v/>
      </c>
      <c r="J5" s="39"/>
      <c r="K5" s="39"/>
    </row>
    <row r="6" spans="1:11" ht="101.45">
      <c r="A6" s="56" t="str">
        <v>Norcap North</v>
      </c>
      <c r="B6" s="27" t="str">
        <v>CT</v>
      </c>
      <c r="C6" s="24">
        <v>395338</v>
      </c>
      <c r="D6" s="13">
        <v>357020.7</v>
      </c>
      <c r="E6" s="13">
        <f t="shared" si="0"/>
        <v>38317.299999999988</v>
      </c>
      <c r="F6" s="14">
        <f t="shared" ref="F6:F14" si="3">IFERROR(E6/D6, "")</f>
        <v>0.10732514949413294</v>
      </c>
      <c r="G6" s="15">
        <v>372302.4</v>
      </c>
      <c r="H6" s="15">
        <f t="shared" si="1"/>
        <v>23035.599999999977</v>
      </c>
      <c r="I6" s="16">
        <f t="shared" si="2"/>
        <v>6.1873358860968869E-2</v>
      </c>
      <c r="J6" s="38" t="s">
        <v>164</v>
      </c>
      <c r="K6" s="38" t="s">
        <v>165</v>
      </c>
    </row>
    <row r="7" spans="1:11" ht="43.5">
      <c r="A7" s="28" t="str">
        <v>Norcap South</v>
      </c>
      <c r="B7" s="29" t="str">
        <v>CT</v>
      </c>
      <c r="C7" s="11">
        <v>398328</v>
      </c>
      <c r="D7" s="18">
        <v>376859.7</v>
      </c>
      <c r="E7" s="18">
        <f t="shared" si="0"/>
        <v>21468.299999999988</v>
      </c>
      <c r="F7" s="19">
        <f t="shared" si="3"/>
        <v>5.6966292760939917E-2</v>
      </c>
      <c r="G7" s="20">
        <v>364945.4</v>
      </c>
      <c r="H7" s="20">
        <f t="shared" si="1"/>
        <v>33382.599999999977</v>
      </c>
      <c r="I7" s="19">
        <f t="shared" si="2"/>
        <v>9.1472861419817794E-2</v>
      </c>
      <c r="J7" s="39" t="s">
        <v>166</v>
      </c>
      <c r="K7" s="48" t="s">
        <v>167</v>
      </c>
    </row>
    <row r="8" spans="1:11" ht="15.6">
      <c r="A8" s="56" t="str">
        <v>Platt Hill</v>
      </c>
      <c r="B8" s="27" t="str">
        <v>CT</v>
      </c>
      <c r="C8" s="24">
        <v>435241</v>
      </c>
      <c r="D8" s="13">
        <v>432722.3</v>
      </c>
      <c r="E8" s="13">
        <f t="shared" si="0"/>
        <v>2518.7000000000116</v>
      </c>
      <c r="F8" s="14">
        <f t="shared" si="3"/>
        <v>5.8205920979806491E-3</v>
      </c>
      <c r="G8" s="15">
        <v>408070</v>
      </c>
      <c r="H8" s="15">
        <f t="shared" si="1"/>
        <v>27171</v>
      </c>
      <c r="I8" s="16">
        <f t="shared" si="2"/>
        <v>6.6584164481584038E-2</v>
      </c>
      <c r="J8" s="38"/>
      <c r="K8" s="38"/>
    </row>
    <row r="9" spans="1:11" ht="57.95">
      <c r="A9" s="28" t="str">
        <v>Powder Hill</v>
      </c>
      <c r="B9" s="29" t="str">
        <v>CT</v>
      </c>
      <c r="C9" s="11">
        <v>387569</v>
      </c>
      <c r="D9" s="18">
        <v>393043.1</v>
      </c>
      <c r="E9" s="18">
        <f t="shared" si="0"/>
        <v>-5474.0999999999767</v>
      </c>
      <c r="F9" s="19">
        <f t="shared" si="3"/>
        <v>-1.3927480217818292E-2</v>
      </c>
      <c r="G9" s="20">
        <v>286956</v>
      </c>
      <c r="H9" s="20">
        <f t="shared" si="1"/>
        <v>100613</v>
      </c>
      <c r="I9" s="19">
        <f t="shared" si="2"/>
        <v>0.35062169810005717</v>
      </c>
      <c r="J9" s="48" t="s">
        <v>168</v>
      </c>
      <c r="K9" s="48" t="s">
        <v>169</v>
      </c>
    </row>
    <row r="10" spans="1:11" ht="15.6">
      <c r="A10" s="56" t="str">
        <v>Sand Road</v>
      </c>
      <c r="B10" s="27" t="str">
        <v>CT</v>
      </c>
      <c r="C10" s="24">
        <v>411839.98021261598</v>
      </c>
      <c r="D10" s="13">
        <v>342254.8</v>
      </c>
      <c r="E10" s="13">
        <f t="shared" si="0"/>
        <v>69585.180212615989</v>
      </c>
      <c r="F10" s="14">
        <f t="shared" si="3"/>
        <v>0.2033139643698671</v>
      </c>
      <c r="G10" s="15">
        <v>348315</v>
      </c>
      <c r="H10" s="15">
        <f t="shared" si="1"/>
        <v>63524.980212615978</v>
      </c>
      <c r="I10" s="16">
        <f t="shared" si="2"/>
        <v>0.1823779630869069</v>
      </c>
      <c r="J10" s="38" t="s">
        <v>170</v>
      </c>
      <c r="K10" s="38" t="s">
        <v>171</v>
      </c>
    </row>
    <row r="11" spans="1:11" ht="15.6">
      <c r="A11" s="28" t="str">
        <v>Suffield</v>
      </c>
      <c r="B11" s="29" t="str">
        <v>CT</v>
      </c>
      <c r="C11" s="11">
        <v>409009</v>
      </c>
      <c r="D11" s="18">
        <v>397534.2</v>
      </c>
      <c r="E11" s="18">
        <f t="shared" si="0"/>
        <v>11474.799999999988</v>
      </c>
      <c r="F11" s="19">
        <f t="shared" si="3"/>
        <v>2.8864937909744589E-2</v>
      </c>
      <c r="G11" s="20">
        <v>385905.1</v>
      </c>
      <c r="H11" s="20">
        <f t="shared" si="1"/>
        <v>23103.900000000023</v>
      </c>
      <c r="I11" s="19">
        <f t="shared" si="2"/>
        <v>5.9869382394790907E-2</v>
      </c>
      <c r="J11" s="39"/>
      <c r="K11" s="39"/>
    </row>
    <row r="12" spans="1:11" ht="15.6">
      <c r="A12" s="56" t="str">
        <v>Ashby-Duffy</v>
      </c>
      <c r="B12" s="27" t="str">
        <v>MA</v>
      </c>
      <c r="C12" s="24">
        <v>366239.5</v>
      </c>
      <c r="D12" s="13">
        <v>360487.1</v>
      </c>
      <c r="E12" s="13">
        <f t="shared" si="0"/>
        <v>5752.4000000000233</v>
      </c>
      <c r="F12" s="14">
        <f t="shared" si="3"/>
        <v>1.5957297778478131E-2</v>
      </c>
      <c r="G12" s="15">
        <v>356597.4</v>
      </c>
      <c r="H12" s="15">
        <f t="shared" si="1"/>
        <v>9642.0999999999767</v>
      </c>
      <c r="I12" s="16">
        <f t="shared" si="2"/>
        <v>2.7039176393321925E-2</v>
      </c>
      <c r="J12" s="38" t="s">
        <v>172</v>
      </c>
      <c r="K12" s="38" t="s">
        <v>173</v>
      </c>
    </row>
    <row r="13" spans="1:11" ht="15.6">
      <c r="A13" s="28" t="str">
        <v>Ashland</v>
      </c>
      <c r="B13" s="29" t="str">
        <v>MA</v>
      </c>
      <c r="C13" s="11">
        <v>408345.04734848498</v>
      </c>
      <c r="D13" s="18">
        <v>408357.6</v>
      </c>
      <c r="E13" s="18">
        <f t="shared" si="0"/>
        <v>-12.552651514997706</v>
      </c>
      <c r="F13" s="19">
        <f t="shared" si="3"/>
        <v>-3.0739360587381519E-5</v>
      </c>
      <c r="G13" s="20">
        <v>401173.2</v>
      </c>
      <c r="H13" s="20">
        <f t="shared" si="1"/>
        <v>7171.8473484849674</v>
      </c>
      <c r="I13" s="19">
        <f t="shared" si="2"/>
        <v>1.7877184588813429E-2</v>
      </c>
      <c r="J13" s="39" t="s">
        <v>174</v>
      </c>
      <c r="K13" s="39" t="s">
        <v>175</v>
      </c>
    </row>
    <row r="14" spans="1:11" ht="15.6">
      <c r="A14" s="56" t="str">
        <v>Barrington</v>
      </c>
      <c r="B14" s="27" t="str">
        <v>MA</v>
      </c>
      <c r="C14" s="24">
        <v>86103.5</v>
      </c>
      <c r="D14" s="13">
        <v>75594.45</v>
      </c>
      <c r="E14" s="13">
        <f t="shared" si="0"/>
        <v>10509.050000000003</v>
      </c>
      <c r="F14" s="14">
        <f t="shared" si="3"/>
        <v>0.13901880362910243</v>
      </c>
      <c r="G14" s="15">
        <v>85100</v>
      </c>
      <c r="H14" s="15">
        <f t="shared" si="1"/>
        <v>1003.5</v>
      </c>
      <c r="I14" s="16">
        <f t="shared" si="2"/>
        <v>1.1792009400705053E-2</v>
      </c>
      <c r="J14" s="38"/>
      <c r="K14" s="38"/>
    </row>
    <row r="15" spans="1:11" ht="29.1">
      <c r="A15" s="28" t="str">
        <v>Bedford - 205 Burlington Rd</v>
      </c>
      <c r="B15" s="29" t="str">
        <v>MA</v>
      </c>
      <c r="C15" s="11">
        <v>37813</v>
      </c>
      <c r="D15" s="18">
        <v>0</v>
      </c>
      <c r="E15" s="18">
        <f t="shared" ref="E15:E28" si="4">IF(AND(ISNUMBER(C15),ISNUMBER(D15)), C15-D15, "")</f>
        <v>37813</v>
      </c>
      <c r="F15" s="53" t="str">
        <f t="shared" ref="F15:F28" si="5">IFERROR(E15/D15, "")</f>
        <v/>
      </c>
      <c r="G15" s="20">
        <v>0</v>
      </c>
      <c r="H15" s="51">
        <f t="shared" ref="H15:H28" si="6">IF(AND(ISNUMBER(C15),ISNUMBER(G15)), C15-G15, "")</f>
        <v>37813</v>
      </c>
      <c r="I15" s="53" t="str">
        <f t="shared" ref="I15:I28" si="7">IFERROR(H15/G15, "")</f>
        <v/>
      </c>
      <c r="J15" s="39" t="s">
        <v>176</v>
      </c>
      <c r="K15" s="48" t="s">
        <v>177</v>
      </c>
    </row>
    <row r="16" spans="1:11" ht="72.599999999999994">
      <c r="A16" s="56" t="str">
        <v>Billerica - 6 Cook Street</v>
      </c>
      <c r="B16" s="27" t="str">
        <v>MA</v>
      </c>
      <c r="C16" s="24">
        <v>29477</v>
      </c>
      <c r="D16" s="13">
        <v>0</v>
      </c>
      <c r="E16" s="13">
        <f t="shared" si="4"/>
        <v>29477</v>
      </c>
      <c r="F16" s="14" t="str">
        <f t="shared" si="5"/>
        <v/>
      </c>
      <c r="G16" s="15">
        <v>0</v>
      </c>
      <c r="H16" s="15">
        <f t="shared" si="6"/>
        <v>29477</v>
      </c>
      <c r="I16" s="16" t="str">
        <f t="shared" si="7"/>
        <v/>
      </c>
      <c r="J16" s="38" t="s">
        <v>178</v>
      </c>
      <c r="K16" s="38" t="s">
        <v>179</v>
      </c>
    </row>
    <row r="17" spans="1:11" ht="15.6">
      <c r="A17" s="28" t="str">
        <v>Billerica - 780 Boston Road</v>
      </c>
      <c r="B17" s="29" t="str">
        <v>MA</v>
      </c>
      <c r="C17" s="11">
        <v>50719</v>
      </c>
      <c r="D17" s="18">
        <v>0</v>
      </c>
      <c r="E17" s="18">
        <f t="shared" si="4"/>
        <v>50719</v>
      </c>
      <c r="F17" s="53" t="str">
        <f t="shared" si="5"/>
        <v/>
      </c>
      <c r="G17" s="20">
        <v>0</v>
      </c>
      <c r="H17" s="51">
        <f t="shared" si="6"/>
        <v>50719</v>
      </c>
      <c r="I17" s="53" t="str">
        <f t="shared" si="7"/>
        <v/>
      </c>
      <c r="J17" s="39"/>
      <c r="K17" s="39"/>
    </row>
    <row r="18" spans="1:11" ht="22.5" customHeight="1">
      <c r="A18" s="56" t="str">
        <v>Cheshire</v>
      </c>
      <c r="B18" s="27" t="str">
        <v>MA</v>
      </c>
      <c r="C18" s="24">
        <v>85983.5</v>
      </c>
      <c r="D18" s="13">
        <v>89600.91</v>
      </c>
      <c r="E18" s="13">
        <f t="shared" si="4"/>
        <v>-3617.4100000000035</v>
      </c>
      <c r="F18" s="14">
        <f t="shared" si="5"/>
        <v>-4.0372469431393089E-2</v>
      </c>
      <c r="G18" s="15">
        <v>70804.72</v>
      </c>
      <c r="H18" s="15">
        <f t="shared" si="6"/>
        <v>15178.779999999999</v>
      </c>
      <c r="I18" s="16">
        <f t="shared" si="7"/>
        <v>0.21437525633884294</v>
      </c>
      <c r="J18" s="38" t="s">
        <v>180</v>
      </c>
      <c r="K18" s="38" t="s">
        <v>181</v>
      </c>
    </row>
    <row r="19" spans="1:11" ht="15.6">
      <c r="A19" s="28" t="str">
        <v>Lilly Lane</v>
      </c>
      <c r="B19" s="29" t="str">
        <v>MA</v>
      </c>
      <c r="C19" s="11">
        <v>203524.5</v>
      </c>
      <c r="D19" s="18">
        <v>187417</v>
      </c>
      <c r="E19" s="18">
        <f t="shared" si="4"/>
        <v>16107.5</v>
      </c>
      <c r="F19" s="53">
        <f t="shared" si="5"/>
        <v>8.5944711525635348E-2</v>
      </c>
      <c r="G19" s="20">
        <v>177912.4</v>
      </c>
      <c r="H19" s="51">
        <f t="shared" si="6"/>
        <v>25612.100000000006</v>
      </c>
      <c r="I19" s="53">
        <f t="shared" si="7"/>
        <v>0.14395904950975877</v>
      </c>
      <c r="J19" s="39" t="s">
        <v>182</v>
      </c>
      <c r="K19" s="39" t="s">
        <v>183</v>
      </c>
    </row>
    <row r="20" spans="1:11" ht="57.95">
      <c r="A20" s="56" t="str">
        <v>Monument Valley</v>
      </c>
      <c r="B20" s="27" t="str">
        <v>MA</v>
      </c>
      <c r="C20" s="24">
        <v>392015.29648727999</v>
      </c>
      <c r="D20" s="13">
        <v>69705.06</v>
      </c>
      <c r="E20" s="13">
        <f t="shared" si="4"/>
        <v>322310.23648728</v>
      </c>
      <c r="F20" s="14">
        <f t="shared" si="5"/>
        <v>4.6239144832137011</v>
      </c>
      <c r="G20" s="15">
        <v>0</v>
      </c>
      <c r="H20" s="15">
        <f t="shared" si="6"/>
        <v>392015.29648727999</v>
      </c>
      <c r="I20" s="16" t="str">
        <f t="shared" si="7"/>
        <v/>
      </c>
      <c r="J20" s="38" t="s">
        <v>184</v>
      </c>
      <c r="K20" s="38" t="s">
        <v>185</v>
      </c>
    </row>
    <row r="21" spans="1:11" ht="29.1">
      <c r="A21" s="28" t="str">
        <v>Nationwide</v>
      </c>
      <c r="B21" s="29" t="str">
        <v>MA</v>
      </c>
      <c r="C21" s="11">
        <v>744592.5</v>
      </c>
      <c r="D21" s="18">
        <v>561028.5</v>
      </c>
      <c r="E21" s="18">
        <f t="shared" si="4"/>
        <v>183564</v>
      </c>
      <c r="F21" s="53">
        <f t="shared" si="5"/>
        <v>0.32719193409960456</v>
      </c>
      <c r="G21" s="20">
        <v>552555.9</v>
      </c>
      <c r="H21" s="51">
        <f t="shared" si="6"/>
        <v>192036.59999999998</v>
      </c>
      <c r="I21" s="53">
        <f t="shared" si="7"/>
        <v>0.34754239344833704</v>
      </c>
      <c r="J21" s="39" t="s">
        <v>186</v>
      </c>
      <c r="K21" s="39" t="s">
        <v>149</v>
      </c>
    </row>
    <row r="22" spans="1:11" ht="130.5">
      <c r="A22" s="56" t="str">
        <v>Pulpit Hill</v>
      </c>
      <c r="B22" s="27" t="str">
        <v>MA</v>
      </c>
      <c r="C22" s="24">
        <v>732560.25</v>
      </c>
      <c r="D22" s="13">
        <v>361827.2</v>
      </c>
      <c r="E22" s="13">
        <f t="shared" si="4"/>
        <v>370733.05</v>
      </c>
      <c r="F22" s="14">
        <f t="shared" si="5"/>
        <v>1.0246135448081293</v>
      </c>
      <c r="G22" s="15">
        <v>802158.5</v>
      </c>
      <c r="H22" s="15">
        <f t="shared" si="6"/>
        <v>-69598.25</v>
      </c>
      <c r="I22" s="16">
        <f t="shared" si="7"/>
        <v>-8.6763713156439784E-2</v>
      </c>
      <c r="J22" s="38" t="s">
        <v>187</v>
      </c>
      <c r="K22" s="38" t="s">
        <v>188</v>
      </c>
    </row>
    <row r="23" spans="1:11" ht="43.5">
      <c r="A23" s="28" t="str">
        <v>Sandwich</v>
      </c>
      <c r="B23" s="29" t="str">
        <v>MA</v>
      </c>
      <c r="C23" s="11">
        <v>582219</v>
      </c>
      <c r="D23" s="18">
        <v>0</v>
      </c>
      <c r="E23" s="18">
        <f t="shared" si="4"/>
        <v>582219</v>
      </c>
      <c r="F23" s="53" t="str">
        <f t="shared" si="5"/>
        <v/>
      </c>
      <c r="G23" s="20">
        <v>0</v>
      </c>
      <c r="H23" s="51">
        <f t="shared" si="6"/>
        <v>582219</v>
      </c>
      <c r="I23" s="53" t="str">
        <f t="shared" si="7"/>
        <v/>
      </c>
      <c r="J23" s="39" t="s">
        <v>189</v>
      </c>
      <c r="K23" s="48" t="s">
        <v>190</v>
      </c>
    </row>
    <row r="24" spans="1:11" ht="15.6">
      <c r="A24" s="56" t="str">
        <v>Sturbridge Barn</v>
      </c>
      <c r="B24" s="27" t="str">
        <v>MA</v>
      </c>
      <c r="C24" s="24">
        <v>198837</v>
      </c>
      <c r="D24" s="13">
        <v>195202.3</v>
      </c>
      <c r="E24" s="13">
        <f t="shared" si="4"/>
        <v>3634.7000000000116</v>
      </c>
      <c r="F24" s="14">
        <f t="shared" si="5"/>
        <v>1.8620169946768107E-2</v>
      </c>
      <c r="G24" s="15">
        <v>197006.1</v>
      </c>
      <c r="H24" s="15">
        <f t="shared" si="6"/>
        <v>1830.8999999999942</v>
      </c>
      <c r="I24" s="16">
        <f t="shared" si="7"/>
        <v>9.2936208574251975E-3</v>
      </c>
      <c r="J24" s="38"/>
      <c r="K24" s="38"/>
    </row>
    <row r="25" spans="1:11" ht="15.6">
      <c r="A25" s="28" t="str">
        <v>Sturbridge Garage</v>
      </c>
      <c r="B25" s="29" t="str">
        <v>MA</v>
      </c>
      <c r="C25" s="11">
        <v>102318.5</v>
      </c>
      <c r="D25" s="18">
        <v>92874.71</v>
      </c>
      <c r="E25" s="18">
        <f t="shared" si="4"/>
        <v>9443.7899999999936</v>
      </c>
      <c r="F25" s="53">
        <f t="shared" si="5"/>
        <v>0.10168311696477968</v>
      </c>
      <c r="G25" s="20">
        <v>87884.22</v>
      </c>
      <c r="H25" s="51">
        <f t="shared" si="6"/>
        <v>14434.279999999999</v>
      </c>
      <c r="I25" s="53">
        <f t="shared" si="7"/>
        <v>0.1642419993031741</v>
      </c>
      <c r="J25" s="39"/>
      <c r="K25" s="39"/>
    </row>
    <row r="26" spans="1:11" ht="43.5">
      <c r="A26" s="56" t="str">
        <v>Halsey Valley</v>
      </c>
      <c r="B26" s="27" t="str">
        <v>NY</v>
      </c>
      <c r="C26" s="24">
        <v>940231</v>
      </c>
      <c r="D26" s="13">
        <v>955473.5</v>
      </c>
      <c r="E26" s="13">
        <f t="shared" si="4"/>
        <v>-15242.5</v>
      </c>
      <c r="F26" s="14">
        <f t="shared" si="5"/>
        <v>-1.5952823390706285E-2</v>
      </c>
      <c r="G26" s="15">
        <v>986000</v>
      </c>
      <c r="H26" s="15">
        <f t="shared" si="6"/>
        <v>-45769</v>
      </c>
      <c r="I26" s="16">
        <f t="shared" si="7"/>
        <v>-4.641886409736308E-2</v>
      </c>
      <c r="J26" s="38" t="s">
        <v>191</v>
      </c>
      <c r="K26" s="38" t="s">
        <v>192</v>
      </c>
    </row>
    <row r="27" spans="1:11" ht="87">
      <c r="A27" s="28" t="str">
        <v>Hunt Creek</v>
      </c>
      <c r="B27" s="29" t="str">
        <v>NY</v>
      </c>
      <c r="C27" s="11">
        <v>676433.46402790002</v>
      </c>
      <c r="D27" s="18">
        <v>705205.1</v>
      </c>
      <c r="E27" s="18">
        <f t="shared" si="4"/>
        <v>-28771.635972099961</v>
      </c>
      <c r="F27" s="53">
        <f t="shared" si="5"/>
        <v>-4.0798961851098298E-2</v>
      </c>
      <c r="G27" s="20">
        <v>706700</v>
      </c>
      <c r="H27" s="51">
        <f t="shared" si="6"/>
        <v>-30266.535972099984</v>
      </c>
      <c r="I27" s="53">
        <f t="shared" si="7"/>
        <v>-4.2827983546200626E-2</v>
      </c>
      <c r="J27" s="39" t="s">
        <v>193</v>
      </c>
      <c r="K27" s="48" t="s">
        <v>194</v>
      </c>
    </row>
    <row r="28" spans="1:11" ht="29.1">
      <c r="A28" s="56" t="str">
        <v>Smith Creek</v>
      </c>
      <c r="B28" s="27" t="str">
        <v>NY</v>
      </c>
      <c r="C28" s="24">
        <v>715387.78070879902</v>
      </c>
      <c r="D28" s="13">
        <v>775106.4</v>
      </c>
      <c r="E28" s="13">
        <f t="shared" si="4"/>
        <v>-59718.619291201001</v>
      </c>
      <c r="F28" s="14">
        <f t="shared" si="5"/>
        <v>-7.7045705326650643E-2</v>
      </c>
      <c r="G28" s="15">
        <v>753700.6</v>
      </c>
      <c r="H28" s="15">
        <f t="shared" si="6"/>
        <v>-38312.819291200954</v>
      </c>
      <c r="I28" s="16">
        <f t="shared" si="7"/>
        <v>-5.0832942538722878E-2</v>
      </c>
      <c r="J28" s="38" t="s">
        <v>195</v>
      </c>
      <c r="K28" s="38" t="s">
        <v>196</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5"/>
  <sheetViews>
    <sheetView tabSelected="1" zoomScale="70" zoomScaleNormal="70" workbookViewId="0">
      <pane xSplit="2" ySplit="3" topLeftCell="C11" activePane="bottomRight" state="frozen"/>
      <selection pane="bottomRight" activeCell="C21" sqref="C21"/>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197</v>
      </c>
      <c r="E1" s="61"/>
      <c r="F1" s="61"/>
      <c r="G1" s="59" t="s">
        <v>198</v>
      </c>
      <c r="H1" s="59"/>
      <c r="I1" s="59"/>
      <c r="J1" s="4"/>
      <c r="K1" s="4"/>
    </row>
    <row r="2" spans="1:11" ht="19.5" customHeight="1">
      <c r="A2" s="62" t="s">
        <v>2</v>
      </c>
      <c r="B2" s="62"/>
      <c r="C2" s="5">
        <f>SUM(C4:C103)</f>
        <v>9041351.3330589328</v>
      </c>
      <c r="D2" s="5">
        <f>SUM(D4:D103)</f>
        <v>7897048.5300000003</v>
      </c>
      <c r="E2" s="5">
        <f>C2-D2</f>
        <v>1144302.8030589325</v>
      </c>
      <c r="F2" s="6">
        <f>IFERROR(E2/D2, 0)</f>
        <v>0.14490259224213384</v>
      </c>
      <c r="G2" s="5">
        <f>SUM(G4:G103)</f>
        <v>7956157.9900000012</v>
      </c>
      <c r="H2" s="7">
        <f>C2-G2</f>
        <v>1085193.3430589316</v>
      </c>
      <c r="I2" s="6">
        <f>IFERROR(H2/G2, 0)</f>
        <v>0.13639665582595242</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96" customHeight="1">
      <c r="A4" s="30" t="str" cm="1">
        <f t="array" ref="A4:A28">Sites[Site]</f>
        <v>Barkhamsted</v>
      </c>
      <c r="B4" s="27" t="str" cm="1">
        <f t="array" ref="B4:B28">Sites[State]</f>
        <v>CT</v>
      </c>
      <c r="C4" s="24">
        <v>159234</v>
      </c>
      <c r="D4" s="13">
        <v>191586</v>
      </c>
      <c r="E4" s="13">
        <f>IF(AND(ISNUMBER(C4),ISNUMBER(D4)), C4-D4, "")</f>
        <v>-32352</v>
      </c>
      <c r="F4" s="14">
        <f>IFERROR(E4/D4, "")</f>
        <v>-0.16886411324418277</v>
      </c>
      <c r="G4" s="15">
        <v>196465.3</v>
      </c>
      <c r="H4" s="15">
        <f>IF(AND(ISNUMBER(C4),ISNUMBER(G4)), C4-G4, "")</f>
        <v>-37231.299999999988</v>
      </c>
      <c r="I4" s="16">
        <f>IFERROR(H4/G4, "")</f>
        <v>-0.18950572951050385</v>
      </c>
      <c r="J4" s="38" t="s">
        <v>199</v>
      </c>
      <c r="K4" s="38" t="s">
        <v>200</v>
      </c>
    </row>
    <row r="5" spans="1:11" ht="15.6">
      <c r="A5" s="28" t="str">
        <v>Bunce</v>
      </c>
      <c r="B5" s="29" t="str">
        <v>CT</v>
      </c>
      <c r="C5" s="11">
        <v>390087.25</v>
      </c>
      <c r="D5" s="18">
        <v>296867.8</v>
      </c>
      <c r="E5" s="18">
        <f t="shared" ref="E5:E14" si="0">IF(AND(ISNUMBER(C5),ISNUMBER(D5)), C5-D5, "")</f>
        <v>93219.450000000012</v>
      </c>
      <c r="F5" s="19">
        <f>IFERROR(E5/D5, "")</f>
        <v>0.31400997346293541</v>
      </c>
      <c r="G5" s="20">
        <v>0</v>
      </c>
      <c r="H5" s="20">
        <f t="shared" ref="H5:H14" si="1">IF(AND(ISNUMBER(C5),ISNUMBER(G5)), C5-G5, "")</f>
        <v>390087.25</v>
      </c>
      <c r="I5" s="19" t="str">
        <f t="shared" ref="I5:I14" si="2">IFERROR(H5/G5, "")</f>
        <v/>
      </c>
      <c r="J5" s="39"/>
      <c r="K5" s="39"/>
    </row>
    <row r="6" spans="1:11" ht="43.5">
      <c r="A6" s="30" t="str">
        <v>Norcap North</v>
      </c>
      <c r="B6" s="27" t="str">
        <v>CT</v>
      </c>
      <c r="C6" s="24">
        <v>386328</v>
      </c>
      <c r="D6" s="13">
        <v>349481.2</v>
      </c>
      <c r="E6" s="13">
        <f t="shared" si="0"/>
        <v>36846.799999999988</v>
      </c>
      <c r="F6" s="14">
        <f t="shared" ref="F6:F14" si="3">IFERROR(E6/D6, "")</f>
        <v>0.10543285304044964</v>
      </c>
      <c r="G6" s="15">
        <v>381922.2</v>
      </c>
      <c r="H6" s="15">
        <f t="shared" si="1"/>
        <v>4405.7999999999884</v>
      </c>
      <c r="I6" s="16">
        <f t="shared" si="2"/>
        <v>1.1535857302874743E-2</v>
      </c>
      <c r="J6" s="38" t="s">
        <v>201</v>
      </c>
      <c r="K6" s="38" t="s">
        <v>202</v>
      </c>
    </row>
    <row r="7" spans="1:11" ht="15.6">
      <c r="A7" s="28" t="str">
        <v>Norcap South</v>
      </c>
      <c r="B7" s="29" t="str">
        <v>CT</v>
      </c>
      <c r="C7" s="11">
        <v>382575.5</v>
      </c>
      <c r="D7" s="18">
        <v>369441.1</v>
      </c>
      <c r="E7" s="18">
        <f t="shared" si="0"/>
        <v>13134.400000000023</v>
      </c>
      <c r="F7" s="19">
        <f t="shared" si="3"/>
        <v>3.555208123838962E-2</v>
      </c>
      <c r="G7" s="20">
        <v>373890.8</v>
      </c>
      <c r="H7" s="20">
        <f t="shared" si="1"/>
        <v>8684.7000000000116</v>
      </c>
      <c r="I7" s="19">
        <f t="shared" si="2"/>
        <v>2.3227905046072306E-2</v>
      </c>
      <c r="J7" s="39"/>
      <c r="K7" s="39"/>
    </row>
    <row r="8" spans="1:11" ht="15.6">
      <c r="A8" s="30" t="str">
        <v>Platt Hill</v>
      </c>
      <c r="B8" s="27" t="str">
        <v>CT</v>
      </c>
      <c r="C8" s="24">
        <v>645</v>
      </c>
      <c r="D8" s="13">
        <v>52792.23</v>
      </c>
      <c r="E8" s="13">
        <f t="shared" si="0"/>
        <v>-52147.23</v>
      </c>
      <c r="F8" s="14">
        <f t="shared" si="3"/>
        <v>-0.98778229296243025</v>
      </c>
      <c r="G8" s="15">
        <v>460450.4</v>
      </c>
      <c r="H8" s="15">
        <f t="shared" si="1"/>
        <v>-459805.4</v>
      </c>
      <c r="I8" s="16">
        <f t="shared" si="2"/>
        <v>-0.99859919765516547</v>
      </c>
      <c r="J8" s="38" t="s">
        <v>203</v>
      </c>
      <c r="K8" s="38" t="s">
        <v>204</v>
      </c>
    </row>
    <row r="9" spans="1:11" ht="57.95">
      <c r="A9" s="28" t="str">
        <v>Powder Hill</v>
      </c>
      <c r="B9" s="29" t="str">
        <v>CT</v>
      </c>
      <c r="C9" s="11">
        <v>374785</v>
      </c>
      <c r="D9" s="18">
        <v>377123.9</v>
      </c>
      <c r="E9" s="18">
        <f t="shared" si="0"/>
        <v>-2338.9000000000233</v>
      </c>
      <c r="F9" s="19">
        <f t="shared" si="3"/>
        <v>-6.2019405293592452E-3</v>
      </c>
      <c r="G9" s="20">
        <v>306552</v>
      </c>
      <c r="H9" s="20">
        <f t="shared" si="1"/>
        <v>68233</v>
      </c>
      <c r="I9" s="19">
        <f t="shared" si="2"/>
        <v>0.22258213940864846</v>
      </c>
      <c r="J9" s="48" t="s">
        <v>205</v>
      </c>
      <c r="K9" s="48" t="s">
        <v>206</v>
      </c>
    </row>
    <row r="10" spans="1:11" ht="57.95">
      <c r="A10" s="30" t="str">
        <v>Sand Road</v>
      </c>
      <c r="B10" s="27" t="str">
        <v>CT</v>
      </c>
      <c r="C10" s="24">
        <v>397883.01978738402</v>
      </c>
      <c r="D10" s="13">
        <v>338643.4</v>
      </c>
      <c r="E10" s="13">
        <f t="shared" si="0"/>
        <v>59239.619787383999</v>
      </c>
      <c r="F10" s="14">
        <f t="shared" si="3"/>
        <v>0.17493215514427268</v>
      </c>
      <c r="G10" s="15">
        <v>370289</v>
      </c>
      <c r="H10" s="15">
        <f t="shared" si="1"/>
        <v>27594.019787384022</v>
      </c>
      <c r="I10" s="16">
        <f t="shared" si="2"/>
        <v>7.4520225519483493E-2</v>
      </c>
      <c r="J10" s="38" t="s">
        <v>207</v>
      </c>
      <c r="K10" s="38" t="s">
        <v>208</v>
      </c>
    </row>
    <row r="11" spans="1:11" ht="15.6">
      <c r="A11" s="28" t="str">
        <v>Suffield</v>
      </c>
      <c r="B11" s="29" t="str">
        <v>CT</v>
      </c>
      <c r="C11" s="11">
        <v>391495.073159764</v>
      </c>
      <c r="D11" s="18">
        <v>388561.7</v>
      </c>
      <c r="E11" s="18">
        <f t="shared" si="0"/>
        <v>2933.3731597639853</v>
      </c>
      <c r="F11" s="19">
        <f t="shared" si="3"/>
        <v>7.5493111126598046E-3</v>
      </c>
      <c r="G11" s="20">
        <v>389406.2</v>
      </c>
      <c r="H11" s="20">
        <f t="shared" si="1"/>
        <v>2088.8731597639853</v>
      </c>
      <c r="I11" s="19">
        <f t="shared" si="2"/>
        <v>5.3642524432430333E-3</v>
      </c>
      <c r="J11" s="39" t="s">
        <v>209</v>
      </c>
      <c r="K11" s="39" t="s">
        <v>210</v>
      </c>
    </row>
    <row r="12" spans="1:11" ht="63" customHeight="1">
      <c r="A12" s="30" t="str">
        <v>Ashby-Duffy</v>
      </c>
      <c r="B12" s="27" t="str">
        <v>MA</v>
      </c>
      <c r="C12" s="24">
        <v>351673</v>
      </c>
      <c r="D12" s="13">
        <v>374124.3</v>
      </c>
      <c r="E12" s="13">
        <f t="shared" si="0"/>
        <v>-22451.299999999988</v>
      </c>
      <c r="F12" s="14">
        <f t="shared" si="3"/>
        <v>-6.0010269314235906E-2</v>
      </c>
      <c r="G12" s="15">
        <v>364281.59999999998</v>
      </c>
      <c r="H12" s="15">
        <f t="shared" si="1"/>
        <v>-12608.599999999977</v>
      </c>
      <c r="I12" s="16">
        <f t="shared" si="2"/>
        <v>-3.4612234051898248E-2</v>
      </c>
      <c r="J12" s="38" t="s">
        <v>211</v>
      </c>
      <c r="K12" s="38" t="s">
        <v>212</v>
      </c>
    </row>
    <row r="13" spans="1:11" ht="57" customHeight="1">
      <c r="A13" s="28" t="str">
        <v>Ashland</v>
      </c>
      <c r="B13" s="29" t="str">
        <v>MA</v>
      </c>
      <c r="C13" s="11">
        <v>380110.45265151502</v>
      </c>
      <c r="D13" s="18">
        <v>376119.1</v>
      </c>
      <c r="E13" s="18">
        <f t="shared" si="0"/>
        <v>3991.3526515150443</v>
      </c>
      <c r="F13" s="19">
        <f t="shared" si="3"/>
        <v>1.061193821721642E-2</v>
      </c>
      <c r="G13" s="20">
        <v>412652.5</v>
      </c>
      <c r="H13" s="20">
        <f t="shared" si="1"/>
        <v>-32542.047348484979</v>
      </c>
      <c r="I13" s="19">
        <f t="shared" si="2"/>
        <v>-7.8860657207904902E-2</v>
      </c>
      <c r="J13" s="48" t="s">
        <v>213</v>
      </c>
      <c r="K13" s="48" t="s">
        <v>214</v>
      </c>
    </row>
    <row r="14" spans="1:11" ht="15.6">
      <c r="A14" s="30" t="str">
        <v>Barrington</v>
      </c>
      <c r="B14" s="27" t="str">
        <v>MA</v>
      </c>
      <c r="C14" s="24">
        <v>87936</v>
      </c>
      <c r="D14" s="13">
        <v>74920.89</v>
      </c>
      <c r="E14" s="13">
        <f t="shared" si="0"/>
        <v>13015.11</v>
      </c>
      <c r="F14" s="14">
        <f t="shared" si="3"/>
        <v>0.17371803778625694</v>
      </c>
      <c r="G14" s="15">
        <v>92730</v>
      </c>
      <c r="H14" s="15">
        <f t="shared" si="1"/>
        <v>-4794</v>
      </c>
      <c r="I14" s="16">
        <f t="shared" si="2"/>
        <v>-5.1698479456486576E-2</v>
      </c>
      <c r="J14" s="38"/>
      <c r="K14" s="38"/>
    </row>
    <row r="15" spans="1:11" ht="15.6">
      <c r="A15" s="28" t="str">
        <v>Bedford - 205 Burlington Rd</v>
      </c>
      <c r="B15" s="29" t="str">
        <v>MA</v>
      </c>
      <c r="C15" s="11">
        <v>34743</v>
      </c>
      <c r="D15" s="18">
        <v>0</v>
      </c>
      <c r="E15" s="18">
        <f t="shared" ref="E15:E28" si="4">IF(AND(ISNUMBER(C15),ISNUMBER(D15)), C15-D15, "")</f>
        <v>34743</v>
      </c>
      <c r="F15" s="53" t="str">
        <f t="shared" ref="F15:F28" si="5">IFERROR(E15/D15, "")</f>
        <v/>
      </c>
      <c r="G15" s="20">
        <v>0</v>
      </c>
      <c r="H15" s="51">
        <f t="shared" ref="H15:H28" si="6">IF(AND(ISNUMBER(C15),ISNUMBER(G15)), C15-G15, "")</f>
        <v>34743</v>
      </c>
      <c r="I15" s="53" t="str">
        <f t="shared" ref="I15:I28" si="7">IFERROR(H15/G15, "")</f>
        <v/>
      </c>
      <c r="J15" s="39"/>
      <c r="K15" s="39"/>
    </row>
    <row r="16" spans="1:11" ht="15.6">
      <c r="A16" s="30" t="str">
        <v>Billerica - 6 Cook Street</v>
      </c>
      <c r="B16" s="27" t="str">
        <v>MA</v>
      </c>
      <c r="C16" s="24">
        <v>42913</v>
      </c>
      <c r="D16" s="13">
        <v>0</v>
      </c>
      <c r="E16" s="13">
        <f t="shared" si="4"/>
        <v>42913</v>
      </c>
      <c r="F16" s="14" t="str">
        <f t="shared" si="5"/>
        <v/>
      </c>
      <c r="G16" s="15">
        <v>0</v>
      </c>
      <c r="H16" s="15">
        <f t="shared" si="6"/>
        <v>42913</v>
      </c>
      <c r="I16" s="16" t="str">
        <f t="shared" si="7"/>
        <v/>
      </c>
      <c r="J16" s="38"/>
      <c r="K16" s="38"/>
    </row>
    <row r="17" spans="1:11" ht="15.6">
      <c r="A17" s="28" t="str">
        <v>Billerica - 780 Boston Road</v>
      </c>
      <c r="B17" s="29" t="str">
        <v>MA</v>
      </c>
      <c r="C17" s="11">
        <v>48929</v>
      </c>
      <c r="D17" s="18">
        <v>0</v>
      </c>
      <c r="E17" s="18">
        <f t="shared" si="4"/>
        <v>48929</v>
      </c>
      <c r="F17" s="53" t="str">
        <f t="shared" si="5"/>
        <v/>
      </c>
      <c r="G17" s="20">
        <v>0</v>
      </c>
      <c r="H17" s="51">
        <f t="shared" si="6"/>
        <v>48929</v>
      </c>
      <c r="I17" s="53" t="str">
        <f t="shared" si="7"/>
        <v/>
      </c>
      <c r="J17" s="39"/>
      <c r="K17" s="39"/>
    </row>
    <row r="18" spans="1:11" ht="12.75" customHeight="1">
      <c r="A18" s="30" t="str">
        <v>Cheshire</v>
      </c>
      <c r="B18" s="27" t="str">
        <v>MA</v>
      </c>
      <c r="C18" s="24">
        <v>88670.032196969696</v>
      </c>
      <c r="D18" s="13">
        <v>92482.17</v>
      </c>
      <c r="E18" s="13">
        <f t="shared" si="4"/>
        <v>-3812.1378030303022</v>
      </c>
      <c r="F18" s="14">
        <f t="shared" si="5"/>
        <v>-4.1220246054242696E-2</v>
      </c>
      <c r="G18" s="15">
        <v>74385.87</v>
      </c>
      <c r="H18" s="15">
        <f t="shared" si="6"/>
        <v>14284.162196969701</v>
      </c>
      <c r="I18" s="16">
        <f t="shared" si="7"/>
        <v>0.19202789719297095</v>
      </c>
      <c r="J18" s="38"/>
      <c r="K18" s="38"/>
    </row>
    <row r="19" spans="1:11" ht="15.6">
      <c r="A19" s="28" t="str">
        <v>Lilly Lane</v>
      </c>
      <c r="B19" s="29" t="str">
        <v>MA</v>
      </c>
      <c r="C19" s="11">
        <v>192601.5</v>
      </c>
      <c r="D19" s="18">
        <v>175565.6</v>
      </c>
      <c r="E19" s="18">
        <f t="shared" si="4"/>
        <v>17035.899999999994</v>
      </c>
      <c r="F19" s="53">
        <f t="shared" si="5"/>
        <v>9.7034384868106241E-2</v>
      </c>
      <c r="G19" s="20">
        <v>188370.5</v>
      </c>
      <c r="H19" s="51">
        <f t="shared" si="6"/>
        <v>4231</v>
      </c>
      <c r="I19" s="53">
        <f t="shared" si="7"/>
        <v>2.2461054145951728E-2</v>
      </c>
      <c r="J19" s="39" t="s">
        <v>215</v>
      </c>
      <c r="K19" s="39" t="s">
        <v>216</v>
      </c>
    </row>
    <row r="20" spans="1:11" ht="29.1">
      <c r="A20" s="30" t="str">
        <v>Monument Valley</v>
      </c>
      <c r="B20" s="27" t="str">
        <v>MA</v>
      </c>
      <c r="C20" s="24">
        <v>410603.99999999901</v>
      </c>
      <c r="D20" s="13">
        <v>75065.2</v>
      </c>
      <c r="E20" s="13">
        <f t="shared" si="4"/>
        <v>335538.799999999</v>
      </c>
      <c r="F20" s="14">
        <f t="shared" si="5"/>
        <v>4.4699647772869318</v>
      </c>
      <c r="G20" s="15">
        <v>0</v>
      </c>
      <c r="H20" s="15">
        <f t="shared" si="6"/>
        <v>410603.99999999901</v>
      </c>
      <c r="I20" s="16" t="str">
        <f t="shared" si="7"/>
        <v/>
      </c>
      <c r="J20" s="38" t="s">
        <v>217</v>
      </c>
      <c r="K20" s="38" t="s">
        <v>218</v>
      </c>
    </row>
    <row r="21" spans="1:11" ht="15.6">
      <c r="A21" s="28" t="str">
        <v>Nationwide</v>
      </c>
      <c r="B21" s="29" t="str">
        <v>MA</v>
      </c>
      <c r="C21" s="11">
        <v>702416</v>
      </c>
      <c r="D21" s="18">
        <v>525495.5</v>
      </c>
      <c r="E21" s="18">
        <f t="shared" si="4"/>
        <v>176920.5</v>
      </c>
      <c r="F21" s="53">
        <f t="shared" si="5"/>
        <v>0.33667367275266868</v>
      </c>
      <c r="G21" s="20">
        <v>601743.9</v>
      </c>
      <c r="H21" s="51">
        <f t="shared" si="6"/>
        <v>100672.09999999998</v>
      </c>
      <c r="I21" s="53">
        <f t="shared" si="7"/>
        <v>0.16730057421437919</v>
      </c>
      <c r="J21" s="39" t="s">
        <v>219</v>
      </c>
      <c r="K21" s="39" t="s">
        <v>220</v>
      </c>
    </row>
    <row r="22" spans="1:11" ht="15.6">
      <c r="A22" s="30" t="str">
        <v>Pulpit Hill</v>
      </c>
      <c r="B22" s="27" t="str">
        <v>MA</v>
      </c>
      <c r="C22" s="24">
        <v>869048.75</v>
      </c>
      <c r="D22" s="13">
        <v>840772.6</v>
      </c>
      <c r="E22" s="13">
        <f t="shared" si="4"/>
        <v>28276.150000000023</v>
      </c>
      <c r="F22" s="14">
        <f t="shared" si="5"/>
        <v>3.3631150682122642E-2</v>
      </c>
      <c r="G22" s="15">
        <v>811987.9</v>
      </c>
      <c r="H22" s="15">
        <f t="shared" si="6"/>
        <v>57060.849999999977</v>
      </c>
      <c r="I22" s="16">
        <f t="shared" si="7"/>
        <v>7.0273029930618389E-2</v>
      </c>
      <c r="J22" s="38"/>
      <c r="K22" s="38"/>
    </row>
    <row r="23" spans="1:11" ht="15.6">
      <c r="A23" s="28" t="str">
        <v>Sandwich</v>
      </c>
      <c r="B23" s="29" t="str">
        <v>MA</v>
      </c>
      <c r="C23" s="11">
        <v>521868</v>
      </c>
      <c r="D23" s="18">
        <v>0</v>
      </c>
      <c r="E23" s="18">
        <f t="shared" si="4"/>
        <v>521868</v>
      </c>
      <c r="F23" s="53" t="str">
        <f t="shared" si="5"/>
        <v/>
      </c>
      <c r="G23" s="20">
        <v>0</v>
      </c>
      <c r="H23" s="51">
        <f t="shared" si="6"/>
        <v>521868</v>
      </c>
      <c r="I23" s="53" t="str">
        <f t="shared" si="7"/>
        <v/>
      </c>
      <c r="J23" s="39"/>
      <c r="K23" s="39"/>
    </row>
    <row r="24" spans="1:11" ht="15.6">
      <c r="A24" s="30" t="str">
        <v>Sturbridge Barn</v>
      </c>
      <c r="B24" s="27" t="str">
        <v>MA</v>
      </c>
      <c r="C24" s="24">
        <v>186423</v>
      </c>
      <c r="D24" s="13">
        <v>183255.5</v>
      </c>
      <c r="E24" s="13">
        <f t="shared" si="4"/>
        <v>3167.5</v>
      </c>
      <c r="F24" s="14">
        <f t="shared" si="5"/>
        <v>1.728461083023429E-2</v>
      </c>
      <c r="G24" s="15">
        <v>210258.8</v>
      </c>
      <c r="H24" s="15">
        <f t="shared" si="6"/>
        <v>-23835.799999999988</v>
      </c>
      <c r="I24" s="16">
        <f t="shared" si="7"/>
        <v>-0.1133641017641116</v>
      </c>
      <c r="J24" s="38"/>
      <c r="K24" s="38"/>
    </row>
    <row r="25" spans="1:11" ht="15.6">
      <c r="A25" s="28" t="str">
        <v>Sturbridge Garage</v>
      </c>
      <c r="B25" s="29" t="str">
        <v>MA</v>
      </c>
      <c r="C25" s="11">
        <v>95677</v>
      </c>
      <c r="D25" s="18">
        <v>87732.34</v>
      </c>
      <c r="E25" s="18">
        <f t="shared" si="4"/>
        <v>7944.6600000000035</v>
      </c>
      <c r="F25" s="53">
        <f t="shared" si="5"/>
        <v>9.0555660546612612E-2</v>
      </c>
      <c r="G25" s="20">
        <v>93050.82</v>
      </c>
      <c r="H25" s="51">
        <f t="shared" si="6"/>
        <v>2626.179999999993</v>
      </c>
      <c r="I25" s="53">
        <f t="shared" si="7"/>
        <v>2.8223072080396421E-2</v>
      </c>
      <c r="J25" s="39"/>
      <c r="K25" s="39"/>
    </row>
    <row r="26" spans="1:11" ht="15.6">
      <c r="A26" s="30" t="str">
        <v>Halsey Valley</v>
      </c>
      <c r="B26" s="27" t="str">
        <v>NY</v>
      </c>
      <c r="C26" s="24">
        <v>1091705</v>
      </c>
      <c r="D26" s="13">
        <v>1081012</v>
      </c>
      <c r="E26" s="13">
        <f t="shared" si="4"/>
        <v>10693</v>
      </c>
      <c r="F26" s="14">
        <f t="shared" si="5"/>
        <v>9.8916570768872135E-3</v>
      </c>
      <c r="G26" s="15">
        <v>1064000</v>
      </c>
      <c r="H26" s="15">
        <f t="shared" si="6"/>
        <v>27705</v>
      </c>
      <c r="I26" s="16">
        <f t="shared" si="7"/>
        <v>2.6038533834586465E-2</v>
      </c>
      <c r="J26" s="38"/>
      <c r="K26" s="38"/>
    </row>
    <row r="27" spans="1:11" ht="95.25" customHeight="1">
      <c r="A27" s="28" t="str">
        <v>Hunt Creek</v>
      </c>
      <c r="B27" s="29" t="str">
        <v>NY</v>
      </c>
      <c r="C27" s="11">
        <v>687118.53597209998</v>
      </c>
      <c r="D27" s="18">
        <v>783948.80000000005</v>
      </c>
      <c r="E27" s="18">
        <f t="shared" si="4"/>
        <v>-96830.264027900063</v>
      </c>
      <c r="F27" s="53">
        <f t="shared" si="5"/>
        <v>-0.12351605618619489</v>
      </c>
      <c r="G27" s="20">
        <v>755800</v>
      </c>
      <c r="H27" s="51">
        <f t="shared" si="6"/>
        <v>-68681.464027900016</v>
      </c>
      <c r="I27" s="53">
        <f t="shared" si="7"/>
        <v>-9.0872537745303017E-2</v>
      </c>
      <c r="J27" s="48" t="s">
        <v>221</v>
      </c>
      <c r="K27" s="48" t="s">
        <v>222</v>
      </c>
    </row>
    <row r="28" spans="1:11" ht="78" customHeight="1">
      <c r="A28" s="30" t="str">
        <v>Smith Creek</v>
      </c>
      <c r="B28" s="27" t="str">
        <v>NY</v>
      </c>
      <c r="C28" s="24">
        <v>765882.21929120098</v>
      </c>
      <c r="D28" s="13">
        <v>862057.2</v>
      </c>
      <c r="E28" s="13">
        <f t="shared" si="4"/>
        <v>-96174.980708798976</v>
      </c>
      <c r="F28" s="14">
        <f t="shared" si="5"/>
        <v>-0.11156450025450629</v>
      </c>
      <c r="G28" s="15">
        <v>807920.2</v>
      </c>
      <c r="H28" s="15">
        <f t="shared" si="6"/>
        <v>-42037.980708798976</v>
      </c>
      <c r="I28" s="16">
        <f t="shared" si="7"/>
        <v>-5.2032342685328303E-2</v>
      </c>
      <c r="J28" s="38" t="s">
        <v>223</v>
      </c>
      <c r="K28" s="38" t="s">
        <v>224</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5"/>
  <sheetViews>
    <sheetView zoomScale="80" zoomScaleNormal="80" workbookViewId="0">
      <pane xSplit="2" ySplit="3" topLeftCell="G10" activePane="bottomRight" state="frozen"/>
      <selection pane="bottomRight" activeCell="F21" sqref="F21"/>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225</v>
      </c>
      <c r="E1" s="61"/>
      <c r="F1" s="61"/>
      <c r="G1" s="59" t="s">
        <v>226</v>
      </c>
      <c r="H1" s="59"/>
      <c r="I1" s="59"/>
      <c r="J1" s="4"/>
      <c r="K1" s="4"/>
    </row>
    <row r="2" spans="1:11" ht="19.5" customHeight="1">
      <c r="A2" s="62" t="s">
        <v>2</v>
      </c>
      <c r="B2" s="62"/>
      <c r="C2" s="5">
        <f>SUM(C4:C103)</f>
        <v>7571185.2085664477</v>
      </c>
      <c r="D2" s="5">
        <f>SUM(D4:D103)</f>
        <v>6533264.3800000008</v>
      </c>
      <c r="E2" s="5">
        <f>C2-D2</f>
        <v>1037920.8285664469</v>
      </c>
      <c r="F2" s="6">
        <f>IFERROR(E2/D2, 0)</f>
        <v>0.15886710964028777</v>
      </c>
      <c r="G2" s="5">
        <f>SUM(G4:G103)</f>
        <v>7068513.54</v>
      </c>
      <c r="H2" s="7">
        <f>C2-G2</f>
        <v>502671.66856644768</v>
      </c>
      <c r="I2" s="6">
        <f>IFERROR(H2/G2, 0)</f>
        <v>7.1114197592164155E-2</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57.95">
      <c r="A4" s="30" t="str" cm="1">
        <f t="array" ref="A4:A28">Sites[Site]</f>
        <v>Barkhamsted</v>
      </c>
      <c r="B4" s="27" t="str" cm="1">
        <f t="array" ref="B4:B28">Sites[State]</f>
        <v>CT</v>
      </c>
      <c r="C4" s="24">
        <v>138052</v>
      </c>
      <c r="D4" s="13">
        <v>172615.7</v>
      </c>
      <c r="E4" s="13">
        <f>IF(AND(ISNUMBER(C4),ISNUMBER(D4)), C4-D4, "")</f>
        <v>-34563.700000000012</v>
      </c>
      <c r="F4" s="14">
        <f>IFERROR(E4/D4, "")</f>
        <v>-0.20023497283271458</v>
      </c>
      <c r="G4" s="15">
        <v>185797.3</v>
      </c>
      <c r="H4" s="15">
        <f>IF(AND(ISNUMBER(C4),ISNUMBER(G4)), C4-G4, "")</f>
        <v>-47745.299999999988</v>
      </c>
      <c r="I4" s="16">
        <f>IFERROR(H4/G4, "")</f>
        <v>-0.25697520900465182</v>
      </c>
      <c r="J4" s="38" t="s">
        <v>227</v>
      </c>
      <c r="K4" s="38" t="s">
        <v>228</v>
      </c>
    </row>
    <row r="5" spans="1:11" ht="15.6">
      <c r="A5" s="28" t="str">
        <v>Bunce</v>
      </c>
      <c r="B5" s="29" t="str">
        <v>CT</v>
      </c>
      <c r="C5" s="11">
        <v>326056.5</v>
      </c>
      <c r="D5" s="18">
        <v>261052.1</v>
      </c>
      <c r="E5" s="18">
        <f t="shared" ref="E5:E14" si="0">IF(AND(ISNUMBER(C5),ISNUMBER(D5)), C5-D5, "")</f>
        <v>65004.399999999994</v>
      </c>
      <c r="F5" s="19">
        <f>IFERROR(E5/D5, "")</f>
        <v>0.24900929737780311</v>
      </c>
      <c r="G5" s="20">
        <v>0</v>
      </c>
      <c r="H5" s="20">
        <f t="shared" ref="H5:H14" si="1">IF(AND(ISNUMBER(C5),ISNUMBER(G5)), C5-G5, "")</f>
        <v>326056.5</v>
      </c>
      <c r="I5" s="19" t="str">
        <f t="shared" ref="I5:I14" si="2">IFERROR(H5/G5, "")</f>
        <v/>
      </c>
      <c r="J5" s="39"/>
      <c r="K5" s="39"/>
    </row>
    <row r="6" spans="1:11" ht="57.95">
      <c r="A6" s="30" t="str">
        <v>Norcap North</v>
      </c>
      <c r="B6" s="27" t="str">
        <v>CT</v>
      </c>
      <c r="C6" s="24">
        <v>338439.5</v>
      </c>
      <c r="D6" s="13">
        <v>327032.40000000002</v>
      </c>
      <c r="E6" s="13">
        <f t="shared" si="0"/>
        <v>11407.099999999977</v>
      </c>
      <c r="F6" s="14">
        <f t="shared" ref="F6:F14" si="3">IFERROR(E6/D6, "")</f>
        <v>3.4880641795736377E-2</v>
      </c>
      <c r="G6" s="15">
        <v>362318.7</v>
      </c>
      <c r="H6" s="15">
        <f t="shared" si="1"/>
        <v>-23879.200000000012</v>
      </c>
      <c r="I6" s="16">
        <f t="shared" si="2"/>
        <v>-6.5906617571767648E-2</v>
      </c>
      <c r="J6" s="38" t="s">
        <v>229</v>
      </c>
      <c r="K6" s="38" t="s">
        <v>230</v>
      </c>
    </row>
    <row r="7" spans="1:11" ht="57.95">
      <c r="A7" s="28" t="str">
        <v>Norcap South</v>
      </c>
      <c r="B7" s="29" t="str">
        <v>CT</v>
      </c>
      <c r="C7" s="11">
        <v>341863</v>
      </c>
      <c r="D7" s="18">
        <v>341992.9</v>
      </c>
      <c r="E7" s="18">
        <f t="shared" si="0"/>
        <v>-129.90000000002328</v>
      </c>
      <c r="F7" s="19">
        <f t="shared" si="3"/>
        <v>-3.7983244681402239E-4</v>
      </c>
      <c r="G7" s="20">
        <v>355838.3</v>
      </c>
      <c r="H7" s="20">
        <f t="shared" si="1"/>
        <v>-13975.299999999988</v>
      </c>
      <c r="I7" s="19">
        <f t="shared" si="2"/>
        <v>-3.927429959057243E-2</v>
      </c>
      <c r="J7" s="39" t="s">
        <v>231</v>
      </c>
      <c r="K7" s="48" t="s">
        <v>232</v>
      </c>
    </row>
    <row r="8" spans="1:11" ht="15.6">
      <c r="A8" s="30" t="str">
        <v>Platt Hill</v>
      </c>
      <c r="B8" s="27" t="str">
        <v>CT</v>
      </c>
      <c r="C8" s="24">
        <v>0</v>
      </c>
      <c r="D8" s="13">
        <v>0</v>
      </c>
      <c r="E8" s="13">
        <f t="shared" si="0"/>
        <v>0</v>
      </c>
      <c r="F8" s="14" t="str">
        <f t="shared" si="3"/>
        <v/>
      </c>
      <c r="G8" s="15">
        <v>0</v>
      </c>
      <c r="H8" s="15">
        <f t="shared" si="1"/>
        <v>0</v>
      </c>
      <c r="I8" s="16" t="str">
        <f t="shared" si="2"/>
        <v/>
      </c>
      <c r="J8" s="38" t="s">
        <v>233</v>
      </c>
      <c r="K8" s="38" t="s">
        <v>234</v>
      </c>
    </row>
    <row r="9" spans="1:11" ht="43.5">
      <c r="A9" s="28" t="str">
        <v>Powder Hill</v>
      </c>
      <c r="B9" s="29" t="str">
        <v>CT</v>
      </c>
      <c r="C9" s="11">
        <v>307436</v>
      </c>
      <c r="D9" s="18">
        <v>331328.59999999998</v>
      </c>
      <c r="E9" s="18">
        <f t="shared" si="0"/>
        <v>-23892.599999999977</v>
      </c>
      <c r="F9" s="19">
        <f t="shared" si="3"/>
        <v>-7.2111492940844762E-2</v>
      </c>
      <c r="G9" s="20">
        <v>284916</v>
      </c>
      <c r="H9" s="20">
        <f t="shared" si="1"/>
        <v>22520</v>
      </c>
      <c r="I9" s="19">
        <f t="shared" si="2"/>
        <v>7.9040840107259688E-2</v>
      </c>
      <c r="J9" s="39" t="s">
        <v>235</v>
      </c>
      <c r="K9" s="39" t="s">
        <v>236</v>
      </c>
    </row>
    <row r="10" spans="1:11" ht="29.1">
      <c r="A10" s="30" t="str">
        <v>Sand Road</v>
      </c>
      <c r="B10" s="27" t="str">
        <v>CT</v>
      </c>
      <c r="C10" s="24">
        <v>335026</v>
      </c>
      <c r="D10" s="13">
        <v>298161.40000000002</v>
      </c>
      <c r="E10" s="13">
        <f t="shared" si="0"/>
        <v>36864.599999999977</v>
      </c>
      <c r="F10" s="14">
        <f t="shared" si="3"/>
        <v>0.12363974679485666</v>
      </c>
      <c r="G10" s="15">
        <v>328508</v>
      </c>
      <c r="H10" s="15">
        <f t="shared" si="1"/>
        <v>6518</v>
      </c>
      <c r="I10" s="16">
        <f t="shared" si="2"/>
        <v>1.9841221522763526E-2</v>
      </c>
      <c r="J10" s="38" t="s">
        <v>237</v>
      </c>
      <c r="K10" s="38" t="s">
        <v>238</v>
      </c>
    </row>
    <row r="11" spans="1:11" ht="43.5">
      <c r="A11" s="28" t="str">
        <v>Suffield</v>
      </c>
      <c r="B11" s="29" t="str">
        <v>CT</v>
      </c>
      <c r="C11" s="11">
        <v>331521.926840236</v>
      </c>
      <c r="D11" s="18">
        <v>329855</v>
      </c>
      <c r="E11" s="18">
        <f t="shared" si="0"/>
        <v>1666.926840236003</v>
      </c>
      <c r="F11" s="19">
        <f t="shared" si="3"/>
        <v>5.0535139386579039E-3</v>
      </c>
      <c r="G11" s="20">
        <v>365268.1</v>
      </c>
      <c r="H11" s="20">
        <f t="shared" si="1"/>
        <v>-33746.173159763974</v>
      </c>
      <c r="I11" s="19">
        <f t="shared" si="2"/>
        <v>-9.238740848095954E-2</v>
      </c>
      <c r="J11" s="39" t="s">
        <v>239</v>
      </c>
      <c r="K11" s="39" t="s">
        <v>240</v>
      </c>
    </row>
    <row r="12" spans="1:11" ht="15.6">
      <c r="A12" s="30" t="str">
        <v>Ashby-Duffy</v>
      </c>
      <c r="B12" s="27" t="str">
        <v>MA</v>
      </c>
      <c r="C12" s="24">
        <v>282285</v>
      </c>
      <c r="D12" s="13">
        <v>340050.7</v>
      </c>
      <c r="E12" s="13">
        <f t="shared" si="0"/>
        <v>-57765.700000000012</v>
      </c>
      <c r="F12" s="14">
        <f t="shared" si="3"/>
        <v>-0.1698737864677238</v>
      </c>
      <c r="G12" s="15">
        <v>358908.2</v>
      </c>
      <c r="H12" s="15">
        <f t="shared" si="1"/>
        <v>-76623.200000000012</v>
      </c>
      <c r="I12" s="16">
        <f t="shared" si="2"/>
        <v>-0.21348968900682683</v>
      </c>
      <c r="J12" s="38" t="s">
        <v>241</v>
      </c>
      <c r="K12" s="38" t="s">
        <v>242</v>
      </c>
    </row>
    <row r="13" spans="1:11" ht="87">
      <c r="A13" s="28" t="str">
        <v>Ashland</v>
      </c>
      <c r="B13" s="29" t="str">
        <v>MA</v>
      </c>
      <c r="C13" s="11">
        <v>348630.5</v>
      </c>
      <c r="D13" s="18">
        <v>354266.8</v>
      </c>
      <c r="E13" s="18">
        <f t="shared" si="0"/>
        <v>-5636.2999999999884</v>
      </c>
      <c r="F13" s="19">
        <f t="shared" si="3"/>
        <v>-1.5909760666254893E-2</v>
      </c>
      <c r="G13" s="20">
        <v>387370.5</v>
      </c>
      <c r="H13" s="20">
        <f t="shared" si="1"/>
        <v>-38740</v>
      </c>
      <c r="I13" s="19">
        <f t="shared" si="2"/>
        <v>-0.10000761544825948</v>
      </c>
      <c r="J13" s="39" t="s">
        <v>243</v>
      </c>
      <c r="K13" s="48" t="s">
        <v>244</v>
      </c>
    </row>
    <row r="14" spans="1:11" ht="15.6">
      <c r="A14" s="30" t="str">
        <v>Barrington</v>
      </c>
      <c r="B14" s="27" t="str">
        <v>MA</v>
      </c>
      <c r="C14" s="24">
        <v>73571.5</v>
      </c>
      <c r="D14" s="13">
        <v>63238.5</v>
      </c>
      <c r="E14" s="13">
        <f t="shared" si="0"/>
        <v>10333</v>
      </c>
      <c r="F14" s="14">
        <f t="shared" si="3"/>
        <v>0.16339729753235765</v>
      </c>
      <c r="G14" s="15">
        <v>87310</v>
      </c>
      <c r="H14" s="15">
        <f t="shared" si="1"/>
        <v>-13738.5</v>
      </c>
      <c r="I14" s="16">
        <f t="shared" si="2"/>
        <v>-0.15735310960943763</v>
      </c>
      <c r="J14" s="38"/>
      <c r="K14" s="38"/>
    </row>
    <row r="15" spans="1:11" ht="15.6">
      <c r="A15" s="28" t="str">
        <v>Bedford - 205 Burlington Rd</v>
      </c>
      <c r="B15" s="29" t="str">
        <v>MA</v>
      </c>
      <c r="C15" s="11">
        <v>30957</v>
      </c>
      <c r="D15" s="18">
        <v>0</v>
      </c>
      <c r="E15" s="18">
        <f t="shared" ref="E15:E28" si="4">IF(AND(ISNUMBER(C15),ISNUMBER(D15)), C15-D15, "")</f>
        <v>30957</v>
      </c>
      <c r="F15" s="53" t="str">
        <f t="shared" ref="F15:F28" si="5">IFERROR(E15/D15, "")</f>
        <v/>
      </c>
      <c r="G15" s="20">
        <v>0</v>
      </c>
      <c r="H15" s="51">
        <f t="shared" ref="H15:H28" si="6">IF(AND(ISNUMBER(C15),ISNUMBER(G15)), C15-G15, "")</f>
        <v>30957</v>
      </c>
      <c r="I15" s="53" t="str">
        <f t="shared" ref="I15:I28" si="7">IFERROR(H15/G15, "")</f>
        <v/>
      </c>
      <c r="J15" s="39"/>
      <c r="K15" s="39"/>
    </row>
    <row r="16" spans="1:11" ht="15.6">
      <c r="A16" s="30" t="str">
        <v>Billerica - 6 Cook Street</v>
      </c>
      <c r="B16" s="27" t="str">
        <v>MA</v>
      </c>
      <c r="C16" s="24">
        <v>38002</v>
      </c>
      <c r="D16" s="13">
        <v>0</v>
      </c>
      <c r="E16" s="13">
        <f t="shared" si="4"/>
        <v>38002</v>
      </c>
      <c r="F16" s="14" t="str">
        <f t="shared" si="5"/>
        <v/>
      </c>
      <c r="G16" s="15">
        <v>0</v>
      </c>
      <c r="H16" s="15">
        <f t="shared" si="6"/>
        <v>38002</v>
      </c>
      <c r="I16" s="16" t="str">
        <f t="shared" si="7"/>
        <v/>
      </c>
      <c r="J16" s="38"/>
      <c r="K16" s="38"/>
    </row>
    <row r="17" spans="1:11" ht="15.6">
      <c r="A17" s="28" t="str">
        <v>Billerica - 780 Boston Road</v>
      </c>
      <c r="B17" s="29" t="str">
        <v>MA</v>
      </c>
      <c r="C17" s="11">
        <v>43311</v>
      </c>
      <c r="D17" s="18">
        <v>0</v>
      </c>
      <c r="E17" s="18">
        <f t="shared" si="4"/>
        <v>43311</v>
      </c>
      <c r="F17" s="53" t="str">
        <f t="shared" si="5"/>
        <v/>
      </c>
      <c r="G17" s="20">
        <v>0</v>
      </c>
      <c r="H17" s="51">
        <f t="shared" si="6"/>
        <v>43311</v>
      </c>
      <c r="I17" s="53" t="str">
        <f t="shared" si="7"/>
        <v/>
      </c>
      <c r="J17" s="39"/>
      <c r="K17" s="39"/>
    </row>
    <row r="18" spans="1:11" ht="12.75" customHeight="1">
      <c r="A18" s="30" t="str">
        <v>Cheshire</v>
      </c>
      <c r="B18" s="27" t="str">
        <v>MA</v>
      </c>
      <c r="C18" s="24">
        <v>71721.467803030304</v>
      </c>
      <c r="D18" s="13">
        <v>74948.66</v>
      </c>
      <c r="E18" s="13">
        <f t="shared" si="4"/>
        <v>-3227.1921969696996</v>
      </c>
      <c r="F18" s="14">
        <f t="shared" si="5"/>
        <v>-4.3058704411389072E-2</v>
      </c>
      <c r="G18" s="15">
        <v>66027.44</v>
      </c>
      <c r="H18" s="15">
        <f t="shared" si="6"/>
        <v>5694.0278030303016</v>
      </c>
      <c r="I18" s="16">
        <f t="shared" si="7"/>
        <v>8.6237294722168567E-2</v>
      </c>
      <c r="J18" s="38"/>
      <c r="K18" s="38"/>
    </row>
    <row r="19" spans="1:11" ht="15.6">
      <c r="A19" s="28" t="str">
        <v>Lilly Lane</v>
      </c>
      <c r="B19" s="29" t="str">
        <v>MA</v>
      </c>
      <c r="C19" s="11">
        <v>176695.5</v>
      </c>
      <c r="D19" s="18">
        <v>162968.20000000001</v>
      </c>
      <c r="E19" s="18">
        <f t="shared" si="4"/>
        <v>13727.299999999988</v>
      </c>
      <c r="F19" s="53">
        <f t="shared" si="5"/>
        <v>8.4232997603213317E-2</v>
      </c>
      <c r="G19" s="20">
        <v>179222.6</v>
      </c>
      <c r="H19" s="51">
        <f t="shared" si="6"/>
        <v>-2527.1000000000058</v>
      </c>
      <c r="I19" s="53">
        <f t="shared" si="7"/>
        <v>-1.4100342255943201E-2</v>
      </c>
      <c r="J19" s="39"/>
      <c r="K19" s="39"/>
    </row>
    <row r="20" spans="1:11" ht="15.6">
      <c r="A20" s="30" t="str">
        <v>Monument Valley</v>
      </c>
      <c r="B20" s="27" t="str">
        <v>MA</v>
      </c>
      <c r="C20" s="24">
        <v>333003</v>
      </c>
      <c r="D20" s="13">
        <v>64015.77</v>
      </c>
      <c r="E20" s="13">
        <f t="shared" si="4"/>
        <v>268987.23</v>
      </c>
      <c r="F20" s="14">
        <f t="shared" si="5"/>
        <v>4.2018900967683432</v>
      </c>
      <c r="G20" s="15">
        <v>0</v>
      </c>
      <c r="H20" s="15">
        <f t="shared" si="6"/>
        <v>333003</v>
      </c>
      <c r="I20" s="16" t="str">
        <f t="shared" si="7"/>
        <v/>
      </c>
      <c r="J20" s="38" t="s">
        <v>245</v>
      </c>
      <c r="K20" s="38" t="s">
        <v>246</v>
      </c>
    </row>
    <row r="21" spans="1:11" ht="43.5">
      <c r="A21" s="28" t="str">
        <v>Nationwide</v>
      </c>
      <c r="B21" s="29" t="str">
        <v>MA</v>
      </c>
      <c r="C21" s="11">
        <v>500263.57636099297</v>
      </c>
      <c r="D21" s="18">
        <v>390885.6</v>
      </c>
      <c r="E21" s="18">
        <f t="shared" si="4"/>
        <v>109377.97636099299</v>
      </c>
      <c r="F21" s="53">
        <f t="shared" si="5"/>
        <v>0.27982094086093989</v>
      </c>
      <c r="G21" s="20">
        <v>540286.6</v>
      </c>
      <c r="H21" s="51">
        <f t="shared" si="6"/>
        <v>-40023.023639007006</v>
      </c>
      <c r="I21" s="53">
        <f t="shared" si="7"/>
        <v>-7.4077394551349249E-2</v>
      </c>
      <c r="J21" s="39" t="s">
        <v>247</v>
      </c>
      <c r="K21" s="39" t="s">
        <v>248</v>
      </c>
    </row>
    <row r="22" spans="1:11" ht="29.1">
      <c r="A22" s="30" t="str">
        <v>Pulpit Hill</v>
      </c>
      <c r="B22" s="27" t="str">
        <v>MA</v>
      </c>
      <c r="C22" s="24">
        <v>729427</v>
      </c>
      <c r="D22" s="13">
        <v>713098.9</v>
      </c>
      <c r="E22" s="13">
        <f t="shared" si="4"/>
        <v>16328.099999999977</v>
      </c>
      <c r="F22" s="14">
        <f t="shared" si="5"/>
        <v>2.2897384920941507E-2</v>
      </c>
      <c r="G22" s="15">
        <v>796702.5</v>
      </c>
      <c r="H22" s="15">
        <f t="shared" si="6"/>
        <v>-67275.5</v>
      </c>
      <c r="I22" s="16">
        <f t="shared" si="7"/>
        <v>-8.4442436166574097E-2</v>
      </c>
      <c r="J22" s="38" t="s">
        <v>249</v>
      </c>
      <c r="K22" s="38" t="s">
        <v>250</v>
      </c>
    </row>
    <row r="23" spans="1:11" ht="29.1">
      <c r="A23" s="28" t="str">
        <v>Sandwich</v>
      </c>
      <c r="B23" s="29" t="str">
        <v>MA</v>
      </c>
      <c r="C23" s="11">
        <v>548939</v>
      </c>
      <c r="D23" s="18">
        <v>0</v>
      </c>
      <c r="E23" s="18">
        <f t="shared" si="4"/>
        <v>548939</v>
      </c>
      <c r="F23" s="53" t="str">
        <f t="shared" si="5"/>
        <v/>
      </c>
      <c r="G23" s="20">
        <v>0</v>
      </c>
      <c r="H23" s="51">
        <f t="shared" si="6"/>
        <v>548939</v>
      </c>
      <c r="I23" s="53" t="str">
        <f t="shared" si="7"/>
        <v/>
      </c>
      <c r="J23" s="39" t="s">
        <v>251</v>
      </c>
      <c r="K23" s="39" t="s">
        <v>252</v>
      </c>
    </row>
    <row r="24" spans="1:11" ht="15.6">
      <c r="A24" s="30" t="str">
        <v>Sturbridge Barn</v>
      </c>
      <c r="B24" s="27" t="str">
        <v>MA</v>
      </c>
      <c r="C24" s="24">
        <v>171571.5</v>
      </c>
      <c r="D24" s="13">
        <v>168397.9</v>
      </c>
      <c r="E24" s="13">
        <f t="shared" si="4"/>
        <v>3173.6000000000058</v>
      </c>
      <c r="F24" s="14">
        <f t="shared" si="5"/>
        <v>1.8845840714165712E-2</v>
      </c>
      <c r="G24" s="15">
        <v>192414.7</v>
      </c>
      <c r="H24" s="15">
        <f t="shared" si="6"/>
        <v>-20843.200000000012</v>
      </c>
      <c r="I24" s="16">
        <f t="shared" si="7"/>
        <v>-0.10832436399090095</v>
      </c>
      <c r="J24" s="38"/>
      <c r="K24" s="38"/>
    </row>
    <row r="25" spans="1:11" ht="15.6">
      <c r="A25" s="28" t="str">
        <v>Sturbridge Garage</v>
      </c>
      <c r="B25" s="29" t="str">
        <v>MA</v>
      </c>
      <c r="C25" s="11">
        <v>88858.75</v>
      </c>
      <c r="D25" s="18">
        <v>80597.649999999994</v>
      </c>
      <c r="E25" s="18">
        <f t="shared" si="4"/>
        <v>8261.1000000000058</v>
      </c>
      <c r="F25" s="53">
        <f t="shared" si="5"/>
        <v>0.10249802568685323</v>
      </c>
      <c r="G25" s="20">
        <v>88531.5</v>
      </c>
      <c r="H25" s="51">
        <f t="shared" si="6"/>
        <v>327.25</v>
      </c>
      <c r="I25" s="53">
        <f t="shared" si="7"/>
        <v>3.6964244365000026E-3</v>
      </c>
      <c r="J25" s="39"/>
      <c r="K25" s="39"/>
    </row>
    <row r="26" spans="1:11" ht="15.6">
      <c r="A26" s="30" t="str">
        <v>Halsey Valley</v>
      </c>
      <c r="B26" s="27" t="str">
        <v>NY</v>
      </c>
      <c r="C26" s="24">
        <v>818929</v>
      </c>
      <c r="D26" s="13">
        <v>813284.3</v>
      </c>
      <c r="E26" s="13">
        <f t="shared" si="4"/>
        <v>5644.6999999999534</v>
      </c>
      <c r="F26" s="14">
        <f t="shared" si="5"/>
        <v>6.9406233465959602E-3</v>
      </c>
      <c r="G26" s="15">
        <v>1015000</v>
      </c>
      <c r="H26" s="15">
        <f t="shared" si="6"/>
        <v>-196071</v>
      </c>
      <c r="I26" s="16">
        <f t="shared" si="7"/>
        <v>-0.19317339901477831</v>
      </c>
      <c r="J26" s="38"/>
      <c r="K26" s="38"/>
    </row>
    <row r="27" spans="1:11" ht="57.95">
      <c r="A27" s="28" t="str">
        <v>Hunt Creek</v>
      </c>
      <c r="B27" s="29" t="str">
        <v>NY</v>
      </c>
      <c r="C27" s="11">
        <v>574787</v>
      </c>
      <c r="D27" s="18">
        <v>591162.30000000005</v>
      </c>
      <c r="E27" s="18">
        <f t="shared" si="4"/>
        <v>-16375.300000000047</v>
      </c>
      <c r="F27" s="53">
        <f t="shared" si="5"/>
        <v>-2.7700176415174048E-2</v>
      </c>
      <c r="G27" s="20">
        <v>723000</v>
      </c>
      <c r="H27" s="51">
        <f t="shared" si="6"/>
        <v>-148213</v>
      </c>
      <c r="I27" s="53">
        <f t="shared" si="7"/>
        <v>-0.20499723374827108</v>
      </c>
      <c r="J27" s="39" t="s">
        <v>253</v>
      </c>
      <c r="K27" s="48" t="s">
        <v>254</v>
      </c>
    </row>
    <row r="28" spans="1:11" ht="15.6">
      <c r="A28" s="30" t="str">
        <v>Smith Creek</v>
      </c>
      <c r="B28" s="27" t="str">
        <v>NY</v>
      </c>
      <c r="C28" s="24">
        <v>621837.487562189</v>
      </c>
      <c r="D28" s="13">
        <v>654311</v>
      </c>
      <c r="E28" s="13">
        <f t="shared" si="4"/>
        <v>-32473.512437811005</v>
      </c>
      <c r="F28" s="14">
        <f t="shared" si="5"/>
        <v>-4.9630087890637643E-2</v>
      </c>
      <c r="G28" s="15">
        <v>751093.1</v>
      </c>
      <c r="H28" s="15">
        <f t="shared" si="6"/>
        <v>-129255.61243781098</v>
      </c>
      <c r="I28" s="16">
        <f t="shared" si="7"/>
        <v>-0.17209000114341483</v>
      </c>
      <c r="J28" s="38"/>
      <c r="K28" s="38"/>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5"/>
  <sheetViews>
    <sheetView zoomScale="80" zoomScaleNormal="80" workbookViewId="0">
      <pane xSplit="2" ySplit="3" topLeftCell="C16" activePane="bottomRight" state="frozen"/>
      <selection pane="bottomRight" activeCell="F21" sqref="F21"/>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255</v>
      </c>
      <c r="E1" s="61"/>
      <c r="F1" s="61"/>
      <c r="G1" s="59" t="s">
        <v>256</v>
      </c>
      <c r="H1" s="59"/>
      <c r="I1" s="59"/>
      <c r="J1" s="4"/>
      <c r="K1" s="4"/>
    </row>
    <row r="2" spans="1:11" ht="19.5" customHeight="1">
      <c r="A2" s="62" t="s">
        <v>2</v>
      </c>
      <c r="B2" s="62"/>
      <c r="C2" s="5">
        <f>SUM(C4:C103)</f>
        <v>7187930.8484203257</v>
      </c>
      <c r="D2" s="5">
        <f>SUM(D4:D103)</f>
        <v>6354949.4499999993</v>
      </c>
      <c r="E2" s="5">
        <f>C2-D2</f>
        <v>832981.39842032641</v>
      </c>
      <c r="F2" s="6">
        <f>IFERROR(E2/D2, 0)</f>
        <v>0.13107600697285271</v>
      </c>
      <c r="G2" s="5">
        <f>SUM(G4:G103)</f>
        <v>5980589.4900000002</v>
      </c>
      <c r="H2" s="7">
        <f>C2-G2</f>
        <v>1207341.3584203254</v>
      </c>
      <c r="I2" s="6">
        <f>IFERROR(H2/G2, 0)</f>
        <v>0.20187664785203729</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28">Sites[Site]</f>
        <v>Barkhamsted</v>
      </c>
      <c r="B4" s="27" t="str" cm="1">
        <f t="array" ref="B4:B28">Sites[State]</f>
        <v>CT</v>
      </c>
      <c r="C4" s="24">
        <v>167315</v>
      </c>
      <c r="D4" s="13">
        <v>172629.2</v>
      </c>
      <c r="E4" s="13">
        <f>IF(AND(ISNUMBER(C4),ISNUMBER(D4)), C4-D4, "")</f>
        <v>-5314.2000000000116</v>
      </c>
      <c r="F4" s="14">
        <f>IFERROR(E4/D4, "")</f>
        <v>-3.0783899826912313E-2</v>
      </c>
      <c r="G4" s="15">
        <v>165068.6</v>
      </c>
      <c r="H4" s="15">
        <f>IF(AND(ISNUMBER(C4),ISNUMBER(G4)), C4-G4, "")</f>
        <v>2246.3999999999942</v>
      </c>
      <c r="I4" s="16">
        <f>IFERROR(H4/G4, "")</f>
        <v>1.3608887456487752E-2</v>
      </c>
      <c r="J4" s="38"/>
      <c r="K4" s="38"/>
    </row>
    <row r="5" spans="1:11" ht="15.6">
      <c r="A5" s="28" t="str">
        <v>Bunce</v>
      </c>
      <c r="B5" s="29" t="str">
        <v>CT</v>
      </c>
      <c r="C5" s="11">
        <v>313339.5</v>
      </c>
      <c r="D5" s="18">
        <v>272827.3</v>
      </c>
      <c r="E5" s="18">
        <f t="shared" ref="E5:E14" si="0">IF(AND(ISNUMBER(C5),ISNUMBER(D5)), C5-D5, "")</f>
        <v>40512.200000000012</v>
      </c>
      <c r="F5" s="19">
        <f>IFERROR(E5/D5, "")</f>
        <v>0.14849027205122073</v>
      </c>
      <c r="G5" s="20">
        <v>0</v>
      </c>
      <c r="H5" s="20">
        <f t="shared" ref="H5:H14" si="1">IF(AND(ISNUMBER(C5),ISNUMBER(G5)), C5-G5, "")</f>
        <v>313339.5</v>
      </c>
      <c r="I5" s="19" t="str">
        <f t="shared" ref="I5:I14" si="2">IFERROR(H5/G5, "")</f>
        <v/>
      </c>
      <c r="J5" s="39"/>
      <c r="K5" s="39"/>
    </row>
    <row r="6" spans="1:11" ht="15.6">
      <c r="A6" s="30" t="str">
        <v>Norcap North</v>
      </c>
      <c r="B6" s="27" t="str">
        <v>CT</v>
      </c>
      <c r="C6" s="24">
        <v>314854</v>
      </c>
      <c r="D6" s="13">
        <v>320661</v>
      </c>
      <c r="E6" s="13">
        <f t="shared" si="0"/>
        <v>-5807</v>
      </c>
      <c r="F6" s="14">
        <f t="shared" ref="F6:F14" si="3">IFERROR(E6/D6, "")</f>
        <v>-1.8109467630924872E-2</v>
      </c>
      <c r="G6" s="15">
        <v>320205.3</v>
      </c>
      <c r="H6" s="15">
        <f t="shared" si="1"/>
        <v>-5351.2999999999884</v>
      </c>
      <c r="I6" s="16">
        <f t="shared" si="2"/>
        <v>-1.6712090649342745E-2</v>
      </c>
      <c r="J6" s="38"/>
      <c r="K6" s="38"/>
    </row>
    <row r="7" spans="1:11" ht="15.6">
      <c r="A7" s="28" t="str">
        <v>Norcap South</v>
      </c>
      <c r="B7" s="29" t="str">
        <v>CT</v>
      </c>
      <c r="C7" s="11">
        <v>323402.5</v>
      </c>
      <c r="D7" s="18">
        <v>340065.3</v>
      </c>
      <c r="E7" s="18">
        <f t="shared" si="0"/>
        <v>-16662.799999999988</v>
      </c>
      <c r="F7" s="19">
        <f t="shared" si="3"/>
        <v>-4.8998824637503414E-2</v>
      </c>
      <c r="G7" s="20">
        <v>314501.2</v>
      </c>
      <c r="H7" s="20">
        <f t="shared" si="1"/>
        <v>8901.2999999999884</v>
      </c>
      <c r="I7" s="19">
        <f t="shared" si="2"/>
        <v>2.8302912675690864E-2</v>
      </c>
      <c r="J7" s="39"/>
      <c r="K7" s="39"/>
    </row>
    <row r="8" spans="1:11" ht="15.6">
      <c r="A8" s="30" t="str">
        <v>Platt Hill</v>
      </c>
      <c r="B8" s="27" t="str">
        <v>CT</v>
      </c>
      <c r="C8" s="24">
        <v>0</v>
      </c>
      <c r="D8" s="13">
        <v>0</v>
      </c>
      <c r="E8" s="13">
        <f t="shared" si="0"/>
        <v>0</v>
      </c>
      <c r="F8" s="14" t="str">
        <f t="shared" si="3"/>
        <v/>
      </c>
      <c r="G8" s="15">
        <v>0</v>
      </c>
      <c r="H8" s="15">
        <f t="shared" si="1"/>
        <v>0</v>
      </c>
      <c r="I8" s="16" t="str">
        <f t="shared" si="2"/>
        <v/>
      </c>
      <c r="J8" s="38" t="s">
        <v>203</v>
      </c>
      <c r="K8" s="38" t="s">
        <v>204</v>
      </c>
    </row>
    <row r="9" spans="1:11" ht="15.6">
      <c r="A9" s="28" t="str">
        <v>Powder Hill</v>
      </c>
      <c r="B9" s="29" t="str">
        <v>CT</v>
      </c>
      <c r="C9" s="11">
        <v>294504</v>
      </c>
      <c r="D9" s="18">
        <v>304889.09999999998</v>
      </c>
      <c r="E9" s="18">
        <f t="shared" si="0"/>
        <v>-10385.099999999977</v>
      </c>
      <c r="F9" s="19">
        <f t="shared" si="3"/>
        <v>-3.4061893324490701E-2</v>
      </c>
      <c r="G9" s="20">
        <v>245616</v>
      </c>
      <c r="H9" s="20">
        <f t="shared" si="1"/>
        <v>48888</v>
      </c>
      <c r="I9" s="19">
        <f t="shared" si="2"/>
        <v>0.19904240766073872</v>
      </c>
      <c r="J9" s="39"/>
      <c r="K9" s="39"/>
    </row>
    <row r="10" spans="1:11" ht="15.6">
      <c r="A10" s="30" t="str">
        <v>Sand Road</v>
      </c>
      <c r="B10" s="27" t="str">
        <v>CT</v>
      </c>
      <c r="C10" s="24">
        <v>345718</v>
      </c>
      <c r="D10" s="13">
        <v>309286.8</v>
      </c>
      <c r="E10" s="13">
        <f t="shared" si="0"/>
        <v>36431.200000000012</v>
      </c>
      <c r="F10" s="14">
        <f t="shared" si="3"/>
        <v>0.11779099528334223</v>
      </c>
      <c r="G10" s="15">
        <v>273983</v>
      </c>
      <c r="H10" s="15">
        <f t="shared" si="1"/>
        <v>71735</v>
      </c>
      <c r="I10" s="16">
        <f t="shared" si="2"/>
        <v>0.26182281382421535</v>
      </c>
      <c r="J10" s="38"/>
      <c r="K10" s="38"/>
    </row>
    <row r="11" spans="1:11" ht="15.6">
      <c r="A11" s="28" t="str">
        <v>Suffield</v>
      </c>
      <c r="B11" s="29" t="str">
        <v>CT</v>
      </c>
      <c r="C11" s="11">
        <v>326410</v>
      </c>
      <c r="D11" s="18">
        <v>315691.8</v>
      </c>
      <c r="E11" s="18">
        <f t="shared" si="0"/>
        <v>10718.200000000012</v>
      </c>
      <c r="F11" s="19">
        <f t="shared" si="3"/>
        <v>3.3951467855674468E-2</v>
      </c>
      <c r="G11" s="20">
        <v>318246.7</v>
      </c>
      <c r="H11" s="20">
        <f t="shared" si="1"/>
        <v>8163.2999999999884</v>
      </c>
      <c r="I11" s="19">
        <f t="shared" si="2"/>
        <v>2.5650855138482153E-2</v>
      </c>
      <c r="J11" s="39"/>
      <c r="K11" s="39"/>
    </row>
    <row r="12" spans="1:11" ht="120" customHeight="1">
      <c r="A12" s="30" t="str">
        <v>Ashby-Duffy</v>
      </c>
      <c r="B12" s="27" t="str">
        <v>MA</v>
      </c>
      <c r="C12" s="24">
        <v>289962</v>
      </c>
      <c r="D12" s="13">
        <v>360378.5</v>
      </c>
      <c r="E12" s="13">
        <f t="shared" si="0"/>
        <v>-70416.5</v>
      </c>
      <c r="F12" s="14">
        <f t="shared" si="3"/>
        <v>-0.19539595175627847</v>
      </c>
      <c r="G12" s="15">
        <v>297997</v>
      </c>
      <c r="H12" s="15">
        <f t="shared" si="1"/>
        <v>-8035</v>
      </c>
      <c r="I12" s="16">
        <f t="shared" si="2"/>
        <v>-2.6963358691530451E-2</v>
      </c>
      <c r="J12" s="38" t="s">
        <v>257</v>
      </c>
      <c r="K12" s="38" t="s">
        <v>258</v>
      </c>
    </row>
    <row r="13" spans="1:11" ht="15.6">
      <c r="A13" s="28" t="str">
        <v>Ashland</v>
      </c>
      <c r="B13" s="29" t="str">
        <v>MA</v>
      </c>
      <c r="C13" s="11">
        <v>300454.88016528997</v>
      </c>
      <c r="D13" s="18">
        <v>314513.3</v>
      </c>
      <c r="E13" s="18">
        <f t="shared" si="0"/>
        <v>-14058.419834710017</v>
      </c>
      <c r="F13" s="19">
        <f t="shared" si="3"/>
        <v>-4.4698967689792507E-2</v>
      </c>
      <c r="G13" s="20">
        <v>327398.90000000002</v>
      </c>
      <c r="H13" s="20">
        <f t="shared" si="1"/>
        <v>-26944.019834710052</v>
      </c>
      <c r="I13" s="19">
        <f t="shared" si="2"/>
        <v>-8.229722162997509E-2</v>
      </c>
      <c r="J13" s="39"/>
      <c r="K13" s="39"/>
    </row>
    <row r="14" spans="1:11" ht="15.6">
      <c r="A14" s="30" t="str">
        <v>Barrington</v>
      </c>
      <c r="B14" s="27" t="str">
        <v>MA</v>
      </c>
      <c r="C14" s="24">
        <v>71466.5</v>
      </c>
      <c r="D14" s="13">
        <v>60987.82</v>
      </c>
      <c r="E14" s="13">
        <f t="shared" si="0"/>
        <v>10478.68</v>
      </c>
      <c r="F14" s="14">
        <f t="shared" si="3"/>
        <v>0.17181594620040527</v>
      </c>
      <c r="G14" s="15">
        <v>73860</v>
      </c>
      <c r="H14" s="15">
        <f t="shared" si="1"/>
        <v>-2393.5</v>
      </c>
      <c r="I14" s="16">
        <f t="shared" si="2"/>
        <v>-3.2405903059842943E-2</v>
      </c>
      <c r="J14" s="38"/>
      <c r="K14" s="38"/>
    </row>
    <row r="15" spans="1:11" ht="15.6">
      <c r="A15" s="28" t="str">
        <v>Bedford - 205 Burlington Rd</v>
      </c>
      <c r="B15" s="29" t="str">
        <v>MA</v>
      </c>
      <c r="C15" s="11">
        <v>34000</v>
      </c>
      <c r="D15" s="18">
        <v>0</v>
      </c>
      <c r="E15" s="18">
        <f t="shared" ref="E15:E28" si="4">IF(AND(ISNUMBER(C15),ISNUMBER(D15)), C15-D15, "")</f>
        <v>34000</v>
      </c>
      <c r="F15" s="53" t="str">
        <f t="shared" ref="F15:F28" si="5">IFERROR(E15/D15, "")</f>
        <v/>
      </c>
      <c r="G15" s="20">
        <v>0</v>
      </c>
      <c r="H15" s="51">
        <f t="shared" ref="H15:H28" si="6">IF(AND(ISNUMBER(C15),ISNUMBER(G15)), C15-G15, "")</f>
        <v>34000</v>
      </c>
      <c r="I15" s="53" t="str">
        <f t="shared" ref="I15:I28" si="7">IFERROR(H15/G15, "")</f>
        <v/>
      </c>
      <c r="J15" s="39"/>
      <c r="K15" s="39"/>
    </row>
    <row r="16" spans="1:11" ht="15.6">
      <c r="A16" s="30" t="str">
        <v>Billerica - 6 Cook Street</v>
      </c>
      <c r="B16" s="27" t="str">
        <v>MA</v>
      </c>
      <c r="C16" s="24">
        <v>31806</v>
      </c>
      <c r="D16" s="13">
        <v>0</v>
      </c>
      <c r="E16" s="13">
        <f t="shared" si="4"/>
        <v>31806</v>
      </c>
      <c r="F16" s="14" t="str">
        <f t="shared" si="5"/>
        <v/>
      </c>
      <c r="G16" s="15">
        <v>0</v>
      </c>
      <c r="H16" s="15">
        <f t="shared" si="6"/>
        <v>31806</v>
      </c>
      <c r="I16" s="16" t="str">
        <f t="shared" si="7"/>
        <v/>
      </c>
      <c r="J16" s="38"/>
      <c r="K16" s="38"/>
    </row>
    <row r="17" spans="1:11" ht="15.6">
      <c r="A17" s="28" t="str">
        <v>Billerica - 780 Boston Road</v>
      </c>
      <c r="B17" s="29" t="str">
        <v>MA</v>
      </c>
      <c r="C17" s="11">
        <v>36498</v>
      </c>
      <c r="D17" s="18">
        <v>0</v>
      </c>
      <c r="E17" s="18">
        <f t="shared" si="4"/>
        <v>36498</v>
      </c>
      <c r="F17" s="53" t="str">
        <f t="shared" si="5"/>
        <v/>
      </c>
      <c r="G17" s="20">
        <v>0</v>
      </c>
      <c r="H17" s="51">
        <f t="shared" si="6"/>
        <v>36498</v>
      </c>
      <c r="I17" s="53" t="str">
        <f t="shared" si="7"/>
        <v/>
      </c>
      <c r="J17" s="39"/>
      <c r="K17" s="39"/>
    </row>
    <row r="18" spans="1:11" ht="12.75" customHeight="1">
      <c r="A18" s="30" t="str">
        <v>Cheshire</v>
      </c>
      <c r="B18" s="27" t="str">
        <v>MA</v>
      </c>
      <c r="C18" s="24">
        <v>76237.25</v>
      </c>
      <c r="D18" s="13">
        <v>79128.25</v>
      </c>
      <c r="E18" s="13">
        <f t="shared" si="4"/>
        <v>-2891</v>
      </c>
      <c r="F18" s="14">
        <f t="shared" si="5"/>
        <v>-3.6535624129182688E-2</v>
      </c>
      <c r="G18" s="15">
        <v>51102.14</v>
      </c>
      <c r="H18" s="15">
        <f t="shared" si="6"/>
        <v>25135.11</v>
      </c>
      <c r="I18" s="16">
        <f t="shared" si="7"/>
        <v>0.49186022346617969</v>
      </c>
      <c r="J18" s="38"/>
      <c r="K18" s="38"/>
    </row>
    <row r="19" spans="1:11" ht="15.6">
      <c r="A19" s="28" t="str">
        <v>Lilly Lane</v>
      </c>
      <c r="B19" s="29" t="str">
        <v>MA</v>
      </c>
      <c r="C19" s="11">
        <v>163786</v>
      </c>
      <c r="D19" s="18">
        <v>154007.1</v>
      </c>
      <c r="E19" s="18">
        <f t="shared" si="4"/>
        <v>9778.8999999999942</v>
      </c>
      <c r="F19" s="53">
        <f t="shared" si="5"/>
        <v>6.3496423216851644E-2</v>
      </c>
      <c r="G19" s="20">
        <v>163298.79999999999</v>
      </c>
      <c r="H19" s="51">
        <f t="shared" si="6"/>
        <v>487.20000000001164</v>
      </c>
      <c r="I19" s="53">
        <f t="shared" si="7"/>
        <v>2.9834879374497037E-3</v>
      </c>
      <c r="J19" s="39"/>
      <c r="K19" s="39"/>
    </row>
    <row r="20" spans="1:11" ht="88.5" customHeight="1">
      <c r="A20" s="30" t="str">
        <v>Monument Valley</v>
      </c>
      <c r="B20" s="27" t="str">
        <v>MA</v>
      </c>
      <c r="C20" s="24">
        <v>326102.78217821801</v>
      </c>
      <c r="D20" s="13">
        <v>70095.98</v>
      </c>
      <c r="E20" s="13">
        <f t="shared" si="4"/>
        <v>256006.80217821803</v>
      </c>
      <c r="F20" s="14">
        <f t="shared" si="5"/>
        <v>3.6522322988881535</v>
      </c>
      <c r="G20" s="15">
        <v>0</v>
      </c>
      <c r="H20" s="15">
        <f t="shared" si="6"/>
        <v>326102.78217821801</v>
      </c>
      <c r="I20" s="16" t="str">
        <f t="shared" si="7"/>
        <v/>
      </c>
      <c r="J20" s="38" t="s">
        <v>259</v>
      </c>
      <c r="K20" s="38" t="s">
        <v>260</v>
      </c>
    </row>
    <row r="21" spans="1:11" ht="15.6">
      <c r="A21" s="28" t="str">
        <v>Nationwide</v>
      </c>
      <c r="B21" s="29" t="str">
        <v>MA</v>
      </c>
      <c r="C21" s="11">
        <v>389213.42363900697</v>
      </c>
      <c r="D21" s="18">
        <v>335892.7</v>
      </c>
      <c r="E21" s="18">
        <f t="shared" si="4"/>
        <v>53320.723639006959</v>
      </c>
      <c r="F21" s="53">
        <f t="shared" si="5"/>
        <v>0.15874332380253264</v>
      </c>
      <c r="G21" s="20">
        <v>462200</v>
      </c>
      <c r="H21" s="51">
        <f t="shared" si="6"/>
        <v>-72986.576360993029</v>
      </c>
      <c r="I21" s="53">
        <f t="shared" si="7"/>
        <v>-0.15791124266766124</v>
      </c>
      <c r="J21" s="39"/>
      <c r="K21" s="39"/>
    </row>
    <row r="22" spans="1:11" ht="15.6">
      <c r="A22" s="30" t="str">
        <v>Pulpit Hill</v>
      </c>
      <c r="B22" s="27" t="str">
        <v>MA</v>
      </c>
      <c r="C22" s="24">
        <v>695778</v>
      </c>
      <c r="D22" s="13">
        <v>673969.8</v>
      </c>
      <c r="E22" s="13">
        <f t="shared" si="4"/>
        <v>21808.199999999953</v>
      </c>
      <c r="F22" s="14">
        <f t="shared" si="5"/>
        <v>3.2357829683169706E-2</v>
      </c>
      <c r="G22" s="15">
        <v>645367.9</v>
      </c>
      <c r="H22" s="15">
        <f t="shared" si="6"/>
        <v>50410.099999999977</v>
      </c>
      <c r="I22" s="16">
        <f t="shared" si="7"/>
        <v>7.8110640457946509E-2</v>
      </c>
      <c r="J22" s="38"/>
      <c r="K22" s="38"/>
    </row>
    <row r="23" spans="1:11" ht="15.6">
      <c r="A23" s="28" t="str">
        <v>Sandwich</v>
      </c>
      <c r="B23" s="29" t="str">
        <v>MA</v>
      </c>
      <c r="C23" s="11">
        <v>438521</v>
      </c>
      <c r="D23" s="18">
        <v>0</v>
      </c>
      <c r="E23" s="18">
        <f t="shared" si="4"/>
        <v>438521</v>
      </c>
      <c r="F23" s="53" t="str">
        <f t="shared" si="5"/>
        <v/>
      </c>
      <c r="G23" s="20">
        <v>0</v>
      </c>
      <c r="H23" s="51">
        <f t="shared" si="6"/>
        <v>438521</v>
      </c>
      <c r="I23" s="53" t="str">
        <f t="shared" si="7"/>
        <v/>
      </c>
      <c r="J23" s="39"/>
      <c r="K23" s="39"/>
    </row>
    <row r="24" spans="1:11" ht="15.6">
      <c r="A24" s="30" t="str">
        <v>Sturbridge Barn</v>
      </c>
      <c r="B24" s="27" t="str">
        <v>MA</v>
      </c>
      <c r="C24" s="24">
        <v>161298</v>
      </c>
      <c r="D24" s="13">
        <v>161618.6</v>
      </c>
      <c r="E24" s="13">
        <f t="shared" si="4"/>
        <v>-320.60000000000582</v>
      </c>
      <c r="F24" s="14">
        <f t="shared" si="5"/>
        <v>-1.9836825711892431E-3</v>
      </c>
      <c r="G24" s="15">
        <v>164945.60000000001</v>
      </c>
      <c r="H24" s="15">
        <f t="shared" si="6"/>
        <v>-3647.6000000000058</v>
      </c>
      <c r="I24" s="16">
        <f t="shared" si="7"/>
        <v>-2.211395757146602E-2</v>
      </c>
      <c r="J24" s="38"/>
      <c r="K24" s="38"/>
    </row>
    <row r="25" spans="1:11" ht="15.6">
      <c r="A25" s="28" t="str">
        <v>Sturbridge Garage</v>
      </c>
      <c r="B25" s="29" t="str">
        <v>MA</v>
      </c>
      <c r="C25" s="11">
        <v>81995.5</v>
      </c>
      <c r="D25" s="18">
        <v>77128.399999999994</v>
      </c>
      <c r="E25" s="18">
        <f t="shared" si="4"/>
        <v>4867.1000000000058</v>
      </c>
      <c r="F25" s="53">
        <f t="shared" si="5"/>
        <v>6.3103863168430904E-2</v>
      </c>
      <c r="G25" s="20">
        <v>80665.850000000006</v>
      </c>
      <c r="H25" s="51">
        <f t="shared" si="6"/>
        <v>1329.6499999999942</v>
      </c>
      <c r="I25" s="53">
        <f t="shared" si="7"/>
        <v>1.6483431340523828E-2</v>
      </c>
      <c r="J25" s="39"/>
      <c r="K25" s="39"/>
    </row>
    <row r="26" spans="1:11" ht="15.6">
      <c r="A26" s="30" t="str">
        <v>Halsey Valley</v>
      </c>
      <c r="B26" s="27" t="str">
        <v>NY</v>
      </c>
      <c r="C26" s="24">
        <v>825717</v>
      </c>
      <c r="D26" s="13">
        <v>812548.6</v>
      </c>
      <c r="E26" s="13">
        <f t="shared" si="4"/>
        <v>13168.400000000023</v>
      </c>
      <c r="F26" s="14">
        <f t="shared" si="5"/>
        <v>1.6206292152863254E-2</v>
      </c>
      <c r="G26" s="15">
        <v>840000</v>
      </c>
      <c r="H26" s="15">
        <f t="shared" si="6"/>
        <v>-14283</v>
      </c>
      <c r="I26" s="16">
        <f t="shared" si="7"/>
        <v>-1.7003571428571427E-2</v>
      </c>
      <c r="J26" s="38"/>
      <c r="K26" s="38"/>
    </row>
    <row r="27" spans="1:11" ht="15.6">
      <c r="A27" s="28" t="str">
        <v>Hunt Creek</v>
      </c>
      <c r="B27" s="29" t="str">
        <v>NY</v>
      </c>
      <c r="C27" s="11">
        <v>557659</v>
      </c>
      <c r="D27" s="18">
        <v>579389.30000000005</v>
      </c>
      <c r="E27" s="18">
        <f t="shared" si="4"/>
        <v>-21730.300000000047</v>
      </c>
      <c r="F27" s="53">
        <f t="shared" si="5"/>
        <v>-3.7505525214221326E-2</v>
      </c>
      <c r="G27" s="20">
        <v>602800</v>
      </c>
      <c r="H27" s="51">
        <f t="shared" si="6"/>
        <v>-45141</v>
      </c>
      <c r="I27" s="53">
        <f t="shared" si="7"/>
        <v>-7.4885534173855337E-2</v>
      </c>
      <c r="J27" s="39"/>
      <c r="K27" s="39"/>
    </row>
    <row r="28" spans="1:11" ht="15.6">
      <c r="A28" s="30" t="str">
        <v>Smith Creek</v>
      </c>
      <c r="B28" s="27" t="str">
        <v>NY</v>
      </c>
      <c r="C28" s="24">
        <v>621892.512437811</v>
      </c>
      <c r="D28" s="13">
        <v>639240.6</v>
      </c>
      <c r="E28" s="13">
        <f t="shared" si="4"/>
        <v>-17348.087562188972</v>
      </c>
      <c r="F28" s="14">
        <f t="shared" si="5"/>
        <v>-2.713858844727474E-2</v>
      </c>
      <c r="G28" s="15">
        <v>633332.5</v>
      </c>
      <c r="H28" s="15">
        <f t="shared" si="6"/>
        <v>-11439.987562188995</v>
      </c>
      <c r="I28" s="16">
        <f t="shared" si="7"/>
        <v>-1.806316202340634E-2</v>
      </c>
      <c r="J28" s="38"/>
      <c r="K28" s="38"/>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5"/>
  <sheetViews>
    <sheetView zoomScale="70" zoomScaleNormal="70" workbookViewId="0">
      <pane xSplit="2" ySplit="3" topLeftCell="C4" activePane="bottomRight" state="frozen"/>
      <selection pane="bottomRight" activeCell="F21" sqref="F21"/>
      <selection pane="bottomLeft" activeCell="F21" sqref="F21"/>
      <selection pane="topRight" activeCell="F21" sqref="F21"/>
    </sheetView>
  </sheetViews>
  <sheetFormatPr defaultRowHeight="14.25" customHeight="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141.7109375" customWidth="1"/>
    <col min="11" max="11" width="22.42578125" customWidth="1"/>
  </cols>
  <sheetData>
    <row r="1" spans="1:11" ht="19.5" customHeight="1">
      <c r="A1" s="60" t="str" cm="1">
        <f t="array" ref="A1">portfolio</f>
        <v>Lodestar</v>
      </c>
      <c r="B1" s="60"/>
      <c r="C1" s="60"/>
      <c r="D1" s="61" t="s">
        <v>261</v>
      </c>
      <c r="E1" s="61"/>
      <c r="F1" s="61"/>
      <c r="G1" s="59" t="s">
        <v>262</v>
      </c>
      <c r="H1" s="59"/>
      <c r="I1" s="59"/>
      <c r="J1" s="4"/>
      <c r="K1" s="4"/>
    </row>
    <row r="2" spans="1:11" ht="19.5" customHeight="1">
      <c r="A2" s="62" t="s">
        <v>2</v>
      </c>
      <c r="B2" s="62"/>
      <c r="C2" s="5">
        <f>SUM(C4:C103)</f>
        <v>7165769.2682817355</v>
      </c>
      <c r="D2" s="5">
        <f>SUM(D4:D103)</f>
        <v>6711104.870000001</v>
      </c>
      <c r="E2" s="5">
        <f>C2-D2</f>
        <v>454664.39828173444</v>
      </c>
      <c r="F2" s="6">
        <f>IFERROR(E2/D2, 0)</f>
        <v>6.7748069369944805E-2</v>
      </c>
      <c r="G2" s="5">
        <f>SUM(G4:G103)</f>
        <v>5096506</v>
      </c>
      <c r="H2" s="7">
        <f>C2-G2</f>
        <v>2069263.2682817355</v>
      </c>
      <c r="I2" s="6">
        <f>IFERROR(H2/G2, 0)</f>
        <v>0.40601605654574635</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56" t="str" cm="1">
        <f t="array" ref="A4:A28">Sites[Site]</f>
        <v>Barkhamsted</v>
      </c>
      <c r="B4" s="27" t="str" cm="1">
        <f t="array" ref="B4:B28">Sites[State]</f>
        <v>CT</v>
      </c>
      <c r="C4" s="24">
        <v>175293</v>
      </c>
      <c r="D4" s="13">
        <v>187503.5</v>
      </c>
      <c r="E4" s="13">
        <f>IF(AND(ISNUMBER(C4),ISNUMBER(D4)), C4-D4, "")</f>
        <v>-12210.5</v>
      </c>
      <c r="F4" s="14">
        <f>IFERROR(E4/D4, "")</f>
        <v>-6.5121451066246769E-2</v>
      </c>
      <c r="G4" s="15">
        <v>133100</v>
      </c>
      <c r="H4" s="15">
        <f>IF(AND(ISNUMBER(C4),ISNUMBER(G4)), C4-G4, "")</f>
        <v>42193</v>
      </c>
      <c r="I4" s="16">
        <f>IFERROR(H4/G4, "")</f>
        <v>0.31700225394440268</v>
      </c>
      <c r="J4" s="38" t="s">
        <v>263</v>
      </c>
      <c r="K4" s="38" t="s">
        <v>264</v>
      </c>
    </row>
    <row r="5" spans="1:11" ht="15.6">
      <c r="A5" s="28" t="str">
        <v>Bunce</v>
      </c>
      <c r="B5" s="29" t="str">
        <v>CT</v>
      </c>
      <c r="C5" s="11">
        <v>307912</v>
      </c>
      <c r="D5" s="18">
        <v>311500.40000000002</v>
      </c>
      <c r="E5" s="18">
        <f t="shared" ref="E5:E14" si="0">IF(AND(ISNUMBER(C5),ISNUMBER(D5)), C5-D5, "")</f>
        <v>-3588.4000000000233</v>
      </c>
      <c r="F5" s="19">
        <f>IFERROR(E5/D5, "")</f>
        <v>-1.1519728385581601E-2</v>
      </c>
      <c r="G5" s="20">
        <v>0</v>
      </c>
      <c r="H5" s="20">
        <f t="shared" ref="H5:H14" si="1">IF(AND(ISNUMBER(C5),ISNUMBER(G5)), C5-G5, "")</f>
        <v>307912</v>
      </c>
      <c r="I5" s="19" t="str">
        <f t="shared" ref="I5:I14" si="2">IFERROR(H5/G5, "")</f>
        <v/>
      </c>
      <c r="J5" s="39"/>
      <c r="K5" s="39"/>
    </row>
    <row r="6" spans="1:11" ht="54" customHeight="1">
      <c r="A6" s="56" t="str">
        <v>Norcap North</v>
      </c>
      <c r="B6" s="27" t="str">
        <v>CT</v>
      </c>
      <c r="C6" s="24">
        <v>336186.5</v>
      </c>
      <c r="D6" s="13">
        <v>379363.3</v>
      </c>
      <c r="E6" s="13">
        <f t="shared" si="0"/>
        <v>-43176.799999999988</v>
      </c>
      <c r="F6" s="14">
        <f t="shared" ref="F6:F14" si="3">IFERROR(E6/D6, "")</f>
        <v>-0.11381385600557563</v>
      </c>
      <c r="G6" s="15">
        <v>270400</v>
      </c>
      <c r="H6" s="15">
        <f t="shared" si="1"/>
        <v>65786.5</v>
      </c>
      <c r="I6" s="16">
        <f t="shared" si="2"/>
        <v>0.24329326923076924</v>
      </c>
      <c r="J6" s="38" t="s">
        <v>265</v>
      </c>
      <c r="K6" s="38" t="s">
        <v>266</v>
      </c>
    </row>
    <row r="7" spans="1:11" ht="29.1">
      <c r="A7" s="28" t="str">
        <v>Norcap South</v>
      </c>
      <c r="B7" s="29" t="str">
        <v>CT</v>
      </c>
      <c r="C7" s="11">
        <v>346731.5</v>
      </c>
      <c r="D7" s="18">
        <v>408596.2</v>
      </c>
      <c r="E7" s="18">
        <f t="shared" si="0"/>
        <v>-61864.700000000012</v>
      </c>
      <c r="F7" s="19">
        <f t="shared" si="3"/>
        <v>-0.15140791813531307</v>
      </c>
      <c r="G7" s="20">
        <v>259100</v>
      </c>
      <c r="H7" s="20">
        <f t="shared" si="1"/>
        <v>87631.5</v>
      </c>
      <c r="I7" s="19">
        <f t="shared" si="2"/>
        <v>0.33821497491316094</v>
      </c>
      <c r="J7" s="49" t="s">
        <v>267</v>
      </c>
      <c r="K7" s="39" t="s">
        <v>268</v>
      </c>
    </row>
    <row r="8" spans="1:11" ht="57.75" customHeight="1">
      <c r="A8" s="56" t="str">
        <v>Platt Hill</v>
      </c>
      <c r="B8" s="27" t="str">
        <v>CT</v>
      </c>
      <c r="C8" s="24">
        <v>174373.93062524099</v>
      </c>
      <c r="D8" s="13">
        <v>172356.3</v>
      </c>
      <c r="E8" s="13">
        <f t="shared" si="0"/>
        <v>2017.6306252409995</v>
      </c>
      <c r="F8" s="14">
        <f t="shared" si="3"/>
        <v>1.1706161162899178E-2</v>
      </c>
      <c r="G8" s="15">
        <v>280512</v>
      </c>
      <c r="H8" s="15">
        <f t="shared" si="1"/>
        <v>-106138.06937475901</v>
      </c>
      <c r="I8" s="16">
        <f t="shared" si="2"/>
        <v>-0.37837265206037179</v>
      </c>
      <c r="J8" s="38" t="s">
        <v>269</v>
      </c>
      <c r="K8" s="38" t="s">
        <v>270</v>
      </c>
    </row>
    <row r="9" spans="1:11" ht="43.5">
      <c r="A9" s="28" t="str">
        <v>Powder Hill</v>
      </c>
      <c r="B9" s="29" t="str">
        <v>CT</v>
      </c>
      <c r="C9" s="11">
        <v>298993</v>
      </c>
      <c r="D9" s="18">
        <v>312991.3</v>
      </c>
      <c r="E9" s="18">
        <f t="shared" si="0"/>
        <v>-13998.299999999988</v>
      </c>
      <c r="F9" s="19">
        <f t="shared" si="3"/>
        <v>-4.4724246328891534E-2</v>
      </c>
      <c r="G9" s="20">
        <v>189168</v>
      </c>
      <c r="H9" s="20">
        <f t="shared" si="1"/>
        <v>109825</v>
      </c>
      <c r="I9" s="19">
        <f t="shared" si="2"/>
        <v>0.58056859511122394</v>
      </c>
      <c r="J9" s="49" t="s">
        <v>271</v>
      </c>
      <c r="K9" s="39" t="s">
        <v>272</v>
      </c>
    </row>
    <row r="10" spans="1:11" ht="15.6">
      <c r="A10" s="56" t="str">
        <v>Sand Road</v>
      </c>
      <c r="B10" s="27" t="str">
        <v>CT</v>
      </c>
      <c r="C10" s="24">
        <v>331669</v>
      </c>
      <c r="D10" s="13">
        <v>310481.59999999998</v>
      </c>
      <c r="E10" s="13">
        <f t="shared" si="0"/>
        <v>21187.400000000023</v>
      </c>
      <c r="F10" s="14">
        <f t="shared" si="3"/>
        <v>6.8240436792389711E-2</v>
      </c>
      <c r="G10" s="15">
        <v>190297</v>
      </c>
      <c r="H10" s="15">
        <f t="shared" si="1"/>
        <v>141372</v>
      </c>
      <c r="I10" s="16">
        <f t="shared" si="2"/>
        <v>0.74290188494826503</v>
      </c>
      <c r="J10" s="38" t="s">
        <v>273</v>
      </c>
      <c r="K10" s="38" t="s">
        <v>274</v>
      </c>
    </row>
    <row r="11" spans="1:11" ht="15.6">
      <c r="A11" s="28" t="str">
        <v>Suffield</v>
      </c>
      <c r="B11" s="29" t="str">
        <v>CT</v>
      </c>
      <c r="C11" s="11">
        <v>337787</v>
      </c>
      <c r="D11" s="18">
        <v>322372.59999999998</v>
      </c>
      <c r="E11" s="18">
        <f t="shared" si="0"/>
        <v>15414.400000000023</v>
      </c>
      <c r="F11" s="19">
        <f t="shared" si="3"/>
        <v>4.7815478114455211E-2</v>
      </c>
      <c r="G11" s="20">
        <v>260100</v>
      </c>
      <c r="H11" s="20">
        <f t="shared" si="1"/>
        <v>77687</v>
      </c>
      <c r="I11" s="19">
        <f t="shared" si="2"/>
        <v>0.29868127643214148</v>
      </c>
      <c r="K11" s="39"/>
    </row>
    <row r="12" spans="1:11" ht="61.5" customHeight="1">
      <c r="A12" s="56" t="str">
        <v>Ashby-Duffy</v>
      </c>
      <c r="B12" s="27" t="str">
        <v>MA</v>
      </c>
      <c r="C12" s="24">
        <v>296403</v>
      </c>
      <c r="D12" s="13">
        <v>375051</v>
      </c>
      <c r="E12" s="13">
        <f t="shared" si="0"/>
        <v>-78648</v>
      </c>
      <c r="F12" s="14">
        <f t="shared" si="3"/>
        <v>-0.20969948087060158</v>
      </c>
      <c r="G12" s="15">
        <v>273300</v>
      </c>
      <c r="H12" s="15">
        <f t="shared" si="1"/>
        <v>23103</v>
      </c>
      <c r="I12" s="16">
        <f t="shared" si="2"/>
        <v>8.453347969264545E-2</v>
      </c>
      <c r="J12" s="38" t="s">
        <v>275</v>
      </c>
      <c r="K12" s="38" t="s">
        <v>276</v>
      </c>
    </row>
    <row r="13" spans="1:11" ht="130.5">
      <c r="A13" s="28" t="str">
        <v>Ashland</v>
      </c>
      <c r="B13" s="29" t="str">
        <v>MA</v>
      </c>
      <c r="C13" s="11">
        <v>269204.61983471003</v>
      </c>
      <c r="D13" s="18">
        <v>306008.59999999998</v>
      </c>
      <c r="E13" s="18">
        <f t="shared" si="0"/>
        <v>-36803.980165289948</v>
      </c>
      <c r="F13" s="19">
        <f>IFERROR(E13/D13, "")</f>
        <v>-0.12027106481742654</v>
      </c>
      <c r="G13" s="20">
        <v>266600</v>
      </c>
      <c r="H13" s="20">
        <f t="shared" si="1"/>
        <v>2604.619834710029</v>
      </c>
      <c r="I13" s="19">
        <f t="shared" si="2"/>
        <v>9.7697668218680762E-3</v>
      </c>
      <c r="J13" s="49" t="s">
        <v>277</v>
      </c>
      <c r="K13" s="39" t="s">
        <v>278</v>
      </c>
    </row>
    <row r="14" spans="1:11" ht="15.6">
      <c r="A14" s="56" t="str">
        <v>Barrington</v>
      </c>
      <c r="B14" s="27" t="str">
        <v>MA</v>
      </c>
      <c r="C14" s="24">
        <v>66891.5</v>
      </c>
      <c r="D14" s="13">
        <v>59892.62</v>
      </c>
      <c r="E14" s="13">
        <f t="shared" si="0"/>
        <v>6998.8799999999974</v>
      </c>
      <c r="F14" s="14">
        <f t="shared" si="3"/>
        <v>0.11685713531984403</v>
      </c>
      <c r="G14" s="15">
        <v>60070</v>
      </c>
      <c r="H14" s="15">
        <f t="shared" si="1"/>
        <v>6821.5</v>
      </c>
      <c r="I14" s="16">
        <f t="shared" si="2"/>
        <v>0.11355918095555186</v>
      </c>
      <c r="J14" s="38"/>
      <c r="K14" s="38"/>
    </row>
    <row r="15" spans="1:11" ht="15.6">
      <c r="A15" s="28" t="str">
        <v>Bedford - 205 Burlington Rd</v>
      </c>
      <c r="B15" s="29" t="str">
        <v>MA</v>
      </c>
      <c r="C15" s="11">
        <v>30803</v>
      </c>
      <c r="D15" s="18">
        <v>0</v>
      </c>
      <c r="E15" s="18">
        <f t="shared" ref="E15:E28" si="4">IF(AND(ISNUMBER(C15),ISNUMBER(D15)), C15-D15, "")</f>
        <v>30803</v>
      </c>
      <c r="F15" s="19" t="str">
        <f t="shared" ref="F15:F28" si="5">IFERROR(E15/D15, "")</f>
        <v/>
      </c>
      <c r="G15" s="20">
        <v>0</v>
      </c>
      <c r="H15" s="20">
        <f t="shared" ref="H15:H28" si="6">IF(AND(ISNUMBER(C15),ISNUMBER(G15)), C15-G15, "")</f>
        <v>30803</v>
      </c>
      <c r="I15" s="19" t="str">
        <f t="shared" ref="I15:I28" si="7">IFERROR(H15/G15, "")</f>
        <v/>
      </c>
      <c r="J15" s="39"/>
      <c r="K15" s="39"/>
    </row>
    <row r="16" spans="1:11" ht="15.6">
      <c r="A16" s="56" t="str">
        <v>Billerica - 6 Cook Street</v>
      </c>
      <c r="B16" s="27" t="str">
        <v>MA</v>
      </c>
      <c r="C16" s="24">
        <v>26168</v>
      </c>
      <c r="D16" s="13">
        <v>0</v>
      </c>
      <c r="E16" s="13">
        <f t="shared" si="4"/>
        <v>26168</v>
      </c>
      <c r="F16" s="14" t="str">
        <f t="shared" si="5"/>
        <v/>
      </c>
      <c r="G16" s="15">
        <v>0</v>
      </c>
      <c r="H16" s="15">
        <f t="shared" si="6"/>
        <v>26168</v>
      </c>
      <c r="I16" s="16" t="str">
        <f t="shared" si="7"/>
        <v/>
      </c>
      <c r="J16" s="38"/>
      <c r="K16" s="38"/>
    </row>
    <row r="17" spans="1:11" ht="15.6">
      <c r="A17" s="28" t="str">
        <v>Billerica - 780 Boston Road</v>
      </c>
      <c r="B17" s="29" t="str">
        <v>MA</v>
      </c>
      <c r="C17" s="11">
        <v>29960</v>
      </c>
      <c r="D17" s="18">
        <v>0</v>
      </c>
      <c r="E17" s="18">
        <f t="shared" si="4"/>
        <v>29960</v>
      </c>
      <c r="F17" s="19" t="str">
        <f t="shared" si="5"/>
        <v/>
      </c>
      <c r="G17" s="20">
        <v>0</v>
      </c>
      <c r="H17" s="20">
        <f t="shared" si="6"/>
        <v>29960</v>
      </c>
      <c r="I17" s="19" t="str">
        <f t="shared" si="7"/>
        <v/>
      </c>
      <c r="J17" s="39"/>
      <c r="K17" s="39"/>
    </row>
    <row r="18" spans="1:11" ht="12.75" customHeight="1">
      <c r="A18" s="56" t="str">
        <v>Cheshire</v>
      </c>
      <c r="B18" s="27" t="str">
        <v>MA</v>
      </c>
      <c r="C18" s="24">
        <v>72433.5</v>
      </c>
      <c r="D18" s="13">
        <v>75802.64</v>
      </c>
      <c r="E18" s="13">
        <f t="shared" si="4"/>
        <v>-3369.1399999999994</v>
      </c>
      <c r="F18" s="14">
        <f t="shared" si="5"/>
        <v>-4.4446209261313319E-2</v>
      </c>
      <c r="G18" s="15">
        <v>38943</v>
      </c>
      <c r="H18" s="15">
        <f t="shared" si="6"/>
        <v>33490.5</v>
      </c>
      <c r="I18" s="16">
        <f t="shared" si="7"/>
        <v>0.85998767429319778</v>
      </c>
      <c r="J18" s="38"/>
      <c r="K18" s="38"/>
    </row>
    <row r="19" spans="1:11" ht="15.6">
      <c r="A19" s="28" t="str">
        <v>Lilly Lane</v>
      </c>
      <c r="B19" s="29" t="str">
        <v>MA</v>
      </c>
      <c r="C19" s="11">
        <v>157630</v>
      </c>
      <c r="D19" s="18">
        <v>139518.20000000001</v>
      </c>
      <c r="E19" s="18">
        <f t="shared" si="4"/>
        <v>18111.799999999988</v>
      </c>
      <c r="F19" s="19">
        <f t="shared" si="5"/>
        <v>0.12981675509001683</v>
      </c>
      <c r="G19" s="20">
        <v>131783</v>
      </c>
      <c r="H19" s="20">
        <f t="shared" si="6"/>
        <v>25847</v>
      </c>
      <c r="I19" s="19">
        <f t="shared" si="7"/>
        <v>0.19613303688639658</v>
      </c>
      <c r="J19" s="39"/>
      <c r="K19" s="39"/>
    </row>
    <row r="20" spans="1:11" ht="43.5">
      <c r="A20" s="56" t="str">
        <v>Monument Valley</v>
      </c>
      <c r="B20" s="27" t="str">
        <v>MA</v>
      </c>
      <c r="C20" s="24">
        <v>238792.21782178199</v>
      </c>
      <c r="D20" s="13">
        <v>72177.23</v>
      </c>
      <c r="E20" s="13">
        <f t="shared" si="4"/>
        <v>166614.98782178201</v>
      </c>
      <c r="F20" s="14">
        <f t="shared" si="5"/>
        <v>2.308414825863808</v>
      </c>
      <c r="G20" s="15">
        <v>0</v>
      </c>
      <c r="H20" s="15">
        <f t="shared" si="6"/>
        <v>238792.21782178199</v>
      </c>
      <c r="I20" s="16" t="str">
        <f t="shared" si="7"/>
        <v/>
      </c>
      <c r="J20" s="38" t="s">
        <v>279</v>
      </c>
      <c r="K20" s="57" t="s">
        <v>280</v>
      </c>
    </row>
    <row r="21" spans="1:11" ht="27" customHeight="1">
      <c r="A21" s="28" t="str">
        <v>Nationwide</v>
      </c>
      <c r="B21" s="29" t="str">
        <v>MA</v>
      </c>
      <c r="C21" s="11">
        <v>431701.5</v>
      </c>
      <c r="D21" s="18">
        <v>428527.4</v>
      </c>
      <c r="E21" s="18">
        <f t="shared" si="4"/>
        <v>3174.0999999999767</v>
      </c>
      <c r="F21" s="19">
        <f t="shared" si="5"/>
        <v>7.4069942785454949E-3</v>
      </c>
      <c r="G21" s="20">
        <v>363351</v>
      </c>
      <c r="H21" s="20">
        <f t="shared" si="6"/>
        <v>68350.5</v>
      </c>
      <c r="I21" s="19">
        <f t="shared" si="7"/>
        <v>0.18811149549609055</v>
      </c>
      <c r="J21" s="48" t="s">
        <v>281</v>
      </c>
      <c r="K21" s="48" t="s">
        <v>282</v>
      </c>
    </row>
    <row r="22" spans="1:11" ht="42.75" customHeight="1">
      <c r="A22" s="56" t="str">
        <v>Pulpit Hill</v>
      </c>
      <c r="B22" s="27" t="str">
        <v>MA</v>
      </c>
      <c r="C22" s="24">
        <v>597491.5</v>
      </c>
      <c r="D22" s="13">
        <v>585625.9</v>
      </c>
      <c r="E22" s="13">
        <f t="shared" si="4"/>
        <v>11865.599999999977</v>
      </c>
      <c r="F22" s="14">
        <f t="shared" si="5"/>
        <v>2.0261398957935391E-2</v>
      </c>
      <c r="G22" s="15">
        <v>564300</v>
      </c>
      <c r="H22" s="15">
        <f t="shared" si="6"/>
        <v>33191.5</v>
      </c>
      <c r="I22" s="16">
        <f t="shared" si="7"/>
        <v>5.8818890660995923E-2</v>
      </c>
      <c r="J22" s="38" t="s">
        <v>283</v>
      </c>
      <c r="K22" s="38" t="s">
        <v>284</v>
      </c>
    </row>
    <row r="23" spans="1:11" ht="15.6">
      <c r="A23" s="28" t="str">
        <v>Sandwich</v>
      </c>
      <c r="B23" s="29" t="str">
        <v>MA</v>
      </c>
      <c r="C23" s="11">
        <v>469430</v>
      </c>
      <c r="D23" s="18">
        <v>0</v>
      </c>
      <c r="E23" s="18">
        <f t="shared" si="4"/>
        <v>469430</v>
      </c>
      <c r="F23" s="19" t="str">
        <f t="shared" si="5"/>
        <v/>
      </c>
      <c r="G23" s="20">
        <v>0</v>
      </c>
      <c r="H23" s="20">
        <f t="shared" si="6"/>
        <v>469430</v>
      </c>
      <c r="I23" s="19" t="str">
        <f t="shared" si="7"/>
        <v/>
      </c>
      <c r="J23" s="39"/>
      <c r="K23" s="39"/>
    </row>
    <row r="24" spans="1:11" ht="15.6">
      <c r="A24" s="56" t="str">
        <v>Sturbridge Barn</v>
      </c>
      <c r="B24" s="27" t="str">
        <v>MA</v>
      </c>
      <c r="C24" s="24">
        <v>159114.5</v>
      </c>
      <c r="D24" s="13">
        <v>165239.6</v>
      </c>
      <c r="E24" s="13">
        <f t="shared" si="4"/>
        <v>-6125.1000000000058</v>
      </c>
      <c r="F24" s="14">
        <f t="shared" si="5"/>
        <v>-3.7067990965845996E-2</v>
      </c>
      <c r="G24" s="15">
        <v>150444</v>
      </c>
      <c r="H24" s="15">
        <f t="shared" si="6"/>
        <v>8670.5</v>
      </c>
      <c r="I24" s="16">
        <f t="shared" si="7"/>
        <v>5.7632740421685147E-2</v>
      </c>
      <c r="J24" s="38"/>
      <c r="K24" s="38"/>
    </row>
    <row r="25" spans="1:11" ht="15.6">
      <c r="A25" s="28" t="str">
        <v>Sturbridge Garage</v>
      </c>
      <c r="B25" s="29" t="str">
        <v>MA</v>
      </c>
      <c r="C25" s="11">
        <v>79165</v>
      </c>
      <c r="D25" s="18">
        <v>79073.279999999999</v>
      </c>
      <c r="E25" s="18">
        <f t="shared" si="4"/>
        <v>91.720000000001164</v>
      </c>
      <c r="F25" s="19">
        <f t="shared" si="5"/>
        <v>1.1599367068117216E-3</v>
      </c>
      <c r="G25" s="20">
        <v>65098</v>
      </c>
      <c r="H25" s="20">
        <f t="shared" si="6"/>
        <v>14067</v>
      </c>
      <c r="I25" s="19">
        <f t="shared" si="7"/>
        <v>0.21608958800577591</v>
      </c>
      <c r="J25" s="39"/>
      <c r="K25" s="39"/>
    </row>
    <row r="26" spans="1:11" ht="15.6">
      <c r="A26" s="56" t="str">
        <v>Halsey Valley</v>
      </c>
      <c r="B26" s="27" t="str">
        <v>NY</v>
      </c>
      <c r="C26" s="24">
        <v>816279</v>
      </c>
      <c r="D26" s="13">
        <v>815179.7</v>
      </c>
      <c r="E26" s="13">
        <f t="shared" si="4"/>
        <v>1099.3000000000466</v>
      </c>
      <c r="F26" s="14">
        <f t="shared" si="5"/>
        <v>1.3485370158261383E-3</v>
      </c>
      <c r="G26" s="15">
        <v>659000</v>
      </c>
      <c r="H26" s="15">
        <f t="shared" si="6"/>
        <v>157279</v>
      </c>
      <c r="I26" s="16">
        <f t="shared" si="7"/>
        <v>0.23866312594840669</v>
      </c>
      <c r="J26" s="38"/>
      <c r="K26" s="38"/>
    </row>
    <row r="27" spans="1:11" ht="43.5">
      <c r="A27" s="28" t="str">
        <v>Hunt Creek</v>
      </c>
      <c r="B27" s="29" t="str">
        <v>NY</v>
      </c>
      <c r="C27" s="11">
        <v>498855.00000000198</v>
      </c>
      <c r="D27" s="18">
        <v>567841.4</v>
      </c>
      <c r="E27" s="18">
        <f t="shared" si="4"/>
        <v>-68986.399999998044</v>
      </c>
      <c r="F27" s="19">
        <f t="shared" si="5"/>
        <v>-0.12148885234503515</v>
      </c>
      <c r="G27" s="20">
        <v>444300</v>
      </c>
      <c r="H27" s="20">
        <f t="shared" si="6"/>
        <v>54555.000000001979</v>
      </c>
      <c r="I27" s="19">
        <f t="shared" si="7"/>
        <v>0.12278865631330628</v>
      </c>
      <c r="J27" s="39" t="s">
        <v>285</v>
      </c>
      <c r="K27" s="49" t="s">
        <v>286</v>
      </c>
    </row>
    <row r="28" spans="1:11" ht="15.6">
      <c r="A28" s="56" t="str">
        <v>Smith Creek</v>
      </c>
      <c r="B28" s="27" t="str">
        <v>NY</v>
      </c>
      <c r="C28" s="24">
        <v>616501</v>
      </c>
      <c r="D28" s="13">
        <v>636002.1</v>
      </c>
      <c r="E28" s="13">
        <f t="shared" si="4"/>
        <v>-19501.099999999977</v>
      </c>
      <c r="F28" s="14">
        <f t="shared" si="5"/>
        <v>-3.0662005675767386E-2</v>
      </c>
      <c r="G28" s="15">
        <v>496640</v>
      </c>
      <c r="H28" s="15">
        <f t="shared" si="6"/>
        <v>119861</v>
      </c>
      <c r="I28" s="16">
        <f t="shared" si="7"/>
        <v>0.24134383054123712</v>
      </c>
      <c r="J28" s="38" t="s">
        <v>287</v>
      </c>
      <c r="K28" s="38" t="s">
        <v>288</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3 I4:I103">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5"/>
  <sheetViews>
    <sheetView zoomScale="70" zoomScaleNormal="70" workbookViewId="0">
      <pane xSplit="2" ySplit="3" topLeftCell="C13" activePane="bottomRight" state="frozen"/>
      <selection pane="bottomRight" activeCell="D23" sqref="D23"/>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289</v>
      </c>
      <c r="E1" s="61"/>
      <c r="F1" s="61"/>
      <c r="G1" s="59" t="s">
        <v>290</v>
      </c>
      <c r="H1" s="59"/>
      <c r="I1" s="59"/>
      <c r="J1" s="4"/>
      <c r="K1" s="4"/>
    </row>
    <row r="2" spans="1:11" ht="19.5" customHeight="1">
      <c r="A2" s="62" t="s">
        <v>2</v>
      </c>
      <c r="B2" s="62"/>
      <c r="C2" s="5">
        <f>SUM(C4:C103)</f>
        <v>4662567.2993747592</v>
      </c>
      <c r="D2" s="5">
        <f>SUM(D4:D103)</f>
        <v>4816136.9600000009</v>
      </c>
      <c r="E2" s="5">
        <f>C2-D2</f>
        <v>-153569.6606252417</v>
      </c>
      <c r="F2" s="6">
        <f>IFERROR(E2/D2, 0)</f>
        <v>-3.1886481198666258E-2</v>
      </c>
      <c r="G2" s="5">
        <f>SUM(G4:G103)</f>
        <v>3557743</v>
      </c>
      <c r="H2" s="7">
        <f>C2-G2</f>
        <v>1104824.2993747592</v>
      </c>
      <c r="I2" s="6">
        <f>IFERROR(H2/G2, 0)</f>
        <v>0.31054078368638749</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6">
      <c r="A4" s="30" t="str" cm="1">
        <f t="array" ref="A4:A28">Sites[Site]</f>
        <v>Barkhamsted</v>
      </c>
      <c r="B4" s="27" t="str" cm="1">
        <f t="array" ref="B4:B28">Sites[State]</f>
        <v>CT</v>
      </c>
      <c r="C4" s="24">
        <v>121796</v>
      </c>
      <c r="D4" s="13">
        <v>140174.39999999999</v>
      </c>
      <c r="E4" s="13">
        <f>IF(AND(ISNUMBER(C4),ISNUMBER(D4)), C4-D4, "")</f>
        <v>-18378.399999999994</v>
      </c>
      <c r="F4" s="14">
        <f>IFERROR(E4/D4, "")</f>
        <v>-0.13111095891974564</v>
      </c>
      <c r="G4" s="15">
        <v>100400</v>
      </c>
      <c r="H4" s="15">
        <f>IF(AND(ISNUMBER(C4),ISNUMBER(G4)), C4-G4, "")</f>
        <v>21396</v>
      </c>
      <c r="I4" s="16">
        <f>IFERROR(H4/G4, "")</f>
        <v>0.21310756972111553</v>
      </c>
      <c r="J4" s="38" t="s">
        <v>263</v>
      </c>
      <c r="K4" s="38" t="s">
        <v>264</v>
      </c>
    </row>
    <row r="5" spans="1:11" ht="15.6">
      <c r="A5" s="28" t="str">
        <v>Bunce</v>
      </c>
      <c r="B5" s="29" t="str">
        <v>CT</v>
      </c>
      <c r="C5" s="11">
        <v>200627</v>
      </c>
      <c r="D5" s="18">
        <v>229093.5</v>
      </c>
      <c r="E5" s="18">
        <f t="shared" ref="E5:E27" si="0">IF(AND(ISNUMBER(C5),ISNUMBER(D5)), C5-D5, "")</f>
        <v>-28466.5</v>
      </c>
      <c r="F5" s="19">
        <f>IFERROR(E5/D5, "")</f>
        <v>-0.12425712645710157</v>
      </c>
      <c r="G5" s="20">
        <v>0</v>
      </c>
      <c r="H5" s="20">
        <f t="shared" ref="H5:H27" si="1">IF(AND(ISNUMBER(C5),ISNUMBER(G5)), C5-G5, "")</f>
        <v>200627</v>
      </c>
      <c r="I5" s="16" t="str">
        <f>IFERROR(H5/G5, "")</f>
        <v/>
      </c>
      <c r="J5" s="39"/>
      <c r="K5" s="39"/>
    </row>
    <row r="6" spans="1:11" ht="15.6">
      <c r="A6" s="30" t="str">
        <v>Norcap North</v>
      </c>
      <c r="B6" s="27" t="str">
        <v>CT</v>
      </c>
      <c r="C6" s="24">
        <v>230392.5</v>
      </c>
      <c r="D6" s="13">
        <v>305241.3</v>
      </c>
      <c r="E6" s="13">
        <f t="shared" si="0"/>
        <v>-74848.799999999988</v>
      </c>
      <c r="F6" s="14">
        <f t="shared" ref="F6:F27" si="2">IFERROR(E6/D6, "")</f>
        <v>-0.24521190284538819</v>
      </c>
      <c r="G6" s="15">
        <v>207700</v>
      </c>
      <c r="H6" s="15">
        <f t="shared" si="1"/>
        <v>22692.5</v>
      </c>
      <c r="I6" s="16">
        <f t="shared" ref="I6:I27" si="3">IFERROR(H6/G6, "")</f>
        <v>0.10925613866153105</v>
      </c>
      <c r="J6" s="38" t="s">
        <v>291</v>
      </c>
      <c r="K6" s="38" t="s">
        <v>292</v>
      </c>
    </row>
    <row r="7" spans="1:11" ht="15.6">
      <c r="A7" s="28" t="str">
        <v>Norcap South</v>
      </c>
      <c r="B7" s="29" t="str">
        <v>CT</v>
      </c>
      <c r="C7" s="11">
        <v>240989.5</v>
      </c>
      <c r="D7" s="18">
        <v>328122.5</v>
      </c>
      <c r="E7" s="18">
        <f t="shared" si="0"/>
        <v>-87133</v>
      </c>
      <c r="F7" s="19">
        <f t="shared" si="2"/>
        <v>-0.26555021371591403</v>
      </c>
      <c r="G7" s="20">
        <v>188100</v>
      </c>
      <c r="H7" s="20">
        <f t="shared" si="1"/>
        <v>52889.5</v>
      </c>
      <c r="I7" s="19">
        <f t="shared" si="3"/>
        <v>0.28117756512493353</v>
      </c>
      <c r="J7" s="39" t="s">
        <v>293</v>
      </c>
      <c r="K7" s="39" t="s">
        <v>294</v>
      </c>
    </row>
    <row r="8" spans="1:11" ht="66" customHeight="1">
      <c r="A8" s="30" t="str">
        <v>Platt Hill</v>
      </c>
      <c r="B8" s="27" t="str">
        <v>CT</v>
      </c>
      <c r="C8" s="24">
        <v>160963.06937475901</v>
      </c>
      <c r="D8" s="13">
        <v>191145.3</v>
      </c>
      <c r="E8" s="13">
        <f t="shared" si="0"/>
        <v>-30182.230625240976</v>
      </c>
      <c r="F8" s="14">
        <f t="shared" si="2"/>
        <v>-0.1579020285889372</v>
      </c>
      <c r="G8" s="15">
        <v>218480</v>
      </c>
      <c r="H8" s="15">
        <f t="shared" si="1"/>
        <v>-57516.930625240988</v>
      </c>
      <c r="I8" s="16">
        <f t="shared" si="3"/>
        <v>-0.26325947741322314</v>
      </c>
      <c r="J8" s="38" t="s">
        <v>295</v>
      </c>
      <c r="K8" s="38" t="s">
        <v>296</v>
      </c>
    </row>
    <row r="9" spans="1:11" ht="100.5" customHeight="1">
      <c r="A9" s="28" t="str">
        <v>Powder Hill</v>
      </c>
      <c r="B9" s="29" t="str">
        <v>CT</v>
      </c>
      <c r="C9" s="11">
        <v>213626</v>
      </c>
      <c r="D9" s="18">
        <v>226240.1</v>
      </c>
      <c r="E9" s="18">
        <f t="shared" si="0"/>
        <v>-12614.100000000006</v>
      </c>
      <c r="F9" s="19">
        <f t="shared" si="2"/>
        <v>-5.575536785919033E-2</v>
      </c>
      <c r="G9" s="20">
        <v>141768</v>
      </c>
      <c r="H9" s="20">
        <f t="shared" si="1"/>
        <v>71858</v>
      </c>
      <c r="I9" s="19">
        <f t="shared" si="3"/>
        <v>0.50687037977540772</v>
      </c>
      <c r="J9" s="48" t="s">
        <v>297</v>
      </c>
      <c r="K9" s="48" t="s">
        <v>298</v>
      </c>
    </row>
    <row r="10" spans="1:11" ht="15.6">
      <c r="A10" s="30" t="str">
        <v>Sand Road</v>
      </c>
      <c r="B10" s="27" t="str">
        <v>CT</v>
      </c>
      <c r="C10" s="24">
        <v>222258</v>
      </c>
      <c r="D10" s="13">
        <v>209802.6</v>
      </c>
      <c r="E10" s="13">
        <f t="shared" si="0"/>
        <v>12455.399999999994</v>
      </c>
      <c r="F10" s="14">
        <f t="shared" si="2"/>
        <v>5.9367233771173443E-2</v>
      </c>
      <c r="G10" s="15">
        <v>135386</v>
      </c>
      <c r="H10" s="15">
        <f t="shared" si="1"/>
        <v>86872</v>
      </c>
      <c r="I10" s="16">
        <f t="shared" si="3"/>
        <v>0.64166161936980193</v>
      </c>
      <c r="J10" s="38"/>
      <c r="K10" s="38"/>
    </row>
    <row r="11" spans="1:11" ht="15.6">
      <c r="A11" s="28" t="str">
        <v>Suffield</v>
      </c>
      <c r="B11" s="29" t="str">
        <v>CT</v>
      </c>
      <c r="C11" s="11">
        <v>242545.00000000201</v>
      </c>
      <c r="D11" s="18">
        <v>228953.9</v>
      </c>
      <c r="E11" s="18">
        <f t="shared" si="0"/>
        <v>13591.100000002014</v>
      </c>
      <c r="F11" s="19">
        <f t="shared" si="2"/>
        <v>5.9361731772212725E-2</v>
      </c>
      <c r="G11" s="20">
        <v>196200</v>
      </c>
      <c r="H11" s="20">
        <f t="shared" si="1"/>
        <v>46345.000000002008</v>
      </c>
      <c r="I11" s="19">
        <f t="shared" si="3"/>
        <v>0.23621304791030584</v>
      </c>
      <c r="J11" s="39"/>
      <c r="K11" s="39"/>
    </row>
    <row r="12" spans="1:11" ht="51.75" customHeight="1">
      <c r="A12" s="56" t="str">
        <v>Ashby-Duffy</v>
      </c>
      <c r="B12" s="27" t="str">
        <v>MA</v>
      </c>
      <c r="C12" s="24">
        <v>182771</v>
      </c>
      <c r="D12" s="13">
        <v>278791.3</v>
      </c>
      <c r="E12" s="13">
        <f t="shared" si="0"/>
        <v>-96020.299999999988</v>
      </c>
      <c r="F12" s="14">
        <f t="shared" si="2"/>
        <v>-0.34441641471595419</v>
      </c>
      <c r="G12" s="15">
        <v>184400</v>
      </c>
      <c r="H12" s="15">
        <f t="shared" si="1"/>
        <v>-1629</v>
      </c>
      <c r="I12" s="16">
        <f t="shared" si="3"/>
        <v>-8.8340563991323208E-3</v>
      </c>
      <c r="J12" s="38" t="s">
        <v>299</v>
      </c>
      <c r="K12" s="38" t="s">
        <v>300</v>
      </c>
    </row>
    <row r="13" spans="1:11" ht="129.75" customHeight="1">
      <c r="A13" s="28" t="str">
        <v>Ashland</v>
      </c>
      <c r="B13" s="29" t="str">
        <v>MA</v>
      </c>
      <c r="C13" s="11">
        <v>190657.5</v>
      </c>
      <c r="D13" s="18">
        <v>241854.6</v>
      </c>
      <c r="E13" s="18">
        <f t="shared" si="0"/>
        <v>-51197.100000000006</v>
      </c>
      <c r="F13" s="19">
        <f>IFERROR(E13/D13, "")</f>
        <v>-0.21168545067987132</v>
      </c>
      <c r="G13" s="20">
        <v>159800</v>
      </c>
      <c r="H13" s="20">
        <f t="shared" si="1"/>
        <v>30857.5</v>
      </c>
      <c r="I13" s="19">
        <f t="shared" si="3"/>
        <v>0.19310075093867335</v>
      </c>
      <c r="J13" s="48" t="s">
        <v>301</v>
      </c>
      <c r="K13" s="48" t="s">
        <v>302</v>
      </c>
    </row>
    <row r="14" spans="1:11" ht="15.6">
      <c r="A14" s="30" t="str">
        <v>Barrington</v>
      </c>
      <c r="B14" s="27" t="str">
        <v>MA</v>
      </c>
      <c r="C14" s="24">
        <v>40584</v>
      </c>
      <c r="D14" s="13">
        <v>34890.5</v>
      </c>
      <c r="E14" s="13">
        <f t="shared" si="0"/>
        <v>5693.5</v>
      </c>
      <c r="F14" s="14">
        <f t="shared" si="2"/>
        <v>0.16318195497341684</v>
      </c>
      <c r="G14" s="15">
        <v>39410</v>
      </c>
      <c r="H14" s="15">
        <f t="shared" si="1"/>
        <v>1174</v>
      </c>
      <c r="I14" s="16">
        <f t="shared" si="3"/>
        <v>2.9789393554935296E-2</v>
      </c>
      <c r="J14" s="38" t="s">
        <v>303</v>
      </c>
      <c r="K14" s="38" t="s">
        <v>304</v>
      </c>
    </row>
    <row r="15" spans="1:11" ht="15.6">
      <c r="A15" s="28" t="str">
        <v>Bedford - 205 Burlington Rd</v>
      </c>
      <c r="B15" s="29" t="str">
        <v>MA</v>
      </c>
      <c r="C15" s="11">
        <v>20874</v>
      </c>
      <c r="D15" s="18">
        <v>0</v>
      </c>
      <c r="E15" s="18">
        <f t="shared" si="0"/>
        <v>20874</v>
      </c>
      <c r="F15" s="19" t="str">
        <f>IFERROR(E15/D15, "")</f>
        <v/>
      </c>
      <c r="G15" s="20">
        <v>0</v>
      </c>
      <c r="H15" s="20">
        <f t="shared" si="1"/>
        <v>20874</v>
      </c>
      <c r="I15" s="19" t="str">
        <f t="shared" si="3"/>
        <v/>
      </c>
      <c r="J15" s="39"/>
      <c r="K15" s="39"/>
    </row>
    <row r="16" spans="1:11" ht="15.6">
      <c r="A16" s="30" t="str">
        <v>Billerica - 6 Cook Street</v>
      </c>
      <c r="B16" s="27" t="str">
        <v>MA</v>
      </c>
      <c r="C16" s="24">
        <v>17711</v>
      </c>
      <c r="D16" s="13">
        <v>0</v>
      </c>
      <c r="E16" s="13">
        <f t="shared" si="0"/>
        <v>17711</v>
      </c>
      <c r="F16" s="14" t="str">
        <f t="shared" si="2"/>
        <v/>
      </c>
      <c r="G16" s="15">
        <v>0</v>
      </c>
      <c r="H16" s="15">
        <f t="shared" si="1"/>
        <v>17711</v>
      </c>
      <c r="I16" s="16" t="str">
        <f t="shared" si="3"/>
        <v/>
      </c>
      <c r="J16" s="38"/>
      <c r="K16" s="38"/>
    </row>
    <row r="17" spans="1:11" ht="15.6">
      <c r="A17" s="28" t="str">
        <v>Billerica - 780 Boston Road</v>
      </c>
      <c r="B17" s="29" t="str">
        <v>MA</v>
      </c>
      <c r="C17" s="11">
        <v>20293</v>
      </c>
      <c r="D17" s="18">
        <v>0</v>
      </c>
      <c r="E17" s="18">
        <f t="shared" si="0"/>
        <v>20293</v>
      </c>
      <c r="F17" s="19" t="str">
        <f t="shared" si="2"/>
        <v/>
      </c>
      <c r="G17" s="20">
        <v>0</v>
      </c>
      <c r="H17" s="20">
        <f t="shared" si="1"/>
        <v>20293</v>
      </c>
      <c r="I17" s="19" t="str">
        <f t="shared" si="3"/>
        <v/>
      </c>
      <c r="J17" s="39"/>
      <c r="K17" s="39"/>
    </row>
    <row r="18" spans="1:11" ht="12.75" customHeight="1">
      <c r="A18" s="30" t="str">
        <v>Cheshire</v>
      </c>
      <c r="B18" s="27" t="str">
        <v>MA</v>
      </c>
      <c r="C18" s="24">
        <v>43973</v>
      </c>
      <c r="D18" s="13">
        <v>47803.39</v>
      </c>
      <c r="E18" s="13">
        <f t="shared" si="0"/>
        <v>-3830.3899999999994</v>
      </c>
      <c r="F18" s="14">
        <f t="shared" si="2"/>
        <v>-8.0127999290426882E-2</v>
      </c>
      <c r="G18" s="15">
        <v>22459</v>
      </c>
      <c r="H18" s="15">
        <f t="shared" si="1"/>
        <v>21514</v>
      </c>
      <c r="I18" s="16">
        <f t="shared" si="3"/>
        <v>0.95792332695133353</v>
      </c>
      <c r="J18" s="38"/>
      <c r="K18" s="38"/>
    </row>
    <row r="19" spans="1:11" ht="15.6">
      <c r="A19" s="28" t="str">
        <v>Lilly Lane</v>
      </c>
      <c r="B19" s="29" t="str">
        <v>MA</v>
      </c>
      <c r="C19" s="11">
        <v>109994.5</v>
      </c>
      <c r="D19" s="18">
        <v>96719.5</v>
      </c>
      <c r="E19" s="18">
        <f t="shared" si="0"/>
        <v>13275</v>
      </c>
      <c r="F19" s="19">
        <f t="shared" si="2"/>
        <v>0.13725257057780488</v>
      </c>
      <c r="G19" s="20">
        <v>109658</v>
      </c>
      <c r="H19" s="20">
        <f t="shared" si="1"/>
        <v>336.5</v>
      </c>
      <c r="I19" s="19">
        <f t="shared" si="3"/>
        <v>3.068631563588612E-3</v>
      </c>
      <c r="J19" s="39"/>
      <c r="K19" s="39"/>
    </row>
    <row r="20" spans="1:11" ht="93.6" customHeight="1">
      <c r="A20" s="56" t="str">
        <v>Monument Valley</v>
      </c>
      <c r="B20" s="27" t="str">
        <v>MA</v>
      </c>
      <c r="C20" s="24">
        <v>133545.98000000001</v>
      </c>
      <c r="D20" s="13">
        <v>46659.62</v>
      </c>
      <c r="E20" s="13">
        <f t="shared" si="0"/>
        <v>86886.360000000015</v>
      </c>
      <c r="F20" s="14">
        <f t="shared" si="2"/>
        <v>1.8621317533233235</v>
      </c>
      <c r="G20" s="15">
        <v>0</v>
      </c>
      <c r="H20" s="15">
        <f t="shared" si="1"/>
        <v>133545.98000000001</v>
      </c>
      <c r="I20" s="16" t="str">
        <f t="shared" si="3"/>
        <v/>
      </c>
      <c r="J20" s="38" t="s">
        <v>305</v>
      </c>
      <c r="K20" s="38" t="s">
        <v>306</v>
      </c>
    </row>
    <row r="21" spans="1:11" ht="15.6">
      <c r="A21" s="28" t="str">
        <v>Nationwide</v>
      </c>
      <c r="B21" s="29" t="str">
        <v>MA</v>
      </c>
      <c r="C21" s="11">
        <v>296129</v>
      </c>
      <c r="D21" s="18">
        <v>346793.7</v>
      </c>
      <c r="E21" s="18">
        <f t="shared" si="0"/>
        <v>-50664.700000000012</v>
      </c>
      <c r="F21" s="19">
        <f t="shared" si="2"/>
        <v>-0.14609463782069862</v>
      </c>
      <c r="G21" s="20">
        <v>264275</v>
      </c>
      <c r="H21" s="20">
        <f t="shared" si="1"/>
        <v>31854</v>
      </c>
      <c r="I21" s="19">
        <f t="shared" si="3"/>
        <v>0.12053353514331662</v>
      </c>
      <c r="J21" s="39"/>
      <c r="K21" s="39"/>
    </row>
    <row r="22" spans="1:11" ht="36.75" customHeight="1">
      <c r="A22" s="30" t="str">
        <v>Pulpit Hill</v>
      </c>
      <c r="B22" s="27" t="str">
        <v>MA</v>
      </c>
      <c r="C22" s="24">
        <v>455816</v>
      </c>
      <c r="D22" s="13">
        <v>476943.9</v>
      </c>
      <c r="E22" s="13">
        <f t="shared" si="0"/>
        <v>-21127.900000000023</v>
      </c>
      <c r="F22" s="14">
        <f t="shared" si="2"/>
        <v>-4.4298501354142539E-2</v>
      </c>
      <c r="G22" s="15">
        <v>360100</v>
      </c>
      <c r="H22" s="15">
        <f t="shared" si="1"/>
        <v>95716</v>
      </c>
      <c r="I22" s="16">
        <f t="shared" si="3"/>
        <v>0.2658039433490697</v>
      </c>
      <c r="J22" s="38" t="s">
        <v>307</v>
      </c>
      <c r="K22" s="38" t="s">
        <v>308</v>
      </c>
    </row>
    <row r="23" spans="1:11" ht="15.6">
      <c r="A23" s="28" t="str">
        <v>Sandwich</v>
      </c>
      <c r="B23" s="29" t="str">
        <v>MA</v>
      </c>
      <c r="C23" s="11">
        <v>336585</v>
      </c>
      <c r="D23" s="18">
        <v>0</v>
      </c>
      <c r="E23" s="18">
        <f t="shared" si="0"/>
        <v>336585</v>
      </c>
      <c r="F23" s="19" t="str">
        <f t="shared" si="2"/>
        <v/>
      </c>
      <c r="G23" s="20">
        <v>0</v>
      </c>
      <c r="H23" s="20">
        <f t="shared" si="1"/>
        <v>336585</v>
      </c>
      <c r="I23" s="19" t="str">
        <f t="shared" si="3"/>
        <v/>
      </c>
      <c r="J23" s="39"/>
      <c r="K23" s="39"/>
    </row>
    <row r="24" spans="1:11" ht="55.5" customHeight="1">
      <c r="A24" s="30" t="str">
        <v>Sturbridge Barn</v>
      </c>
      <c r="B24" s="27" t="str">
        <v>MA</v>
      </c>
      <c r="C24" s="24">
        <v>117841</v>
      </c>
      <c r="D24" s="13">
        <v>130627.7</v>
      </c>
      <c r="E24" s="13">
        <f t="shared" si="0"/>
        <v>-12786.699999999997</v>
      </c>
      <c r="F24" s="14">
        <f t="shared" si="2"/>
        <v>-9.7886589138444585E-2</v>
      </c>
      <c r="G24" s="15">
        <v>106259</v>
      </c>
      <c r="H24" s="15">
        <f t="shared" si="1"/>
        <v>11582</v>
      </c>
      <c r="I24" s="16">
        <f t="shared" si="3"/>
        <v>0.1089978260664979</v>
      </c>
      <c r="J24" s="38" t="s">
        <v>309</v>
      </c>
      <c r="K24" s="38" t="s">
        <v>310</v>
      </c>
    </row>
    <row r="25" spans="1:11" ht="57" customHeight="1">
      <c r="A25" s="28" t="str">
        <v>Sturbridge Garage</v>
      </c>
      <c r="B25" s="29" t="str">
        <v>MA</v>
      </c>
      <c r="C25" s="11">
        <v>58046.25</v>
      </c>
      <c r="D25" s="18">
        <v>61680.25</v>
      </c>
      <c r="E25" s="18">
        <f t="shared" si="0"/>
        <v>-3634</v>
      </c>
      <c r="F25" s="19">
        <f t="shared" si="2"/>
        <v>-5.891675212081663E-2</v>
      </c>
      <c r="G25" s="20">
        <v>54168</v>
      </c>
      <c r="H25" s="20">
        <f t="shared" si="1"/>
        <v>3878.25</v>
      </c>
      <c r="I25" s="19">
        <f t="shared" si="3"/>
        <v>7.159669915817457E-2</v>
      </c>
      <c r="J25" s="39" t="s">
        <v>311</v>
      </c>
      <c r="K25" s="48" t="s">
        <v>312</v>
      </c>
    </row>
    <row r="26" spans="1:11" ht="43.5">
      <c r="A26" s="30" t="str">
        <v>Halsey Valley</v>
      </c>
      <c r="B26" s="27" t="str">
        <v>NY</v>
      </c>
      <c r="C26" s="24">
        <v>460237</v>
      </c>
      <c r="D26" s="13">
        <v>485214.1</v>
      </c>
      <c r="E26" s="13">
        <f t="shared" si="0"/>
        <v>-24977.099999999977</v>
      </c>
      <c r="F26" s="14">
        <f t="shared" si="2"/>
        <v>-5.1476451323240559E-2</v>
      </c>
      <c r="G26" s="15">
        <v>424000</v>
      </c>
      <c r="H26" s="15">
        <f t="shared" si="1"/>
        <v>36237</v>
      </c>
      <c r="I26" s="16">
        <f t="shared" si="3"/>
        <v>8.5464622641509433E-2</v>
      </c>
      <c r="J26" s="38" t="s">
        <v>313</v>
      </c>
      <c r="K26" s="38" t="s">
        <v>314</v>
      </c>
    </row>
    <row r="27" spans="1:11" ht="72" customHeight="1">
      <c r="A27" s="28" t="str">
        <v>Hunt Creek</v>
      </c>
      <c r="B27" s="29" t="str">
        <v>NY</v>
      </c>
      <c r="C27" s="11">
        <v>209763.99999999799</v>
      </c>
      <c r="D27" s="18">
        <v>325319.59999999998</v>
      </c>
      <c r="E27" s="18">
        <f t="shared" si="0"/>
        <v>-115555.60000000198</v>
      </c>
      <c r="F27" s="19">
        <f t="shared" si="2"/>
        <v>-0.35520638781063912</v>
      </c>
      <c r="G27" s="20">
        <v>254400</v>
      </c>
      <c r="H27" s="20">
        <f t="shared" si="1"/>
        <v>-44636.000000002008</v>
      </c>
      <c r="I27" s="19">
        <f t="shared" si="3"/>
        <v>-0.1754559748427752</v>
      </c>
      <c r="J27" s="49" t="s">
        <v>315</v>
      </c>
      <c r="K27" s="48" t="s">
        <v>316</v>
      </c>
    </row>
    <row r="28" spans="1:11" ht="31.5" customHeight="1">
      <c r="A28" s="30" t="str">
        <v>Smith Creek</v>
      </c>
      <c r="B28" s="27" t="str">
        <v>NY</v>
      </c>
      <c r="C28" s="24">
        <v>334548</v>
      </c>
      <c r="D28" s="13">
        <v>384065.2</v>
      </c>
      <c r="E28" s="13">
        <f>IF(AND(ISNUMBER(C28),ISNUMBER(D28)), C28-D28, "")</f>
        <v>-49517.200000000012</v>
      </c>
      <c r="F28" s="14">
        <f>IFERROR(E28/D28, "")</f>
        <v>-0.12892915057130927</v>
      </c>
      <c r="G28" s="15">
        <v>390780</v>
      </c>
      <c r="H28" s="15">
        <f>IF(AND(ISNUMBER(C28),ISNUMBER(G28)), C28-G28, "")</f>
        <v>-56232</v>
      </c>
      <c r="I28" s="16">
        <f>IFERROR(H28/G28, "")</f>
        <v>-0.14389682174113311</v>
      </c>
      <c r="J28" s="38" t="s">
        <v>317</v>
      </c>
      <c r="K28" s="38" t="s">
        <v>318</v>
      </c>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workbookViewId="0">
      <pane xSplit="2" ySplit="3" topLeftCell="C13" activePane="bottomRight" state="frozen"/>
      <selection pane="bottomRight" activeCell="G23" sqref="G23"/>
      <selection pane="bottomLeft" activeCell="F21" sqref="F21"/>
      <selection pane="topRight" activeCell="F21" sqref="F21"/>
    </sheetView>
  </sheetViews>
  <sheetFormatPr defaultRowHeight="14.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Lodestar</v>
      </c>
      <c r="B1" s="60"/>
      <c r="C1" s="60"/>
      <c r="D1" s="61" t="s">
        <v>319</v>
      </c>
      <c r="E1" s="61"/>
      <c r="F1" s="61"/>
      <c r="G1" s="59" t="s">
        <v>320</v>
      </c>
      <c r="H1" s="59"/>
      <c r="I1" s="59"/>
      <c r="J1" s="4"/>
      <c r="K1" s="4"/>
    </row>
    <row r="2" spans="1:11" ht="19.5" customHeight="1">
      <c r="A2" s="62" t="s">
        <v>2</v>
      </c>
      <c r="B2" s="62"/>
      <c r="C2" s="5">
        <f>SUM(C4:C103)</f>
        <v>2987449.2699999977</v>
      </c>
      <c r="D2" s="5">
        <f>SUM(D4:D103)</f>
        <v>3894483.1500000004</v>
      </c>
      <c r="E2" s="5">
        <f>C2-D2</f>
        <v>-907033.88000000268</v>
      </c>
      <c r="F2" s="6">
        <f>IFERROR(E2/D2, 0)</f>
        <v>-0.23290224788878663</v>
      </c>
      <c r="G2" s="5">
        <f>SUM(G4:G103)</f>
        <v>2833148.94</v>
      </c>
      <c r="H2" s="7">
        <f>C2-G2</f>
        <v>154300.32999999775</v>
      </c>
      <c r="I2" s="6">
        <f>IFERROR(H2/G2, 0)</f>
        <v>5.4462484418485162E-2</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28">Sites[Site]</f>
        <v>Barkhamsted</v>
      </c>
      <c r="B4" s="27" t="str" cm="1">
        <f t="array" ref="B4:B28">Sites[State]</f>
        <v>CT</v>
      </c>
      <c r="C4" s="24">
        <v>74571</v>
      </c>
      <c r="D4" s="13">
        <v>119163.7</v>
      </c>
      <c r="E4" s="13">
        <f>IF(AND(ISNUMBER(C4),ISNUMBER(D4)), C4-D4, "")</f>
        <v>-44592.7</v>
      </c>
      <c r="F4" s="14">
        <f>IFERROR(E4/D4, "")</f>
        <v>-0.37421379161607099</v>
      </c>
      <c r="G4" s="15">
        <v>77294.7</v>
      </c>
      <c r="H4" s="15">
        <f>IF(AND(ISNUMBER(C4),ISNUMBER(G4)), C4-G4, "")</f>
        <v>-2723.6999999999971</v>
      </c>
      <c r="I4" s="16">
        <f>IFERROR(H4/G4, "")</f>
        <v>-3.5237862363137411E-2</v>
      </c>
      <c r="J4" s="38" t="s">
        <v>321</v>
      </c>
      <c r="K4" s="38" t="s">
        <v>322</v>
      </c>
    </row>
    <row r="5" spans="1:11" ht="15.6">
      <c r="A5" s="28" t="str">
        <v>Bunce</v>
      </c>
      <c r="B5" s="29" t="str">
        <v>CT</v>
      </c>
      <c r="C5" s="11">
        <v>146370</v>
      </c>
      <c r="D5" s="18">
        <v>186733.2</v>
      </c>
      <c r="E5" s="18">
        <f t="shared" ref="E5:E28" si="0">IF(AND(ISNUMBER(C5),ISNUMBER(D5)), C5-D5, "")</f>
        <v>-40363.200000000012</v>
      </c>
      <c r="F5" s="19">
        <f t="shared" ref="F5:F28" si="1">IFERROR(E5/D5, "")</f>
        <v>-0.21615438497278475</v>
      </c>
      <c r="G5" s="20">
        <v>0</v>
      </c>
      <c r="H5" s="20">
        <f t="shared" ref="H5:H28" si="2">IF(AND(ISNUMBER(C5),ISNUMBER(G5)), C5-G5, "")</f>
        <v>146370</v>
      </c>
      <c r="I5" s="19" t="str">
        <f t="shared" ref="I5:I6" si="3">IFERROR(H5/G5, "")</f>
        <v/>
      </c>
      <c r="J5" s="39"/>
      <c r="K5" s="39"/>
    </row>
    <row r="6" spans="1:11" ht="43.5">
      <c r="A6" s="30" t="str">
        <v>Norcap North</v>
      </c>
      <c r="B6" s="27" t="str">
        <v>CT</v>
      </c>
      <c r="C6" s="24">
        <v>166140</v>
      </c>
      <c r="D6" s="13">
        <v>267078.59999999998</v>
      </c>
      <c r="E6" s="13">
        <f t="shared" si="0"/>
        <v>-100938.59999999998</v>
      </c>
      <c r="F6" s="14">
        <f t="shared" si="1"/>
        <v>-0.37793593346677712</v>
      </c>
      <c r="G6" s="15">
        <v>154109.20000000001</v>
      </c>
      <c r="H6" s="15">
        <f t="shared" si="2"/>
        <v>12030.799999999988</v>
      </c>
      <c r="I6" s="16">
        <f t="shared" si="3"/>
        <v>7.8066721519545801E-2</v>
      </c>
      <c r="J6" s="38" t="s">
        <v>323</v>
      </c>
      <c r="K6" s="38" t="s">
        <v>324</v>
      </c>
    </row>
    <row r="7" spans="1:11" ht="72.599999999999994">
      <c r="A7" s="28" t="str">
        <v>Norcap South</v>
      </c>
      <c r="B7" s="29" t="str">
        <v>CT</v>
      </c>
      <c r="C7" s="11">
        <v>184540</v>
      </c>
      <c r="D7" s="18">
        <v>283185.09999999998</v>
      </c>
      <c r="E7" s="18">
        <f t="shared" si="0"/>
        <v>-98645.099999999977</v>
      </c>
      <c r="F7" s="19">
        <f t="shared" si="1"/>
        <v>-0.34834142050552797</v>
      </c>
      <c r="G7" s="20">
        <v>130065.9</v>
      </c>
      <c r="H7" s="20">
        <f t="shared" si="2"/>
        <v>54474.100000000006</v>
      </c>
      <c r="I7" s="19">
        <f t="shared" ref="I7:I28" si="4">IFERROR(H7/G7, "")</f>
        <v>0.41881922932913246</v>
      </c>
      <c r="J7" s="49" t="s">
        <v>325</v>
      </c>
      <c r="K7" s="48" t="s">
        <v>326</v>
      </c>
    </row>
    <row r="8" spans="1:11" ht="37.5" customHeight="1">
      <c r="A8" s="56" t="str">
        <v>Platt Hill</v>
      </c>
      <c r="B8" s="27" t="str">
        <v>CT</v>
      </c>
      <c r="C8" s="24">
        <v>190958</v>
      </c>
      <c r="D8" s="13">
        <v>210857.1</v>
      </c>
      <c r="E8" s="13">
        <f t="shared" si="0"/>
        <v>-19899.100000000006</v>
      </c>
      <c r="F8" s="14">
        <f t="shared" si="1"/>
        <v>-9.4372444655645954E-2</v>
      </c>
      <c r="G8" s="15">
        <v>168780</v>
      </c>
      <c r="H8" s="15">
        <f t="shared" si="2"/>
        <v>22178</v>
      </c>
      <c r="I8" s="16">
        <f t="shared" si="4"/>
        <v>0.13140182486076549</v>
      </c>
      <c r="J8" s="38" t="s">
        <v>327</v>
      </c>
      <c r="K8" s="38" t="s">
        <v>328</v>
      </c>
    </row>
    <row r="9" spans="1:11" ht="31.5" customHeight="1">
      <c r="A9" s="28" t="str">
        <v>Powder Hill</v>
      </c>
      <c r="B9" s="29" t="str">
        <v>CT</v>
      </c>
      <c r="C9" s="11">
        <v>158479</v>
      </c>
      <c r="D9" s="18">
        <v>189397.1</v>
      </c>
      <c r="E9" s="18">
        <f t="shared" si="0"/>
        <v>-30918.100000000006</v>
      </c>
      <c r="F9" s="19">
        <f t="shared" si="1"/>
        <v>-0.16324484377004719</v>
      </c>
      <c r="G9" s="20">
        <v>117108</v>
      </c>
      <c r="H9" s="20">
        <f t="shared" si="2"/>
        <v>41371</v>
      </c>
      <c r="I9" s="19">
        <f t="shared" si="4"/>
        <v>0.3532721931891929</v>
      </c>
      <c r="J9" s="39" t="s">
        <v>329</v>
      </c>
      <c r="K9" s="39" t="s">
        <v>330</v>
      </c>
    </row>
    <row r="10" spans="1:11" ht="15.6">
      <c r="A10" s="30" t="str">
        <v>Sand Road</v>
      </c>
      <c r="B10" s="27" t="str">
        <v>CT</v>
      </c>
      <c r="C10" s="24">
        <v>150046</v>
      </c>
      <c r="D10" s="13">
        <v>165703.6</v>
      </c>
      <c r="E10" s="13">
        <f t="shared" si="0"/>
        <v>-15657.600000000006</v>
      </c>
      <c r="F10" s="14">
        <f t="shared" si="1"/>
        <v>-9.4491610321079361E-2</v>
      </c>
      <c r="G10" s="15">
        <v>118038</v>
      </c>
      <c r="H10" s="15">
        <f t="shared" si="2"/>
        <v>32008</v>
      </c>
      <c r="I10" s="16">
        <f t="shared" si="4"/>
        <v>0.27116691235026008</v>
      </c>
      <c r="J10" s="38"/>
      <c r="K10" s="38"/>
    </row>
    <row r="11" spans="1:11" ht="15.6">
      <c r="A11" s="28" t="str">
        <v>Suffield</v>
      </c>
      <c r="B11" s="29" t="str">
        <v>CT</v>
      </c>
      <c r="C11" s="11">
        <v>174959.99999999799</v>
      </c>
      <c r="D11" s="18">
        <v>187348.2</v>
      </c>
      <c r="E11" s="18">
        <f t="shared" si="0"/>
        <v>-12388.20000000202</v>
      </c>
      <c r="F11" s="19">
        <f t="shared" si="1"/>
        <v>-6.6123933936926102E-2</v>
      </c>
      <c r="G11" s="20">
        <v>150707</v>
      </c>
      <c r="H11" s="20">
        <f t="shared" si="2"/>
        <v>24252.999999997992</v>
      </c>
      <c r="I11" s="19">
        <f t="shared" si="4"/>
        <v>0.16092815861239354</v>
      </c>
      <c r="J11" s="39"/>
      <c r="K11" s="39"/>
    </row>
    <row r="12" spans="1:11" ht="57.95">
      <c r="A12" s="30" t="str">
        <v>Ashby-Duffy</v>
      </c>
      <c r="B12" s="27" t="str">
        <v>MA</v>
      </c>
      <c r="C12" s="24">
        <v>150232</v>
      </c>
      <c r="D12" s="13">
        <v>281865.3</v>
      </c>
      <c r="E12" s="13">
        <f t="shared" si="0"/>
        <v>-131633.29999999999</v>
      </c>
      <c r="F12" s="14">
        <f t="shared" si="1"/>
        <v>-0.46700782253083295</v>
      </c>
      <c r="G12" s="15">
        <v>139792.1</v>
      </c>
      <c r="H12" s="15">
        <f t="shared" si="2"/>
        <v>10439.899999999994</v>
      </c>
      <c r="I12" s="16">
        <f t="shared" si="4"/>
        <v>7.4681616486196242E-2</v>
      </c>
      <c r="J12" s="38" t="s">
        <v>331</v>
      </c>
      <c r="K12" s="38" t="s">
        <v>332</v>
      </c>
    </row>
    <row r="13" spans="1:11" ht="90" customHeight="1">
      <c r="A13" s="28" t="str">
        <v>Ashland</v>
      </c>
      <c r="B13" s="29" t="str">
        <v>MA</v>
      </c>
      <c r="C13" s="11">
        <v>108227</v>
      </c>
      <c r="D13" s="18">
        <v>197439.4</v>
      </c>
      <c r="E13" s="18">
        <f t="shared" si="0"/>
        <v>-89212.4</v>
      </c>
      <c r="F13" s="19">
        <f t="shared" si="1"/>
        <v>-0.45184699710392151</v>
      </c>
      <c r="G13" s="20">
        <v>100449.9</v>
      </c>
      <c r="H13" s="20">
        <f t="shared" si="2"/>
        <v>7777.1000000000058</v>
      </c>
      <c r="I13" s="19">
        <f t="shared" si="4"/>
        <v>7.7422675383449921E-2</v>
      </c>
      <c r="J13" s="49" t="s">
        <v>333</v>
      </c>
      <c r="K13" s="49" t="s">
        <v>334</v>
      </c>
    </row>
    <row r="14" spans="1:11" ht="43.5">
      <c r="A14" s="56" t="str">
        <v>Barrington</v>
      </c>
      <c r="B14" s="27" t="str">
        <v>MA</v>
      </c>
      <c r="C14" s="24">
        <v>25761</v>
      </c>
      <c r="D14" s="13">
        <v>27551.77</v>
      </c>
      <c r="E14" s="13">
        <f t="shared" si="0"/>
        <v>-1790.7700000000004</v>
      </c>
      <c r="F14" s="14">
        <f t="shared" si="1"/>
        <v>-6.4996550130899042E-2</v>
      </c>
      <c r="G14" s="15">
        <v>27320</v>
      </c>
      <c r="H14" s="15">
        <f t="shared" si="2"/>
        <v>-1559</v>
      </c>
      <c r="I14" s="16">
        <f t="shared" si="4"/>
        <v>-5.7064421669106878E-2</v>
      </c>
      <c r="J14" s="38" t="s">
        <v>335</v>
      </c>
      <c r="K14" s="38"/>
    </row>
    <row r="15" spans="1:11" ht="15.6">
      <c r="A15" s="28" t="str">
        <v>Bedford - 205 Burlington Rd</v>
      </c>
      <c r="B15" s="29" t="str">
        <v>MA</v>
      </c>
      <c r="C15" s="11">
        <v>13770</v>
      </c>
      <c r="D15" s="18">
        <v>0</v>
      </c>
      <c r="E15" s="18">
        <f t="shared" si="0"/>
        <v>13770</v>
      </c>
      <c r="F15" s="19" t="str">
        <f t="shared" si="1"/>
        <v/>
      </c>
      <c r="G15" s="20">
        <v>0</v>
      </c>
      <c r="H15" s="20">
        <f t="shared" si="2"/>
        <v>13770</v>
      </c>
      <c r="I15" s="19" t="str">
        <f t="shared" si="4"/>
        <v/>
      </c>
      <c r="J15" s="39"/>
      <c r="K15" s="39"/>
    </row>
    <row r="16" spans="1:11" ht="15.6">
      <c r="A16" s="30" t="str">
        <v>Billerica - 6 Cook Street</v>
      </c>
      <c r="B16" s="27" t="str">
        <v>MA</v>
      </c>
      <c r="C16" s="24">
        <v>11603</v>
      </c>
      <c r="D16" s="13">
        <v>0</v>
      </c>
      <c r="E16" s="13">
        <f t="shared" si="0"/>
        <v>11603</v>
      </c>
      <c r="F16" s="14" t="str">
        <f t="shared" si="1"/>
        <v/>
      </c>
      <c r="G16" s="15">
        <v>0</v>
      </c>
      <c r="H16" s="15">
        <f t="shared" si="2"/>
        <v>11603</v>
      </c>
      <c r="I16" s="16" t="str">
        <f t="shared" si="4"/>
        <v/>
      </c>
      <c r="J16" s="38"/>
      <c r="K16" s="38"/>
    </row>
    <row r="17" spans="1:11" ht="15.6">
      <c r="A17" s="28" t="str">
        <v>Billerica - 780 Boston Road</v>
      </c>
      <c r="B17" s="29" t="str">
        <v>MA</v>
      </c>
      <c r="C17" s="11">
        <v>12928</v>
      </c>
      <c r="D17" s="18">
        <v>0</v>
      </c>
      <c r="E17" s="18">
        <f t="shared" si="0"/>
        <v>12928</v>
      </c>
      <c r="F17" s="19" t="str">
        <f t="shared" si="1"/>
        <v/>
      </c>
      <c r="G17" s="20">
        <v>0</v>
      </c>
      <c r="H17" s="20">
        <f t="shared" si="2"/>
        <v>12928</v>
      </c>
      <c r="I17" s="19" t="str">
        <f t="shared" si="4"/>
        <v/>
      </c>
      <c r="J17" s="39"/>
      <c r="K17" s="39"/>
    </row>
    <row r="18" spans="1:11" ht="12.75" customHeight="1">
      <c r="A18" s="58" t="str">
        <v>Cheshire</v>
      </c>
      <c r="B18" s="27" t="str">
        <v>MA</v>
      </c>
      <c r="C18" s="24">
        <v>19249.25</v>
      </c>
      <c r="D18" s="13">
        <v>37113.68</v>
      </c>
      <c r="E18" s="13">
        <f t="shared" si="0"/>
        <v>-17864.43</v>
      </c>
      <c r="F18" s="14">
        <f t="shared" si="1"/>
        <v>-0.48134353693840115</v>
      </c>
      <c r="G18" s="15">
        <v>19100.849999999999</v>
      </c>
      <c r="H18" s="15">
        <f t="shared" si="2"/>
        <v>148.40000000000146</v>
      </c>
      <c r="I18" s="16">
        <f t="shared" si="4"/>
        <v>7.7692877542099676E-3</v>
      </c>
      <c r="J18" s="38"/>
      <c r="K18" s="38"/>
    </row>
    <row r="19" spans="1:11" ht="54" customHeight="1">
      <c r="A19" s="28" t="str">
        <v>Lilly Lane</v>
      </c>
      <c r="B19" s="29" t="str">
        <v>MA</v>
      </c>
      <c r="C19" s="11">
        <v>58752</v>
      </c>
      <c r="D19" s="18">
        <v>76342.350000000006</v>
      </c>
      <c r="E19" s="18">
        <f t="shared" si="0"/>
        <v>-17590.350000000006</v>
      </c>
      <c r="F19" s="19">
        <f t="shared" si="1"/>
        <v>-0.23041404934482634</v>
      </c>
      <c r="G19" s="20">
        <v>95948.55</v>
      </c>
      <c r="H19" s="20">
        <f t="shared" si="2"/>
        <v>-37196.550000000003</v>
      </c>
      <c r="I19" s="19">
        <f t="shared" si="4"/>
        <v>-0.38767183037158981</v>
      </c>
      <c r="J19" s="49" t="s">
        <v>336</v>
      </c>
      <c r="K19" s="48" t="s">
        <v>337</v>
      </c>
    </row>
    <row r="20" spans="1:11" ht="94.5" customHeight="1">
      <c r="A20" s="56" t="str">
        <v>Monument Valley</v>
      </c>
      <c r="B20" s="27" t="str">
        <v>MA</v>
      </c>
      <c r="C20" s="24">
        <v>88652.019999999597</v>
      </c>
      <c r="D20" s="13">
        <v>37326.43</v>
      </c>
      <c r="E20" s="13">
        <f t="shared" si="0"/>
        <v>51325.589999999596</v>
      </c>
      <c r="F20" s="14">
        <f t="shared" si="1"/>
        <v>1.3750468501809467</v>
      </c>
      <c r="G20" s="15">
        <v>0</v>
      </c>
      <c r="H20" s="15">
        <f t="shared" si="2"/>
        <v>88652.019999999597</v>
      </c>
      <c r="I20" s="16" t="str">
        <f t="shared" si="4"/>
        <v/>
      </c>
      <c r="J20" s="57" t="s">
        <v>338</v>
      </c>
      <c r="K20" s="57" t="s">
        <v>339</v>
      </c>
    </row>
    <row r="21" spans="1:11" ht="15.6">
      <c r="A21" s="28" t="str">
        <v>Nationwide</v>
      </c>
      <c r="B21" s="29" t="str">
        <v>MA</v>
      </c>
      <c r="C21" s="11">
        <v>194239</v>
      </c>
      <c r="D21" s="18">
        <v>282677.90000000002</v>
      </c>
      <c r="E21" s="18">
        <f t="shared" si="0"/>
        <v>-88438.900000000023</v>
      </c>
      <c r="F21" s="19">
        <f t="shared" si="1"/>
        <v>-0.31286103370656149</v>
      </c>
      <c r="G21" s="20">
        <v>239157.1</v>
      </c>
      <c r="H21" s="20">
        <f t="shared" si="2"/>
        <v>-44918.100000000006</v>
      </c>
      <c r="I21" s="19">
        <f t="shared" si="4"/>
        <v>-0.18781838381549201</v>
      </c>
      <c r="J21" s="39"/>
      <c r="K21" s="39"/>
    </row>
    <row r="22" spans="1:11" ht="15.6">
      <c r="A22" s="30" t="str">
        <v>Pulpit Hill</v>
      </c>
      <c r="B22" s="27" t="str">
        <v>MA</v>
      </c>
      <c r="C22" s="24">
        <v>297159.5</v>
      </c>
      <c r="D22" s="13">
        <v>385041.1</v>
      </c>
      <c r="E22" s="13">
        <f t="shared" si="0"/>
        <v>-87881.599999999977</v>
      </c>
      <c r="F22" s="14">
        <f t="shared" si="1"/>
        <v>-0.22823953079294648</v>
      </c>
      <c r="G22" s="15">
        <v>292353.7</v>
      </c>
      <c r="H22" s="15">
        <f t="shared" si="2"/>
        <v>4805.7999999999884</v>
      </c>
      <c r="I22" s="16">
        <f t="shared" si="4"/>
        <v>1.6438307433769398E-2</v>
      </c>
      <c r="J22" s="57" t="s">
        <v>340</v>
      </c>
      <c r="K22" s="38" t="s">
        <v>341</v>
      </c>
    </row>
    <row r="23" spans="1:11" ht="43.5" customHeight="1">
      <c r="A23" s="28" t="str">
        <v>Sandwich</v>
      </c>
      <c r="B23" s="29" t="str">
        <v>MA</v>
      </c>
      <c r="C23" s="11">
        <v>238857</v>
      </c>
      <c r="D23" s="18">
        <v>0</v>
      </c>
      <c r="E23" s="18">
        <f t="shared" si="0"/>
        <v>238857</v>
      </c>
      <c r="F23" s="19" t="str">
        <f t="shared" si="1"/>
        <v/>
      </c>
      <c r="G23" s="20">
        <v>0</v>
      </c>
      <c r="H23" s="20">
        <f t="shared" si="2"/>
        <v>238857</v>
      </c>
      <c r="I23" s="19" t="str">
        <f t="shared" si="4"/>
        <v/>
      </c>
      <c r="J23" s="48" t="s">
        <v>342</v>
      </c>
      <c r="K23" s="48" t="s">
        <v>343</v>
      </c>
    </row>
    <row r="24" spans="1:11" ht="110.25" customHeight="1">
      <c r="A24" s="56" t="str">
        <v>Sturbridge Barn</v>
      </c>
      <c r="B24" s="27" t="str">
        <v>MA</v>
      </c>
      <c r="C24" s="24">
        <v>66083.5</v>
      </c>
      <c r="D24" s="13">
        <v>107409.2</v>
      </c>
      <c r="E24" s="13">
        <f t="shared" si="0"/>
        <v>-41325.699999999997</v>
      </c>
      <c r="F24" s="14">
        <f t="shared" si="1"/>
        <v>-0.38475009589495124</v>
      </c>
      <c r="G24" s="15">
        <v>92748.98</v>
      </c>
      <c r="H24" s="15">
        <f t="shared" si="2"/>
        <v>-26665.479999999996</v>
      </c>
      <c r="I24" s="16">
        <f t="shared" si="4"/>
        <v>-0.28750159840032741</v>
      </c>
      <c r="J24" s="57" t="s">
        <v>344</v>
      </c>
      <c r="K24" s="57" t="s">
        <v>345</v>
      </c>
    </row>
    <row r="25" spans="1:11" ht="33.75" customHeight="1">
      <c r="A25" s="28" t="str">
        <v>Sturbridge Garage</v>
      </c>
      <c r="B25" s="29" t="str">
        <v>MA</v>
      </c>
      <c r="C25" s="11">
        <v>31503</v>
      </c>
      <c r="D25" s="18">
        <v>49448.52</v>
      </c>
      <c r="E25" s="18">
        <f t="shared" si="0"/>
        <v>-17945.519999999997</v>
      </c>
      <c r="F25" s="19">
        <f t="shared" si="1"/>
        <v>-0.36291318729053967</v>
      </c>
      <c r="G25" s="20">
        <v>47396.160000000003</v>
      </c>
      <c r="H25" s="20">
        <f t="shared" si="2"/>
        <v>-15893.160000000003</v>
      </c>
      <c r="I25" s="19">
        <f t="shared" si="4"/>
        <v>-0.33532589981973226</v>
      </c>
      <c r="J25" s="39" t="s">
        <v>346</v>
      </c>
      <c r="K25" s="39" t="s">
        <v>347</v>
      </c>
    </row>
    <row r="26" spans="1:11" ht="91.5" customHeight="1">
      <c r="A26" s="56" t="str">
        <v>Halsey Valley</v>
      </c>
      <c r="B26" s="27" t="str">
        <v>NY</v>
      </c>
      <c r="C26" s="24">
        <v>172291</v>
      </c>
      <c r="D26" s="13">
        <v>306887.90000000002</v>
      </c>
      <c r="E26" s="13">
        <f t="shared" si="0"/>
        <v>-134596.90000000002</v>
      </c>
      <c r="F26" s="14">
        <f t="shared" si="1"/>
        <v>-0.43858653273719822</v>
      </c>
      <c r="G26" s="15">
        <v>330000</v>
      </c>
      <c r="H26" s="15">
        <f t="shared" si="2"/>
        <v>-157709</v>
      </c>
      <c r="I26" s="16">
        <f t="shared" si="4"/>
        <v>-0.47790606060606061</v>
      </c>
      <c r="J26" s="38" t="s">
        <v>348</v>
      </c>
      <c r="K26" s="38" t="s">
        <v>349</v>
      </c>
    </row>
    <row r="27" spans="1:11" ht="15.6">
      <c r="A27" s="28" t="str">
        <v>Hunt Creek</v>
      </c>
      <c r="B27" s="29" t="str">
        <v>NY</v>
      </c>
      <c r="C27" s="11">
        <v>86139</v>
      </c>
      <c r="D27" s="18">
        <v>228335.6</v>
      </c>
      <c r="E27" s="18">
        <f t="shared" si="0"/>
        <v>-142196.6</v>
      </c>
      <c r="F27" s="19">
        <f t="shared" si="1"/>
        <v>-0.62275265004668567</v>
      </c>
      <c r="G27" s="20">
        <v>202300</v>
      </c>
      <c r="H27" s="20">
        <f t="shared" si="2"/>
        <v>-116161</v>
      </c>
      <c r="I27" s="19">
        <f t="shared" si="4"/>
        <v>-0.57420168067226895</v>
      </c>
      <c r="J27" s="39" t="s">
        <v>350</v>
      </c>
      <c r="K27" s="39" t="s">
        <v>351</v>
      </c>
    </row>
    <row r="28" spans="1:11" ht="24.4" customHeight="1">
      <c r="A28" s="56" t="str">
        <v>Smith Creek</v>
      </c>
      <c r="B28" s="27" t="str">
        <v>NY</v>
      </c>
      <c r="C28" s="24">
        <v>165939</v>
      </c>
      <c r="D28" s="13">
        <v>267577.40000000002</v>
      </c>
      <c r="E28" s="13">
        <f t="shared" si="0"/>
        <v>-101638.40000000002</v>
      </c>
      <c r="F28" s="14">
        <f t="shared" si="1"/>
        <v>-0.37984672846062489</v>
      </c>
      <c r="G28" s="15">
        <v>330478.8</v>
      </c>
      <c r="H28" s="15">
        <f t="shared" si="2"/>
        <v>-164539.79999999999</v>
      </c>
      <c r="I28" s="16">
        <f t="shared" si="4"/>
        <v>-0.49788307147084776</v>
      </c>
      <c r="J28" s="38"/>
      <c r="K28" s="38"/>
    </row>
    <row r="29" spans="1:11" ht="14.45">
      <c r="A29" s="21"/>
      <c r="B29" s="31"/>
      <c r="C29" s="21"/>
      <c r="D29" s="21"/>
      <c r="E29" s="21"/>
      <c r="F29" s="21"/>
      <c r="G29" s="21"/>
      <c r="H29" s="21"/>
      <c r="I29" s="21"/>
      <c r="J29" s="21"/>
      <c r="K29" s="21"/>
    </row>
    <row r="30" spans="1:11" ht="14.45">
      <c r="A30" s="21"/>
      <c r="B30" s="31"/>
      <c r="C30" s="21"/>
      <c r="D30" s="21"/>
      <c r="E30" s="21"/>
      <c r="F30" s="21"/>
      <c r="G30" s="21"/>
      <c r="H30" s="21"/>
      <c r="I30" s="21"/>
      <c r="J30" s="21"/>
      <c r="K30" s="21"/>
    </row>
    <row r="31" spans="1:11" ht="14.45">
      <c r="A31" s="21"/>
      <c r="B31" s="31"/>
      <c r="C31" s="21"/>
      <c r="D31" s="21"/>
      <c r="E31" s="21"/>
      <c r="F31" s="21"/>
      <c r="G31" s="21"/>
      <c r="H31" s="21"/>
      <c r="I31" s="21"/>
      <c r="J31" s="21"/>
      <c r="K31" s="21"/>
    </row>
    <row r="32" spans="1:11" ht="14.45">
      <c r="A32" s="21"/>
      <c r="B32" s="31"/>
      <c r="C32" s="21"/>
      <c r="D32" s="21"/>
      <c r="E32" s="21"/>
      <c r="F32" s="21"/>
      <c r="G32" s="21"/>
      <c r="H32" s="21"/>
      <c r="I32" s="21"/>
      <c r="J32" s="21"/>
      <c r="K32" s="21"/>
    </row>
    <row r="33" spans="1:11" ht="14.45">
      <c r="A33" s="21"/>
      <c r="B33" s="31"/>
      <c r="C33" s="21"/>
      <c r="D33" s="21"/>
      <c r="E33" s="21"/>
      <c r="F33" s="21"/>
      <c r="G33" s="21"/>
      <c r="H33" s="21"/>
      <c r="I33" s="21"/>
      <c r="J33" s="21"/>
      <c r="K33" s="21"/>
    </row>
    <row r="34" spans="1:11" ht="14.45">
      <c r="A34" s="21"/>
      <c r="B34" s="31"/>
      <c r="C34" s="21"/>
      <c r="D34" s="21"/>
      <c r="E34" s="21"/>
      <c r="F34" s="21"/>
      <c r="G34" s="21"/>
      <c r="H34" s="21"/>
      <c r="I34" s="21"/>
      <c r="J34" s="21"/>
      <c r="K34" s="21"/>
    </row>
    <row r="35" spans="1:11" ht="14.45">
      <c r="A35" s="21"/>
      <c r="B35" s="31"/>
      <c r="C35" s="21"/>
      <c r="D35" s="21"/>
      <c r="E35" s="21"/>
      <c r="F35" s="21"/>
      <c r="G35" s="21"/>
      <c r="H35" s="21"/>
      <c r="I35" s="21"/>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9" activePane="bottomLeft" state="frozen"/>
      <selection pane="bottomLeft" activeCell="A14" sqref="A1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352</v>
      </c>
      <c r="B1" s="46" t="s">
        <v>353</v>
      </c>
    </row>
    <row r="3" spans="1:12" ht="12.6">
      <c r="A3" t="s">
        <v>354</v>
      </c>
      <c r="B3" t="s">
        <v>3</v>
      </c>
      <c r="C3" t="s">
        <v>4</v>
      </c>
      <c r="D3" t="s">
        <v>355</v>
      </c>
      <c r="E3" s="2" t="s">
        <v>356</v>
      </c>
    </row>
    <row r="4" spans="1:12" ht="14.45">
      <c r="A4" s="47" t="s">
        <v>357</v>
      </c>
      <c r="B4" s="47" t="s">
        <v>358</v>
      </c>
      <c r="C4" s="47" t="s">
        <v>359</v>
      </c>
      <c r="D4" t="s">
        <v>360</v>
      </c>
      <c r="E4" s="47" t="s">
        <v>361</v>
      </c>
      <c r="G4" s="3"/>
    </row>
    <row r="5" spans="1:12" ht="14.45">
      <c r="A5" s="47" t="s">
        <v>362</v>
      </c>
      <c r="B5" s="47" t="s">
        <v>363</v>
      </c>
      <c r="C5" s="47" t="s">
        <v>359</v>
      </c>
      <c r="D5" t="s">
        <v>360</v>
      </c>
      <c r="E5" s="47" t="s">
        <v>361</v>
      </c>
      <c r="G5" s="3"/>
    </row>
    <row r="6" spans="1:12" ht="14.45">
      <c r="A6" s="47" t="s">
        <v>364</v>
      </c>
      <c r="B6" s="47" t="s">
        <v>364</v>
      </c>
      <c r="C6" s="47" t="s">
        <v>359</v>
      </c>
      <c r="D6" t="s">
        <v>360</v>
      </c>
      <c r="E6" s="47" t="s">
        <v>361</v>
      </c>
      <c r="G6" s="3"/>
    </row>
    <row r="7" spans="1:12" ht="12.75" customHeight="1">
      <c r="A7" s="47" t="s">
        <v>365</v>
      </c>
      <c r="B7" s="47" t="s">
        <v>365</v>
      </c>
      <c r="C7" s="47" t="s">
        <v>359</v>
      </c>
      <c r="D7" t="s">
        <v>360</v>
      </c>
      <c r="E7" s="47" t="s">
        <v>361</v>
      </c>
    </row>
    <row r="8" spans="1:12" ht="12.75" customHeight="1">
      <c r="A8" s="47" t="s">
        <v>366</v>
      </c>
      <c r="B8" s="47" t="s">
        <v>366</v>
      </c>
      <c r="C8" s="47" t="s">
        <v>359</v>
      </c>
      <c r="D8" t="s">
        <v>360</v>
      </c>
      <c r="E8" s="47" t="s">
        <v>361</v>
      </c>
    </row>
    <row r="9" spans="1:12" ht="12.75" customHeight="1">
      <c r="A9" s="47" t="s">
        <v>367</v>
      </c>
      <c r="B9" s="47" t="s">
        <v>367</v>
      </c>
      <c r="C9" s="47" t="s">
        <v>359</v>
      </c>
      <c r="D9" t="s">
        <v>360</v>
      </c>
      <c r="E9" s="47" t="s">
        <v>361</v>
      </c>
    </row>
    <row r="10" spans="1:12" ht="12.75" customHeight="1">
      <c r="A10" s="47" t="s">
        <v>368</v>
      </c>
      <c r="B10" s="47" t="s">
        <v>369</v>
      </c>
      <c r="C10" s="47" t="s">
        <v>359</v>
      </c>
      <c r="D10" t="s">
        <v>360</v>
      </c>
      <c r="E10" s="47" t="s">
        <v>361</v>
      </c>
      <c r="K10" s="40"/>
      <c r="L10" s="40"/>
    </row>
    <row r="11" spans="1:12" ht="12.75" customHeight="1">
      <c r="A11" s="47" t="s">
        <v>370</v>
      </c>
      <c r="B11" s="47" t="s">
        <v>371</v>
      </c>
      <c r="C11" s="47" t="s">
        <v>359</v>
      </c>
      <c r="D11" t="s">
        <v>360</v>
      </c>
      <c r="E11" s="47" t="s">
        <v>361</v>
      </c>
      <c r="K11" s="40"/>
      <c r="L11" s="40"/>
    </row>
    <row r="12" spans="1:12" ht="12.75" customHeight="1">
      <c r="A12" s="47" t="s">
        <v>372</v>
      </c>
      <c r="B12" s="47" t="s">
        <v>372</v>
      </c>
      <c r="C12" s="47" t="s">
        <v>373</v>
      </c>
      <c r="D12" t="s">
        <v>360</v>
      </c>
      <c r="E12" s="47" t="s">
        <v>361</v>
      </c>
      <c r="K12" s="40"/>
      <c r="L12" s="40"/>
    </row>
    <row r="13" spans="1:12" ht="12.75" customHeight="1">
      <c r="A13" s="47" t="s">
        <v>374</v>
      </c>
      <c r="B13" s="47" t="s">
        <v>375</v>
      </c>
      <c r="C13" s="47" t="s">
        <v>373</v>
      </c>
      <c r="D13" t="s">
        <v>360</v>
      </c>
      <c r="E13" s="47" t="s">
        <v>361</v>
      </c>
      <c r="K13" s="40"/>
      <c r="L13" s="40"/>
    </row>
    <row r="14" spans="1:12" ht="12.75" customHeight="1">
      <c r="A14" s="47" t="s">
        <v>376</v>
      </c>
      <c r="B14" s="47" t="s">
        <v>377</v>
      </c>
      <c r="C14" s="47" t="s">
        <v>373</v>
      </c>
      <c r="D14" t="s">
        <v>360</v>
      </c>
      <c r="E14" s="47" t="s">
        <v>361</v>
      </c>
      <c r="K14" s="40"/>
      <c r="L14" s="40"/>
    </row>
    <row r="15" spans="1:12" ht="12.75" customHeight="1">
      <c r="A15" s="47" t="s">
        <v>378</v>
      </c>
      <c r="B15" t="s">
        <v>379</v>
      </c>
      <c r="C15" s="47" t="s">
        <v>373</v>
      </c>
      <c r="E15" t="s">
        <v>380</v>
      </c>
      <c r="K15" s="40"/>
      <c r="L15" s="40"/>
    </row>
    <row r="16" spans="1:12" ht="12.75" customHeight="1">
      <c r="A16" s="47" t="s">
        <v>381</v>
      </c>
      <c r="B16" t="s">
        <v>382</v>
      </c>
      <c r="C16" s="47" t="s">
        <v>373</v>
      </c>
      <c r="E16" t="s">
        <v>380</v>
      </c>
      <c r="K16" s="40"/>
      <c r="L16" s="40"/>
    </row>
    <row r="17" spans="1:12" ht="12.75" customHeight="1">
      <c r="A17" s="47" t="s">
        <v>383</v>
      </c>
      <c r="B17" t="s">
        <v>384</v>
      </c>
      <c r="C17" s="47" t="s">
        <v>373</v>
      </c>
      <c r="E17" t="s">
        <v>380</v>
      </c>
      <c r="K17" s="40"/>
      <c r="L17" s="40"/>
    </row>
    <row r="18" spans="1:12" ht="12.75" customHeight="1">
      <c r="A18" s="47" t="s">
        <v>385</v>
      </c>
      <c r="B18" s="47" t="s">
        <v>386</v>
      </c>
      <c r="C18" s="47" t="s">
        <v>373</v>
      </c>
      <c r="D18" t="s">
        <v>360</v>
      </c>
      <c r="E18" s="47" t="s">
        <v>361</v>
      </c>
      <c r="K18" s="40"/>
      <c r="L18" s="40"/>
    </row>
    <row r="19" spans="1:12" ht="12.75" customHeight="1">
      <c r="A19" s="47" t="s">
        <v>387</v>
      </c>
      <c r="B19" s="47" t="s">
        <v>388</v>
      </c>
      <c r="C19" s="47" t="s">
        <v>373</v>
      </c>
      <c r="D19" t="s">
        <v>360</v>
      </c>
      <c r="E19" s="47" t="s">
        <v>361</v>
      </c>
      <c r="K19" s="40"/>
      <c r="L19" s="40"/>
    </row>
    <row r="20" spans="1:12" ht="12.75" customHeight="1">
      <c r="A20" s="47" t="s">
        <v>389</v>
      </c>
      <c r="B20" s="47" t="s">
        <v>389</v>
      </c>
      <c r="C20" s="47" t="s">
        <v>373</v>
      </c>
      <c r="D20" t="s">
        <v>360</v>
      </c>
      <c r="E20" s="47" t="s">
        <v>361</v>
      </c>
      <c r="K20" s="40"/>
      <c r="L20" s="40"/>
    </row>
    <row r="21" spans="1:12" ht="12.75" customHeight="1">
      <c r="A21" s="47" t="s">
        <v>390</v>
      </c>
      <c r="B21" s="47" t="s">
        <v>390</v>
      </c>
      <c r="C21" s="47" t="s">
        <v>373</v>
      </c>
      <c r="D21" t="s">
        <v>360</v>
      </c>
      <c r="E21" s="47" t="s">
        <v>361</v>
      </c>
      <c r="K21" s="40"/>
      <c r="L21" s="40"/>
    </row>
    <row r="22" spans="1:12" ht="12.75" customHeight="1">
      <c r="A22" s="47" t="s">
        <v>391</v>
      </c>
      <c r="B22" s="47" t="s">
        <v>391</v>
      </c>
      <c r="C22" s="47" t="s">
        <v>373</v>
      </c>
      <c r="D22" t="s">
        <v>360</v>
      </c>
      <c r="E22" s="47" t="s">
        <v>361</v>
      </c>
      <c r="K22" s="40"/>
      <c r="L22" s="40"/>
    </row>
    <row r="23" spans="1:12" ht="12.75" customHeight="1">
      <c r="A23" s="47" t="s">
        <v>392</v>
      </c>
      <c r="B23" t="s">
        <v>393</v>
      </c>
      <c r="C23" s="47" t="s">
        <v>373</v>
      </c>
      <c r="E23" t="s">
        <v>361</v>
      </c>
      <c r="K23" s="40"/>
      <c r="L23" s="40"/>
    </row>
    <row r="24" spans="1:12" ht="12.75" customHeight="1">
      <c r="A24" s="47" t="s">
        <v>394</v>
      </c>
      <c r="B24" s="47" t="s">
        <v>395</v>
      </c>
      <c r="C24" s="47" t="s">
        <v>373</v>
      </c>
      <c r="D24" t="s">
        <v>360</v>
      </c>
      <c r="E24" s="47" t="s">
        <v>361</v>
      </c>
      <c r="K24" s="40"/>
      <c r="L24" s="40"/>
    </row>
    <row r="25" spans="1:12" ht="12.75" customHeight="1">
      <c r="A25" s="47" t="s">
        <v>396</v>
      </c>
      <c r="B25" s="47" t="s">
        <v>397</v>
      </c>
      <c r="C25" s="47" t="s">
        <v>373</v>
      </c>
      <c r="D25" t="s">
        <v>360</v>
      </c>
      <c r="E25" s="47" t="s">
        <v>361</v>
      </c>
      <c r="K25" s="40"/>
      <c r="L25" s="40"/>
    </row>
    <row r="26" spans="1:12" ht="12.75" customHeight="1">
      <c r="A26" s="47" t="s">
        <v>398</v>
      </c>
      <c r="B26" s="47" t="s">
        <v>398</v>
      </c>
      <c r="C26" s="47" t="s">
        <v>399</v>
      </c>
      <c r="D26" t="s">
        <v>360</v>
      </c>
      <c r="E26" s="47" t="s">
        <v>361</v>
      </c>
      <c r="K26" s="40"/>
      <c r="L26" s="40"/>
    </row>
    <row r="27" spans="1:12" ht="12.75" customHeight="1">
      <c r="A27" s="47" t="s">
        <v>400</v>
      </c>
      <c r="B27" s="47" t="s">
        <v>401</v>
      </c>
      <c r="C27" s="47" t="s">
        <v>399</v>
      </c>
      <c r="D27" t="s">
        <v>360</v>
      </c>
      <c r="E27" s="47" t="s">
        <v>361</v>
      </c>
      <c r="K27" s="40"/>
      <c r="L27" s="40"/>
    </row>
    <row r="28" spans="1:12" ht="12.75" customHeight="1">
      <c r="A28" s="47" t="s">
        <v>402</v>
      </c>
      <c r="B28" s="47" t="s">
        <v>403</v>
      </c>
      <c r="C28" s="47" t="s">
        <v>399</v>
      </c>
      <c r="D28" t="s">
        <v>360</v>
      </c>
      <c r="E28" s="47" t="s">
        <v>361</v>
      </c>
      <c r="K28" s="40"/>
      <c r="L28" s="40"/>
    </row>
    <row r="29" spans="1:12" ht="12.75" customHeight="1">
      <c r="K29" s="40"/>
      <c r="L29" s="40"/>
    </row>
    <row r="30" spans="1:12" ht="12.75" customHeight="1">
      <c r="K30" s="40"/>
      <c r="L30" s="40"/>
    </row>
    <row r="31" spans="1:12" ht="12.75" customHeight="1">
      <c r="K31" s="40"/>
      <c r="L31" s="4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6B053829-0218-4BFB-AB10-53D8FB36AB16}"/>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2025-12-12T10:36:34Z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