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BEA485D4-F6AA-4FE2-83D1-87D1A35CF175}" xr6:coauthVersionLast="47" xr6:coauthVersionMax="47" xr10:uidLastSave="{0AEE4894-B601-4BE9-A7F3-C11EB8B110A2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<sst xmlns="http://schemas.openxmlformats.org/spreadsheetml/2006/main" count="240" uniqueCount="53">
  <si>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</si>
  <si>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</si>
  <si>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</si>
  <si>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</si>
  <si>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</si>
  <si>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</si>
  <si>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</si>
  <si>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</si>
  <si>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</si>
  <si>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</si>
  <si>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</si>
  <si>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</si>
  <si>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</si>
  <si>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</si>
  <si>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</si>
  <si>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</si>
  <si>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</si>
  <si>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</si>
  <si>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</si>
  <si>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</si>
  <si>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</si>
  <si>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</si>
  <si>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</si>
  <si>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</si>
  <si>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</si>
  <si>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</si>
  <si>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</si>
  <si>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</si>
  <si>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</si>
  <si>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</si>
  <si>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</si>
  <si>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</si>
  <si>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</si>
  <si>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</si>
  <si>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</si>
  <si>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</si>
  <si>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</si>
  <si>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</si>
  <si>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</si>
  <si>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</si>
  <si>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</si>
  <si>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</si>
  <si>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</si>
  <si>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</si>
  <si>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</si>
  <si>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ESI</t>
  </si>
  <si>
    <t>Site DAS Name</t>
  </si>
  <si>
    <t>Update</t>
  </si>
  <si>
    <t>DAS</t>
  </si>
  <si>
    <t>CT: North Branford - Engineering Specialties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</si>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</sst>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charset val="1"/>
    </font>
    <font>
      <sz val="9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readingOrder="1"/>
    </xf>
    <xf numFmtId="0" fontId="36" fillId="47" borderId="0" xfId="0" applyFont="1" applyFill="1" applyAlignment="1">
      <alignment horizontal="right"/>
    </xf>
    <xf numFmtId="0" fontId="24" fillId="42" borderId="11" xfId="0" applyFont="1" applyFill="1" applyBorder="1" applyAlignment="1">
      <alignment horizontal="center" vertical="center"/>
    </xf>
    <xf numFmtId="3" fontId="36" fillId="48" borderId="0" xfId="0" applyNumberFormat="1" applyFont="1" applyFill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SUM(C4:C65)</f>
        <v>128495</v>
      </c>
      <c r="D2" s="5">
        <f>SUM(D4:D65)</f>
        <v>0</v>
      </c>
      <c r="E2" s="5">
        <f>C2-D2</f>
        <v>128495</v>
      </c>
      <c r="F2" s="6">
        <f>IFERROR(E2/D2, 0)</f>
        <v>0</v>
      </c>
      <c r="G2" s="5">
        <f>SUM(G4:G65)</f>
        <v>124914.287</v>
      </c>
      <c r="H2" s="7">
        <f>C2-G2</f>
        <v>3580.7130000000034</v>
      </c>
      <c r="I2" s="6">
        <f>IFERROR(H2/G2, 0)</f>
        <v>2.8665359951980541E-2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SUM('1st Qtr'!C4, '2nd Qtr'!C4, '3rd Qtr'!C4, '4th Qtr'!C4)</f>
        <v>128495</v>
      </c>
      <c r="D4" s="11">
        <f>SUM('1st Qtr'!D4, '2nd Qtr'!D4, '3rd Qtr'!D4, '4th Qtr'!D4)</f>
        <v>0</v>
      </c>
      <c r="E4" s="11">
        <f>IF(AND(ISNUMBER(C4),ISNUMBER(D4)), C4-D4, "")</f>
        <v>128495</v>
      </c>
      <c r="F4" s="12" t="str">
        <f>IFERROR(E4/D4, "")</f>
        <v/>
      </c>
      <c r="G4" s="13">
        <f>SUM('1st Qtr'!G4, '2nd Qtr'!G4, '3rd Qtr'!G4, '4th Qtr'!G4)</f>
        <v>124914.287</v>
      </c>
      <c r="H4" s="13">
        <f>SUM('1st Qtr'!H4, '2nd Qtr'!H4, '3rd Qtr'!H4, '4th Qtr'!H4)</f>
        <v>3580.7130000000016</v>
      </c>
      <c r="I4" s="14">
        <f>IFERROR(H4/G4, "")</f>
        <v>2.8665359951980527E-2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G8" sqref="G8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SUM(C4:C65)</f>
        <v>30669</v>
      </c>
      <c r="D2" s="5">
        <f>SUM(D4:D65)</f>
        <v>0</v>
      </c>
      <c r="E2" s="5">
        <f>C2-D2</f>
        <v>30669</v>
      </c>
      <c r="F2" s="6">
        <f>IFERROR(E2/D2, 0)</f>
        <v>0</v>
      </c>
      <c r="G2" s="5">
        <f>SUM(G4:G65)</f>
        <v>29661.485999999997</v>
      </c>
      <c r="H2" s="7">
        <f>C2-G2</f>
        <v>1007.5140000000029</v>
      </c>
      <c r="I2" s="6">
        <f>IFERROR(H2/G2, 0)</f>
        <v>3.3967077711480907E-2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SUM(Jan!C4, Feb!C4, Mar!C4)</f>
        <v>30669</v>
      </c>
      <c r="D4" s="11">
        <f>SUM(Jan!D4, Feb!D4, Mar!D4)</f>
        <v>0</v>
      </c>
      <c r="E4" s="11">
        <f>IF(AND(ISNUMBER(C4),ISNUMBER(D4)), C4-D4, "")</f>
        <v>30669</v>
      </c>
      <c r="F4" s="12" t="str">
        <f>IFERROR(E4/D4, "")</f>
        <v/>
      </c>
      <c r="G4" s="13">
        <f>SUM(Jan!G4, Feb!G4, Mar!G4)</f>
        <v>29661.485999999997</v>
      </c>
      <c r="H4" s="13">
        <f>SUM(Jan!H4, Feb!H4, Mar!H4)</f>
        <v>1007.514000000001</v>
      </c>
      <c r="I4" s="14">
        <f>IFERROR(H4/G4, "")</f>
        <v>3.3967077711480845E-2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SUM(C4:C65)</f>
        <v>50479</v>
      </c>
      <c r="D2" s="5">
        <f>SUM(D4:D65)</f>
        <v>0</v>
      </c>
      <c r="E2" s="5">
        <f>C2-D2</f>
        <v>50479</v>
      </c>
      <c r="F2" s="6">
        <f>IFERROR(E2/D2, 0)</f>
        <v>0</v>
      </c>
      <c r="G2" s="5">
        <f>SUM(G4:G65)</f>
        <v>49526.021999999997</v>
      </c>
      <c r="H2" s="7">
        <f>C2-G2</f>
        <v>952.97800000000279</v>
      </c>
      <c r="I2" s="6">
        <f>IFERROR(H2/G2, 0)</f>
        <v>1.9241965365197369E-2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SUM(Apr!C4, May!C4, Jun!C4)</f>
        <v>50479</v>
      </c>
      <c r="D4" s="11">
        <f>SUM(Apr!D4, May!D4, Jun!D4)</f>
        <v>0</v>
      </c>
      <c r="E4" s="11">
        <f>IF(AND(ISNUMBER(C4),ISNUMBER(D4)), C4-D4, "")</f>
        <v>50479</v>
      </c>
      <c r="F4" s="12" t="str">
        <f>IFERROR(E4/D4, "")</f>
        <v/>
      </c>
      <c r="G4" s="13">
        <f>SUM(Apr!G4,May!G4,Jun!G4)</f>
        <v>49526.021999999997</v>
      </c>
      <c r="H4" s="13">
        <f>SUM(Apr!H4, May!H4, Jun!H4)</f>
        <v>952.97800000000097</v>
      </c>
      <c r="I4" s="14">
        <f>IFERROR(H4/G4, "")</f>
        <v>1.924196536519733E-2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tabSelected="1"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SUM(C4:C65)</f>
        <v>47347</v>
      </c>
      <c r="D2" s="5">
        <f>SUM(D4:D65)</f>
        <v>0</v>
      </c>
      <c r="E2" s="5">
        <f>C2-D2</f>
        <v>47347</v>
      </c>
      <c r="F2" s="6">
        <f>IFERROR(E2/D2, 0)</f>
        <v>0</v>
      </c>
      <c r="G2" s="5">
        <f>SUM(G4:G65)</f>
        <v>45726.778999999995</v>
      </c>
      <c r="H2" s="7">
        <f>C2-G2</f>
        <v>1620.221000000005</v>
      </c>
      <c r="I2" s="6">
        <f>IFERROR(H2/G2, 0)</f>
        <v>3.5432650963672846E-2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SUM(Jul!C4, Aug!C4, Sep!C4)</f>
        <v>47347</v>
      </c>
      <c r="D4" s="11">
        <f>SUM(Jul!D4, Aug!D4, Sep!D4)</f>
        <v>0</v>
      </c>
      <c r="E4" s="11">
        <f>IF(AND(ISNUMBER(C4),ISNUMBER(D4)), C4-D4, "")</f>
        <v>47347</v>
      </c>
      <c r="F4" s="12" t="str">
        <f>IFERROR(E4/D4, "")</f>
        <v/>
      </c>
      <c r="G4" s="13">
        <f>SUM(Jul!G4,Aug!G4,Sep!G4)</f>
        <v>45726.778999999995</v>
      </c>
      <c r="H4" s="13">
        <f>SUM(Jul!H4, Aug!H4, Sep!H4)</f>
        <v>1620.2209999999995</v>
      </c>
      <c r="I4" s="14">
        <f>IFERROR(H4/G4, "")</f>
        <v>3.5432650963672728E-2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I7" sqref="I7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5671</v>
      </c>
      <c r="D2" s="5">
        <f>SUM(D4:D64)</f>
        <v>0</v>
      </c>
      <c r="E2" s="5">
        <f>C2-D2</f>
        <v>5671</v>
      </c>
      <c r="F2" s="6">
        <f>IFERROR(E2/D2, 0)</f>
        <v>0</v>
      </c>
      <c r="G2" s="5">
        <f>SUM(G4:G64)</f>
        <v>7695</v>
      </c>
      <c r="H2" s="7">
        <f>C2-G2</f>
        <v>-2024</v>
      </c>
      <c r="I2" s="6">
        <f>IFERROR(H2/G2, 0)</f>
        <v>-0.26302794022092268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9" t="s">
        <v>5</v>
      </c>
      <c r="D3" s="40" t="s">
        <v>6</v>
      </c>
      <c r="E3" s="26" t="s">
        <v>7</v>
      </c>
      <c r="F3" s="27" t="s">
        <v>8</v>
      </c>
      <c r="G3" s="43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North Branford - Engineering Specialties</v>
      </c>
      <c r="B4" s="22" t="str" cm="1">
        <f t="array" ref="B4">Sites[State]</f>
        <v>CT</v>
      </c>
      <c r="C4" s="41">
        <v>5671</v>
      </c>
      <c r="D4" s="42">
        <v>0</v>
      </c>
      <c r="E4" s="11">
        <f>IF(AND(ISNUMBER(C4),ISNUMBER(D4)), C4-D4, "")</f>
        <v>5671</v>
      </c>
      <c r="F4" s="33" t="str">
        <f>IFERROR(E4/D4, "")</f>
        <v/>
      </c>
      <c r="G4" s="44">
        <v>7695</v>
      </c>
      <c r="H4" s="13">
        <f>IF(AND(ISNUMBER(C4),ISNUMBER(G4)), C4-G4, "")</f>
        <v>-2024</v>
      </c>
      <c r="I4" s="14">
        <f>IFERROR(H4/G4, "")</f>
        <v>-0.26302794022092268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F4" activePane="bottomRight" state="frozen"/>
      <selection pane="bottomRight" activeCell="F12" sqref="F12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10281</v>
      </c>
      <c r="D2" s="5">
        <f>SUM(D4:D65)</f>
        <v>0</v>
      </c>
      <c r="E2" s="5">
        <f>C2-D2</f>
        <v>10281</v>
      </c>
      <c r="F2" s="6">
        <f>IFERROR(E2/D2, 0)</f>
        <v>0</v>
      </c>
      <c r="G2" s="5">
        <f>SUM(G4:G65)</f>
        <v>9347.6569999999992</v>
      </c>
      <c r="H2" s="7">
        <f>C2-G2</f>
        <v>933.34300000000076</v>
      </c>
      <c r="I2" s="6">
        <f>IFERROR(H2/G2, 0)</f>
        <v>9.9847801433022285E-2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10281</v>
      </c>
      <c r="D4" s="11">
        <v>0</v>
      </c>
      <c r="E4" s="11">
        <f>IF(AND(ISNUMBER(C4),ISNUMBER(D4)), C4-D4, "")</f>
        <v>10281</v>
      </c>
      <c r="F4" s="12" t="str">
        <f>IFERROR(E4/D4, "")</f>
        <v/>
      </c>
      <c r="G4" s="13">
        <v>9347.6569999999992</v>
      </c>
      <c r="H4" s="13">
        <f>IF(AND(ISNUMBER(C4),ISNUMBER(G4)), C4-G4, "")</f>
        <v>933.34300000000076</v>
      </c>
      <c r="I4" s="14">
        <f>IFERROR(H4/G4, "")</f>
        <v>9.9847801433022285E-2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14717</v>
      </c>
      <c r="D2" s="5">
        <f>SUM(D4:D65)</f>
        <v>0</v>
      </c>
      <c r="E2" s="5">
        <f>C2-D2</f>
        <v>14717</v>
      </c>
      <c r="F2" s="6">
        <f>IFERROR(E2/D2, 0)</f>
        <v>0</v>
      </c>
      <c r="G2" s="5">
        <f>SUM(G4:G65)</f>
        <v>12618.829</v>
      </c>
      <c r="H2" s="7">
        <f>C2-G2</f>
        <v>2098.1710000000003</v>
      </c>
      <c r="I2" s="6">
        <f>IFERROR(H2/G2, 0)</f>
        <v>0.16627303531888737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14717</v>
      </c>
      <c r="D4" s="11">
        <v>0</v>
      </c>
      <c r="E4" s="11">
        <f>IF(AND(ISNUMBER(C4),ISNUMBER(D4)), C4-D4, "")</f>
        <v>14717</v>
      </c>
      <c r="F4" s="12" t="str">
        <f>IFERROR(E4/D4, "")</f>
        <v/>
      </c>
      <c r="G4" s="13">
        <v>12618.829</v>
      </c>
      <c r="H4" s="13">
        <f>IF(AND(ISNUMBER(C4),ISNUMBER(G4)), C4-G4, "")</f>
        <v>2098.1710000000003</v>
      </c>
      <c r="I4" s="14">
        <f>IFERROR(H4/G4, "")</f>
        <v>0.16627303531888737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14386</v>
      </c>
      <c r="D2" s="5">
        <f>SUM(D4:D65)</f>
        <v>0</v>
      </c>
      <c r="E2" s="5">
        <f>C2-D2</f>
        <v>14386</v>
      </c>
      <c r="F2" s="6">
        <f>IFERROR(E2/D2, 0)</f>
        <v>0</v>
      </c>
      <c r="G2" s="5">
        <f>SUM(G4:G65)</f>
        <v>15234.4</v>
      </c>
      <c r="H2" s="7">
        <f>C2-G2</f>
        <v>-848.39999999999964</v>
      </c>
      <c r="I2" s="6">
        <f>IFERROR(H2/G2, 0)</f>
        <v>-5.5689754765530619E-2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14386</v>
      </c>
      <c r="D4" s="11">
        <v>0</v>
      </c>
      <c r="E4" s="11">
        <f>IF(AND(ISNUMBER(C4),ISNUMBER(D4)), C4-D4, "")</f>
        <v>14386</v>
      </c>
      <c r="F4" s="12" t="str">
        <f>IFERROR(E4/D4, "")</f>
        <v/>
      </c>
      <c r="G4" s="13">
        <v>15234.4</v>
      </c>
      <c r="H4" s="13">
        <f>IF(AND(ISNUMBER(C4),ISNUMBER(G4)), C4-G4, "")</f>
        <v>-848.39999999999964</v>
      </c>
      <c r="I4" s="14">
        <f>IFERROR(H4/G4, "")</f>
        <v>-5.5689754765530619E-2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I4" sqref="I4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17308</v>
      </c>
      <c r="D2" s="5">
        <f>SUM(D4:D65)</f>
        <v>0</v>
      </c>
      <c r="E2" s="5">
        <f>C2-D2</f>
        <v>17308</v>
      </c>
      <c r="F2" s="6">
        <f>IFERROR(E2/D2, 0)</f>
        <v>0</v>
      </c>
      <c r="G2" s="5">
        <f>SUM(G4:G65)</f>
        <v>17175.689999999999</v>
      </c>
      <c r="H2" s="7">
        <f>C2-G2</f>
        <v>132.31000000000131</v>
      </c>
      <c r="I2" s="6">
        <f>IFERROR(H2/G2, 0)</f>
        <v>7.7033295314483038E-3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17308</v>
      </c>
      <c r="D4" s="11">
        <v>0</v>
      </c>
      <c r="E4" s="11">
        <f>IF(AND(ISNUMBER(C4),ISNUMBER(D4)), C4-D4, "")</f>
        <v>17308</v>
      </c>
      <c r="F4" s="12" t="str">
        <f>IFERROR(E4/D4, "")</f>
        <v/>
      </c>
      <c r="G4" s="13">
        <v>17175.689999999999</v>
      </c>
      <c r="H4" s="13">
        <f>IF(AND(ISNUMBER(C4),ISNUMBER(G4)), C4-G4, "")</f>
        <v>132.31000000000131</v>
      </c>
      <c r="I4" s="14">
        <f>IFERROR(H4/G4, "")</f>
        <v>7.7033295314483038E-3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H4" sqref="H4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18785</v>
      </c>
      <c r="D2" s="5">
        <f>SUM(D4:D65)</f>
        <v>0</v>
      </c>
      <c r="E2" s="5">
        <f>C2-D2</f>
        <v>18785</v>
      </c>
      <c r="F2" s="6">
        <f>IFERROR(E2/D2, 0)</f>
        <v>0</v>
      </c>
      <c r="G2" s="5">
        <f>SUM(G4:G65)</f>
        <v>17115.932000000001</v>
      </c>
      <c r="H2" s="7">
        <f>C2-G2</f>
        <v>1669.0679999999993</v>
      </c>
      <c r="I2" s="6">
        <f>IFERROR(H2/G2, 0)</f>
        <v>9.751546103361472E-2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18785</v>
      </c>
      <c r="D4" s="11">
        <v>0</v>
      </c>
      <c r="E4" s="11">
        <f>IF(AND(ISNUMBER(C4),ISNUMBER(D4)), C4-D4, "")</f>
        <v>18785</v>
      </c>
      <c r="F4" s="12" t="str">
        <f>IFERROR(E4/D4, "")</f>
        <v/>
      </c>
      <c r="G4" s="13">
        <v>17115.932000000001</v>
      </c>
      <c r="H4" s="13">
        <f>IF(AND(ISNUMBER(C4),ISNUMBER(G4)), C4-G4, "")</f>
        <v>1669.0679999999993</v>
      </c>
      <c r="I4" s="14">
        <f>IFERROR(H4/G4, "")</f>
        <v>9.751546103361472E-2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G6" sqref="G6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17125</v>
      </c>
      <c r="D2" s="5">
        <f>SUM(D4:D65)</f>
        <v>0</v>
      </c>
      <c r="E2" s="5">
        <f>C2-D2</f>
        <v>17125</v>
      </c>
      <c r="F2" s="6">
        <f>IFERROR(E2/D2, 0)</f>
        <v>0</v>
      </c>
      <c r="G2" s="5">
        <f>SUM(G4:G65)</f>
        <v>17167.757000000001</v>
      </c>
      <c r="H2" s="7">
        <f>C2-G2</f>
        <v>-42.757000000001426</v>
      </c>
      <c r="I2" s="6">
        <f>IFERROR(H2/G2, 0)</f>
        <v>-2.4905408435127213E-3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17125</v>
      </c>
      <c r="D4" s="11">
        <v>0</v>
      </c>
      <c r="E4" s="11">
        <f>IF(AND(ISNUMBER(C4),ISNUMBER(D4)), C4-D4, "")</f>
        <v>17125</v>
      </c>
      <c r="F4" s="12" t="str">
        <f>IFERROR(E4/D4, "")</f>
        <v/>
      </c>
      <c r="G4" s="13">
        <v>17167.757000000001</v>
      </c>
      <c r="H4" s="13">
        <f>IF(AND(ISNUMBER(C4),ISNUMBER(G4)), C4-G4, "")</f>
        <v>-42.757000000001426</v>
      </c>
      <c r="I4" s="14">
        <f>IFERROR(H4/G4, "")</f>
        <v>-2.4905408435127213E-3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G9" sqref="G9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16176</v>
      </c>
      <c r="D2" s="5">
        <f>SUM(D4:D65)</f>
        <v>0</v>
      </c>
      <c r="E2" s="5">
        <f>C2-D2</f>
        <v>16176</v>
      </c>
      <c r="F2" s="6">
        <f>IFERROR(E2/D2, 0)</f>
        <v>0</v>
      </c>
      <c r="G2" s="5">
        <f>SUM(G4:G65)</f>
        <v>15716.9</v>
      </c>
      <c r="H2" s="7">
        <f>C2-G2</f>
        <v>459.10000000000036</v>
      </c>
      <c r="I2" s="6">
        <f>IFERROR(H2/G2, 0)</f>
        <v>2.9210594964655903E-2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16176</v>
      </c>
      <c r="D4" s="11">
        <v>0</v>
      </c>
      <c r="E4" s="11">
        <f>IF(AND(ISNUMBER(C4),ISNUMBER(D4)), C4-D4, "")</f>
        <v>16176</v>
      </c>
      <c r="F4" s="12" t="str">
        <f>IFERROR(E4/D4, "")</f>
        <v/>
      </c>
      <c r="G4" s="13">
        <v>15716.9</v>
      </c>
      <c r="H4" s="13">
        <f>IF(AND(ISNUMBER(C4),ISNUMBER(G4)), C4-G4, "")</f>
        <v>459.10000000000036</v>
      </c>
      <c r="I4" s="14">
        <f>IFERROR(H4/G4, "")</f>
        <v>2.9210594964655903E-2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G6" sqref="G6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14046</v>
      </c>
      <c r="D2" s="5">
        <f>SUM(D4:D65)</f>
        <v>0</v>
      </c>
      <c r="E2" s="5">
        <f>C2-D2</f>
        <v>14046</v>
      </c>
      <c r="F2" s="6">
        <f>IFERROR(E2/D2, 0)</f>
        <v>0</v>
      </c>
      <c r="G2" s="5">
        <f>SUM(G4:G65)</f>
        <v>12842.121999999999</v>
      </c>
      <c r="H2" s="7">
        <f>C2-G2</f>
        <v>1203.8780000000006</v>
      </c>
      <c r="I2" s="6">
        <f>IFERROR(H2/G2, 0)</f>
        <v>9.3744476185477807E-2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14046</v>
      </c>
      <c r="D4" s="11">
        <v>0</v>
      </c>
      <c r="E4" s="11">
        <f>IF(AND(ISNUMBER(C4),ISNUMBER(D4)), C4-D4, "")</f>
        <v>14046</v>
      </c>
      <c r="F4" s="12" t="str">
        <f>IFERROR(E4/D4, "")</f>
        <v/>
      </c>
      <c r="G4" s="13">
        <v>12842.121999999999</v>
      </c>
      <c r="H4" s="13">
        <f>IF(AND(ISNUMBER(C4),ISNUMBER(G4)), C4-G4, "")</f>
        <v>1203.8780000000006</v>
      </c>
      <c r="I4" s="14">
        <f>IFERROR(H4/G4, "")</f>
        <v>9.3744476185477807E-2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7" t="s">
        <v>45</v>
      </c>
      <c r="B4" t="s">
        <v>49</v>
      </c>
      <c r="C4" s="35" t="s">
        <v>50</v>
      </c>
      <c r="D4" s="34" t="s">
        <v>51</v>
      </c>
      <c r="E4" t="s">
        <v>52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2"/>
      <c r="L10" s="32"/>
    </row>
    <row r="11" spans="1:12" ht="12.75" customHeight="1">
      <c r="A11" s="37"/>
      <c r="C11" s="35"/>
      <c r="D11" s="34"/>
      <c r="K11" s="32"/>
      <c r="L11" s="32"/>
    </row>
    <row r="12" spans="1:12" ht="12.75" customHeight="1">
      <c r="A12" s="37"/>
      <c r="C12" s="35"/>
      <c r="D12" s="34"/>
      <c r="K12" s="32"/>
      <c r="L12" s="32"/>
    </row>
    <row r="13" spans="1:12" ht="12.75" customHeight="1">
      <c r="A13" s="37"/>
      <c r="C13" s="35"/>
      <c r="D13" s="34"/>
      <c r="K13" s="32"/>
      <c r="L13" s="32"/>
    </row>
    <row r="14" spans="1:12" ht="12.75" customHeight="1">
      <c r="A14" s="37"/>
      <c r="C14" s="35"/>
      <c r="D14" s="34"/>
      <c r="K14" s="32"/>
      <c r="L14" s="32"/>
    </row>
    <row r="15" spans="1:12" ht="12.75" customHeight="1">
      <c r="A15" s="37"/>
      <c r="C15" s="35"/>
      <c r="D15" s="34"/>
      <c r="K15" s="32"/>
      <c r="L15" s="32"/>
    </row>
    <row r="16" spans="1:12" ht="12.75" customHeight="1">
      <c r="A16" s="37"/>
      <c r="C16" s="35"/>
      <c r="D16" s="34"/>
      <c r="K16" s="32"/>
      <c r="L16" s="32"/>
    </row>
    <row r="17" spans="1:12" ht="12.75" customHeight="1">
      <c r="A17" s="37"/>
      <c r="C17" s="35"/>
      <c r="D17" s="34"/>
      <c r="K17" s="32"/>
      <c r="L17" s="32"/>
    </row>
    <row r="18" spans="1:12" ht="12.75" customHeight="1">
      <c r="A18" s="37"/>
      <c r="C18" s="35"/>
      <c r="D18" s="34"/>
      <c r="K18" s="32"/>
      <c r="L18" s="32"/>
    </row>
    <row r="19" spans="1:12" ht="12.75" customHeight="1">
      <c r="A19" s="37"/>
      <c r="C19" s="35"/>
      <c r="D19" s="34"/>
      <c r="K19" s="32"/>
      <c r="L19" s="32"/>
    </row>
    <row r="20" spans="1:12" ht="12.75" customHeight="1">
      <c r="A20" s="37"/>
      <c r="C20" s="35"/>
      <c r="D20" s="34"/>
      <c r="K20" s="32"/>
      <c r="L20" s="32"/>
    </row>
    <row r="21" spans="1:12" ht="12.75" customHeight="1">
      <c r="A21" s="37"/>
      <c r="C21" s="35"/>
      <c r="D21" s="34"/>
      <c r="K21" s="32"/>
      <c r="L21" s="32"/>
    </row>
    <row r="22" spans="1:12" ht="12.75" customHeight="1">
      <c r="A22" s="37"/>
      <c r="C22" s="35"/>
      <c r="D22" s="34"/>
      <c r="K22" s="32"/>
      <c r="L22" s="32"/>
    </row>
    <row r="23" spans="1:12" ht="12.75" customHeight="1">
      <c r="A23" s="37"/>
      <c r="C23" s="35"/>
      <c r="D23" s="34"/>
      <c r="K23" s="32"/>
      <c r="L23" s="32"/>
    </row>
    <row r="24" spans="1:12" ht="12.75" customHeight="1">
      <c r="A24" s="37"/>
      <c r="C24" s="35"/>
      <c r="D24" s="34"/>
      <c r="K24" s="32"/>
      <c r="L24" s="32"/>
    </row>
    <row r="25" spans="1:12" ht="12.75" customHeight="1">
      <c r="A25" s="37"/>
      <c r="C25" s="35"/>
      <c r="D25" s="34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