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6" documentId="13_ncr:1_{692B4949-AE95-44B9-991D-01145DDCAFB6}" xr6:coauthVersionLast="47" xr6:coauthVersionMax="47" xr10:uidLastSave="{0954AB3C-D9F7-40CD-BCBB-14B0E83D5546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H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E4" i="30" s="1"/>
  <c r="F4" i="30" s="1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D2" i="34"/>
  <c r="H4" i="30"/>
  <c r="I4" i="30" s="1"/>
  <c r="H4" i="29"/>
  <c r="I4" i="29" s="1"/>
  <c r="H4" i="18"/>
  <c r="I4" i="18" s="1"/>
  <c r="C4" i="34"/>
  <c r="E4" i="34" s="1"/>
  <c r="F4" i="34" s="1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G2" i="34" l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<sst xmlns="http://schemas.openxmlformats.org/spreadsheetml/2006/main" count="248" uniqueCount="62">
  <si>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</si>
  <si>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</si>
  <si>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</si>
  <si>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</si>
  <si>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</si>
  <si>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</si>
  <si>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</si>
  <si>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</si>
  <si>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</si>
  <si>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</si>
  <si>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</si>
  <si>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</si>
  <si>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</si>
  <si>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</si>
  <si>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</si>
  <si>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</si>
  <si>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</si>
  <si>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</si>
  <si>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</si>
  <si>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</si>
  <si>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</si>
  <si>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</si>
  <si>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</si>
  <si>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</si>
  <si>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</si>
  <si>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</si>
  <si>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</si>
  <si>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</si>
  <si>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</si>
  <si>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</si>
  <si>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</si>
  <si>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</si>
  <si>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The site was offline from 06/03 at 14:00 to 06/04 at 16:45 due to utility planned outage</t>
  </si>
  <si>
    <t>1. 	SR085463</t>
  </si>
  <si>
    <t>July Actual v. Expected</t>
  </si>
  <si>
    <t>July Actual v. Forecasted</t>
  </si>
  <si>
    <t>1. Inverter 1 derating approximately from 120kW from 07/02 to 07/25.
2. Site tripped offline at 11:00AM on 07/13 and back online at 12:15PM on 07/14.</t>
  </si>
  <si>
    <t>1. SR087284, SR087331
2. SR087562</t>
  </si>
  <si>
    <t>August Actual v. Expected</t>
  </si>
  <si>
    <t>August Actual v. Forecasted</t>
  </si>
  <si>
    <t>1. Site is offline from 19:30 to 22:15 on 08/05.
2. Site is offline from 10:15AM to 12:15PM on 08/17.
3. Site is offline from 08/19.</t>
  </si>
  <si>
    <t>1. SR088663
2. SR089043
3. SR089989</t>
  </si>
  <si>
    <t>September Actual v. Expected</t>
  </si>
  <si>
    <t>September Actual v. Forecasted</t>
  </si>
  <si>
    <t>1.  Site is offline from 08/19 and back online on 09/23 and inverter 1 is offline from 09/23.
2. Site had a brief outage from 11:00AM to 13:00 on 09/26.</t>
  </si>
  <si>
    <t>1. SR089989
2. SR091299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</si>
  <si>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</si>
  <si>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</si>
  <si>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</si>
  <si>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</si>
  <si>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</si>
  <si>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</si>
  <si>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</si>
  <si>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Mira corp</t>
  </si>
  <si>
    <t>Site DAS Name</t>
  </si>
  <si>
    <t>Update</t>
  </si>
  <si>
    <t>DAS</t>
  </si>
  <si>
    <t>Hartford Landfill</t>
  </si>
  <si>
    <t>CT: Hartford Landfill - MIRA</t>
  </si>
  <si>
    <t>CT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</si>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</sst>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3"/>
  <sheetViews>
    <sheetView workbookViewId="0">
      <pane xSplit="2" ySplit="3" topLeftCell="C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0</v>
      </c>
      <c r="E1" s="42"/>
      <c r="F1" s="42"/>
      <c r="G1" s="40" t="s">
        <v>1</v>
      </c>
      <c r="H1" s="40"/>
      <c r="I1" s="40"/>
    </row>
    <row r="2" spans="1:9" ht="19.5" customHeight="1">
      <c r="A2" s="43" t="s">
        <v>2</v>
      </c>
      <c r="B2" s="43"/>
      <c r="C2" s="5">
        <f>SUM(C4:C71)</f>
        <v>975378</v>
      </c>
      <c r="D2" s="5">
        <f>SUM(D4:D71)</f>
        <v>1017642.287</v>
      </c>
      <c r="E2" s="5">
        <f>C2-D2</f>
        <v>-42264.287000000011</v>
      </c>
      <c r="F2" s="6">
        <f>IFERROR(E2/D2, 0)</f>
        <v>-4.1531575033693556E-2</v>
      </c>
      <c r="G2" s="5">
        <f>SUM(G4:G71)</f>
        <v>964395.73</v>
      </c>
      <c r="H2" s="7">
        <f>C2-G2</f>
        <v>10982.270000000019</v>
      </c>
      <c r="I2" s="6">
        <f>IFERROR(H2/G2, 0)</f>
        <v>1.1387721511375853E-2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Hartford Landfill - MIRA</v>
      </c>
      <c r="B4" s="9" t="str" cm="1">
        <f t="array" ref="B4">Sites[State]</f>
        <v>CT</v>
      </c>
      <c r="C4" s="18">
        <f>SUM('1st Qtr'!C4, '2nd Qtr'!C4, '3rd Qtr'!C4, '4th Qtr'!C4)</f>
        <v>975378</v>
      </c>
      <c r="D4" s="11">
        <f>SUM('1st Qtr'!D4, '2nd Qtr'!D4, '3rd Qtr'!D4, '4th Qtr'!D4)</f>
        <v>1017642.287</v>
      </c>
      <c r="E4" s="11">
        <f>IF(AND(ISNUMBER(C4),ISNUMBER(D4)), C4-D4, "")</f>
        <v>-42264.287000000011</v>
      </c>
      <c r="F4" s="12">
        <f>IFERROR(E4/D4, "")</f>
        <v>-4.1531575033693556E-2</v>
      </c>
      <c r="G4" s="13">
        <f>SUM('1st Qtr'!G4, '2nd Qtr'!G4, '3rd Qtr'!G4, '4th Qtr'!G4)</f>
        <v>964395.73</v>
      </c>
      <c r="H4" s="13">
        <f>SUM('1st Qtr'!H4, '2nd Qtr'!H4, '3rd Qtr'!H4, '4th Qtr'!H4)</f>
        <v>10982.270000000019</v>
      </c>
      <c r="I4" s="14">
        <f>IFERROR(H4/G4, "")</f>
        <v>1.1387721511375853E-2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1 I4:I71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10</v>
      </c>
      <c r="E1" s="42"/>
      <c r="F1" s="42"/>
      <c r="G1" s="40" t="s">
        <v>11</v>
      </c>
      <c r="H1" s="40"/>
      <c r="I1" s="40"/>
    </row>
    <row r="2" spans="1:9" ht="19.5" customHeight="1">
      <c r="A2" s="43" t="s">
        <v>2</v>
      </c>
      <c r="B2" s="43"/>
      <c r="C2" s="5">
        <f>SUM(C4:C71)</f>
        <v>297920</v>
      </c>
      <c r="D2" s="5">
        <f>SUM(D4:D71)</f>
        <v>343589.24800000002</v>
      </c>
      <c r="E2" s="5">
        <f>C2-D2</f>
        <v>-45669.248000000021</v>
      </c>
      <c r="F2" s="6">
        <f>IFERROR(E2/D2, 0)</f>
        <v>-0.13291815231657081</v>
      </c>
      <c r="G2" s="5">
        <f>SUM(G4:G71)</f>
        <v>211861.36</v>
      </c>
      <c r="H2" s="7">
        <f>C2-G2</f>
        <v>86058.640000000014</v>
      </c>
      <c r="I2" s="6">
        <f>IFERROR(H2/G2, 0)</f>
        <v>0.40620262231867116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SUM(Jan!C4, Feb!C4, Mar!C4)</f>
        <v>297920</v>
      </c>
      <c r="D4" s="11">
        <f>SUM(Jan!D4, Feb!D4, Mar!D4)</f>
        <v>343589.24800000002</v>
      </c>
      <c r="E4" s="11">
        <f>IF(AND(ISNUMBER(C4),ISNUMBER(D4)), C4-D4, "")</f>
        <v>-45669.248000000021</v>
      </c>
      <c r="F4" s="12">
        <f>IFERROR(E4/D4, "")</f>
        <v>-0.13291815231657081</v>
      </c>
      <c r="G4" s="13">
        <f>SUM(Jan!G4, Feb!G4, Mar!G4)</f>
        <v>211861.36</v>
      </c>
      <c r="H4" s="13">
        <f>SUM(Jan!H4, Feb!H4, Mar!H4)</f>
        <v>86058.64</v>
      </c>
      <c r="I4" s="14">
        <f>IFERROR(H4/G4, "")</f>
        <v>0.40620262231867105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1 I4:I71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3"/>
  <sheetViews>
    <sheetView workbookViewId="0">
      <pane xSplit="2" ySplit="3" topLeftCell="G15" activePane="bottomRight" state="frozen"/>
      <selection pane="bottomRight" activeCell="G15" sqref="G15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12</v>
      </c>
      <c r="E1" s="42"/>
      <c r="F1" s="42"/>
      <c r="G1" s="40" t="s">
        <v>13</v>
      </c>
      <c r="H1" s="40"/>
      <c r="I1" s="40"/>
    </row>
    <row r="2" spans="1:9" ht="19.5" customHeight="1">
      <c r="A2" s="43" t="s">
        <v>2</v>
      </c>
      <c r="B2" s="43"/>
      <c r="C2" s="5">
        <f>SUM(C4:C71)</f>
        <v>446150</v>
      </c>
      <c r="D2" s="5">
        <f>SUM(D4:D71)</f>
        <v>427927.40899999999</v>
      </c>
      <c r="E2" s="5">
        <f>C2-D2</f>
        <v>18222.591000000015</v>
      </c>
      <c r="F2" s="6">
        <f>IFERROR(E2/D2, 0)</f>
        <v>4.2583369554624662E-2</v>
      </c>
      <c r="G2" s="5">
        <f>SUM(G4:G71)</f>
        <v>391942</v>
      </c>
      <c r="H2" s="7">
        <f>C2-G2</f>
        <v>54208</v>
      </c>
      <c r="I2" s="6">
        <f>IFERROR(H2/G2, 0)</f>
        <v>0.13830617795490149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SUM(Apr!C4, May!C4, Jun!C4)</f>
        <v>446150</v>
      </c>
      <c r="D4" s="11">
        <f>SUM(Apr!D4, May!D4, Jun!D4)</f>
        <v>427927.40899999999</v>
      </c>
      <c r="E4" s="11">
        <f>IF(AND(ISNUMBER(C4),ISNUMBER(D4)), C4-D4, "")</f>
        <v>18222.591000000015</v>
      </c>
      <c r="F4" s="12">
        <f>IFERROR(E4/D4, "")</f>
        <v>4.2583369554624662E-2</v>
      </c>
      <c r="G4" s="13">
        <f>SUM(Apr!G4,May!G4,Jun!G4)</f>
        <v>391942</v>
      </c>
      <c r="H4" s="13">
        <f>SUM(Apr!H4, May!H4, Jun!H4)</f>
        <v>54208</v>
      </c>
      <c r="I4" s="14">
        <f>IFERROR(H4/G4, "")</f>
        <v>0.13830617795490149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3"/>
  <sheetViews>
    <sheetView tabSelected="1" workbookViewId="0">
      <pane xSplit="2" ySplit="3" topLeftCell="C4" activePane="bottomRight" state="frozen"/>
      <selection pane="bottomRight" activeCell="G4" sqref="G4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14</v>
      </c>
      <c r="E1" s="42"/>
      <c r="F1" s="42"/>
      <c r="G1" s="40" t="s">
        <v>15</v>
      </c>
      <c r="H1" s="40"/>
      <c r="I1" s="40"/>
    </row>
    <row r="2" spans="1:9" ht="19.5" customHeight="1">
      <c r="A2" s="43" t="s">
        <v>2</v>
      </c>
      <c r="B2" s="43"/>
      <c r="C2" s="5">
        <f>SUM(C4:C71)</f>
        <v>231308</v>
      </c>
      <c r="D2" s="5">
        <f>SUM(D4:D71)</f>
        <v>246125.62999999998</v>
      </c>
      <c r="E2" s="5">
        <f>C2-D2</f>
        <v>-14817.629999999976</v>
      </c>
      <c r="F2" s="6">
        <f>IFERROR(E2/D2, 0)</f>
        <v>-6.0203522891947407E-2</v>
      </c>
      <c r="G2" s="5">
        <f>SUM(G4:G71)</f>
        <v>360592.37</v>
      </c>
      <c r="H2" s="7">
        <f>C2-G2</f>
        <v>-129284.37</v>
      </c>
      <c r="I2" s="6">
        <f>IFERROR(H2/G2, 0)</f>
        <v>-0.3585332934249274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SUM(Jul!C4, Aug!C4, Sep!C4)</f>
        <v>231308</v>
      </c>
      <c r="D4" s="11">
        <f>SUM(Jul!D4, Aug!D4, Sep!D4)</f>
        <v>246125.62999999998</v>
      </c>
      <c r="E4" s="11">
        <f>IF(AND(ISNUMBER(C4),ISNUMBER(D4)), C4-D4, "")</f>
        <v>-14817.629999999976</v>
      </c>
      <c r="F4" s="12">
        <f>IFERROR(E4/D4, "")</f>
        <v>-6.0203522891947407E-2</v>
      </c>
      <c r="G4" s="13">
        <f>SUM(Jul!G4,Aug!G4,Sep!G4)</f>
        <v>360592.37</v>
      </c>
      <c r="H4" s="13">
        <f>SUM(Jul!H4, Aug!H4, Sep!H4)</f>
        <v>-129284.37</v>
      </c>
      <c r="I4" s="14">
        <f>IFERROR(H4/G4, "")</f>
        <v>-0.3585332934249274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1" t="str" cm="1">
        <f t="array" ref="A1">portfolio</f>
        <v>Mira corp</v>
      </c>
      <c r="B1" s="41"/>
      <c r="C1" s="41"/>
      <c r="D1" s="42" t="s">
        <v>16</v>
      </c>
      <c r="E1" s="42"/>
      <c r="F1" s="42"/>
      <c r="G1" s="40" t="s">
        <v>17</v>
      </c>
      <c r="H1" s="40"/>
      <c r="I1" s="40"/>
    </row>
    <row r="2" spans="1:9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CT: Hartford Landfill - MIRA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  <row r="308" spans="1:9" ht="13.9">
      <c r="A308" s="15"/>
      <c r="B308" s="15"/>
      <c r="C308" s="15"/>
      <c r="D308" s="15"/>
      <c r="E308" s="15"/>
      <c r="F308" s="16"/>
      <c r="G308" s="15"/>
      <c r="H308" s="15"/>
      <c r="I308" s="16"/>
    </row>
    <row r="309" spans="1:9" ht="13.9">
      <c r="A309" s="15"/>
      <c r="B309" s="15"/>
      <c r="C309" s="15"/>
      <c r="D309" s="15"/>
      <c r="E309" s="15"/>
      <c r="F309" s="16"/>
      <c r="G309" s="15"/>
      <c r="H309" s="15"/>
      <c r="I309" s="16"/>
    </row>
    <row r="310" spans="1:9" ht="13.9">
      <c r="A310" s="15"/>
      <c r="B310" s="15"/>
      <c r="C310" s="15"/>
      <c r="D310" s="15"/>
      <c r="E310" s="15"/>
      <c r="F310" s="16"/>
      <c r="G310" s="15"/>
      <c r="H310" s="15"/>
      <c r="I310" s="16"/>
    </row>
    <row r="311" spans="1:9" ht="13.9">
      <c r="A311" s="15"/>
      <c r="B311" s="15"/>
      <c r="C311" s="15"/>
      <c r="D311" s="15"/>
      <c r="E311" s="15"/>
      <c r="F311" s="16"/>
      <c r="G311" s="15"/>
      <c r="H311" s="15"/>
      <c r="I311" s="16"/>
    </row>
    <row r="312" spans="1:9" ht="13.9">
      <c r="A312" s="15"/>
      <c r="B312" s="15"/>
      <c r="C312" s="15"/>
      <c r="D312" s="15"/>
      <c r="E312" s="15"/>
      <c r="F312" s="16"/>
      <c r="G312" s="15"/>
      <c r="H312" s="15"/>
      <c r="I312" s="16"/>
    </row>
    <row r="313" spans="1:9" ht="13.9">
      <c r="A313" s="15"/>
      <c r="B313" s="15"/>
      <c r="C313" s="15"/>
      <c r="D313" s="15"/>
      <c r="E313" s="15"/>
      <c r="F313" s="16"/>
      <c r="G313" s="15"/>
      <c r="H313" s="15"/>
      <c r="I313" s="16"/>
    </row>
  </sheetData>
  <mergeCells count="4">
    <mergeCell ref="G1:I1"/>
    <mergeCell ref="A1:C1"/>
    <mergeCell ref="D1:F1"/>
    <mergeCell ref="A2:B2"/>
  </mergeCells>
  <conditionalFormatting sqref="F2 I2 F4:F71 I4:I71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2"/>
  <sheetViews>
    <sheetView workbookViewId="0">
      <pane xSplit="2" ySplit="3" topLeftCell="C4" activePane="bottomRight" state="frozen"/>
      <selection pane="bottomRight" activeCell="F10" sqref="F10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18</v>
      </c>
      <c r="E1" s="42"/>
      <c r="F1" s="42"/>
      <c r="G1" s="40" t="s">
        <v>19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SUM(C4:C70)</f>
        <v>41663</v>
      </c>
      <c r="D2" s="5">
        <f>SUM(D4:D70)</f>
        <v>74856.53</v>
      </c>
      <c r="E2" s="5">
        <f>C2-D2</f>
        <v>-33193.53</v>
      </c>
      <c r="F2" s="6">
        <f>IFERROR(E2/D2, 0)</f>
        <v>-0.4434286494444773</v>
      </c>
      <c r="G2" s="5">
        <f>SUM(G4:G70)</f>
        <v>50532.47</v>
      </c>
      <c r="H2" s="7">
        <f>C2-G2</f>
        <v>-8869.4700000000012</v>
      </c>
      <c r="I2" s="6">
        <f>IFERROR(H2/G2, 0)</f>
        <v>-0.17552021502214321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Hartford Landfill - MIRA</v>
      </c>
      <c r="B4" s="22" t="str" cm="1">
        <f t="array" ref="B4">Sites[State]</f>
        <v>CT</v>
      </c>
      <c r="C4" s="11">
        <v>41663</v>
      </c>
      <c r="D4" s="11">
        <v>74856.53</v>
      </c>
      <c r="E4" s="11">
        <f>IF(AND(ISNUMBER(C4),ISNUMBER(D4)), C4-D4, "")</f>
        <v>-33193.53</v>
      </c>
      <c r="F4" s="34">
        <f>IFERROR(E4/D4, "")</f>
        <v>-0.4434286494444773</v>
      </c>
      <c r="G4" s="13">
        <v>50532.47</v>
      </c>
      <c r="H4" s="13">
        <f>IF(AND(ISNUMBER(C4),ISNUMBER(G4)), C4-G4, "")</f>
        <v>-8869.4700000000012</v>
      </c>
      <c r="I4" s="14">
        <f>IFERROR(H4/G4, "")</f>
        <v>-0.17552021502214321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</sheetData>
  <mergeCells count="4">
    <mergeCell ref="D1:F1"/>
    <mergeCell ref="A1:C1"/>
    <mergeCell ref="G1:I1"/>
    <mergeCell ref="A2:B2"/>
  </mergeCells>
  <conditionalFormatting sqref="F2 I2 I4:I70 F5:F7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3"/>
  <sheetViews>
    <sheetView workbookViewId="0">
      <pane xSplit="2" ySplit="3" topLeftCell="C4" activePane="bottomRight" state="frozen"/>
      <selection pane="bottomRight" activeCell="D8" sqref="D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22</v>
      </c>
      <c r="E1" s="42"/>
      <c r="F1" s="42"/>
      <c r="G1" s="40" t="s">
        <v>23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119806</v>
      </c>
      <c r="D2" s="5">
        <f>SUM(D4:D71)</f>
        <v>131605.5</v>
      </c>
      <c r="E2" s="5">
        <f>C2-D2</f>
        <v>-11799.5</v>
      </c>
      <c r="F2" s="6">
        <f>IFERROR(E2/D2, 0)</f>
        <v>-8.9658106994008613E-2</v>
      </c>
      <c r="G2" s="5">
        <f>SUM(G4:G71)</f>
        <v>65926.89</v>
      </c>
      <c r="H2" s="7">
        <f>C2-G2</f>
        <v>53879.11</v>
      </c>
      <c r="I2" s="6">
        <f>IFERROR(H2/G2, 0)</f>
        <v>0.81725544766331315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CT: Hartford Landfill - MIRA</v>
      </c>
      <c r="B4" s="22" t="str" cm="1">
        <f t="array" ref="B4">Sites[State]</f>
        <v>CT</v>
      </c>
      <c r="C4" s="18">
        <v>119806</v>
      </c>
      <c r="D4" s="11">
        <v>131605.5</v>
      </c>
      <c r="E4" s="11">
        <f>IF(AND(ISNUMBER(C4),ISNUMBER(D4)), C4-D4, "")</f>
        <v>-11799.5</v>
      </c>
      <c r="F4" s="12">
        <f>IFERROR(E4/D4, "")</f>
        <v>-8.9658106994008613E-2</v>
      </c>
      <c r="G4" s="13">
        <v>65926.89</v>
      </c>
      <c r="H4" s="13">
        <f>IF(AND(ISNUMBER(C4),ISNUMBER(G4)), C4-G4, "")</f>
        <v>53879.11</v>
      </c>
      <c r="I4" s="14">
        <f>IFERROR(H4/G4, "")</f>
        <v>0.81725544766331315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3"/>
  <sheetViews>
    <sheetView workbookViewId="0">
      <pane xSplit="2" ySplit="3" topLeftCell="C4" activePane="bottomRight" state="frozen"/>
      <selection pane="bottomRight" activeCell="H12" sqref="H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24</v>
      </c>
      <c r="E1" s="42"/>
      <c r="F1" s="42"/>
      <c r="G1" s="40" t="s">
        <v>25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136451</v>
      </c>
      <c r="D2" s="5">
        <f>SUM(D4:D71)</f>
        <v>137127.21799999999</v>
      </c>
      <c r="E2" s="5">
        <f>C2-D2</f>
        <v>-676.21799999999348</v>
      </c>
      <c r="F2" s="6">
        <f>IFERROR(E2/D2, 0)</f>
        <v>-4.9313185949706462E-3</v>
      </c>
      <c r="G2" s="5">
        <f>SUM(G4:G71)</f>
        <v>95402</v>
      </c>
      <c r="H2" s="7">
        <f>C2-G2</f>
        <v>41049</v>
      </c>
      <c r="I2" s="6">
        <f>IFERROR(H2/G2, 0)</f>
        <v>0.43027399844866981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136451</v>
      </c>
      <c r="D4" s="11">
        <v>137127.21799999999</v>
      </c>
      <c r="E4" s="11">
        <f>IF(AND(ISNUMBER(C4),ISNUMBER(D4)), C4-D4, "")</f>
        <v>-676.21799999999348</v>
      </c>
      <c r="F4" s="12">
        <f>IFERROR(E4/D4, "")</f>
        <v>-4.9313185949706462E-3</v>
      </c>
      <c r="G4" s="13">
        <v>95402</v>
      </c>
      <c r="H4" s="13">
        <f>IF(AND(ISNUMBER(C4),ISNUMBER(G4)), C4-G4, "")</f>
        <v>41049</v>
      </c>
      <c r="I4" s="14">
        <f>IFERROR(H4/G4, "")</f>
        <v>0.43027399844866981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3"/>
  <sheetViews>
    <sheetView workbookViewId="0">
      <pane xSplit="2" ySplit="3" topLeftCell="C4" activePane="bottomRight" state="frozen"/>
      <selection pane="bottomRight" activeCell="H8" sqref="H8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26</v>
      </c>
      <c r="E1" s="42"/>
      <c r="F1" s="42"/>
      <c r="G1" s="40" t="s">
        <v>27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134516</v>
      </c>
      <c r="D2" s="5">
        <f>SUM(D4:D71)</f>
        <v>131059.989</v>
      </c>
      <c r="E2" s="5">
        <f>C2-D2</f>
        <v>3456.0109999999986</v>
      </c>
      <c r="F2" s="6">
        <f>IFERROR(E2/D2, 0)</f>
        <v>2.6369687853399701E-2</v>
      </c>
      <c r="G2" s="5">
        <f>SUM(G4:G71)</f>
        <v>117814</v>
      </c>
      <c r="H2" s="7">
        <f>C2-G2</f>
        <v>16702</v>
      </c>
      <c r="I2" s="6">
        <f>IFERROR(H2/G2, 0)</f>
        <v>0.14176583428115505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134516</v>
      </c>
      <c r="D4" s="11">
        <v>131059.989</v>
      </c>
      <c r="E4" s="11">
        <f>IF(AND(ISNUMBER(C4),ISNUMBER(D4)), C4-D4, "")</f>
        <v>3456.0109999999986</v>
      </c>
      <c r="F4" s="12">
        <f>IFERROR(E4/D4, "")</f>
        <v>2.6369687853399701E-2</v>
      </c>
      <c r="G4" s="13">
        <v>117814</v>
      </c>
      <c r="H4" s="13">
        <f>IF(AND(ISNUMBER(C4),ISNUMBER(G4)), C4-G4, "")</f>
        <v>16702</v>
      </c>
      <c r="I4" s="14">
        <f>IFERROR(H4/G4, "")</f>
        <v>0.14176583428115505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3"/>
  <sheetViews>
    <sheetView workbookViewId="0">
      <pane xSplit="2" ySplit="3" topLeftCell="C4" activePane="bottomRight" state="frozen"/>
      <selection pane="bottomRight" activeCell="H11" sqref="H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28</v>
      </c>
      <c r="E1" s="42"/>
      <c r="F1" s="42"/>
      <c r="G1" s="40" t="s">
        <v>29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152521</v>
      </c>
      <c r="D2" s="5">
        <f>SUM(D4:D71)</f>
        <v>144951.06</v>
      </c>
      <c r="E2" s="5">
        <f>C2-D2</f>
        <v>7569.9400000000023</v>
      </c>
      <c r="F2" s="6">
        <f>IFERROR(E2/D2, 0)</f>
        <v>5.2224109295923755E-2</v>
      </c>
      <c r="G2" s="5">
        <f>SUM(G4:G71)</f>
        <v>132517</v>
      </c>
      <c r="H2" s="7">
        <f>C2-G2</f>
        <v>20004</v>
      </c>
      <c r="I2" s="6">
        <f>IFERROR(H2/G2, 0)</f>
        <v>0.150954217194775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152521</v>
      </c>
      <c r="D4" s="11">
        <v>144951.06</v>
      </c>
      <c r="E4" s="11">
        <f>IF(AND(ISNUMBER(C4),ISNUMBER(D4)), C4-D4, "")</f>
        <v>7569.9400000000023</v>
      </c>
      <c r="F4" s="12">
        <f>IFERROR(E4/D4, "")</f>
        <v>5.2224109295923755E-2</v>
      </c>
      <c r="G4" s="13">
        <v>132517</v>
      </c>
      <c r="H4" s="13">
        <f>IF(AND(ISNUMBER(C4),ISNUMBER(G4)), C4-G4, "")</f>
        <v>20004</v>
      </c>
      <c r="I4" s="14">
        <f>IFERROR(H4/G4, "")</f>
        <v>0.150954217194775</v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3"/>
  <sheetViews>
    <sheetView workbookViewId="0">
      <pane xSplit="2" ySplit="3" topLeftCell="F4" activePane="bottomRight" state="frozen"/>
      <selection pane="bottomRight" activeCell="G12" sqref="G12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30</v>
      </c>
      <c r="E1" s="42"/>
      <c r="F1" s="42"/>
      <c r="G1" s="40" t="s">
        <v>31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159113</v>
      </c>
      <c r="D2" s="5">
        <f>SUM(D4:D71)</f>
        <v>151916.35999999999</v>
      </c>
      <c r="E2" s="5">
        <f>C2-D2</f>
        <v>7196.640000000014</v>
      </c>
      <c r="F2" s="6">
        <f>IFERROR(E2/D2, 0)</f>
        <v>4.7372383066576991E-2</v>
      </c>
      <c r="G2" s="5">
        <f>SUM(G4:G71)</f>
        <v>141611</v>
      </c>
      <c r="H2" s="7">
        <f>C2-G2</f>
        <v>17502</v>
      </c>
      <c r="I2" s="6">
        <f>IFERROR(H2/G2, 0)</f>
        <v>0.12359209383451851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28.9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159113</v>
      </c>
      <c r="D4" s="11">
        <v>151916.35999999999</v>
      </c>
      <c r="E4" s="11">
        <f>IF(AND(ISNUMBER(C4),ISNUMBER(D4)), C4-D4, "")</f>
        <v>7196.640000000014</v>
      </c>
      <c r="F4" s="12">
        <f>IFERROR(E4/D4, "")</f>
        <v>4.7372383066576991E-2</v>
      </c>
      <c r="G4" s="13">
        <v>141611</v>
      </c>
      <c r="H4" s="13">
        <f>IF(AND(ISNUMBER(C4),ISNUMBER(G4)), C4-G4, "")</f>
        <v>17502</v>
      </c>
      <c r="I4" s="14">
        <f>IFERROR(H4/G4, "")</f>
        <v>0.12359209383451851</v>
      </c>
      <c r="J4" s="32" t="s">
        <v>32</v>
      </c>
      <c r="K4" s="32" t="s">
        <v>33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3"/>
  <sheetViews>
    <sheetView workbookViewId="0">
      <pane xSplit="2" ySplit="3" topLeftCell="C4" activePane="bottomRight" state="frozen"/>
      <selection pane="bottomRight" activeCell="J4" sqref="J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34</v>
      </c>
      <c r="E1" s="42"/>
      <c r="F1" s="42"/>
      <c r="G1" s="40" t="s">
        <v>35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144798</v>
      </c>
      <c r="D2" s="5">
        <f>SUM(D4:D71)</f>
        <v>143057.79999999999</v>
      </c>
      <c r="E2" s="5">
        <f>C2-D2</f>
        <v>1740.2000000000116</v>
      </c>
      <c r="F2" s="6">
        <f>IFERROR(E2/D2, 0)</f>
        <v>1.2164314004549292E-2</v>
      </c>
      <c r="G2" s="5">
        <f>SUM(G4:G71)</f>
        <v>138883.9</v>
      </c>
      <c r="H2" s="7">
        <f>C2-G2</f>
        <v>5914.1000000000058</v>
      </c>
      <c r="I2" s="6">
        <f>IFERROR(H2/G2, 0)</f>
        <v>4.2583049583141068E-2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5.75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144798</v>
      </c>
      <c r="D4" s="11">
        <v>143057.79999999999</v>
      </c>
      <c r="E4" s="11">
        <f>IF(AND(ISNUMBER(C4),ISNUMBER(D4)), C4-D4, "")</f>
        <v>1740.2000000000116</v>
      </c>
      <c r="F4" s="12">
        <f>IFERROR(E4/D4, "")</f>
        <v>1.2164314004549292E-2</v>
      </c>
      <c r="G4" s="13">
        <v>138883.9</v>
      </c>
      <c r="H4" s="13">
        <f>IF(AND(ISNUMBER(C4),ISNUMBER(G4)), C4-G4, "")</f>
        <v>5914.1000000000058</v>
      </c>
      <c r="I4" s="14">
        <f>IFERROR(H4/G4, "")</f>
        <v>4.2583049583141068E-2</v>
      </c>
      <c r="J4" s="32" t="s">
        <v>36</v>
      </c>
      <c r="K4" s="32" t="s">
        <v>37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1 I4:I71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3"/>
  <sheetViews>
    <sheetView workbookViewId="0">
      <pane xSplit="2" ySplit="3" topLeftCell="C4" activePane="bottomRight" state="frozen"/>
      <selection pane="bottomRight" activeCell="J4" sqref="J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38</v>
      </c>
      <c r="E1" s="42"/>
      <c r="F1" s="42"/>
      <c r="G1" s="40" t="s">
        <v>39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79114</v>
      </c>
      <c r="D2" s="5">
        <f>SUM(D4:D71)</f>
        <v>84536.48</v>
      </c>
      <c r="E2" s="5">
        <f>C2-D2</f>
        <v>-5422.4799999999959</v>
      </c>
      <c r="F2" s="6">
        <f>IFERROR(E2/D2, 0)</f>
        <v>-6.4143669100014525E-2</v>
      </c>
      <c r="G2" s="5">
        <f>SUM(G4:G71)</f>
        <v>124538.6</v>
      </c>
      <c r="H2" s="7">
        <f>C2-G2</f>
        <v>-45424.600000000006</v>
      </c>
      <c r="I2" s="6">
        <f>IFERROR(H2/G2, 0)</f>
        <v>-0.3647431398779174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66.75" customHeight="1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79114</v>
      </c>
      <c r="D4" s="11">
        <v>84536.48</v>
      </c>
      <c r="E4" s="11">
        <f>IF(AND(ISNUMBER(C4),ISNUMBER(D4)), C4-D4, "")</f>
        <v>-5422.4799999999959</v>
      </c>
      <c r="F4" s="12">
        <f>IFERROR(E4/D4, "")</f>
        <v>-6.4143669100014525E-2</v>
      </c>
      <c r="G4" s="13">
        <v>124538.6</v>
      </c>
      <c r="H4" s="13">
        <f>IF(AND(ISNUMBER(C4),ISNUMBER(G4)), C4-G4, "")</f>
        <v>-45424.600000000006</v>
      </c>
      <c r="I4" s="14">
        <f>IFERROR(H4/G4, "")</f>
        <v>-0.3647431398779174</v>
      </c>
      <c r="J4" s="32" t="s">
        <v>40</v>
      </c>
      <c r="K4" s="32" t="s">
        <v>41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3"/>
  <sheetViews>
    <sheetView workbookViewId="0">
      <pane xSplit="2" ySplit="3" topLeftCell="C4" activePane="bottomRight" state="frozen"/>
      <selection pane="bottomRight" activeCell="K4" sqref="K4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42</v>
      </c>
      <c r="E1" s="42"/>
      <c r="F1" s="42"/>
      <c r="G1" s="40" t="s">
        <v>43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7396</v>
      </c>
      <c r="D2" s="5">
        <f>SUM(D4:D71)</f>
        <v>18531.349999999999</v>
      </c>
      <c r="E2" s="5">
        <f>C2-D2</f>
        <v>-11135.349999999999</v>
      </c>
      <c r="F2" s="6">
        <f>IFERROR(E2/D2, 0)</f>
        <v>-0.60089254155795446</v>
      </c>
      <c r="G2" s="5">
        <f>SUM(G4:G71)</f>
        <v>97169.87</v>
      </c>
      <c r="H2" s="7">
        <f>C2-G2</f>
        <v>-89773.87</v>
      </c>
      <c r="I2" s="6">
        <f>IFERROR(H2/G2, 0)</f>
        <v>-0.92388587120678456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43.5" customHeight="1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>
        <v>7396</v>
      </c>
      <c r="D4" s="11">
        <v>18531.349999999999</v>
      </c>
      <c r="E4" s="11">
        <f>IF(AND(ISNUMBER(C4),ISNUMBER(D4)), C4-D4, "")</f>
        <v>-11135.349999999999</v>
      </c>
      <c r="F4" s="12">
        <f>IFERROR(E4/D4, "")</f>
        <v>-0.60089254155795446</v>
      </c>
      <c r="G4" s="13">
        <v>97169.87</v>
      </c>
      <c r="H4" s="13">
        <f>IF(AND(ISNUMBER(C4),ISNUMBER(G4)), C4-G4, "")</f>
        <v>-89773.87</v>
      </c>
      <c r="I4" s="14">
        <f>IFERROR(H4/G4, "")</f>
        <v>-0.92388587120678456</v>
      </c>
      <c r="J4" s="32" t="s">
        <v>44</v>
      </c>
      <c r="K4" s="32" t="s">
        <v>45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46</v>
      </c>
      <c r="E1" s="42"/>
      <c r="F1" s="42"/>
      <c r="G1" s="40" t="s">
        <v>47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48</v>
      </c>
      <c r="E1" s="42"/>
      <c r="F1" s="42"/>
      <c r="G1" s="40" t="s">
        <v>49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3"/>
  <sheetViews>
    <sheetView workbookViewId="0">
      <pane xSplit="2" ySplit="3" topLeftCell="C4" activePane="bottomRight" state="frozen"/>
      <selection pane="bottomRight" activeCell="A11" sqref="A11"/>
      <selection pane="bottomLeft" activeCell="A11" sqref="A11"/>
      <selection pane="topRight" activeCell="A11" sqref="A11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1" t="str" cm="1">
        <f t="array" ref="A1">portfolio</f>
        <v>Mira corp</v>
      </c>
      <c r="B1" s="41"/>
      <c r="C1" s="41"/>
      <c r="D1" s="42" t="s">
        <v>50</v>
      </c>
      <c r="E1" s="42"/>
      <c r="F1" s="42"/>
      <c r="G1" s="40" t="s">
        <v>51</v>
      </c>
      <c r="H1" s="40"/>
      <c r="I1" s="40"/>
      <c r="J1" s="4"/>
      <c r="K1" s="4"/>
    </row>
    <row r="2" spans="1:11" ht="19.5" customHeight="1">
      <c r="A2" s="43" t="s">
        <v>2</v>
      </c>
      <c r="B2" s="43"/>
      <c r="C2" s="5">
        <f>SUM(C4:C71)</f>
        <v>0</v>
      </c>
      <c r="D2" s="5">
        <f>SUM(D4:D71)</f>
        <v>0</v>
      </c>
      <c r="E2" s="5">
        <f>C2-D2</f>
        <v>0</v>
      </c>
      <c r="F2" s="6">
        <f>IFERROR(E2/D2, 0)</f>
        <v>0</v>
      </c>
      <c r="G2" s="5">
        <f>SUM(G4:G71)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Hartford Landfill - MIRA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2"/>
      <c r="K4" s="32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A307" s="15"/>
      <c r="B307" s="24"/>
      <c r="C307" s="15"/>
      <c r="D307" s="15"/>
      <c r="E307" s="15"/>
      <c r="F307" s="16"/>
      <c r="G307" s="15"/>
      <c r="H307" s="15"/>
      <c r="I307" s="16"/>
      <c r="J307" s="15"/>
      <c r="K307" s="15"/>
    </row>
    <row r="308" spans="1:11" ht="14.45">
      <c r="A308" s="15"/>
      <c r="B308" s="24"/>
      <c r="C308" s="15"/>
      <c r="D308" s="15"/>
      <c r="E308" s="15"/>
      <c r="F308" s="16"/>
      <c r="G308" s="15"/>
      <c r="H308" s="15"/>
      <c r="I308" s="16"/>
      <c r="J308" s="15"/>
      <c r="K308" s="15"/>
    </row>
    <row r="309" spans="1:11" ht="14.45">
      <c r="A309" s="15"/>
      <c r="B309" s="24"/>
      <c r="C309" s="15"/>
      <c r="D309" s="15"/>
      <c r="E309" s="15"/>
      <c r="F309" s="16"/>
      <c r="G309" s="15"/>
      <c r="H309" s="15"/>
      <c r="I309" s="16"/>
      <c r="J309" s="15"/>
      <c r="K309" s="15"/>
    </row>
    <row r="310" spans="1:11" ht="14.45">
      <c r="A310" s="15"/>
      <c r="B310" s="24"/>
      <c r="C310" s="15"/>
      <c r="D310" s="15"/>
      <c r="E310" s="15"/>
      <c r="F310" s="16"/>
      <c r="G310" s="15"/>
      <c r="H310" s="15"/>
      <c r="I310" s="16"/>
      <c r="J310" s="15"/>
      <c r="K310" s="15"/>
    </row>
    <row r="311" spans="1:11" ht="14.45">
      <c r="A311" s="15"/>
      <c r="B311" s="24"/>
      <c r="C311" s="15"/>
      <c r="D311" s="15"/>
      <c r="E311" s="15"/>
      <c r="F311" s="16"/>
      <c r="G311" s="15"/>
      <c r="H311" s="15"/>
      <c r="I311" s="16"/>
      <c r="J311" s="15"/>
      <c r="K311" s="15"/>
    </row>
    <row r="312" spans="1:11" ht="14.45">
      <c r="A312" s="15"/>
      <c r="B312" s="24"/>
      <c r="C312" s="15"/>
      <c r="D312" s="15"/>
      <c r="E312" s="15"/>
      <c r="F312" s="16"/>
      <c r="G312" s="15"/>
      <c r="H312" s="15"/>
      <c r="I312" s="16"/>
      <c r="J312" s="15"/>
      <c r="K312" s="15"/>
    </row>
    <row r="313" spans="1:11" ht="14.45">
      <c r="C313" s="15"/>
      <c r="D313" s="15"/>
      <c r="E313" s="15"/>
      <c r="F313" s="16"/>
      <c r="G313" s="15"/>
      <c r="H313" s="15"/>
      <c r="I313" s="16"/>
      <c r="J313" s="15"/>
      <c r="K313" s="15"/>
    </row>
  </sheetData>
  <mergeCells count="4">
    <mergeCell ref="G1:I1"/>
    <mergeCell ref="A1:C1"/>
    <mergeCell ref="D1:F1"/>
    <mergeCell ref="A2:B2"/>
  </mergeCells>
  <conditionalFormatting sqref="F2 I2 F4:F71 I4:I71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38" t="s">
        <v>57</v>
      </c>
      <c r="B4" t="s">
        <v>58</v>
      </c>
      <c r="C4" s="36" t="s">
        <v>59</v>
      </c>
      <c r="D4" s="35" t="s">
        <v>60</v>
      </c>
      <c r="E4" t="s">
        <v>61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89CF5C07-45EB-4100-9AFB-2C6AF77FA787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7946C510-7D04-49D8-9B25-EEC04582A1CA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66B09F59-6532-46F8-924A-9A02417E070D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2024-10-15T11:57:38Z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