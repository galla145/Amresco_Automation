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8" documentId="13_ncr:1_{69CB8019-1994-4E89-847A-0DC9414D4AA5}" xr6:coauthVersionLast="47" xr6:coauthVersionMax="47" xr10:uidLastSave="{B716E6FF-D6E3-46AA-95B5-5F48EE994D4A}"/>
  <bookViews>
    <workbookView xWindow="286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9" l="1" a="1"/>
  <c r="A4" i="19" s="1"/>
  <c r="A4" i="4" a="1"/>
  <c r="A4" i="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5" i="1"/>
  <c r="G5" i="34" s="1"/>
  <c r="G4" i="1"/>
  <c r="G4" i="34" s="1"/>
  <c r="D14" i="34"/>
  <c r="D13" i="34"/>
  <c r="D12" i="34"/>
  <c r="D11" i="34"/>
  <c r="D10" i="34"/>
  <c r="D9" i="34"/>
  <c r="D8" i="34"/>
  <c r="D7" i="34"/>
  <c r="D6" i="34"/>
  <c r="D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E6" i="30" s="1"/>
  <c r="F6" i="30" s="1"/>
  <c r="D5" i="30"/>
  <c r="C5" i="30"/>
  <c r="D4" i="30"/>
  <c r="C4" i="30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14" i="18"/>
  <c r="C14" i="18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E11" i="30"/>
  <c r="F11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5" i="1"/>
  <c r="D4" i="1"/>
  <c r="B4" i="1" a="1"/>
  <c r="B4" i="1" s="1"/>
  <c r="A4" i="1" a="1"/>
  <c r="A4" i="1" s="1"/>
  <c r="A1" i="1" a="1"/>
  <c r="A1" i="1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12" i="29" l="1"/>
  <c r="I12" i="29" s="1"/>
  <c r="E13" i="29"/>
  <c r="F13" i="29" s="1"/>
  <c r="H2" i="26"/>
  <c r="I2" i="26" s="1"/>
  <c r="H2" i="4"/>
  <c r="I2" i="4" s="1"/>
  <c r="G2" i="34"/>
  <c r="H2" i="20"/>
  <c r="I2" i="20" s="1"/>
  <c r="H2" i="21"/>
  <c r="I2" i="21" s="1"/>
  <c r="H2" i="32"/>
  <c r="I2" i="32" s="1"/>
  <c r="H2" i="28"/>
  <c r="I2" i="28" s="1"/>
  <c r="H2" i="33"/>
  <c r="I2" i="33" s="1"/>
  <c r="H2" i="19"/>
  <c r="I2" i="19" s="1"/>
  <c r="D2" i="18"/>
  <c r="H6" i="30"/>
  <c r="I6" i="30" s="1"/>
  <c r="H10" i="29"/>
  <c r="I10" i="29" s="1"/>
  <c r="H2" i="31"/>
  <c r="I2" i="31" s="1"/>
  <c r="D2" i="30"/>
  <c r="E7" i="18"/>
  <c r="F7" i="18" s="1"/>
  <c r="E11" i="18"/>
  <c r="F11" i="18" s="1"/>
  <c r="E8" i="29"/>
  <c r="F8" i="29" s="1"/>
  <c r="E12" i="29"/>
  <c r="F12" i="29" s="1"/>
  <c r="E5" i="30"/>
  <c r="F5" i="30" s="1"/>
  <c r="E9" i="30"/>
  <c r="F9" i="30" s="1"/>
  <c r="E13" i="30"/>
  <c r="F13" i="30" s="1"/>
  <c r="H9" i="29"/>
  <c r="I9" i="29" s="1"/>
  <c r="D4" i="34"/>
  <c r="D2" i="34" s="1"/>
  <c r="E2" i="20"/>
  <c r="F2" i="20" s="1"/>
  <c r="J2" i="4"/>
  <c r="J2" i="32"/>
  <c r="D2" i="29"/>
  <c r="I10" i="27"/>
  <c r="H2" i="27"/>
  <c r="I2" i="27" s="1"/>
  <c r="J2" i="21"/>
  <c r="H13" i="29"/>
  <c r="I13" i="29" s="1"/>
  <c r="E2" i="28"/>
  <c r="F2" i="28" s="1"/>
  <c r="H6" i="29"/>
  <c r="I6" i="29" s="1"/>
  <c r="H7" i="29"/>
  <c r="I7" i="29" s="1"/>
  <c r="E6" i="18"/>
  <c r="F6" i="18" s="1"/>
  <c r="E10" i="18"/>
  <c r="F10" i="18" s="1"/>
  <c r="E14" i="18"/>
  <c r="F14" i="18" s="1"/>
  <c r="E11" i="29"/>
  <c r="F11" i="29" s="1"/>
  <c r="E4" i="30"/>
  <c r="F4" i="30" s="1"/>
  <c r="E8" i="30"/>
  <c r="F8" i="30" s="1"/>
  <c r="E12" i="30"/>
  <c r="F12" i="30" s="1"/>
  <c r="J2" i="20"/>
  <c r="J2" i="19"/>
  <c r="J2" i="26"/>
  <c r="J2" i="27"/>
  <c r="J2" i="28"/>
  <c r="J2" i="31"/>
  <c r="J2" i="33"/>
  <c r="I6" i="33"/>
  <c r="H2" i="3"/>
  <c r="I2" i="3" s="1"/>
  <c r="E11" i="34"/>
  <c r="F11" i="34" s="1"/>
  <c r="E7" i="1"/>
  <c r="F7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14" i="29"/>
  <c r="I14" i="29" s="1"/>
  <c r="H4" i="29"/>
  <c r="I4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E7" i="34"/>
  <c r="F7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<sst xmlns="http://schemas.openxmlformats.org/spreadsheetml/2006/main" count="317" uniqueCount="104">
  <si>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</si>
  <si>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</si>
  <si>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</si>
  <si>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</si>
  <si>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</si>
  <si>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</si>
  <si>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</si>
  <si>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</si>
  <si>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</si>
  <si>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</si>
  <si>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</si>
  <si>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</si>
  <si>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</si>
  <si>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</si>
  <si>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</si>
  <si>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</si>
  <si>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</si>
  <si>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</si>
  <si>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</si>
  <si>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</si>
  <si>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</si>
  <si>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</si>
  <si>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6 tripped offline on 01/08/2024 &amp; back online on 01/17/2024</t>
  </si>
  <si>
    <t>1. SR080052</t>
  </si>
  <si>
    <t xml:space="preserve">1. Inverter tripped offline on 01/01/2024 at 14:15 &amp; back online 01/03/2024 at 11:15 AM. </t>
  </si>
  <si>
    <t>1. SR079868</t>
  </si>
  <si>
    <t>February Actual v. Expected</t>
  </si>
  <si>
    <t>February Actual v. Forecasted</t>
  </si>
  <si>
    <t>1. Inverter 2 tripped offline on 02/05 and back online on 02/07
2. Inverter 5 tripped offline on 02/09 and back online on 02/13
3. Inverter 3 tripped offline on 02/17 and back online on 02/21</t>
  </si>
  <si>
    <t>1. SR080747
2. SR080903
3. SR081078</t>
  </si>
  <si>
    <t xml:space="preserve">
</t>
  </si>
  <si>
    <t xml:space="preserve">1. Inverter 2 is offline from 02/07 to 03/02.
</t>
  </si>
  <si>
    <t xml:space="preserve">1. SR080834
</t>
  </si>
  <si>
    <t>1. Inverter 2 tripped offline on 02/05 and back online on 02/07</t>
  </si>
  <si>
    <t>1.SR080750</t>
  </si>
  <si>
    <t>March Actual v. Expected</t>
  </si>
  <si>
    <t>March Actual v. Forecasted</t>
  </si>
  <si>
    <t>1. Inverter 2 tripped offline on 03/31 and back online on 04/0</t>
  </si>
  <si>
    <t>1.SR082951</t>
  </si>
  <si>
    <t>1. Inverter 2 tripped offline on 03/05 and back online on 03/07
2. Inverter 1 tripped offline on 03/18 and back online 03/19 and again tripped offline on 03/30 and back online on 04/01</t>
  </si>
  <si>
    <t>1. SR081586
2. 	SR082015</t>
  </si>
  <si>
    <t>April Actual v. Expected</t>
  </si>
  <si>
    <t>April Actual v. Forecasted</t>
  </si>
  <si>
    <t>1. Inverter 2 is underperforming 25kW compared to peer from 04/25</t>
  </si>
  <si>
    <t>1. SR083890</t>
  </si>
  <si>
    <t>May Actual v. Expected</t>
  </si>
  <si>
    <t>May Actual v. Forecasted</t>
  </si>
  <si>
    <t>1. Inverter 1 was tripping on and off throughout the month. Inverter 1 tripped offline at 14:45 on 05/23 and back online at 08:30 on 05/31</t>
  </si>
  <si>
    <t>1. SR084986</t>
  </si>
  <si>
    <t>1. Inverters 5 and 6 are derating during peak hours from 05/28 possibly due to fan wassue</t>
  </si>
  <si>
    <t>1. SR085334</t>
  </si>
  <si>
    <t>1. Inverter 2 was derating during peak hours from 05/13</t>
  </si>
  <si>
    <t>1. SR085328</t>
  </si>
  <si>
    <t>1. Inverter 2 was underperforming 25kW compared to peer from 04/25</t>
  </si>
  <si>
    <t>1. Inverter 1 was tripping on and off on 05/15,05/29,05/30. Inverter 1 tripped offline at 14:00 on 05/31</t>
  </si>
  <si>
    <t>1. SR085389</t>
  </si>
  <si>
    <t>June Actual v. Expected</t>
  </si>
  <si>
    <t>June Actual v. Forecasted</t>
  </si>
  <si>
    <t>1. Weather station stopped reporting at 08:19 on 06/19 due to that expected value was low</t>
  </si>
  <si>
    <t>1. SR087515</t>
  </si>
  <si>
    <t>1. Inverter 1 tripped offline at 11:30 on 06/03 and was offline throughout the month</t>
  </si>
  <si>
    <t>1. SR085515</t>
  </si>
  <si>
    <t>1. Inverters 5 and 6 are derating during peak hours whole month possibly due to fan wassue</t>
  </si>
  <si>
    <t>1. Site stopped communicating from 06/19 at 05:00, possibly offline
2. Inverter 1 was offline from 05/30 and came back online on 06/14. Inverter again offline from 06/16 and was still offline</t>
  </si>
  <si>
    <t>1. SR086425
2. SR085389</t>
  </si>
  <si>
    <t>1. Site stopped communicating from 06/19 at 05:00, possibly offline</t>
  </si>
  <si>
    <t>1. SR086426</t>
  </si>
  <si>
    <t>1. Inverter 2 tripped offline at 08:00 on 06/12 and back online at 11:00 on 06/21</t>
  </si>
  <si>
    <t xml:space="preserve">1. SR086086	</t>
  </si>
  <si>
    <t>July Actual v. Expected</t>
  </si>
  <si>
    <t>July Actual v. Forecasted</t>
  </si>
  <si>
    <t>1.Inverter 1 is offline on 07/03 through out the month</t>
  </si>
  <si>
    <t>1.SR087378</t>
  </si>
  <si>
    <t>August Actual v. Expected</t>
  </si>
  <si>
    <t>August Actual v. Forecasted</t>
  </si>
  <si>
    <t xml:space="preserve">1. Site stopped communicating at 17:30 on 08/22 throgh out the month
1.Inverter 1 is offline on 07/03 through out the month	</t>
  </si>
  <si>
    <t>1.SR089449
2.SR087378</t>
  </si>
  <si>
    <t>September Actual v. Expected</t>
  </si>
  <si>
    <t>September Actual v. Forecasted</t>
  </si>
  <si>
    <t>1.Inverter 1 tripped offline on 09/06</t>
  </si>
  <si>
    <t>1.SR090048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</si>
  <si>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</si>
  <si>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</si>
  <si>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</si>
  <si>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</si>
  <si>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</si>
  <si>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</si>
  <si>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</si>
  <si>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Pardee (ENCAP)</t>
  </si>
  <si>
    <t>Site DAS Name</t>
  </si>
  <si>
    <t>Update</t>
  </si>
  <si>
    <t>DAS</t>
  </si>
  <si>
    <t>AZ: ASU - Pardee - Discovery Hall</t>
  </si>
  <si>
    <t>AZ</t>
  </si>
  <si>
    <t>AZ: ASU - Pardee - Farrington</t>
  </si>
  <si>
    <t>AZ: ASU - Pardee - Macro Tech.</t>
  </si>
  <si>
    <t>AZ: ASU - Pardee - McCord Hall</t>
  </si>
  <si>
    <t>AZ: NAU - SF Garage</t>
  </si>
  <si>
    <t>AZ: ASU - Pardee - Parking Lot 11</t>
  </si>
  <si>
    <t>AZ: ASU - Pardee - Parking Lot 19</t>
  </si>
  <si>
    <t>AZ: ASU - Pardee - Parking Lot 41</t>
  </si>
  <si>
    <t>AZ: ASU - Pardee - Parking Lot 58</t>
  </si>
  <si>
    <t>AZ: ASU - Pardee - Parking Lot 59S</t>
  </si>
  <si>
    <t>AZ: ASU - Pardee - Sun Devil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</si>
</sst>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charset val="1"/>
    </font>
    <font>
      <sz val="12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43" applyFont="1"/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left" vertical="top"/>
    </xf>
    <xf numFmtId="49" fontId="26" fillId="0" borderId="0" xfId="0" applyNumberFormat="1" applyFont="1" applyAlignment="1">
      <alignment horizontal="left" vertical="top"/>
    </xf>
    <xf numFmtId="49" fontId="34" fillId="38" borderId="0" xfId="2" applyNumberFormat="1" applyFont="1" applyFill="1" applyBorder="1" applyAlignment="1">
      <alignment horizontal="left" vertical="top" wrapText="1"/>
    </xf>
    <xf numFmtId="0" fontId="35" fillId="0" borderId="0" xfId="0" applyFont="1"/>
    <xf numFmtId="0" fontId="35" fillId="0" borderId="0" xfId="0" applyFont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36" fillId="0" borderId="0" xfId="0" applyFont="1"/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vertical="top"/>
    </xf>
    <xf numFmtId="49" fontId="27" fillId="0" borderId="0" xfId="0" applyNumberFormat="1" applyFont="1" applyAlignment="1">
      <alignment vertical="top"/>
    </xf>
    <xf numFmtId="49" fontId="29" fillId="38" borderId="0" xfId="2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4" totalsRowShown="0">
  <autoFilter ref="A3:E14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workbookViewId="0">
      <pane ySplit="2" topLeftCell="A22" activePane="bottomLeft" state="frozen"/>
      <selection pane="bottomLeft" activeCell="F22" sqref="F22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SUM(C4:C86)</f>
        <v>1105987.46</v>
      </c>
      <c r="D2" s="5">
        <f>SUM(D4:D86)</f>
        <v>1070613.2579999999</v>
      </c>
      <c r="E2" s="5">
        <f>C2-D2</f>
        <v>35374.202000000048</v>
      </c>
      <c r="F2" s="6">
        <f>IFERROR(E2/D2, 0)</f>
        <v>3.3041064768880392E-2</v>
      </c>
      <c r="G2" s="5">
        <f>SUM(G4:G86)</f>
        <v>1086830.6070000001</v>
      </c>
      <c r="H2" s="7">
        <f>C2-G2</f>
        <v>19156.852999999886</v>
      </c>
      <c r="I2" s="6">
        <f>IFERROR(H2/G2, 0)</f>
        <v>1.7626346623489862E-2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SUM('1st Qtr'!C4, '2nd Qtr'!C4, '3rd Qtr'!C4, '4th Qtr'!C4)</f>
        <v>80524.625</v>
      </c>
      <c r="D4" s="13">
        <f>SUM('1st Qtr'!D4, '2nd Qtr'!D4, '3rd Qtr'!D4, '4th Qtr'!D4)</f>
        <v>62696.462999999996</v>
      </c>
      <c r="E4" s="13">
        <f>IF(AND(ISNUMBER(C4),ISNUMBER(D4)), C4-D4, "")</f>
        <v>17828.162000000004</v>
      </c>
      <c r="F4" s="14">
        <f>IFERROR(E4/D4, "")</f>
        <v>0.28435674274001715</v>
      </c>
      <c r="G4" s="15">
        <f>SUM('1st Qtr'!G4,'2nd Qtr'!G4,'3rd Qtr'!G4,'4th Qtr'!G4)</f>
        <v>23861.518</v>
      </c>
      <c r="H4" s="15">
        <f>SUM('1st Qtr'!H4, '2nd Qtr'!H4, '3rd Qtr'!H4, '4th Qtr'!H4)</f>
        <v>-12230.104999999998</v>
      </c>
      <c r="I4" s="16">
        <f>IFERROR(H4/G4, "")</f>
        <v>-0.51254513648293443</v>
      </c>
    </row>
    <row r="5" spans="1:9" ht="15.6">
      <c r="A5" s="18" t="str">
        <v>AZ: ASU - Pardee - Farrington</v>
      </c>
      <c r="B5" s="10" t="str">
        <v>AZ</v>
      </c>
      <c r="C5" s="11">
        <f>SUM(Jan!C5, Feb!C5, Mar!C5)</f>
        <v>79124.25</v>
      </c>
      <c r="D5" s="19">
        <f>SUM(Jan!D5, Feb!D5, Mar!D5)</f>
        <v>82629.240000000005</v>
      </c>
      <c r="E5" s="19">
        <f t="shared" ref="E5:E14" si="0">IF(AND(ISNUMBER(C5),ISNUMBER(D5)), C5-D5, "")</f>
        <v>-3504.9900000000052</v>
      </c>
      <c r="F5" s="20">
        <f>IFERROR(E5/D5, "")</f>
        <v>-4.2418277113525492E-2</v>
      </c>
      <c r="G5" s="21">
        <f>SUM('1st Qtr'!G5,'2nd Qtr'!G5,'3rd Qtr'!G5,'4th Qtr'!G5)</f>
        <v>88617.24</v>
      </c>
      <c r="H5" s="21">
        <f>SUM(Jan!H5, Feb!H5, Mar!H5)</f>
        <v>-9492.9900000000016</v>
      </c>
      <c r="I5" s="20">
        <f>IFERROR(H5/G5, "")</f>
        <v>-0.10712351230979436</v>
      </c>
    </row>
    <row r="6" spans="1:9" ht="15.6">
      <c r="A6" s="12" t="str">
        <v>AZ: ASU - Pardee - Macro Tech.</v>
      </c>
      <c r="B6" s="9" t="str">
        <v>AZ</v>
      </c>
      <c r="C6" s="25">
        <f>SUM(Jan!C6, Feb!C6, Mar!C6)</f>
        <v>327405.45999999996</v>
      </c>
      <c r="D6" s="13">
        <f>SUM(Jan!D6, Feb!D6, Mar!D6)</f>
        <v>316275.55</v>
      </c>
      <c r="E6" s="13">
        <f t="shared" si="0"/>
        <v>11129.909999999974</v>
      </c>
      <c r="F6" s="14">
        <f t="shared" ref="F6:F14" si="1">IFERROR(E6/D6, "")</f>
        <v>3.5190548241873183E-2</v>
      </c>
      <c r="G6" s="15">
        <f>SUM('1st Qtr'!G6,'2nd Qtr'!G6,'3rd Qtr'!G6,'4th Qtr'!G6)</f>
        <v>320574.62</v>
      </c>
      <c r="H6" s="15">
        <f>SUM(Jan!H6, Feb!H6, Mar!H6)</f>
        <v>6830.8400000000111</v>
      </c>
      <c r="I6" s="16">
        <f t="shared" ref="I6:I14" si="2">IFERROR(H6/G6, "")</f>
        <v>2.1308112289113876E-2</v>
      </c>
    </row>
    <row r="7" spans="1:9" ht="15.6">
      <c r="A7" s="18" t="str">
        <v>AZ: ASU - Pardee - McCord Hall</v>
      </c>
      <c r="B7" s="10" t="str">
        <v>AZ</v>
      </c>
      <c r="C7" s="11">
        <f>SUM(Jan!C7, Feb!C7, Mar!C7)</f>
        <v>28351.625</v>
      </c>
      <c r="D7" s="19">
        <f>SUM(Jan!D7, Feb!D7, Mar!D7)</f>
        <v>22846.845000000001</v>
      </c>
      <c r="E7" s="19">
        <f t="shared" si="0"/>
        <v>5504.7799999999988</v>
      </c>
      <c r="F7" s="20">
        <f t="shared" si="1"/>
        <v>0.24094267720553969</v>
      </c>
      <c r="G7" s="21">
        <f>SUM('1st Qtr'!G7,'2nd Qtr'!G7,'3rd Qtr'!G7,'4th Qtr'!G7)</f>
        <v>32212.949000000001</v>
      </c>
      <c r="H7" s="21">
        <f>SUM(Jan!H7, Feb!H7, Mar!H7)</f>
        <v>-3861.3240000000005</v>
      </c>
      <c r="I7" s="20">
        <f t="shared" si="2"/>
        <v>-0.1198686900724302</v>
      </c>
    </row>
    <row r="8" spans="1:9" ht="15.6">
      <c r="A8" s="12" t="str">
        <v>AZ: NAU - SF Garage</v>
      </c>
      <c r="B8" s="9" t="str">
        <v>AZ</v>
      </c>
      <c r="C8" s="25">
        <f>SUM(Jan!C8, Feb!C8, Mar!C8)</f>
        <v>129718</v>
      </c>
      <c r="D8" s="13">
        <f>SUM(Jan!D8, Feb!D8, Mar!D8)</f>
        <v>165052.46</v>
      </c>
      <c r="E8" s="13">
        <f t="shared" si="0"/>
        <v>-35334.459999999992</v>
      </c>
      <c r="F8" s="14">
        <f t="shared" si="1"/>
        <v>-0.21408017790222572</v>
      </c>
      <c r="G8" s="15">
        <f>SUM('1st Qtr'!G8,'2nd Qtr'!G8,'3rd Qtr'!G8,'4th Qtr'!G8)</f>
        <v>169927.38</v>
      </c>
      <c r="H8" s="15">
        <f>SUM(Jan!H8, Feb!H8, Mar!H8)</f>
        <v>-40209.379999999997</v>
      </c>
      <c r="I8" s="16">
        <f t="shared" si="2"/>
        <v>-0.23662684612685722</v>
      </c>
    </row>
    <row r="9" spans="1:9" ht="15.6">
      <c r="A9" s="18" t="str">
        <v>AZ: ASU - Pardee - Parking Lot 11</v>
      </c>
      <c r="B9" s="10" t="str">
        <v>AZ</v>
      </c>
      <c r="C9" s="11">
        <f>SUM(Jan!C9, Feb!C9, Mar!C9)</f>
        <v>53898.3125</v>
      </c>
      <c r="D9" s="19">
        <f>SUM(Jan!D9, Feb!D9, Mar!D9)</f>
        <v>55837.33</v>
      </c>
      <c r="E9" s="19">
        <f t="shared" si="0"/>
        <v>-1939.0175000000017</v>
      </c>
      <c r="F9" s="20">
        <f t="shared" si="1"/>
        <v>-3.4726185868844406E-2</v>
      </c>
      <c r="G9" s="21">
        <f>SUM('1st Qtr'!G9,'2nd Qtr'!G9,'3rd Qtr'!G9,'4th Qtr'!G9)</f>
        <v>44156.45</v>
      </c>
      <c r="H9" s="21">
        <f>SUM(Jan!H9, Feb!H9, Mar!H9)</f>
        <v>9741.8625000000011</v>
      </c>
      <c r="I9" s="20">
        <f t="shared" si="2"/>
        <v>0.22062150603139521</v>
      </c>
    </row>
    <row r="10" spans="1:9" ht="15.6">
      <c r="A10" s="12" t="str">
        <v>AZ: ASU - Pardee - Parking Lot 19</v>
      </c>
      <c r="B10" s="9" t="str">
        <v>AZ</v>
      </c>
      <c r="C10" s="25">
        <f>SUM(Jan!C10, Feb!C10, Mar!C10)</f>
        <v>90107.125</v>
      </c>
      <c r="D10" s="13">
        <f>SUM(Jan!D10, Feb!D10, Mar!D10)</f>
        <v>82892.33</v>
      </c>
      <c r="E10" s="13">
        <f t="shared" si="0"/>
        <v>7214.7949999999983</v>
      </c>
      <c r="F10" s="14">
        <f t="shared" si="1"/>
        <v>8.7038149367981307E-2</v>
      </c>
      <c r="G10" s="15">
        <f>SUM('1st Qtr'!G10,'2nd Qtr'!G10,'3rd Qtr'!G10,'4th Qtr'!G10)</f>
        <v>65384.51</v>
      </c>
      <c r="H10" s="15">
        <f>SUM(Jan!H10, Feb!H10, Mar!H10)</f>
        <v>24722.615000000002</v>
      </c>
      <c r="I10" s="16">
        <f t="shared" si="2"/>
        <v>0.37811119177921498</v>
      </c>
    </row>
    <row r="11" spans="1:9" ht="15.6">
      <c r="A11" s="18" t="str">
        <v>AZ: ASU - Pardee - Parking Lot 41</v>
      </c>
      <c r="B11" s="10" t="str">
        <v>AZ</v>
      </c>
      <c r="C11" s="11">
        <f>SUM(Jan!C11, Feb!C11, Mar!C11)</f>
        <v>73359.875</v>
      </c>
      <c r="D11" s="19">
        <f>SUM(Jan!D11, Feb!D11, Mar!D11)</f>
        <v>68314.850000000006</v>
      </c>
      <c r="E11" s="19">
        <f t="shared" si="0"/>
        <v>5045.0249999999942</v>
      </c>
      <c r="F11" s="20">
        <f t="shared" si="1"/>
        <v>7.384960956512375E-2</v>
      </c>
      <c r="G11" s="21">
        <f>SUM('1st Qtr'!G11,'2nd Qtr'!G11,'3rd Qtr'!G11,'4th Qtr'!G11)</f>
        <v>79364.490000000005</v>
      </c>
      <c r="H11" s="21">
        <f>SUM(Jan!H11, Feb!H11, Mar!H11)</f>
        <v>-6004.6150000000016</v>
      </c>
      <c r="I11" s="20">
        <f t="shared" si="2"/>
        <v>-7.5658710841586721E-2</v>
      </c>
    </row>
    <row r="12" spans="1:9" ht="15.6">
      <c r="A12" s="12" t="str">
        <v>AZ: ASU - Pardee - Parking Lot 58</v>
      </c>
      <c r="B12" s="9" t="str">
        <v>AZ</v>
      </c>
      <c r="C12" s="25">
        <f>SUM(Jan!C12, Feb!C12, Mar!C12)</f>
        <v>73943</v>
      </c>
      <c r="D12" s="13">
        <f>SUM(Jan!D12, Feb!D12, Mar!D12)</f>
        <v>65451.34</v>
      </c>
      <c r="E12" s="13">
        <f t="shared" si="0"/>
        <v>8491.6600000000035</v>
      </c>
      <c r="F12" s="14">
        <f t="shared" si="1"/>
        <v>0.12974004810291132</v>
      </c>
      <c r="G12" s="15">
        <f>SUM('1st Qtr'!G12,'2nd Qtr'!G12,'3rd Qtr'!G12,'4th Qtr'!G12)</f>
        <v>83298.179999999993</v>
      </c>
      <c r="H12" s="15">
        <f>SUM(Jan!H12, Feb!H12, Mar!H12)</f>
        <v>-9355.18</v>
      </c>
      <c r="I12" s="16">
        <f t="shared" si="2"/>
        <v>-0.11230953665494253</v>
      </c>
    </row>
    <row r="13" spans="1:9" ht="15.6">
      <c r="A13" s="18" t="str">
        <v>AZ: ASU - Pardee - Parking Lot 59S</v>
      </c>
      <c r="B13" s="10" t="str">
        <v>AZ</v>
      </c>
      <c r="C13" s="11">
        <f>SUM(Jan!C13, Feb!C13, Mar!C13)</f>
        <v>88325.1875</v>
      </c>
      <c r="D13" s="19">
        <f>SUM(Jan!D13, Feb!D13, Mar!D13)</f>
        <v>71483.510000000009</v>
      </c>
      <c r="E13" s="19">
        <f t="shared" si="0"/>
        <v>16841.677499999991</v>
      </c>
      <c r="F13" s="20">
        <f t="shared" si="1"/>
        <v>0.23560227386707772</v>
      </c>
      <c r="G13" s="21">
        <f>SUM('1st Qtr'!G13,'2nd Qtr'!G13,'3rd Qtr'!G13,'4th Qtr'!G13)</f>
        <v>91107.27</v>
      </c>
      <c r="H13" s="21">
        <f>SUM(Jan!H13, Feb!H13, Mar!H13)</f>
        <v>-2782.0825000000004</v>
      </c>
      <c r="I13" s="20">
        <f t="shared" si="2"/>
        <v>-3.0536339196641501E-2</v>
      </c>
    </row>
    <row r="14" spans="1:9" ht="15.6">
      <c r="A14" s="12" t="str">
        <v>AZ: ASU - Pardee - Sun Devil Complex</v>
      </c>
      <c r="B14" s="9" t="str">
        <v>AZ</v>
      </c>
      <c r="C14" s="25">
        <f>SUM(Jan!C14, Feb!C14, Mar!C14)</f>
        <v>81230</v>
      </c>
      <c r="D14" s="13">
        <f>SUM(Jan!D14, Feb!D14, Mar!D14)</f>
        <v>77133.34</v>
      </c>
      <c r="E14" s="13">
        <f t="shared" si="0"/>
        <v>4096.6600000000035</v>
      </c>
      <c r="F14" s="14">
        <f t="shared" si="1"/>
        <v>5.3111404225462087E-2</v>
      </c>
      <c r="G14" s="15">
        <f>SUM('1st Qtr'!G14,'2nd Qtr'!G14,'3rd Qtr'!G14,'4th Qtr'!G14)</f>
        <v>88326</v>
      </c>
      <c r="H14" s="15">
        <f>SUM(Jan!H14, Feb!H14, Mar!H14)</f>
        <v>-7096</v>
      </c>
      <c r="I14" s="16">
        <f t="shared" si="2"/>
        <v>-8.0338745103367068E-2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SUM(C4:C86)</f>
        <v>1046494.21</v>
      </c>
      <c r="D2" s="5">
        <f>SUM(D4:D86)</f>
        <v>1025165.4349999998</v>
      </c>
      <c r="E2" s="5">
        <f>C2-D2</f>
        <v>21328.77500000014</v>
      </c>
      <c r="F2" s="6">
        <f>IFERROR(E2/D2, 0)</f>
        <v>2.0805203015843141E-2</v>
      </c>
      <c r="G2" s="5">
        <f>SUM(G4:G86)</f>
        <v>1086830.6070000001</v>
      </c>
      <c r="H2" s="7">
        <f>C2-G2</f>
        <v>-40336.397000000114</v>
      </c>
      <c r="I2" s="6">
        <f>IFERROR(H2/G2, 0)</f>
        <v>-3.7113784558700888E-2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SUM(Jan!C4, Feb!C4, Mar!C4)</f>
        <v>21031.375</v>
      </c>
      <c r="D4" s="13">
        <f>SUM(Jan!D4, Feb!D4, Mar!D4)</f>
        <v>17248.64</v>
      </c>
      <c r="E4" s="13">
        <f>IF(AND(ISNUMBER(C4),ISNUMBER(D4)), C4-D4, "")</f>
        <v>3782.7350000000006</v>
      </c>
      <c r="F4" s="14">
        <f>IFERROR(E4/D4, "")</f>
        <v>0.21930627574115993</v>
      </c>
      <c r="G4" s="15">
        <f>SUM(Jan!G4, Feb!G4, Mar!G4)</f>
        <v>23861.518</v>
      </c>
      <c r="H4" s="15">
        <f>SUM(Jan!H4, Feb!H4, Mar!H4)</f>
        <v>-2830.143</v>
      </c>
      <c r="I4" s="16">
        <f>IFERROR(H4/G4, "")</f>
        <v>-0.11860699725809565</v>
      </c>
    </row>
    <row r="5" spans="1:9" ht="15.6">
      <c r="A5" s="18" t="str">
        <v>AZ: ASU - Pardee - Farrington</v>
      </c>
      <c r="B5" s="10" t="str">
        <v>AZ</v>
      </c>
      <c r="C5" s="11">
        <f>SUM(Jan!C5, Feb!C5, Mar!C5)</f>
        <v>79124.25</v>
      </c>
      <c r="D5" s="19">
        <f>SUM(Jan!D5, Feb!D5, Mar!D5)</f>
        <v>82629.240000000005</v>
      </c>
      <c r="E5" s="19">
        <f t="shared" ref="E5:E14" si="0">IF(AND(ISNUMBER(C5),ISNUMBER(D5)), C5-D5, "")</f>
        <v>-3504.9900000000052</v>
      </c>
      <c r="F5" s="20">
        <f>IFERROR(E5/D5, "")</f>
        <v>-4.2418277113525492E-2</v>
      </c>
      <c r="G5" s="21">
        <f>SUM(Jan!G5, Feb!G5, Mar!G5)</f>
        <v>88617.24</v>
      </c>
      <c r="H5" s="21">
        <f>SUM(Jan!H5, Feb!H5, Mar!H5)</f>
        <v>-9492.9900000000016</v>
      </c>
      <c r="I5" s="20">
        <f>IFERROR(H5/G5, "")</f>
        <v>-0.10712351230979436</v>
      </c>
    </row>
    <row r="6" spans="1:9" ht="15.6">
      <c r="A6" s="12" t="str">
        <v>AZ: ASU - Pardee - Macro Tech.</v>
      </c>
      <c r="B6" s="9" t="str">
        <v>AZ</v>
      </c>
      <c r="C6" s="25">
        <f>SUM(Jan!C6, Feb!C6, Mar!C6)</f>
        <v>327405.45999999996</v>
      </c>
      <c r="D6" s="13">
        <f>SUM(Jan!D6, Feb!D6, Mar!D6)</f>
        <v>316275.55</v>
      </c>
      <c r="E6" s="13">
        <f t="shared" si="0"/>
        <v>11129.909999999974</v>
      </c>
      <c r="F6" s="14">
        <f t="shared" ref="F6:F14" si="1">IFERROR(E6/D6, "")</f>
        <v>3.5190548241873183E-2</v>
      </c>
      <c r="G6" s="15">
        <f>SUM(Jan!G6, Feb!G6, Mar!G6)</f>
        <v>320574.62</v>
      </c>
      <c r="H6" s="15">
        <f>SUM(Jan!H6, Feb!H6, Mar!H6)</f>
        <v>6830.8400000000111</v>
      </c>
      <c r="I6" s="16">
        <f t="shared" ref="I6:I14" si="2">IFERROR(H6/G6, "")</f>
        <v>2.1308112289113876E-2</v>
      </c>
    </row>
    <row r="7" spans="1:9" ht="15.6">
      <c r="A7" s="18" t="str">
        <v>AZ: ASU - Pardee - McCord Hall</v>
      </c>
      <c r="B7" s="10" t="str">
        <v>AZ</v>
      </c>
      <c r="C7" s="11">
        <f>SUM(Jan!C7, Feb!C7, Mar!C7)</f>
        <v>28351.625</v>
      </c>
      <c r="D7" s="19">
        <f>SUM(Jan!D7, Feb!D7, Mar!D7)</f>
        <v>22846.845000000001</v>
      </c>
      <c r="E7" s="19">
        <f t="shared" si="0"/>
        <v>5504.7799999999988</v>
      </c>
      <c r="F7" s="20">
        <f t="shared" si="1"/>
        <v>0.24094267720553969</v>
      </c>
      <c r="G7" s="21">
        <f>SUM(Jan!G7, Feb!G7, Mar!G7)</f>
        <v>32212.949000000001</v>
      </c>
      <c r="H7" s="21">
        <f>SUM(Jan!H7, Feb!H7, Mar!H7)</f>
        <v>-3861.3240000000005</v>
      </c>
      <c r="I7" s="20">
        <f t="shared" si="2"/>
        <v>-0.1198686900724302</v>
      </c>
    </row>
    <row r="8" spans="1:9" ht="15.6">
      <c r="A8" s="12" t="str">
        <v>AZ: NAU - SF Garage</v>
      </c>
      <c r="B8" s="9" t="str">
        <v>AZ</v>
      </c>
      <c r="C8" s="25">
        <f>SUM(Jan!C8, Feb!C8, Mar!C8)</f>
        <v>129718</v>
      </c>
      <c r="D8" s="13">
        <f>SUM(Jan!D8, Feb!D8, Mar!D8)</f>
        <v>165052.46</v>
      </c>
      <c r="E8" s="13">
        <f t="shared" si="0"/>
        <v>-35334.459999999992</v>
      </c>
      <c r="F8" s="14">
        <f t="shared" si="1"/>
        <v>-0.21408017790222572</v>
      </c>
      <c r="G8" s="15">
        <f>SUM(Jan!G8, Feb!G8, Mar!G8)</f>
        <v>169927.38</v>
      </c>
      <c r="H8" s="15">
        <f>SUM(Jan!H8, Feb!H8, Mar!H8)</f>
        <v>-40209.379999999997</v>
      </c>
      <c r="I8" s="16">
        <f t="shared" si="2"/>
        <v>-0.23662684612685722</v>
      </c>
    </row>
    <row r="9" spans="1:9" ht="15.6">
      <c r="A9" s="18" t="str">
        <v>AZ: ASU - Pardee - Parking Lot 11</v>
      </c>
      <c r="B9" s="10" t="str">
        <v>AZ</v>
      </c>
      <c r="C9" s="11">
        <f>SUM(Jan!C9, Feb!C9, Mar!C9)</f>
        <v>53898.3125</v>
      </c>
      <c r="D9" s="19">
        <f>SUM(Jan!D9, Feb!D9, Mar!D9)</f>
        <v>55837.33</v>
      </c>
      <c r="E9" s="19">
        <f t="shared" si="0"/>
        <v>-1939.0175000000017</v>
      </c>
      <c r="F9" s="20">
        <f t="shared" si="1"/>
        <v>-3.4726185868844406E-2</v>
      </c>
      <c r="G9" s="21">
        <f>SUM(Jan!G9, Feb!G9, Mar!G9)</f>
        <v>44156.45</v>
      </c>
      <c r="H9" s="21">
        <f>SUM(Jan!H9, Feb!H9, Mar!H9)</f>
        <v>9741.8625000000011</v>
      </c>
      <c r="I9" s="20">
        <f t="shared" si="2"/>
        <v>0.22062150603139521</v>
      </c>
    </row>
    <row r="10" spans="1:9" ht="15.6">
      <c r="A10" s="12" t="str">
        <v>AZ: ASU - Pardee - Parking Lot 19</v>
      </c>
      <c r="B10" s="9" t="str">
        <v>AZ</v>
      </c>
      <c r="C10" s="25">
        <f>SUM(Jan!C10, Feb!C10, Mar!C10)</f>
        <v>90107.125</v>
      </c>
      <c r="D10" s="13">
        <f>SUM(Jan!D10, Feb!D10, Mar!D10)</f>
        <v>82892.33</v>
      </c>
      <c r="E10" s="13">
        <f t="shared" si="0"/>
        <v>7214.7949999999983</v>
      </c>
      <c r="F10" s="14">
        <f t="shared" si="1"/>
        <v>8.7038149367981307E-2</v>
      </c>
      <c r="G10" s="15">
        <f>SUM(Jan!G10, Feb!G10, Mar!G10)</f>
        <v>65384.51</v>
      </c>
      <c r="H10" s="15">
        <f>SUM(Jan!H10, Feb!H10, Mar!H10)</f>
        <v>24722.615000000002</v>
      </c>
      <c r="I10" s="16">
        <f t="shared" si="2"/>
        <v>0.37811119177921498</v>
      </c>
    </row>
    <row r="11" spans="1:9" ht="15.6">
      <c r="A11" s="18" t="str">
        <v>AZ: ASU - Pardee - Parking Lot 41</v>
      </c>
      <c r="B11" s="10" t="str">
        <v>AZ</v>
      </c>
      <c r="C11" s="11">
        <f>SUM(Jan!C11, Feb!C11, Mar!C11)</f>
        <v>73359.875</v>
      </c>
      <c r="D11" s="19">
        <f>SUM(Jan!D11, Feb!D11, Mar!D11)</f>
        <v>68314.850000000006</v>
      </c>
      <c r="E11" s="19">
        <f t="shared" si="0"/>
        <v>5045.0249999999942</v>
      </c>
      <c r="F11" s="20">
        <f t="shared" si="1"/>
        <v>7.384960956512375E-2</v>
      </c>
      <c r="G11" s="21">
        <f>SUM(Jan!G11, Feb!G11, Mar!G11)</f>
        <v>79364.490000000005</v>
      </c>
      <c r="H11" s="21">
        <f>SUM(Jan!H11, Feb!H11, Mar!H11)</f>
        <v>-6004.6150000000016</v>
      </c>
      <c r="I11" s="20">
        <f t="shared" si="2"/>
        <v>-7.5658710841586721E-2</v>
      </c>
    </row>
    <row r="12" spans="1:9" ht="15.6">
      <c r="A12" s="12" t="str">
        <v>AZ: ASU - Pardee - Parking Lot 58</v>
      </c>
      <c r="B12" s="9" t="str">
        <v>AZ</v>
      </c>
      <c r="C12" s="25">
        <f>SUM(Jan!C12, Feb!C12, Mar!C12)</f>
        <v>73943</v>
      </c>
      <c r="D12" s="13">
        <f>SUM(Jan!D12, Feb!D12, Mar!D12)</f>
        <v>65451.34</v>
      </c>
      <c r="E12" s="13">
        <f t="shared" si="0"/>
        <v>8491.6600000000035</v>
      </c>
      <c r="F12" s="14">
        <f t="shared" si="1"/>
        <v>0.12974004810291132</v>
      </c>
      <c r="G12" s="15">
        <f>SUM(Jan!G12, Feb!G12, Mar!G12)</f>
        <v>83298.179999999993</v>
      </c>
      <c r="H12" s="15">
        <f>SUM(Jan!H12, Feb!H12, Mar!H12)</f>
        <v>-9355.18</v>
      </c>
      <c r="I12" s="16">
        <f t="shared" si="2"/>
        <v>-0.11230953665494253</v>
      </c>
    </row>
    <row r="13" spans="1:9" ht="15.6">
      <c r="A13" s="18" t="str">
        <v>AZ: ASU - Pardee - Parking Lot 59S</v>
      </c>
      <c r="B13" s="10" t="str">
        <v>AZ</v>
      </c>
      <c r="C13" s="11">
        <f>SUM(Jan!C13, Feb!C13, Mar!C13)</f>
        <v>88325.1875</v>
      </c>
      <c r="D13" s="19">
        <f>SUM(Jan!D13, Feb!D13, Mar!D13)</f>
        <v>71483.510000000009</v>
      </c>
      <c r="E13" s="19">
        <f t="shared" si="0"/>
        <v>16841.677499999991</v>
      </c>
      <c r="F13" s="20">
        <f t="shared" si="1"/>
        <v>0.23560227386707772</v>
      </c>
      <c r="G13" s="21">
        <f>SUM(Jan!G13, Feb!G13, Mar!G13)</f>
        <v>91107.27</v>
      </c>
      <c r="H13" s="21">
        <f>SUM(Jan!H13, Feb!H13, Mar!H13)</f>
        <v>-2782.0825000000004</v>
      </c>
      <c r="I13" s="20">
        <f t="shared" si="2"/>
        <v>-3.0536339196641501E-2</v>
      </c>
    </row>
    <row r="14" spans="1:9" ht="15.6">
      <c r="A14" s="12" t="str">
        <v>AZ: ASU - Pardee - Sun Devil Complex</v>
      </c>
      <c r="B14" s="9" t="str">
        <v>AZ</v>
      </c>
      <c r="C14" s="25">
        <f>SUM(Jan!C14, Feb!C14, Mar!C14)</f>
        <v>81230</v>
      </c>
      <c r="D14" s="13">
        <f>SUM(Jan!D14, Feb!D14, Mar!D14)</f>
        <v>77133.34</v>
      </c>
      <c r="E14" s="13">
        <f t="shared" si="0"/>
        <v>4096.6600000000035</v>
      </c>
      <c r="F14" s="14">
        <f t="shared" si="1"/>
        <v>5.3111404225462087E-2</v>
      </c>
      <c r="G14" s="15">
        <f>SUM(Jan!G14, Feb!G14, Mar!G14)</f>
        <v>88326</v>
      </c>
      <c r="H14" s="15">
        <f>SUM(Jan!H14, Feb!H14, Mar!H14)</f>
        <v>-7096</v>
      </c>
      <c r="I14" s="16">
        <f t="shared" si="2"/>
        <v>-8.0338745103367068E-2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SUM(C4:C86)</f>
        <v>1586107.75</v>
      </c>
      <c r="D2" s="5">
        <f>SUM(D4:D86)</f>
        <v>1518952.6670000001</v>
      </c>
      <c r="E2" s="5">
        <f>C2-D2</f>
        <v>67155.082999999868</v>
      </c>
      <c r="F2" s="6">
        <f>IFERROR(E2/D2, 0)</f>
        <v>4.4211438880866628E-2</v>
      </c>
      <c r="G2" s="5">
        <f>SUM(G4:G86)</f>
        <v>0</v>
      </c>
      <c r="H2" s="7">
        <f>C2-G2</f>
        <v>1586107.75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SUM(Apr!C4, May!C4, Jun!C4)</f>
        <v>31072.875</v>
      </c>
      <c r="D4" s="13">
        <f>SUM(Apr!D4, May!D4, Jun!D4)</f>
        <v>22438.885999999999</v>
      </c>
      <c r="E4" s="13">
        <f>IF(AND(ISNUMBER(C4),ISNUMBER(D4)), C4-D4, "")</f>
        <v>8633.9890000000014</v>
      </c>
      <c r="F4" s="14">
        <f>IFERROR(E4/D4, "")</f>
        <v>0.38477796981543566</v>
      </c>
      <c r="G4" s="15"/>
      <c r="H4" s="15">
        <f>SUM(Apr!H4, May!H4, Jun!H4)</f>
        <v>-4848.9749999999985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SUM(Apr!C5, May!C5, Jun!C5)</f>
        <v>93292.25</v>
      </c>
      <c r="D5" s="19">
        <f>SUM(Apr!D5, May!D5, Jun!D5)</f>
        <v>121646.69</v>
      </c>
      <c r="E5" s="19">
        <f t="shared" ref="E5:E14" si="0">IF(AND(ISNUMBER(C5),ISNUMBER(D5)), C5-D5, "")</f>
        <v>-28354.440000000002</v>
      </c>
      <c r="F5" s="20">
        <f>IFERROR(E5/D5, "")</f>
        <v>-0.23308846299064942</v>
      </c>
      <c r="G5" s="21"/>
      <c r="H5" s="21">
        <f>SUM(Apr!H5, May!H5, Jun!H5)</f>
        <v>-43165.88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SUM(Apr!C6, May!C6, Jun!C6)</f>
        <v>471176.75</v>
      </c>
      <c r="D6" s="13">
        <f>SUM(Apr!D6, May!D6, Jun!D6)</f>
        <v>457543.4</v>
      </c>
      <c r="E6" s="13">
        <f t="shared" si="0"/>
        <v>13633.349999999977</v>
      </c>
      <c r="F6" s="14">
        <f t="shared" ref="F6:F14" si="1">IFERROR(E6/D6, "")</f>
        <v>2.9796845501432162E-2</v>
      </c>
      <c r="G6" s="15"/>
      <c r="H6" s="15">
        <f>SUM(Apr!H6, May!H6, Jun!H6)</f>
        <v>-28810.949999999983</v>
      </c>
      <c r="I6" s="16" t="str">
        <f t="shared" ref="I6:I14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SUM(Apr!C7, May!C7, Jun!C7)</f>
        <v>41733.875</v>
      </c>
      <c r="D7" s="19">
        <f>SUM(Apr!D7, May!D7, Jun!D7)</f>
        <v>38280.25</v>
      </c>
      <c r="E7" s="19">
        <f t="shared" si="0"/>
        <v>3453.625</v>
      </c>
      <c r="F7" s="20">
        <f t="shared" si="1"/>
        <v>9.0219499611418424E-2</v>
      </c>
      <c r="G7" s="21"/>
      <c r="H7" s="21">
        <f>SUM(Apr!H7, May!H7, Jun!H7)</f>
        <v>-6760.8250000000007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SUM(Apr!C8, May!C8, Jun!C8)</f>
        <v>312344</v>
      </c>
      <c r="D8" s="13">
        <f>SUM(Apr!D8, May!D8, Jun!D8)</f>
        <v>291114.13099999999</v>
      </c>
      <c r="E8" s="13">
        <f t="shared" si="0"/>
        <v>21229.869000000006</v>
      </c>
      <c r="F8" s="14">
        <f t="shared" si="1"/>
        <v>7.2926274403354224E-2</v>
      </c>
      <c r="G8" s="15"/>
      <c r="H8" s="15">
        <f>SUM(Apr!H8, May!H8, Jun!H8)</f>
        <v>17268.560999999987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SUM(Apr!C9, May!C9, Jun!C9)</f>
        <v>88645.875</v>
      </c>
      <c r="D9" s="19">
        <f>SUM(Apr!D9, May!D9, Jun!D9)</f>
        <v>88177.39</v>
      </c>
      <c r="E9" s="19">
        <f t="shared" si="0"/>
        <v>468.48500000000058</v>
      </c>
      <c r="F9" s="20">
        <f t="shared" si="1"/>
        <v>5.312983294243576E-3</v>
      </c>
      <c r="G9" s="21"/>
      <c r="H9" s="21">
        <f>SUM(Apr!H9, May!H9, Jun!H9)</f>
        <v>-1338.5550000000003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SUM(Apr!C10, May!C10, Jun!C10)</f>
        <v>118986.75</v>
      </c>
      <c r="D10" s="13">
        <f>SUM(Apr!D10, May!D10, Jun!D10)</f>
        <v>108655.45999999999</v>
      </c>
      <c r="E10" s="13">
        <f t="shared" si="0"/>
        <v>10331.290000000008</v>
      </c>
      <c r="F10" s="14">
        <f t="shared" si="1"/>
        <v>9.5083026660602324E-2</v>
      </c>
      <c r="G10" s="15"/>
      <c r="H10" s="15">
        <f>SUM(Apr!H10, May!H10, Jun!H10)</f>
        <v>-14257.830000000002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SUM(Apr!C11, May!C11, Jun!C11)</f>
        <v>114045.25</v>
      </c>
      <c r="D11" s="19">
        <f>SUM(Apr!D11, May!D11, Jun!D11)</f>
        <v>99690.01</v>
      </c>
      <c r="E11" s="19">
        <f t="shared" si="0"/>
        <v>14355.240000000005</v>
      </c>
      <c r="F11" s="20">
        <f t="shared" si="1"/>
        <v>0.1439987818237756</v>
      </c>
      <c r="G11" s="21"/>
      <c r="H11" s="21">
        <f>SUM(Apr!H11, May!H11, Jun!H11)</f>
        <v>-8168.7099999999991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SUM(Apr!C12, May!C12, Jun!C12)</f>
        <v>86248.125</v>
      </c>
      <c r="D12" s="13">
        <f>SUM(Apr!D12, May!D12, Jun!D12)</f>
        <v>84131.469999999987</v>
      </c>
      <c r="E12" s="13">
        <f t="shared" si="0"/>
        <v>2116.6550000000134</v>
      </c>
      <c r="F12" s="14">
        <f t="shared" si="1"/>
        <v>2.5158897140392458E-2</v>
      </c>
      <c r="G12" s="15"/>
      <c r="H12" s="15">
        <f>SUM(Apr!H12, May!H12, Jun!H12)</f>
        <v>-39150.665000000001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SUM(Apr!C13, May!C13, Jun!C13)</f>
        <v>104839</v>
      </c>
      <c r="D13" s="19">
        <f>SUM(Apr!D13, May!D13, Jun!D13)</f>
        <v>91869.42</v>
      </c>
      <c r="E13" s="19">
        <f t="shared" si="0"/>
        <v>12969.580000000002</v>
      </c>
      <c r="F13" s="20">
        <f t="shared" si="1"/>
        <v>0.14117407076261068</v>
      </c>
      <c r="G13" s="21"/>
      <c r="H13" s="21">
        <f>SUM(Apr!H13, May!H13, Jun!H13)</f>
        <v>-32317.18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SUM(Apr!C14, May!C14, Jun!C14)</f>
        <v>123723</v>
      </c>
      <c r="D14" s="13">
        <f>SUM(Apr!D14, May!D14, Jun!D14)</f>
        <v>115405.56</v>
      </c>
      <c r="E14" s="13">
        <f t="shared" si="0"/>
        <v>8317.4400000000023</v>
      </c>
      <c r="F14" s="14">
        <f t="shared" si="1"/>
        <v>7.2071397599907688E-2</v>
      </c>
      <c r="G14" s="15"/>
      <c r="H14" s="15">
        <f>SUM(Apr!H14, May!H14, Jun!H14)</f>
        <v>-7161</v>
      </c>
      <c r="I14" s="16" t="str">
        <f t="shared" si="2"/>
        <v/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SUM(C4:C86)</f>
        <v>1391278.1694932999</v>
      </c>
      <c r="D2" s="5">
        <f>SUM(D4:D86)</f>
        <v>1346647.0470000003</v>
      </c>
      <c r="E2" s="5">
        <f>C2-D2</f>
        <v>44631.122493299656</v>
      </c>
      <c r="F2" s="6">
        <f>IFERROR(E2/D2, 0)</f>
        <v>3.3142405497213888E-2</v>
      </c>
      <c r="G2" s="5">
        <f>SUM(G4:G86)</f>
        <v>0</v>
      </c>
      <c r="H2" s="7">
        <f>C2-G2</f>
        <v>1391278.1694932999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SUM(Jul!C4, Aug!C4, Sep!C4)</f>
        <v>28420.375</v>
      </c>
      <c r="D4" s="13">
        <f>SUM(Jul!D4, Aug!D4, Sep!D4)</f>
        <v>23008.936999999998</v>
      </c>
      <c r="E4" s="13">
        <f>IF(AND(ISNUMBER(C4),ISNUMBER(D4)), C4-D4, "")</f>
        <v>5411.4380000000019</v>
      </c>
      <c r="F4" s="14">
        <f>IFERROR(E4/D4, "")</f>
        <v>0.2351885269623713</v>
      </c>
      <c r="G4" s="15"/>
      <c r="H4" s="15">
        <f>SUM(Jul!H4, Aug!H4, Sep!H4)</f>
        <v>-4550.9869999999992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SUM(Jul!C5, Aug!C5, Sep!C5)</f>
        <v>33496</v>
      </c>
      <c r="D5" s="19">
        <f>SUM(Jul!D5, Aug!D5, Sep!D5)</f>
        <v>84345.87</v>
      </c>
      <c r="E5" s="19">
        <f t="shared" ref="E5:E14" si="0">IF(AND(ISNUMBER(C5),ISNUMBER(D5)), C5-D5, "")</f>
        <v>-50849.869999999995</v>
      </c>
      <c r="F5" s="20">
        <f>IFERROR(E5/D5, "")</f>
        <v>-0.60287326457122326</v>
      </c>
      <c r="G5" s="21"/>
      <c r="H5" s="21">
        <f>SUM(Jul!H5, Aug!H5, Sep!H5)</f>
        <v>-91265.709999999992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SUM(Jul!C6, Aug!C6, Sep!C6)</f>
        <v>413634.75</v>
      </c>
      <c r="D6" s="13">
        <f>SUM(Jul!D6, Aug!D6, Sep!D6)</f>
        <v>408526.70000000007</v>
      </c>
      <c r="E6" s="13">
        <f t="shared" si="0"/>
        <v>5108.0499999999302</v>
      </c>
      <c r="F6" s="14">
        <f t="shared" ref="F6:F14" si="1">IFERROR(E6/D6, "")</f>
        <v>1.2503589116696483E-2</v>
      </c>
      <c r="G6" s="15"/>
      <c r="H6" s="15">
        <f>SUM(Jul!H6, Aug!H6, Sep!H6)</f>
        <v>-44473.549999999988</v>
      </c>
      <c r="I6" s="16" t="str">
        <f t="shared" ref="I6:I14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SUM(Jul!C7, Aug!C7, Sep!C7)</f>
        <v>38230</v>
      </c>
      <c r="D7" s="19">
        <f>SUM(Jul!D7, Aug!D7, Sep!D7)</f>
        <v>33479.599999999999</v>
      </c>
      <c r="E7" s="19">
        <f t="shared" si="0"/>
        <v>4750.4000000000015</v>
      </c>
      <c r="F7" s="20">
        <f t="shared" si="1"/>
        <v>0.14188938935949061</v>
      </c>
      <c r="G7" s="21"/>
      <c r="H7" s="21">
        <f>SUM(Jul!H7, Aug!H7, Sep!H7)</f>
        <v>-6282.1500000000015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SUM(Jul!C8, Aug!C8, Sep!C8)</f>
        <v>269624</v>
      </c>
      <c r="D8" s="13">
        <f>SUM(Jul!D8, Aug!D8, Sep!D8)</f>
        <v>247411.19</v>
      </c>
      <c r="E8" s="13">
        <f t="shared" si="0"/>
        <v>22212.809999999998</v>
      </c>
      <c r="F8" s="14">
        <f t="shared" si="1"/>
        <v>8.9780943214411588E-2</v>
      </c>
      <c r="G8" s="15"/>
      <c r="H8" s="15">
        <f>SUM(Jul!H8, Aug!H8, Sep!H8)</f>
        <v>4846.1089999999967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SUM(Jul!C9, Aug!C9, Sep!C9)</f>
        <v>76406.75</v>
      </c>
      <c r="D9" s="19">
        <f>SUM(Jul!D9, Aug!D9, Sep!D9)</f>
        <v>77102.34</v>
      </c>
      <c r="E9" s="19">
        <f t="shared" si="0"/>
        <v>-695.58999999999651</v>
      </c>
      <c r="F9" s="20">
        <f t="shared" si="1"/>
        <v>-9.021645776250066E-3</v>
      </c>
      <c r="G9" s="21"/>
      <c r="H9" s="21">
        <f>SUM(Jul!H9, Aug!H9, Sep!H9)</f>
        <v>-2507.2200000000012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SUM(Jul!C10, Aug!C10, Sep!C10)</f>
        <v>107642</v>
      </c>
      <c r="D10" s="13">
        <f>SUM(Jul!D10, Aug!D10, Sep!D10)</f>
        <v>99411.959999999992</v>
      </c>
      <c r="E10" s="13">
        <f t="shared" si="0"/>
        <v>8230.0400000000081</v>
      </c>
      <c r="F10" s="14">
        <f t="shared" si="1"/>
        <v>8.2787221980132053E-2</v>
      </c>
      <c r="G10" s="15"/>
      <c r="H10" s="15">
        <f>SUM(Jul!H10, Aug!H10, Sep!H10)</f>
        <v>-9208.8299999999981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SUM(Jul!C11, Aug!C11, Sep!C11)</f>
        <v>104276</v>
      </c>
      <c r="D11" s="19">
        <f>SUM(Jul!D11, Aug!D11, Sep!D11)</f>
        <v>90220.5</v>
      </c>
      <c r="E11" s="19">
        <f t="shared" si="0"/>
        <v>14055.5</v>
      </c>
      <c r="F11" s="20">
        <f t="shared" si="1"/>
        <v>0.15579053541046659</v>
      </c>
      <c r="G11" s="21"/>
      <c r="H11" s="21">
        <f>SUM(Jul!H11, Aug!H11, Sep!H11)</f>
        <v>-7460.4199999999983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SUM(Jul!C12, Aug!C12, Sep!C12)</f>
        <v>87963.419493299909</v>
      </c>
      <c r="D12" s="13">
        <f>SUM(Jul!D12, Aug!D12, Sep!D12)</f>
        <v>86265.82</v>
      </c>
      <c r="E12" s="13">
        <f t="shared" si="0"/>
        <v>1697.599493299902</v>
      </c>
      <c r="F12" s="14">
        <f t="shared" si="1"/>
        <v>1.9678703492297434E-2</v>
      </c>
      <c r="G12" s="15"/>
      <c r="H12" s="15">
        <f>SUM(Jul!H12, Aug!H12, Sep!H12)</f>
        <v>-27136.440506700099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SUM(Jul!C13, Aug!C13, Sep!C13)</f>
        <v>113532.375</v>
      </c>
      <c r="D13" s="19">
        <f>SUM(Jul!D13, Aug!D13, Sep!D13)</f>
        <v>94200.28</v>
      </c>
      <c r="E13" s="19">
        <f t="shared" si="0"/>
        <v>19332.095000000001</v>
      </c>
      <c r="F13" s="20">
        <f t="shared" si="1"/>
        <v>0.20522332842322763</v>
      </c>
      <c r="G13" s="21"/>
      <c r="H13" s="21">
        <f>SUM(Jul!H13, Aug!H13, Sep!H13)</f>
        <v>-12357.385000000002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SUM(Jul!C14, Aug!C14, Sep!C14)</f>
        <v>118052.5</v>
      </c>
      <c r="D14" s="13">
        <f>SUM(Jul!D14, Aug!D14, Sep!D14)</f>
        <v>102673.85</v>
      </c>
      <c r="E14" s="13">
        <f t="shared" si="0"/>
        <v>15378.649999999994</v>
      </c>
      <c r="F14" s="14">
        <f t="shared" si="1"/>
        <v>0.14978156560799066</v>
      </c>
      <c r="G14" s="15"/>
      <c r="H14" s="15">
        <f>SUM(Jul!H14, Aug!H14, Sep!H14)</f>
        <v>-2404.5</v>
      </c>
      <c r="I14" s="16" t="str">
        <f t="shared" si="2"/>
        <v/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Pardee (ENCAP)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SUM(Oct!C5, Nov!C5, Dec!C5)</f>
        <v>0</v>
      </c>
      <c r="D5" s="19">
        <f>SUM(Oct!D5, Nov!D5, Dec!D5)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SUM(Oct!H6, Nov!H6, Dec!H6)</f>
        <v>0</v>
      </c>
      <c r="I6" s="16" t="str">
        <f t="shared" ref="I6:I14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SUM(Oct!C13, Nov!C13, Dec!C13)</f>
        <v>0</v>
      </c>
      <c r="D13" s="19">
        <f>SUM(Oct!D13, Nov!D13, Dec!D13)</f>
        <v>0</v>
      </c>
      <c r="E13" s="19">
        <f t="shared" si="0"/>
        <v>0</v>
      </c>
      <c r="F13" s="20" t="str">
        <f t="shared" si="1"/>
        <v/>
      </c>
      <c r="G13" s="21"/>
      <c r="H13" s="21">
        <f>SUM(Oct!H13, Nov!H13, Dec!H13)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workbookViewId="0">
      <pane ySplit="3" topLeftCell="A4" activePane="bottomLeft" state="frozen"/>
      <selection pane="bottomLeft" activeCell="C7" sqref="C7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SUM(C4:C85)</f>
        <v>286603.185</v>
      </c>
      <c r="D2" s="5">
        <f>SUM(D4:D85)</f>
        <v>276538.33400000003</v>
      </c>
      <c r="E2" s="5">
        <f>C2-D2</f>
        <v>10064.850999999966</v>
      </c>
      <c r="F2" s="6">
        <f>IFERROR(E2/D2, 0)</f>
        <v>3.6395861848216547E-2</v>
      </c>
      <c r="G2" s="5">
        <f>SUM(G4:G85)</f>
        <v>295333.30099999998</v>
      </c>
      <c r="H2" s="7">
        <f>C2-G2</f>
        <v>-8730.11599999998</v>
      </c>
      <c r="I2" s="6">
        <f>IFERROR(H2/G2, 0)</f>
        <v>-2.9560215425892593E-2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5658.375</v>
      </c>
      <c r="D4" s="13">
        <v>4288.2389999999996</v>
      </c>
      <c r="E4" s="13">
        <f>IF(AND(ISNUMBER(C4),ISNUMBER(D4)), C4-D4, "")</f>
        <v>1370.1360000000004</v>
      </c>
      <c r="F4" s="14">
        <f>IFERROR(E4/D4, "")</f>
        <v>0.31951017655499159</v>
      </c>
      <c r="G4" s="15">
        <v>6613.6120000000001</v>
      </c>
      <c r="H4" s="15">
        <f>IF(AND(ISNUMBER(C4),ISNUMBER(G4)), C4-G4, "")</f>
        <v>-955.23700000000008</v>
      </c>
      <c r="I4" s="16">
        <f>IFERROR(H4/G4, "")</f>
        <v>-0.14443499255777328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20942.75</v>
      </c>
      <c r="D5" s="19">
        <v>22485.91</v>
      </c>
      <c r="E5" s="19">
        <f t="shared" ref="E5:E6" si="0">IF(AND(ISNUMBER(C5),ISNUMBER(D5)), C5-D5, "")</f>
        <v>-1543.1599999999999</v>
      </c>
      <c r="F5" s="20">
        <f>IFERROR(E5/D5, "")</f>
        <v>-6.8627865183130229E-2</v>
      </c>
      <c r="G5" s="21">
        <v>24320.71</v>
      </c>
      <c r="H5" s="21">
        <f t="shared" ref="H5:H6" si="1">IF(AND(ISNUMBER(C5),ISNUMBER(G5)), C5-G5, "")</f>
        <v>-3377.9599999999991</v>
      </c>
      <c r="I5" s="20">
        <f t="shared" ref="I5:I6" si="2">IFERROR(H5/G5, "")</f>
        <v>-0.13889232674539514</v>
      </c>
      <c r="J5" s="42"/>
      <c r="K5" s="43"/>
    </row>
    <row r="6" spans="1:11" ht="15.6">
      <c r="A6" s="29" t="str">
        <v>AZ: ASU - Pardee - Macro Tech.</v>
      </c>
      <c r="B6" s="30" t="str">
        <v>AZ</v>
      </c>
      <c r="C6" s="25">
        <v>93471.06</v>
      </c>
      <c r="D6" s="13">
        <v>84624.65</v>
      </c>
      <c r="E6" s="13">
        <f t="shared" si="0"/>
        <v>8846.4100000000035</v>
      </c>
      <c r="F6" s="14">
        <f t="shared" ref="F6:F14" si="3">IFERROR(E6/D6, "")</f>
        <v>0.10453703501284796</v>
      </c>
      <c r="G6" s="15">
        <v>90296.56</v>
      </c>
      <c r="H6" s="15">
        <f t="shared" si="1"/>
        <v>3174.5</v>
      </c>
      <c r="I6" s="16">
        <f t="shared" si="2"/>
        <v>3.5156378050282315E-2</v>
      </c>
      <c r="J6" s="17" t="s">
        <v>22</v>
      </c>
      <c r="K6" s="17" t="s">
        <v>23</v>
      </c>
    </row>
    <row r="7" spans="1:11" ht="15.6">
      <c r="A7" s="31" t="str">
        <v>AZ: ASU - Pardee - McCord Hall</v>
      </c>
      <c r="B7" s="32" t="str">
        <v>AZ</v>
      </c>
      <c r="C7" s="11">
        <v>7336.125</v>
      </c>
      <c r="D7" s="19">
        <v>5808.4049999999997</v>
      </c>
      <c r="E7" s="19">
        <f t="shared" ref="E7:E14" si="4">IF(AND(ISNUMBER(C7),ISNUMBER(D7)), C7-D7, "")</f>
        <v>1527.7200000000003</v>
      </c>
      <c r="F7" s="20">
        <f t="shared" si="3"/>
        <v>0.26301884940874481</v>
      </c>
      <c r="G7" s="21">
        <v>8928.8590000000004</v>
      </c>
      <c r="H7" s="21">
        <f t="shared" ref="H7:H14" si="5">IF(AND(ISNUMBER(C7),ISNUMBER(G7)), C7-G7, "")</f>
        <v>-1592.7340000000004</v>
      </c>
      <c r="I7" s="20">
        <f t="shared" ref="I7:I14" si="6">IFERROR(H7/G7, "")</f>
        <v>-0.17838046272205668</v>
      </c>
      <c r="J7" s="42" t="s">
        <v>24</v>
      </c>
      <c r="K7" s="42" t="s">
        <v>25</v>
      </c>
    </row>
    <row r="8" spans="1:11" ht="15.6">
      <c r="A8" s="29" t="str">
        <v>AZ: NAU - SF Garage</v>
      </c>
      <c r="B8" s="30" t="str">
        <v>AZ</v>
      </c>
      <c r="C8" s="25">
        <v>37150</v>
      </c>
      <c r="D8" s="13">
        <v>48177.46</v>
      </c>
      <c r="E8" s="13">
        <f t="shared" si="4"/>
        <v>-11027.46</v>
      </c>
      <c r="F8" s="14">
        <f t="shared" si="3"/>
        <v>-0.22889251529657229</v>
      </c>
      <c r="G8" s="15">
        <v>44269.38</v>
      </c>
      <c r="H8" s="15">
        <f t="shared" si="5"/>
        <v>-7119.3799999999974</v>
      </c>
      <c r="I8" s="16">
        <f t="shared" si="6"/>
        <v>-0.1608195100089497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17337.5</v>
      </c>
      <c r="D9" s="19">
        <v>14798.45</v>
      </c>
      <c r="E9" s="19">
        <f t="shared" si="4"/>
        <v>2539.0499999999993</v>
      </c>
      <c r="F9" s="20">
        <f t="shared" si="3"/>
        <v>0.17157540147785741</v>
      </c>
      <c r="G9" s="21">
        <v>10357.790000000001</v>
      </c>
      <c r="H9" s="21">
        <f t="shared" si="5"/>
        <v>6979.7099999999991</v>
      </c>
      <c r="I9" s="20">
        <f t="shared" si="6"/>
        <v>0.67386092979293832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24207.75</v>
      </c>
      <c r="D10" s="13">
        <v>22732.63</v>
      </c>
      <c r="E10" s="13">
        <f t="shared" si="4"/>
        <v>1475.119999999999</v>
      </c>
      <c r="F10" s="14">
        <f t="shared" si="3"/>
        <v>6.4889984132940129E-2</v>
      </c>
      <c r="G10" s="15">
        <v>15337.79</v>
      </c>
      <c r="H10" s="15">
        <f t="shared" si="5"/>
        <v>8869.9599999999991</v>
      </c>
      <c r="I10" s="16">
        <f t="shared" si="6"/>
        <v>0.57830756582271625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18216.6875</v>
      </c>
      <c r="D11" s="19">
        <v>18371.14</v>
      </c>
      <c r="E11" s="19">
        <f t="shared" si="4"/>
        <v>-154.45249999999942</v>
      </c>
      <c r="F11" s="20">
        <f t="shared" si="3"/>
        <v>-8.4073443455332346E-3</v>
      </c>
      <c r="G11" s="21">
        <v>21781.47</v>
      </c>
      <c r="H11" s="21">
        <f t="shared" si="5"/>
        <v>-3564.7825000000012</v>
      </c>
      <c r="I11" s="20">
        <f t="shared" si="6"/>
        <v>-0.16366124508584595</v>
      </c>
      <c r="J11" s="42"/>
      <c r="K11" s="43"/>
    </row>
    <row r="12" spans="1:11" ht="15.6">
      <c r="A12" s="29" t="str">
        <v>AZ: ASU - Pardee - Parking Lot 58</v>
      </c>
      <c r="B12" s="30" t="str">
        <v>AZ</v>
      </c>
      <c r="C12" s="25">
        <v>18853.625</v>
      </c>
      <c r="D12" s="13">
        <v>16485.98</v>
      </c>
      <c r="E12" s="13">
        <f t="shared" si="4"/>
        <v>2367.6450000000004</v>
      </c>
      <c r="F12" s="14">
        <f t="shared" si="3"/>
        <v>0.14361566615997354</v>
      </c>
      <c r="G12" s="15">
        <v>23088.75</v>
      </c>
      <c r="H12" s="15">
        <f t="shared" si="5"/>
        <v>-4235.125</v>
      </c>
      <c r="I12" s="16">
        <f t="shared" si="6"/>
        <v>-0.18342807644415571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23961.8125</v>
      </c>
      <c r="D13" s="19">
        <v>18005.490000000002</v>
      </c>
      <c r="E13" s="19">
        <f t="shared" si="4"/>
        <v>5956.3224999999984</v>
      </c>
      <c r="F13" s="20">
        <f t="shared" si="3"/>
        <v>0.33080590975308077</v>
      </c>
      <c r="G13" s="21">
        <v>25253.38</v>
      </c>
      <c r="H13" s="21">
        <f t="shared" si="5"/>
        <v>-1291.567500000001</v>
      </c>
      <c r="I13" s="20">
        <f t="shared" si="6"/>
        <v>-5.1144341866316549E-2</v>
      </c>
      <c r="J13" s="42"/>
      <c r="K13" s="43"/>
    </row>
    <row r="14" spans="1:11" ht="15.6">
      <c r="A14" s="29" t="str">
        <v>AZ: ASU - Pardee - Sun Devil Complex</v>
      </c>
      <c r="B14" s="30" t="str">
        <v>AZ</v>
      </c>
      <c r="C14" s="25">
        <v>19467.5</v>
      </c>
      <c r="D14" s="13">
        <v>20759.98</v>
      </c>
      <c r="E14" s="13">
        <f t="shared" si="4"/>
        <v>-1292.4799999999996</v>
      </c>
      <c r="F14" s="14">
        <f t="shared" si="3"/>
        <v>-6.2258248803707887E-2</v>
      </c>
      <c r="G14" s="15">
        <v>25085</v>
      </c>
      <c r="H14" s="15">
        <f t="shared" si="5"/>
        <v>-5617.5</v>
      </c>
      <c r="I14" s="16">
        <f t="shared" si="6"/>
        <v>-0.22393860873031693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</sheetData>
  <mergeCells count="4">
    <mergeCell ref="D1:F1"/>
    <mergeCell ref="A1:C1"/>
    <mergeCell ref="G1:I1"/>
    <mergeCell ref="A2:B2"/>
  </mergeCells>
  <conditionalFormatting sqref="F2 I2 F4:F85 I4:I85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ySplit="2" topLeftCell="A3" activePane="bottomLeft" state="frozen"/>
      <selection pane="bottomLeft" activeCell="J14" sqref="J14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309680</v>
      </c>
      <c r="D2" s="5">
        <f>SUM(D4:D86)</f>
        <v>316895.79200000002</v>
      </c>
      <c r="E2" s="5">
        <f>C2-D2</f>
        <v>-7215.7920000000158</v>
      </c>
      <c r="F2" s="6">
        <f>IFERROR(E2/D2, 0)</f>
        <v>-2.2770236090733625E-2</v>
      </c>
      <c r="G2" s="5">
        <f>SUM(G4:G86)</f>
        <v>338232.72100000002</v>
      </c>
      <c r="H2" s="7">
        <f>C2-G2</f>
        <v>-28552.72100000002</v>
      </c>
      <c r="I2" s="6">
        <f>IFERROR(H2/G2, 0)</f>
        <v>-8.4417382551228742E-2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6617</v>
      </c>
      <c r="D4" s="13">
        <v>5438.8980000000001</v>
      </c>
      <c r="E4" s="13">
        <f>IF(AND(ISNUMBER(C4),ISNUMBER(D4)), C4-D4, "")</f>
        <v>1178.1019999999999</v>
      </c>
      <c r="F4" s="14">
        <f>IFERROR(E4/D4, "")</f>
        <v>0.21660674644017958</v>
      </c>
      <c r="G4" s="15">
        <v>7532.451</v>
      </c>
      <c r="H4" s="15">
        <f>IF(AND(ISNUMBER(C4),ISNUMBER(G4)), C4-G4, "")</f>
        <v>-915.45100000000002</v>
      </c>
      <c r="I4" s="16">
        <f>IFERROR(H4/G4, "")</f>
        <v>-0.12153427881575334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24988</v>
      </c>
      <c r="D5" s="19">
        <v>25880.78</v>
      </c>
      <c r="E5" s="19">
        <f t="shared" ref="E5:E14" si="0">IF(AND(ISNUMBER(C5),ISNUMBER(D5)), C5-D5, "")</f>
        <v>-892.77999999999884</v>
      </c>
      <c r="F5" s="20">
        <f>IFERROR(E5/D5, "")</f>
        <v>-3.4495869135319678E-2</v>
      </c>
      <c r="G5" s="21">
        <v>27910.12</v>
      </c>
      <c r="H5" s="21">
        <f t="shared" ref="H5:H14" si="1">IF(AND(ISNUMBER(C5),ISNUMBER(G5)), C5-G5, "")</f>
        <v>-2922.119999999999</v>
      </c>
      <c r="I5" s="20">
        <f t="shared" ref="I5:I14" si="2">IFERROR(H5/G5, "")</f>
        <v>-0.10469750757073058</v>
      </c>
      <c r="J5" s="10"/>
      <c r="K5" s="18"/>
    </row>
    <row r="6" spans="1:11" ht="43.15">
      <c r="A6" s="29" t="str">
        <v>AZ: ASU - Pardee - Macro Tech.</v>
      </c>
      <c r="B6" s="30" t="str">
        <v>AZ</v>
      </c>
      <c r="C6" s="25">
        <v>98495.5</v>
      </c>
      <c r="D6" s="13">
        <v>100242</v>
      </c>
      <c r="E6" s="13">
        <f t="shared" si="0"/>
        <v>-1746.5</v>
      </c>
      <c r="F6" s="14">
        <f t="shared" ref="F6:F14" si="3">IFERROR(E6/D6, "")</f>
        <v>-1.7422836735101057E-2</v>
      </c>
      <c r="G6" s="15">
        <v>97496.26</v>
      </c>
      <c r="H6" s="15">
        <f t="shared" si="1"/>
        <v>999.24000000000524</v>
      </c>
      <c r="I6" s="16">
        <f t="shared" si="2"/>
        <v>1.0249008526070696E-2</v>
      </c>
      <c r="J6" s="17" t="s">
        <v>28</v>
      </c>
      <c r="K6" s="17" t="s">
        <v>29</v>
      </c>
    </row>
    <row r="7" spans="1:11" ht="15.6">
      <c r="A7" s="31" t="str">
        <v>AZ: ASU - Pardee - McCord Hall</v>
      </c>
      <c r="B7" s="32" t="str">
        <v>AZ</v>
      </c>
      <c r="C7" s="11">
        <v>9062.25</v>
      </c>
      <c r="D7" s="19">
        <v>7131.9440000000004</v>
      </c>
      <c r="E7" s="19">
        <f t="shared" si="0"/>
        <v>1930.3059999999996</v>
      </c>
      <c r="F7" s="20">
        <f t="shared" si="3"/>
        <v>0.27065635961247025</v>
      </c>
      <c r="G7" s="21">
        <v>10168.08</v>
      </c>
      <c r="H7" s="21">
        <f t="shared" si="1"/>
        <v>-1105.83</v>
      </c>
      <c r="I7" s="20">
        <f t="shared" si="2"/>
        <v>-0.10875504520027379</v>
      </c>
      <c r="J7" s="10"/>
      <c r="K7" s="18"/>
    </row>
    <row r="8" spans="1:11" ht="28.9">
      <c r="A8" s="29" t="str">
        <v>AZ: NAU - SF Garage</v>
      </c>
      <c r="B8" s="30" t="str">
        <v>AZ</v>
      </c>
      <c r="C8" s="25">
        <v>29342</v>
      </c>
      <c r="D8" s="13">
        <v>45707</v>
      </c>
      <c r="E8" s="13">
        <f t="shared" si="0"/>
        <v>-16365</v>
      </c>
      <c r="F8" s="14">
        <f t="shared" si="3"/>
        <v>-0.35804143785415798</v>
      </c>
      <c r="G8" s="15">
        <v>54628</v>
      </c>
      <c r="H8" s="15">
        <f t="shared" si="1"/>
        <v>-25286</v>
      </c>
      <c r="I8" s="16">
        <f t="shared" si="2"/>
        <v>-0.46287618071318737</v>
      </c>
      <c r="J8" s="44" t="s">
        <v>30</v>
      </c>
      <c r="K8" s="17"/>
    </row>
    <row r="9" spans="1:11" ht="31.15">
      <c r="A9" s="31" t="str">
        <v>AZ: ASU - Pardee - Parking Lot 11</v>
      </c>
      <c r="B9" s="32" t="str">
        <v>AZ</v>
      </c>
      <c r="C9" s="11">
        <v>10468.9375</v>
      </c>
      <c r="D9" s="19">
        <v>17416.29</v>
      </c>
      <c r="E9" s="19">
        <f t="shared" si="0"/>
        <v>-6947.3525000000009</v>
      </c>
      <c r="F9" s="20">
        <f t="shared" si="3"/>
        <v>-0.39889967955287842</v>
      </c>
      <c r="G9" s="21">
        <v>13455.15</v>
      </c>
      <c r="H9" s="21">
        <f t="shared" si="1"/>
        <v>-2986.2124999999996</v>
      </c>
      <c r="I9" s="20">
        <f t="shared" si="2"/>
        <v>-0.22193825412574367</v>
      </c>
      <c r="J9" s="46" t="s">
        <v>31</v>
      </c>
      <c r="K9" s="47" t="s">
        <v>32</v>
      </c>
    </row>
    <row r="10" spans="1:11" ht="15.6">
      <c r="A10" s="29" t="str">
        <v>AZ: ASU - Pardee - Parking Lot 19</v>
      </c>
      <c r="B10" s="30" t="str">
        <v>AZ</v>
      </c>
      <c r="C10" s="25">
        <v>28505.375</v>
      </c>
      <c r="D10" s="13">
        <v>26099.84</v>
      </c>
      <c r="E10" s="13">
        <f t="shared" si="0"/>
        <v>2405.5349999999999</v>
      </c>
      <c r="F10" s="14">
        <f t="shared" si="3"/>
        <v>9.2166656960349175E-2</v>
      </c>
      <c r="G10" s="15">
        <v>19923.12</v>
      </c>
      <c r="H10" s="15">
        <f t="shared" si="1"/>
        <v>8582.255000000001</v>
      </c>
      <c r="I10" s="16">
        <f t="shared" si="2"/>
        <v>0.4307686245929353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23220.6875</v>
      </c>
      <c r="D11" s="19">
        <v>21480.82</v>
      </c>
      <c r="E11" s="19">
        <f t="shared" si="0"/>
        <v>1739.8675000000003</v>
      </c>
      <c r="F11" s="20">
        <f t="shared" si="3"/>
        <v>8.0996326024797949E-2</v>
      </c>
      <c r="G11" s="21">
        <v>24995.58</v>
      </c>
      <c r="H11" s="21">
        <f t="shared" si="1"/>
        <v>-1774.8925000000017</v>
      </c>
      <c r="I11" s="20">
        <f t="shared" si="2"/>
        <v>-7.1008254259353115E-2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23236.5</v>
      </c>
      <c r="D12" s="13">
        <v>20660.419999999998</v>
      </c>
      <c r="E12" s="13">
        <f t="shared" si="0"/>
        <v>2576.0800000000017</v>
      </c>
      <c r="F12" s="14">
        <f t="shared" si="3"/>
        <v>0.12468671982466968</v>
      </c>
      <c r="G12" s="15">
        <v>26294.57</v>
      </c>
      <c r="H12" s="15">
        <f t="shared" si="1"/>
        <v>-3058.0699999999997</v>
      </c>
      <c r="I12" s="16">
        <f t="shared" si="2"/>
        <v>-0.11630043769493092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27805.25</v>
      </c>
      <c r="D13" s="19">
        <v>22564.69</v>
      </c>
      <c r="E13" s="19">
        <f t="shared" si="0"/>
        <v>5240.5600000000013</v>
      </c>
      <c r="F13" s="20">
        <f t="shared" si="3"/>
        <v>0.23224604459445272</v>
      </c>
      <c r="G13" s="21">
        <v>28759.39</v>
      </c>
      <c r="H13" s="21">
        <f t="shared" si="1"/>
        <v>-954.13999999999942</v>
      </c>
      <c r="I13" s="20">
        <f t="shared" si="2"/>
        <v>-3.3176642480942729E-2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27938.5</v>
      </c>
      <c r="D14" s="13">
        <v>24273.11</v>
      </c>
      <c r="E14" s="13">
        <f t="shared" si="0"/>
        <v>3665.3899999999994</v>
      </c>
      <c r="F14" s="14">
        <f t="shared" si="3"/>
        <v>0.1510061957450034</v>
      </c>
      <c r="G14" s="15">
        <v>27070</v>
      </c>
      <c r="H14" s="15">
        <f t="shared" si="1"/>
        <v>868.5</v>
      </c>
      <c r="I14" s="16">
        <f t="shared" si="2"/>
        <v>3.208348725526413E-2</v>
      </c>
      <c r="J14" s="17" t="s">
        <v>33</v>
      </c>
      <c r="K14" s="17" t="s">
        <v>34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8"/>
  <sheetViews>
    <sheetView zoomScale="90" zoomScaleNormal="90" workbookViewId="0">
      <pane ySplit="2" topLeftCell="A3" activePane="bottomLeft" state="frozen"/>
      <selection pane="bottomLeft" activeCell="F17" sqref="F17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35</v>
      </c>
      <c r="E1" s="56"/>
      <c r="F1" s="56"/>
      <c r="G1" s="54" t="s">
        <v>36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450211.02500000002</v>
      </c>
      <c r="D2" s="5">
        <f>SUM(D4:D86)</f>
        <v>431731.30900000001</v>
      </c>
      <c r="E2" s="5">
        <f>C2-D2</f>
        <v>18479.716000000015</v>
      </c>
      <c r="F2" s="6">
        <f>IFERROR(E2/D2, 0)</f>
        <v>4.2803743010447301E-2</v>
      </c>
      <c r="G2" s="5">
        <f>SUM(G4:G86)</f>
        <v>453264.58499999996</v>
      </c>
      <c r="H2" s="7">
        <f>C2-G2</f>
        <v>-3053.5599999999395</v>
      </c>
      <c r="I2" s="6">
        <f>IFERROR(H2/G2, 0)</f>
        <v>-6.7368157607105789E-3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8756</v>
      </c>
      <c r="D4" s="13">
        <v>7521.5029999999997</v>
      </c>
      <c r="E4" s="13">
        <f>IF(AND(ISNUMBER(C4),ISNUMBER(D4)), C4-D4, "")</f>
        <v>1234.4970000000003</v>
      </c>
      <c r="F4" s="14">
        <f>IFERROR(E4/D4, "")</f>
        <v>0.16412903112582689</v>
      </c>
      <c r="G4" s="15">
        <v>9715.4549999999999</v>
      </c>
      <c r="H4" s="15">
        <f>IF(AND(ISNUMBER(C4),ISNUMBER(G4)), C4-G4, "")</f>
        <v>-959.45499999999993</v>
      </c>
      <c r="I4" s="16">
        <f>IFERROR(H4/G4, "")</f>
        <v>-9.8755539498664752E-2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33193.5</v>
      </c>
      <c r="D5" s="19">
        <v>34262.550000000003</v>
      </c>
      <c r="E5" s="19">
        <f t="shared" ref="E5:E14" si="0">IF(AND(ISNUMBER(C5),ISNUMBER(D5)), C5-D5, "")</f>
        <v>-1069.0500000000029</v>
      </c>
      <c r="F5" s="20">
        <f>IFERROR(E5/D5, "")</f>
        <v>-3.1201705652381471E-2</v>
      </c>
      <c r="G5" s="21">
        <v>36386.410000000003</v>
      </c>
      <c r="H5" s="21">
        <f t="shared" ref="H5:H14" si="1">IF(AND(ISNUMBER(C5),ISNUMBER(G5)), C5-G5, "")</f>
        <v>-3192.9100000000035</v>
      </c>
      <c r="I5" s="20">
        <f t="shared" ref="I5:I14" si="2">IFERROR(H5/G5, "")</f>
        <v>-8.7750069325333371E-2</v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>
        <v>135438.9</v>
      </c>
      <c r="D6" s="13">
        <v>131408.9</v>
      </c>
      <c r="E6" s="13">
        <f t="shared" si="0"/>
        <v>4030</v>
      </c>
      <c r="F6" s="14">
        <f t="shared" ref="F6:F14" si="3">IFERROR(E6/D6, "")</f>
        <v>3.0667633622989007E-2</v>
      </c>
      <c r="G6" s="15">
        <v>132781.79999999999</v>
      </c>
      <c r="H6" s="15">
        <f t="shared" si="1"/>
        <v>2657.1000000000058</v>
      </c>
      <c r="I6" s="16">
        <f t="shared" si="2"/>
        <v>2.0011025607425161E-2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11953.25</v>
      </c>
      <c r="D7" s="19">
        <v>9906.4959999999992</v>
      </c>
      <c r="E7" s="19">
        <f t="shared" si="0"/>
        <v>2046.7540000000008</v>
      </c>
      <c r="F7" s="20">
        <f t="shared" si="3"/>
        <v>0.20660726052884903</v>
      </c>
      <c r="G7" s="21">
        <v>13116.01</v>
      </c>
      <c r="H7" s="21">
        <f t="shared" si="1"/>
        <v>-1162.7600000000002</v>
      </c>
      <c r="I7" s="20">
        <f t="shared" si="2"/>
        <v>-8.8651960466635829E-2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63226</v>
      </c>
      <c r="D8" s="13">
        <v>71168</v>
      </c>
      <c r="E8" s="13">
        <f t="shared" si="0"/>
        <v>-7942</v>
      </c>
      <c r="F8" s="14">
        <f t="shared" si="3"/>
        <v>-0.11159509892086331</v>
      </c>
      <c r="G8" s="15">
        <v>71030</v>
      </c>
      <c r="H8" s="15">
        <f t="shared" si="1"/>
        <v>-7804</v>
      </c>
      <c r="I8" s="16">
        <f t="shared" si="2"/>
        <v>-0.1098690694072927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26091.875</v>
      </c>
      <c r="D9" s="19">
        <v>23622.59</v>
      </c>
      <c r="E9" s="19">
        <f t="shared" si="0"/>
        <v>2469.2849999999999</v>
      </c>
      <c r="F9" s="20">
        <f t="shared" si="3"/>
        <v>0.10453066323379442</v>
      </c>
      <c r="G9" s="21">
        <v>20343.509999999998</v>
      </c>
      <c r="H9" s="21">
        <f t="shared" si="1"/>
        <v>5748.3650000000016</v>
      </c>
      <c r="I9" s="20">
        <f t="shared" si="2"/>
        <v>0.28256505391645798</v>
      </c>
      <c r="J9" s="45" t="s">
        <v>37</v>
      </c>
      <c r="K9" s="48" t="s">
        <v>38</v>
      </c>
    </row>
    <row r="10" spans="1:11" ht="15.6">
      <c r="A10" s="29" t="str">
        <v>AZ: ASU - Pardee - Parking Lot 19</v>
      </c>
      <c r="B10" s="30" t="str">
        <v>AZ</v>
      </c>
      <c r="C10" s="25">
        <v>37394</v>
      </c>
      <c r="D10" s="13">
        <v>34059.86</v>
      </c>
      <c r="E10" s="13">
        <f t="shared" si="0"/>
        <v>3334.1399999999994</v>
      </c>
      <c r="F10" s="14">
        <f t="shared" si="3"/>
        <v>9.7890596144552547E-2</v>
      </c>
      <c r="G10" s="15">
        <v>30123.599999999999</v>
      </c>
      <c r="H10" s="15">
        <f t="shared" si="1"/>
        <v>7270.4000000000015</v>
      </c>
      <c r="I10" s="16">
        <f t="shared" si="2"/>
        <v>0.24135229521039989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31922.5</v>
      </c>
      <c r="D11" s="19">
        <v>28462.89</v>
      </c>
      <c r="E11" s="19">
        <f t="shared" si="0"/>
        <v>3459.6100000000006</v>
      </c>
      <c r="F11" s="20">
        <f t="shared" si="3"/>
        <v>0.12154809297299046</v>
      </c>
      <c r="G11" s="21">
        <v>32587.439999999999</v>
      </c>
      <c r="H11" s="21">
        <f t="shared" si="1"/>
        <v>-664.93999999999869</v>
      </c>
      <c r="I11" s="20">
        <f t="shared" si="2"/>
        <v>-2.0404793994250506E-2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31852.875</v>
      </c>
      <c r="D12" s="13">
        <v>28304.94</v>
      </c>
      <c r="E12" s="13">
        <f t="shared" si="0"/>
        <v>3547.9350000000013</v>
      </c>
      <c r="F12" s="14">
        <f t="shared" si="3"/>
        <v>0.12534684758208289</v>
      </c>
      <c r="G12" s="15">
        <v>33914.86</v>
      </c>
      <c r="H12" s="15">
        <f t="shared" si="1"/>
        <v>-2061.9850000000006</v>
      </c>
      <c r="I12" s="16">
        <f t="shared" si="2"/>
        <v>-6.0798865158222692E-2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36558.125</v>
      </c>
      <c r="D13" s="19">
        <v>30913.33</v>
      </c>
      <c r="E13" s="19">
        <f t="shared" si="0"/>
        <v>5644.7949999999983</v>
      </c>
      <c r="F13" s="20">
        <f t="shared" si="3"/>
        <v>0.18260067744238481</v>
      </c>
      <c r="G13" s="21">
        <v>37094.5</v>
      </c>
      <c r="H13" s="21">
        <f t="shared" si="1"/>
        <v>-536.375</v>
      </c>
      <c r="I13" s="20">
        <f t="shared" si="2"/>
        <v>-1.4459690789739719E-2</v>
      </c>
      <c r="J13" s="10"/>
      <c r="K13" s="18"/>
    </row>
    <row r="14" spans="1:11" ht="43.15">
      <c r="A14" s="29" t="str">
        <v>AZ: ASU - Pardee - Sun Devil Complex</v>
      </c>
      <c r="B14" s="30" t="str">
        <v>AZ</v>
      </c>
      <c r="C14" s="25">
        <v>33824</v>
      </c>
      <c r="D14" s="13">
        <v>32100.25</v>
      </c>
      <c r="E14" s="13">
        <f t="shared" si="0"/>
        <v>1723.75</v>
      </c>
      <c r="F14" s="14">
        <f t="shared" si="3"/>
        <v>5.3698958730851003E-2</v>
      </c>
      <c r="G14" s="15">
        <v>36171</v>
      </c>
      <c r="H14" s="15">
        <f t="shared" si="1"/>
        <v>-2347</v>
      </c>
      <c r="I14" s="16">
        <f t="shared" si="2"/>
        <v>-6.4886234829006656E-2</v>
      </c>
      <c r="J14" s="17" t="s">
        <v>39</v>
      </c>
      <c r="K14" s="17" t="s">
        <v>40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E19" sqref="E19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553626.5</v>
      </c>
      <c r="D2" s="5">
        <f>SUM(D4:D86)</f>
        <v>514831.28400000004</v>
      </c>
      <c r="E2" s="5">
        <f>C2-D2</f>
        <v>38795.215999999957</v>
      </c>
      <c r="F2" s="6">
        <f>IFERROR(E2/D2, 0)</f>
        <v>7.5355203162051729E-2</v>
      </c>
      <c r="G2" s="5">
        <f>SUM(G4:G86)</f>
        <v>547175.26699999999</v>
      </c>
      <c r="H2" s="7">
        <f>C2-G2</f>
        <v>6451.2330000000075</v>
      </c>
      <c r="I2" s="6">
        <f>IFERROR(H2/G2, 0)</f>
        <v>1.1790066892771321E-2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10336.375</v>
      </c>
      <c r="D4" s="13">
        <v>8889.9349999999995</v>
      </c>
      <c r="E4" s="13">
        <f>IF(AND(ISNUMBER(C4),ISNUMBER(D4)), C4-D4, "")</f>
        <v>1446.4400000000005</v>
      </c>
      <c r="F4" s="14">
        <f>IFERROR(E4/D4, "")</f>
        <v>0.16270535161393201</v>
      </c>
      <c r="G4" s="15">
        <v>11446.07</v>
      </c>
      <c r="H4" s="15">
        <f>IF(AND(ISNUMBER(C4),ISNUMBER(G4)), C4-G4, "")</f>
        <v>-1109.6949999999997</v>
      </c>
      <c r="I4" s="16">
        <f>IFERROR(H4/G4, "")</f>
        <v>-9.6949870130097038E-2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38575.5</v>
      </c>
      <c r="D5" s="19">
        <v>40498.67</v>
      </c>
      <c r="E5" s="19">
        <f t="shared" ref="E5:E14" si="0">IF(AND(ISNUMBER(C5),ISNUMBER(D5)), C5-D5, "")</f>
        <v>-1923.1699999999983</v>
      </c>
      <c r="F5" s="20">
        <f>IFERROR(E5/D5, "")</f>
        <v>-4.74872384698065E-2</v>
      </c>
      <c r="G5" s="21">
        <v>43228.93</v>
      </c>
      <c r="H5" s="21">
        <f t="shared" ref="H5:H14" si="1">IF(AND(ISNUMBER(C5),ISNUMBER(G5)), C5-G5, "")</f>
        <v>-4653.43</v>
      </c>
      <c r="I5" s="20">
        <f t="shared" ref="I5:I14" si="2">IFERROR(H5/G5, "")</f>
        <v>-0.10764619896907003</v>
      </c>
      <c r="J5" s="42"/>
      <c r="K5" s="42"/>
    </row>
    <row r="6" spans="1:11" ht="15.6">
      <c r="A6" s="29" t="str">
        <v>AZ: ASU - Pardee - Macro Tech.</v>
      </c>
      <c r="B6" s="30" t="str">
        <v>AZ</v>
      </c>
      <c r="C6" s="25">
        <v>159318.5</v>
      </c>
      <c r="D6" s="13">
        <v>152391.5</v>
      </c>
      <c r="E6" s="13">
        <f t="shared" si="0"/>
        <v>6927</v>
      </c>
      <c r="F6" s="14">
        <f t="shared" ref="F6:F14" si="3">IFERROR(E6/D6, "")</f>
        <v>4.5455291141566295E-2</v>
      </c>
      <c r="G6" s="15">
        <v>158586.5</v>
      </c>
      <c r="H6" s="15">
        <f t="shared" si="1"/>
        <v>732</v>
      </c>
      <c r="I6" s="16">
        <f t="shared" si="2"/>
        <v>4.6157775094349141E-3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13983.625</v>
      </c>
      <c r="D7" s="19">
        <v>12220.19</v>
      </c>
      <c r="E7" s="19">
        <f t="shared" si="0"/>
        <v>1763.4349999999995</v>
      </c>
      <c r="F7" s="20">
        <f t="shared" si="3"/>
        <v>0.14430503944701345</v>
      </c>
      <c r="G7" s="21">
        <v>15452.68</v>
      </c>
      <c r="H7" s="21">
        <f t="shared" si="1"/>
        <v>-1469.0550000000003</v>
      </c>
      <c r="I7" s="20">
        <f t="shared" si="2"/>
        <v>-9.5067975263837742E-2</v>
      </c>
      <c r="J7" s="42"/>
      <c r="K7" s="43"/>
    </row>
    <row r="8" spans="1:11" ht="15.6">
      <c r="A8" s="29" t="str">
        <v>AZ: NAU - SF Garage</v>
      </c>
      <c r="B8" s="30" t="str">
        <v>AZ</v>
      </c>
      <c r="C8" s="25">
        <v>95855</v>
      </c>
      <c r="D8" s="13">
        <v>93292.369000000006</v>
      </c>
      <c r="E8" s="13">
        <f t="shared" si="0"/>
        <v>2562.6309999999939</v>
      </c>
      <c r="F8" s="14">
        <f t="shared" si="3"/>
        <v>2.7468816876115493E-2</v>
      </c>
      <c r="G8" s="15">
        <v>87917.557000000001</v>
      </c>
      <c r="H8" s="15">
        <f t="shared" si="1"/>
        <v>7937.4429999999993</v>
      </c>
      <c r="I8" s="16">
        <f t="shared" si="2"/>
        <v>9.028279755316676E-2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30431.0625</v>
      </c>
      <c r="D9" s="19">
        <v>28336.31</v>
      </c>
      <c r="E9" s="19">
        <f t="shared" si="0"/>
        <v>2094.7524999999987</v>
      </c>
      <c r="F9" s="20">
        <f t="shared" si="3"/>
        <v>7.3924674737112867E-2</v>
      </c>
      <c r="G9" s="21">
        <v>26741.57</v>
      </c>
      <c r="H9" s="21">
        <f t="shared" si="1"/>
        <v>3689.4925000000003</v>
      </c>
      <c r="I9" s="20">
        <f t="shared" si="2"/>
        <v>0.13796843266868775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42655.875</v>
      </c>
      <c r="D10" s="13">
        <v>37947.769999999997</v>
      </c>
      <c r="E10" s="13">
        <f t="shared" si="0"/>
        <v>4708.1050000000032</v>
      </c>
      <c r="F10" s="14">
        <f t="shared" si="3"/>
        <v>0.12406802823986768</v>
      </c>
      <c r="G10" s="15">
        <v>39596.47</v>
      </c>
      <c r="H10" s="15">
        <f t="shared" si="1"/>
        <v>3059.4049999999988</v>
      </c>
      <c r="I10" s="16">
        <f t="shared" si="2"/>
        <v>7.7264589494972627E-2</v>
      </c>
      <c r="J10" s="17" t="s">
        <v>43</v>
      </c>
      <c r="K10" s="17" t="s">
        <v>44</v>
      </c>
    </row>
    <row r="11" spans="1:11" ht="15.6">
      <c r="A11" s="31" t="str">
        <v>AZ: ASU - Pardee - Parking Lot 41</v>
      </c>
      <c r="B11" s="32" t="str">
        <v>AZ</v>
      </c>
      <c r="C11" s="11">
        <v>37998.4375</v>
      </c>
      <c r="D11" s="19">
        <v>33340.199999999997</v>
      </c>
      <c r="E11" s="19">
        <f t="shared" si="0"/>
        <v>4658.2375000000029</v>
      </c>
      <c r="F11" s="20">
        <f t="shared" si="3"/>
        <v>0.1397183430213377</v>
      </c>
      <c r="G11" s="21">
        <v>38716.080000000002</v>
      </c>
      <c r="H11" s="21">
        <f t="shared" si="1"/>
        <v>-717.64250000000175</v>
      </c>
      <c r="I11" s="20">
        <f t="shared" si="2"/>
        <v>-1.853603205696449E-2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38145.875</v>
      </c>
      <c r="D12" s="13">
        <v>33222.99</v>
      </c>
      <c r="E12" s="13">
        <f t="shared" si="0"/>
        <v>4922.885000000002</v>
      </c>
      <c r="F12" s="14">
        <f t="shared" si="3"/>
        <v>0.14817706052345084</v>
      </c>
      <c r="G12" s="15">
        <v>39958.080000000002</v>
      </c>
      <c r="H12" s="15">
        <f t="shared" si="1"/>
        <v>-1812.2050000000017</v>
      </c>
      <c r="I12" s="16">
        <f t="shared" si="2"/>
        <v>-4.5352654582001981E-2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42865.25</v>
      </c>
      <c r="D13" s="19">
        <v>36282.89</v>
      </c>
      <c r="E13" s="19">
        <f t="shared" si="0"/>
        <v>6582.3600000000006</v>
      </c>
      <c r="F13" s="20">
        <f t="shared" si="3"/>
        <v>0.18141774263296007</v>
      </c>
      <c r="G13" s="21">
        <v>43704.33</v>
      </c>
      <c r="H13" s="21">
        <f t="shared" si="1"/>
        <v>-839.08000000000175</v>
      </c>
      <c r="I13" s="20">
        <f t="shared" si="2"/>
        <v>-1.9199013003974703E-2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43461</v>
      </c>
      <c r="D14" s="13">
        <v>38408.46</v>
      </c>
      <c r="E14" s="13">
        <f t="shared" si="0"/>
        <v>5052.5400000000009</v>
      </c>
      <c r="F14" s="14">
        <f t="shared" si="3"/>
        <v>0.13154758092357779</v>
      </c>
      <c r="G14" s="15">
        <v>41827</v>
      </c>
      <c r="H14" s="15">
        <f t="shared" si="1"/>
        <v>1634</v>
      </c>
      <c r="I14" s="16">
        <f t="shared" si="2"/>
        <v>3.9065675281516721E-2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A4" sqref="A4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45</v>
      </c>
      <c r="E1" s="56"/>
      <c r="F1" s="56"/>
      <c r="G1" s="54" t="s">
        <v>46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584242</v>
      </c>
      <c r="D2" s="5">
        <f>SUM(D4:D86)</f>
        <v>546539.43499999994</v>
      </c>
      <c r="E2" s="5">
        <f>C2-D2</f>
        <v>37702.565000000061</v>
      </c>
      <c r="F2" s="6">
        <f>IFERROR(E2/D2, 0)</f>
        <v>6.8984162140102598E-2</v>
      </c>
      <c r="G2" s="5">
        <f>SUM(G4:G86)</f>
        <v>614447.549</v>
      </c>
      <c r="H2" s="7">
        <f>C2-G2</f>
        <v>-30205.548999999999</v>
      </c>
      <c r="I2" s="6">
        <f>IFERROR(H2/G2, 0)</f>
        <v>-4.9158872956949491E-2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10966.125</v>
      </c>
      <c r="D4" s="13">
        <v>9032.2549999999992</v>
      </c>
      <c r="E4" s="13">
        <f>IF(AND(ISNUMBER(C4),ISNUMBER(D4)), C4-D4, "")</f>
        <v>1933.8700000000008</v>
      </c>
      <c r="F4" s="14">
        <f>IFERROR(E4/D4, "")</f>
        <v>0.21410710835776903</v>
      </c>
      <c r="G4" s="15">
        <v>12566.22</v>
      </c>
      <c r="H4" s="15">
        <f>IF(AND(ISNUMBER(C4),ISNUMBER(G4)), C4-G4, "")</f>
        <v>-1600.0949999999993</v>
      </c>
      <c r="I4" s="16">
        <f>IFERROR(H4/G4, "")</f>
        <v>-0.12733304048472807</v>
      </c>
      <c r="J4" s="17"/>
      <c r="K4" s="17"/>
    </row>
    <row r="5" spans="1:11" ht="28.9">
      <c r="A5" s="31" t="str">
        <v>AZ: ASU - Pardee - Farrington</v>
      </c>
      <c r="B5" s="32" t="str">
        <v>AZ</v>
      </c>
      <c r="C5" s="11">
        <v>35131.75</v>
      </c>
      <c r="D5" s="19">
        <v>43013.36</v>
      </c>
      <c r="E5" s="19">
        <f t="shared" ref="E5:E14" si="0">IF(AND(ISNUMBER(C5),ISNUMBER(D5)), C5-D5, "")</f>
        <v>-7881.6100000000006</v>
      </c>
      <c r="F5" s="20">
        <f>IFERROR(E5/D5, "")</f>
        <v>-0.18323632471399584</v>
      </c>
      <c r="G5" s="21">
        <v>47795.39</v>
      </c>
      <c r="H5" s="21">
        <f t="shared" ref="H5:H14" si="1">IF(AND(ISNUMBER(C5),ISNUMBER(G5)), C5-G5, "")</f>
        <v>-12663.64</v>
      </c>
      <c r="I5" s="20">
        <f t="shared" ref="I5:I14" si="2">IFERROR(H5/G5, "")</f>
        <v>-0.2649552603295004</v>
      </c>
      <c r="J5" s="50" t="s">
        <v>47</v>
      </c>
      <c r="K5" s="52" t="s">
        <v>48</v>
      </c>
    </row>
    <row r="6" spans="1:11" ht="28.9">
      <c r="A6" s="29" t="str">
        <v>AZ: ASU - Pardee - Macro Tech.</v>
      </c>
      <c r="B6" s="30" t="str">
        <v>AZ</v>
      </c>
      <c r="C6" s="25">
        <v>167658.875</v>
      </c>
      <c r="D6" s="13">
        <v>161980.4</v>
      </c>
      <c r="E6" s="13">
        <f t="shared" si="0"/>
        <v>5678.4750000000058</v>
      </c>
      <c r="F6" s="14">
        <f t="shared" ref="F6:F14" si="3">IFERROR(E6/D6, "")</f>
        <v>3.5056556225321125E-2</v>
      </c>
      <c r="G6" s="15">
        <v>172647.9</v>
      </c>
      <c r="H6" s="15">
        <f t="shared" si="1"/>
        <v>-4989.0249999999942</v>
      </c>
      <c r="I6" s="16">
        <f t="shared" si="2"/>
        <v>-2.8897107928911932E-2</v>
      </c>
      <c r="J6" s="17" t="s">
        <v>49</v>
      </c>
      <c r="K6" s="17" t="s">
        <v>50</v>
      </c>
    </row>
    <row r="7" spans="1:11" ht="15.6">
      <c r="A7" s="31" t="str">
        <v>AZ: ASU - Pardee - McCord Hall</v>
      </c>
      <c r="B7" s="32" t="str">
        <v>AZ</v>
      </c>
      <c r="C7" s="11">
        <v>14700.25</v>
      </c>
      <c r="D7" s="19">
        <v>13602.63</v>
      </c>
      <c r="E7" s="19">
        <f t="shared" si="0"/>
        <v>1097.6200000000008</v>
      </c>
      <c r="F7" s="20">
        <f t="shared" si="3"/>
        <v>8.0691748580973013E-2</v>
      </c>
      <c r="G7" s="21">
        <v>16964.45</v>
      </c>
      <c r="H7" s="21">
        <f t="shared" si="1"/>
        <v>-2264.2000000000007</v>
      </c>
      <c r="I7" s="20">
        <f t="shared" si="2"/>
        <v>-0.13346733905313762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111753</v>
      </c>
      <c r="D8" s="13">
        <v>102747.23</v>
      </c>
      <c r="E8" s="13">
        <f t="shared" si="0"/>
        <v>9005.7700000000041</v>
      </c>
      <c r="F8" s="14">
        <f t="shared" si="3"/>
        <v>8.7649759511764985E-2</v>
      </c>
      <c r="G8" s="15">
        <v>105502.25900000001</v>
      </c>
      <c r="H8" s="15">
        <f t="shared" si="1"/>
        <v>6250.7409999999945</v>
      </c>
      <c r="I8" s="16">
        <f t="shared" si="2"/>
        <v>5.9247461232085984E-2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31725.75</v>
      </c>
      <c r="D9" s="19">
        <v>31574.55</v>
      </c>
      <c r="E9" s="19">
        <f t="shared" si="0"/>
        <v>151.20000000000073</v>
      </c>
      <c r="F9" s="20">
        <f t="shared" si="3"/>
        <v>4.7886668218549665E-3</v>
      </c>
      <c r="G9" s="21">
        <v>31935.57</v>
      </c>
      <c r="H9" s="21">
        <f t="shared" si="1"/>
        <v>-209.81999999999971</v>
      </c>
      <c r="I9" s="20">
        <f t="shared" si="2"/>
        <v>-6.5701034927511774E-3</v>
      </c>
      <c r="J9" s="42" t="s">
        <v>51</v>
      </c>
      <c r="K9" s="52" t="s">
        <v>52</v>
      </c>
    </row>
    <row r="10" spans="1:11" ht="15.6">
      <c r="A10" s="29" t="str">
        <v>AZ: ASU - Pardee - Parking Lot 19</v>
      </c>
      <c r="B10" s="30" t="str">
        <v>AZ</v>
      </c>
      <c r="C10" s="25">
        <v>40541.75</v>
      </c>
      <c r="D10" s="13">
        <v>37630.74</v>
      </c>
      <c r="E10" s="13">
        <f t="shared" si="0"/>
        <v>2911.010000000002</v>
      </c>
      <c r="F10" s="14">
        <f t="shared" si="3"/>
        <v>7.7357235068988867E-2</v>
      </c>
      <c r="G10" s="15">
        <v>47289.36</v>
      </c>
      <c r="H10" s="15">
        <f t="shared" si="1"/>
        <v>-6747.6100000000006</v>
      </c>
      <c r="I10" s="16">
        <f t="shared" si="2"/>
        <v>-0.14268769972780349</v>
      </c>
      <c r="J10" s="17" t="s">
        <v>53</v>
      </c>
      <c r="K10" s="17" t="s">
        <v>44</v>
      </c>
    </row>
    <row r="11" spans="1:11" ht="15.6">
      <c r="A11" s="31" t="str">
        <v>AZ: ASU - Pardee - Parking Lot 41</v>
      </c>
      <c r="B11" s="32" t="str">
        <v>AZ</v>
      </c>
      <c r="C11" s="11">
        <v>40387.75</v>
      </c>
      <c r="D11" s="19">
        <v>35002.89</v>
      </c>
      <c r="E11" s="19">
        <f t="shared" si="0"/>
        <v>5384.8600000000006</v>
      </c>
      <c r="F11" s="20">
        <f t="shared" si="3"/>
        <v>0.15384044003223735</v>
      </c>
      <c r="G11" s="21">
        <v>42806.31</v>
      </c>
      <c r="H11" s="21">
        <f t="shared" si="1"/>
        <v>-2418.5599999999977</v>
      </c>
      <c r="I11" s="20">
        <f t="shared" si="2"/>
        <v>-5.6500081413230846E-2</v>
      </c>
      <c r="J11" s="10"/>
      <c r="K11" s="18"/>
    </row>
    <row r="12" spans="1:11" ht="28.9">
      <c r="A12" s="29" t="str">
        <v>AZ: ASU - Pardee - Parking Lot 58</v>
      </c>
      <c r="B12" s="30" t="str">
        <v>AZ</v>
      </c>
      <c r="C12" s="25">
        <v>39734.25</v>
      </c>
      <c r="D12" s="13">
        <v>33905.279999999999</v>
      </c>
      <c r="E12" s="13">
        <f t="shared" si="0"/>
        <v>5828.9700000000012</v>
      </c>
      <c r="F12" s="14">
        <f t="shared" si="3"/>
        <v>0.17191924089699306</v>
      </c>
      <c r="G12" s="15">
        <v>43866.59</v>
      </c>
      <c r="H12" s="15">
        <f t="shared" si="1"/>
        <v>-4132.3399999999965</v>
      </c>
      <c r="I12" s="16">
        <f t="shared" si="2"/>
        <v>-9.4202444274788549E-2</v>
      </c>
      <c r="J12" s="17" t="s">
        <v>54</v>
      </c>
      <c r="K12" s="17" t="s">
        <v>55</v>
      </c>
    </row>
    <row r="13" spans="1:11" ht="15.6">
      <c r="A13" s="31" t="str">
        <v>AZ: ASU - Pardee - Parking Lot 59S</v>
      </c>
      <c r="B13" s="32" t="str">
        <v>AZ</v>
      </c>
      <c r="C13" s="11">
        <v>45335</v>
      </c>
      <c r="D13" s="19">
        <v>37022.39</v>
      </c>
      <c r="E13" s="19">
        <f t="shared" si="0"/>
        <v>8312.61</v>
      </c>
      <c r="F13" s="20">
        <f t="shared" si="3"/>
        <v>0.22452926458826675</v>
      </c>
      <c r="G13" s="21">
        <v>47979.5</v>
      </c>
      <c r="H13" s="21">
        <f t="shared" si="1"/>
        <v>-2644.5</v>
      </c>
      <c r="I13" s="20">
        <f t="shared" si="2"/>
        <v>-5.5117289675799042E-2</v>
      </c>
      <c r="J13" s="49"/>
      <c r="K13" s="43"/>
    </row>
    <row r="14" spans="1:11" ht="15.6">
      <c r="A14" s="29" t="str">
        <v>AZ: ASU - Pardee - Sun Devil Complex</v>
      </c>
      <c r="B14" s="30" t="str">
        <v>AZ</v>
      </c>
      <c r="C14" s="25">
        <v>46307.5</v>
      </c>
      <c r="D14" s="13">
        <v>41027.71</v>
      </c>
      <c r="E14" s="13">
        <f t="shared" si="0"/>
        <v>5279.7900000000009</v>
      </c>
      <c r="F14" s="14">
        <f t="shared" si="3"/>
        <v>0.12868839133356458</v>
      </c>
      <c r="G14" s="15">
        <v>45094</v>
      </c>
      <c r="H14" s="15">
        <f t="shared" si="1"/>
        <v>1213.5</v>
      </c>
      <c r="I14" s="16">
        <f t="shared" si="2"/>
        <v>2.6910453718898303E-2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8"/>
  <sheetViews>
    <sheetView view="pageBreakPreview" zoomScaleNormal="100" zoomScaleSheetLayoutView="100" workbookViewId="0">
      <pane ySplit="2" topLeftCell="A3" activePane="bottomLeft" state="frozen"/>
      <selection pane="bottomLeft" activeCell="J10" sqref="J10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56</v>
      </c>
      <c r="E1" s="56"/>
      <c r="F1" s="56"/>
      <c r="G1" s="54" t="s">
        <v>57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448239.25</v>
      </c>
      <c r="D2" s="5">
        <f>SUM(D4:D86)</f>
        <v>457581.94800000003</v>
      </c>
      <c r="E2" s="5">
        <f>C2-D2</f>
        <v>-9342.6980000000331</v>
      </c>
      <c r="F2" s="6">
        <f>IFERROR(E2/D2, 0)</f>
        <v>-2.0417540597558785E-2</v>
      </c>
      <c r="G2" s="5">
        <f>SUM(G4:G86)</f>
        <v>593196.94299999997</v>
      </c>
      <c r="H2" s="7">
        <f>C2-G2</f>
        <v>-144957.69299999997</v>
      </c>
      <c r="I2" s="6">
        <f>IFERROR(H2/G2, 0)</f>
        <v>-0.24436689148615517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28.9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9770.375</v>
      </c>
      <c r="D4" s="13">
        <v>4516.6959999999999</v>
      </c>
      <c r="E4" s="13">
        <f>IF(AND(ISNUMBER(C4),ISNUMBER(D4)), C4-D4, "")</f>
        <v>5253.6790000000001</v>
      </c>
      <c r="F4" s="14">
        <f>IFERROR(E4/D4, "")</f>
        <v>1.163168608203873</v>
      </c>
      <c r="G4" s="15">
        <v>11909.56</v>
      </c>
      <c r="H4" s="15">
        <f>IF(AND(ISNUMBER(C4),ISNUMBER(G4)), C4-G4, "")</f>
        <v>-2139.1849999999995</v>
      </c>
      <c r="I4" s="16">
        <f>IFERROR(H4/G4, "")</f>
        <v>-0.1796191462992755</v>
      </c>
      <c r="J4" s="53" t="s">
        <v>58</v>
      </c>
      <c r="K4" s="53" t="s">
        <v>59</v>
      </c>
    </row>
    <row r="5" spans="1:11" ht="15.6">
      <c r="A5" s="31" t="str">
        <v>AZ: ASU - Pardee - Farrington</v>
      </c>
      <c r="B5" s="32" t="str">
        <v>AZ</v>
      </c>
      <c r="C5" s="11">
        <v>19585</v>
      </c>
      <c r="D5" s="19">
        <v>38134.660000000003</v>
      </c>
      <c r="E5" s="19">
        <f t="shared" ref="E5:E14" si="0">IF(AND(ISNUMBER(C5),ISNUMBER(D5)), C5-D5, "")</f>
        <v>-18549.660000000003</v>
      </c>
      <c r="F5" s="20">
        <f>IFERROR(E5/D5, "")</f>
        <v>-0.48642521003202865</v>
      </c>
      <c r="G5" s="21">
        <v>45433.81</v>
      </c>
      <c r="H5" s="21">
        <f t="shared" ref="H5:H14" si="1">IF(AND(ISNUMBER(C5),ISNUMBER(G5)), C5-G5, "")</f>
        <v>-25848.809999999998</v>
      </c>
      <c r="I5" s="20">
        <f t="shared" ref="I5:I14" si="2">IFERROR(H5/G5, "")</f>
        <v>-0.56893335601834838</v>
      </c>
      <c r="J5" s="52" t="s">
        <v>60</v>
      </c>
      <c r="K5" s="52" t="s">
        <v>61</v>
      </c>
    </row>
    <row r="6" spans="1:11" ht="28.9">
      <c r="A6" s="29" t="str">
        <v>AZ: ASU - Pardee - Macro Tech.</v>
      </c>
      <c r="B6" s="30" t="str">
        <v>AZ</v>
      </c>
      <c r="C6" s="25">
        <v>144199.375</v>
      </c>
      <c r="D6" s="13">
        <v>143171.5</v>
      </c>
      <c r="E6" s="13">
        <f t="shared" si="0"/>
        <v>1027.875</v>
      </c>
      <c r="F6" s="14">
        <f t="shared" ref="F6:F14" si="3">IFERROR(E6/D6, "")</f>
        <v>7.179326891175967E-3</v>
      </c>
      <c r="G6" s="15">
        <v>168753.3</v>
      </c>
      <c r="H6" s="15">
        <f t="shared" si="1"/>
        <v>-24553.924999999988</v>
      </c>
      <c r="I6" s="16">
        <f t="shared" si="2"/>
        <v>-0.14550189537034233</v>
      </c>
      <c r="J6" s="53" t="s">
        <v>62</v>
      </c>
      <c r="K6" s="53" t="s">
        <v>50</v>
      </c>
    </row>
    <row r="7" spans="1:11" ht="15.6">
      <c r="A7" s="31" t="str">
        <v>AZ: ASU - Pardee - McCord Hall</v>
      </c>
      <c r="B7" s="32" t="str">
        <v>AZ</v>
      </c>
      <c r="C7" s="11">
        <v>13050</v>
      </c>
      <c r="D7" s="19">
        <v>12457.43</v>
      </c>
      <c r="E7" s="19">
        <f t="shared" si="0"/>
        <v>592.56999999999971</v>
      </c>
      <c r="F7" s="20">
        <f t="shared" si="3"/>
        <v>4.7567596205637899E-2</v>
      </c>
      <c r="G7" s="21">
        <v>16077.57</v>
      </c>
      <c r="H7" s="21">
        <f t="shared" si="1"/>
        <v>-3027.5699999999997</v>
      </c>
      <c r="I7" s="20">
        <f t="shared" si="2"/>
        <v>-0.18831017373894188</v>
      </c>
      <c r="J7" s="52"/>
      <c r="K7" s="51"/>
    </row>
    <row r="8" spans="1:11" ht="15.6">
      <c r="A8" s="29" t="str">
        <v>AZ: NAU - SF Garage</v>
      </c>
      <c r="B8" s="30" t="str">
        <v>AZ</v>
      </c>
      <c r="C8" s="25">
        <v>104736</v>
      </c>
      <c r="D8" s="13">
        <v>95074.532000000007</v>
      </c>
      <c r="E8" s="13">
        <f t="shared" si="0"/>
        <v>9661.4679999999935</v>
      </c>
      <c r="F8" s="14">
        <f t="shared" si="3"/>
        <v>0.1016199375033473</v>
      </c>
      <c r="G8" s="15">
        <v>101655.62300000001</v>
      </c>
      <c r="H8" s="15">
        <f t="shared" si="1"/>
        <v>3080.3769999999931</v>
      </c>
      <c r="I8" s="16">
        <f t="shared" si="2"/>
        <v>3.0302081764822717E-2</v>
      </c>
      <c r="J8" s="53"/>
      <c r="K8" s="53"/>
    </row>
    <row r="9" spans="1:11" ht="15.6">
      <c r="A9" s="31" t="str">
        <v>AZ: ASU - Pardee - Parking Lot 11</v>
      </c>
      <c r="B9" s="32" t="str">
        <v>AZ</v>
      </c>
      <c r="C9" s="11">
        <v>26489.0625</v>
      </c>
      <c r="D9" s="19">
        <v>28266.53</v>
      </c>
      <c r="E9" s="19">
        <f t="shared" si="0"/>
        <v>-1777.4674999999988</v>
      </c>
      <c r="F9" s="20">
        <f t="shared" si="3"/>
        <v>-6.2882408983345281E-2</v>
      </c>
      <c r="G9" s="21">
        <v>31307.29</v>
      </c>
      <c r="H9" s="21">
        <f t="shared" si="1"/>
        <v>-4818.2275000000009</v>
      </c>
      <c r="I9" s="20">
        <f t="shared" si="2"/>
        <v>-0.15390113612516448</v>
      </c>
      <c r="J9" s="52"/>
      <c r="K9" s="51"/>
    </row>
    <row r="10" spans="1:11" ht="15.6">
      <c r="A10" s="29" t="str">
        <v>AZ: ASU - Pardee - Parking Lot 19</v>
      </c>
      <c r="B10" s="30" t="str">
        <v>AZ</v>
      </c>
      <c r="C10" s="25">
        <v>35789.125</v>
      </c>
      <c r="D10" s="13">
        <v>33076.949999999997</v>
      </c>
      <c r="E10" s="13">
        <f t="shared" si="0"/>
        <v>2712.1750000000029</v>
      </c>
      <c r="F10" s="14">
        <f t="shared" si="3"/>
        <v>8.1995921631226668E-2</v>
      </c>
      <c r="G10" s="15">
        <v>46358.75</v>
      </c>
      <c r="H10" s="15">
        <f t="shared" si="1"/>
        <v>-10569.625</v>
      </c>
      <c r="I10" s="16">
        <f t="shared" si="2"/>
        <v>-0.2279963329468547</v>
      </c>
      <c r="J10" s="53" t="s">
        <v>53</v>
      </c>
      <c r="K10" s="53" t="s">
        <v>44</v>
      </c>
    </row>
    <row r="11" spans="1:11" ht="15.6">
      <c r="A11" s="31" t="str">
        <v>AZ: ASU - Pardee - Parking Lot 41</v>
      </c>
      <c r="B11" s="32" t="str">
        <v>AZ</v>
      </c>
      <c r="C11" s="11">
        <v>35659.0625</v>
      </c>
      <c r="D11" s="19">
        <v>31346.92</v>
      </c>
      <c r="E11" s="19">
        <f t="shared" si="0"/>
        <v>4312.1425000000017</v>
      </c>
      <c r="F11" s="20">
        <f t="shared" si="3"/>
        <v>0.13756191995896253</v>
      </c>
      <c r="G11" s="21">
        <v>40691.57</v>
      </c>
      <c r="H11" s="21">
        <f t="shared" si="1"/>
        <v>-5032.5074999999997</v>
      </c>
      <c r="I11" s="20">
        <f t="shared" si="2"/>
        <v>-0.12367444903207224</v>
      </c>
      <c r="J11" s="52"/>
      <c r="K11" s="51"/>
    </row>
    <row r="12" spans="1:11" ht="43.15">
      <c r="A12" s="29" t="str">
        <v>AZ: ASU - Pardee - Parking Lot 58</v>
      </c>
      <c r="B12" s="30" t="str">
        <v>AZ</v>
      </c>
      <c r="C12" s="25">
        <v>8368</v>
      </c>
      <c r="D12" s="13">
        <v>17003.2</v>
      </c>
      <c r="E12" s="13">
        <f t="shared" si="0"/>
        <v>-8635.2000000000007</v>
      </c>
      <c r="F12" s="14">
        <f t="shared" si="3"/>
        <v>-0.50785734449985886</v>
      </c>
      <c r="G12" s="15">
        <v>41574.120000000003</v>
      </c>
      <c r="H12" s="15">
        <f t="shared" si="1"/>
        <v>-33206.120000000003</v>
      </c>
      <c r="I12" s="16">
        <f t="shared" si="2"/>
        <v>-0.79872093504324326</v>
      </c>
      <c r="J12" s="53" t="s">
        <v>63</v>
      </c>
      <c r="K12" s="53" t="s">
        <v>64</v>
      </c>
    </row>
    <row r="13" spans="1:11" ht="15.6">
      <c r="A13" s="31" t="str">
        <v>AZ: ASU - Pardee - Parking Lot 59S</v>
      </c>
      <c r="B13" s="32" t="str">
        <v>AZ</v>
      </c>
      <c r="C13" s="11">
        <v>16638.75</v>
      </c>
      <c r="D13" s="19">
        <v>18564.14</v>
      </c>
      <c r="E13" s="19">
        <f t="shared" si="0"/>
        <v>-1925.3899999999994</v>
      </c>
      <c r="F13" s="20">
        <f t="shared" si="3"/>
        <v>-0.10371555051836495</v>
      </c>
      <c r="G13" s="21">
        <v>45472.35</v>
      </c>
      <c r="H13" s="21">
        <f t="shared" si="1"/>
        <v>-28833.599999999999</v>
      </c>
      <c r="I13" s="20">
        <f t="shared" si="2"/>
        <v>-0.6340908266232117</v>
      </c>
      <c r="J13" s="52" t="s">
        <v>65</v>
      </c>
      <c r="K13" s="52" t="s">
        <v>66</v>
      </c>
    </row>
    <row r="14" spans="1:11" ht="15.6">
      <c r="A14" s="29" t="str">
        <v>AZ: ASU - Pardee - Sun Devil Complex</v>
      </c>
      <c r="B14" s="30" t="str">
        <v>AZ</v>
      </c>
      <c r="C14" s="25">
        <v>33954.5</v>
      </c>
      <c r="D14" s="13">
        <v>35969.39</v>
      </c>
      <c r="E14" s="13">
        <f t="shared" si="0"/>
        <v>-2014.8899999999994</v>
      </c>
      <c r="F14" s="14">
        <f t="shared" si="3"/>
        <v>-5.6016796503916229E-2</v>
      </c>
      <c r="G14" s="15">
        <v>43963</v>
      </c>
      <c r="H14" s="15">
        <f t="shared" si="1"/>
        <v>-10008.5</v>
      </c>
      <c r="I14" s="16">
        <f t="shared" si="2"/>
        <v>-0.22765734822464345</v>
      </c>
      <c r="J14" s="53" t="s">
        <v>67</v>
      </c>
      <c r="K14" s="53" t="s">
        <v>68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ySplit="2" topLeftCell="A3" activePane="bottomLeft" state="frozen"/>
      <selection pane="bottomLeft" activeCell="J23" sqref="J23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69</v>
      </c>
      <c r="E1" s="56"/>
      <c r="F1" s="56"/>
      <c r="G1" s="54" t="s">
        <v>70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512535.98199329991</v>
      </c>
      <c r="D2" s="5">
        <f>SUM(D4:D86)</f>
        <v>485896.98700000002</v>
      </c>
      <c r="E2" s="5">
        <f>C2-D2</f>
        <v>26638.994993299886</v>
      </c>
      <c r="F2" s="6">
        <f>IFERROR(E2/D2, 0)</f>
        <v>5.4824367522369272E-2</v>
      </c>
      <c r="G2" s="5">
        <f>SUM(G4:G86)</f>
        <v>572677.33600000001</v>
      </c>
      <c r="H2" s="7">
        <f>C2-G2</f>
        <v>-60141.354006700101</v>
      </c>
      <c r="I2" s="6">
        <f>IFERROR(H2/G2, 0)</f>
        <v>-0.10501786996980111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10142.625</v>
      </c>
      <c r="D4" s="13">
        <v>7734.6859999999997</v>
      </c>
      <c r="E4" s="13">
        <f>IF(AND(ISNUMBER(C4),ISNUMBER(D4)), C4-D4, "")</f>
        <v>2407.9390000000003</v>
      </c>
      <c r="F4" s="14">
        <f>IFERROR(E4/D4, "")</f>
        <v>0.31131696878192605</v>
      </c>
      <c r="G4" s="15">
        <v>11791.02</v>
      </c>
      <c r="H4" s="15">
        <f>IF(AND(ISNUMBER(C4),ISNUMBER(G4)), C4-G4, "")</f>
        <v>-1648.3950000000004</v>
      </c>
      <c r="I4" s="16">
        <f>IFERROR(H4/G4, "")</f>
        <v>-0.13980088236641108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20996.75</v>
      </c>
      <c r="D5" s="19">
        <v>39025.89</v>
      </c>
      <c r="E5" s="19">
        <f t="shared" ref="E5:E14" si="0">IF(AND(ISNUMBER(C5),ISNUMBER(D5)), C5-D5, "")</f>
        <v>-18029.14</v>
      </c>
      <c r="F5" s="20">
        <f>IFERROR(E5/D5, "")</f>
        <v>-0.46197895807116762</v>
      </c>
      <c r="G5" s="21">
        <v>44877.71</v>
      </c>
      <c r="H5" s="21">
        <f t="shared" ref="H5:H14" si="1">IF(AND(ISNUMBER(C5),ISNUMBER(G5)), C5-G5, "")</f>
        <v>-23880.959999999999</v>
      </c>
      <c r="I5" s="20">
        <f t="shared" ref="I5:I14" si="2">IFERROR(H5/G5, "")</f>
        <v>-0.53213410399060024</v>
      </c>
      <c r="J5" s="42" t="s">
        <v>71</v>
      </c>
      <c r="K5" s="43" t="s">
        <v>72</v>
      </c>
    </row>
    <row r="6" spans="1:11" ht="15.6">
      <c r="A6" s="29" t="str">
        <v>AZ: ASU - Pardee - Macro Tech.</v>
      </c>
      <c r="B6" s="30" t="str">
        <v>AZ</v>
      </c>
      <c r="C6" s="25">
        <v>147929.125</v>
      </c>
      <c r="D6" s="13">
        <v>145331.6</v>
      </c>
      <c r="E6" s="13">
        <f t="shared" si="0"/>
        <v>2597.5249999999942</v>
      </c>
      <c r="F6" s="14">
        <f t="shared" ref="F6:F14" si="3">IFERROR(E6/D6, "")</f>
        <v>1.787309160567966E-2</v>
      </c>
      <c r="G6" s="15">
        <v>160233.79999999999</v>
      </c>
      <c r="H6" s="15">
        <f t="shared" si="1"/>
        <v>-12304.674999999988</v>
      </c>
      <c r="I6" s="16">
        <f t="shared" si="2"/>
        <v>-7.6792006430603216E-2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13561.125</v>
      </c>
      <c r="D7" s="19">
        <v>12416.25</v>
      </c>
      <c r="E7" s="19">
        <f t="shared" si="0"/>
        <v>1144.875</v>
      </c>
      <c r="F7" s="20">
        <f t="shared" si="3"/>
        <v>9.2207792207792211E-2</v>
      </c>
      <c r="G7" s="21">
        <v>15917.83</v>
      </c>
      <c r="H7" s="21">
        <f t="shared" si="1"/>
        <v>-2356.7049999999999</v>
      </c>
      <c r="I7" s="20">
        <f t="shared" si="2"/>
        <v>-0.14805441445222117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98848</v>
      </c>
      <c r="D8" s="13">
        <v>89198.010999999999</v>
      </c>
      <c r="E8" s="13">
        <f t="shared" si="0"/>
        <v>9649.9890000000014</v>
      </c>
      <c r="F8" s="14">
        <f t="shared" si="3"/>
        <v>0.10818614554084621</v>
      </c>
      <c r="G8" s="15">
        <v>96511.966</v>
      </c>
      <c r="H8" s="15">
        <f t="shared" si="1"/>
        <v>2336.0339999999997</v>
      </c>
      <c r="I8" s="16">
        <f t="shared" si="2"/>
        <v>2.4204604846615595E-2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26701.8125</v>
      </c>
      <c r="D9" s="19">
        <v>28585.14</v>
      </c>
      <c r="E9" s="19">
        <f t="shared" si="0"/>
        <v>-1883.3274999999994</v>
      </c>
      <c r="F9" s="20">
        <f t="shared" si="3"/>
        <v>-6.5884844363190087E-2</v>
      </c>
      <c r="G9" s="21">
        <v>30252.34</v>
      </c>
      <c r="H9" s="21">
        <f t="shared" si="1"/>
        <v>-3550.5275000000001</v>
      </c>
      <c r="I9" s="20">
        <f t="shared" si="2"/>
        <v>-0.11736373120228055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37506</v>
      </c>
      <c r="D10" s="13">
        <v>33970.639999999999</v>
      </c>
      <c r="E10" s="13">
        <f t="shared" si="0"/>
        <v>3535.3600000000006</v>
      </c>
      <c r="F10" s="14">
        <f t="shared" si="3"/>
        <v>0.10407104487875414</v>
      </c>
      <c r="G10" s="15">
        <v>44794.89</v>
      </c>
      <c r="H10" s="15">
        <f t="shared" si="1"/>
        <v>-7288.8899999999994</v>
      </c>
      <c r="I10" s="16">
        <f t="shared" si="2"/>
        <v>-0.16271699740751677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37553.125</v>
      </c>
      <c r="D11" s="19">
        <v>31974.85</v>
      </c>
      <c r="E11" s="19">
        <f t="shared" si="0"/>
        <v>5578.2750000000015</v>
      </c>
      <c r="F11" s="20">
        <f t="shared" si="3"/>
        <v>0.1744582069970618</v>
      </c>
      <c r="G11" s="21">
        <v>40193.279999999999</v>
      </c>
      <c r="H11" s="21">
        <f t="shared" si="1"/>
        <v>-2640.1549999999988</v>
      </c>
      <c r="I11" s="20">
        <f t="shared" si="2"/>
        <v>-6.5686477938600649E-2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37213.419493299902</v>
      </c>
      <c r="D12" s="13">
        <v>29070.91</v>
      </c>
      <c r="E12" s="13">
        <f t="shared" si="0"/>
        <v>8142.5094932999018</v>
      </c>
      <c r="F12" s="14">
        <f t="shared" si="3"/>
        <v>0.28009131786035946</v>
      </c>
      <c r="G12" s="15">
        <v>41160.21</v>
      </c>
      <c r="H12" s="15">
        <f t="shared" si="1"/>
        <v>-3946.7905067000975</v>
      </c>
      <c r="I12" s="16">
        <f t="shared" si="2"/>
        <v>-9.5888492957156859E-2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40023</v>
      </c>
      <c r="D13" s="19">
        <v>31740.21</v>
      </c>
      <c r="E13" s="19">
        <f t="shared" si="0"/>
        <v>8282.7900000000009</v>
      </c>
      <c r="F13" s="20">
        <f t="shared" si="3"/>
        <v>0.26095574036844749</v>
      </c>
      <c r="G13" s="21">
        <v>45019.29</v>
      </c>
      <c r="H13" s="21">
        <f t="shared" si="1"/>
        <v>-4996.2900000000009</v>
      </c>
      <c r="I13" s="20">
        <f t="shared" si="2"/>
        <v>-0.11098109277156527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42061</v>
      </c>
      <c r="D14" s="13">
        <v>36848.800000000003</v>
      </c>
      <c r="E14" s="13">
        <f t="shared" si="0"/>
        <v>5212.1999999999971</v>
      </c>
      <c r="F14" s="14">
        <f t="shared" si="3"/>
        <v>0.14144829682377708</v>
      </c>
      <c r="G14" s="15">
        <v>41925</v>
      </c>
      <c r="H14" s="15">
        <f t="shared" si="1"/>
        <v>136</v>
      </c>
      <c r="I14" s="16">
        <f t="shared" si="2"/>
        <v>3.2438878950506859E-3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sortState xmlns:xlrd2="http://schemas.microsoft.com/office/spreadsheetml/2017/richdata2" ref="A3:K14">
    <sortCondition ref="A3:A14"/>
  </sortState>
  <mergeCells count="4">
    <mergeCell ref="G1:I1"/>
    <mergeCell ref="A1:C1"/>
    <mergeCell ref="D1:F1"/>
    <mergeCell ref="A2:B2"/>
  </mergeCells>
  <conditionalFormatting sqref="F2 I2 F4:F86 I4:I86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ySplit="2" topLeftCell="A3" activePane="bottomLeft" state="frozen"/>
      <selection pane="bottomLeft" activeCell="J25" sqref="J25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73</v>
      </c>
      <c r="E1" s="56"/>
      <c r="F1" s="56"/>
      <c r="G1" s="54" t="s">
        <v>74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462194.5</v>
      </c>
      <c r="D2" s="5">
        <f>SUM(D4:D86)</f>
        <v>437888.27700000006</v>
      </c>
      <c r="E2" s="5">
        <f>C2-D2</f>
        <v>24306.22299999994</v>
      </c>
      <c r="F2" s="6">
        <f>IFERROR(E2/D2, 0)</f>
        <v>5.5507818493163122E-2</v>
      </c>
      <c r="G2" s="5">
        <f>SUM(G4:G86)</f>
        <v>545326.25399999996</v>
      </c>
      <c r="H2" s="7">
        <f>C2-G2</f>
        <v>-83131.753999999957</v>
      </c>
      <c r="I2" s="6">
        <f>IFERROR(H2/G2, 0)</f>
        <v>-0.15244407066453097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9367</v>
      </c>
      <c r="D4" s="13">
        <v>7701.74</v>
      </c>
      <c r="E4" s="13">
        <f>IF(AND(ISNUMBER(C4),ISNUMBER(D4)), C4-D4, "")</f>
        <v>1665.2600000000002</v>
      </c>
      <c r="F4" s="14">
        <f>IFERROR(E4/D4, "")</f>
        <v>0.21621867266357994</v>
      </c>
      <c r="G4" s="15">
        <v>11221.88</v>
      </c>
      <c r="H4" s="15">
        <f>IF(AND(ISNUMBER(C4),ISNUMBER(G4)), C4-G4, "")</f>
        <v>-1854.8799999999992</v>
      </c>
      <c r="I4" s="16">
        <f>IFERROR(H4/G4, "")</f>
        <v>-0.16529137720239384</v>
      </c>
      <c r="J4" s="17"/>
      <c r="K4" s="17"/>
    </row>
    <row r="5" spans="1:11" ht="32.25">
      <c r="A5" s="31" t="str">
        <v>AZ: ASU - Pardee - Farrington</v>
      </c>
      <c r="B5" s="32" t="str">
        <v>AZ</v>
      </c>
      <c r="C5" s="11">
        <v>12499.25</v>
      </c>
      <c r="D5" s="19">
        <v>25612.81</v>
      </c>
      <c r="E5" s="19">
        <f t="shared" ref="E5:E14" si="0">IF(AND(ISNUMBER(C5),ISNUMBER(D5)), C5-D5, "")</f>
        <v>-13113.560000000001</v>
      </c>
      <c r="F5" s="20">
        <f>IFERROR(E5/D5, "")</f>
        <v>-0.51199224138233956</v>
      </c>
      <c r="G5" s="21">
        <v>42496.22</v>
      </c>
      <c r="H5" s="21">
        <f t="shared" ref="H5:H14" si="1">IF(AND(ISNUMBER(C5),ISNUMBER(G5)), C5-G5, "")</f>
        <v>-29996.97</v>
      </c>
      <c r="I5" s="20">
        <f t="shared" ref="I5:I14" si="2">IFERROR(H5/G5, "")</f>
        <v>-0.70587384007330534</v>
      </c>
      <c r="J5" s="49" t="s">
        <v>75</v>
      </c>
      <c r="K5" s="47" t="s">
        <v>76</v>
      </c>
    </row>
    <row r="6" spans="1:11" ht="15.6">
      <c r="A6" s="29" t="str">
        <v>AZ: ASU - Pardee - Macro Tech.</v>
      </c>
      <c r="B6" s="30" t="str">
        <v>AZ</v>
      </c>
      <c r="C6" s="25">
        <v>136219.625</v>
      </c>
      <c r="D6" s="13">
        <v>133421.20000000001</v>
      </c>
      <c r="E6" s="13">
        <f t="shared" si="0"/>
        <v>2798.4249999999884</v>
      </c>
      <c r="F6" s="14">
        <f t="shared" ref="F6:F14" si="3">IFERROR(E6/D6, "")</f>
        <v>2.0974365393205789E-2</v>
      </c>
      <c r="G6" s="15">
        <v>156355.4</v>
      </c>
      <c r="H6" s="15">
        <f t="shared" si="1"/>
        <v>-20135.774999999994</v>
      </c>
      <c r="I6" s="16">
        <f t="shared" si="2"/>
        <v>-0.12878208875420993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12538.25</v>
      </c>
      <c r="D7" s="19">
        <v>10936.7</v>
      </c>
      <c r="E7" s="19">
        <f t="shared" si="0"/>
        <v>1601.5499999999993</v>
      </c>
      <c r="F7" s="20">
        <f t="shared" si="3"/>
        <v>0.1464381394753444</v>
      </c>
      <c r="G7" s="21">
        <v>15150.54</v>
      </c>
      <c r="H7" s="21">
        <f t="shared" si="1"/>
        <v>-2612.2900000000009</v>
      </c>
      <c r="I7" s="20">
        <f t="shared" si="2"/>
        <v>-0.17242223709517948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86416</v>
      </c>
      <c r="D8" s="13">
        <v>79440.447</v>
      </c>
      <c r="E8" s="13">
        <f t="shared" si="0"/>
        <v>6975.5529999999999</v>
      </c>
      <c r="F8" s="14">
        <f t="shared" si="3"/>
        <v>8.7808581943150443E-2</v>
      </c>
      <c r="G8" s="15">
        <v>91832.724000000002</v>
      </c>
      <c r="H8" s="15">
        <f t="shared" si="1"/>
        <v>-5416.724000000002</v>
      </c>
      <c r="I8" s="16">
        <f t="shared" si="2"/>
        <v>-5.8984681756799481E-2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24915.0625</v>
      </c>
      <c r="D9" s="19">
        <v>25250.03</v>
      </c>
      <c r="E9" s="19">
        <f t="shared" si="0"/>
        <v>-334.96749999999884</v>
      </c>
      <c r="F9" s="20">
        <f t="shared" si="3"/>
        <v>-1.3266023842347865E-2</v>
      </c>
      <c r="G9" s="21">
        <v>27095.39</v>
      </c>
      <c r="H9" s="21">
        <f t="shared" si="1"/>
        <v>-2180.3274999999994</v>
      </c>
      <c r="I9" s="20">
        <f t="shared" si="2"/>
        <v>-8.0468577865090679E-2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34544.125</v>
      </c>
      <c r="D10" s="13">
        <v>31975.29</v>
      </c>
      <c r="E10" s="13">
        <f t="shared" si="0"/>
        <v>2568.8349999999991</v>
      </c>
      <c r="F10" s="14">
        <f t="shared" si="3"/>
        <v>8.0338129849643239E-2</v>
      </c>
      <c r="G10" s="15">
        <v>40121.31</v>
      </c>
      <c r="H10" s="15">
        <f t="shared" si="1"/>
        <v>-5577.1849999999977</v>
      </c>
      <c r="I10" s="16">
        <f t="shared" si="2"/>
        <v>-0.1390080483413926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34395.8125</v>
      </c>
      <c r="D11" s="19">
        <v>29369.84</v>
      </c>
      <c r="E11" s="19">
        <f t="shared" si="0"/>
        <v>5025.9724999999999</v>
      </c>
      <c r="F11" s="20">
        <f t="shared" si="3"/>
        <v>0.17112699626555677</v>
      </c>
      <c r="G11" s="21">
        <v>38058.300000000003</v>
      </c>
      <c r="H11" s="21">
        <f t="shared" si="1"/>
        <v>-3662.4875000000029</v>
      </c>
      <c r="I11" s="20">
        <f t="shared" si="2"/>
        <v>-9.6233607386562267E-2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33103.875</v>
      </c>
      <c r="D12" s="13">
        <v>28934.7</v>
      </c>
      <c r="E12" s="13">
        <f t="shared" si="0"/>
        <v>4169.1749999999993</v>
      </c>
      <c r="F12" s="14">
        <f t="shared" si="3"/>
        <v>0.14408910408609729</v>
      </c>
      <c r="G12" s="15">
        <v>39176.93</v>
      </c>
      <c r="H12" s="15">
        <f t="shared" si="1"/>
        <v>-6073.0550000000003</v>
      </c>
      <c r="I12" s="16">
        <f t="shared" si="2"/>
        <v>-0.15501610258894713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39051.5</v>
      </c>
      <c r="D13" s="19">
        <v>31597.38</v>
      </c>
      <c r="E13" s="19">
        <f t="shared" si="0"/>
        <v>7454.119999999999</v>
      </c>
      <c r="F13" s="20">
        <f t="shared" si="3"/>
        <v>0.23590943299729278</v>
      </c>
      <c r="G13" s="21">
        <v>42848.56</v>
      </c>
      <c r="H13" s="21">
        <f t="shared" si="1"/>
        <v>-3797.0599999999977</v>
      </c>
      <c r="I13" s="20">
        <f t="shared" si="2"/>
        <v>-8.8615813460242249E-2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39144</v>
      </c>
      <c r="D14" s="13">
        <v>33648.14</v>
      </c>
      <c r="E14" s="13">
        <f t="shared" si="0"/>
        <v>5495.8600000000006</v>
      </c>
      <c r="F14" s="14">
        <f t="shared" si="3"/>
        <v>0.16333324813793573</v>
      </c>
      <c r="G14" s="15">
        <v>40969</v>
      </c>
      <c r="H14" s="15">
        <f t="shared" si="1"/>
        <v>-1825</v>
      </c>
      <c r="I14" s="16">
        <f t="shared" si="2"/>
        <v>-4.4545876150259955E-2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8"/>
  <sheetViews>
    <sheetView tabSelected="1" workbookViewId="0">
      <pane ySplit="2" topLeftCell="A3" activePane="bottomLeft" state="frozen"/>
      <selection pane="bottomLeft" activeCell="J23" sqref="J23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77</v>
      </c>
      <c r="E1" s="56"/>
      <c r="F1" s="56"/>
      <c r="G1" s="54" t="s">
        <v>78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416547.6875</v>
      </c>
      <c r="D2" s="5">
        <f>SUM(D4:D86)</f>
        <v>422861.78299999994</v>
      </c>
      <c r="E2" s="5">
        <f>C2-D2</f>
        <v>-6314.0954999999376</v>
      </c>
      <c r="F2" s="6">
        <f>IFERROR(E2/D2, 0)</f>
        <v>-1.4931818749863093E-2</v>
      </c>
      <c r="G2" s="5">
        <f>SUM(G4:G86)</f>
        <v>476075.66299999994</v>
      </c>
      <c r="H2" s="7">
        <f>C2-G2</f>
        <v>-59527.975499999942</v>
      </c>
      <c r="I2" s="6">
        <f>IFERROR(H2/G2, 0)</f>
        <v>-0.12503889639071919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8910.75</v>
      </c>
      <c r="D4" s="13">
        <v>7572.5110000000004</v>
      </c>
      <c r="E4" s="13">
        <f>IF(AND(ISNUMBER(C4),ISNUMBER(D4)), C4-D4, "")</f>
        <v>1338.2389999999996</v>
      </c>
      <c r="F4" s="14">
        <f>IFERROR(E4/D4, "")</f>
        <v>0.17672328240922985</v>
      </c>
      <c r="G4" s="15">
        <v>9958.4619999999995</v>
      </c>
      <c r="H4" s="15">
        <f>IF(AND(ISNUMBER(C4),ISNUMBER(G4)), C4-G4, "")</f>
        <v>-1047.7119999999995</v>
      </c>
      <c r="I4" s="16">
        <f>IFERROR(H4/G4, "")</f>
        <v>-0.10520821387880976</v>
      </c>
      <c r="J4" s="17"/>
      <c r="K4" s="17"/>
    </row>
    <row r="5" spans="1:11" ht="32.25">
      <c r="A5" s="31" t="str">
        <v>AZ: ASU - Pardee - Farrington</v>
      </c>
      <c r="B5" s="32" t="str">
        <v>AZ</v>
      </c>
      <c r="C5" s="11">
        <v>0</v>
      </c>
      <c r="D5" s="19">
        <v>19707.169999999998</v>
      </c>
      <c r="E5" s="19">
        <f t="shared" ref="E5:E14" si="0">IF(AND(ISNUMBER(C5),ISNUMBER(D5)), C5-D5, "")</f>
        <v>-19707.169999999998</v>
      </c>
      <c r="F5" s="20">
        <f>IFERROR(E5/D5, "")</f>
        <v>-1</v>
      </c>
      <c r="G5" s="21">
        <v>37387.78</v>
      </c>
      <c r="H5" s="21">
        <f t="shared" ref="H5:H14" si="1">IF(AND(ISNUMBER(C5),ISNUMBER(G5)), C5-G5, "")</f>
        <v>-37387.78</v>
      </c>
      <c r="I5" s="20">
        <f t="shared" ref="I5:I14" si="2">IFERROR(H5/G5, "")</f>
        <v>-1</v>
      </c>
      <c r="J5" s="49" t="s">
        <v>75</v>
      </c>
      <c r="K5" s="47" t="s">
        <v>76</v>
      </c>
    </row>
    <row r="6" spans="1:11" ht="15.6">
      <c r="A6" s="29" t="str">
        <v>AZ: ASU - Pardee - Macro Tech.</v>
      </c>
      <c r="B6" s="30" t="str">
        <v>AZ</v>
      </c>
      <c r="C6" s="25">
        <v>129486</v>
      </c>
      <c r="D6" s="13">
        <v>129773.9</v>
      </c>
      <c r="E6" s="13">
        <f t="shared" si="0"/>
        <v>-287.89999999999418</v>
      </c>
      <c r="F6" s="14">
        <f t="shared" ref="F6:F14" si="3">IFERROR(E6/D6, "")</f>
        <v>-2.218473822548249E-3</v>
      </c>
      <c r="G6" s="15">
        <v>141519.1</v>
      </c>
      <c r="H6" s="15">
        <f t="shared" si="1"/>
        <v>-12033.100000000006</v>
      </c>
      <c r="I6" s="16">
        <f t="shared" si="2"/>
        <v>-8.502809868067282E-2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12130.625</v>
      </c>
      <c r="D7" s="19">
        <v>10126.65</v>
      </c>
      <c r="E7" s="19">
        <f t="shared" si="0"/>
        <v>2003.9750000000004</v>
      </c>
      <c r="F7" s="20">
        <f t="shared" si="3"/>
        <v>0.19789120785254752</v>
      </c>
      <c r="G7" s="21">
        <v>13443.78</v>
      </c>
      <c r="H7" s="21">
        <f t="shared" si="1"/>
        <v>-1313.1550000000007</v>
      </c>
      <c r="I7" s="20">
        <f t="shared" si="2"/>
        <v>-9.7677513318426862E-2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84360</v>
      </c>
      <c r="D8" s="13">
        <v>78772.732000000004</v>
      </c>
      <c r="E8" s="13">
        <f t="shared" si="0"/>
        <v>5587.2679999999964</v>
      </c>
      <c r="F8" s="14">
        <f t="shared" si="3"/>
        <v>7.0928960544367009E-2</v>
      </c>
      <c r="G8" s="15">
        <v>76433.201000000001</v>
      </c>
      <c r="H8" s="15">
        <f t="shared" si="1"/>
        <v>7926.7989999999991</v>
      </c>
      <c r="I8" s="16">
        <f t="shared" si="2"/>
        <v>0.10370884506066937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24789.875</v>
      </c>
      <c r="D9" s="19">
        <v>23267.17</v>
      </c>
      <c r="E9" s="19">
        <f t="shared" si="0"/>
        <v>1522.7050000000017</v>
      </c>
      <c r="F9" s="20">
        <f t="shared" si="3"/>
        <v>6.5444357865610731E-2</v>
      </c>
      <c r="G9" s="21">
        <v>21566.240000000002</v>
      </c>
      <c r="H9" s="21">
        <f t="shared" si="1"/>
        <v>3223.6349999999984</v>
      </c>
      <c r="I9" s="20">
        <f t="shared" si="2"/>
        <v>0.14947598654192842</v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>
        <v>35591.875</v>
      </c>
      <c r="D10" s="13">
        <v>33466.03</v>
      </c>
      <c r="E10" s="13">
        <f t="shared" si="0"/>
        <v>2125.8450000000012</v>
      </c>
      <c r="F10" s="14">
        <f t="shared" si="3"/>
        <v>6.3522473385698913E-2</v>
      </c>
      <c r="G10" s="15">
        <v>31934.63</v>
      </c>
      <c r="H10" s="15">
        <f t="shared" si="1"/>
        <v>3657.244999999999</v>
      </c>
      <c r="I10" s="16">
        <f t="shared" si="2"/>
        <v>0.11452285496966769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32327.0625</v>
      </c>
      <c r="D11" s="19">
        <v>28875.81</v>
      </c>
      <c r="E11" s="19">
        <f t="shared" si="0"/>
        <v>3451.2524999999987</v>
      </c>
      <c r="F11" s="20">
        <f t="shared" si="3"/>
        <v>0.1195205433198237</v>
      </c>
      <c r="G11" s="21">
        <v>33484.839999999997</v>
      </c>
      <c r="H11" s="21">
        <f t="shared" si="1"/>
        <v>-1157.7774999999965</v>
      </c>
      <c r="I11" s="20">
        <f t="shared" si="2"/>
        <v>-3.4576169394866352E-2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17646.125</v>
      </c>
      <c r="D12" s="13">
        <v>28260.21</v>
      </c>
      <c r="E12" s="13">
        <f t="shared" si="0"/>
        <v>-10614.084999999999</v>
      </c>
      <c r="F12" s="14">
        <f t="shared" si="3"/>
        <v>-0.37558408093924284</v>
      </c>
      <c r="G12" s="15">
        <v>34762.720000000001</v>
      </c>
      <c r="H12" s="15">
        <f t="shared" si="1"/>
        <v>-17116.595000000001</v>
      </c>
      <c r="I12" s="16">
        <f t="shared" si="2"/>
        <v>-0.49238365122176864</v>
      </c>
      <c r="J12" s="17" t="s">
        <v>79</v>
      </c>
      <c r="K12" s="17" t="s">
        <v>80</v>
      </c>
    </row>
    <row r="13" spans="1:11" ht="15.6">
      <c r="A13" s="31" t="str">
        <v>AZ: ASU - Pardee - Parking Lot 59S</v>
      </c>
      <c r="B13" s="32" t="str">
        <v>AZ</v>
      </c>
      <c r="C13" s="11">
        <v>34457.875</v>
      </c>
      <c r="D13" s="19">
        <v>30862.69</v>
      </c>
      <c r="E13" s="19">
        <f t="shared" si="0"/>
        <v>3595.1850000000013</v>
      </c>
      <c r="F13" s="20">
        <f t="shared" si="3"/>
        <v>0.11648968382211665</v>
      </c>
      <c r="G13" s="21">
        <v>38021.910000000003</v>
      </c>
      <c r="H13" s="21">
        <f t="shared" si="1"/>
        <v>-3564.0350000000035</v>
      </c>
      <c r="I13" s="20">
        <f t="shared" si="2"/>
        <v>-9.3736348331790884E-2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36847.5</v>
      </c>
      <c r="D14" s="13">
        <v>32176.91</v>
      </c>
      <c r="E14" s="13">
        <f t="shared" si="0"/>
        <v>4670.59</v>
      </c>
      <c r="F14" s="14">
        <f t="shared" si="3"/>
        <v>0.14515346563731571</v>
      </c>
      <c r="G14" s="15">
        <v>37563</v>
      </c>
      <c r="H14" s="15">
        <f t="shared" si="1"/>
        <v>-715.5</v>
      </c>
      <c r="I14" s="16">
        <f t="shared" si="2"/>
        <v>-1.9047999361073396E-2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81</v>
      </c>
      <c r="E1" s="56"/>
      <c r="F1" s="56"/>
      <c r="G1" s="54" t="s">
        <v>82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83</v>
      </c>
      <c r="E1" s="56"/>
      <c r="F1" s="56"/>
      <c r="G1" s="54" t="s">
        <v>84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Pardee (ENCAP)</v>
      </c>
      <c r="B1" s="55"/>
      <c r="C1" s="55"/>
      <c r="D1" s="56" t="s">
        <v>85</v>
      </c>
      <c r="E1" s="56"/>
      <c r="F1" s="56"/>
      <c r="G1" s="54" t="s">
        <v>86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14"/>
  <sheetViews>
    <sheetView workbookViewId="0">
      <pane ySplit="3" topLeftCell="A4" activePane="bottomLeft" state="frozen"/>
      <selection pane="bottomLeft" activeCell="B29" sqref="B2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87</v>
      </c>
      <c r="B1" t="s">
        <v>88</v>
      </c>
    </row>
    <row r="3" spans="1:5" ht="13.15">
      <c r="A3" t="s">
        <v>89</v>
      </c>
      <c r="B3" t="s">
        <v>3</v>
      </c>
      <c r="C3" t="s">
        <v>4</v>
      </c>
      <c r="D3" t="s">
        <v>90</v>
      </c>
      <c r="E3" s="2" t="s">
        <v>91</v>
      </c>
    </row>
    <row r="4" spans="1:5" ht="12.75" customHeight="1">
      <c r="A4" t="s">
        <v>92</v>
      </c>
      <c r="B4" t="s">
        <v>92</v>
      </c>
      <c r="C4" s="3" t="s">
        <v>93</v>
      </c>
    </row>
    <row r="5" spans="1:5" ht="12.75" customHeight="1">
      <c r="A5" t="s">
        <v>94</v>
      </c>
      <c r="B5" t="s">
        <v>94</v>
      </c>
      <c r="C5" s="3" t="s">
        <v>93</v>
      </c>
    </row>
    <row r="6" spans="1:5" ht="12.75" customHeight="1">
      <c r="A6" t="s">
        <v>95</v>
      </c>
      <c r="B6" t="s">
        <v>95</v>
      </c>
      <c r="C6" s="3" t="s">
        <v>93</v>
      </c>
    </row>
    <row r="7" spans="1:5" ht="12.75" customHeight="1">
      <c r="A7" t="s">
        <v>96</v>
      </c>
      <c r="B7" t="s">
        <v>96</v>
      </c>
      <c r="C7" s="3" t="s">
        <v>93</v>
      </c>
    </row>
    <row r="8" spans="1:5" ht="12.75" customHeight="1">
      <c r="A8" t="s">
        <v>97</v>
      </c>
      <c r="B8" t="s">
        <v>97</v>
      </c>
      <c r="C8" s="3" t="s">
        <v>93</v>
      </c>
    </row>
    <row r="9" spans="1:5" ht="12.75" customHeight="1">
      <c r="A9" t="s">
        <v>98</v>
      </c>
      <c r="B9" t="s">
        <v>98</v>
      </c>
      <c r="C9" s="3" t="s">
        <v>93</v>
      </c>
    </row>
    <row r="10" spans="1:5" ht="12.75" customHeight="1">
      <c r="A10" t="s">
        <v>99</v>
      </c>
      <c r="B10" t="s">
        <v>99</v>
      </c>
      <c r="C10" s="3" t="s">
        <v>93</v>
      </c>
    </row>
    <row r="11" spans="1:5" ht="12.75" customHeight="1">
      <c r="A11" t="s">
        <v>100</v>
      </c>
      <c r="B11" t="s">
        <v>100</v>
      </c>
      <c r="C11" s="3" t="s">
        <v>93</v>
      </c>
    </row>
    <row r="12" spans="1:5" ht="12.75" customHeight="1">
      <c r="A12" t="s">
        <v>101</v>
      </c>
      <c r="B12" t="s">
        <v>101</v>
      </c>
      <c r="C12" s="3" t="s">
        <v>93</v>
      </c>
    </row>
    <row r="13" spans="1:5" ht="12.75" customHeight="1">
      <c r="A13" t="s">
        <v>102</v>
      </c>
      <c r="B13" t="s">
        <v>102</v>
      </c>
      <c r="C13" s="3" t="s">
        <v>93</v>
      </c>
    </row>
    <row r="14" spans="1:5" ht="12.75" customHeight="1">
      <c r="A14" t="s">
        <v>103</v>
      </c>
      <c r="B14" t="s">
        <v>103</v>
      </c>
      <c r="C14" s="3" t="s">
        <v>93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2024-10-11T05:05:39Z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2024-10-11T05:01:38Z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43751fc4-43d6-4c3a-9180-162eeaa0d68a</vt:lpwstr>
  </property>
  <property fmtid="{D5CDD505-2E9C-101B-9397-08002B2CF9AE}" pid="9" name="MSIP_Label_9d817c99-0b37-4a07-8277-96aa1f96b74b_ContentBits">
    <vt:lpwstr>0</vt:lpwstr>
  </property>
</Properties>
</file>