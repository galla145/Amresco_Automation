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2" documentId="13_ncr:1_{21666C0C-2005-4021-A88E-83EF35E0DE5C}" xr6:coauthVersionLast="47" xr6:coauthVersionMax="47" xr10:uidLastSave="{6408A770-0B59-4747-9298-17E73719AC94}"/>
  <bookViews>
    <workbookView xWindow="-108" yWindow="-108" windowWidth="23256" windowHeight="12456" tabRatio="866" firstSheet="2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5" i="29"/>
  <c r="G5" i="18"/>
  <c r="G2" i="18" s="1"/>
  <c r="G4" i="18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4" i="1"/>
  <c r="G4" i="34" s="1"/>
  <c r="D5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G5" i="34" l="1"/>
  <c r="D2" i="18"/>
  <c r="E5" i="18"/>
  <c r="F5" i="18" s="1"/>
  <c r="E5" i="30"/>
  <c r="F5" i="30" s="1"/>
  <c r="D2" i="29"/>
  <c r="E5" i="29"/>
  <c r="F5" i="29" s="1"/>
  <c r="D4" i="34"/>
  <c r="D2" i="34" s="1"/>
  <c r="E4" i="18"/>
  <c r="F4" i="18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H5" i="34"/>
  <c r="I5" i="34" s="1"/>
  <c r="C2" i="29"/>
  <c r="E2" i="29" s="1"/>
  <c r="F2" i="29" s="1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<sst xmlns="http://schemas.openxmlformats.org/spreadsheetml/2006/main" count="245" uniqueCount="56">
  <si>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</si>
  <si>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</si>
  <si>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</si>
  <si>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</si>
  <si>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</si>
  <si>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</si>
  <si>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</si>
  <si>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</si>
  <si>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</si>
  <si>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</si>
  <si>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</si>
  <si>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</si>
  <si>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</si>
  <si>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</si>
  <si>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</si>
  <si>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</si>
  <si>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</si>
  <si>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</si>
  <si>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</si>
  <si>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</si>
  <si>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</si>
  <si>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</si>
  <si>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</si>
  <si>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</si>
  <si>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</si>
  <si>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</si>
  <si>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</si>
  <si>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</si>
  <si>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</si>
  <si>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</si>
  <si>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</si>
  <si>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</si>
  <si>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</si>
  <si>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</si>
  <si>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</si>
  <si>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</si>
  <si>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</si>
  <si>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</si>
  <si>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</si>
  <si>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</si>
  <si>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</si>
  <si>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</si>
  <si>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</si>
  <si>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</si>
  <si>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</si>
  <si>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American Polyfilm, Inc.</t>
  </si>
  <si>
    <t>Site DAS Name</t>
  </si>
  <si>
    <t>Update</t>
  </si>
  <si>
    <t>DAS</t>
  </si>
  <si>
    <t>15 Baldwin</t>
  </si>
  <si>
    <t>15 Baldwin Dr</t>
  </si>
  <si>
    <t>CT</t>
  </si>
  <si>
    <t>A</t>
  </si>
  <si>
    <t>PowerTrack</t>
  </si>
  <si>
    <t>8 Sycamore Way</t>
  </si>
  <si>
    <t>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</si>
</sst>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2" fillId="0" borderId="0" xfId="43" applyFont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8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1"/>
  <sheetViews>
    <sheetView workbookViewId="0">
      <pane xSplit="2" ySplit="3" topLeftCell="C4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American Polyfilm, Inc.</v>
      </c>
      <c r="B1" s="53"/>
      <c r="C1" s="53"/>
      <c r="D1" s="54" t="s">
        <v>0</v>
      </c>
      <c r="E1" s="54"/>
      <c r="F1" s="54"/>
      <c r="G1" s="52" t="s">
        <v>1</v>
      </c>
      <c r="H1" s="52"/>
      <c r="I1" s="52"/>
    </row>
    <row r="2" spans="1:9" ht="19.5" customHeight="1">
      <c r="A2" s="55" t="s">
        <v>2</v>
      </c>
      <c r="B2" s="55"/>
      <c r="C2" s="5">
        <f>SUM(C4:C69)</f>
        <v>101261.2</v>
      </c>
      <c r="D2" s="5">
        <f>SUM(D4:D69)</f>
        <v>0</v>
      </c>
      <c r="E2" s="5">
        <f>C2-D2</f>
        <v>101261.2</v>
      </c>
      <c r="F2" s="6">
        <f>IFERROR(E2/D2, 0)</f>
        <v>0</v>
      </c>
      <c r="G2" s="5">
        <f>SUM(G4:G69)</f>
        <v>112444.56</v>
      </c>
      <c r="H2" s="7">
        <f>C2-G2</f>
        <v>-11183.36</v>
      </c>
      <c r="I2" s="6">
        <f>IFERROR(H2/G2, 0)</f>
        <v>-9.9456656684858744E-2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15 Baldwin Dr</v>
      </c>
      <c r="B4" s="9" t="str" cm="1">
        <f t="array" ref="B4:B5">Sites[State]</f>
        <v>CT</v>
      </c>
      <c r="C4" s="24">
        <f>SUM('1st Qtr'!C4, '2nd Qtr'!C4, '3rd Qtr'!C4, '4th Qtr'!C4)</f>
        <v>74873</v>
      </c>
      <c r="D4" s="13">
        <f>SUM('1st Qtr'!D4, '2nd Qtr'!D4, '3rd Qtr'!D4, '4th Qtr'!D4)</f>
        <v>0</v>
      </c>
      <c r="E4" s="13">
        <f>IF(AND(ISNUMBER(C4),ISNUMBER(D4)), C4-D4, "")</f>
        <v>74873</v>
      </c>
      <c r="F4" s="14" t="str">
        <f>IFERROR(E4/D4, "")</f>
        <v/>
      </c>
      <c r="G4" s="15">
        <f>SUM('1st Qtr'!G4, '2nd Qtr'!G4, '3rd Qtr'!G4, '4th Qtr'!G4)</f>
        <v>0</v>
      </c>
      <c r="H4" s="15">
        <f>SUM('1st Qtr'!H4, '2nd Qtr'!H4, '3rd Qtr'!H4, '4th Qtr'!H4)</f>
        <v>74873</v>
      </c>
      <c r="I4" s="16" t="str">
        <f>IFERROR(H4/G4, "")</f>
        <v/>
      </c>
    </row>
    <row r="5" spans="1:9" ht="15.6">
      <c r="A5" s="17" t="str">
        <v>8 Sycamore Way</v>
      </c>
      <c r="B5" s="10" t="str">
        <v>CT</v>
      </c>
      <c r="C5" s="11">
        <f>SUM(Jan!C5, Feb!C5, Mar!C5)</f>
        <v>26388.2</v>
      </c>
      <c r="D5" s="18">
        <f>SUM(Jan!D5, Feb!D5, Mar!D5)</f>
        <v>0</v>
      </c>
      <c r="E5" s="18">
        <f t="shared" ref="E5" si="0">IF(AND(ISNUMBER(C5),ISNUMBER(D5)), C5-D5, "")</f>
        <v>26388.2</v>
      </c>
      <c r="F5" s="19" t="str">
        <f>IFERROR(E5/D5, "")</f>
        <v/>
      </c>
      <c r="G5" s="20">
        <f>SUM('1st Qtr'!G5, '2nd Qtr'!G5, '3rd Qtr'!G5, '4th Qtr'!G5)</f>
        <v>112444.56</v>
      </c>
      <c r="H5" s="20">
        <f>SUM(Jan!H5, Feb!H5, Mar!H5)</f>
        <v>-2373.3609999999999</v>
      </c>
      <c r="I5" s="19">
        <f>IFERROR(H5/G5, "")</f>
        <v>-2.1106943724089451E-2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9 I4:I69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1"/>
  <sheetViews>
    <sheetView workbookViewId="0">
      <pane xSplit="2" ySplit="3" topLeftCell="C4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American Polyfilm, Inc.</v>
      </c>
      <c r="B1" s="53"/>
      <c r="C1" s="53"/>
      <c r="D1" s="54" t="s">
        <v>10</v>
      </c>
      <c r="E1" s="54"/>
      <c r="F1" s="54"/>
      <c r="G1" s="52" t="s">
        <v>11</v>
      </c>
      <c r="H1" s="52"/>
      <c r="I1" s="52"/>
    </row>
    <row r="2" spans="1:9" ht="19.5" customHeight="1">
      <c r="A2" s="55" t="s">
        <v>2</v>
      </c>
      <c r="B2" s="55"/>
      <c r="C2" s="5">
        <f>SUM(C4:C69)</f>
        <v>42161.2</v>
      </c>
      <c r="D2" s="5">
        <f>SUM(D4:D69)</f>
        <v>0</v>
      </c>
      <c r="E2" s="5">
        <f>C2-D2</f>
        <v>42161.2</v>
      </c>
      <c r="F2" s="6">
        <f>IFERROR(E2/D2, 0)</f>
        <v>0</v>
      </c>
      <c r="G2" s="5">
        <f>SUM(G4:G69)</f>
        <v>28761.561000000002</v>
      </c>
      <c r="H2" s="7">
        <f>C2-G2</f>
        <v>13399.638999999996</v>
      </c>
      <c r="I2" s="6">
        <f>IFERROR(H2/G2, 0)</f>
        <v>0.46588705668652669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SUM(Jan!C4, Feb!C4, Mar!C4)</f>
        <v>15773</v>
      </c>
      <c r="D4" s="13">
        <f>SUM(Jan!D4, Feb!D4, Mar!D4)</f>
        <v>0</v>
      </c>
      <c r="E4" s="13">
        <f>IF(AND(ISNUMBER(C4),ISNUMBER(D4)), C4-D4, "")</f>
        <v>15773</v>
      </c>
      <c r="F4" s="14" t="str">
        <f>IFERROR(E4/D4, "")</f>
        <v/>
      </c>
      <c r="G4" s="15">
        <f>SUM(Jan!G4, Feb!G4, Mar!G4)</f>
        <v>0</v>
      </c>
      <c r="H4" s="15">
        <f>SUM(Jan!H4, Feb!H4, Mar!H4)</f>
        <v>15773</v>
      </c>
      <c r="I4" s="16" t="str">
        <f>IFERROR(H4/G4, "")</f>
        <v/>
      </c>
    </row>
    <row r="5" spans="1:9" ht="15.6">
      <c r="A5" s="47" t="str">
        <v>8 Sycamore Way</v>
      </c>
      <c r="B5" s="10" t="str">
        <v>CT</v>
      </c>
      <c r="C5" s="11">
        <f>SUM(Jan!C5, Feb!C5, Mar!C5)</f>
        <v>26388.2</v>
      </c>
      <c r="D5" s="18">
        <f>SUM(Jan!D5, Feb!D5, Mar!D5)</f>
        <v>0</v>
      </c>
      <c r="E5" s="18">
        <f t="shared" ref="E5" si="0">IF(AND(ISNUMBER(C5),ISNUMBER(D5)), C5-D5, "")</f>
        <v>26388.2</v>
      </c>
      <c r="F5" s="19" t="str">
        <f>IFERROR(E5/D5, "")</f>
        <v/>
      </c>
      <c r="G5" s="20">
        <f>SUM(Jan!G5, Feb!G5, Mar!G5)</f>
        <v>28761.561000000002</v>
      </c>
      <c r="H5" s="20">
        <f>SUM(Jan!H5, Feb!H5, Mar!H5)</f>
        <v>-2373.3609999999999</v>
      </c>
      <c r="I5" s="19">
        <f>IFERROR(H5/G5, "")</f>
        <v>-8.2518504471993007E-2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9 I4:I69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1"/>
  <sheetViews>
    <sheetView workbookViewId="0">
      <pane xSplit="2" ySplit="3" topLeftCell="C4" activePane="bottomRight" state="frozen"/>
      <selection pane="bottomRight" activeCell="G7" sqref="G7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American Polyfilm, Inc.</v>
      </c>
      <c r="B1" s="53"/>
      <c r="C1" s="53"/>
      <c r="D1" s="54" t="s">
        <v>12</v>
      </c>
      <c r="E1" s="54"/>
      <c r="F1" s="54"/>
      <c r="G1" s="52" t="s">
        <v>13</v>
      </c>
      <c r="H1" s="52"/>
      <c r="I1" s="52"/>
    </row>
    <row r="2" spans="1:9" ht="19.5" customHeight="1">
      <c r="A2" s="55" t="s">
        <v>2</v>
      </c>
      <c r="B2" s="55"/>
      <c r="C2" s="5">
        <f>SUM(C4:C69)</f>
        <v>84804.6</v>
      </c>
      <c r="D2" s="5">
        <f>SUM(D4:D69)</f>
        <v>0</v>
      </c>
      <c r="E2" s="5">
        <f>C2-D2</f>
        <v>84804.6</v>
      </c>
      <c r="F2" s="6">
        <f>IFERROR(E2/D2, 0)</f>
        <v>0</v>
      </c>
      <c r="G2" s="5">
        <f>SUM(G4:G69)</f>
        <v>41918</v>
      </c>
      <c r="H2" s="7">
        <f>C2-G2</f>
        <v>42886.600000000006</v>
      </c>
      <c r="I2" s="6">
        <f>IFERROR(H2/G2, 0)</f>
        <v>1.0231070184646216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SUM(Apr!C4, May!C4, Jun!C4)</f>
        <v>30755</v>
      </c>
      <c r="D4" s="13">
        <f>SUM(Apr!D4, May!D4, Jun!D4)</f>
        <v>0</v>
      </c>
      <c r="E4" s="13">
        <f>IF(AND(ISNUMBER(C4),ISNUMBER(D4)), C4-D4, "")</f>
        <v>30755</v>
      </c>
      <c r="F4" s="14" t="str">
        <f>IFERROR(E4/D4, "")</f>
        <v/>
      </c>
      <c r="G4" s="15">
        <f>SUM(Apr!G4,May!G4,Jun!G4)</f>
        <v>0</v>
      </c>
      <c r="H4" s="15">
        <f>SUM(Apr!H4, May!H4, Jun!H4)</f>
        <v>30755</v>
      </c>
      <c r="I4" s="16" t="str">
        <f>IFERROR(H4/G4, "")</f>
        <v/>
      </c>
    </row>
    <row r="5" spans="1:9" ht="15.6">
      <c r="A5" s="47" t="str">
        <v>8 Sycamore Way</v>
      </c>
      <c r="B5" s="10" t="str">
        <v>CT</v>
      </c>
      <c r="C5" s="11">
        <f>SUM(Apr!C5, May!C5, Jun!C5)</f>
        <v>54049.599999999999</v>
      </c>
      <c r="D5" s="18">
        <f>SUM(Apr!D5, May!D5, Jun!D5)</f>
        <v>0</v>
      </c>
      <c r="E5" s="18">
        <f t="shared" ref="E5" si="0">IF(AND(ISNUMBER(C5),ISNUMBER(D5)), C5-D5, "")</f>
        <v>54049.599999999999</v>
      </c>
      <c r="F5" s="19" t="str">
        <f>IFERROR(E5/D5, "")</f>
        <v/>
      </c>
      <c r="G5" s="18">
        <f>SUM(Apr!G5,May!G5,Jun!G5)</f>
        <v>41918</v>
      </c>
      <c r="H5" s="20">
        <f>SUM(Apr!H5, May!H5, Jun!H5)</f>
        <v>12131.6</v>
      </c>
      <c r="I5" s="19">
        <f>IFERROR(H5/G5, "")</f>
        <v>0.28941266281788253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9 I4:I69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1"/>
  <sheetViews>
    <sheetView tabSelected="1" workbookViewId="0">
      <pane xSplit="2" ySplit="3" topLeftCell="C4" activePane="bottomRight" state="frozen"/>
      <selection pane="bottomRight" activeCell="G4" sqref="G4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American Polyfilm, Inc.</v>
      </c>
      <c r="B1" s="53"/>
      <c r="C1" s="53"/>
      <c r="D1" s="54" t="s">
        <v>14</v>
      </c>
      <c r="E1" s="54"/>
      <c r="F1" s="54"/>
      <c r="G1" s="52" t="s">
        <v>15</v>
      </c>
      <c r="H1" s="52"/>
      <c r="I1" s="52"/>
    </row>
    <row r="2" spans="1:9" ht="19.5" customHeight="1">
      <c r="A2" s="55" t="s">
        <v>2</v>
      </c>
      <c r="B2" s="55"/>
      <c r="C2" s="5">
        <f>SUM(C4:C69)</f>
        <v>78340.899999999994</v>
      </c>
      <c r="D2" s="5">
        <f>SUM(D4:D69)</f>
        <v>0</v>
      </c>
      <c r="E2" s="5">
        <f>C2-D2</f>
        <v>78340.899999999994</v>
      </c>
      <c r="F2" s="6">
        <f>IFERROR(E2/D2, 0)</f>
        <v>0</v>
      </c>
      <c r="G2" s="5">
        <f>SUM(G4:G69)</f>
        <v>41764.998999999996</v>
      </c>
      <c r="H2" s="7">
        <f>C2-G2</f>
        <v>36575.900999999998</v>
      </c>
      <c r="I2" s="6">
        <f>IFERROR(H2/G2, 0)</f>
        <v>0.87575486354016197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SUM(Jul!C4, Aug!C4, Sep!C4)</f>
        <v>28345</v>
      </c>
      <c r="D4" s="13">
        <f>SUM(Jul!D4, Aug!D4, Sep!D4)</f>
        <v>0</v>
      </c>
      <c r="E4" s="13">
        <f>IF(AND(ISNUMBER(C4),ISNUMBER(D4)), C4-D4, "")</f>
        <v>28345</v>
      </c>
      <c r="F4" s="14" t="str">
        <f>IFERROR(E4/D4, "")</f>
        <v/>
      </c>
      <c r="G4" s="15">
        <f>SUM(Jul!G4,Aug!G4,Sep!G4)</f>
        <v>0</v>
      </c>
      <c r="H4" s="15">
        <f>SUM(Jul!H4, Aug!H4, Sep!H4)</f>
        <v>28345</v>
      </c>
      <c r="I4" s="16" t="str">
        <f>IFERROR(H4/G4, "")</f>
        <v/>
      </c>
    </row>
    <row r="5" spans="1:9" ht="15.6">
      <c r="A5" s="47" t="str">
        <v>8 Sycamore Way</v>
      </c>
      <c r="B5" s="10" t="str">
        <v>CT</v>
      </c>
      <c r="C5" s="11">
        <f>SUM(Jul!C5, Aug!C5, Sep!C5)</f>
        <v>49995.899999999994</v>
      </c>
      <c r="D5" s="18">
        <f>SUM(Jul!D5, Aug!D5, Sep!D5)</f>
        <v>0</v>
      </c>
      <c r="E5" s="18">
        <f t="shared" ref="E5" si="0">IF(AND(ISNUMBER(C5),ISNUMBER(D5)), C5-D5, "")</f>
        <v>49995.899999999994</v>
      </c>
      <c r="F5" s="19" t="str">
        <f>IFERROR(E5/D5, "")</f>
        <v/>
      </c>
      <c r="G5" s="18">
        <f>SUM(Jul!G5,Aug!G5,Sep!G5)</f>
        <v>41764.998999999996</v>
      </c>
      <c r="H5" s="20">
        <f>SUM(Jul!H5, Aug!H5, Sep!H5)</f>
        <v>8230.9010000000017</v>
      </c>
      <c r="I5" s="19">
        <f>IFERROR(H5/G5, "")</f>
        <v>0.19707652812346535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G1:I1"/>
    <mergeCell ref="A1:C1"/>
    <mergeCell ref="D1:F1"/>
    <mergeCell ref="A2:B2"/>
  </mergeCells>
  <conditionalFormatting sqref="F2 I2 F4:F69 I4:I69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1"/>
  <sheetViews>
    <sheetView workbookViewId="0">
      <pane xSplit="2" ySplit="3" topLeftCell="C15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American Polyfilm, Inc.</v>
      </c>
      <c r="B1" s="53"/>
      <c r="C1" s="53"/>
      <c r="D1" s="54" t="s">
        <v>16</v>
      </c>
      <c r="E1" s="54"/>
      <c r="F1" s="54"/>
      <c r="G1" s="52" t="s">
        <v>17</v>
      </c>
      <c r="H1" s="52"/>
      <c r="I1" s="52"/>
    </row>
    <row r="2" spans="1:9" ht="19.5" customHeight="1">
      <c r="A2" s="55" t="s">
        <v>2</v>
      </c>
      <c r="B2" s="55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>
      <c r="A5" s="47" t="str">
        <v>8 Sycamore Way</v>
      </c>
      <c r="B5" s="10" t="str">
        <v>CT</v>
      </c>
      <c r="C5" s="11">
        <f>SUM(Oct!C5, Nov!C5, Dec!C5)</f>
        <v>0</v>
      </c>
      <c r="D5" s="18">
        <f>SUM(Oct!D5, Nov!D5, Dec!D5)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G1:I1"/>
    <mergeCell ref="A1:C1"/>
    <mergeCell ref="D1:F1"/>
    <mergeCell ref="A2:B2"/>
  </mergeCells>
  <conditionalFormatting sqref="F2 I2 F4:F69 I4:I69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0"/>
  <sheetViews>
    <sheetView workbookViewId="0">
      <pane xSplit="2" ySplit="3" topLeftCell="C4" activePane="bottomRight" state="frozen"/>
      <selection pane="bottomRight" activeCell="K5" sqref="K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18</v>
      </c>
      <c r="E1" s="54"/>
      <c r="F1" s="54"/>
      <c r="G1" s="52" t="s">
        <v>19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SUM(C4:C68)</f>
        <v>6829</v>
      </c>
      <c r="D2" s="5">
        <f>SUM(D4:D68)</f>
        <v>0</v>
      </c>
      <c r="E2" s="5">
        <f>C2-D2</f>
        <v>6829</v>
      </c>
      <c r="F2" s="6">
        <f>IFERROR(E2/D2, 0)</f>
        <v>0</v>
      </c>
      <c r="G2" s="5">
        <f>SUM(G4:G68)</f>
        <v>7721</v>
      </c>
      <c r="H2" s="7">
        <f>C2-G2</f>
        <v>-892</v>
      </c>
      <c r="I2" s="6">
        <f>IFERROR(H2/G2, 0)</f>
        <v>-0.11552907654448906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49" t="str" cm="1">
        <f t="array" ref="A4:A5">Sites[Site]</f>
        <v>15 Baldwin Dr</v>
      </c>
      <c r="B4" s="28" t="str" cm="1">
        <f t="array" ref="B4:B5">Sites[State]</f>
        <v>CT</v>
      </c>
      <c r="C4" s="13">
        <v>2566</v>
      </c>
      <c r="D4" s="13">
        <v>0</v>
      </c>
      <c r="E4" s="13">
        <f>IF(AND(ISNUMBER(C4),ISNUMBER(D4)), C4-D4, "")</f>
        <v>2566</v>
      </c>
      <c r="F4" s="43" t="str">
        <f>IFERROR(E4/D4, "")</f>
        <v/>
      </c>
      <c r="G4" s="15">
        <v>0</v>
      </c>
      <c r="H4" s="15">
        <f>IF(AND(ISNUMBER(C4),ISNUMBER(G4)), C4-G4, "")</f>
        <v>2566</v>
      </c>
      <c r="I4" s="16" t="str">
        <f>IFERROR(H4/G4, "")</f>
        <v/>
      </c>
      <c r="J4" s="40"/>
      <c r="K4" s="40"/>
    </row>
    <row r="5" spans="1:11" ht="15.6">
      <c r="A5" s="50" t="str">
        <v>8 Sycamore Way</v>
      </c>
      <c r="B5" s="30" t="str">
        <v>CT</v>
      </c>
      <c r="C5" s="18">
        <v>4263</v>
      </c>
      <c r="D5" s="18">
        <v>0</v>
      </c>
      <c r="E5" s="18">
        <f t="shared" ref="E5" si="0">IF(AND(ISNUMBER(C5),ISNUMBER(D5)), C5-D5, "")</f>
        <v>4263</v>
      </c>
      <c r="F5" s="22" t="str">
        <f t="shared" ref="F5" si="1">IFERROR(E5/D5, "")</f>
        <v/>
      </c>
      <c r="G5" s="20">
        <v>7721</v>
      </c>
      <c r="H5" s="20">
        <f t="shared" ref="H5" si="2">IF(AND(ISNUMBER(C5),ISNUMBER(G5)), C5-G5, "")</f>
        <v>-3458</v>
      </c>
      <c r="I5" s="19">
        <f t="shared" ref="I5" si="3">IFERROR(H5/G5, "")</f>
        <v>-0.44786944696282865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</sheetData>
  <mergeCells count="4">
    <mergeCell ref="D1:F1"/>
    <mergeCell ref="A1:C1"/>
    <mergeCell ref="G1:I1"/>
    <mergeCell ref="A2:B2"/>
  </mergeCells>
  <conditionalFormatting sqref="F2 I2 I4:I68 F5:F68">
    <cfRule type="cellIs" dxfId="27" priority="4" stopIfTrue="1" operator="lessThanOrEqual">
      <formula>-0.1</formula>
    </cfRule>
    <cfRule type="expression" dxfId="26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1"/>
  <sheetViews>
    <sheetView workbookViewId="0">
      <pane xSplit="2" ySplit="3" topLeftCell="C4" activePane="bottomRight" state="frozen"/>
      <selection pane="bottomRight" activeCell="C5" sqref="C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22</v>
      </c>
      <c r="E1" s="54"/>
      <c r="F1" s="54"/>
      <c r="G1" s="52" t="s">
        <v>23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12786.2</v>
      </c>
      <c r="D2" s="5">
        <f>SUM(D4:D69)</f>
        <v>0</v>
      </c>
      <c r="E2" s="5">
        <f>C2-D2</f>
        <v>12786.2</v>
      </c>
      <c r="F2" s="6">
        <f>IFERROR(E2/D2, 0)</f>
        <v>0</v>
      </c>
      <c r="G2" s="5">
        <f>SUM(G4:G69)</f>
        <v>9234.19</v>
      </c>
      <c r="H2" s="7">
        <f>C2-G2</f>
        <v>3552.01</v>
      </c>
      <c r="I2" s="6">
        <f>IFERROR(H2/G2, 0)</f>
        <v>0.38465853529113003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49" t="str" cm="1">
        <f t="array" ref="A4:A5">Sites[Site]</f>
        <v>15 Baldwin Dr</v>
      </c>
      <c r="B4" s="28" t="str" cm="1">
        <f t="array" ref="B4:B5">Sites[State]</f>
        <v>CT</v>
      </c>
      <c r="C4" s="24">
        <v>4931</v>
      </c>
      <c r="D4" s="13">
        <v>0</v>
      </c>
      <c r="E4" s="13">
        <f>IF(AND(ISNUMBER(C4),ISNUMBER(D4)), C4-D4, "")</f>
        <v>4931</v>
      </c>
      <c r="F4" s="14" t="str">
        <f>IFERROR(E4/D4, "")</f>
        <v/>
      </c>
      <c r="G4" s="15">
        <v>0</v>
      </c>
      <c r="H4" s="15">
        <f>IF(AND(ISNUMBER(C4),ISNUMBER(G4)), C4-G4, "")</f>
        <v>4931</v>
      </c>
      <c r="I4" s="16" t="str">
        <f>IFERROR(H4/G4, "")</f>
        <v/>
      </c>
      <c r="J4" s="40"/>
      <c r="K4" s="40"/>
    </row>
    <row r="5" spans="1:11" ht="15.6">
      <c r="A5" s="50" t="str">
        <v>8 Sycamore Way</v>
      </c>
      <c r="B5" s="30" t="str">
        <v>CT</v>
      </c>
      <c r="C5" s="11">
        <v>7855.2</v>
      </c>
      <c r="D5" s="18">
        <v>0</v>
      </c>
      <c r="E5" s="18">
        <f t="shared" ref="E5" si="0">IF(AND(ISNUMBER(C5),ISNUMBER(D5)), C5-D5, "")</f>
        <v>7855.2</v>
      </c>
      <c r="F5" s="19" t="str">
        <f>IFERROR(E5/D5, "")</f>
        <v/>
      </c>
      <c r="G5" s="20">
        <v>9234.19</v>
      </c>
      <c r="H5" s="20">
        <f t="shared" ref="H5" si="1">IF(AND(ISNUMBER(C5),ISNUMBER(G5)), C5-G5, "")</f>
        <v>-1378.9900000000007</v>
      </c>
      <c r="I5" s="19">
        <f t="shared" ref="I5" si="2">IFERROR(H5/G5, "")</f>
        <v>-0.14933524218150163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1"/>
  <sheetViews>
    <sheetView workbookViewId="0">
      <pane xSplit="2" ySplit="3" topLeftCell="E4" activePane="bottomRight" state="frozen"/>
      <selection pane="bottomRight" activeCell="I10" sqref="I10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24</v>
      </c>
      <c r="E1" s="54"/>
      <c r="F1" s="54"/>
      <c r="G1" s="52" t="s">
        <v>25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22546</v>
      </c>
      <c r="D2" s="5">
        <f>SUM(D4:D69)</f>
        <v>0</v>
      </c>
      <c r="E2" s="5">
        <f>C2-D2</f>
        <v>22546</v>
      </c>
      <c r="F2" s="6">
        <f>IFERROR(E2/D2, 0)</f>
        <v>0</v>
      </c>
      <c r="G2" s="5">
        <f>SUM(G4:G69)</f>
        <v>11806.370999999999</v>
      </c>
      <c r="H2" s="7">
        <f>C2-G2</f>
        <v>10739.629000000001</v>
      </c>
      <c r="I2" s="6">
        <f>IFERROR(H2/G2, 0)</f>
        <v>0.90964691860013558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8276</v>
      </c>
      <c r="D4" s="13">
        <v>0</v>
      </c>
      <c r="E4" s="13">
        <f>IF(AND(ISNUMBER(C4),ISNUMBER(D4)), C4-D4, "")</f>
        <v>8276</v>
      </c>
      <c r="F4" s="14" t="str">
        <f>IFERROR(E4/D4, "")</f>
        <v/>
      </c>
      <c r="G4" s="15">
        <v>0</v>
      </c>
      <c r="H4" s="15">
        <f>IF(AND(ISNUMBER(C4),ISNUMBER(G4)), C4-G4, "")</f>
        <v>8276</v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>
        <v>14270</v>
      </c>
      <c r="D5" s="18">
        <v>0</v>
      </c>
      <c r="E5" s="18">
        <f t="shared" ref="E5" si="0">IF(AND(ISNUMBER(C5),ISNUMBER(D5)), C5-D5, "")</f>
        <v>14270</v>
      </c>
      <c r="F5" s="19" t="str">
        <f>IFERROR(E5/D5, "")</f>
        <v/>
      </c>
      <c r="G5" s="20">
        <v>11806.370999999999</v>
      </c>
      <c r="H5" s="20">
        <f t="shared" ref="H5" si="1">IF(AND(ISNUMBER(C5),ISNUMBER(G5)), C5-G5, "")</f>
        <v>2463.6290000000008</v>
      </c>
      <c r="I5" s="19">
        <f t="shared" ref="I5" si="2">IFERROR(H5/G5, "")</f>
        <v>0.20866945482231594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3" priority="3" stopIfTrue="1" operator="lessThanOrEqual">
      <formula>-0.1</formula>
    </cfRule>
    <cfRule type="expression" dxfId="2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1"/>
  <sheetViews>
    <sheetView workbookViewId="0">
      <pane xSplit="2" ySplit="3" topLeftCell="E4" activePane="bottomRight" state="frozen"/>
      <selection pane="bottomRight" activeCell="H4" sqref="H4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26</v>
      </c>
      <c r="E1" s="54"/>
      <c r="F1" s="54"/>
      <c r="G1" s="52" t="s">
        <v>27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23638.1</v>
      </c>
      <c r="D2" s="5">
        <f>SUM(D4:D69)</f>
        <v>0</v>
      </c>
      <c r="E2" s="5">
        <f>C2-D2</f>
        <v>23638.1</v>
      </c>
      <c r="F2" s="6">
        <f>IFERROR(E2/D2, 0)</f>
        <v>0</v>
      </c>
      <c r="G2" s="5">
        <f>SUM(G4:G69)</f>
        <v>13203</v>
      </c>
      <c r="H2" s="7">
        <f>C2-G2</f>
        <v>10435.099999999999</v>
      </c>
      <c r="I2" s="6">
        <f>IFERROR(H2/G2, 0)</f>
        <v>0.79035825191244402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8649</v>
      </c>
      <c r="D4" s="13">
        <v>0</v>
      </c>
      <c r="E4" s="13">
        <f>IF(AND(ISNUMBER(C4),ISNUMBER(D4)), C4-D4, "")</f>
        <v>8649</v>
      </c>
      <c r="F4" s="14" t="str">
        <f>IFERROR(E4/D4, "")</f>
        <v/>
      </c>
      <c r="G4" s="15">
        <v>0</v>
      </c>
      <c r="H4" s="15">
        <f>IF(AND(ISNUMBER(C4),ISNUMBER(G4)), C4-G4, "")</f>
        <v>8649</v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>
        <v>14989.1</v>
      </c>
      <c r="D5" s="18">
        <v>0</v>
      </c>
      <c r="E5" s="18">
        <f t="shared" ref="E5" si="0">IF(AND(ISNUMBER(C5),ISNUMBER(D5)), C5-D5, "")</f>
        <v>14989.1</v>
      </c>
      <c r="F5" s="19" t="str">
        <f>IFERROR(E5/D5, "")</f>
        <v/>
      </c>
      <c r="G5" s="20">
        <v>13203</v>
      </c>
      <c r="H5" s="20">
        <f t="shared" ref="H5" si="1">IF(AND(ISNUMBER(C5),ISNUMBER(G5)), C5-G5, "")</f>
        <v>1786.1000000000004</v>
      </c>
      <c r="I5" s="19">
        <f t="shared" ref="I5" si="2">IFERROR(H5/G5, "")</f>
        <v>0.13527986063773387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1"/>
  <sheetViews>
    <sheetView workbookViewId="0">
      <pane xSplit="2" ySplit="3" topLeftCell="D4" activePane="bottomRight" state="frozen"/>
      <selection pane="bottomRight" activeCell="G5" sqref="G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28</v>
      </c>
      <c r="E1" s="54"/>
      <c r="F1" s="54"/>
      <c r="G1" s="52" t="s">
        <v>29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28960.400000000001</v>
      </c>
      <c r="D2" s="5">
        <f>SUM(D4:D69)</f>
        <v>0</v>
      </c>
      <c r="E2" s="5">
        <f>C2-D2</f>
        <v>28960.400000000001</v>
      </c>
      <c r="F2" s="6">
        <f>IFERROR(E2/D2, 0)</f>
        <v>0</v>
      </c>
      <c r="G2" s="5">
        <f>SUM(G4:G69)</f>
        <v>14156</v>
      </c>
      <c r="H2" s="7">
        <f>C2-G2</f>
        <v>14804.400000000001</v>
      </c>
      <c r="I2" s="6">
        <f>IFERROR(H2/G2, 0)</f>
        <v>1.0458038994066121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10465</v>
      </c>
      <c r="D4" s="13">
        <v>0</v>
      </c>
      <c r="E4" s="13">
        <f>IF(AND(ISNUMBER(C4),ISNUMBER(D4)), C4-D4, "")</f>
        <v>10465</v>
      </c>
      <c r="F4" s="14" t="str">
        <f>IFERROR(E4/D4, "")</f>
        <v/>
      </c>
      <c r="G4" s="15">
        <v>0</v>
      </c>
      <c r="H4" s="15">
        <f>IF(AND(ISNUMBER(C4),ISNUMBER(G4)), C4-G4, "")</f>
        <v>10465</v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>
        <v>18495.400000000001</v>
      </c>
      <c r="D5" s="18">
        <v>0</v>
      </c>
      <c r="E5" s="18">
        <f t="shared" ref="E5" si="0">IF(AND(ISNUMBER(C5),ISNUMBER(D5)), C5-D5, "")</f>
        <v>18495.400000000001</v>
      </c>
      <c r="F5" s="19" t="str">
        <f>IFERROR(E5/D5, "")</f>
        <v/>
      </c>
      <c r="G5" s="20">
        <v>14156</v>
      </c>
      <c r="H5" s="20">
        <f t="shared" ref="H5" si="1">IF(AND(ISNUMBER(C5),ISNUMBER(G5)), C5-G5, "")</f>
        <v>4339.4000000000015</v>
      </c>
      <c r="I5" s="19">
        <f t="shared" ref="I5" si="2">IFERROR(H5/G5, "")</f>
        <v>0.30654139587454093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1"/>
  <sheetViews>
    <sheetView workbookViewId="0">
      <pane xSplit="2" ySplit="3" topLeftCell="C4" activePane="bottomRight" state="frozen"/>
      <selection pane="bottomRight" activeCell="H4" sqref="H4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30</v>
      </c>
      <c r="E1" s="54"/>
      <c r="F1" s="54"/>
      <c r="G1" s="52" t="s">
        <v>31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32206.1</v>
      </c>
      <c r="D2" s="5">
        <f>SUM(D4:D69)</f>
        <v>0</v>
      </c>
      <c r="E2" s="5">
        <f>C2-D2</f>
        <v>32206.1</v>
      </c>
      <c r="F2" s="6">
        <f>IFERROR(E2/D2, 0)</f>
        <v>0</v>
      </c>
      <c r="G2" s="5">
        <f>SUM(G4:G69)</f>
        <v>14559</v>
      </c>
      <c r="H2" s="7">
        <f>C2-G2</f>
        <v>17647.099999999999</v>
      </c>
      <c r="I2" s="6">
        <f>IFERROR(H2/G2, 0)</f>
        <v>1.2121093481695171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11641</v>
      </c>
      <c r="D4" s="13">
        <v>0</v>
      </c>
      <c r="E4" s="13">
        <f>IF(AND(ISNUMBER(C4),ISNUMBER(D4)), C4-D4, "")</f>
        <v>11641</v>
      </c>
      <c r="F4" s="14" t="str">
        <f>IFERROR(E4/D4, "")</f>
        <v/>
      </c>
      <c r="G4" s="15">
        <v>0</v>
      </c>
      <c r="H4" s="15">
        <f>IF(AND(ISNUMBER(C4),ISNUMBER(G4)), C4-G4, "")</f>
        <v>11641</v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>
        <v>20565.099999999999</v>
      </c>
      <c r="D5" s="18">
        <v>0</v>
      </c>
      <c r="E5" s="18">
        <f t="shared" ref="E5" si="0">IF(AND(ISNUMBER(C5),ISNUMBER(D5)), C5-D5, "")</f>
        <v>20565.099999999999</v>
      </c>
      <c r="F5" s="19" t="str">
        <f>IFERROR(E5/D5, "")</f>
        <v/>
      </c>
      <c r="G5" s="20">
        <v>14559</v>
      </c>
      <c r="H5" s="20">
        <f t="shared" ref="H5" si="1">IF(AND(ISNUMBER(C5),ISNUMBER(G5)), C5-G5, "")</f>
        <v>6006.0999999999985</v>
      </c>
      <c r="I5" s="19">
        <f t="shared" ref="I5" si="2">IFERROR(H5/G5, "")</f>
        <v>0.41253520159351592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1"/>
  <sheetViews>
    <sheetView workbookViewId="0">
      <pane xSplit="2" ySplit="3" topLeftCell="C4" activePane="bottomRight" state="frozen"/>
      <selection pane="bottomRight" activeCell="G5" sqref="G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32</v>
      </c>
      <c r="E1" s="54"/>
      <c r="F1" s="54"/>
      <c r="G1" s="52" t="s">
        <v>33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28842.5</v>
      </c>
      <c r="D2" s="5">
        <f>SUM(D4:D69)</f>
        <v>0</v>
      </c>
      <c r="E2" s="5">
        <f>C2-D2</f>
        <v>28842.5</v>
      </c>
      <c r="F2" s="6">
        <f>IFERROR(E2/D2, 0)</f>
        <v>0</v>
      </c>
      <c r="G2" s="5">
        <f>SUM(G4:G69)</f>
        <v>15470.001</v>
      </c>
      <c r="H2" s="7">
        <f>C2-G2</f>
        <v>13372.499</v>
      </c>
      <c r="I2" s="6">
        <f>IFERROR(H2/G2, 0)</f>
        <v>0.86441487624984636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10356</v>
      </c>
      <c r="D4" s="13">
        <v>0</v>
      </c>
      <c r="E4" s="13">
        <f>IF(AND(ISNUMBER(C4),ISNUMBER(D4)), C4-D4, "")</f>
        <v>10356</v>
      </c>
      <c r="F4" s="14" t="str">
        <f>IFERROR(E4/D4, "")</f>
        <v/>
      </c>
      <c r="G4" s="15">
        <v>0</v>
      </c>
      <c r="H4" s="15">
        <f>IF(AND(ISNUMBER(C4),ISNUMBER(G4)), C4-G4, "")</f>
        <v>10356</v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>
        <v>18486.5</v>
      </c>
      <c r="D5" s="18">
        <v>0</v>
      </c>
      <c r="E5" s="18">
        <f t="shared" ref="E5" si="0">IF(AND(ISNUMBER(C5),ISNUMBER(D5)), C5-D5, "")</f>
        <v>18486.5</v>
      </c>
      <c r="F5" s="19" t="str">
        <f>IFERROR(E5/D5, "")</f>
        <v/>
      </c>
      <c r="G5" s="20">
        <v>15470.001</v>
      </c>
      <c r="H5" s="20">
        <f t="shared" ref="H5" si="1">IF(AND(ISNUMBER(C5),ISNUMBER(G5)), C5-G5, "")</f>
        <v>3016.4989999999998</v>
      </c>
      <c r="I5" s="19">
        <f t="shared" ref="I5" si="2">IFERROR(H5/G5, "")</f>
        <v>0.19499022656818185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69 I4:I69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1"/>
  <sheetViews>
    <sheetView workbookViewId="0">
      <pane xSplit="2" ySplit="3" topLeftCell="C4" activePane="bottomRight" state="frozen"/>
      <selection pane="bottomRight" activeCell="G5" sqref="G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34</v>
      </c>
      <c r="E1" s="54"/>
      <c r="F1" s="54"/>
      <c r="G1" s="52" t="s">
        <v>35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26890.2</v>
      </c>
      <c r="D2" s="5">
        <f>SUM(D4:D69)</f>
        <v>0</v>
      </c>
      <c r="E2" s="5">
        <f>C2-D2</f>
        <v>26890.2</v>
      </c>
      <c r="F2" s="6">
        <f>IFERROR(E2/D2, 0)</f>
        <v>0</v>
      </c>
      <c r="G2" s="5">
        <f>SUM(G4:G69)</f>
        <v>14048.998</v>
      </c>
      <c r="H2" s="7">
        <f>C2-G2</f>
        <v>12841.202000000001</v>
      </c>
      <c r="I2" s="6">
        <f>IFERROR(H2/G2, 0)</f>
        <v>0.91402974076870114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9754</v>
      </c>
      <c r="D4" s="13">
        <v>0</v>
      </c>
      <c r="E4" s="13">
        <f>IF(AND(ISNUMBER(C4),ISNUMBER(D4)), C4-D4, "")</f>
        <v>9754</v>
      </c>
      <c r="F4" s="14" t="str">
        <f>IFERROR(E4/D4, "")</f>
        <v/>
      </c>
      <c r="G4" s="15">
        <v>0</v>
      </c>
      <c r="H4" s="15">
        <f>IF(AND(ISNUMBER(C4),ISNUMBER(G4)), C4-G4, "")</f>
        <v>9754</v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>
        <v>17136.2</v>
      </c>
      <c r="D5" s="18">
        <v>0</v>
      </c>
      <c r="E5" s="18">
        <f t="shared" ref="E5" si="0">IF(AND(ISNUMBER(C5),ISNUMBER(D5)), C5-D5, "")</f>
        <v>17136.2</v>
      </c>
      <c r="F5" s="19" t="str">
        <f>IFERROR(E5/D5, "")</f>
        <v/>
      </c>
      <c r="G5" s="20">
        <v>14048.998</v>
      </c>
      <c r="H5" s="20">
        <f t="shared" ref="H5" si="1">IF(AND(ISNUMBER(C5),ISNUMBER(G5)), C5-G5, "")</f>
        <v>3087.2020000000011</v>
      </c>
      <c r="I5" s="19">
        <f t="shared" ref="I5" si="2">IFERROR(H5/G5, "")</f>
        <v>0.21974535123430164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1"/>
  <sheetViews>
    <sheetView workbookViewId="0">
      <pane xSplit="2" ySplit="3" topLeftCell="C4" activePane="bottomRight" state="frozen"/>
      <selection pane="bottomRight" activeCell="F16" sqref="F16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36</v>
      </c>
      <c r="E1" s="54"/>
      <c r="F1" s="54"/>
      <c r="G1" s="52" t="s">
        <v>37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22608.2</v>
      </c>
      <c r="D2" s="5">
        <f>SUM(D4:D69)</f>
        <v>0</v>
      </c>
      <c r="E2" s="5">
        <f>C2-D2</f>
        <v>22608.2</v>
      </c>
      <c r="F2" s="6">
        <f>IFERROR(E2/D2, 0)</f>
        <v>0</v>
      </c>
      <c r="G2" s="5">
        <f>SUM(G4:G69)</f>
        <v>12246</v>
      </c>
      <c r="H2" s="7">
        <f>C2-G2</f>
        <v>10362.200000000001</v>
      </c>
      <c r="I2" s="6">
        <f>IFERROR(H2/G2, 0)</f>
        <v>0.84617017801731187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8235</v>
      </c>
      <c r="D4" s="13">
        <v>0</v>
      </c>
      <c r="E4" s="13">
        <f>IF(AND(ISNUMBER(C4),ISNUMBER(D4)), C4-D4, "")</f>
        <v>8235</v>
      </c>
      <c r="F4" s="14" t="str">
        <f>IFERROR(E4/D4, "")</f>
        <v/>
      </c>
      <c r="G4" s="15">
        <v>0</v>
      </c>
      <c r="H4" s="15">
        <f>IF(AND(ISNUMBER(C4),ISNUMBER(G4)), C4-G4, "")</f>
        <v>8235</v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>
        <v>14373.2</v>
      </c>
      <c r="D5" s="18">
        <v>0</v>
      </c>
      <c r="E5" s="18">
        <f t="shared" ref="E5" si="0">IF(AND(ISNUMBER(C5),ISNUMBER(D5)), C5-D5, "")</f>
        <v>14373.2</v>
      </c>
      <c r="F5" s="19" t="str">
        <f>IFERROR(E5/D5, "")</f>
        <v/>
      </c>
      <c r="G5" s="20">
        <v>12246</v>
      </c>
      <c r="H5" s="20">
        <f t="shared" ref="H5" si="1">IF(AND(ISNUMBER(C5),ISNUMBER(G5)), C5-G5, "")</f>
        <v>2127.2000000000007</v>
      </c>
      <c r="I5" s="19">
        <f t="shared" ref="I5" si="2">IFERROR(H5/G5, "")</f>
        <v>0.17370569982034956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1"/>
  <sheetViews>
    <sheetView workbookViewId="0">
      <pane xSplit="2" ySplit="3" topLeftCell="C4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38</v>
      </c>
      <c r="E1" s="54"/>
      <c r="F1" s="54"/>
      <c r="G1" s="52" t="s">
        <v>39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1"/>
  <sheetViews>
    <sheetView workbookViewId="0">
      <pane xSplit="2" ySplit="3" topLeftCell="C4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40</v>
      </c>
      <c r="E1" s="54"/>
      <c r="F1" s="54"/>
      <c r="G1" s="52" t="s">
        <v>41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1"/>
  <sheetViews>
    <sheetView workbookViewId="0">
      <pane xSplit="2" ySplit="3" topLeftCell="C4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42</v>
      </c>
      <c r="E1" s="54"/>
      <c r="F1" s="54"/>
      <c r="G1" s="52" t="s">
        <v>43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8" sqref="D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44</v>
      </c>
      <c r="B1" t="s">
        <v>45</v>
      </c>
    </row>
    <row r="3" spans="1:12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12" ht="14.45">
      <c r="A4" s="3" t="s">
        <v>49</v>
      </c>
      <c r="B4" s="3" t="s">
        <v>50</v>
      </c>
      <c r="C4" s="51" t="s">
        <v>51</v>
      </c>
      <c r="D4" s="2" t="s">
        <v>52</v>
      </c>
      <c r="E4" t="s">
        <v>53</v>
      </c>
      <c r="G4" s="3"/>
    </row>
    <row r="5" spans="1:12" ht="14.45">
      <c r="A5" s="3" t="s">
        <v>54</v>
      </c>
      <c r="B5" s="3" t="s">
        <v>54</v>
      </c>
      <c r="C5" s="51" t="s">
        <v>51</v>
      </c>
      <c r="D5" s="2" t="s">
        <v>55</v>
      </c>
      <c r="E5" t="s">
        <v>53</v>
      </c>
      <c r="G5" s="3"/>
    </row>
    <row r="6" spans="1:12" ht="14.45">
      <c r="A6" s="48"/>
      <c r="C6" s="45"/>
      <c r="D6" s="44"/>
      <c r="G6" s="3"/>
    </row>
    <row r="7" spans="1:12" ht="12.75" customHeight="1">
      <c r="A7" s="48"/>
      <c r="C7" s="45"/>
      <c r="D7" s="44"/>
    </row>
    <row r="8" spans="1:12" ht="12.75" customHeight="1">
      <c r="A8" s="48"/>
      <c r="C8" s="45"/>
      <c r="D8" s="44"/>
    </row>
    <row r="9" spans="1:12" ht="12.75" customHeight="1">
      <c r="A9" s="48"/>
      <c r="C9" s="45"/>
      <c r="D9" s="44"/>
    </row>
    <row r="10" spans="1:12" ht="12.75" customHeight="1">
      <c r="A10" s="48"/>
      <c r="C10" s="45"/>
      <c r="D10" s="44"/>
      <c r="K10" s="42"/>
      <c r="L10" s="42"/>
    </row>
    <row r="11" spans="1:12" ht="12.75" customHeight="1">
      <c r="A11" s="48"/>
      <c r="C11" s="45"/>
      <c r="D11" s="44"/>
      <c r="K11" s="42"/>
      <c r="L11" s="42"/>
    </row>
    <row r="12" spans="1:12" ht="12.75" customHeight="1">
      <c r="A12" s="48"/>
      <c r="C12" s="45"/>
      <c r="D12" s="44"/>
      <c r="K12" s="42"/>
      <c r="L12" s="42"/>
    </row>
    <row r="13" spans="1:12" ht="12.75" customHeight="1">
      <c r="A13" s="48"/>
      <c r="C13" s="45"/>
      <c r="D13" s="44"/>
      <c r="K13" s="42"/>
      <c r="L13" s="42"/>
    </row>
    <row r="14" spans="1:12" ht="12.75" customHeight="1">
      <c r="A14" s="48"/>
      <c r="C14" s="45"/>
      <c r="D14" s="44"/>
      <c r="K14" s="42"/>
      <c r="L14" s="42"/>
    </row>
    <row r="15" spans="1:12" ht="12.75" customHeight="1">
      <c r="A15" s="48"/>
      <c r="C15" s="45"/>
      <c r="D15" s="44"/>
      <c r="K15" s="42"/>
      <c r="L15" s="42"/>
    </row>
    <row r="16" spans="1:12" ht="12.75" customHeight="1">
      <c r="A16" s="48"/>
      <c r="C16" s="45"/>
      <c r="D16" s="44"/>
      <c r="K16" s="42"/>
      <c r="L16" s="42"/>
    </row>
    <row r="17" spans="1:12" ht="12.75" customHeight="1">
      <c r="A17" s="48"/>
      <c r="C17" s="45"/>
      <c r="D17" s="44"/>
      <c r="K17" s="42"/>
      <c r="L17" s="42"/>
    </row>
    <row r="18" spans="1:12" ht="12.75" customHeight="1">
      <c r="A18" s="48"/>
      <c r="C18" s="45"/>
      <c r="D18" s="44"/>
      <c r="K18" s="42"/>
      <c r="L18" s="42"/>
    </row>
    <row r="19" spans="1:12" ht="12.75" customHeight="1">
      <c r="A19" s="48"/>
      <c r="C19" s="45"/>
      <c r="D19" s="44"/>
      <c r="K19" s="42"/>
      <c r="L19" s="42"/>
    </row>
    <row r="20" spans="1:12" ht="12.75" customHeight="1">
      <c r="A20" s="48"/>
      <c r="C20" s="45"/>
      <c r="D20" s="44"/>
      <c r="K20" s="42"/>
      <c r="L20" s="42"/>
    </row>
    <row r="21" spans="1:12" ht="12.75" customHeight="1">
      <c r="A21" s="48"/>
      <c r="C21" s="45"/>
      <c r="D21" s="44"/>
      <c r="K21" s="42"/>
      <c r="L21" s="42"/>
    </row>
    <row r="22" spans="1:12" ht="12.75" customHeight="1">
      <c r="A22" s="48"/>
      <c r="C22" s="45"/>
      <c r="D22" s="44"/>
      <c r="K22" s="42"/>
      <c r="L22" s="42"/>
    </row>
    <row r="23" spans="1:12" ht="12.75" customHeight="1">
      <c r="A23" s="48"/>
      <c r="C23" s="45"/>
      <c r="D23" s="44"/>
      <c r="K23" s="42"/>
      <c r="L23" s="42"/>
    </row>
    <row r="24" spans="1:12" ht="12.75" customHeight="1">
      <c r="A24" s="48"/>
      <c r="C24" s="45"/>
      <c r="D24" s="44"/>
      <c r="K24" s="42"/>
      <c r="L24" s="42"/>
    </row>
    <row r="25" spans="1:12" ht="12.75" customHeight="1">
      <c r="A25" s="48"/>
      <c r="C25" s="45"/>
      <c r="D25" s="44"/>
      <c r="K25" s="42"/>
      <c r="L25" s="42"/>
    </row>
    <row r="26" spans="1:12" ht="12.75" customHeight="1">
      <c r="K26" s="42"/>
      <c r="L26" s="42"/>
    </row>
    <row r="27" spans="1:12" ht="12.75" customHeight="1">
      <c r="K27" s="42"/>
      <c r="L27" s="42"/>
    </row>
    <row r="28" spans="1:12" ht="12.75" customHeight="1">
      <c r="K28" s="42"/>
      <c r="L28" s="42"/>
    </row>
    <row r="29" spans="1:12" ht="12.75" customHeight="1">
      <c r="K29" s="42"/>
      <c r="L29" s="42"/>
    </row>
    <row r="30" spans="1:12" ht="12.75" customHeight="1">
      <c r="K30" s="42"/>
      <c r="L30" s="42"/>
    </row>
    <row r="31" spans="1:12" ht="12.75" customHeight="1">
      <c r="K31" s="42"/>
      <c r="L31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D3A7101F-9A85-4235-8B03-415370C100B2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F12EFA50-0068-4A8C-85A0-F1B26389EBC3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C0BCDC1E-6052-4E48-9BAF-94A40814E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2024-10-15T12:07:35Z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