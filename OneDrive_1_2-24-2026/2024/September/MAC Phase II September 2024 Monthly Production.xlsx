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4" documentId="13_ncr:1_{62E430DC-A915-426E-8A14-5E16AFA8EB75}" xr6:coauthVersionLast="47" xr6:coauthVersionMax="47" xr10:uidLastSave="{5A547C87-A3E9-4337-A2BC-5A70F70DB129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E4" i="28"/>
  <c r="E4" i="26"/>
  <c r="H4" i="4"/>
  <c r="H4" i="3"/>
  <c r="G4" i="18"/>
  <c r="E4" i="72" l="1"/>
  <c r="E4" i="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I4" i="3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F4" i="28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F4" i="26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F4" i="72"/>
  <c r="A1" i="72" a="1"/>
  <c r="A1" i="72" s="1"/>
  <c r="H2" i="27" l="1"/>
  <c r="I2" i="27" s="1"/>
  <c r="H2" i="26"/>
  <c r="I2" i="26" s="1"/>
  <c r="E2" i="20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<sst xmlns="http://schemas.openxmlformats.org/spreadsheetml/2006/main" count="238" uniqueCount="51">
  <si>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</si>
  <si>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</si>
  <si>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</si>
  <si>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</si>
  <si>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</si>
  <si>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</si>
  <si>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</si>
  <si>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</si>
  <si>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</si>
  <si>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</si>
  <si>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</si>
  <si>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</si>
  <si>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</si>
  <si>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</si>
  <si>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</si>
  <si>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</si>
  <si>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</si>
  <si>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</si>
  <si>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</si>
  <si>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</si>
  <si>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</si>
  <si>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</si>
  <si>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</si>
  <si>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</si>
  <si>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</si>
  <si>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</si>
  <si>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</si>
  <si>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</si>
  <si>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</si>
  <si>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</si>
  <si>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</si>
  <si>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</si>
  <si>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</si>
  <si>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</si>
  <si>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</si>
  <si>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</si>
  <si>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</si>
  <si>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</si>
  <si>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</si>
  <si>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</si>
  <si>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</si>
  <si>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</si>
  <si>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</si>
  <si>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</si>
  <si>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</si>
  <si>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II</t>
  </si>
  <si>
    <t>Site DAS Name</t>
  </si>
  <si>
    <t>Update</t>
  </si>
  <si>
    <t>DAS</t>
  </si>
  <si>
    <t>MAC - Phase 2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</si>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</sst>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3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right style="thin">
          <color rgb="FF00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SUM(C4:C89)</f>
        <v>840722</v>
      </c>
      <c r="D2" s="6">
        <f>SUM(D4:D89)</f>
        <v>866159.94</v>
      </c>
      <c r="E2" s="6">
        <f>C2-D2</f>
        <v>-25437.939999999944</v>
      </c>
      <c r="F2" s="7">
        <f>IFERROR(E2/D2, 0)</f>
        <v>-2.9368640623116265E-2</v>
      </c>
      <c r="G2" s="6">
        <f>SUM(G4:G89)</f>
        <v>992844.31799999997</v>
      </c>
      <c r="H2" s="8">
        <f>C2-G2</f>
        <v>-152122.31799999997</v>
      </c>
      <c r="I2" s="7">
        <f>IFERROR(H2/G2, 0)</f>
        <v>-0.15321870231018431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SUM('1st Qtr'!C4, '2nd Qtr'!C4, '3rd Qtr'!C4, '4th Qtr'!C4)</f>
        <v>840722</v>
      </c>
      <c r="D4" s="14">
        <f>SUM('1st Qtr'!D4, '2nd Qtr'!D4, '3rd Qtr'!D4, '4th Qtr'!D4)</f>
        <v>866159.94</v>
      </c>
      <c r="E4" s="14">
        <f>IF(AND(ISNUMBER(C4),ISNUMBER(D4)), C4-D4, "")</f>
        <v>-25437.939999999944</v>
      </c>
      <c r="F4" s="15">
        <f>IFERROR(E4/D4, 0)</f>
        <v>-2.9368640623116265E-2</v>
      </c>
      <c r="G4" s="16">
        <f>SUM('1st Qtr'!G4,'2nd Qtr'!G4,'3rd Qtr'!G4,'4th Qtr'!G4)</f>
        <v>992844.31799999997</v>
      </c>
      <c r="H4" s="16">
        <f>SUM('1st Qtr'!H4, '2nd Qtr'!H4, '3rd Qtr'!H4, '4th Qtr'!H4)</f>
        <v>-152122.318</v>
      </c>
      <c r="I4" s="17">
        <f>IFERROR(H4/G4, 0)</f>
        <v>-0.15321870231018433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I4" sqref="I4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SUM(C4:C89)</f>
        <v>186219</v>
      </c>
      <c r="D2" s="6">
        <f>SUM(D4:D89)</f>
        <v>218647.715</v>
      </c>
      <c r="E2" s="6">
        <f>C2-D2</f>
        <v>-32428.714999999997</v>
      </c>
      <c r="F2" s="7">
        <f>IFERROR(E2/D2, 0)</f>
        <v>-0.1483149046400965</v>
      </c>
      <c r="G2" s="6">
        <f>SUM(G4:G89)</f>
        <v>259441.318</v>
      </c>
      <c r="H2" s="8">
        <f>C2-G2</f>
        <v>-73222.317999999999</v>
      </c>
      <c r="I2" s="7">
        <f>IFERROR(H2/G2, 0)</f>
        <v>-0.2822307509245694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SUM(Jan!C4, Feb!C4, Mar!C4)</f>
        <v>186219</v>
      </c>
      <c r="D4" s="14">
        <f>SUM(Jan!D4, Feb!D4, Mar!D4)</f>
        <v>218647.715</v>
      </c>
      <c r="E4" s="14">
        <f>IF(AND(ISNUMBER(C4),ISNUMBER(D4)), C4-D4, "")</f>
        <v>-32428.714999999997</v>
      </c>
      <c r="F4" s="15">
        <f>IFERROR(E4/D4, 0)</f>
        <v>-0.1483149046400965</v>
      </c>
      <c r="G4" s="16">
        <f>SUM(Jan!G4, Feb!G4, Mar!G4)</f>
        <v>259441.318</v>
      </c>
      <c r="H4" s="16">
        <f>SUM(Jan!H4, Feb!H4, Mar!H4)</f>
        <v>-73222.317999999999</v>
      </c>
      <c r="I4" s="17">
        <f>IFERROR(H4/G4, 0)</f>
        <v>-0.2822307509245694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I4" sqref="I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SUM(C4:C89)</f>
        <v>317286</v>
      </c>
      <c r="D2" s="6">
        <f>SUM(D4:D89)</f>
        <v>310548</v>
      </c>
      <c r="E2" s="6">
        <f>C2-D2</f>
        <v>6738</v>
      </c>
      <c r="F2" s="7">
        <f>IFERROR(E2/D2, 0)</f>
        <v>2.1697128946249856E-2</v>
      </c>
      <c r="G2" s="6">
        <f>SUM(G4:G89)</f>
        <v>372945</v>
      </c>
      <c r="H2" s="8">
        <f>C2-G2</f>
        <v>-55659</v>
      </c>
      <c r="I2" s="7">
        <f>IFERROR(H2/G2, 0)</f>
        <v>-0.14924184531231147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SUM(Apr!C4, May!C4, Jun!C4)</f>
        <v>317286</v>
      </c>
      <c r="D4" s="14">
        <f>SUM(Apr!D4, May!D4, Jun!D4)</f>
        <v>310548</v>
      </c>
      <c r="E4" s="14">
        <f>IF(AND(ISNUMBER(C4),ISNUMBER(D4)), C4-D4, "")</f>
        <v>6738</v>
      </c>
      <c r="F4" s="15">
        <f>IFERROR(E4/D4, "")</f>
        <v>2.1697128946249856E-2</v>
      </c>
      <c r="G4" s="16">
        <f>SUM(Apr!G4,May!G4,Jun!G4)</f>
        <v>372945</v>
      </c>
      <c r="H4" s="16">
        <f>SUM(Apr!H4, May!H4, Jun!H4)</f>
        <v>-55659</v>
      </c>
      <c r="I4" s="17">
        <f>IFERROR(H4/G4, "")</f>
        <v>-0.14924184531231147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337217</v>
      </c>
      <c r="D2" s="6">
        <f>SUM(D4:D89)</f>
        <v>336964.22499999998</v>
      </c>
      <c r="E2" s="6">
        <f>C2-D2</f>
        <v>252.77500000002328</v>
      </c>
      <c r="F2" s="7">
        <f>IFERROR(E2/D2, 0)</f>
        <v>7.5015381825777885E-4</v>
      </c>
      <c r="G2" s="6">
        <f>SUM(G4:G89)</f>
        <v>360458</v>
      </c>
      <c r="H2" s="8">
        <f>C2-G2</f>
        <v>-23241</v>
      </c>
      <c r="I2" s="7">
        <f>IFERROR(H2/G2, 0)</f>
        <v>-6.4476305145120927E-2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SUM(Jul!C4, Aug!C4, Sep!C4)</f>
        <v>337217</v>
      </c>
      <c r="D4" s="14">
        <f>SUM(Jul!D4, Aug!D4, Sep!D4)</f>
        <v>336964.22499999998</v>
      </c>
      <c r="E4" s="14">
        <f>IF(AND(ISNUMBER(C4),ISNUMBER(D4)), C4-D4, "")</f>
        <v>252.77500000002328</v>
      </c>
      <c r="F4" s="15">
        <f>IFERROR(E4/D4, "")</f>
        <v>7.5015381825777885E-4</v>
      </c>
      <c r="G4" s="16">
        <f>SUM(Jul!G4,Aug!G4,Sep!G4)</f>
        <v>360458</v>
      </c>
      <c r="H4" s="16">
        <f>SUM(Jul!H4, Aug!H4, Sep!H4)</f>
        <v>-23241</v>
      </c>
      <c r="I4" s="17">
        <f>IFERROR(H4/G4, "")</f>
        <v>-6.4476305145120927E-2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14" sqref="G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32705</v>
      </c>
      <c r="D2" s="6">
        <f>SUM(D4:D89)</f>
        <v>38564.798000000003</v>
      </c>
      <c r="E2" s="6">
        <f>C2-D2</f>
        <v>-5859.7980000000025</v>
      </c>
      <c r="F2" s="7">
        <f>IFERROR(E2/D2, 0)</f>
        <v>-0.1519468091081406</v>
      </c>
      <c r="G2" s="6">
        <f>SUM(G4:G89)</f>
        <v>71547.255000000005</v>
      </c>
      <c r="H2" s="8">
        <f>C2-G2</f>
        <v>-38842.255000000005</v>
      </c>
      <c r="I2" s="7">
        <f>IFERROR(H2/G2, 0)</f>
        <v>-0.54288952105849486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32705</v>
      </c>
      <c r="D4" s="14">
        <v>38564.798000000003</v>
      </c>
      <c r="E4" s="14">
        <f>IF(AND(ISNUMBER(C4),ISNUMBER(D4)), C4-D4, "")</f>
        <v>-5859.7980000000025</v>
      </c>
      <c r="F4" s="15">
        <f>IFERROR(E4/D4, 0)</f>
        <v>-0.1519468091081406</v>
      </c>
      <c r="G4" s="16">
        <v>71547.255000000005</v>
      </c>
      <c r="H4" s="16">
        <f>IF(AND(ISNUMBER(C4),ISNUMBER(G4)), C4-G4, "")</f>
        <v>-38842.255000000005</v>
      </c>
      <c r="I4" s="17">
        <f>IFERROR(H4/G4, 0)</f>
        <v>-0.54288952105849486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H4" sqref="H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61184</v>
      </c>
      <c r="D2" s="6">
        <f>SUM(D4:D90)</f>
        <v>80052.623999999996</v>
      </c>
      <c r="E2" s="6">
        <f>C2-D2</f>
        <v>-18868.623999999996</v>
      </c>
      <c r="F2" s="7">
        <f>IFERROR(E2/D2, 0)</f>
        <v>-0.23570275472793992</v>
      </c>
      <c r="G2" s="6">
        <f>SUM(G4:G90)</f>
        <v>83809.535999999993</v>
      </c>
      <c r="H2" s="8">
        <f>C2-G2</f>
        <v>-22625.535999999993</v>
      </c>
      <c r="I2" s="7">
        <f>IFERROR(H2/G2, 0)</f>
        <v>-0.2699637425507283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61184</v>
      </c>
      <c r="D4" s="14">
        <v>80052.623999999996</v>
      </c>
      <c r="E4" s="14">
        <f>IF(AND(ISNUMBER(C4),ISNUMBER(D4)), C4-D4, "")</f>
        <v>-18868.623999999996</v>
      </c>
      <c r="F4" s="15">
        <f>IFERROR(E4/D4, "")</f>
        <v>-0.23570275472793992</v>
      </c>
      <c r="G4" s="16">
        <v>83809.535999999993</v>
      </c>
      <c r="H4" s="16">
        <f>IF(AND(ISNUMBER(C4),ISNUMBER(G4)), C4-G4, "")</f>
        <v>-22625.535999999993</v>
      </c>
      <c r="I4" s="17">
        <f>IFERROR(H4/G4, "")</f>
        <v>-0.2699637425507283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H9" sqref="H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92330</v>
      </c>
      <c r="D2" s="6">
        <f>SUM(D4:D90)</f>
        <v>100030.29300000001</v>
      </c>
      <c r="E2" s="6">
        <f>C2-D2</f>
        <v>-7700.2930000000051</v>
      </c>
      <c r="F2" s="7">
        <f>IFERROR(E2/D2, 0)</f>
        <v>-7.6979610566571113E-2</v>
      </c>
      <c r="G2" s="6">
        <f>SUM(G4:G90)</f>
        <v>104084.527</v>
      </c>
      <c r="H2" s="8">
        <f>C2-G2</f>
        <v>-11754.527000000002</v>
      </c>
      <c r="I2" s="7">
        <f>IFERROR(H2/G2, 0)</f>
        <v>-0.11293251109264302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92330</v>
      </c>
      <c r="D4" s="14">
        <v>100030.29300000001</v>
      </c>
      <c r="E4" s="14">
        <f>IF(AND(ISNUMBER(C4),ISNUMBER(D4)), C4-D4, "")</f>
        <v>-7700.2930000000051</v>
      </c>
      <c r="F4" s="15">
        <f>IFERROR(E4/D4, "")</f>
        <v>-7.6979610566571113E-2</v>
      </c>
      <c r="G4" s="16">
        <v>104084.527</v>
      </c>
      <c r="H4" s="16">
        <f>IF(AND(ISNUMBER(C4),ISNUMBER(G4)), C4-G4, "")</f>
        <v>-11754.527000000002</v>
      </c>
      <c r="I4" s="17">
        <f>IFERROR(H4/G4, "")</f>
        <v>-0.11293251109264302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91983</v>
      </c>
      <c r="D2" s="6">
        <f>SUM(D4:D90)</f>
        <v>92446</v>
      </c>
      <c r="E2" s="6">
        <f>C2-D2</f>
        <v>-463</v>
      </c>
      <c r="F2" s="7">
        <f>IFERROR(E2/D2, 0)</f>
        <v>-5.0083291867684919E-3</v>
      </c>
      <c r="G2" s="6">
        <f>SUM(G4:G90)</f>
        <v>109491</v>
      </c>
      <c r="H2" s="8">
        <f>C2-G2</f>
        <v>-17508</v>
      </c>
      <c r="I2" s="7">
        <f>IFERROR(H2/G2, 0)</f>
        <v>-0.15990355371674383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91983</v>
      </c>
      <c r="D4" s="14">
        <v>92446</v>
      </c>
      <c r="E4" s="14">
        <f>IF(AND(ISNUMBER(C4),ISNUMBER(D4)), C4-D4, "")</f>
        <v>-463</v>
      </c>
      <c r="F4" s="15">
        <f>IFERROR(E4/D4, "")</f>
        <v>-5.0083291867684919E-3</v>
      </c>
      <c r="G4" s="16">
        <v>109491</v>
      </c>
      <c r="H4" s="16">
        <f>IF(AND(ISNUMBER(C4),ISNUMBER(G4)), C4-G4, "")</f>
        <v>-17508</v>
      </c>
      <c r="I4" s="17">
        <f>IFERROR(H4/G4, "")</f>
        <v>-0.15990355371674383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2" sqref="G12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118190</v>
      </c>
      <c r="D2" s="6">
        <f>SUM(D4:D90)</f>
        <v>115597</v>
      </c>
      <c r="E2" s="6">
        <f>C2-D2</f>
        <v>2593</v>
      </c>
      <c r="F2" s="7">
        <f>IFERROR(E2/D2, 0)</f>
        <v>2.2431377976937117E-2</v>
      </c>
      <c r="G2" s="6">
        <f>SUM(G4:G90)</f>
        <v>130996</v>
      </c>
      <c r="H2" s="8">
        <f>C2-G2</f>
        <v>-12806</v>
      </c>
      <c r="I2" s="7">
        <f>IFERROR(H2/G2, 0)</f>
        <v>-9.7758710189624107E-2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118190</v>
      </c>
      <c r="D4" s="14">
        <v>115597</v>
      </c>
      <c r="E4" s="14">
        <f>IF(AND(ISNUMBER(C4),ISNUMBER(D4)), C4-D4, "")</f>
        <v>2593</v>
      </c>
      <c r="F4" s="15">
        <f>IFERROR(E4/D4, "")</f>
        <v>2.2431377976937117E-2</v>
      </c>
      <c r="G4" s="16">
        <v>130996</v>
      </c>
      <c r="H4" s="16">
        <f>IF(AND(ISNUMBER(C4),ISNUMBER(G4)), C4-G4, "")</f>
        <v>-12806</v>
      </c>
      <c r="I4" s="17">
        <f>IFERROR(H4/G4, "")</f>
        <v>-9.7758710189624107E-2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13" sqref="G13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107113</v>
      </c>
      <c r="D2" s="6">
        <f>SUM(D4:D90)</f>
        <v>102505</v>
      </c>
      <c r="E2" s="6">
        <f>C2-D2</f>
        <v>4608</v>
      </c>
      <c r="F2" s="7">
        <f>IFERROR(E2/D2, 0)</f>
        <v>4.4953904687576214E-2</v>
      </c>
      <c r="G2" s="6">
        <f>SUM(G4:G90)</f>
        <v>132458</v>
      </c>
      <c r="H2" s="8">
        <f>C2-G2</f>
        <v>-25345</v>
      </c>
      <c r="I2" s="7">
        <f>IFERROR(H2/G2, 0)</f>
        <v>-0.19134367120143744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107113</v>
      </c>
      <c r="D4" s="14">
        <v>102505</v>
      </c>
      <c r="E4" s="14">
        <f>IF(AND(ISNUMBER(C4),ISNUMBER(D4)), C4-D4, "")</f>
        <v>4608</v>
      </c>
      <c r="F4" s="15">
        <f>IFERROR(E4/D4, "")</f>
        <v>4.4953904687576214E-2</v>
      </c>
      <c r="G4" s="16">
        <v>132458</v>
      </c>
      <c r="H4" s="16">
        <f>IF(AND(ISNUMBER(C4),ISNUMBER(G4)), C4-G4, "")</f>
        <v>-25345</v>
      </c>
      <c r="I4" s="17">
        <f>IFERROR(H4/G4, "")</f>
        <v>-0.19134367120143744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F11" sqref="F11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118925</v>
      </c>
      <c r="D2" s="6">
        <f>SUM(D4:D85)</f>
        <v>114848</v>
      </c>
      <c r="E2" s="6">
        <f>C2-D2</f>
        <v>4077</v>
      </c>
      <c r="F2" s="7">
        <f>IFERROR(E2/D2, 0)</f>
        <v>3.5499094455280024E-2</v>
      </c>
      <c r="G2" s="6">
        <f>SUM(G4:G85)</f>
        <v>135551</v>
      </c>
      <c r="H2" s="8">
        <f>C2-G2</f>
        <v>-16626</v>
      </c>
      <c r="I2" s="7">
        <f>IFERROR(H2/G2, 0)</f>
        <v>-0.12265494168246638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118925</v>
      </c>
      <c r="D4" s="14">
        <v>114848</v>
      </c>
      <c r="E4" s="14">
        <f>IF(AND(ISNUMBER(C4),ISNUMBER(D4)), C4-D4, "")</f>
        <v>4077</v>
      </c>
      <c r="F4" s="15">
        <f>IFERROR(E4/D4, "")</f>
        <v>3.5499094455280024E-2</v>
      </c>
      <c r="G4" s="16">
        <v>135551</v>
      </c>
      <c r="H4" s="16">
        <f>IF(AND(ISNUMBER(C4),ISNUMBER(G4)), C4-G4, "")</f>
        <v>-16626</v>
      </c>
      <c r="I4" s="17">
        <f>IFERROR(H4/G4, "")</f>
        <v>-0.12265494168246638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/>
    <row r="329" spans="1:11" ht="14.25"/>
    <row r="330" spans="1:11" ht="14.25"/>
    <row r="331" spans="1:11" ht="14.25"/>
    <row r="332" spans="1:11" ht="14.25"/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tabSelected="1" workbookViewId="0">
      <pane ySplit="2" topLeftCell="A3" activePane="bottomLeft" state="frozen"/>
      <selection pane="bottomLeft" activeCell="I14" sqref="I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107895</v>
      </c>
      <c r="D2" s="6">
        <f>SUM(D4:D90)</f>
        <v>108317.22500000001</v>
      </c>
      <c r="E2" s="6">
        <f>C2-D2</f>
        <v>-422.22500000000582</v>
      </c>
      <c r="F2" s="7">
        <f>IFERROR(E2/D2, 0)</f>
        <v>-3.8980411471952478E-3</v>
      </c>
      <c r="G2" s="6">
        <f>SUM(G4:G90)</f>
        <v>121980</v>
      </c>
      <c r="H2" s="8">
        <f>C2-G2</f>
        <v>-14085</v>
      </c>
      <c r="I2" s="7">
        <f>IFERROR(H2/G2, 0)</f>
        <v>-0.11546974913920315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>
        <v>107895</v>
      </c>
      <c r="D4" s="14">
        <v>108317.22500000001</v>
      </c>
      <c r="E4" s="14">
        <f>IF(AND(ISNUMBER(C4),ISNUMBER(D4)), C4-D4, "")</f>
        <v>-422.22500000000582</v>
      </c>
      <c r="F4" s="15">
        <f>IFERROR(E4/D4, "")</f>
        <v>-3.8980411471952478E-3</v>
      </c>
      <c r="G4" s="16">
        <v>121980</v>
      </c>
      <c r="H4" s="16">
        <f>IF(AND(ISNUMBER(C4),ISNUMBER(G4)), C4-G4, "")</f>
        <v>-14085</v>
      </c>
      <c r="I4" s="17">
        <f>IFERROR(H4/G4, "")</f>
        <v>-0.11546974913920315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6" sqref="F16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110397</v>
      </c>
      <c r="D2" s="6">
        <f>SUM(D4:D89)</f>
        <v>113799</v>
      </c>
      <c r="E2" s="6">
        <f>C2-D2</f>
        <v>-3402</v>
      </c>
      <c r="F2" s="7">
        <f>IFERROR(E2/D2, 0)</f>
        <v>-2.9894814541428307E-2</v>
      </c>
      <c r="G2" s="6">
        <f>SUM(G4:G89)</f>
        <v>102927</v>
      </c>
      <c r="H2" s="8">
        <f>C2-G2</f>
        <v>7470</v>
      </c>
      <c r="I2" s="7">
        <f>IFERROR(H2/G2, 0)</f>
        <v>7.2575708997639099E-2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110397</v>
      </c>
      <c r="D4" s="14">
        <v>113799</v>
      </c>
      <c r="E4" s="14">
        <f>IF(AND(ISNUMBER(C4),ISNUMBER(D4)), C4-D4, "")</f>
        <v>-3402</v>
      </c>
      <c r="F4" s="15">
        <f>IFERROR(E4/D4, "")</f>
        <v>-2.9894814541428307E-2</v>
      </c>
      <c r="G4" s="16">
        <v>102927</v>
      </c>
      <c r="H4" s="16">
        <f>IF(AND(ISNUMBER(C4),ISNUMBER(G4)), C4-G4, "")</f>
        <v>7470</v>
      </c>
      <c r="I4" s="17">
        <f>IFERROR(H4/G4, "")</f>
        <v>7.2575708997639099E-2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/>
  </sheetData>
  <mergeCells count="4">
    <mergeCell ref="G1:I1"/>
    <mergeCell ref="A1:C1"/>
    <mergeCell ref="D1:F1"/>
    <mergeCell ref="A2:B2"/>
  </mergeCells>
  <conditionalFormatting sqref="F2 I2 F4:F89 I4:I89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6" t="s">
        <v>45</v>
      </c>
      <c r="B4" s="43" t="s">
        <v>49</v>
      </c>
      <c r="C4" s="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2024-12-25T09:17:16Z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