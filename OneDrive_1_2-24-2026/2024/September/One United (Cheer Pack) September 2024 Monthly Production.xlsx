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9" documentId="13_ncr:1_{6E3A7D26-98C1-49D9-B259-E6E62CE9931B}" xr6:coauthVersionLast="47" xr6:coauthVersionMax="47" xr10:uidLastSave="{C4AE9A61-7395-4ECD-B75C-916284654DF9}"/>
  <bookViews>
    <workbookView xWindow="28680" yWindow="-120" windowWidth="29040" windowHeight="15720" tabRatio="866" firstSheet="1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<sst xmlns="http://schemas.openxmlformats.org/spreadsheetml/2006/main" count="250" uniqueCount="64">
  <si>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</si>
  <si>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</si>
  <si>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</si>
  <si>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</si>
  <si>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</si>
  <si>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</si>
  <si>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</si>
  <si>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</si>
  <si>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</si>
  <si>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</si>
  <si>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</si>
  <si>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</si>
  <si>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</si>
  <si>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</si>
  <si>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</si>
  <si>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</si>
  <si>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</si>
  <si>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</si>
  <si>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</si>
  <si>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</si>
  <si>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</si>
  <si>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</si>
  <si>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</si>
  <si>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</si>
  <si>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</si>
  <si>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</si>
  <si>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1. Inverter 2 is offline due to Isolated fault on 03/22 and the inverter was re energized by technician and is back online on 03/23.</t>
  </si>
  <si>
    <t>1. SR082397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</si>
  <si>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</si>
  <si>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</si>
  <si>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</si>
  <si>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</si>
  <si>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</si>
  <si>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</si>
  <si>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 Inverter 2 is derating from 06/23 at 11:30 approximately 150kW compared to its peer inverters and also Inverter 2 is offline from 06/28</t>
  </si>
  <si>
    <t xml:space="preserve">1.SR086763
</t>
  </si>
  <si>
    <t>July Actual v. Expected</t>
  </si>
  <si>
    <t>July Actual v. Forecasted</t>
  </si>
  <si>
    <t>1. Inverter 2 is derating approximately 200kw compared to its peers inverters from 06/23 to 07/05</t>
  </si>
  <si>
    <t>1. SR086763</t>
  </si>
  <si>
    <t>August Actual v. Expected</t>
  </si>
  <si>
    <t>August Actual v. Forecasted</t>
  </si>
  <si>
    <t>1. Inverter 2 is derating approximately 200kw compared to its peers inverters from 07/29.</t>
  </si>
  <si>
    <t>1. SR088494</t>
  </si>
  <si>
    <t>September Actual v. Expected</t>
  </si>
  <si>
    <t>September Actual v. Forecasted</t>
  </si>
  <si>
    <t>1. Site tripped offline at 14:30 on 09/19 and back online at 14:15 on 09/20.</t>
  </si>
  <si>
    <t>1. SR090872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</si>
  <si>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</si>
  <si>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</si>
  <si>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</si>
  <si>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</si>
  <si>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</si>
  <si>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</si>
  <si>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</si>
  <si>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One United (Cheer Pack)</t>
  </si>
  <si>
    <t>Site DAS Name</t>
  </si>
  <si>
    <t>Update</t>
  </si>
  <si>
    <t>DAS</t>
  </si>
  <si>
    <t>Cheer Pack</t>
  </si>
  <si>
    <t>MA: West Bridgewater - One United</t>
  </si>
  <si>
    <t>MA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</si>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</sst>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49" fontId="30" fillId="38" borderId="0" xfId="2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One United (Cheer Pack)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5">
        <f>SUM(C4:C64)</f>
        <v>1978564</v>
      </c>
      <c r="D2" s="5">
        <f>SUM(D4:D64)</f>
        <v>2074374.9</v>
      </c>
      <c r="E2" s="5">
        <f>C2-D2</f>
        <v>-95810.899999999907</v>
      </c>
      <c r="F2" s="6">
        <f>IFERROR(E2/D2, 0)</f>
        <v>-4.6187841937346964E-2</v>
      </c>
      <c r="G2" s="5">
        <f>SUM(G4:G64)</f>
        <v>1283087.7000000002</v>
      </c>
      <c r="H2" s="7">
        <f>C2-G2</f>
        <v>695476.29999999981</v>
      </c>
      <c r="I2" s="6">
        <f>IFERROR(H2/G2, 0)</f>
        <v>0.54203333100301698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MA: West Bridgewater - One United</v>
      </c>
      <c r="B4" s="9" t="str" cm="1">
        <f t="array" ref="B4">Sites[State]</f>
        <v>MA</v>
      </c>
      <c r="C4" s="18">
        <f>SUM('1st Qtr'!C4, '2nd Qtr'!C4, '3rd Qtr'!C4, '4th Qtr'!C4)</f>
        <v>1978564</v>
      </c>
      <c r="D4" s="11">
        <f>SUM('1st Qtr'!D4, '2nd Qtr'!D4, '3rd Qtr'!D4, '4th Qtr'!D4)</f>
        <v>2074374.9</v>
      </c>
      <c r="E4" s="11">
        <f>IF(AND(ISNUMBER(C4),ISNUMBER(D4)), C4-D4, "")</f>
        <v>-95810.899999999907</v>
      </c>
      <c r="F4" s="12">
        <f>IFERROR(E4/D4, "")</f>
        <v>-4.6187841937346964E-2</v>
      </c>
      <c r="G4" s="13">
        <f>SUM('1st Qtr'!G4, '2nd Qtr'!G4, '3rd Qtr'!G4, '4th Qtr'!G4)</f>
        <v>1283087.7000000002</v>
      </c>
      <c r="H4" s="13">
        <f>SUM('1st Qtr'!H4, '2nd Qtr'!H4, '3rd Qtr'!H4, '4th Qtr'!H4)</f>
        <v>-134810.29999999999</v>
      </c>
      <c r="I4" s="14">
        <f>IFERROR(H4/G4, "")</f>
        <v>-0.10506709712827889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4 I4:I64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One United (Cheer Pack)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5">
        <f>SUM(C4:C64)</f>
        <v>394602</v>
      </c>
      <c r="D2" s="5">
        <f>SUM(D4:D64)</f>
        <v>463986</v>
      </c>
      <c r="E2" s="5">
        <f>C2-D2</f>
        <v>-69384</v>
      </c>
      <c r="F2" s="6">
        <f>IFERROR(E2/D2, 0)</f>
        <v>-0.14953899471104731</v>
      </c>
      <c r="G2" s="5">
        <f>SUM(G4:G64)</f>
        <v>500815.3</v>
      </c>
      <c r="H2" s="7">
        <f>C2-G2</f>
        <v>-106213.29999999999</v>
      </c>
      <c r="I2" s="6">
        <f>IFERROR(H2/G2, 0)</f>
        <v>-0.21208078107837358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SUM(Jan!C4, Feb!C4, Mar!C4)</f>
        <v>394602</v>
      </c>
      <c r="D4" s="11">
        <f>SUM(Jan!D4, Feb!D4, Mar!D4)</f>
        <v>463986</v>
      </c>
      <c r="E4" s="11">
        <f>IF(AND(ISNUMBER(C4),ISNUMBER(D4)), C4-D4, "")</f>
        <v>-69384</v>
      </c>
      <c r="F4" s="12">
        <f>IFERROR(E4/D4, "")</f>
        <v>-0.14953899471104731</v>
      </c>
      <c r="G4" s="13">
        <f>SUM(Jan!G4, Feb!G4, Mar!G4)</f>
        <v>500815.3</v>
      </c>
      <c r="H4" s="13">
        <f>SUM(Jan!H4, Feb!H4, Mar!H4)</f>
        <v>-106213.29999999999</v>
      </c>
      <c r="I4" s="14">
        <f>IFERROR(H4/G4, "")</f>
        <v>-0.21208078107837358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4 I4:I64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One United (Cheer Pack)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5">
        <f>SUM(C4:C64)</f>
        <v>823694</v>
      </c>
      <c r="D2" s="5">
        <f>SUM(D4:D64)</f>
        <v>842899.4</v>
      </c>
      <c r="E2" s="5">
        <f>C2-D2</f>
        <v>-19205.400000000023</v>
      </c>
      <c r="F2" s="6">
        <f>IFERROR(E2/D2, 0)</f>
        <v>-2.2784925460855737E-2</v>
      </c>
      <c r="G2" s="5">
        <f>SUM(G4:G64)</f>
        <v>0</v>
      </c>
      <c r="H2" s="7">
        <f>C2-G2</f>
        <v>823694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SUM(Apr!C4, May!C4, Jun!C4)</f>
        <v>823694</v>
      </c>
      <c r="D4" s="11">
        <f>SUM(Apr!D4, May!D4, Jun!D4)</f>
        <v>842899.4</v>
      </c>
      <c r="E4" s="11">
        <f>IF(AND(ISNUMBER(C4),ISNUMBER(D4)), C4-D4, "")</f>
        <v>-19205.400000000023</v>
      </c>
      <c r="F4" s="12">
        <f>IFERROR(E4/D4, "")</f>
        <v>-2.2784925460855737E-2</v>
      </c>
      <c r="G4" s="13"/>
      <c r="H4" s="13">
        <f>SUM(Apr!H4, May!H4, Jun!H4)</f>
        <v>-6592.5999999999767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4 I4:I64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6"/>
  <sheetViews>
    <sheetView tabSelected="1" workbookViewId="0">
      <pane xSplit="2" ySplit="3" topLeftCell="C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One United (Cheer Pack)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5">
        <f>SUM(C4:C64)</f>
        <v>760268</v>
      </c>
      <c r="D2" s="5">
        <f>SUM(D4:D64)</f>
        <v>767489.5</v>
      </c>
      <c r="E2" s="5">
        <f>C2-D2</f>
        <v>-7221.5</v>
      </c>
      <c r="F2" s="6">
        <f>IFERROR(E2/D2, 0)</f>
        <v>-9.4092492470581029E-3</v>
      </c>
      <c r="G2" s="5">
        <f>SUM(G4:G64)</f>
        <v>782272.40000000014</v>
      </c>
      <c r="H2" s="7">
        <f>C2-G2</f>
        <v>-22004.40000000014</v>
      </c>
      <c r="I2" s="6">
        <f>IFERROR(H2/G2, 0)</f>
        <v>-2.8128820600087815E-2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SUM(Jul!C4, Aug!C4, Sep!C4)</f>
        <v>760268</v>
      </c>
      <c r="D4" s="11">
        <f>SUM(Jul!D4, Aug!D4, Sep!D4)</f>
        <v>767489.5</v>
      </c>
      <c r="E4" s="11">
        <f>IF(AND(ISNUMBER(C4),ISNUMBER(D4)), C4-D4, "")</f>
        <v>-7221.5</v>
      </c>
      <c r="F4" s="12">
        <f>IFERROR(E4/D4, "")</f>
        <v>-9.4092492470581029E-3</v>
      </c>
      <c r="G4" s="13">
        <f>SUM(Jul!G4,Aug!G4,Sep!G4)</f>
        <v>782272.40000000014</v>
      </c>
      <c r="H4" s="13">
        <f>SUM(Jul!H4, Aug!H4, Sep!H4)</f>
        <v>-22004.400000000023</v>
      </c>
      <c r="I4" s="14">
        <f>IFERROR(H4/G4, "")</f>
        <v>-2.8128820600087666E-2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mergeCells count="4">
    <mergeCell ref="G1:I1"/>
    <mergeCell ref="A1:C1"/>
    <mergeCell ref="D1:F1"/>
    <mergeCell ref="A2:B2"/>
  </mergeCells>
  <conditionalFormatting sqref="F2 I2 F4:F64 I4:I64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One United (Cheer Pack)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mergeCells count="4">
    <mergeCell ref="G1:I1"/>
    <mergeCell ref="A1:C1"/>
    <mergeCell ref="D1:F1"/>
    <mergeCell ref="A2:B2"/>
  </mergeCells>
  <conditionalFormatting sqref="F2 I2 F4:F64 I4:I64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5"/>
  <sheetViews>
    <sheetView workbookViewId="0">
      <pane xSplit="2" ySplit="3" topLeftCell="C4" activePane="bottomRight" state="frozen"/>
      <selection pane="bottomRight" activeCell="H9" sqref="H9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SUM(C4:C63)</f>
        <v>59106</v>
      </c>
      <c r="D2" s="5">
        <f>SUM(D4:D63)</f>
        <v>98220.7</v>
      </c>
      <c r="E2" s="5">
        <f>C2-D2</f>
        <v>-39114.699999999997</v>
      </c>
      <c r="F2" s="6">
        <f>IFERROR(E2/D2, 0)</f>
        <v>-0.3982327554171371</v>
      </c>
      <c r="G2" s="5">
        <f>SUM(G4:G63)</f>
        <v>120187.9</v>
      </c>
      <c r="H2" s="7">
        <f>C2-G2</f>
        <v>-61081.899999999994</v>
      </c>
      <c r="I2" s="6">
        <f>IFERROR(H2/G2, 0)</f>
        <v>-0.50822004544550659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MA: West Bridgewater - One United</v>
      </c>
      <c r="B4" s="22" t="str" cm="1">
        <f t="array" ref="B4">Sites[State]</f>
        <v>MA</v>
      </c>
      <c r="C4" s="11">
        <v>59106</v>
      </c>
      <c r="D4" s="11">
        <v>98220.7</v>
      </c>
      <c r="E4" s="11">
        <f>IF(AND(ISNUMBER(C4),ISNUMBER(D4)), C4-D4, "")</f>
        <v>-39114.699999999997</v>
      </c>
      <c r="F4" s="34">
        <f>IFERROR(E4/D4, "")</f>
        <v>-0.3982327554171371</v>
      </c>
      <c r="G4" s="13">
        <v>120187.9</v>
      </c>
      <c r="H4" s="13">
        <f>IF(AND(ISNUMBER(C4),ISNUMBER(G4)), C4-G4, "")</f>
        <v>-61081.899999999994</v>
      </c>
      <c r="I4" s="14">
        <f>IFERROR(H4/G4, "")</f>
        <v>-0.50822004544550659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</sheetData>
  <mergeCells count="4">
    <mergeCell ref="D1:F1"/>
    <mergeCell ref="A1:C1"/>
    <mergeCell ref="G1:I1"/>
    <mergeCell ref="A2:B2"/>
  </mergeCells>
  <conditionalFormatting sqref="F2 I2 I4:I63 F5:F63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6"/>
  <sheetViews>
    <sheetView workbookViewId="0">
      <pane xSplit="2" ySplit="3" topLeftCell="C4" activePane="bottomRight" state="frozen"/>
      <selection pane="bottomRight" activeCell="G8" sqref="G8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139092</v>
      </c>
      <c r="D2" s="5">
        <f>SUM(D4:D64)</f>
        <v>162361.29999999999</v>
      </c>
      <c r="E2" s="5">
        <f>C2-D2</f>
        <v>-23269.299999999988</v>
      </c>
      <c r="F2" s="6">
        <f>IFERROR(E2/D2, 0)</f>
        <v>-0.1433180197497802</v>
      </c>
      <c r="G2" s="5">
        <f>SUM(G4:G64)</f>
        <v>153747.4</v>
      </c>
      <c r="H2" s="7">
        <f>C2-G2</f>
        <v>-14655.399999999994</v>
      </c>
      <c r="I2" s="6">
        <f>IFERROR(H2/G2, 0)</f>
        <v>-9.5321286733954486E-2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MA: West Bridgewater - One United</v>
      </c>
      <c r="B4" s="22" t="str" cm="1">
        <f t="array" ref="B4">Sites[State]</f>
        <v>MA</v>
      </c>
      <c r="C4" s="18">
        <v>139092</v>
      </c>
      <c r="D4" s="11">
        <v>162361.29999999999</v>
      </c>
      <c r="E4" s="11">
        <f>IF(AND(ISNUMBER(C4),ISNUMBER(D4)), C4-D4, "")</f>
        <v>-23269.299999999988</v>
      </c>
      <c r="F4" s="12">
        <f>IFERROR(E4/D4, "")</f>
        <v>-0.1433180197497802</v>
      </c>
      <c r="G4" s="13">
        <v>153747.4</v>
      </c>
      <c r="H4" s="13">
        <f>IF(AND(ISNUMBER(C4),ISNUMBER(G4)), C4-G4, "")</f>
        <v>-14655.399999999994</v>
      </c>
      <c r="I4" s="14">
        <f>IFERROR(H4/G4, "")</f>
        <v>-9.5321286733954486E-2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6"/>
  <sheetViews>
    <sheetView zoomScale="80" zoomScaleNormal="80" workbookViewId="0">
      <pane xSplit="2" ySplit="3" topLeftCell="D4" activePane="bottomRight" state="frozen"/>
      <selection pane="bottomRight" activeCell="J19" sqref="J19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196404</v>
      </c>
      <c r="D2" s="5">
        <f>SUM(D4:D64)</f>
        <v>203404</v>
      </c>
      <c r="E2" s="5">
        <f>C2-D2</f>
        <v>-7000</v>
      </c>
      <c r="F2" s="6">
        <f>IFERROR(E2/D2, 0)</f>
        <v>-3.4414269139249963E-2</v>
      </c>
      <c r="G2" s="5">
        <f>SUM(G4:G64)</f>
        <v>226880</v>
      </c>
      <c r="H2" s="7">
        <f>C2-G2</f>
        <v>-30476</v>
      </c>
      <c r="I2" s="6">
        <f>IFERROR(H2/G2, 0)</f>
        <v>-0.1343265162200282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196404</v>
      </c>
      <c r="D4" s="11">
        <v>203404</v>
      </c>
      <c r="E4" s="11">
        <f>IF(AND(ISNUMBER(C4),ISNUMBER(D4)), C4-D4, "")</f>
        <v>-7000</v>
      </c>
      <c r="F4" s="12">
        <f>IFERROR(E4/D4, "")</f>
        <v>-3.4414269139249963E-2</v>
      </c>
      <c r="G4" s="13">
        <v>226880</v>
      </c>
      <c r="H4" s="13">
        <f>IF(AND(ISNUMBER(C4),ISNUMBER(G4)), C4-G4, "")</f>
        <v>-30476</v>
      </c>
      <c r="I4" s="14">
        <f>IFERROR(H4/G4, "")</f>
        <v>-0.1343265162200282</v>
      </c>
      <c r="J4" s="42" t="s">
        <v>26</v>
      </c>
      <c r="K4" s="42" t="s">
        <v>27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6"/>
  <sheetViews>
    <sheetView zoomScale="90" zoomScaleNormal="90" workbookViewId="0">
      <pane xSplit="2" ySplit="3" topLeftCell="C4" activePane="bottomRight" state="frozen"/>
      <selection pane="bottomRight" activeCell="E19" sqref="E19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244760</v>
      </c>
      <c r="D2" s="5">
        <f>SUM(D4:D64)</f>
        <v>241399.8</v>
      </c>
      <c r="E2" s="5">
        <f>C2-D2</f>
        <v>3360.2000000000116</v>
      </c>
      <c r="F2" s="6">
        <f>IFERROR(E2/D2, 0)</f>
        <v>1.3919646992251077E-2</v>
      </c>
      <c r="G2" s="5">
        <f>SUM(G4:G64)</f>
        <v>248718</v>
      </c>
      <c r="H2" s="7">
        <f>C2-G2</f>
        <v>-3958</v>
      </c>
      <c r="I2" s="6">
        <f>IFERROR(H2/G2, 0)</f>
        <v>-1.5913604966267016E-2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244760</v>
      </c>
      <c r="D4" s="11">
        <v>241399.8</v>
      </c>
      <c r="E4" s="11">
        <f>IF(AND(ISNUMBER(C4),ISNUMBER(D4)), C4-D4, "")</f>
        <v>3360.2000000000116</v>
      </c>
      <c r="F4" s="12">
        <f>IFERROR(E4/D4, "")</f>
        <v>1.3919646992251077E-2</v>
      </c>
      <c r="G4" s="13">
        <v>248718</v>
      </c>
      <c r="H4" s="13">
        <f>IF(AND(ISNUMBER(C4),ISNUMBER(G4)), C4-G4, "")</f>
        <v>-3958</v>
      </c>
      <c r="I4" s="14">
        <f>IFERROR(H4/G4, "")</f>
        <v>-1.5913604966267016E-2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276998</v>
      </c>
      <c r="D2" s="5">
        <f>SUM(D4:D64)</f>
        <v>279548.90000000002</v>
      </c>
      <c r="E2" s="5">
        <f>C2-D2</f>
        <v>-2550.9000000000233</v>
      </c>
      <c r="F2" s="6">
        <f>IFERROR(E2/D2, 0)</f>
        <v>-9.1250582635096153E-3</v>
      </c>
      <c r="G2" s="5">
        <f>SUM(G4:G64)</f>
        <v>292988.79999999999</v>
      </c>
      <c r="H2" s="7">
        <f>C2-G2</f>
        <v>-15990.799999999988</v>
      </c>
      <c r="I2" s="6">
        <f>IFERROR(H2/G2, 0)</f>
        <v>-5.4578195480509795E-2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276998</v>
      </c>
      <c r="D4" s="11">
        <v>279548.90000000002</v>
      </c>
      <c r="E4" s="11">
        <f>IF(AND(ISNUMBER(C4),ISNUMBER(D4)), C4-D4, "")</f>
        <v>-2550.9000000000233</v>
      </c>
      <c r="F4" s="12">
        <f>IFERROR(E4/D4, "")</f>
        <v>-9.1250582635096153E-3</v>
      </c>
      <c r="G4" s="13">
        <v>292988.79999999999</v>
      </c>
      <c r="H4" s="13">
        <f>IF(AND(ISNUMBER(C4),ISNUMBER(G4)), C4-G4, "")</f>
        <v>-15990.799999999988</v>
      </c>
      <c r="I4" s="14">
        <f>IFERROR(H4/G4, "")</f>
        <v>-5.4578195480509795E-2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6"/>
  <sheetViews>
    <sheetView zoomScale="80" zoomScaleNormal="80" workbookViewId="0">
      <pane xSplit="2" ySplit="3" topLeftCell="J4" activePane="bottomRight" state="frozen"/>
      <selection pane="bottomRight" activeCell="J14" sqref="J14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301936</v>
      </c>
      <c r="D2" s="5">
        <f>SUM(D4:D64)</f>
        <v>321950.7</v>
      </c>
      <c r="E2" s="5">
        <f>C2-D2</f>
        <v>-20014.700000000012</v>
      </c>
      <c r="F2" s="6">
        <f>IFERROR(E2/D2, 0)</f>
        <v>-6.216697152700712E-2</v>
      </c>
      <c r="G2" s="5">
        <f>SUM(G4:G64)</f>
        <v>288579.8</v>
      </c>
      <c r="H2" s="7">
        <f>C2-G2</f>
        <v>13356.200000000012</v>
      </c>
      <c r="I2" s="6">
        <f>IFERROR(H2/G2, 0)</f>
        <v>4.6282518734852583E-2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301936</v>
      </c>
      <c r="D4" s="11">
        <v>321950.7</v>
      </c>
      <c r="E4" s="11">
        <f>IF(AND(ISNUMBER(C4),ISNUMBER(D4)), C4-D4, "")</f>
        <v>-20014.700000000012</v>
      </c>
      <c r="F4" s="12">
        <f>IFERROR(E4/D4, "")</f>
        <v>-6.216697152700712E-2</v>
      </c>
      <c r="G4" s="13">
        <v>288579.8</v>
      </c>
      <c r="H4" s="13">
        <f>IF(AND(ISNUMBER(C4),ISNUMBER(G4)), C4-G4, "")</f>
        <v>13356.200000000012</v>
      </c>
      <c r="I4" s="14">
        <f>IFERROR(H4/G4, "")</f>
        <v>4.6282518734852583E-2</v>
      </c>
      <c r="J4" s="32" t="s">
        <v>34</v>
      </c>
      <c r="K4" s="32" t="s">
        <v>35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6"/>
  <sheetViews>
    <sheetView workbookViewId="0">
      <pane xSplit="2" ySplit="3" topLeftCell="C4" activePane="bottomRight" state="frozen"/>
      <selection pane="bottomRight" activeCell="K4" sqref="K4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274886</v>
      </c>
      <c r="D2" s="5">
        <f>SUM(D4:D64)</f>
        <v>287411.8</v>
      </c>
      <c r="E2" s="5">
        <f>C2-D2</f>
        <v>-12525.799999999988</v>
      </c>
      <c r="F2" s="6">
        <f>IFERROR(E2/D2, 0)</f>
        <v>-4.358137000638105E-2</v>
      </c>
      <c r="G2" s="5">
        <f>SUM(G4:G64)</f>
        <v>287997.40000000002</v>
      </c>
      <c r="H2" s="7">
        <f>C2-G2</f>
        <v>-13111.400000000023</v>
      </c>
      <c r="I2" s="6">
        <f>IFERROR(H2/G2, 0)</f>
        <v>-4.5526105444007557E-2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30.7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274886</v>
      </c>
      <c r="D4" s="11">
        <v>287411.8</v>
      </c>
      <c r="E4" s="11">
        <f>IF(AND(ISNUMBER(C4),ISNUMBER(D4)), C4-D4, "")</f>
        <v>-12525.799999999988</v>
      </c>
      <c r="F4" s="12">
        <f>IFERROR(E4/D4, "")</f>
        <v>-4.358137000638105E-2</v>
      </c>
      <c r="G4" s="13">
        <v>287997.40000000002</v>
      </c>
      <c r="H4" s="13">
        <f>IF(AND(ISNUMBER(C4),ISNUMBER(G4)), C4-G4, "")</f>
        <v>-13111.400000000023</v>
      </c>
      <c r="I4" s="14">
        <f>IFERROR(H4/G4, "")</f>
        <v>-4.5526105444007557E-2</v>
      </c>
      <c r="J4" s="32" t="s">
        <v>38</v>
      </c>
      <c r="K4" s="32" t="s">
        <v>39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4 I4:I64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6"/>
  <sheetViews>
    <sheetView workbookViewId="0">
      <pane xSplit="2" ySplit="3" topLeftCell="C4" activePane="bottomRight" state="frozen"/>
      <selection pane="bottomRight" activeCell="J4" sqref="J4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264164</v>
      </c>
      <c r="D2" s="5">
        <f>SUM(D4:D64)</f>
        <v>263313.40000000002</v>
      </c>
      <c r="E2" s="5">
        <f>C2-D2</f>
        <v>850.59999999997672</v>
      </c>
      <c r="F2" s="6">
        <f>IFERROR(E2/D2, 0)</f>
        <v>3.2303711091041195E-3</v>
      </c>
      <c r="G2" s="5">
        <f>SUM(G4:G64)</f>
        <v>270658.2</v>
      </c>
      <c r="H2" s="7">
        <f>C2-G2</f>
        <v>-6494.2000000000116</v>
      </c>
      <c r="I2" s="6">
        <f>IFERROR(H2/G2, 0)</f>
        <v>-2.3994100308063867E-2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30.7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264164</v>
      </c>
      <c r="D4" s="11">
        <v>263313.40000000002</v>
      </c>
      <c r="E4" s="11">
        <f>IF(AND(ISNUMBER(C4),ISNUMBER(D4)), C4-D4, "")</f>
        <v>850.59999999997672</v>
      </c>
      <c r="F4" s="12">
        <f>IFERROR(E4/D4, "")</f>
        <v>3.2303711091041195E-3</v>
      </c>
      <c r="G4" s="13">
        <v>270658.2</v>
      </c>
      <c r="H4" s="13">
        <f>IF(AND(ISNUMBER(C4),ISNUMBER(G4)), C4-G4, "")</f>
        <v>-6494.2000000000116</v>
      </c>
      <c r="I4" s="14">
        <f>IFERROR(H4/G4, "")</f>
        <v>-2.3994100308063867E-2</v>
      </c>
      <c r="J4" s="32" t="s">
        <v>42</v>
      </c>
      <c r="K4" s="32" t="s">
        <v>43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6"/>
  <sheetViews>
    <sheetView workbookViewId="0">
      <pane xSplit="2" ySplit="3" topLeftCell="C4" activePane="bottomRight" state="frozen"/>
      <selection pane="bottomRight" activeCell="K4" sqref="K4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221218</v>
      </c>
      <c r="D2" s="5">
        <f>SUM(D4:D64)</f>
        <v>216764.3</v>
      </c>
      <c r="E2" s="5">
        <f>C2-D2</f>
        <v>4453.7000000000116</v>
      </c>
      <c r="F2" s="6">
        <f>IFERROR(E2/D2, 0)</f>
        <v>2.054627999167765E-2</v>
      </c>
      <c r="G2" s="5">
        <f>SUM(G4:G64)</f>
        <v>223616.8</v>
      </c>
      <c r="H2" s="7">
        <f>C2-G2</f>
        <v>-2398.7999999999884</v>
      </c>
      <c r="I2" s="6">
        <f>IFERROR(H2/G2, 0)</f>
        <v>-1.0727279882370147E-2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221218</v>
      </c>
      <c r="D4" s="11">
        <v>216764.3</v>
      </c>
      <c r="E4" s="11">
        <f>IF(AND(ISNUMBER(C4),ISNUMBER(D4)), C4-D4, "")</f>
        <v>4453.7000000000116</v>
      </c>
      <c r="F4" s="12">
        <f>IFERROR(E4/D4, "")</f>
        <v>2.054627999167765E-2</v>
      </c>
      <c r="G4" s="13">
        <v>223616.8</v>
      </c>
      <c r="H4" s="13">
        <f>IF(AND(ISNUMBER(C4),ISNUMBER(G4)), C4-G4, "")</f>
        <v>-2398.7999999999884</v>
      </c>
      <c r="I4" s="14">
        <f>IFERROR(H4/G4, "")</f>
        <v>-1.0727279882370147E-2</v>
      </c>
      <c r="J4" s="32" t="s">
        <v>46</v>
      </c>
      <c r="K4" s="32" t="s">
        <v>47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48</v>
      </c>
      <c r="E1" s="45"/>
      <c r="F1" s="45"/>
      <c r="G1" s="43" t="s">
        <v>49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50</v>
      </c>
      <c r="E1" s="45"/>
      <c r="F1" s="45"/>
      <c r="G1" s="43" t="s">
        <v>51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6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One United (Cheer Pack)</v>
      </c>
      <c r="B1" s="44"/>
      <c r="C1" s="44"/>
      <c r="D1" s="45" t="s">
        <v>52</v>
      </c>
      <c r="E1" s="45"/>
      <c r="F1" s="45"/>
      <c r="G1" s="43" t="s">
        <v>53</v>
      </c>
      <c r="H1" s="43"/>
      <c r="I1" s="43"/>
      <c r="J1" s="4"/>
      <c r="K1" s="4"/>
    </row>
    <row r="2" spans="1:11" ht="19.5" customHeight="1">
      <c r="A2" s="46" t="s">
        <v>2</v>
      </c>
      <c r="B2" s="46"/>
      <c r="C2" s="5">
        <f>SUM(C4:C64)</f>
        <v>0</v>
      </c>
      <c r="D2" s="5">
        <f>SUM(D4:D64)</f>
        <v>0</v>
      </c>
      <c r="E2" s="5">
        <f>C2-D2</f>
        <v>0</v>
      </c>
      <c r="F2" s="6">
        <f>IFERROR(E2/D2, 0)</f>
        <v>0</v>
      </c>
      <c r="G2" s="5">
        <f>SUM(G4:G64)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2" sqref="D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54</v>
      </c>
      <c r="B1" t="s">
        <v>55</v>
      </c>
    </row>
    <row r="3" spans="1:12" ht="13.15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12" ht="14.45">
      <c r="A4" s="38" t="s">
        <v>59</v>
      </c>
      <c r="B4" t="s">
        <v>60</v>
      </c>
      <c r="C4" s="36" t="s">
        <v>61</v>
      </c>
      <c r="D4" s="40" t="s">
        <v>62</v>
      </c>
      <c r="E4" s="41" t="s">
        <v>63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2024-10-15T11:53:38Z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