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ECF88ED5-6B05-4AAA-999C-8F41295FCC84}" xr6:coauthVersionLast="47" xr6:coauthVersionMax="47" xr10:uidLastSave="{00000000-0000-0000-0000-000000000000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<sst xmlns="http://schemas.openxmlformats.org/spreadsheetml/2006/main" count="254" uniqueCount="68">
  <si>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</si>
  <si>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</si>
  <si>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</si>
  <si>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</si>
  <si>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</si>
  <si>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</si>
  <si>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</si>
  <si>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</si>
  <si>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</si>
  <si>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</si>
  <si>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</si>
  <si>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</si>
  <si>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</si>
  <si>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</si>
  <si>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</si>
  <si>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</si>
  <si>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</si>
  <si>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</si>
  <si>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</si>
  <si>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</si>
  <si>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</si>
  <si>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</si>
  <si>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</si>
  <si>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</si>
  <si>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>February Actual v. Expected</t>
  </si>
  <si>
    <t>February Actual v. Forecasted</t>
  </si>
  <si>
    <t>March Actual v. Expected</t>
  </si>
  <si>
    <t>March Actual v. Forecasted</t>
  </si>
  <si>
    <t xml:space="preserve">1. Site was offline from 03/11 to 03/14  at 10:45. 
2. Site tripped offline at 15:40 on 03/25 &amp; back online on 03/26 at 09:45. </t>
  </si>
  <si>
    <t>1. SR081759
2.SR082726</t>
  </si>
  <si>
    <t>April Actual v. Expected</t>
  </si>
  <si>
    <t>April Actual v. Forecasted</t>
  </si>
  <si>
    <t xml:space="preserve">1. Site is offline on 04/10 due to planned outage &amp; back online on 04/11 at 08:30. 
2. Site is offline on 04/16 from 09:15 to 10:30. 
3. Site tripped offline on 04/22 at 10:30 &amp; back online at 13:40 &amp; again tripped offline at 14:00, back online at 17:15. </t>
  </si>
  <si>
    <t>1. SR083290
2. SR083482
3. SR083686</t>
  </si>
  <si>
    <t>May Actual v. Expected</t>
  </si>
  <si>
    <t>May Actual v. Forecasted</t>
  </si>
  <si>
    <t>1. Site is offline on 05/15 at 20:30 due to relay open and later technician closed the relay at site and back online on 05/16 at 12:15pm</t>
  </si>
  <si>
    <t>1. SR084756</t>
  </si>
  <si>
    <t>June Actual v. Expected</t>
  </si>
  <si>
    <t>June Actual v. Forecasted</t>
  </si>
  <si>
    <t>1. Inverter 2.12 is offline on 06/09 and it has been RMA'd and back online on 06/24 at 11:30AM.</t>
  </si>
  <si>
    <t>1. SR085776</t>
  </si>
  <si>
    <t>July Actual v. Expected</t>
  </si>
  <si>
    <t>July Actual v. Forecasted</t>
  </si>
  <si>
    <t>1.Site was offline on 07/01 at 7:15PM and back online on 07/02 at 11:00AM
2.Site was offline on 07/07 at 10:00AM and back online on 07/09 at 6:15PM
3.Inverter 2.11 tripped offline on 07/10 at 11:15 through out the day and again tripped offline on 07/11,07/12,07/13 at 16:15 and resolving overnight.
4.Site was offline on 07/14 at 1:30PM and back online on 07/15 at 8:00AM
5.Site was offline on 07/26 at 11:30AM and back online on 07/27 at 09:15AM and again offline on 07/28 at 09:30AM and back online on 07/29 at 08:15AM</t>
  </si>
  <si>
    <t>1.SR087223
2.SR087442
3.SR087565
4.SR087662
5.SR088277</t>
  </si>
  <si>
    <t>August Actual v. Expected</t>
  </si>
  <si>
    <t>August Actual v. Forecasted</t>
  </si>
  <si>
    <t>1. Site offline at 11:00 from 8/10 and back online on 8/12 at 08:45.</t>
  </si>
  <si>
    <t>1.	SR088874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</si>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</sst>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23" fillId="47" borderId="13" xfId="0" applyNumberFormat="1" applyFont="1" applyFill="1" applyBorder="1" applyAlignment="1">
      <alignment horizontal="right" vertical="center"/>
    </xf>
    <xf numFmtId="3" fontId="23" fillId="47" borderId="0" xfId="0" applyNumberFormat="1" applyFont="1" applyFill="1" applyAlignment="1">
      <alignment horizontal="right" vertical="center"/>
    </xf>
    <xf numFmtId="9" fontId="36" fillId="38" borderId="12" xfId="2" applyFont="1" applyFill="1" applyBorder="1" applyAlignment="1">
      <alignment horizontal="left" vertical="top" wrapText="1"/>
    </xf>
    <xf numFmtId="0" fontId="36" fillId="38" borderId="12" xfId="0" applyFont="1" applyFill="1" applyBorder="1" applyAlignment="1">
      <alignment horizontal="left" vertical="top" wrapText="1"/>
    </xf>
    <xf numFmtId="0" fontId="35" fillId="48" borderId="14" xfId="0" applyFont="1" applyFill="1" applyBorder="1" applyAlignment="1">
      <alignment horizontal="left" vertical="top" wrapText="1"/>
    </xf>
    <xf numFmtId="0" fontId="35" fillId="38" borderId="15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6963392.5085483007</v>
      </c>
      <c r="D2" s="5">
        <f>SUM(D4:D79)</f>
        <v>7570713.8039999995</v>
      </c>
      <c r="E2" s="5">
        <f>C2-D2</f>
        <v>-607321.29545169882</v>
      </c>
      <c r="F2" s="6">
        <f>IFERROR(E2/D2, 0)</f>
        <v>-8.0219819580396715E-2</v>
      </c>
      <c r="G2" s="5">
        <f>SUM(G4:G79)</f>
        <v>4457584.7699999996</v>
      </c>
      <c r="H2" s="7">
        <f>C2-G2</f>
        <v>2505807.7385483012</v>
      </c>
      <c r="I2" s="6">
        <f>IFERROR(H2/G2, 0)</f>
        <v>0.56214471913414699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6963392.5085483007</v>
      </c>
      <c r="D4" s="12">
        <f>SUM('1st Qtr'!D4, '2nd Qtr'!D4, '3rd Qtr'!D4, '4th Qtr'!D4)</f>
        <v>7570713.8039999995</v>
      </c>
      <c r="E4" s="12">
        <f>IF(AND(ISNUMBER(C4),ISNUMBER(D4)), C4-D4, "")</f>
        <v>-607321.29545169882</v>
      </c>
      <c r="F4" s="13">
        <f>IFERROR(E4/D4, "")</f>
        <v>-8.0219819580396715E-2</v>
      </c>
      <c r="G4" s="14">
        <f>SUM('1st Qtr'!G4, '2nd Qtr'!G4, '3rd Qtr'!G4, '4th Qtr'!G4)</f>
        <v>4457584.7699999996</v>
      </c>
      <c r="H4" s="14">
        <f>SUM('1st Qtr'!H4, '2nd Qtr'!H4, '3rd Qtr'!H4, '4th Qtr'!H4)</f>
        <v>-149901.0414516991</v>
      </c>
      <c r="I4" s="15">
        <f>IFERROR(H4/G4, "")</f>
        <v>-3.3628309765536803E-2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1387741</v>
      </c>
      <c r="D2" s="5">
        <f>SUM(D4:D79)</f>
        <v>1609829</v>
      </c>
      <c r="E2" s="5">
        <f>C2-D2</f>
        <v>-222088</v>
      </c>
      <c r="F2" s="6">
        <f>IFERROR(E2/D2, 0)</f>
        <v>-0.1379575097727771</v>
      </c>
      <c r="G2" s="5">
        <f>SUM(G4:G79)</f>
        <v>1820407</v>
      </c>
      <c r="H2" s="7">
        <f>C2-G2</f>
        <v>-432666</v>
      </c>
      <c r="I2" s="6">
        <f>IFERROR(H2/G2, 0)</f>
        <v>-0.23767542093608737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1387741</v>
      </c>
      <c r="D4" s="12">
        <f>SUM(Jan!D4, Feb!D4, Mar!D4)</f>
        <v>1609829</v>
      </c>
      <c r="E4" s="12">
        <f>IF(AND(ISNUMBER(C4),ISNUMBER(D4)), C4-D4, "")</f>
        <v>-222088</v>
      </c>
      <c r="F4" s="13">
        <f>IFERROR(E4/D4, "")</f>
        <v>-0.1379575097727771</v>
      </c>
      <c r="G4" s="14">
        <f>SUM(Jan!G4, Feb!G4, Mar!G4)</f>
        <v>1820407</v>
      </c>
      <c r="H4" s="14">
        <f>SUM(Jan!H4, Feb!H4, Mar!H4)</f>
        <v>-432666</v>
      </c>
      <c r="I4" s="15">
        <f>IFERROR(H4/G4, "")</f>
        <v>-0.23767542093608737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2957044.9</v>
      </c>
      <c r="D2" s="5">
        <f>SUM(D4:D79)</f>
        <v>3276346.8389999997</v>
      </c>
      <c r="E2" s="5">
        <f>C2-D2</f>
        <v>-319301.93899999978</v>
      </c>
      <c r="F2" s="6">
        <f>IFERROR(E2/D2, 0)</f>
        <v>-9.7456696342154217E-2</v>
      </c>
      <c r="G2" s="5">
        <f>SUM(G4:G79)</f>
        <v>2637177.77</v>
      </c>
      <c r="H2" s="7">
        <f>C2-G2</f>
        <v>319867.12999999989</v>
      </c>
      <c r="I2" s="6">
        <f>IFERROR(H2/G2, 0)</f>
        <v>0.12129145544860249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2957044.9</v>
      </c>
      <c r="D4" s="12">
        <f>SUM(Apr!D4, May!D4, Jun!D4)</f>
        <v>3276346.8389999997</v>
      </c>
      <c r="E4" s="12">
        <f>IF(AND(ISNUMBER(C4),ISNUMBER(D4)), C4-D4, "")</f>
        <v>-319301.93899999978</v>
      </c>
      <c r="F4" s="13">
        <f>IFERROR(E4/D4, "")</f>
        <v>-9.7456696342154217E-2</v>
      </c>
      <c r="G4" s="14">
        <f>SUM(Apr!G4,May!G4,Jun!G4)</f>
        <v>2637177.77</v>
      </c>
      <c r="H4" s="14">
        <f>SUM(Apr!H4, May!H4, Jun!H4)</f>
        <v>319867.12999999989</v>
      </c>
      <c r="I4" s="15">
        <f>IFERROR(H4/G4, "")</f>
        <v>0.12129145544860249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2618606.6085483008</v>
      </c>
      <c r="D2" s="5">
        <f>SUM(D4:D79)</f>
        <v>2684537.9649999999</v>
      </c>
      <c r="E2" s="5">
        <f>C2-D2</f>
        <v>-65931.356451699045</v>
      </c>
      <c r="F2" s="6">
        <f>IFERROR(E2/D2, 0)</f>
        <v>-2.4559666248452197E-2</v>
      </c>
      <c r="G2" s="5">
        <f>SUM(G4:G79)</f>
        <v>0</v>
      </c>
      <c r="H2" s="7">
        <f>C2-G2</f>
        <v>2618606.6085483008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2618606.6085483008</v>
      </c>
      <c r="D4" s="12">
        <f>SUM(Jul!D4, Aug!D4, Sep!D4)</f>
        <v>2684537.9649999999</v>
      </c>
      <c r="E4" s="12">
        <f>IF(AND(ISNUMBER(C4),ISNUMBER(D4)), C4-D4, "")</f>
        <v>-65931.356451699045</v>
      </c>
      <c r="F4" s="13">
        <f>IFERROR(E4/D4, "")</f>
        <v>-2.4559666248452197E-2</v>
      </c>
      <c r="G4" s="14"/>
      <c r="H4" s="14">
        <f>SUM(Jul!H4, Aug!H4, Sep!H4)</f>
        <v>-37102.171451698989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218416</v>
      </c>
      <c r="D2" s="5">
        <f>SUM(D4:D78)</f>
        <v>252237</v>
      </c>
      <c r="E2" s="5">
        <f>C2-D2</f>
        <v>-33821</v>
      </c>
      <c r="F2" s="6">
        <f>IFERROR(E2/D2, 0)</f>
        <v>-0.13408421444910937</v>
      </c>
      <c r="G2" s="5">
        <f>SUM(G4:G78)</f>
        <v>463971</v>
      </c>
      <c r="H2" s="7">
        <f>C2-G2</f>
        <v>-245555</v>
      </c>
      <c r="I2" s="6">
        <f>IFERROR(H2/G2, 0)</f>
        <v>-0.5292464399714637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57" t="str" cm="1">
        <f t="array" ref="A4">Sites[Site]</f>
        <v>NY: Coxsackie - State Route 9 West</v>
      </c>
      <c r="B4" s="27" t="str" cm="1">
        <f t="array" ref="B4">Sites[State]</f>
        <v>NY</v>
      </c>
      <c r="C4" s="49">
        <v>218416</v>
      </c>
      <c r="D4" s="49">
        <v>252237</v>
      </c>
      <c r="E4" s="12">
        <f>IF(AND(ISNUMBER(C4),ISNUMBER(D4)), C4-D4, "")</f>
        <v>-33821</v>
      </c>
      <c r="F4" s="40">
        <f>IFERROR(E4/D4, "")</f>
        <v>-0.13408421444910937</v>
      </c>
      <c r="G4" s="51">
        <v>463971</v>
      </c>
      <c r="H4" s="14">
        <f>IF(AND(ISNUMBER(C4),ISNUMBER(G4)), C4-G4, "")</f>
        <v>-245555</v>
      </c>
      <c r="I4" s="15">
        <f>IFERROR(H4/G4, "")</f>
        <v>-0.5292464399714637</v>
      </c>
      <c r="J4" s="53" t="s">
        <v>22</v>
      </c>
      <c r="K4" s="53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615270</v>
      </c>
      <c r="D2" s="5">
        <f>SUM(D4:D79)</f>
        <v>719590</v>
      </c>
      <c r="E2" s="5">
        <f>C2-D2</f>
        <v>-104320</v>
      </c>
      <c r="F2" s="6">
        <f>IFERROR(E2/D2, 0)</f>
        <v>-0.14497144207117943</v>
      </c>
      <c r="G2" s="5">
        <f>SUM(G4:G79)</f>
        <v>588255</v>
      </c>
      <c r="H2" s="7">
        <f>C2-G2</f>
        <v>27015</v>
      </c>
      <c r="I2" s="6">
        <f>IFERROR(H2/G2, 0)</f>
        <v>4.5923961547288165E-2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NY: Coxsackie - State Route 9 West</v>
      </c>
      <c r="B4" s="27" t="str" cm="1">
        <f t="array" ref="B4">Sites[State]</f>
        <v>NY</v>
      </c>
      <c r="C4" s="23">
        <v>615270</v>
      </c>
      <c r="D4" s="12">
        <v>719590</v>
      </c>
      <c r="E4" s="12">
        <f>IF(AND(ISNUMBER(C4),ISNUMBER(D4)), C4-D4, "")</f>
        <v>-104320</v>
      </c>
      <c r="F4" s="13">
        <f>IFERROR(E4/D4, "")</f>
        <v>-0.14497144207117943</v>
      </c>
      <c r="G4" s="14">
        <v>588255</v>
      </c>
      <c r="H4" s="14">
        <f>IF(AND(ISNUMBER(C4),ISNUMBER(G4)), C4-G4, "")</f>
        <v>27015</v>
      </c>
      <c r="I4" s="15">
        <f>IFERROR(H4/G4, "")</f>
        <v>4.5923961547288165E-2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E18" sqref="E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554055</v>
      </c>
      <c r="D2" s="5">
        <f>SUM(D4:D79)</f>
        <v>638002</v>
      </c>
      <c r="E2" s="5">
        <f>C2-D2</f>
        <v>-83947</v>
      </c>
      <c r="F2" s="6">
        <f>IFERROR(E2/D2, 0)</f>
        <v>-0.13157795743587011</v>
      </c>
      <c r="G2" s="5">
        <f>SUM(G4:G79)</f>
        <v>768181</v>
      </c>
      <c r="H2" s="7">
        <f>C2-G2</f>
        <v>-214126</v>
      </c>
      <c r="I2" s="6">
        <f>IFERROR(H2/G2, 0)</f>
        <v>-0.27874420221275975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554055</v>
      </c>
      <c r="D4" s="12">
        <v>638002</v>
      </c>
      <c r="E4" s="12">
        <f>IF(AND(ISNUMBER(C4),ISNUMBER(D4)), C4-D4, "")</f>
        <v>-83947</v>
      </c>
      <c r="F4" s="13">
        <f>IFERROR(E4/D4, "")</f>
        <v>-0.13157795743587011</v>
      </c>
      <c r="G4" s="52">
        <v>768181</v>
      </c>
      <c r="H4" s="14">
        <f>IF(AND(ISNUMBER(C4),ISNUMBER(G4)), C4-G4, "")</f>
        <v>-214126</v>
      </c>
      <c r="I4" s="15">
        <f>IFERROR(H4/G4, "")</f>
        <v>-0.27874420221275975</v>
      </c>
      <c r="J4" s="54" t="s">
        <v>28</v>
      </c>
      <c r="K4" s="54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736702</v>
      </c>
      <c r="D2" s="5">
        <f>SUM(D4:D79)</f>
        <v>827800</v>
      </c>
      <c r="E2" s="5">
        <f>C2-D2</f>
        <v>-91098</v>
      </c>
      <c r="F2" s="6">
        <f>IFERROR(E2/D2, 0)</f>
        <v>-0.11004832085044697</v>
      </c>
      <c r="G2" s="5">
        <f>SUM(G4:G79)</f>
        <v>839914</v>
      </c>
      <c r="H2" s="7">
        <f>C2-G2</f>
        <v>-103212</v>
      </c>
      <c r="I2" s="6">
        <f>IFERROR(H2/G2, 0)</f>
        <v>-0.12288400955335903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7.6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736702</v>
      </c>
      <c r="D4" s="12">
        <v>827800</v>
      </c>
      <c r="E4" s="12">
        <f>IF(AND(ISNUMBER(C4),ISNUMBER(D4)), C4-D4, "")</f>
        <v>-91098</v>
      </c>
      <c r="F4" s="13">
        <f>IFERROR(E4/D4, "")</f>
        <v>-0.11004832085044697</v>
      </c>
      <c r="G4" s="14">
        <v>839914</v>
      </c>
      <c r="H4" s="14">
        <f>IF(AND(ISNUMBER(C4),ISNUMBER(G4)), C4-G4, "")</f>
        <v>-103212</v>
      </c>
      <c r="I4" s="15">
        <f>IFERROR(H4/G4, "")</f>
        <v>-0.12288400955335903</v>
      </c>
      <c r="J4" s="55" t="s">
        <v>32</v>
      </c>
      <c r="K4" s="5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34</v>
      </c>
      <c r="E1" s="61"/>
      <c r="F1" s="61"/>
      <c r="G1" s="59" t="s">
        <v>35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1116473</v>
      </c>
      <c r="D2" s="5">
        <f>SUM(D4:D79)</f>
        <v>1218952.94</v>
      </c>
      <c r="E2" s="5">
        <f>C2-D2</f>
        <v>-102479.93999999994</v>
      </c>
      <c r="F2" s="6">
        <f>IFERROR(E2/D2, 0)</f>
        <v>-8.4072105359539101E-2</v>
      </c>
      <c r="G2" s="5">
        <f>SUM(G4:G79)</f>
        <v>900955.66</v>
      </c>
      <c r="H2" s="7">
        <f>C2-G2</f>
        <v>215517.33999999997</v>
      </c>
      <c r="I2" s="6">
        <f>IFERROR(H2/G2, 0)</f>
        <v>0.23920970761202606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1116473</v>
      </c>
      <c r="D4" s="12">
        <v>1218952.94</v>
      </c>
      <c r="E4" s="12">
        <f>IF(AND(ISNUMBER(C4),ISNUMBER(D4)), C4-D4, "")</f>
        <v>-102479.93999999994</v>
      </c>
      <c r="F4" s="13">
        <f>IFERROR(E4/D4, "")</f>
        <v>-8.4072105359539101E-2</v>
      </c>
      <c r="G4" s="14">
        <v>900955.66</v>
      </c>
      <c r="H4" s="14">
        <f>IF(AND(ISNUMBER(C4),ISNUMBER(G4)), C4-G4, "")</f>
        <v>215517.33999999997</v>
      </c>
      <c r="I4" s="15">
        <f>IFERROR(H4/G4, "")</f>
        <v>0.23920970761202606</v>
      </c>
      <c r="J4" s="36" t="s">
        <v>36</v>
      </c>
      <c r="K4" s="36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1103869.8999999999</v>
      </c>
      <c r="D2" s="5">
        <f>SUM(D4:D79)</f>
        <v>1229593.899</v>
      </c>
      <c r="E2" s="5">
        <f>C2-D2</f>
        <v>-125723.99900000007</v>
      </c>
      <c r="F2" s="6">
        <f>IFERROR(E2/D2, 0)</f>
        <v>-0.10224839201158079</v>
      </c>
      <c r="G2" s="5">
        <f>SUM(G4:G79)</f>
        <v>896308.11</v>
      </c>
      <c r="H2" s="7">
        <f>C2-G2</f>
        <v>207561.78999999992</v>
      </c>
      <c r="I2" s="6">
        <f>IFERROR(H2/G2, 0)</f>
        <v>0.23157415143772372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1103869.8999999999</v>
      </c>
      <c r="D4" s="12">
        <v>1229593.899</v>
      </c>
      <c r="E4" s="12">
        <f>IF(AND(ISNUMBER(C4),ISNUMBER(D4)), C4-D4, "")</f>
        <v>-125723.99900000007</v>
      </c>
      <c r="F4" s="13">
        <f>IFERROR(E4/D4, "")</f>
        <v>-0.10224839201158079</v>
      </c>
      <c r="G4" s="14">
        <v>896308.11</v>
      </c>
      <c r="H4" s="14">
        <f>IF(AND(ISNUMBER(C4),ISNUMBER(G4)), C4-G4, "")</f>
        <v>207561.78999999992</v>
      </c>
      <c r="I4" s="15">
        <f>IFERROR(H4/G4, "")</f>
        <v>0.23157415143772372</v>
      </c>
      <c r="J4" s="36" t="s">
        <v>40</v>
      </c>
      <c r="K4" s="36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H21" sqref="H2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915922.35</v>
      </c>
      <c r="D2" s="5">
        <f>SUM(D4:D79)</f>
        <v>997665.26500000001</v>
      </c>
      <c r="E2" s="5">
        <f>C2-D2</f>
        <v>-81742.915000000037</v>
      </c>
      <c r="F2" s="6">
        <f>IFERROR(E2/D2, 0)</f>
        <v>-8.193420966700693E-2</v>
      </c>
      <c r="G2" s="5">
        <f>SUM(G4:G79)</f>
        <v>968048.88</v>
      </c>
      <c r="H2" s="7">
        <f>C2-G2</f>
        <v>-52126.530000000028</v>
      </c>
      <c r="I2" s="6">
        <f>IFERROR(H2/G2, 0)</f>
        <v>-5.3847002023286288E-2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0.9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915922.35</v>
      </c>
      <c r="D4" s="12">
        <v>997665.26500000001</v>
      </c>
      <c r="E4" s="12">
        <f>IF(AND(ISNUMBER(C4),ISNUMBER(D4)), C4-D4, "")</f>
        <v>-81742.915000000037</v>
      </c>
      <c r="F4" s="13">
        <f>IFERROR(E4/D4, "")</f>
        <v>-8.193420966700693E-2</v>
      </c>
      <c r="G4" s="14">
        <v>968048.88</v>
      </c>
      <c r="H4" s="14">
        <f>IF(AND(ISNUMBER(C4),ISNUMBER(G4)), C4-G4, "")</f>
        <v>-52126.530000000028</v>
      </c>
      <c r="I4" s="15">
        <f>IFERROR(H4/G4, "")</f>
        <v>-5.3847002023286288E-2</v>
      </c>
      <c r="J4" s="36" t="s">
        <v>44</v>
      </c>
      <c r="K4" s="36" t="s">
        <v>45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J12" sqref="J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823514.64973924705</v>
      </c>
      <c r="D2" s="5">
        <f>SUM(D4:D79)</f>
        <v>819928.2</v>
      </c>
      <c r="E2" s="5">
        <f>C2-D2</f>
        <v>3586.4497392470948</v>
      </c>
      <c r="F2" s="6">
        <f>IFERROR(E2/D2, 0)</f>
        <v>4.3741021948593729E-3</v>
      </c>
      <c r="G2" s="5">
        <f>SUM(G4:G79)</f>
        <v>924127.4</v>
      </c>
      <c r="H2" s="7">
        <f>C2-G2</f>
        <v>-100612.75026075298</v>
      </c>
      <c r="I2" s="6">
        <f>IFERROR(H2/G2, 0)</f>
        <v>-0.10887324654669148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823514.64973924705</v>
      </c>
      <c r="D4" s="12">
        <v>819928.2</v>
      </c>
      <c r="E4" s="12">
        <f>IF(AND(ISNUMBER(C4),ISNUMBER(D4)), C4-D4, "")</f>
        <v>3586.4497392470948</v>
      </c>
      <c r="F4" s="13">
        <f>IFERROR(E4/D4, "")</f>
        <v>4.3741021948593729E-3</v>
      </c>
      <c r="G4" s="14">
        <v>924127.4</v>
      </c>
      <c r="H4" s="14">
        <f>IF(AND(ISNUMBER(C4),ISNUMBER(G4)), C4-G4, "")</f>
        <v>-100612.75026075298</v>
      </c>
      <c r="I4" s="15">
        <f>IFERROR(H4/G4, "")</f>
        <v>-0.10887324654669148</v>
      </c>
      <c r="J4" s="36" t="s">
        <v>48</v>
      </c>
      <c r="K4" s="36" t="s">
        <v>49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50</v>
      </c>
      <c r="E1" s="61"/>
      <c r="F1" s="61"/>
      <c r="G1" s="59" t="s">
        <v>51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879169.60880905401</v>
      </c>
      <c r="D2" s="5">
        <f>SUM(D4:D79)</f>
        <v>866944.5</v>
      </c>
      <c r="E2" s="5">
        <f>C2-D2</f>
        <v>12225.108809054014</v>
      </c>
      <c r="F2" s="6">
        <f>IFERROR(E2/D2, 0)</f>
        <v>1.4101374204524066E-2</v>
      </c>
      <c r="G2" s="5">
        <f>SUM(G4:G79)</f>
        <v>763532.5</v>
      </c>
      <c r="H2" s="7">
        <f>C2-G2</f>
        <v>115637.10880905401</v>
      </c>
      <c r="I2" s="6">
        <f>IFERROR(H2/G2, 0)</f>
        <v>0.15145014627282272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879169.60880905401</v>
      </c>
      <c r="D4" s="12">
        <v>866944.5</v>
      </c>
      <c r="E4" s="12">
        <f>IF(AND(ISNUMBER(C4),ISNUMBER(D4)), C4-D4, "")</f>
        <v>12225.108809054014</v>
      </c>
      <c r="F4" s="13">
        <f>IFERROR(E4/D4, "")</f>
        <v>1.4101374204524066E-2</v>
      </c>
      <c r="G4" s="14">
        <v>763532.5</v>
      </c>
      <c r="H4" s="14">
        <f>IF(AND(ISNUMBER(C4),ISNUMBER(G4)), C4-G4, "")</f>
        <v>115637.10880905401</v>
      </c>
      <c r="I4" s="15">
        <f>IFERROR(H4/G4, "")</f>
        <v>0.15145014627282272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52</v>
      </c>
      <c r="E1" s="61"/>
      <c r="F1" s="61"/>
      <c r="G1" s="59" t="s">
        <v>53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54</v>
      </c>
      <c r="E1" s="61"/>
      <c r="F1" s="61"/>
      <c r="G1" s="59" t="s">
        <v>55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7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56</v>
      </c>
      <c r="E1" s="61"/>
      <c r="F1" s="61"/>
      <c r="G1" s="59" t="s">
        <v>57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58</v>
      </c>
      <c r="B1" t="s">
        <v>59</v>
      </c>
    </row>
    <row r="3" spans="1:12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4.45">
      <c r="A4" s="45" t="s">
        <v>63</v>
      </c>
      <c r="B4" t="s">
        <v>64</v>
      </c>
      <c r="C4" s="43" t="s">
        <v>65</v>
      </c>
      <c r="D4" s="42" t="s">
        <v>66</v>
      </c>
      <c r="E4" t="s">
        <v>67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2024-10-10T20:25:38Z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