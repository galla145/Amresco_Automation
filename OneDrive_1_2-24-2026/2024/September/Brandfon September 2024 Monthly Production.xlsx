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7" documentId="13_ncr:1_{A8D24D54-1CD6-473E-B3D3-71D84CB62813}" xr6:coauthVersionLast="47" xr6:coauthVersionMax="47" xr10:uidLastSave="{A6C991C7-BD56-4B7F-A3D0-EFFCB16DDF3F}"/>
  <bookViews>
    <workbookView xWindow="-108" yWindow="-108" windowWidth="23256" windowHeight="12456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5" i="29"/>
  <c r="G5" i="18"/>
  <c r="G4" i="18"/>
  <c r="H4" i="4" l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1"/>
  <c r="G4" i="34" s="1"/>
  <c r="D5" i="34"/>
  <c r="C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I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D2" i="29" l="1"/>
  <c r="D2" i="18"/>
  <c r="E5" i="18"/>
  <c r="F5" i="18" s="1"/>
  <c r="E5" i="30"/>
  <c r="F5" i="30" s="1"/>
  <c r="E5" i="29"/>
  <c r="F5" i="29" s="1"/>
  <c r="D4" i="34"/>
  <c r="E4" i="18"/>
  <c r="F4" i="18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D2" i="34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E4" i="34" s="1"/>
  <c r="F4" i="34" s="1"/>
  <c r="H5" i="18"/>
  <c r="I5" i="18" s="1"/>
  <c r="H5" i="34"/>
  <c r="I5" i="34" s="1"/>
  <c r="C2" i="29"/>
  <c r="E2" i="29" s="1"/>
  <c r="F2" i="29" s="1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<sst xmlns="http://schemas.openxmlformats.org/spreadsheetml/2006/main" count="257" uniqueCount="69">
  <si>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</si>
  <si>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</si>
  <si>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</si>
  <si>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</si>
  <si>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</si>
  <si>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</si>
  <si>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</si>
  <si>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</si>
  <si>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</si>
  <si>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</si>
  <si>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</si>
  <si>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</si>
  <si>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</si>
  <si>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</si>
  <si>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</si>
  <si>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</si>
  <si>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</si>
  <si>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</si>
  <si>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</si>
  <si>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</si>
  <si>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</si>
  <si>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</si>
  <si>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</si>
  <si>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</si>
  <si>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</si>
  <si>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</si>
  <si>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</si>
  <si>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</si>
  <si>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</si>
  <si>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</si>
  <si>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1. Inverter 3 tripped offline at 13:45 from 05/28</t>
  </si>
  <si>
    <t>1. SR085236</t>
  </si>
  <si>
    <t>1.Site was offline due to utility outage at 07:00AM to 11:00AM on 05/30
2.Inverter 2 is derating by 2 kW on high irradiance days throughout the month</t>
  </si>
  <si>
    <t>1.SR085304
2.SR085289</t>
  </si>
  <si>
    <t>June Actual v. Expected</t>
  </si>
  <si>
    <t>June Actual v. Forecasted</t>
  </si>
  <si>
    <t>1. Inverter 3 tripped offline at 13:45 from 05/28 throughout the month</t>
  </si>
  <si>
    <t>1.SR085236</t>
  </si>
  <si>
    <t>1.Inverter 3 tripped offline at 8 pm on 6/4/24 throughout the month
2.inverter 2 is derating by 2 kW on high irradiance days throughout the month</t>
  </si>
  <si>
    <t>1.SR085598
2.SR085289</t>
  </si>
  <si>
    <t>July Actual v. Expected</t>
  </si>
  <si>
    <t>July Actual v. Forecasted</t>
  </si>
  <si>
    <t>August Actual v. Expected</t>
  </si>
  <si>
    <t>August Actual v. Forecasted</t>
  </si>
  <si>
    <t xml:space="preserve">1.Inverter 3 producing ~4kW down compared to peer inverters, possibly string down from 08/30/2024 </t>
  </si>
  <si>
    <t>1.SR089771</t>
  </si>
  <si>
    <t>September Actual v. Expected</t>
  </si>
  <si>
    <t>September Actual v. Forecasted</t>
  </si>
  <si>
    <t>1. Site offline from 10:45AM to 13:30 on 09/11</t>
  </si>
  <si>
    <t>1. SR090279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</si>
  <si>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</si>
  <si>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</si>
  <si>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</si>
  <si>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</si>
  <si>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</si>
  <si>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</si>
  <si>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</si>
  <si>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BRANDFON</t>
  </si>
  <si>
    <t>Site DAS Name</t>
  </si>
  <si>
    <t>Update</t>
  </si>
  <si>
    <t>DAS</t>
  </si>
  <si>
    <t>Brandfon Honda</t>
  </si>
  <si>
    <t>Branford - Brandfon Honda</t>
  </si>
  <si>
    <t>CT</t>
  </si>
  <si>
    <t>AF</t>
  </si>
  <si>
    <t>PoweTrack</t>
  </si>
  <si>
    <t>Brandfon Hyundai</t>
  </si>
  <si>
    <t>New Haven - Brandfon Hyundai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</si>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</sst>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35" fillId="46" borderId="0" xfId="0" applyFont="1" applyFill="1" applyAlignment="1">
      <alignment horizontal="left"/>
    </xf>
    <xf numFmtId="0" fontId="35" fillId="46" borderId="12" xfId="0" applyFont="1" applyFill="1" applyBorder="1"/>
    <xf numFmtId="0" fontId="35" fillId="0" borderId="0" xfId="0" applyFont="1" applyAlignment="1">
      <alignment horizontal="left"/>
    </xf>
    <xf numFmtId="0" fontId="35" fillId="0" borderId="0" xfId="0" applyFont="1"/>
    <xf numFmtId="0" fontId="35" fillId="0" borderId="12" xfId="0" applyFont="1" applyBorder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7"/>
  <sheetViews>
    <sheetView workbookViewId="0">
      <pane xSplit="2" ySplit="3" topLeftCell="C4" activePane="bottomRight" state="frozen"/>
      <selection pane="bottomRight" activeCell="F15" sqref="F15"/>
      <selection pane="bottomLeft" activeCell="J9" sqref="J9"/>
      <selection pane="topRight" activeCell="J9" sqref="J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BRANDFON</v>
      </c>
      <c r="B1" s="57"/>
      <c r="C1" s="57"/>
      <c r="D1" s="58" t="s">
        <v>0</v>
      </c>
      <c r="E1" s="58"/>
      <c r="F1" s="58"/>
      <c r="G1" s="56" t="s">
        <v>1</v>
      </c>
      <c r="H1" s="56"/>
      <c r="I1" s="56"/>
    </row>
    <row r="2" spans="1:9" ht="19.5" customHeight="1">
      <c r="A2" s="59" t="s">
        <v>2</v>
      </c>
      <c r="B2" s="59"/>
      <c r="C2" s="5">
        <f>SUM(C4:C65)</f>
        <v>144245.21</v>
      </c>
      <c r="D2" s="5">
        <f>SUM(D4:D65)</f>
        <v>0</v>
      </c>
      <c r="E2" s="5">
        <f>C2-D2</f>
        <v>144245.21</v>
      </c>
      <c r="F2" s="6">
        <f>IFERROR(E2/D2, 0)</f>
        <v>0</v>
      </c>
      <c r="G2" s="5">
        <f>SUM(G4:G65)</f>
        <v>136085.31700000001</v>
      </c>
      <c r="H2" s="7">
        <f>C2-G2</f>
        <v>8159.8929999999818</v>
      </c>
      <c r="I2" s="6">
        <f>IFERROR(H2/G2, 0)</f>
        <v>5.9961597473443672E-2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Branford - Brandfon Honda</v>
      </c>
      <c r="B4" s="9" t="str" cm="1">
        <f t="array" ref="B4:B5">Sites[State]</f>
        <v>CT</v>
      </c>
      <c r="C4" s="24">
        <f>SUM('1st Qtr'!C4, '2nd Qtr'!C4, '3rd Qtr'!C4, '4th Qtr'!C4)</f>
        <v>118929.95999999999</v>
      </c>
      <c r="D4" s="13">
        <f>SUM('1st Qtr'!D4, '2nd Qtr'!D4, '3rd Qtr'!D4, '4th Qtr'!D4)</f>
        <v>0</v>
      </c>
      <c r="E4" s="13">
        <f>IF(AND(ISNUMBER(C4),ISNUMBER(D4)), C4-D4, "")</f>
        <v>118929.95999999999</v>
      </c>
      <c r="F4" s="14" t="str">
        <f>IFERROR(E4/D4, "")</f>
        <v/>
      </c>
      <c r="G4" s="15">
        <f>SUM('1st Qtr'!G4, '2nd Qtr'!G4, '3rd Qtr'!G4, '4th Qtr'!G4)</f>
        <v>136085.31700000001</v>
      </c>
      <c r="H4" s="15">
        <f>SUM('1st Qtr'!H4, '2nd Qtr'!H4, '3rd Qtr'!H4, '4th Qtr'!H4)</f>
        <v>-17155.357</v>
      </c>
      <c r="I4" s="16">
        <f>IFERROR(H4/G4, "")</f>
        <v>-0.12606324751405765</v>
      </c>
    </row>
    <row r="5" spans="1:9" ht="15.6">
      <c r="A5" s="17" t="str">
        <v>New Haven - Brandfon Hyundai</v>
      </c>
      <c r="B5" s="10" t="str">
        <v>CT</v>
      </c>
      <c r="C5" s="11">
        <f>SUM(Jan!C5, Feb!C5, Mar!C5)</f>
        <v>25315.25</v>
      </c>
      <c r="D5" s="18">
        <f>SUM(Jan!D5, Feb!D5, Mar!D5)</f>
        <v>0</v>
      </c>
      <c r="E5" s="18">
        <f t="shared" ref="E5" si="0">IF(AND(ISNUMBER(C5),ISNUMBER(D5)), C5-D5, "")</f>
        <v>25315.25</v>
      </c>
      <c r="F5" s="19" t="str">
        <f>IFERROR(E5/D5, "")</f>
        <v/>
      </c>
      <c r="G5" s="20">
        <f>SUM('1st Qtr'!G5, '2nd Qtr'!G5, '3rd Qtr'!G5, '4th Qtr'!G5)</f>
        <v>0</v>
      </c>
      <c r="H5" s="20">
        <f>SUM(Jan!H5, Feb!H5, Mar!H5)</f>
        <v>25315.25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5 I4:I6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7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BRANDFON</v>
      </c>
      <c r="B1" s="57"/>
      <c r="C1" s="57"/>
      <c r="D1" s="58" t="s">
        <v>10</v>
      </c>
      <c r="E1" s="58"/>
      <c r="F1" s="58"/>
      <c r="G1" s="56" t="s">
        <v>11</v>
      </c>
      <c r="H1" s="56"/>
      <c r="I1" s="56"/>
    </row>
    <row r="2" spans="1:9" ht="19.5" customHeight="1">
      <c r="A2" s="59" t="s">
        <v>2</v>
      </c>
      <c r="B2" s="59"/>
      <c r="C2" s="5">
        <f>SUM(C4:C65)</f>
        <v>52085.18</v>
      </c>
      <c r="D2" s="5">
        <f>SUM(D4:D65)</f>
        <v>0</v>
      </c>
      <c r="E2" s="5">
        <f>C2-D2</f>
        <v>52085.18</v>
      </c>
      <c r="F2" s="6">
        <f>IFERROR(E2/D2, 0)</f>
        <v>0</v>
      </c>
      <c r="G2" s="5">
        <f>SUM(G4:G65)</f>
        <v>30628.328999999998</v>
      </c>
      <c r="H2" s="7">
        <f>C2-G2</f>
        <v>21456.851000000002</v>
      </c>
      <c r="I2" s="6">
        <f>IFERROR(H2/G2, 0)</f>
        <v>0.70055571755155188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Branford - Brandfon Honda</v>
      </c>
      <c r="B4" s="9" t="str" cm="1">
        <f t="array" ref="B4:B5">Sites[State]</f>
        <v>CT</v>
      </c>
      <c r="C4" s="24">
        <f>SUM(Jan!C4, Feb!C4, Mar!C4)</f>
        <v>26769.93</v>
      </c>
      <c r="D4" s="13">
        <f>SUM(Jan!D4, Feb!D4, Mar!D4)</f>
        <v>0</v>
      </c>
      <c r="E4" s="13">
        <f>IF(AND(ISNUMBER(C4),ISNUMBER(D4)), C4-D4, "")</f>
        <v>26769.93</v>
      </c>
      <c r="F4" s="14" t="str">
        <f>IFERROR(E4/D4, "")</f>
        <v/>
      </c>
      <c r="G4" s="15">
        <f>SUM(Jan!G4, Feb!G4, Mar!G4)</f>
        <v>30628.328999999998</v>
      </c>
      <c r="H4" s="15">
        <f>SUM(Jan!H4, Feb!H4, Mar!H4)</f>
        <v>-3858.3989999999994</v>
      </c>
      <c r="I4" s="16">
        <f>IFERROR(H4/G4, "")</f>
        <v>-0.12597484505276144</v>
      </c>
    </row>
    <row r="5" spans="1:9" ht="15.6">
      <c r="A5" s="47" t="str">
        <v>New Haven - Brandfon Hyundai</v>
      </c>
      <c r="B5" s="10" t="str">
        <v>CT</v>
      </c>
      <c r="C5" s="11">
        <f>SUM(Jan!C5, Feb!C5, Mar!C5)</f>
        <v>25315.25</v>
      </c>
      <c r="D5" s="18">
        <f>SUM(Jan!D5, Feb!D5, Mar!D5)</f>
        <v>0</v>
      </c>
      <c r="E5" s="18">
        <f t="shared" ref="E5" si="0">IF(AND(ISNUMBER(C5),ISNUMBER(D5)), C5-D5, "")</f>
        <v>25315.25</v>
      </c>
      <c r="F5" s="19" t="str">
        <f>IFERROR(E5/D5, "")</f>
        <v/>
      </c>
      <c r="G5" s="20">
        <f>SUM(Jan!G5, Feb!G5, Mar!G5)</f>
        <v>0</v>
      </c>
      <c r="H5" s="20">
        <f>SUM(Jan!H5, Feb!H5, Mar!H5)</f>
        <v>25315.25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5 I4:I6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7"/>
  <sheetViews>
    <sheetView workbookViewId="0">
      <pane xSplit="2" ySplit="3" topLeftCell="C4" activePane="bottomRight" state="frozen"/>
      <selection pane="bottomRight" activeCell="G14" sqref="G14"/>
      <selection pane="bottomLeft" activeCell="J9" sqref="J9"/>
      <selection pane="topRight" activeCell="J9" sqref="J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BRANDFON</v>
      </c>
      <c r="B1" s="57"/>
      <c r="C1" s="57"/>
      <c r="D1" s="58" t="s">
        <v>12</v>
      </c>
      <c r="E1" s="58"/>
      <c r="F1" s="58"/>
      <c r="G1" s="56" t="s">
        <v>13</v>
      </c>
      <c r="H1" s="56"/>
      <c r="I1" s="56"/>
    </row>
    <row r="2" spans="1:9" ht="19.5" customHeight="1">
      <c r="A2" s="59" t="s">
        <v>2</v>
      </c>
      <c r="B2" s="59"/>
      <c r="C2" s="5">
        <f>SUM(C4:C65)</f>
        <v>92338.94</v>
      </c>
      <c r="D2" s="5">
        <f>SUM(D4:D65)</f>
        <v>0</v>
      </c>
      <c r="E2" s="5">
        <f>C2-D2</f>
        <v>92338.94</v>
      </c>
      <c r="F2" s="6">
        <f>IFERROR(E2/D2, 0)</f>
        <v>0</v>
      </c>
      <c r="G2" s="5">
        <f>SUM(G4:G65)</f>
        <v>55226.808000000005</v>
      </c>
      <c r="H2" s="7">
        <f>C2-G2</f>
        <v>37112.131999999998</v>
      </c>
      <c r="I2" s="6">
        <f>IFERROR(H2/G2, 0)</f>
        <v>0.67199487611161579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Branford - Brandfon Honda</v>
      </c>
      <c r="B4" s="9" t="str" cm="1">
        <f t="array" ref="B4:B5">Sites[State]</f>
        <v>CT</v>
      </c>
      <c r="C4" s="24">
        <f>SUM(Apr!C4, May!C4, Jun!C4)</f>
        <v>51369.79</v>
      </c>
      <c r="D4" s="13">
        <f>SUM(Apr!D4, May!D4, Jun!D4)</f>
        <v>0</v>
      </c>
      <c r="E4" s="13">
        <f>IF(AND(ISNUMBER(C4),ISNUMBER(D4)), C4-D4, "")</f>
        <v>51369.79</v>
      </c>
      <c r="F4" s="14" t="str">
        <f>IFERROR(E4/D4, "")</f>
        <v/>
      </c>
      <c r="G4" s="15">
        <f>SUM(Apr!G4,May!G4,Jun!G4)</f>
        <v>55226.808000000005</v>
      </c>
      <c r="H4" s="15">
        <f>SUM(Apr!H4, May!H4, Jun!H4)</f>
        <v>-3857.0180000000018</v>
      </c>
      <c r="I4" s="16">
        <f>IFERROR(H4/G4, "")</f>
        <v>-6.9839596740771281E-2</v>
      </c>
    </row>
    <row r="5" spans="1:9" ht="15.6">
      <c r="A5" s="47" t="str">
        <v>New Haven - Brandfon Hyundai</v>
      </c>
      <c r="B5" s="10" t="str">
        <v>CT</v>
      </c>
      <c r="C5" s="11">
        <f>SUM(Apr!C5, May!C5, Jun!C5)</f>
        <v>40969.15</v>
      </c>
      <c r="D5" s="18">
        <f>SUM(Apr!D5, May!D5, Jun!D5)</f>
        <v>0</v>
      </c>
      <c r="E5" s="18">
        <f t="shared" ref="E5" si="0">IF(AND(ISNUMBER(C5),ISNUMBER(D5)), C5-D5, "")</f>
        <v>40969.15</v>
      </c>
      <c r="F5" s="19" t="str">
        <f>IFERROR(E5/D5, "")</f>
        <v/>
      </c>
      <c r="G5" s="18">
        <f>SUM(Apr!G5,May!G5,Jun!G5)</f>
        <v>0</v>
      </c>
      <c r="H5" s="20">
        <f>SUM(Apr!H5, May!H5, Jun!H5)</f>
        <v>40969.15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7"/>
  <sheetViews>
    <sheetView workbookViewId="0">
      <pane xSplit="2" ySplit="3" topLeftCell="C4" activePane="bottomRight" state="frozen"/>
      <selection pane="bottomRight" activeCell="G4" sqref="G4"/>
      <selection pane="bottomLeft" activeCell="J9" sqref="J9"/>
      <selection pane="topRight" activeCell="J9" sqref="J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BRANDFON</v>
      </c>
      <c r="B1" s="57"/>
      <c r="C1" s="57"/>
      <c r="D1" s="58" t="s">
        <v>14</v>
      </c>
      <c r="E1" s="58"/>
      <c r="F1" s="58"/>
      <c r="G1" s="56" t="s">
        <v>15</v>
      </c>
      <c r="H1" s="56"/>
      <c r="I1" s="56"/>
    </row>
    <row r="2" spans="1:9" ht="19.5" customHeight="1">
      <c r="A2" s="59" t="s">
        <v>2</v>
      </c>
      <c r="B2" s="59"/>
      <c r="C2" s="5">
        <f>SUM(C4:C65)</f>
        <v>87773.695000000007</v>
      </c>
      <c r="D2" s="5">
        <f>SUM(D4:D65)</f>
        <v>0</v>
      </c>
      <c r="E2" s="5">
        <f>C2-D2</f>
        <v>87773.695000000007</v>
      </c>
      <c r="F2" s="6">
        <f>IFERROR(E2/D2, 0)</f>
        <v>0</v>
      </c>
      <c r="G2" s="5">
        <f>SUM(G4:G65)</f>
        <v>50230.18</v>
      </c>
      <c r="H2" s="7">
        <f>C2-G2</f>
        <v>37543.515000000007</v>
      </c>
      <c r="I2" s="6">
        <f>IFERROR(H2/G2, 0)</f>
        <v>0.74742943385829008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Branford - Brandfon Honda</v>
      </c>
      <c r="B4" s="9" t="str" cm="1">
        <f t="array" ref="B4:B5">Sites[State]</f>
        <v>CT</v>
      </c>
      <c r="C4" s="24">
        <f>SUM(Jul!C4, Aug!C4, Sep!C4)</f>
        <v>40790.239999999998</v>
      </c>
      <c r="D4" s="13">
        <f>SUM(Jul!D4, Aug!D4, Sep!D4)</f>
        <v>0</v>
      </c>
      <c r="E4" s="13">
        <f>IF(AND(ISNUMBER(C4),ISNUMBER(D4)), C4-D4, "")</f>
        <v>40790.239999999998</v>
      </c>
      <c r="F4" s="14" t="str">
        <f>IFERROR(E4/D4, "")</f>
        <v/>
      </c>
      <c r="G4" s="15">
        <f>SUM(Jul!G4,Aug!G4,Sep!G4)</f>
        <v>50230.18</v>
      </c>
      <c r="H4" s="15">
        <f>SUM(Jul!H4, Aug!H4, Sep!H4)</f>
        <v>-9439.9399999999987</v>
      </c>
      <c r="I4" s="16">
        <f>IFERROR(H4/G4, "")</f>
        <v>-0.18793362874670166</v>
      </c>
    </row>
    <row r="5" spans="1:9" ht="15.6">
      <c r="A5" s="47" t="str">
        <v>New Haven - Brandfon Hyundai</v>
      </c>
      <c r="B5" s="10" t="str">
        <v>CT</v>
      </c>
      <c r="C5" s="11">
        <f>SUM(Jul!C5, Aug!C5, Sep!C5)</f>
        <v>46983.455000000002</v>
      </c>
      <c r="D5" s="18">
        <f>SUM(Jul!D5, Aug!D5, Sep!D5)</f>
        <v>0</v>
      </c>
      <c r="E5" s="18">
        <f t="shared" ref="E5" si="0">IF(AND(ISNUMBER(C5),ISNUMBER(D5)), C5-D5, "")</f>
        <v>46983.455000000002</v>
      </c>
      <c r="F5" s="19" t="str">
        <f>IFERROR(E5/D5, "")</f>
        <v/>
      </c>
      <c r="G5" s="18">
        <f>SUM(Jul!G5,Aug!G5,Sep!G5)</f>
        <v>0</v>
      </c>
      <c r="H5" s="20">
        <f>SUM(Jul!H5, Aug!H5, Sep!H5)</f>
        <v>46983.455000000002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</sheetData>
  <mergeCells count="4">
    <mergeCell ref="G1:I1"/>
    <mergeCell ref="A1:C1"/>
    <mergeCell ref="D1:F1"/>
    <mergeCell ref="A2:B2"/>
  </mergeCells>
  <conditionalFormatting sqref="F2 I2 F4:F65 I4:I6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7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BRANDFON</v>
      </c>
      <c r="B1" s="57"/>
      <c r="C1" s="57"/>
      <c r="D1" s="58" t="s">
        <v>16</v>
      </c>
      <c r="E1" s="58"/>
      <c r="F1" s="58"/>
      <c r="G1" s="56" t="s">
        <v>17</v>
      </c>
      <c r="H1" s="56"/>
      <c r="I1" s="56"/>
    </row>
    <row r="2" spans="1:9" ht="19.5" customHeight="1">
      <c r="A2" s="59" t="s">
        <v>2</v>
      </c>
      <c r="B2" s="59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Branford - Brandfon Honda</v>
      </c>
      <c r="B4" s="9" t="str" cm="1">
        <f t="array" ref="B4:B5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6">
      <c r="A5" s="47" t="str">
        <v>New Haven - Brandfon Hyundai</v>
      </c>
      <c r="B5" s="10" t="str">
        <v>CT</v>
      </c>
      <c r="C5" s="11">
        <f>SUM(Oct!C5, Nov!C5, Dec!C5)</f>
        <v>0</v>
      </c>
      <c r="D5" s="18">
        <f>SUM(Oct!D5, Nov!D5, Dec!D5)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</sheetData>
  <mergeCells count="4">
    <mergeCell ref="G1:I1"/>
    <mergeCell ref="A1:C1"/>
    <mergeCell ref="D1:F1"/>
    <mergeCell ref="A2:B2"/>
  </mergeCells>
  <conditionalFormatting sqref="F2 I2 F4:F65 I4:I65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6"/>
  <sheetViews>
    <sheetView workbookViewId="0">
      <pane xSplit="2" ySplit="3" topLeftCell="C4" activePane="bottomRight" state="frozen"/>
      <selection pane="bottomRight" activeCell="G9" sqref="G9"/>
      <selection pane="bottomLeft" activeCell="B14" sqref="B14"/>
      <selection pane="topRight" activeCell="B14" sqref="B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18</v>
      </c>
      <c r="E1" s="58"/>
      <c r="F1" s="58"/>
      <c r="G1" s="56" t="s">
        <v>19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SUM(C4:C64)</f>
        <v>8421</v>
      </c>
      <c r="D2" s="5">
        <f>SUM(D4:D64)</f>
        <v>0</v>
      </c>
      <c r="E2" s="5">
        <f>C2-D2</f>
        <v>8421</v>
      </c>
      <c r="F2" s="6">
        <f>IFERROR(E2/D2, 0)</f>
        <v>0</v>
      </c>
      <c r="G2" s="5">
        <f>SUM(G4:G64)</f>
        <v>6863</v>
      </c>
      <c r="H2" s="7">
        <f>C2-G2</f>
        <v>1558</v>
      </c>
      <c r="I2" s="6">
        <f>IFERROR(H2/G2, 0)</f>
        <v>0.22701442517849338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49" t="str" cm="1">
        <f t="array" ref="A4:A5">Sites[Site]</f>
        <v>Branford - Brandfon Honda</v>
      </c>
      <c r="B4" s="28" t="str" cm="1">
        <f t="array" ref="B4:B5">Sites[State]</f>
        <v>CT</v>
      </c>
      <c r="C4" s="13">
        <v>4409</v>
      </c>
      <c r="D4" s="13">
        <v>0</v>
      </c>
      <c r="E4" s="13">
        <f>IF(AND(ISNUMBER(C4),ISNUMBER(D4)), C4-D4, "")</f>
        <v>4409</v>
      </c>
      <c r="F4" s="43" t="str">
        <f>IFERROR(E4/D4, "")</f>
        <v/>
      </c>
      <c r="G4" s="15">
        <v>6863</v>
      </c>
      <c r="H4" s="15">
        <f>IF(AND(ISNUMBER(C4),ISNUMBER(G4)), C4-G4, "")</f>
        <v>-2454</v>
      </c>
      <c r="I4" s="16">
        <f>IFERROR(H4/G4, "")</f>
        <v>-0.35756957598717765</v>
      </c>
      <c r="J4" s="40"/>
      <c r="K4" s="40"/>
    </row>
    <row r="5" spans="1:11" ht="15.6">
      <c r="A5" s="50" t="str">
        <v>New Haven - Brandfon Hyundai</v>
      </c>
      <c r="B5" s="30" t="str">
        <v>CT</v>
      </c>
      <c r="C5" s="18">
        <v>4012</v>
      </c>
      <c r="D5" s="18">
        <v>0</v>
      </c>
      <c r="E5" s="18">
        <f t="shared" ref="E5" si="0">IF(AND(ISNUMBER(C5),ISNUMBER(D5)), C5-D5, "")</f>
        <v>4012</v>
      </c>
      <c r="F5" s="22" t="str">
        <f t="shared" ref="F5" si="1">IFERROR(E5/D5, "")</f>
        <v/>
      </c>
      <c r="G5" s="20">
        <v>0</v>
      </c>
      <c r="H5" s="20">
        <f t="shared" ref="H5" si="2">IF(AND(ISNUMBER(C5),ISNUMBER(G5)), C5-G5, "")</f>
        <v>4012</v>
      </c>
      <c r="I5" s="19" t="str">
        <f t="shared" ref="I5" si="3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</sheetData>
  <mergeCells count="4">
    <mergeCell ref="D1:F1"/>
    <mergeCell ref="A1:C1"/>
    <mergeCell ref="G1:I1"/>
    <mergeCell ref="A2:B2"/>
  </mergeCells>
  <conditionalFormatting sqref="F2 I2 I4:I64 F5:F64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7"/>
  <sheetViews>
    <sheetView workbookViewId="0">
      <pane xSplit="2" ySplit="3" topLeftCell="C4" activePane="bottomRight" state="frozen"/>
      <selection pane="bottomRight" activeCell="G9" sqref="G9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22</v>
      </c>
      <c r="E1" s="58"/>
      <c r="F1" s="58"/>
      <c r="G1" s="56" t="s">
        <v>23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14779.49</v>
      </c>
      <c r="D2" s="5">
        <f>SUM(D4:D65)</f>
        <v>0</v>
      </c>
      <c r="E2" s="5">
        <f>C2-D2</f>
        <v>14779.49</v>
      </c>
      <c r="F2" s="6">
        <f>IFERROR(E2/D2, 0)</f>
        <v>0</v>
      </c>
      <c r="G2" s="5">
        <f>SUM(G4:G65)</f>
        <v>9306.8150000000005</v>
      </c>
      <c r="H2" s="7">
        <f>C2-G2</f>
        <v>5472.6749999999993</v>
      </c>
      <c r="I2" s="6">
        <f>IFERROR(H2/G2, 0)</f>
        <v>0.58802877246404905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49" t="str" cm="1">
        <f t="array" ref="A4:A5">Sites[Site]</f>
        <v>Branford - Brandfon Honda</v>
      </c>
      <c r="B4" s="28" t="str" cm="1">
        <f t="array" ref="B4:B5">Sites[State]</f>
        <v>CT</v>
      </c>
      <c r="C4" s="24">
        <v>7602.41</v>
      </c>
      <c r="D4" s="13">
        <v>0</v>
      </c>
      <c r="E4" s="13">
        <f>IF(AND(ISNUMBER(C4),ISNUMBER(D4)), C4-D4, "")</f>
        <v>7602.41</v>
      </c>
      <c r="F4" s="14" t="str">
        <f>IFERROR(E4/D4, "")</f>
        <v/>
      </c>
      <c r="G4" s="15">
        <v>9306.8150000000005</v>
      </c>
      <c r="H4" s="15">
        <f>IF(AND(ISNUMBER(C4),ISNUMBER(G4)), C4-G4, "")</f>
        <v>-1704.4050000000007</v>
      </c>
      <c r="I4" s="16">
        <f>IFERROR(H4/G4, "")</f>
        <v>-0.18313515418540077</v>
      </c>
      <c r="J4" s="40"/>
      <c r="K4" s="40"/>
    </row>
    <row r="5" spans="1:11" ht="15.6">
      <c r="A5" s="50" t="str">
        <v>New Haven - Brandfon Hyundai</v>
      </c>
      <c r="B5" s="30" t="str">
        <v>CT</v>
      </c>
      <c r="C5" s="11">
        <v>7177.08</v>
      </c>
      <c r="D5" s="18">
        <v>0</v>
      </c>
      <c r="E5" s="18">
        <f t="shared" ref="E5" si="0">IF(AND(ISNUMBER(C5),ISNUMBER(D5)), C5-D5, "")</f>
        <v>7177.08</v>
      </c>
      <c r="F5" s="19" t="str">
        <f>IFERROR(E5/D5, "")</f>
        <v/>
      </c>
      <c r="G5" s="20">
        <v>0</v>
      </c>
      <c r="H5" s="20">
        <f t="shared" ref="H5" si="1">IF(AND(ISNUMBER(C5),ISNUMBER(G5)), C5-G5, "")</f>
        <v>7177.08</v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7"/>
  <sheetViews>
    <sheetView workbookViewId="0">
      <pane xSplit="2" ySplit="3" topLeftCell="C4" activePane="bottomRight" state="frozen"/>
      <selection pane="bottomRight" activeCell="D20" sqref="D20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24</v>
      </c>
      <c r="E1" s="58"/>
      <c r="F1" s="58"/>
      <c r="G1" s="56" t="s">
        <v>25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28884.690000000002</v>
      </c>
      <c r="D2" s="5">
        <f>SUM(D4:D65)</f>
        <v>0</v>
      </c>
      <c r="E2" s="5">
        <f>C2-D2</f>
        <v>28884.690000000002</v>
      </c>
      <c r="F2" s="6">
        <f>IFERROR(E2/D2, 0)</f>
        <v>0</v>
      </c>
      <c r="G2" s="5">
        <f>SUM(G4:G65)</f>
        <v>14458.513999999999</v>
      </c>
      <c r="H2" s="7">
        <f>C2-G2</f>
        <v>14426.176000000003</v>
      </c>
      <c r="I2" s="6">
        <f>IFERROR(H2/G2, 0)</f>
        <v>0.99776339394214397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14758.52</v>
      </c>
      <c r="D4" s="13">
        <v>0</v>
      </c>
      <c r="E4" s="13">
        <f>IF(AND(ISNUMBER(C4),ISNUMBER(D4)), C4-D4, "")</f>
        <v>14758.52</v>
      </c>
      <c r="F4" s="14" t="str">
        <f>IFERROR(E4/D4, "")</f>
        <v/>
      </c>
      <c r="G4" s="15">
        <v>14458.513999999999</v>
      </c>
      <c r="H4" s="15">
        <f>IF(AND(ISNUMBER(C4),ISNUMBER(G4)), C4-G4, "")</f>
        <v>300.00600000000122</v>
      </c>
      <c r="I4" s="16">
        <f>IFERROR(H4/G4, "")</f>
        <v>2.0749435246250149E-2</v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>
        <v>14126.17</v>
      </c>
      <c r="D5" s="18">
        <v>0</v>
      </c>
      <c r="E5" s="18">
        <f t="shared" ref="E5" si="0">IF(AND(ISNUMBER(C5),ISNUMBER(D5)), C5-D5, "")</f>
        <v>14126.17</v>
      </c>
      <c r="F5" s="19" t="str">
        <f>IFERROR(E5/D5, "")</f>
        <v/>
      </c>
      <c r="G5" s="20">
        <v>0</v>
      </c>
      <c r="H5" s="20">
        <f t="shared" ref="H5" si="1">IF(AND(ISNUMBER(C5),ISNUMBER(G5)), C5-G5, "")</f>
        <v>14126.17</v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7"/>
  <sheetViews>
    <sheetView workbookViewId="0">
      <pane xSplit="2" ySplit="3" topLeftCell="C4" activePane="bottomRight" state="frozen"/>
      <selection pane="bottomRight" activeCell="H9" sqref="H9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26</v>
      </c>
      <c r="E1" s="58"/>
      <c r="F1" s="58"/>
      <c r="G1" s="56" t="s">
        <v>27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27367.41</v>
      </c>
      <c r="D2" s="5">
        <f>SUM(D4:D65)</f>
        <v>0</v>
      </c>
      <c r="E2" s="5">
        <f>C2-D2</f>
        <v>27367.41</v>
      </c>
      <c r="F2" s="6">
        <f>IFERROR(E2/D2, 0)</f>
        <v>0</v>
      </c>
      <c r="G2" s="5">
        <f>SUM(G4:G65)</f>
        <v>16433.060000000001</v>
      </c>
      <c r="H2" s="7">
        <f>C2-G2</f>
        <v>10934.349999999999</v>
      </c>
      <c r="I2" s="6">
        <f>IFERROR(H2/G2, 0)</f>
        <v>0.66538733504289505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15867.97</v>
      </c>
      <c r="D4" s="13">
        <v>0</v>
      </c>
      <c r="E4" s="13">
        <f>IF(AND(ISNUMBER(C4),ISNUMBER(D4)), C4-D4, "")</f>
        <v>15867.97</v>
      </c>
      <c r="F4" s="14" t="str">
        <f>IFERROR(E4/D4, "")</f>
        <v/>
      </c>
      <c r="G4" s="15">
        <v>16433.060000000001</v>
      </c>
      <c r="H4" s="15">
        <f>IF(AND(ISNUMBER(C4),ISNUMBER(G4)), C4-G4, "")</f>
        <v>-565.09000000000196</v>
      </c>
      <c r="I4" s="16">
        <f>IFERROR(H4/G4, "")</f>
        <v>-3.4387387376423009E-2</v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>
        <v>11499.44</v>
      </c>
      <c r="D5" s="18">
        <v>0</v>
      </c>
      <c r="E5" s="18">
        <f t="shared" ref="E5" si="0">IF(AND(ISNUMBER(C5),ISNUMBER(D5)), C5-D5, "")</f>
        <v>11499.44</v>
      </c>
      <c r="F5" s="19" t="str">
        <f>IFERROR(E5/D5, "")</f>
        <v/>
      </c>
      <c r="G5" s="20">
        <v>0</v>
      </c>
      <c r="H5" s="20">
        <f t="shared" ref="H5" si="1">IF(AND(ISNUMBER(C5),ISNUMBER(G5)), C5-G5, "")</f>
        <v>11499.44</v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7"/>
  <sheetViews>
    <sheetView workbookViewId="0">
      <pane xSplit="2" ySplit="3" topLeftCell="C4" activePane="bottomRight" state="frozen"/>
      <selection pane="bottomRight" activeCell="H14" sqref="H14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28</v>
      </c>
      <c r="E1" s="58"/>
      <c r="F1" s="58"/>
      <c r="G1" s="56" t="s">
        <v>29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32452.03</v>
      </c>
      <c r="D2" s="5">
        <f>SUM(D4:D65)</f>
        <v>0</v>
      </c>
      <c r="E2" s="5">
        <f>C2-D2</f>
        <v>32452.03</v>
      </c>
      <c r="F2" s="6">
        <f>IFERROR(E2/D2, 0)</f>
        <v>0</v>
      </c>
      <c r="G2" s="5">
        <f>SUM(G4:G65)</f>
        <v>19224.766</v>
      </c>
      <c r="H2" s="7">
        <f>C2-G2</f>
        <v>13227.263999999999</v>
      </c>
      <c r="I2" s="6">
        <f>IFERROR(H2/G2, 0)</f>
        <v>0.68803250973249819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18582.64</v>
      </c>
      <c r="D4" s="13">
        <v>0</v>
      </c>
      <c r="E4" s="13">
        <f>IF(AND(ISNUMBER(C4),ISNUMBER(D4)), C4-D4, "")</f>
        <v>18582.64</v>
      </c>
      <c r="F4" s="14" t="str">
        <f>IFERROR(E4/D4, "")</f>
        <v/>
      </c>
      <c r="G4" s="15">
        <v>19224.766</v>
      </c>
      <c r="H4" s="15">
        <f>IF(AND(ISNUMBER(C4),ISNUMBER(G4)), C4-G4, "")</f>
        <v>-642.1260000000002</v>
      </c>
      <c r="I4" s="16">
        <f>IFERROR(H4/G4, "")</f>
        <v>-3.3400978716724053E-2</v>
      </c>
      <c r="J4" s="40" t="s">
        <v>30</v>
      </c>
      <c r="K4" s="40" t="s">
        <v>31</v>
      </c>
    </row>
    <row r="5" spans="1:11" ht="28.9">
      <c r="A5" s="29" t="str">
        <v>New Haven - Brandfon Hyundai</v>
      </c>
      <c r="B5" s="30" t="str">
        <v>CT</v>
      </c>
      <c r="C5" s="11">
        <v>13869.39</v>
      </c>
      <c r="D5" s="18">
        <v>0</v>
      </c>
      <c r="E5" s="18">
        <f t="shared" ref="E5" si="0">IF(AND(ISNUMBER(C5),ISNUMBER(D5)), C5-D5, "")</f>
        <v>13869.39</v>
      </c>
      <c r="F5" s="19" t="str">
        <f>IFERROR(E5/D5, "")</f>
        <v/>
      </c>
      <c r="G5" s="20">
        <v>0</v>
      </c>
      <c r="H5" s="20">
        <f t="shared" ref="H5" si="1">IF(AND(ISNUMBER(C5),ISNUMBER(G5)), C5-G5, "")</f>
        <v>13869.39</v>
      </c>
      <c r="I5" s="19" t="str">
        <f t="shared" ref="I5" si="2">IFERROR(H5/G5, "")</f>
        <v/>
      </c>
      <c r="J5" s="41" t="s">
        <v>32</v>
      </c>
      <c r="K5" s="41" t="s">
        <v>33</v>
      </c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7"/>
  <sheetViews>
    <sheetView zoomScale="90" zoomScaleNormal="90" workbookViewId="0">
      <pane xSplit="2" ySplit="3" topLeftCell="C4" activePane="bottomRight" state="frozen"/>
      <selection pane="bottomRight" activeCell="H9" sqref="H9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34</v>
      </c>
      <c r="E1" s="58"/>
      <c r="F1" s="58"/>
      <c r="G1" s="56" t="s">
        <v>35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32519.5</v>
      </c>
      <c r="D2" s="5">
        <f>SUM(D4:D65)</f>
        <v>0</v>
      </c>
      <c r="E2" s="5">
        <f>C2-D2</f>
        <v>32519.5</v>
      </c>
      <c r="F2" s="6">
        <f>IFERROR(E2/D2, 0)</f>
        <v>0</v>
      </c>
      <c r="G2" s="5">
        <f>SUM(G4:G65)</f>
        <v>19568.982</v>
      </c>
      <c r="H2" s="7">
        <f>C2-G2</f>
        <v>12950.518</v>
      </c>
      <c r="I2" s="6">
        <f>IFERROR(H2/G2, 0)</f>
        <v>0.66178802760409305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16919.18</v>
      </c>
      <c r="D4" s="13">
        <v>0</v>
      </c>
      <c r="E4" s="13">
        <f>IF(AND(ISNUMBER(C4),ISNUMBER(D4)), C4-D4, "")</f>
        <v>16919.18</v>
      </c>
      <c r="F4" s="14" t="str">
        <f>IFERROR(E4/D4, "")</f>
        <v/>
      </c>
      <c r="G4" s="15">
        <v>19568.982</v>
      </c>
      <c r="H4" s="15">
        <f>IF(AND(ISNUMBER(C4),ISNUMBER(G4)), C4-G4, "")</f>
        <v>-2649.8019999999997</v>
      </c>
      <c r="I4" s="16">
        <f>IFERROR(H4/G4, "")</f>
        <v>-0.13540827008783593</v>
      </c>
      <c r="J4" s="40" t="s">
        <v>36</v>
      </c>
      <c r="K4" s="40" t="s">
        <v>37</v>
      </c>
    </row>
    <row r="5" spans="1:11" ht="28.9">
      <c r="A5" s="29" t="str">
        <v>New Haven - Brandfon Hyundai</v>
      </c>
      <c r="B5" s="30" t="str">
        <v>CT</v>
      </c>
      <c r="C5" s="11">
        <v>15600.32</v>
      </c>
      <c r="D5" s="18">
        <v>0</v>
      </c>
      <c r="E5" s="18">
        <f t="shared" ref="E5" si="0">IF(AND(ISNUMBER(C5),ISNUMBER(D5)), C5-D5, "")</f>
        <v>15600.32</v>
      </c>
      <c r="F5" s="19" t="str">
        <f>IFERROR(E5/D5, "")</f>
        <v/>
      </c>
      <c r="G5" s="20">
        <v>0</v>
      </c>
      <c r="H5" s="20">
        <f t="shared" ref="H5" si="1">IF(AND(ISNUMBER(C5),ISNUMBER(G5)), C5-G5, "")</f>
        <v>15600.32</v>
      </c>
      <c r="I5" s="19" t="str">
        <f t="shared" ref="I5" si="2">IFERROR(H5/G5, "")</f>
        <v/>
      </c>
      <c r="J5" s="41" t="s">
        <v>38</v>
      </c>
      <c r="K5" s="41" t="s">
        <v>39</v>
      </c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7"/>
  <sheetViews>
    <sheetView workbookViewId="0">
      <pane xSplit="2" ySplit="3" topLeftCell="C4" activePane="bottomRight" state="frozen"/>
      <selection pane="bottomRight" activeCell="I11" sqref="I11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40</v>
      </c>
      <c r="E1" s="58"/>
      <c r="F1" s="58"/>
      <c r="G1" s="56" t="s">
        <v>41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29654.809999999998</v>
      </c>
      <c r="D2" s="5">
        <f>SUM(D4:D65)</f>
        <v>0</v>
      </c>
      <c r="E2" s="5">
        <f>C2-D2</f>
        <v>29654.809999999998</v>
      </c>
      <c r="F2" s="6">
        <f>IFERROR(E2/D2, 0)</f>
        <v>0</v>
      </c>
      <c r="G2" s="5">
        <f>SUM(G4:G65)</f>
        <v>18954.537</v>
      </c>
      <c r="H2" s="7">
        <f>C2-G2</f>
        <v>10700.272999999997</v>
      </c>
      <c r="I2" s="6">
        <f>IFERROR(H2/G2, 0)</f>
        <v>0.56452304796471664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15448.99</v>
      </c>
      <c r="D4" s="13">
        <v>0</v>
      </c>
      <c r="E4" s="13">
        <f>IF(AND(ISNUMBER(C4),ISNUMBER(D4)), C4-D4, "")</f>
        <v>15448.99</v>
      </c>
      <c r="F4" s="14" t="str">
        <f>IFERROR(E4/D4, "")</f>
        <v/>
      </c>
      <c r="G4" s="15">
        <v>18954.537</v>
      </c>
      <c r="H4" s="15">
        <f>IF(AND(ISNUMBER(C4),ISNUMBER(G4)), C4-G4, "")</f>
        <v>-3505.5470000000005</v>
      </c>
      <c r="I4" s="16">
        <f>IFERROR(H4/G4, "")</f>
        <v>-0.18494500815292933</v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>
        <v>14205.82</v>
      </c>
      <c r="D5" s="18">
        <v>0</v>
      </c>
      <c r="E5" s="18">
        <f t="shared" ref="E5" si="0">IF(AND(ISNUMBER(C5),ISNUMBER(D5)), C5-D5, "")</f>
        <v>14205.82</v>
      </c>
      <c r="F5" s="19" t="str">
        <f>IFERROR(E5/D5, "")</f>
        <v/>
      </c>
      <c r="G5" s="20">
        <v>0</v>
      </c>
      <c r="H5" s="20">
        <f t="shared" ref="H5" si="1">IF(AND(ISNUMBER(C5),ISNUMBER(G5)), C5-G5, "")</f>
        <v>14205.82</v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65 I4:I6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7"/>
  <sheetViews>
    <sheetView workbookViewId="0">
      <pane xSplit="2" ySplit="3" topLeftCell="C4" activePane="bottomRight" state="frozen"/>
      <selection pane="bottomRight" activeCell="H10" sqref="H10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42</v>
      </c>
      <c r="E1" s="58"/>
      <c r="F1" s="58"/>
      <c r="G1" s="56" t="s">
        <v>43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32953.154999999999</v>
      </c>
      <c r="D2" s="5">
        <f>SUM(D4:D65)</f>
        <v>0</v>
      </c>
      <c r="E2" s="5">
        <f>C2-D2</f>
        <v>32953.154999999999</v>
      </c>
      <c r="F2" s="6">
        <f>IFERROR(E2/D2, 0)</f>
        <v>0</v>
      </c>
      <c r="G2" s="5">
        <f>SUM(G4:G65)</f>
        <v>17226.330999999998</v>
      </c>
      <c r="H2" s="7">
        <f>C2-G2</f>
        <v>15726.824000000001</v>
      </c>
      <c r="I2" s="6">
        <f>IFERROR(H2/G2, 0)</f>
        <v>0.91295261887165657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13895.43</v>
      </c>
      <c r="D4" s="13">
        <v>0</v>
      </c>
      <c r="E4" s="13">
        <f>IF(AND(ISNUMBER(C4),ISNUMBER(D4)), C4-D4, "")</f>
        <v>13895.43</v>
      </c>
      <c r="F4" s="14" t="str">
        <f>IFERROR(E4/D4, "")</f>
        <v/>
      </c>
      <c r="G4" s="15">
        <v>17226.330999999998</v>
      </c>
      <c r="H4" s="15">
        <f>IF(AND(ISNUMBER(C4),ISNUMBER(G4)), C4-G4, "")</f>
        <v>-3330.900999999998</v>
      </c>
      <c r="I4" s="16">
        <f>IFERROR(H4/G4, "")</f>
        <v>-0.19336102388837173</v>
      </c>
      <c r="J4" s="40"/>
      <c r="K4" s="40"/>
    </row>
    <row r="5" spans="1:11" ht="30.75">
      <c r="A5" s="29" t="str">
        <v>New Haven - Brandfon Hyundai</v>
      </c>
      <c r="B5" s="30" t="str">
        <v>CT</v>
      </c>
      <c r="C5" s="11">
        <v>19057.724999999999</v>
      </c>
      <c r="D5" s="18">
        <v>0</v>
      </c>
      <c r="E5" s="18">
        <f t="shared" ref="E5" si="0">IF(AND(ISNUMBER(C5),ISNUMBER(D5)), C5-D5, "")</f>
        <v>19057.724999999999</v>
      </c>
      <c r="F5" s="19" t="str">
        <f>IFERROR(E5/D5, "")</f>
        <v/>
      </c>
      <c r="G5" s="20">
        <v>0</v>
      </c>
      <c r="H5" s="20">
        <f t="shared" ref="H5" si="1">IF(AND(ISNUMBER(C5),ISNUMBER(G5)), C5-G5, "")</f>
        <v>19057.724999999999</v>
      </c>
      <c r="I5" s="19" t="str">
        <f t="shared" ref="I5" si="2">IFERROR(H5/G5, "")</f>
        <v/>
      </c>
      <c r="J5" s="41" t="s">
        <v>44</v>
      </c>
      <c r="K5" s="41" t="s">
        <v>45</v>
      </c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7"/>
  <sheetViews>
    <sheetView tabSelected="1" workbookViewId="0">
      <pane xSplit="2" ySplit="3" topLeftCell="C4" activePane="bottomRight" state="frozen"/>
      <selection pane="bottomRight" activeCell="H9" sqref="H9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46</v>
      </c>
      <c r="E1" s="58"/>
      <c r="F1" s="58"/>
      <c r="G1" s="56" t="s">
        <v>47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25165.73</v>
      </c>
      <c r="D2" s="5">
        <f>SUM(D4:D65)</f>
        <v>0</v>
      </c>
      <c r="E2" s="5">
        <f>C2-D2</f>
        <v>25165.73</v>
      </c>
      <c r="F2" s="6">
        <f>IFERROR(E2/D2, 0)</f>
        <v>0</v>
      </c>
      <c r="G2" s="5">
        <f>SUM(G4:G65)</f>
        <v>14049.312</v>
      </c>
      <c r="H2" s="7">
        <f>C2-G2</f>
        <v>11116.418</v>
      </c>
      <c r="I2" s="6">
        <f>IFERROR(H2/G2, 0)</f>
        <v>0.79124287367239043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11445.82</v>
      </c>
      <c r="D4" s="13">
        <v>0</v>
      </c>
      <c r="E4" s="13">
        <f>IF(AND(ISNUMBER(C4),ISNUMBER(D4)), C4-D4, "")</f>
        <v>11445.82</v>
      </c>
      <c r="F4" s="14" t="str">
        <f>IFERROR(E4/D4, "")</f>
        <v/>
      </c>
      <c r="G4" s="15">
        <v>14049.312</v>
      </c>
      <c r="H4" s="15">
        <f>IF(AND(ISNUMBER(C4),ISNUMBER(G4)), C4-G4, "")</f>
        <v>-2603.4920000000002</v>
      </c>
      <c r="I4" s="16">
        <f>IFERROR(H4/G4, "")</f>
        <v>-0.18531099601176201</v>
      </c>
      <c r="J4" s="40" t="s">
        <v>48</v>
      </c>
      <c r="K4" s="40" t="s">
        <v>49</v>
      </c>
    </row>
    <row r="5" spans="1:11" ht="15.75">
      <c r="A5" s="29" t="str">
        <v>New Haven - Brandfon Hyundai</v>
      </c>
      <c r="B5" s="30" t="str">
        <v>CT</v>
      </c>
      <c r="C5" s="11">
        <v>13719.91</v>
      </c>
      <c r="D5" s="18">
        <v>0</v>
      </c>
      <c r="E5" s="18">
        <f t="shared" ref="E5" si="0">IF(AND(ISNUMBER(C5),ISNUMBER(D5)), C5-D5, "")</f>
        <v>13719.91</v>
      </c>
      <c r="F5" s="19" t="str">
        <f>IFERROR(E5/D5, "")</f>
        <v/>
      </c>
      <c r="G5" s="20">
        <v>0</v>
      </c>
      <c r="H5" s="20">
        <f t="shared" ref="H5" si="1">IF(AND(ISNUMBER(C5),ISNUMBER(G5)), C5-G5, "")</f>
        <v>13719.91</v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7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50</v>
      </c>
      <c r="E1" s="58"/>
      <c r="F1" s="58"/>
      <c r="G1" s="56" t="s">
        <v>51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7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52</v>
      </c>
      <c r="E1" s="58"/>
      <c r="F1" s="58"/>
      <c r="G1" s="56" t="s">
        <v>53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7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54</v>
      </c>
      <c r="E1" s="58"/>
      <c r="F1" s="58"/>
      <c r="G1" s="56" t="s">
        <v>55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10" sqref="D1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56</v>
      </c>
      <c r="B1" t="s">
        <v>57</v>
      </c>
    </row>
    <row r="3" spans="1:12" ht="13.15">
      <c r="A3" t="s">
        <v>58</v>
      </c>
      <c r="B3" t="s">
        <v>3</v>
      </c>
      <c r="C3" t="s">
        <v>4</v>
      </c>
      <c r="D3" t="s">
        <v>59</v>
      </c>
      <c r="E3" s="2" t="s">
        <v>60</v>
      </c>
    </row>
    <row r="4" spans="1:12" ht="14.45">
      <c r="A4" s="51" t="s">
        <v>61</v>
      </c>
      <c r="B4" s="52" t="s">
        <v>62</v>
      </c>
      <c r="C4" s="52" t="s">
        <v>63</v>
      </c>
      <c r="D4" t="s">
        <v>64</v>
      </c>
      <c r="E4" t="s">
        <v>65</v>
      </c>
      <c r="G4" s="3"/>
    </row>
    <row r="5" spans="1:12" ht="14.45">
      <c r="A5" s="53" t="s">
        <v>66</v>
      </c>
      <c r="B5" s="54" t="s">
        <v>67</v>
      </c>
      <c r="C5" s="55" t="s">
        <v>63</v>
      </c>
      <c r="D5" t="s">
        <v>68</v>
      </c>
      <c r="E5" t="s">
        <v>65</v>
      </c>
      <c r="G5" s="3"/>
    </row>
    <row r="6" spans="1:12" ht="14.45">
      <c r="A6" s="48"/>
      <c r="C6" s="45"/>
      <c r="D6" s="44"/>
      <c r="G6" s="3"/>
    </row>
    <row r="7" spans="1:12" ht="12.75" customHeight="1">
      <c r="A7" s="48"/>
      <c r="C7" s="45"/>
      <c r="D7" s="44"/>
    </row>
    <row r="8" spans="1:12" ht="12.75" customHeight="1">
      <c r="A8" s="48"/>
      <c r="C8" s="45"/>
      <c r="D8" s="44"/>
    </row>
    <row r="9" spans="1:12" ht="12.75" customHeight="1">
      <c r="A9" s="48"/>
      <c r="C9" s="45"/>
      <c r="D9" s="44"/>
    </row>
    <row r="10" spans="1:12" ht="12.75" customHeight="1">
      <c r="A10" s="48"/>
      <c r="C10" s="45"/>
      <c r="D10" s="44"/>
      <c r="K10" s="42"/>
      <c r="L10" s="42"/>
    </row>
    <row r="11" spans="1:12" ht="12.75" customHeight="1">
      <c r="A11" s="48"/>
      <c r="C11" s="45"/>
      <c r="D11" s="44"/>
      <c r="K11" s="42"/>
      <c r="L11" s="42"/>
    </row>
    <row r="12" spans="1:12" ht="12.75" customHeight="1">
      <c r="A12" s="48"/>
      <c r="C12" s="45"/>
      <c r="D12" s="44"/>
      <c r="K12" s="42"/>
      <c r="L12" s="42"/>
    </row>
    <row r="13" spans="1:12" ht="12.75" customHeight="1">
      <c r="A13" s="48"/>
      <c r="C13" s="45"/>
      <c r="D13" s="44"/>
      <c r="K13" s="42"/>
      <c r="L13" s="42"/>
    </row>
    <row r="14" spans="1:12" ht="12.75" customHeight="1">
      <c r="A14" s="48"/>
      <c r="C14" s="45"/>
      <c r="D14" s="44"/>
      <c r="K14" s="42"/>
      <c r="L14" s="42"/>
    </row>
    <row r="15" spans="1:12" ht="12.75" customHeight="1">
      <c r="A15" s="48"/>
      <c r="C15" s="45"/>
      <c r="D15" s="44"/>
      <c r="K15" s="42"/>
      <c r="L15" s="42"/>
    </row>
    <row r="16" spans="1:12" ht="12.75" customHeight="1">
      <c r="A16" s="48"/>
      <c r="C16" s="45"/>
      <c r="D16" s="44"/>
      <c r="K16" s="42"/>
      <c r="L16" s="42"/>
    </row>
    <row r="17" spans="1:12" ht="12.75" customHeight="1">
      <c r="A17" s="48"/>
      <c r="C17" s="45"/>
      <c r="D17" s="44"/>
      <c r="K17" s="42"/>
      <c r="L17" s="42"/>
    </row>
    <row r="18" spans="1:12" ht="12.75" customHeight="1">
      <c r="A18" s="48"/>
      <c r="C18" s="45"/>
      <c r="D18" s="44"/>
      <c r="K18" s="42"/>
      <c r="L18" s="42"/>
    </row>
    <row r="19" spans="1:12" ht="12.75" customHeight="1">
      <c r="A19" s="48"/>
      <c r="C19" s="45"/>
      <c r="D19" s="44"/>
      <c r="K19" s="42"/>
      <c r="L19" s="42"/>
    </row>
    <row r="20" spans="1:12" ht="12.75" customHeight="1">
      <c r="A20" s="48"/>
      <c r="C20" s="45"/>
      <c r="D20" s="44"/>
      <c r="K20" s="42"/>
      <c r="L20" s="42"/>
    </row>
    <row r="21" spans="1:12" ht="12.75" customHeight="1">
      <c r="A21" s="48"/>
      <c r="C21" s="45"/>
      <c r="D21" s="44"/>
      <c r="K21" s="42"/>
      <c r="L21" s="42"/>
    </row>
    <row r="22" spans="1:12" ht="12.75" customHeight="1">
      <c r="A22" s="48"/>
      <c r="C22" s="45"/>
      <c r="D22" s="44"/>
      <c r="K22" s="42"/>
      <c r="L22" s="42"/>
    </row>
    <row r="23" spans="1:12" ht="12.75" customHeight="1">
      <c r="A23" s="48"/>
      <c r="C23" s="45"/>
      <c r="D23" s="44"/>
      <c r="K23" s="42"/>
      <c r="L23" s="42"/>
    </row>
    <row r="24" spans="1:12" ht="12.75" customHeight="1">
      <c r="A24" s="48"/>
      <c r="C24" s="45"/>
      <c r="D24" s="44"/>
      <c r="K24" s="42"/>
      <c r="L24" s="42"/>
    </row>
    <row r="25" spans="1:12" ht="12.75" customHeight="1">
      <c r="A25" s="48"/>
      <c r="C25" s="45"/>
      <c r="D25" s="44"/>
      <c r="K25" s="42"/>
      <c r="L25" s="42"/>
    </row>
    <row r="26" spans="1:12" ht="12.75" customHeight="1">
      <c r="K26" s="42"/>
      <c r="L26" s="42"/>
    </row>
    <row r="27" spans="1:12" ht="12.75" customHeight="1">
      <c r="K27" s="42"/>
      <c r="L27" s="42"/>
    </row>
    <row r="28" spans="1:12" ht="12.75" customHeight="1">
      <c r="K28" s="42"/>
      <c r="L28" s="42"/>
    </row>
    <row r="29" spans="1:12" ht="12.75" customHeight="1">
      <c r="K29" s="42"/>
      <c r="L29" s="42"/>
    </row>
    <row r="30" spans="1:12" ht="12.75" customHeight="1">
      <c r="K30" s="42"/>
      <c r="L30" s="42"/>
    </row>
    <row r="31" spans="1:12" ht="12.75" customHeight="1">
      <c r="K31" s="42"/>
      <c r="L31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D3A7101F-9A85-4235-8B03-415370C100B2}"/>
</file>

<file path=customXml/itemProps13.xml><?xml version="1.0" encoding="utf-8"?>
<ds:datastoreItem xmlns:ds="http://schemas.openxmlformats.org/officeDocument/2006/customXml" ds:itemID="{0389C43E-394D-44C0-87DC-4780FCFCFB40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F6B2B1A1-1C4B-4AC9-9A7D-7A102DD1C942}"/>
</file>

<file path=customXml/itemProps17.xml><?xml version="1.0" encoding="utf-8"?>
<ds:datastoreItem xmlns:ds="http://schemas.openxmlformats.org/officeDocument/2006/customXml" ds:itemID="{E20E8303-6A67-485C-B6F4-303542CC295C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C0BCDC1E-6052-4E48-9BAF-94A40814E7C2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2024-12-27T17:45:18Z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2024-10-17T21:39:20Z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886c56fb-b9a1-4217-b8ad-aa1bd67c80fc</vt:lpwstr>
  </property>
  <property fmtid="{D5CDD505-2E9C-101B-9397-08002B2CF9AE}" pid="9" name="MSIP_Label_9d817c99-0b37-4a07-8277-96aa1f96b74b_ContentBits">
    <vt:lpwstr>0</vt:lpwstr>
  </property>
</Properties>
</file>