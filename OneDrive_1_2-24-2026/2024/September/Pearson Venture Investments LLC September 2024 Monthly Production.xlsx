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C5691866-650D-4C92-9A17-05B7A4252237}" xr6:coauthVersionLast="47" xr6:coauthVersionMax="47" xr10:uidLastSave="{8B56F870-118C-4CEE-8910-F092C990A9B6}"/>
  <bookViews>
    <workbookView xWindow="-108" yWindow="-108" windowWidth="23256" windowHeight="12456" tabRatio="866" firstSheet="13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G4" i="18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<sst xmlns="http://schemas.openxmlformats.org/spreadsheetml/2006/main" count="246" uniqueCount="58">
  <si>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</si>
  <si>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</si>
  <si>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</si>
  <si>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</si>
  <si>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</si>
  <si>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</si>
  <si>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</si>
  <si>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</si>
  <si>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</si>
  <si>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</si>
  <si>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</si>
  <si>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</si>
  <si>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</si>
  <si>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</si>
  <si>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</si>
  <si>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</si>
  <si>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</si>
  <si>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</si>
  <si>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</si>
  <si>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</si>
  <si>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</si>
  <si>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</si>
  <si>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</si>
  <si>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</si>
  <si>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</si>
  <si>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</si>
  <si>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1.  Inverter is kept offline from 03/10 for the reason of main control board has failed and will need to be replaced.</t>
  </si>
  <si>
    <t>1. SR081721</t>
  </si>
  <si>
    <t>April Actual v. Expected</t>
  </si>
  <si>
    <t>April Actual v. Forecasted</t>
  </si>
  <si>
    <t>1.  Inverter is kept offline from 03/10 to 04/03 for the reason of main control board has failed and will need to be replaced.
2. Site is offline from 12pm of 04/19 to 2pm of 04/23 due to inverter was faulted with DC input issue
3. Site is offline from 04/24 to 05/13 due to inverter was faulted out</t>
  </si>
  <si>
    <t>1. SR081721
2. SR083649
3. SR081721</t>
  </si>
  <si>
    <t>May Actual v. Expected</t>
  </si>
  <si>
    <t>May Actual v. Forecasted</t>
  </si>
  <si>
    <t>1.  Site is offline from 04/24 to 05/13 due to inverter was faulted out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</si>
  <si>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</si>
  <si>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</si>
  <si>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</si>
  <si>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</si>
  <si>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</si>
  <si>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</si>
  <si>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</si>
  <si>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</si>
  <si>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</si>
  <si>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</si>
  <si>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</si>
  <si>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</si>
  <si>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</si>
  <si>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</si>
  <si>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</si>
  <si>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Pearson Venture Investments LLC</t>
  </si>
  <si>
    <t>Site DAS Name</t>
  </si>
  <si>
    <t>Update</t>
  </si>
  <si>
    <t>DAS</t>
  </si>
  <si>
    <t>MA - Billerica - 2 Sterling Way</t>
  </si>
  <si>
    <t>MA</t>
  </si>
  <si>
    <t>AE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</si>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</sst>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9" fontId="30" fillId="38" borderId="12" xfId="2" applyFont="1" applyFill="1" applyBorder="1" applyAlignment="1">
      <alignment horizontal="left" vertical="top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Pearson Venture Investments LLC</v>
      </c>
      <c r="B1" s="54"/>
      <c r="C1" s="54"/>
      <c r="D1" s="55" t="s">
        <v>0</v>
      </c>
      <c r="E1" s="55"/>
      <c r="F1" s="55"/>
      <c r="G1" s="53" t="s">
        <v>1</v>
      </c>
      <c r="H1" s="53"/>
      <c r="I1" s="53"/>
    </row>
    <row r="2" spans="1:9" ht="19.5" customHeight="1">
      <c r="A2" s="56" t="s">
        <v>2</v>
      </c>
      <c r="B2" s="56"/>
      <c r="C2" s="5">
        <f>SUM(C4:C79)</f>
        <v>105968</v>
      </c>
      <c r="D2" s="5">
        <f>SUM(D4:D79)</f>
        <v>132091</v>
      </c>
      <c r="E2" s="5">
        <f>C2-D2</f>
        <v>-26123</v>
      </c>
      <c r="F2" s="6">
        <f>IFERROR(E2/D2, 0)</f>
        <v>-0.19776517703704263</v>
      </c>
      <c r="G2" s="5">
        <f>SUM(G4:G79)</f>
        <v>0</v>
      </c>
      <c r="H2" s="7">
        <f>C2-G2</f>
        <v>105968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Pearson Venture Investments LLC</v>
      </c>
      <c r="B4" s="9" t="str" cm="1">
        <f t="array" ref="B4">Sites[State]</f>
        <v>MA</v>
      </c>
      <c r="C4" s="23">
        <f>SUM('1st Qtr'!C4, '2nd Qtr'!C4, '3rd Qtr'!C4, '4th Qtr'!C4)</f>
        <v>105968</v>
      </c>
      <c r="D4" s="12">
        <f>SUM('1st Qtr'!D4, '2nd Qtr'!D4, '3rd Qtr'!D4, '4th Qtr'!D4)</f>
        <v>132091</v>
      </c>
      <c r="E4" s="12">
        <f>IF(AND(ISNUMBER(C4),ISNUMBER(D4)), C4-D4, "")</f>
        <v>-26123</v>
      </c>
      <c r="F4" s="13">
        <f>IFERROR(E4/D4, "")</f>
        <v>-0.19776517703704263</v>
      </c>
      <c r="G4" s="14">
        <f>SUM('1st Qtr'!G4, '2nd Qtr'!G4, '3rd Qtr'!G4, '4th Qtr'!G4)</f>
        <v>0</v>
      </c>
      <c r="H4" s="14">
        <f>SUM('1st Qtr'!H4, '2nd Qtr'!H4, '3rd Qtr'!H4, '4th Qtr'!H4)</f>
        <v>105968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Pearson Venture Investments LLC</v>
      </c>
      <c r="B1" s="54"/>
      <c r="C1" s="54"/>
      <c r="D1" s="55" t="s">
        <v>10</v>
      </c>
      <c r="E1" s="55"/>
      <c r="F1" s="55"/>
      <c r="G1" s="53" t="s">
        <v>11</v>
      </c>
      <c r="H1" s="53"/>
      <c r="I1" s="53"/>
    </row>
    <row r="2" spans="1:9" ht="19.5" customHeight="1">
      <c r="A2" s="56" t="s">
        <v>2</v>
      </c>
      <c r="B2" s="56"/>
      <c r="C2" s="5">
        <f>SUM(C4:C79)</f>
        <v>16384</v>
      </c>
      <c r="D2" s="5">
        <f>SUM(D4:D79)</f>
        <v>28624</v>
      </c>
      <c r="E2" s="5">
        <f>C2-D2</f>
        <v>-12240</v>
      </c>
      <c r="F2" s="6">
        <f>IFERROR(E2/D2, 0)</f>
        <v>-0.4276131917272219</v>
      </c>
      <c r="G2" s="5">
        <f>SUM(G4:G79)</f>
        <v>0</v>
      </c>
      <c r="H2" s="7">
        <f>C2-G2</f>
        <v>16384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Pearson Venture Investments LLC</v>
      </c>
      <c r="B4" s="9" t="str" cm="1">
        <f t="array" ref="B4">Sites[State]</f>
        <v>MA</v>
      </c>
      <c r="C4" s="23">
        <f>SUM(Jan!C4, Feb!C4, Mar!C4)</f>
        <v>16384</v>
      </c>
      <c r="D4" s="12">
        <f>SUM(Jan!D4, Feb!D4, Mar!D4)</f>
        <v>28624</v>
      </c>
      <c r="E4" s="12">
        <f>IF(AND(ISNUMBER(C4),ISNUMBER(D4)), C4-D4, "")</f>
        <v>-12240</v>
      </c>
      <c r="F4" s="13">
        <f>IFERROR(E4/D4, "")</f>
        <v>-0.4276131917272219</v>
      </c>
      <c r="G4" s="14">
        <f>SUM(Jan!G4, Feb!G4, Mar!G4)</f>
        <v>0</v>
      </c>
      <c r="H4" s="14">
        <f>SUM(Jan!H4, Feb!H4, Mar!H4)</f>
        <v>16384</v>
      </c>
      <c r="I4" s="15" t="str">
        <f>IFERROR(H4/G4, "")</f>
        <v/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Pearson Venture Investments LLC</v>
      </c>
      <c r="B1" s="54"/>
      <c r="C1" s="54"/>
      <c r="D1" s="55" t="s">
        <v>12</v>
      </c>
      <c r="E1" s="55"/>
      <c r="F1" s="55"/>
      <c r="G1" s="53" t="s">
        <v>13</v>
      </c>
      <c r="H1" s="53"/>
      <c r="I1" s="53"/>
    </row>
    <row r="2" spans="1:9" ht="19.5" customHeight="1">
      <c r="A2" s="56" t="s">
        <v>2</v>
      </c>
      <c r="B2" s="56"/>
      <c r="C2" s="5">
        <f>SUM(C4:C79)</f>
        <v>39137</v>
      </c>
      <c r="D2" s="5">
        <f>SUM(D4:D79)</f>
        <v>53073.9</v>
      </c>
      <c r="E2" s="5">
        <f>C2-D2</f>
        <v>-13936.900000000001</v>
      </c>
      <c r="F2" s="6">
        <f>IFERROR(E2/D2, 0)</f>
        <v>-0.26259423181639185</v>
      </c>
      <c r="G2" s="5">
        <f>SUM(G4:G79)</f>
        <v>0</v>
      </c>
      <c r="H2" s="7">
        <f>C2-G2</f>
        <v>39137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Pearson Venture Investments LLC</v>
      </c>
      <c r="B4" s="9" t="str" cm="1">
        <f t="array" ref="B4">Sites[State]</f>
        <v>MA</v>
      </c>
      <c r="C4" s="23">
        <f>SUM(Apr!C4, May!C4, Jun!C4)</f>
        <v>39137</v>
      </c>
      <c r="D4" s="12">
        <f>SUM(Apr!D4, May!D4, Jun!D4)</f>
        <v>53073.9</v>
      </c>
      <c r="E4" s="12">
        <f>IF(AND(ISNUMBER(C4),ISNUMBER(D4)), C4-D4, "")</f>
        <v>-13936.900000000001</v>
      </c>
      <c r="F4" s="13">
        <f>IFERROR(E4/D4, "")</f>
        <v>-0.26259423181639185</v>
      </c>
      <c r="G4" s="14">
        <f>SUM(Apr!G4,May!G4,Jun!G4)</f>
        <v>0</v>
      </c>
      <c r="H4" s="14">
        <f>SUM(Apr!H4, May!H4, Jun!H4)</f>
        <v>39137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tabSelected="1"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Pearson Venture Investments LLC</v>
      </c>
      <c r="B1" s="54"/>
      <c r="C1" s="54"/>
      <c r="D1" s="55" t="s">
        <v>14</v>
      </c>
      <c r="E1" s="55"/>
      <c r="F1" s="55"/>
      <c r="G1" s="53" t="s">
        <v>15</v>
      </c>
      <c r="H1" s="53"/>
      <c r="I1" s="53"/>
    </row>
    <row r="2" spans="1:9" ht="19.5" customHeight="1">
      <c r="A2" s="56" t="s">
        <v>2</v>
      </c>
      <c r="B2" s="56"/>
      <c r="C2" s="5">
        <f>SUM(C4:C79)</f>
        <v>50447</v>
      </c>
      <c r="D2" s="5">
        <f>SUM(D4:D79)</f>
        <v>50393.099999999991</v>
      </c>
      <c r="E2" s="5">
        <f>C2-D2</f>
        <v>53.900000000008731</v>
      </c>
      <c r="F2" s="6">
        <f>IFERROR(E2/D2, 0)</f>
        <v>1.0695908765289046E-3</v>
      </c>
      <c r="G2" s="5">
        <f>SUM(G4:G79)</f>
        <v>0</v>
      </c>
      <c r="H2" s="7">
        <f>C2-G2</f>
        <v>50447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Pearson Venture Investments LLC</v>
      </c>
      <c r="B4" s="9" t="str" cm="1">
        <f t="array" ref="B4">Sites[State]</f>
        <v>MA</v>
      </c>
      <c r="C4" s="23">
        <f>SUM(Jul!C4, Aug!C4, Sep!C4)</f>
        <v>50447</v>
      </c>
      <c r="D4" s="12">
        <f>SUM(Jul!D4, Aug!D4, Sep!D4)</f>
        <v>50393.099999999991</v>
      </c>
      <c r="E4" s="12">
        <f>IF(AND(ISNUMBER(C4),ISNUMBER(D4)), C4-D4, "")</f>
        <v>53.900000000008731</v>
      </c>
      <c r="F4" s="13">
        <f>IFERROR(E4/D4, "")</f>
        <v>1.0695908765289046E-3</v>
      </c>
      <c r="G4" s="14">
        <f>SUM(Jul!G4,Aug!G4,Sep!G4)</f>
        <v>0</v>
      </c>
      <c r="H4" s="14">
        <f>SUM(Jul!H4, Aug!H4, Sep!H4)</f>
        <v>50447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4" t="str" cm="1">
        <f t="array" ref="A1">portfolio</f>
        <v>Pearson Venture Investments LLC</v>
      </c>
      <c r="B1" s="54"/>
      <c r="C1" s="54"/>
      <c r="D1" s="55" t="s">
        <v>16</v>
      </c>
      <c r="E1" s="55"/>
      <c r="F1" s="55"/>
      <c r="G1" s="53" t="s">
        <v>17</v>
      </c>
      <c r="H1" s="53"/>
      <c r="I1" s="53"/>
    </row>
    <row r="2" spans="1:9" ht="19.5" customHeight="1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4" t="str" cm="1">
        <f t="array" ref="A4">Sites[Site]</f>
        <v>Pearson Venture Investments LLC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/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1"/>
      <c r="D5" s="17"/>
      <c r="E5" s="17"/>
      <c r="F5" s="18"/>
      <c r="G5" s="19"/>
      <c r="H5" s="19"/>
      <c r="I5" s="18"/>
    </row>
    <row r="6" spans="1:9" ht="14.45">
      <c r="A6" s="20"/>
      <c r="B6" s="10"/>
      <c r="C6" s="41"/>
      <c r="D6" s="17"/>
      <c r="E6" s="17"/>
      <c r="F6" s="18"/>
      <c r="G6" s="19"/>
      <c r="H6" s="19"/>
      <c r="I6" s="18"/>
    </row>
    <row r="7" spans="1:9" ht="14.45">
      <c r="A7" s="20"/>
      <c r="B7" s="10"/>
      <c r="C7" s="41"/>
      <c r="D7" s="17"/>
      <c r="E7" s="17"/>
      <c r="F7" s="18"/>
      <c r="G7" s="19"/>
      <c r="H7" s="19"/>
      <c r="I7" s="18"/>
    </row>
    <row r="8" spans="1:9" ht="14.45">
      <c r="A8" s="20"/>
      <c r="B8" s="10"/>
      <c r="C8" s="41"/>
      <c r="D8" s="17"/>
      <c r="E8" s="17"/>
      <c r="F8" s="18"/>
      <c r="G8" s="19"/>
      <c r="H8" s="19"/>
      <c r="I8" s="18"/>
    </row>
    <row r="9" spans="1:9" ht="14.45">
      <c r="A9" s="20"/>
      <c r="B9" s="10"/>
      <c r="C9" s="41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G14" sqref="G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Pearson Venture Investments LLC</v>
      </c>
      <c r="B1" s="54"/>
      <c r="C1" s="54"/>
      <c r="D1" s="55" t="s">
        <v>18</v>
      </c>
      <c r="E1" s="55"/>
      <c r="F1" s="55"/>
      <c r="G1" s="53" t="s">
        <v>19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SUM(C4:C78)</f>
        <v>3101</v>
      </c>
      <c r="D2" s="5">
        <f>SUM(D4:D78)</f>
        <v>4974</v>
      </c>
      <c r="E2" s="5">
        <f>C2-D2</f>
        <v>-1873</v>
      </c>
      <c r="F2" s="6">
        <f>IFERROR(E2/D2, 0)</f>
        <v>-0.37655810213108165</v>
      </c>
      <c r="G2" s="5">
        <f>SUM(G4:G78)</f>
        <v>0</v>
      </c>
      <c r="H2" s="7">
        <f>C2-G2</f>
        <v>3101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8" t="s">
        <v>5</v>
      </c>
      <c r="D3" s="49" t="s">
        <v>6</v>
      </c>
      <c r="E3" s="31" t="s">
        <v>7</v>
      </c>
      <c r="F3" s="32" t="s">
        <v>8</v>
      </c>
      <c r="G3" s="51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Pearson Venture Investments LLC</v>
      </c>
      <c r="B4" s="27" t="str" cm="1">
        <f t="array" ref="B4">Sites[State]</f>
        <v>MA</v>
      </c>
      <c r="C4" s="50">
        <v>3101</v>
      </c>
      <c r="D4" s="50">
        <v>4974</v>
      </c>
      <c r="E4" s="12">
        <f>IF(AND(ISNUMBER(C4),ISNUMBER(D4)), C4-D4, "")</f>
        <v>-1873</v>
      </c>
      <c r="F4" s="40">
        <f>IFERROR(E4/D4, "")</f>
        <v>-0.37655810213108165</v>
      </c>
      <c r="G4" s="52">
        <v>0</v>
      </c>
      <c r="H4" s="14">
        <f>IF(AND(ISNUMBER(C4),ISNUMBER(G4)), C4-G4, "")</f>
        <v>3101</v>
      </c>
      <c r="I4" s="15" t="str">
        <f>IFERROR(H4/G4, "")</f>
        <v/>
      </c>
      <c r="J4" s="47"/>
      <c r="K4" s="47"/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Pearson Venture Investments LLC</v>
      </c>
      <c r="B1" s="54"/>
      <c r="C1" s="54"/>
      <c r="D1" s="55" t="s">
        <v>22</v>
      </c>
      <c r="E1" s="55"/>
      <c r="F1" s="55"/>
      <c r="G1" s="53" t="s">
        <v>23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10528</v>
      </c>
      <c r="D2" s="5">
        <f>SUM(D4:D79)</f>
        <v>10691</v>
      </c>
      <c r="E2" s="5">
        <f>C2-D2</f>
        <v>-163</v>
      </c>
      <c r="F2" s="6">
        <f>IFERROR(E2/D2, 0)</f>
        <v>-1.5246468992610607E-2</v>
      </c>
      <c r="G2" s="5">
        <f>SUM(G4:G79)</f>
        <v>0</v>
      </c>
      <c r="H2" s="7">
        <f>C2-G2</f>
        <v>10528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46" t="str" cm="1">
        <f t="array" ref="A4">Sites[Site]</f>
        <v>Pearson Venture Investments LLC</v>
      </c>
      <c r="B4" s="27" t="str" cm="1">
        <f t="array" ref="B4">Sites[State]</f>
        <v>MA</v>
      </c>
      <c r="C4" s="23">
        <v>10528</v>
      </c>
      <c r="D4" s="12">
        <v>10691</v>
      </c>
      <c r="E4" s="12">
        <f>IF(AND(ISNUMBER(C4),ISNUMBER(D4)), C4-D4, "")</f>
        <v>-163</v>
      </c>
      <c r="F4" s="13">
        <f>IFERROR(E4/D4, "")</f>
        <v>-1.5246468992610607E-2</v>
      </c>
      <c r="G4" s="14">
        <v>0</v>
      </c>
      <c r="H4" s="14">
        <f>IF(AND(ISNUMBER(C4),ISNUMBER(G4)), C4-G4, "")</f>
        <v>10528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E4" activePane="bottomRight" state="frozen"/>
      <selection pane="bottomRight" activeCell="J4" sqref="J4:K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Pearson Venture Investments LLC</v>
      </c>
      <c r="B1" s="54"/>
      <c r="C1" s="54"/>
      <c r="D1" s="55" t="s">
        <v>24</v>
      </c>
      <c r="E1" s="55"/>
      <c r="F1" s="55"/>
      <c r="G1" s="53" t="s">
        <v>25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2755</v>
      </c>
      <c r="D2" s="5">
        <f>SUM(D4:D79)</f>
        <v>12959</v>
      </c>
      <c r="E2" s="5">
        <f>C2-D2</f>
        <v>-10204</v>
      </c>
      <c r="F2" s="6">
        <f>IFERROR(E2/D2, 0)</f>
        <v>-0.7874064356817656</v>
      </c>
      <c r="G2" s="5">
        <f>SUM(G4:G79)</f>
        <v>0</v>
      </c>
      <c r="H2" s="7">
        <f>C2-G2</f>
        <v>2755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>
        <v>2755</v>
      </c>
      <c r="D4" s="12">
        <v>12959</v>
      </c>
      <c r="E4" s="12">
        <f>IF(AND(ISNUMBER(C4),ISNUMBER(D4)), C4-D4, "")</f>
        <v>-10204</v>
      </c>
      <c r="F4" s="13">
        <f>IFERROR(E4/D4, "")</f>
        <v>-0.7874064356817656</v>
      </c>
      <c r="G4" s="14">
        <v>0</v>
      </c>
      <c r="H4" s="14">
        <f>IF(AND(ISNUMBER(C4),ISNUMBER(G4)), C4-G4, "")</f>
        <v>2755</v>
      </c>
      <c r="I4" s="15" t="str">
        <f>IFERROR(H4/G4, "")</f>
        <v/>
      </c>
      <c r="J4" s="36" t="s">
        <v>26</v>
      </c>
      <c r="K4" s="36" t="s">
        <v>27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bottomRight" activeCell="K4" sqref="K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Pearson Venture Investments LLC</v>
      </c>
      <c r="B1" s="54"/>
      <c r="C1" s="54"/>
      <c r="D1" s="55" t="s">
        <v>28</v>
      </c>
      <c r="E1" s="55"/>
      <c r="F1" s="55"/>
      <c r="G1" s="53" t="s">
        <v>29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7314</v>
      </c>
      <c r="D2" s="5">
        <f>SUM(D4:D79)</f>
        <v>15407</v>
      </c>
      <c r="E2" s="5">
        <f>C2-D2</f>
        <v>-8093</v>
      </c>
      <c r="F2" s="6">
        <f>IFERROR(E2/D2, 0)</f>
        <v>-0.52528071655740893</v>
      </c>
      <c r="G2" s="5">
        <f>SUM(G4:G79)</f>
        <v>0</v>
      </c>
      <c r="H2" s="7">
        <f>C2-G2</f>
        <v>7314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72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>
        <v>7314</v>
      </c>
      <c r="D4" s="12">
        <v>15407</v>
      </c>
      <c r="E4" s="12">
        <f>IF(AND(ISNUMBER(C4),ISNUMBER(D4)), C4-D4, "")</f>
        <v>-8093</v>
      </c>
      <c r="F4" s="13">
        <f>IFERROR(E4/D4, "")</f>
        <v>-0.52528071655740893</v>
      </c>
      <c r="G4" s="14">
        <v>0</v>
      </c>
      <c r="H4" s="14">
        <f>IF(AND(ISNUMBER(C4),ISNUMBER(G4)), C4-G4, "")</f>
        <v>7314</v>
      </c>
      <c r="I4" s="15" t="str">
        <f>IFERROR(H4/G4, "")</f>
        <v/>
      </c>
      <c r="J4" s="36" t="s">
        <v>30</v>
      </c>
      <c r="K4" s="36" t="s">
        <v>31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J16" sqref="J16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Pearson Venture Investments LLC</v>
      </c>
      <c r="B1" s="54"/>
      <c r="C1" s="54"/>
      <c r="D1" s="55" t="s">
        <v>32</v>
      </c>
      <c r="E1" s="55"/>
      <c r="F1" s="55"/>
      <c r="G1" s="53" t="s">
        <v>33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11988</v>
      </c>
      <c r="D2" s="5">
        <f>SUM(D4:D79)</f>
        <v>17852.8</v>
      </c>
      <c r="E2" s="5">
        <f>C2-D2</f>
        <v>-5864.7999999999993</v>
      </c>
      <c r="F2" s="6">
        <f>IFERROR(E2/D2, 0)</f>
        <v>-0.32850869331421401</v>
      </c>
      <c r="G2" s="5">
        <f>SUM(G4:G79)</f>
        <v>0</v>
      </c>
      <c r="H2" s="7">
        <f>C2-G2</f>
        <v>11988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>
        <v>11988</v>
      </c>
      <c r="D4" s="12">
        <v>17852.8</v>
      </c>
      <c r="E4" s="12">
        <f>IF(AND(ISNUMBER(C4),ISNUMBER(D4)), C4-D4, "")</f>
        <v>-5864.7999999999993</v>
      </c>
      <c r="F4" s="13">
        <f>IFERROR(E4/D4, "")</f>
        <v>-0.32850869331421401</v>
      </c>
      <c r="G4" s="14">
        <v>0</v>
      </c>
      <c r="H4" s="14">
        <f>IF(AND(ISNUMBER(C4),ISNUMBER(G4)), C4-G4, "")</f>
        <v>11988</v>
      </c>
      <c r="I4" s="15" t="str">
        <f>IFERROR(H4/G4, "")</f>
        <v/>
      </c>
      <c r="J4" s="36" t="s">
        <v>34</v>
      </c>
      <c r="K4" s="36" t="s">
        <v>27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bottomRight" activeCell="G5" sqref="G5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Pearson Venture Investments LLC</v>
      </c>
      <c r="B1" s="54"/>
      <c r="C1" s="54"/>
      <c r="D1" s="55" t="s">
        <v>35</v>
      </c>
      <c r="E1" s="55"/>
      <c r="F1" s="55"/>
      <c r="G1" s="53" t="s">
        <v>36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19835</v>
      </c>
      <c r="D2" s="5">
        <f>SUM(D4:D79)</f>
        <v>19814.099999999999</v>
      </c>
      <c r="E2" s="5">
        <f>C2-D2</f>
        <v>20.900000000001455</v>
      </c>
      <c r="F2" s="6">
        <f>IFERROR(E2/D2, 0)</f>
        <v>1.0548044069627919E-3</v>
      </c>
      <c r="G2" s="5">
        <f>SUM(G4:G79)</f>
        <v>0</v>
      </c>
      <c r="H2" s="7">
        <f>C2-G2</f>
        <v>19835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>
        <v>19835</v>
      </c>
      <c r="D4" s="12">
        <v>19814.099999999999</v>
      </c>
      <c r="E4" s="12">
        <f>IF(AND(ISNUMBER(C4),ISNUMBER(D4)), C4-D4, "")</f>
        <v>20.900000000001455</v>
      </c>
      <c r="F4" s="13">
        <f>IFERROR(E4/D4, "")</f>
        <v>1.0548044069627919E-3</v>
      </c>
      <c r="G4" s="14">
        <v>0</v>
      </c>
      <c r="H4" s="14">
        <f>IF(AND(ISNUMBER(C4),ISNUMBER(G4)), C4-G4, "")</f>
        <v>19835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G19" sqref="G19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Pearson Venture Investments LLC</v>
      </c>
      <c r="B1" s="54"/>
      <c r="C1" s="54"/>
      <c r="D1" s="55" t="s">
        <v>37</v>
      </c>
      <c r="E1" s="55"/>
      <c r="F1" s="55"/>
      <c r="G1" s="53" t="s">
        <v>38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19240</v>
      </c>
      <c r="D2" s="5">
        <f>SUM(D4:D79)</f>
        <v>19276.117999999999</v>
      </c>
      <c r="E2" s="5">
        <f>C2-D2</f>
        <v>-36.117999999998574</v>
      </c>
      <c r="F2" s="6">
        <f>IFERROR(E2/D2, 0)</f>
        <v>-1.873717519263919E-3</v>
      </c>
      <c r="G2" s="5">
        <f>SUM(G4:G79)</f>
        <v>0</v>
      </c>
      <c r="H2" s="7">
        <f>C2-G2</f>
        <v>19240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>
        <v>19240</v>
      </c>
      <c r="D4" s="12">
        <v>19276.117999999999</v>
      </c>
      <c r="E4" s="12">
        <f>IF(AND(ISNUMBER(C4),ISNUMBER(D4)), C4-D4, "")</f>
        <v>-36.117999999998574</v>
      </c>
      <c r="F4" s="13">
        <f>IFERROR(E4/D4, "")</f>
        <v>-1.873717519263919E-3</v>
      </c>
      <c r="G4" s="14">
        <v>0</v>
      </c>
      <c r="H4" s="14">
        <f>IF(AND(ISNUMBER(C4),ISNUMBER(G4)), C4-G4, "")</f>
        <v>19240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G13" sqref="G13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Pearson Venture Investments LLC</v>
      </c>
      <c r="B1" s="54"/>
      <c r="C1" s="54"/>
      <c r="D1" s="55" t="s">
        <v>39</v>
      </c>
      <c r="E1" s="55"/>
      <c r="F1" s="55"/>
      <c r="G1" s="53" t="s">
        <v>40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16759</v>
      </c>
      <c r="D2" s="5">
        <f>SUM(D4:D79)</f>
        <v>16562.758999999998</v>
      </c>
      <c r="E2" s="5">
        <f>C2-D2</f>
        <v>196.2410000000018</v>
      </c>
      <c r="F2" s="6">
        <f>IFERROR(E2/D2, 0)</f>
        <v>1.1848327926524913E-2</v>
      </c>
      <c r="G2" s="5">
        <f>SUM(G4:G79)</f>
        <v>0</v>
      </c>
      <c r="H2" s="7">
        <f>C2-G2</f>
        <v>16759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>
        <v>16759</v>
      </c>
      <c r="D4" s="12">
        <v>16562.758999999998</v>
      </c>
      <c r="E4" s="12">
        <f>IF(AND(ISNUMBER(C4),ISNUMBER(D4)), C4-D4, "")</f>
        <v>196.2410000000018</v>
      </c>
      <c r="F4" s="13">
        <f>IFERROR(E4/D4, "")</f>
        <v>1.1848327926524913E-2</v>
      </c>
      <c r="G4" s="14">
        <v>0</v>
      </c>
      <c r="H4" s="14">
        <f>IF(AND(ISNUMBER(C4),ISNUMBER(G4)), C4-G4, "")</f>
        <v>16759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G8" sqref="G8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Pearson Venture Investments LLC</v>
      </c>
      <c r="B1" s="54"/>
      <c r="C1" s="54"/>
      <c r="D1" s="55" t="s">
        <v>41</v>
      </c>
      <c r="E1" s="55"/>
      <c r="F1" s="55"/>
      <c r="G1" s="53" t="s">
        <v>42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14448</v>
      </c>
      <c r="D2" s="5">
        <f>SUM(D4:D79)</f>
        <v>14554.223</v>
      </c>
      <c r="E2" s="5">
        <f>C2-D2</f>
        <v>-106.22299999999996</v>
      </c>
      <c r="F2" s="6">
        <f>IFERROR(E2/D2, 0)</f>
        <v>-7.2984315273992954E-3</v>
      </c>
      <c r="G2" s="5">
        <f>SUM(G4:G79)</f>
        <v>0</v>
      </c>
      <c r="H2" s="7">
        <f>C2-G2</f>
        <v>14448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>
        <v>14448</v>
      </c>
      <c r="D4" s="12">
        <v>14554.223</v>
      </c>
      <c r="E4" s="12">
        <f>IF(AND(ISNUMBER(C4),ISNUMBER(D4)), C4-D4, "")</f>
        <v>-106.22299999999996</v>
      </c>
      <c r="F4" s="13">
        <f>IFERROR(E4/D4, "")</f>
        <v>-7.2984315273992954E-3</v>
      </c>
      <c r="G4" s="14">
        <v>0</v>
      </c>
      <c r="H4" s="14">
        <f>IF(AND(ISNUMBER(C4),ISNUMBER(G4)), C4-G4, "")</f>
        <v>14448</v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Pearson Venture Investments LLC</v>
      </c>
      <c r="B1" s="54"/>
      <c r="C1" s="54"/>
      <c r="D1" s="55" t="s">
        <v>43</v>
      </c>
      <c r="E1" s="55"/>
      <c r="F1" s="55"/>
      <c r="G1" s="53" t="s">
        <v>44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Pearson Venture Investments LLC</v>
      </c>
      <c r="B1" s="54"/>
      <c r="C1" s="54"/>
      <c r="D1" s="55" t="s">
        <v>45</v>
      </c>
      <c r="E1" s="55"/>
      <c r="F1" s="55"/>
      <c r="G1" s="53" t="s">
        <v>46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13" activePane="bottomRight" state="frozen"/>
      <selection pane="bottomRight" activeCell="C14" sqref="C14"/>
      <selection pane="bottomLeft" activeCell="C14" sqref="C14"/>
      <selection pane="topRight" activeCell="C14" sqref="C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4" t="str" cm="1">
        <f t="array" ref="A1">portfolio</f>
        <v>Pearson Venture Investments LLC</v>
      </c>
      <c r="B1" s="54"/>
      <c r="C1" s="54"/>
      <c r="D1" s="55" t="s">
        <v>47</v>
      </c>
      <c r="E1" s="55"/>
      <c r="F1" s="55"/>
      <c r="G1" s="53" t="s">
        <v>48</v>
      </c>
      <c r="H1" s="53"/>
      <c r="I1" s="53"/>
      <c r="J1" s="4"/>
      <c r="K1" s="4"/>
    </row>
    <row r="2" spans="1:11" ht="19.5" customHeight="1">
      <c r="A2" s="56" t="s">
        <v>2</v>
      </c>
      <c r="B2" s="56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" sqref="B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49</v>
      </c>
      <c r="B1" t="s">
        <v>50</v>
      </c>
    </row>
    <row r="3" spans="1:12" ht="13.15">
      <c r="A3" t="s">
        <v>51</v>
      </c>
      <c r="B3" t="s">
        <v>3</v>
      </c>
      <c r="C3" t="s">
        <v>4</v>
      </c>
      <c r="D3" t="s">
        <v>52</v>
      </c>
      <c r="E3" s="2" t="s">
        <v>53</v>
      </c>
    </row>
    <row r="4" spans="1:12" ht="14.45">
      <c r="A4" s="45" t="s">
        <v>54</v>
      </c>
      <c r="B4" t="s">
        <v>50</v>
      </c>
      <c r="C4" s="43" t="s">
        <v>55</v>
      </c>
      <c r="D4" s="42" t="s">
        <v>56</v>
      </c>
      <c r="E4" t="s">
        <v>57</v>
      </c>
      <c r="G4" s="3"/>
    </row>
    <row r="5" spans="1:12" ht="14.45">
      <c r="A5" s="45"/>
      <c r="C5" s="43"/>
      <c r="D5" s="42"/>
      <c r="G5" s="3"/>
    </row>
    <row r="6" spans="1:12" ht="14.4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F5C6359-7763-4C37-8EAF-2BC4698CB285}"/>
</file>

<file path=customXml/itemProps2.xml><?xml version="1.0" encoding="utf-8"?>
<ds:datastoreItem xmlns:ds="http://schemas.openxmlformats.org/officeDocument/2006/customXml" ds:itemID="{2BC74AAC-D69B-4AF1-9649-B21EF3C1C463}"/>
</file>

<file path=customXml/itemProps3.xml><?xml version="1.0" encoding="utf-8"?>
<ds:datastoreItem xmlns:ds="http://schemas.openxmlformats.org/officeDocument/2006/customXml" ds:itemID="{8D732231-4216-4543-A665-18A2886B0EB7}"/>
</file>

<file path=customXml/itemProps4.xml><?xml version="1.0" encoding="utf-8"?>
<ds:datastoreItem xmlns:ds="http://schemas.openxmlformats.org/officeDocument/2006/customXml" ds:itemID="{C0BCDC1E-6052-4E48-9BAF-94A40814E7C2}"/>
</file>

<file path=customXml/itemProps5.xml><?xml version="1.0" encoding="utf-8"?>
<ds:datastoreItem xmlns:ds="http://schemas.openxmlformats.org/officeDocument/2006/customXml" ds:itemID="{98A113BB-8B7A-453C-8BD4-8EFC67FC2D3F}"/>
</file>

<file path=customXml/itemProps6.xml><?xml version="1.0" encoding="utf-8"?>
<ds:datastoreItem xmlns:ds="http://schemas.openxmlformats.org/officeDocument/2006/customXml" ds:itemID="{66B09F59-6532-46F8-924A-9A02417E070D}"/>
</file>

<file path=customXml/itemProps7.xml><?xml version="1.0" encoding="utf-8"?>
<ds:datastoreItem xmlns:ds="http://schemas.openxmlformats.org/officeDocument/2006/customXml" ds:itemID="{E3716282-BFD2-4ED2-BA47-BFA1123827F0}"/>
</file>

<file path=customXml/itemProps8.xml><?xml version="1.0" encoding="utf-8"?>
<ds:datastoreItem xmlns:ds="http://schemas.openxmlformats.org/officeDocument/2006/customXml" ds:itemID="{F12EFA50-0068-4A8C-85A0-F1B26389EBC3}"/>
</file>

<file path=customXml/itemProps9.xml><?xml version="1.0" encoding="utf-8"?>
<ds:datastoreItem xmlns:ds="http://schemas.openxmlformats.org/officeDocument/2006/customXml" ds:itemID="{078388C9-06F9-42F4-B857-EF76B5CAF1FD}"/>
</file>

<file path=customXml/itemProps10.xml><?xml version="1.0" encoding="utf-8"?>
<ds:datastoreItem xmlns:ds="http://schemas.openxmlformats.org/officeDocument/2006/customXml" ds:itemID="{E20E8303-6A67-485C-B6F4-303542CC295C}"/>
</file>

<file path=customXml/itemProps11.xml><?xml version="1.0" encoding="utf-8"?>
<ds:datastoreItem xmlns:ds="http://schemas.openxmlformats.org/officeDocument/2006/customXml" ds:itemID="{14966E4F-347B-477B-B74C-9DAC05405806}"/>
</file>

<file path=customXml/itemProps12.xml><?xml version="1.0" encoding="utf-8"?>
<ds:datastoreItem xmlns:ds="http://schemas.openxmlformats.org/officeDocument/2006/customXml" ds:itemID="{BE26B669-A686-459C-A5E9-FEC3409C4C81}"/>
</file>

<file path=customXml/itemProps13.xml><?xml version="1.0" encoding="utf-8"?>
<ds:datastoreItem xmlns:ds="http://schemas.openxmlformats.org/officeDocument/2006/customXml" ds:itemID="{1954BBA4-0359-438C-B0EC-A756015F7C02}"/>
</file>

<file path=customXml/itemProps14.xml><?xml version="1.0" encoding="utf-8"?>
<ds:datastoreItem xmlns:ds="http://schemas.openxmlformats.org/officeDocument/2006/customXml" ds:itemID="{CB52044A-5C0B-44A2-99D0-C1C315EC302D}"/>
</file>

<file path=customXml/itemProps15.xml><?xml version="1.0" encoding="utf-8"?>
<ds:datastoreItem xmlns:ds="http://schemas.openxmlformats.org/officeDocument/2006/customXml" ds:itemID="{F6B2B1A1-1C4B-4AC9-9A7D-7A102DD1C942}"/>
</file>

<file path=customXml/itemProps16.xml><?xml version="1.0" encoding="utf-8"?>
<ds:datastoreItem xmlns:ds="http://schemas.openxmlformats.org/officeDocument/2006/customXml" ds:itemID="{0389C43E-394D-44C0-87DC-4780FCFCFB40}"/>
</file>

<file path=customXml/itemProps17.xml><?xml version="1.0" encoding="utf-8"?>
<ds:datastoreItem xmlns:ds="http://schemas.openxmlformats.org/officeDocument/2006/customXml" ds:itemID="{7946C510-7D04-49D8-9B25-EEC04582A1CA}"/>
</file>

<file path=customXml/itemProps18.xml><?xml version="1.0" encoding="utf-8"?>
<ds:datastoreItem xmlns:ds="http://schemas.openxmlformats.org/officeDocument/2006/customXml" ds:itemID="{89CF5C07-45EB-4100-9AFB-2C6AF77FA787}"/>
</file>

<file path=customXml/itemProps19.xml><?xml version="1.0" encoding="utf-8"?>
<ds:datastoreItem xmlns:ds="http://schemas.openxmlformats.org/officeDocument/2006/customXml" ds:itemID="{3AEAA9D8-2182-46BA-A58E-96C72DDA1C54}"/>
</file>

<file path=customXml/itemProps20.xml><?xml version="1.0" encoding="utf-8"?>
<ds:datastoreItem xmlns:ds="http://schemas.openxmlformats.org/officeDocument/2006/customXml" ds:itemID="{D3A7101F-9A85-4235-8B03-415370C100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2024-10-15T12:12:27Z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