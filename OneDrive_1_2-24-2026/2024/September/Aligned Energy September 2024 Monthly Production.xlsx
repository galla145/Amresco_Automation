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56" documentId="13_ncr:1_{54C4CFD7-31D7-4CFE-B77C-B5DFE45B36C5}" xr6:coauthVersionLast="47" xr6:coauthVersionMax="47" xr10:uidLastSave="{1DC554B8-C731-44FC-8A76-3EE7B5F6F4FC}"/>
  <bookViews>
    <workbookView xWindow="28680" yWindow="-120" windowWidth="29040" windowHeight="15720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G6" i="29"/>
  <c r="G7" i="29"/>
  <c r="G5" i="18"/>
  <c r="G6" i="18"/>
  <c r="G7" i="18"/>
  <c r="G4" i="18"/>
  <c r="H6" i="3"/>
  <c r="I6" i="3" s="1"/>
  <c r="H7" i="3"/>
  <c r="I7" i="3" s="1"/>
  <c r="E4" i="4" l="1"/>
  <c r="E4" i="72"/>
  <c r="F4" i="72" s="1"/>
  <c r="E5" i="72"/>
  <c r="F5" i="72" s="1"/>
  <c r="E6" i="72"/>
  <c r="F6" i="72" s="1"/>
  <c r="E7" i="72"/>
  <c r="F7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E7" i="3"/>
  <c r="F7" i="3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E6" i="29" s="1"/>
  <c r="F6" i="29" s="1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<sst xmlns="http://schemas.openxmlformats.org/spreadsheetml/2006/main" count="304" uniqueCount="109">
  <si>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</si>
  <si>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</si>
  <si>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</si>
  <si>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</si>
  <si>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</si>
  <si>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</si>
  <si>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</si>
  <si>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</si>
  <si>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</si>
  <si>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</si>
  <si>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</si>
  <si>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</si>
  <si>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</si>
  <si>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</si>
  <si>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</si>
  <si>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</si>
  <si>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</si>
  <si>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</si>
  <si>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</si>
  <si>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</si>
  <si>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</si>
  <si>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</si>
  <si>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is offline on 01/05 at 15:30 &amp; back online at 09:30 on 03/06. 
2. Inverter 3 tripped offline on 01/08 &amp; back online at 01/30 at 12:15. </t>
  </si>
  <si>
    <t>1.SR079989
2.SR080070</t>
  </si>
  <si>
    <t xml:space="preserve">1. Site tripped offline 11:00 on 01/16 &amp; back online at 15:15 on 01/17. </t>
  </si>
  <si>
    <t>1.SR080260</t>
  </si>
  <si>
    <t>February Actual v. Expected</t>
  </si>
  <si>
    <t>February Actual v. Forecasted</t>
  </si>
  <si>
    <t xml:space="preserve">1.Site is offline on 02/03 at 02:00 AM &amp; back online at 11:00 on same day. 
2. Site tripped offline on 02/21 at 11:45 &amp; back online at 14:15 on same day. 
3. Site tripped offline at 20:42 on 02/27 &amp; back online at 09:45 on 02/28. 
</t>
  </si>
  <si>
    <t>1.SR080689
2. SR081163
3.SR081393</t>
  </si>
  <si>
    <t xml:space="preserve">1. Site tripped offline on 02/01 at 13:30 &amp; back online at 08:45 on 02/02. 
2. Site tripped offline at 08:00 on 02/11 &amp; back online at 10:15 same day. 
3. Site tripped offline at 22:57 on 02/28 &amp; back online at 11:00 on 02/29. </t>
  </si>
  <si>
    <t>1. SR080653
2. SR080918
3. SR081434</t>
  </si>
  <si>
    <t xml:space="preserve">1. Site tripped offline on 02/27 at 05:48 &amp; back online at 10:15 on same day. </t>
  </si>
  <si>
    <t>1. SR081357</t>
  </si>
  <si>
    <t xml:space="preserve"> </t>
  </si>
  <si>
    <t>March Actual v. Expected</t>
  </si>
  <si>
    <t>March Actual v. Forecasted</t>
  </si>
  <si>
    <t xml:space="preserve">1.Site tripped offline at 04:30AM on 03/10 &amp; back online at 13:30. 
2. Site was offline on 03/29 at 21:06 &amp; back online at 12:15 on 03/30. </t>
  </si>
  <si>
    <t>1.SR081720
2.SR082923</t>
  </si>
  <si>
    <t xml:space="preserve">1.Site tripped offline on 03/02 at 19:00 &amp; back online 03/03 at 08:00
2. Site tripped offline on 03/11 at 11:15 &amp; back online 03/12 at 09:00. 
3. Site tripped offline on 03/22 at 14:15 &amp; back online at 16:00 same day. 
4. Site tripped offline on 03/23 at 19;57 &amp; back online at 08:30 on 03/25. </t>
  </si>
  <si>
    <t>1.SR081520
2.SR081755
3. SR082501
4. SR082606</t>
  </si>
  <si>
    <t>April Actual v. Expected</t>
  </si>
  <si>
    <t>April Actual v. Forecasted</t>
  </si>
  <si>
    <t>1. Site tripped offline from 09:30AM to 12:45PM on 04/02.
2. Site tripped offline at 05:30AM on 04/04 and back oline at 10:45AM on 04/08.
3. Site tripped offline at 16:15 on 04/29 and back online at 08:45AM on 04/30.</t>
  </si>
  <si>
    <t>1. SR082986
2. SR083060.
3. SR083974</t>
  </si>
  <si>
    <t>1. Site tripped offline at 04:45AM on 04/04 and back online at 10:15AM on 04/08.</t>
  </si>
  <si>
    <t>1. SR083054,
SR085118</t>
  </si>
  <si>
    <t>1. Site is offline from 08:15AM to 11:30AM on 04/04</t>
  </si>
  <si>
    <t>1. SR083065</t>
  </si>
  <si>
    <t>1. Site tripped offline at 08:15AM on 04/04 and back online at 08:15AM on 04/05.</t>
  </si>
  <si>
    <t>1. SR083066</t>
  </si>
  <si>
    <t>May Actual v. Expected</t>
  </si>
  <si>
    <t>May Actual v. Forecasted</t>
  </si>
  <si>
    <t>1. Inverter 1.5 tripped offline at 11:00AM on 05/02 and back online at 07:00AM on 05/03.</t>
  </si>
  <si>
    <t>1. SR084152</t>
  </si>
  <si>
    <t>June Actual v. Expected</t>
  </si>
  <si>
    <t>June Actual v. Forecasted</t>
  </si>
  <si>
    <t xml:space="preserve">1. Site tripped offline at 17:30 on 06/19 and back online at 09:15AM on 06/20.
2. Site tripped offline from 04:00AM to 11:45AM on 06/22
</t>
  </si>
  <si>
    <t>1. SR086448
2. SR086625</t>
  </si>
  <si>
    <t>1. Site tripped offline at 08:00AM on 06/30 and back online at 08:30AM on 07/01.</t>
  </si>
  <si>
    <t>1. SR087136</t>
  </si>
  <si>
    <t>July Actual v. Expected</t>
  </si>
  <si>
    <t>July Actual v. Forecasted</t>
  </si>
  <si>
    <t>1. Inverter 1 tripped offline from 07/06.
2. Site tripped offline at 18:00 on 07/06 and back online at 11:00AM on 07/07.
3. Inverter 7 tripped offline at 11:30AM on 07/09.
4. Site tripped offline at 16:45 on 07/17 and back online at 10:15AM on 07/18.
5. Site offline from 05:15AM to 12:15PM on 07/23</t>
  </si>
  <si>
    <t>1. SR087420
2. SR087431
3. SR087516
4. SR087852
5. SR088009</t>
  </si>
  <si>
    <t>1. Site tripped offline at 08:00AM on 06/30 and back online at 07:00AM on 07/01.
2. Site offline from 16:23 to 17:40 on 07/09.
3. Site tripped offline at 16:00 on 07/15 and back online at 11:00AM on 07/16.</t>
  </si>
  <si>
    <t>1. SR087136
2. SR087526
3. SR087731</t>
  </si>
  <si>
    <t>1. Site is offline from 08:00AM to 11:00AM on 07/06, site again offline from 06:00AM to 11:00AM on 07/07.
2. Site tripped offline at 21:00 on 07/16 and back online at 15:00 on 07/17.
3. Site tripped offline at 13:00 on 07/23 and back online at 08:00AM on 07/24.
4. Inverter 1 is derating approximately 50kW from 07/30</t>
  </si>
  <si>
    <t>1. SR087405
2. SR087794
3. SR088066
4. SR088413</t>
  </si>
  <si>
    <t>1. Site offline from 06:00AM to 10:30AM on 07/07.
2. Site tripped offline at 13:15 on 07/23 and back online 08:45AM on 07/24.</t>
  </si>
  <si>
    <t>1. SR087406
2. SR088067</t>
  </si>
  <si>
    <t>August Actual v. Expected</t>
  </si>
  <si>
    <t>August Actual v. Forecasted</t>
  </si>
  <si>
    <t>1. Inverter 1 tripped offline from 07/06 and back online on 08/20.
2. Inverter 4 tripped offline at 14:45 on 08/10 and back online on 08/27.
3. Site tripped offline at 04:00AM to 15:00 on 08/01.
4. Site tripped offline at 14:30 on 08/11 and back online at 08:00AM on 08/12.</t>
  </si>
  <si>
    <t>1. SR087420
2. SR088883
3. SR088487
4. SR088904</t>
  </si>
  <si>
    <t>1. Site tripped offline at 18:00 on 08/02 and back online at 11:00AM on 08/03 and site offline tripped offline at 08:00AM on 08/05 and back online at 08:00AM on 08/06.</t>
  </si>
  <si>
    <t>1. SR088553</t>
  </si>
  <si>
    <t>1.  Inverter 1 is derating approximately 50kW from 07/30 and producing as expected from 08/17.</t>
  </si>
  <si>
    <t>1. SR088413</t>
  </si>
  <si>
    <t>1. Site offline from 12:00AM to 07:00AM on 08/16.
2. Site offline from 13:53 to 15:49 on 08/30</t>
  </si>
  <si>
    <t>1. SR089136
2. SR089775</t>
  </si>
  <si>
    <t>September Actual v. Expected</t>
  </si>
  <si>
    <t>September Actual v. Forecasted</t>
  </si>
  <si>
    <t>1. Inverter 5 tripped offline at 14:30 on 09/04 and back online at 12:00PM on 09/12.</t>
  </si>
  <si>
    <t>1. SR089980</t>
  </si>
  <si>
    <t>1. Site tripped offline at 15:45 on 09/13 and back online 09:45AM on 09/14.</t>
  </si>
  <si>
    <t>1. SR090387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</si>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</sst>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6" borderId="0" xfId="0" applyFont="1" applyFill="1"/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ALIGNED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2291385.8139999998</v>
      </c>
      <c r="D2" s="5">
        <f>SUM(D4:D79)</f>
        <v>2231938.5210000002</v>
      </c>
      <c r="E2" s="5">
        <f>C2-D2</f>
        <v>59447.292999999598</v>
      </c>
      <c r="F2" s="6">
        <f>IFERROR(E2/D2, 0)</f>
        <v>2.6634825484962179E-2</v>
      </c>
      <c r="G2" s="5">
        <f>SUM(G4:G79)</f>
        <v>2663840.3559999997</v>
      </c>
      <c r="H2" s="7">
        <f>C2-G2</f>
        <v>-372454.5419999999</v>
      </c>
      <c r="I2" s="6">
        <f>IFERROR(H2/G2, 0)</f>
        <v>-0.13981864234509703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0" t="str" cm="1">
        <f t="array" ref="A4:A7">Sites[Site]</f>
        <v>Conway -US 302 and Stirch Road</v>
      </c>
      <c r="B4" s="31" t="str" cm="1">
        <f t="array" ref="B4:B7">Sites[State]</f>
        <v>NH</v>
      </c>
      <c r="C4" s="23">
        <f>SUM('1st Qtr'!C4, '2nd Qtr'!C4, '3rd Qtr'!C4, '4th Qtr'!C4)</f>
        <v>1311544.1669999999</v>
      </c>
      <c r="D4" s="12">
        <f>SUM('1st Qtr'!D4, '2nd Qtr'!D4, '3rd Qtr'!D4, '4th Qtr'!D4)</f>
        <v>1303652.4810000001</v>
      </c>
      <c r="E4" s="12">
        <f>IF(AND(ISNUMBER(C4),ISNUMBER(D4)), C4-D4, "")</f>
        <v>7891.6859999997541</v>
      </c>
      <c r="F4" s="13">
        <f>IFERROR(E4/D4, "")</f>
        <v>6.053519718649431E-3</v>
      </c>
      <c r="G4" s="14">
        <f>SUM('1st Qtr'!G4, '2nd Qtr'!G4, '3rd Qtr'!G4, '4th Qtr'!G4)</f>
        <v>0</v>
      </c>
      <c r="H4" s="14">
        <f>SUM('1st Qtr'!H4, '2nd Qtr'!H4, '3rd Qtr'!H4, '4th Qtr'!H4)</f>
        <v>1311544.1669999999</v>
      </c>
      <c r="I4" s="15" t="str">
        <f>IFERROR(H4/G4, "")</f>
        <v/>
      </c>
    </row>
    <row r="5" spans="1:9" ht="15.6">
      <c r="A5" s="51" t="str">
        <v>Loudon - 7046 Pleasant Street</v>
      </c>
      <c r="B5" s="29" t="str">
        <v>NH</v>
      </c>
      <c r="C5" s="11">
        <f>SUM(Jan!C5, Feb!C5, Mar!C5)</f>
        <v>350305.43299999996</v>
      </c>
      <c r="D5" s="17">
        <f>SUM(Jan!D5, Feb!D5, Mar!D5)</f>
        <v>378379.092</v>
      </c>
      <c r="E5" s="17">
        <f t="shared" ref="E5:E7" si="0">IF(AND(ISNUMBER(C5),ISNUMBER(D5)), C5-D5, "")</f>
        <v>-28073.659000000043</v>
      </c>
      <c r="F5" s="18">
        <f>IFERROR(E5/D5, "")</f>
        <v>-7.4194530283401713E-2</v>
      </c>
      <c r="G5" s="19">
        <f>SUM('1st Qtr'!G5, '2nd Qtr'!G5, '3rd Qtr'!G5, '4th Qtr'!G5)</f>
        <v>1544538.8</v>
      </c>
      <c r="H5" s="19">
        <f>SUM(Jan!H5, Feb!H5, Mar!H5)</f>
        <v>-81242.903999999995</v>
      </c>
      <c r="I5" s="18">
        <f>IFERROR(H5/G5, "")</f>
        <v>-5.2600105610814046E-2</v>
      </c>
    </row>
    <row r="6" spans="1:9" ht="15.6">
      <c r="A6" s="52" t="str">
        <v>Nashua - Pennichuck Water  East</v>
      </c>
      <c r="B6" s="27" t="str">
        <v>NH</v>
      </c>
      <c r="C6" s="23">
        <f>SUM(Jan!C6, Feb!C6, Mar!C6)</f>
        <v>358682.73</v>
      </c>
      <c r="D6" s="12">
        <f>SUM(Jan!D6, Feb!D6, Mar!D6)</f>
        <v>309986.65300000005</v>
      </c>
      <c r="E6" s="12">
        <f t="shared" si="0"/>
        <v>48696.076999999932</v>
      </c>
      <c r="F6" s="13">
        <f t="shared" ref="F6:F7" si="1">IFERROR(E6/D6, "")</f>
        <v>0.15709088287746351</v>
      </c>
      <c r="G6" s="14">
        <f>SUM('1st Qtr'!G6, '2nd Qtr'!G6, '3rd Qtr'!G6, '4th Qtr'!G6)</f>
        <v>1119301.5559999999</v>
      </c>
      <c r="H6" s="14">
        <f>SUM(Jan!H6, Feb!H6, Mar!H6)</f>
        <v>67837.173999999999</v>
      </c>
      <c r="I6" s="15">
        <f t="shared" ref="I6:I7" si="2">IFERROR(H6/G6, "")</f>
        <v>6.060670034483541E-2</v>
      </c>
    </row>
    <row r="7" spans="1:9" ht="15.6">
      <c r="A7" s="51" t="str">
        <v>Nashua - Pennichuck Water West</v>
      </c>
      <c r="B7" s="29" t="str">
        <v>NH</v>
      </c>
      <c r="C7" s="11">
        <f>SUM(Jan!C7, Feb!C7, Mar!C7)</f>
        <v>270853.484</v>
      </c>
      <c r="D7" s="17">
        <f>SUM(Jan!D7, Feb!D7, Mar!D7)</f>
        <v>239920.29499999998</v>
      </c>
      <c r="E7" s="17">
        <f t="shared" si="0"/>
        <v>30933.189000000013</v>
      </c>
      <c r="F7" s="18">
        <f t="shared" si="1"/>
        <v>0.12893110605753472</v>
      </c>
      <c r="G7" s="19">
        <f>SUM('1st Qtr'!G7, '2nd Qtr'!G7, '3rd Qtr'!G7, '4th Qtr'!G7)</f>
        <v>0</v>
      </c>
      <c r="H7" s="19">
        <f>SUM(Jan!H7, Feb!H7, Mar!H7)</f>
        <v>270853.484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ALIGNED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1307497.564</v>
      </c>
      <c r="D2" s="5">
        <f>SUM(D4:D79)</f>
        <v>1220608.9140000001</v>
      </c>
      <c r="E2" s="5">
        <f>C2-D2</f>
        <v>86888.649999999907</v>
      </c>
      <c r="F2" s="6">
        <f>IFERROR(E2/D2, 0)</f>
        <v>7.1184675946090875E-2</v>
      </c>
      <c r="G2" s="5">
        <f>SUM(G4:G79)</f>
        <v>722393.89299999992</v>
      </c>
      <c r="H2" s="7">
        <f>C2-G2</f>
        <v>585103.67100000009</v>
      </c>
      <c r="I2" s="6">
        <f>IFERROR(H2/G2, 0)</f>
        <v>0.80995102072381464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SUM(Jan!C4, Feb!C4, Mar!C4)</f>
        <v>327655.91700000002</v>
      </c>
      <c r="D4" s="12">
        <f>SUM(Jan!D4, Feb!D4, Mar!D4)</f>
        <v>292322.87400000001</v>
      </c>
      <c r="E4" s="12">
        <f>IF(AND(ISNUMBER(C4),ISNUMBER(D4)), C4-D4, "")</f>
        <v>35333.043000000005</v>
      </c>
      <c r="F4" s="13">
        <f>IFERROR(E4/D4, "")</f>
        <v>0.12086992207116848</v>
      </c>
      <c r="G4" s="14">
        <f>SUM(Jan!G4, Feb!G4, Mar!G4)</f>
        <v>0</v>
      </c>
      <c r="H4" s="14">
        <f>SUM(Jan!H4, Feb!H4, Mar!H4)</f>
        <v>327655.91700000002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SUM(Jan!C5, Feb!C5, Mar!C5)</f>
        <v>350305.43299999996</v>
      </c>
      <c r="D5" s="17">
        <f>SUM(Jan!D5, Feb!D5, Mar!D5)</f>
        <v>378379.092</v>
      </c>
      <c r="E5" s="17">
        <f t="shared" ref="E5:E7" si="0">IF(AND(ISNUMBER(C5),ISNUMBER(D5)), C5-D5, "")</f>
        <v>-28073.659000000043</v>
      </c>
      <c r="F5" s="18">
        <f>IFERROR(E5/D5, "")</f>
        <v>-7.4194530283401713E-2</v>
      </c>
      <c r="G5" s="19">
        <f>SUM(Jan!G5, Feb!G5, Mar!G5)</f>
        <v>431548.337</v>
      </c>
      <c r="H5" s="19">
        <f>SUM(Jan!H5, Feb!H5, Mar!H5)</f>
        <v>-81242.903999999995</v>
      </c>
      <c r="I5" s="18">
        <f>IFERROR(H5/G5, "")</f>
        <v>-0.18825910572330626</v>
      </c>
    </row>
    <row r="6" spans="1:9" ht="15.6">
      <c r="A6" s="47" t="str">
        <v>Nashua - Pennichuck Water  East</v>
      </c>
      <c r="B6" s="9" t="str">
        <v>NH</v>
      </c>
      <c r="C6" s="23">
        <f>SUM(Jan!C6, Feb!C6, Mar!C6)</f>
        <v>358682.73</v>
      </c>
      <c r="D6" s="12">
        <f>SUM(Jan!D6, Feb!D6, Mar!D6)</f>
        <v>309986.65300000005</v>
      </c>
      <c r="E6" s="12">
        <f t="shared" si="0"/>
        <v>48696.076999999932</v>
      </c>
      <c r="F6" s="13">
        <f t="shared" ref="F6:F7" si="1">IFERROR(E6/D6, "")</f>
        <v>0.15709088287746351</v>
      </c>
      <c r="G6" s="14">
        <f>SUM(Jan!G6, Feb!G6, Mar!G6)</f>
        <v>290845.55599999998</v>
      </c>
      <c r="H6" s="14">
        <f>SUM(Jan!H6, Feb!H6, Mar!H6)</f>
        <v>67837.173999999999</v>
      </c>
      <c r="I6" s="15">
        <f t="shared" ref="I6:I7" si="2">IFERROR(H6/G6, "")</f>
        <v>0.23324122580026632</v>
      </c>
    </row>
    <row r="7" spans="1:9" ht="15.6">
      <c r="A7" s="48" t="str">
        <v>Nashua - Pennichuck Water West</v>
      </c>
      <c r="B7" s="10" t="str">
        <v>NH</v>
      </c>
      <c r="C7" s="11">
        <f>SUM(Jan!C7, Feb!C7, Mar!C7)</f>
        <v>270853.484</v>
      </c>
      <c r="D7" s="17">
        <f>SUM(Jan!D7, Feb!D7, Mar!D7)</f>
        <v>239920.29499999998</v>
      </c>
      <c r="E7" s="17">
        <f t="shared" si="0"/>
        <v>30933.189000000013</v>
      </c>
      <c r="F7" s="18">
        <f t="shared" si="1"/>
        <v>0.12893110605753472</v>
      </c>
      <c r="G7" s="19">
        <f>SUM(Jan!G7, Feb!G7, Mar!G7)</f>
        <v>0</v>
      </c>
      <c r="H7" s="19">
        <f>SUM(Jan!H7, Feb!H7, Mar!H7)</f>
        <v>270853.484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D13" sqref="D13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ALIGNED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SUM(C4:C79)</f>
        <v>1964214.3739999998</v>
      </c>
      <c r="D2" s="5">
        <f>SUM(D4:D79)</f>
        <v>1879855.5060000001</v>
      </c>
      <c r="E2" s="5">
        <f>C2-D2</f>
        <v>84358.867999999784</v>
      </c>
      <c r="F2" s="6">
        <f>IFERROR(E2/D2, 0)</f>
        <v>4.4875187337935635E-2</v>
      </c>
      <c r="G2" s="5">
        <f>SUM(G4:G79)</f>
        <v>960368.96299999999</v>
      </c>
      <c r="H2" s="7">
        <f>C2-G2</f>
        <v>1003845.4109999998</v>
      </c>
      <c r="I2" s="6">
        <f>IFERROR(H2/G2, 0)</f>
        <v>1.0452705675370726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SUM(Apr!C4, May!C4, Jun!C4)</f>
        <v>508391.75</v>
      </c>
      <c r="D4" s="12">
        <f>SUM(Apr!D4, May!D4, Jun!D4)</f>
        <v>499317.50699999998</v>
      </c>
      <c r="E4" s="12">
        <f>IF(AND(ISNUMBER(C4),ISNUMBER(D4)), C4-D4, "")</f>
        <v>9074.2430000000168</v>
      </c>
      <c r="F4" s="13">
        <f>IFERROR(E4/D4, "")</f>
        <v>1.8173292289549177E-2</v>
      </c>
      <c r="G4" s="14">
        <f>SUM(Apr!G4,May!G4,Jun!G4)</f>
        <v>0</v>
      </c>
      <c r="H4" s="14">
        <f>SUM(Apr!H4, May!H4, Jun!H4)</f>
        <v>508391.75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SUM(Apr!C5, May!C5, Jun!C5)</f>
        <v>517561.63500000001</v>
      </c>
      <c r="D5" s="17">
        <f>SUM(Apr!D5, May!D5, Jun!D5)</f>
        <v>500510.47499999998</v>
      </c>
      <c r="E5" s="17">
        <f t="shared" ref="E5:E7" si="0">IF(AND(ISNUMBER(C5),ISNUMBER(D5)), C5-D5, "")</f>
        <v>17051.160000000033</v>
      </c>
      <c r="F5" s="18">
        <f>IFERROR(E5/D5, "")</f>
        <v>3.4067538746317017E-2</v>
      </c>
      <c r="G5" s="19">
        <f>SUM(Apr!G5,May!G5,Jun!G5)</f>
        <v>543456.96299999999</v>
      </c>
      <c r="H5" s="19">
        <f>SUM(Apr!H5, May!H5, Jun!H5)</f>
        <v>-25895.32799999998</v>
      </c>
      <c r="I5" s="18">
        <f>IFERROR(H5/G5, "")</f>
        <v>-4.7649270803436151E-2</v>
      </c>
    </row>
    <row r="6" spans="1:9" ht="15.6">
      <c r="A6" s="47" t="str">
        <v>Nashua - Pennichuck Water  East</v>
      </c>
      <c r="B6" s="9" t="str">
        <v>NH</v>
      </c>
      <c r="C6" s="23">
        <f>SUM(Apr!C6, May!C6, Jun!C6)</f>
        <v>529728.62899999996</v>
      </c>
      <c r="D6" s="12">
        <f>SUM(Apr!D6, May!D6, Jun!D6)</f>
        <v>578978.07900000003</v>
      </c>
      <c r="E6" s="12">
        <f t="shared" si="0"/>
        <v>-49249.45000000007</v>
      </c>
      <c r="F6" s="13">
        <f t="shared" ref="F6:F7" si="1">IFERROR(E6/D6, "")</f>
        <v>-8.5062719619821855E-2</v>
      </c>
      <c r="G6" s="14">
        <f>SUM(Apr!G6,May!G6,Jun!G6)</f>
        <v>416912</v>
      </c>
      <c r="H6" s="14">
        <f>SUM(Apr!H6, May!H6, Jun!H6)</f>
        <v>112816.62899999999</v>
      </c>
      <c r="I6" s="15">
        <f t="shared" ref="I6:I7" si="2">IFERROR(H6/G6, "")</f>
        <v>0.27060057997850862</v>
      </c>
    </row>
    <row r="7" spans="1:9" ht="15.6">
      <c r="A7" s="48" t="str">
        <v>Nashua - Pennichuck Water West</v>
      </c>
      <c r="B7" s="10" t="str">
        <v>NH</v>
      </c>
      <c r="C7" s="11">
        <f>SUM(Apr!C7, May!C7, Jun!C7)</f>
        <v>408532.36</v>
      </c>
      <c r="D7" s="17">
        <f>SUM(Apr!D7, May!D7, Jun!D7)</f>
        <v>301049.44500000001</v>
      </c>
      <c r="E7" s="17">
        <f t="shared" si="0"/>
        <v>107482.91499999998</v>
      </c>
      <c r="F7" s="18">
        <f t="shared" si="1"/>
        <v>0.35702744776692735</v>
      </c>
      <c r="G7" s="19">
        <f>SUM(Apr!G7,May!G7,Jun!G7)</f>
        <v>0</v>
      </c>
      <c r="H7" s="19">
        <f>SUM(Apr!H7, May!H7, Jun!H7)</f>
        <v>408532.36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G4" sqref="G4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ALIGNED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SUM(C4:C79)</f>
        <v>1965503.714999998</v>
      </c>
      <c r="D2" s="5">
        <f>SUM(D4:D79)</f>
        <v>1901427.7999999998</v>
      </c>
      <c r="E2" s="5">
        <f>C2-D2</f>
        <v>64075.914999998175</v>
      </c>
      <c r="F2" s="6">
        <f>IFERROR(E2/D2, 0)</f>
        <v>3.3698841996523968E-2</v>
      </c>
      <c r="G2" s="5">
        <f>SUM(G4:G79)</f>
        <v>981077.5</v>
      </c>
      <c r="H2" s="7">
        <f>C2-G2</f>
        <v>984426.21499999799</v>
      </c>
      <c r="I2" s="6">
        <f>IFERROR(H2/G2, 0)</f>
        <v>1.0034133032303747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SUM(Jul!C4, Aug!C4, Sep!C4)</f>
        <v>475496.5</v>
      </c>
      <c r="D4" s="12">
        <f>SUM(Jul!D4, Aug!D4, Sep!D4)</f>
        <v>512012.1</v>
      </c>
      <c r="E4" s="12">
        <f>IF(AND(ISNUMBER(C4),ISNUMBER(D4)), C4-D4, "")</f>
        <v>-36515.599999999977</v>
      </c>
      <c r="F4" s="13">
        <f>IFERROR(E4/D4, "")</f>
        <v>-7.1317845808722052E-2</v>
      </c>
      <c r="G4" s="14">
        <f>SUM(Jul!G4,Aug!G4,Sep!G4)</f>
        <v>0</v>
      </c>
      <c r="H4" s="14">
        <f>SUM(Jul!H4, Aug!H4, Sep!H4)</f>
        <v>475496.5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SUM(Jul!C5, Aug!C5, Sep!C5)</f>
        <v>547182.07499999902</v>
      </c>
      <c r="D5" s="17">
        <f>SUM(Jul!D5, Aug!D5, Sep!D5)</f>
        <v>535650.19999999995</v>
      </c>
      <c r="E5" s="17">
        <f t="shared" ref="E5:E7" si="0">IF(AND(ISNUMBER(C5),ISNUMBER(D5)), C5-D5, "")</f>
        <v>11531.874999999069</v>
      </c>
      <c r="F5" s="18">
        <f>IFERROR(E5/D5, "")</f>
        <v>2.1528742078317287E-2</v>
      </c>
      <c r="G5" s="17">
        <f>SUM(Jul!G5,Aug!G5,Sep!G5)</f>
        <v>569533.5</v>
      </c>
      <c r="H5" s="19">
        <f>SUM(Jul!H5, Aug!H5, Sep!H5)</f>
        <v>-22351.425000001007</v>
      </c>
      <c r="I5" s="18">
        <f>IFERROR(H5/G5, "")</f>
        <v>-3.9245145368974797E-2</v>
      </c>
    </row>
    <row r="6" spans="1:9" ht="15.6">
      <c r="A6" s="47" t="str">
        <v>Nashua - Pennichuck Water  East</v>
      </c>
      <c r="B6" s="9" t="str">
        <v>NH</v>
      </c>
      <c r="C6" s="23">
        <f>SUM(Jul!C6, Aug!C6, Sep!C6)</f>
        <v>529311.49999999895</v>
      </c>
      <c r="D6" s="12">
        <f>SUM(Jul!D6, Aug!D6, Sep!D6)</f>
        <v>548806.9</v>
      </c>
      <c r="E6" s="12">
        <f t="shared" si="0"/>
        <v>-19495.400000001071</v>
      </c>
      <c r="F6" s="13">
        <f t="shared" ref="F6:F7" si="1">IFERROR(E6/D6, "")</f>
        <v>-3.5523241416973932E-2</v>
      </c>
      <c r="G6" s="14">
        <f>SUM(Jul!G6,Aug!G6,Sep!G6)</f>
        <v>411544</v>
      </c>
      <c r="H6" s="14">
        <f>SUM(Jul!H6, Aug!H6, Sep!H6)</f>
        <v>117767.49999999898</v>
      </c>
      <c r="I6" s="15">
        <f t="shared" ref="I6:I7" si="2">IFERROR(H6/G6, "")</f>
        <v>0.28616016756409762</v>
      </c>
    </row>
    <row r="7" spans="1:9" ht="15.6">
      <c r="A7" s="48" t="str">
        <v>Nashua - Pennichuck Water West</v>
      </c>
      <c r="B7" s="10" t="str">
        <v>NH</v>
      </c>
      <c r="C7" s="11">
        <f>SUM(Jul!C7, Aug!C7, Sep!C7)</f>
        <v>413513.64</v>
      </c>
      <c r="D7" s="17">
        <f>SUM(Jul!D7, Aug!D7, Sep!D7)</f>
        <v>304958.59999999998</v>
      </c>
      <c r="E7" s="17">
        <f t="shared" si="0"/>
        <v>108555.04000000004</v>
      </c>
      <c r="F7" s="18">
        <f t="shared" si="1"/>
        <v>0.35596648200772185</v>
      </c>
      <c r="G7" s="17">
        <f>SUM(Jul!G7,Aug!G7,Sep!G7)</f>
        <v>0</v>
      </c>
      <c r="H7" s="19">
        <f>SUM(Jul!H7, Aug!H7, Sep!H7)</f>
        <v>413513.64</v>
      </c>
      <c r="I7" s="18" t="str">
        <f t="shared" si="2"/>
        <v/>
      </c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ALIGNED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SUM(Oct!C5, Nov!C5, Dec!C5)</f>
        <v>0</v>
      </c>
      <c r="D5" s="17">
        <f>SUM(Oct!D5, Nov!D5, Dec!D5)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6">
      <c r="A6" s="47" t="str">
        <v>Nashua - Pennichuck Water  East</v>
      </c>
      <c r="B6" s="9" t="str">
        <v>NH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7" si="1">IFERROR(E6/D6, "")</f>
        <v/>
      </c>
      <c r="G6" s="14"/>
      <c r="H6" s="14">
        <f>SUM(Oct!H6, Nov!H6, Dec!H6)</f>
        <v>0</v>
      </c>
      <c r="I6" s="15" t="str">
        <f t="shared" ref="I6:I7" si="2">IFERROR(H6/G6, "")</f>
        <v/>
      </c>
    </row>
    <row r="7" spans="1:9" ht="15.6">
      <c r="A7" s="48" t="str">
        <v>Nashua - Pennichuck Water West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4.45">
      <c r="A8" s="20"/>
      <c r="B8" s="10"/>
      <c r="C8" s="44"/>
      <c r="D8" s="17"/>
      <c r="E8" s="17"/>
      <c r="F8" s="18"/>
      <c r="G8" s="19"/>
      <c r="H8" s="19"/>
      <c r="I8" s="18"/>
    </row>
    <row r="9" spans="1:9" ht="14.45">
      <c r="A9" s="20"/>
      <c r="B9" s="10"/>
      <c r="C9" s="44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13" sqref="J13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238595.96999999997</v>
      </c>
      <c r="D2" s="5">
        <f>SUM(D4:D78)</f>
        <v>248096.29699999999</v>
      </c>
      <c r="E2" s="5">
        <f>C2-D2</f>
        <v>-9500.3270000000193</v>
      </c>
      <c r="F2" s="6">
        <f>IFERROR(E2/D2, 0)</f>
        <v>-3.8292901243906996E-2</v>
      </c>
      <c r="G2" s="5">
        <f>SUM(G4:G78)</f>
        <v>197956.14199999999</v>
      </c>
      <c r="H2" s="7">
        <f>C2-G2</f>
        <v>40639.82799999998</v>
      </c>
      <c r="I2" s="6">
        <f>IFERROR(H2/G2, 0)</f>
        <v>0.2052971309170088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50" t="str" cm="1">
        <f t="array" ref="A4:A7">Sites[Site]</f>
        <v>Conway -US 302 and Stirch Road</v>
      </c>
      <c r="B4" s="28" t="str" cm="1">
        <f t="array" ref="B4:B7">Sites[State]</f>
        <v>NH</v>
      </c>
      <c r="C4" s="23">
        <v>51558.18</v>
      </c>
      <c r="D4" s="12">
        <v>56747.743000000002</v>
      </c>
      <c r="E4" s="12">
        <f>IF(AND(ISNUMBER(C4),ISNUMBER(D4)), C4-D4, "")</f>
        <v>-5189.5630000000019</v>
      </c>
      <c r="F4" s="12">
        <f>IFERROR(E4/D4, "")</f>
        <v>-9.1449681091281487E-2</v>
      </c>
      <c r="G4" s="14">
        <v>0</v>
      </c>
      <c r="H4" s="14">
        <f>IF(AND(ISNUMBER(C4),ISNUMBER(G4)), C4-G4, "")</f>
        <v>51558.18</v>
      </c>
      <c r="I4" s="15" t="str">
        <f>IFERROR(H4/G4, "")</f>
        <v/>
      </c>
      <c r="J4" s="54" t="s">
        <v>22</v>
      </c>
      <c r="K4" s="54" t="s">
        <v>23</v>
      </c>
    </row>
    <row r="5" spans="1:11" ht="15.6">
      <c r="A5" s="51" t="str">
        <v>Loudon - 7046 Pleasant Street</v>
      </c>
      <c r="B5" s="30" t="str">
        <v>NH</v>
      </c>
      <c r="C5" s="11">
        <v>67770.850999999995</v>
      </c>
      <c r="D5" s="17">
        <v>82178.824999999997</v>
      </c>
      <c r="E5" s="17">
        <f t="shared" ref="E5:E6" si="0">IF(AND(ISNUMBER(C5),ISNUMBER(D5)), C5-D5, "")</f>
        <v>-14407.974000000002</v>
      </c>
      <c r="F5" s="17">
        <f t="shared" ref="F5:F6" si="1">IFERROR(E5/D5, "")</f>
        <v>-0.17532465327899252</v>
      </c>
      <c r="G5" s="19">
        <v>123440.303</v>
      </c>
      <c r="H5" s="19">
        <f t="shared" ref="H5:H6" si="2">IF(AND(ISNUMBER(C5),ISNUMBER(G5)), C5-G5, "")</f>
        <v>-55669.452000000005</v>
      </c>
      <c r="I5" s="18">
        <f t="shared" ref="I5:I6" si="3">IFERROR(H5/G5, "")</f>
        <v>-0.45098278801211306</v>
      </c>
      <c r="J5" s="56" t="s">
        <v>24</v>
      </c>
      <c r="K5" s="56" t="s">
        <v>25</v>
      </c>
    </row>
    <row r="6" spans="1:11" ht="15.6">
      <c r="A6" s="52" t="str">
        <v>Nashua - Pennichuck Water  East</v>
      </c>
      <c r="B6" s="28" t="str">
        <v>NH</v>
      </c>
      <c r="C6" s="23">
        <v>67621.654999999999</v>
      </c>
      <c r="D6" s="12">
        <v>53199.536</v>
      </c>
      <c r="E6" s="12">
        <f t="shared" si="0"/>
        <v>14422.118999999999</v>
      </c>
      <c r="F6" s="12">
        <f t="shared" si="1"/>
        <v>0.27109482684209874</v>
      </c>
      <c r="G6" s="14">
        <v>74515.839000000007</v>
      </c>
      <c r="H6" s="14">
        <f t="shared" si="2"/>
        <v>-6894.1840000000084</v>
      </c>
      <c r="I6" s="15">
        <f t="shared" si="3"/>
        <v>-9.2519712486898359E-2</v>
      </c>
      <c r="J6" s="40"/>
      <c r="K6" s="40"/>
    </row>
    <row r="7" spans="1:11" ht="15.6">
      <c r="A7" s="51" t="str">
        <v>Nashua - Pennichuck Water West</v>
      </c>
      <c r="B7" s="30" t="str">
        <v>NH</v>
      </c>
      <c r="C7" s="11">
        <v>51645.284</v>
      </c>
      <c r="D7" s="17">
        <v>55970.192999999999</v>
      </c>
      <c r="E7" s="17">
        <f>IF(AND(ISNUMBER(C7),ISNUMBER(D7)), C7-D7, "")</f>
        <v>-4324.9089999999997</v>
      </c>
      <c r="F7" s="17">
        <f>IFERROR(E7/D7, "")</f>
        <v>-7.7271647071147309E-2</v>
      </c>
      <c r="G7" s="19">
        <v>0</v>
      </c>
      <c r="H7" s="19">
        <f>IF(AND(ISNUMBER(C7),ISNUMBER(G7)), C7-G7, "")</f>
        <v>51645.284</v>
      </c>
      <c r="I7" s="18" t="str">
        <f t="shared" ref="I7" si="4">IFERROR(H7/G7, "")</f>
        <v/>
      </c>
      <c r="J7" s="41"/>
      <c r="K7" s="41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 F8:F78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C4" sqref="C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542127.64100000006</v>
      </c>
      <c r="D2" s="5">
        <f>SUM(D4:D79)</f>
        <v>466672.23899999994</v>
      </c>
      <c r="E2" s="5">
        <f>C2-D2</f>
        <v>75455.402000000118</v>
      </c>
      <c r="F2" s="6">
        <f>IFERROR(E2/D2, 0)</f>
        <v>0.16168821647006118</v>
      </c>
      <c r="G2" s="5">
        <f>SUM(G4:G79)</f>
        <v>231919.02600000001</v>
      </c>
      <c r="H2" s="7">
        <f>C2-G2</f>
        <v>310208.61500000005</v>
      </c>
      <c r="I2" s="6">
        <f>IFERROR(H2/G2, 0)</f>
        <v>1.3375729466887294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57.6">
      <c r="A4" s="50" t="str" cm="1">
        <f t="array" ref="A4:A7">Sites[Site]</f>
        <v>Conway -US 302 and Stirch Road</v>
      </c>
      <c r="B4" s="28" t="str" cm="1">
        <f t="array" ref="B4:B7">Sites[State]</f>
        <v>NH</v>
      </c>
      <c r="C4" s="23">
        <v>140527.5</v>
      </c>
      <c r="D4" s="12">
        <v>108093.88499999999</v>
      </c>
      <c r="E4" s="12">
        <f>IF(AND(ISNUMBER(C4),ISNUMBER(D4)), C4-D4, "")</f>
        <v>32433.615000000005</v>
      </c>
      <c r="F4" s="12">
        <f>IFERROR(E4/D4, "")</f>
        <v>0.30005041450772174</v>
      </c>
      <c r="G4" s="14">
        <v>0</v>
      </c>
      <c r="H4" s="14">
        <f>IF(AND(ISNUMBER(C4),ISNUMBER(G4)), C4-G4, "")</f>
        <v>140527.5</v>
      </c>
      <c r="I4" s="15" t="str">
        <f>IFERROR(H4/G4, "")</f>
        <v/>
      </c>
      <c r="J4" s="40" t="s">
        <v>28</v>
      </c>
      <c r="K4" s="40" t="s">
        <v>29</v>
      </c>
    </row>
    <row r="5" spans="1:11" ht="43.15">
      <c r="A5" s="51" t="str">
        <v>Loudon - 7046 Pleasant Street</v>
      </c>
      <c r="B5" s="30" t="str">
        <v>NH</v>
      </c>
      <c r="C5" s="11">
        <v>150009.984</v>
      </c>
      <c r="D5" s="17">
        <v>152658.21400000001</v>
      </c>
      <c r="E5" s="17">
        <f t="shared" ref="E5:E7" si="0">IF(AND(ISNUMBER(C5),ISNUMBER(D5)), C5-D5, "")</f>
        <v>-2648.2300000000105</v>
      </c>
      <c r="F5" s="17">
        <f t="shared" ref="F5:F7" si="1">IFERROR(E5/D5, "")</f>
        <v>-1.7347445188897668E-2</v>
      </c>
      <c r="G5" s="19">
        <v>139467.87</v>
      </c>
      <c r="H5" s="19">
        <f t="shared" ref="H5:H7" si="2">IF(AND(ISNUMBER(C5),ISNUMBER(G5)), C5-G5, "")</f>
        <v>10542.114000000001</v>
      </c>
      <c r="I5" s="18">
        <f t="shared" ref="I5:I7" si="3">IFERROR(H5/G5, "")</f>
        <v>7.558811932812913E-2</v>
      </c>
      <c r="J5" s="55" t="s">
        <v>30</v>
      </c>
      <c r="K5" s="55" t="s">
        <v>31</v>
      </c>
    </row>
    <row r="6" spans="1:11" ht="15.6">
      <c r="A6" s="52" t="str">
        <v>Nashua - Pennichuck Water  East</v>
      </c>
      <c r="B6" s="28" t="str">
        <v>NH</v>
      </c>
      <c r="C6" s="23">
        <v>144333</v>
      </c>
      <c r="D6" s="12">
        <v>113480.588</v>
      </c>
      <c r="E6" s="12">
        <f t="shared" si="0"/>
        <v>30852.411999999997</v>
      </c>
      <c r="F6" s="12">
        <f t="shared" si="1"/>
        <v>0.27187391732584248</v>
      </c>
      <c r="G6" s="14">
        <v>92451.156000000003</v>
      </c>
      <c r="H6" s="14">
        <f t="shared" si="2"/>
        <v>51881.843999999997</v>
      </c>
      <c r="I6" s="15">
        <f t="shared" si="3"/>
        <v>0.56118112790282471</v>
      </c>
      <c r="J6" s="40"/>
      <c r="K6" s="40"/>
    </row>
    <row r="7" spans="1:11" ht="15.6">
      <c r="A7" s="51" t="str">
        <v>Nashua - Pennichuck Water West</v>
      </c>
      <c r="B7" s="30" t="str">
        <v>NH</v>
      </c>
      <c r="C7" s="11">
        <v>107257.15700000001</v>
      </c>
      <c r="D7" s="17">
        <v>92439.551999999996</v>
      </c>
      <c r="E7" s="17">
        <f t="shared" si="0"/>
        <v>14817.60500000001</v>
      </c>
      <c r="F7" s="17">
        <f t="shared" si="1"/>
        <v>0.16029507585670699</v>
      </c>
      <c r="G7" s="19">
        <v>0</v>
      </c>
      <c r="H7" s="19">
        <f t="shared" si="2"/>
        <v>107257.15700000001</v>
      </c>
      <c r="I7" s="18" t="str">
        <f t="shared" si="3"/>
        <v/>
      </c>
      <c r="J7" s="41" t="s">
        <v>32</v>
      </c>
      <c r="K7" s="55" t="s">
        <v>33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 t="s">
        <v>34</v>
      </c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I4:I79 F8:F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G7" sqref="G7"/>
      <selection pane="bottomLeft" activeCell="F28" sqref="F28"/>
      <selection pane="topRight" activeCell="F28" sqref="F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35</v>
      </c>
      <c r="E1" s="62"/>
      <c r="F1" s="62"/>
      <c r="G1" s="60" t="s">
        <v>36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526773.95299999998</v>
      </c>
      <c r="D2" s="5">
        <f>SUM(D4:D79)</f>
        <v>505840.37799999997</v>
      </c>
      <c r="E2" s="5">
        <f>C2-D2</f>
        <v>20933.575000000012</v>
      </c>
      <c r="F2" s="6">
        <f>IFERROR(E2/D2, 0)</f>
        <v>4.1383756438676415E-2</v>
      </c>
      <c r="G2" s="5">
        <f>SUM(G4:G79)</f>
        <v>292518.72499999998</v>
      </c>
      <c r="H2" s="7">
        <f>C2-G2</f>
        <v>234255.228</v>
      </c>
      <c r="I2" s="6">
        <f>IFERROR(H2/G2, 0)</f>
        <v>0.80082130810600249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135570.23699999999</v>
      </c>
      <c r="D4" s="12">
        <v>127481.246</v>
      </c>
      <c r="E4" s="12">
        <f>IF(AND(ISNUMBER(C4),ISNUMBER(D4)), C4-D4, "")</f>
        <v>8088.9909999999945</v>
      </c>
      <c r="F4" s="13">
        <f>IFERROR(E4/D4, "")</f>
        <v>6.345239989260848E-2</v>
      </c>
      <c r="G4" s="14">
        <v>0</v>
      </c>
      <c r="H4" s="14">
        <f>IF(AND(ISNUMBER(C4),ISNUMBER(G4)), C4-G4, "")</f>
        <v>135570.23699999999</v>
      </c>
      <c r="I4" s="15" t="str">
        <f>IFERROR(H4/G4, "")</f>
        <v/>
      </c>
      <c r="J4" s="54" t="s">
        <v>37</v>
      </c>
      <c r="K4" s="54" t="s">
        <v>38</v>
      </c>
    </row>
    <row r="5" spans="1:11" ht="57.6">
      <c r="A5" s="29" t="str">
        <v>Loudon - 7046 Pleasant Street</v>
      </c>
      <c r="B5" s="30" t="str">
        <v>NH</v>
      </c>
      <c r="C5" s="11">
        <v>132524.598</v>
      </c>
      <c r="D5" s="17">
        <v>143542.05300000001</v>
      </c>
      <c r="E5" s="17">
        <f>IF(AND(ISNUMBER(C5),ISNUMBER(D5)), C5-D5, "")</f>
        <v>-11017.455000000016</v>
      </c>
      <c r="F5" s="18">
        <f>IFERROR(E5/D5, "")</f>
        <v>-7.6754196904234157E-2</v>
      </c>
      <c r="G5" s="19">
        <v>168640.16399999999</v>
      </c>
      <c r="H5" s="19">
        <f>IF(AND(ISNUMBER(C5),ISNUMBER(G5)), C5-G5, "")</f>
        <v>-36115.565999999992</v>
      </c>
      <c r="I5" s="18">
        <f t="shared" ref="I5:I7" si="0">IFERROR(H5/G5, "")</f>
        <v>-0.21415755976138634</v>
      </c>
      <c r="J5" s="41" t="s">
        <v>39</v>
      </c>
      <c r="K5" s="41" t="s">
        <v>40</v>
      </c>
    </row>
    <row r="6" spans="1:11" ht="15.6">
      <c r="A6" s="27" t="str">
        <v>Nashua - Pennichuck Water  East</v>
      </c>
      <c r="B6" s="28" t="str">
        <v>NH</v>
      </c>
      <c r="C6" s="23">
        <v>146728.07500000001</v>
      </c>
      <c r="D6" s="12">
        <v>143306.52900000001</v>
      </c>
      <c r="E6" s="12">
        <f>IF(AND(ISNUMBER(C6),ISNUMBER(D6)), C6-D6, "")</f>
        <v>3421.5460000000021</v>
      </c>
      <c r="F6" s="13">
        <f>IFERROR(E6/D6, "")</f>
        <v>2.387571608827398E-2</v>
      </c>
      <c r="G6" s="14">
        <v>123878.561</v>
      </c>
      <c r="H6" s="14">
        <f>IF(AND(ISNUMBER(C6),ISNUMBER(G6)), C6-G6, "")</f>
        <v>22849.51400000001</v>
      </c>
      <c r="I6" s="15">
        <f t="shared" si="0"/>
        <v>0.18445091560274104</v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>
        <v>111951.04300000001</v>
      </c>
      <c r="D7" s="17">
        <v>91510.55</v>
      </c>
      <c r="E7" s="17">
        <f>IF(AND(ISNUMBER(C7),ISNUMBER(D7)), C7-D7, "")</f>
        <v>20440.493000000002</v>
      </c>
      <c r="F7" s="18">
        <f>IFERROR(E7/D7, "")</f>
        <v>0.22336761171252933</v>
      </c>
      <c r="G7" s="19">
        <v>0</v>
      </c>
      <c r="H7" s="19">
        <f>IF(AND(ISNUMBER(C7),ISNUMBER(G7)), C7-G7, "")</f>
        <v>111951.04300000001</v>
      </c>
      <c r="I7" s="18" t="str">
        <f t="shared" si="0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570179</v>
      </c>
      <c r="D2" s="5">
        <f>SUM(D4:D79)</f>
        <v>566074.81200000003</v>
      </c>
      <c r="E2" s="5">
        <f>C2-D2</f>
        <v>4104.1879999999655</v>
      </c>
      <c r="F2" s="6">
        <f>IFERROR(E2/D2, 0)</f>
        <v>7.2502572327842159E-3</v>
      </c>
      <c r="G2" s="5">
        <f>SUM(G4:G79)</f>
        <v>306779.435</v>
      </c>
      <c r="H2" s="7">
        <f>C2-G2</f>
        <v>263399.565</v>
      </c>
      <c r="I2" s="6">
        <f>IFERROR(H2/G2, 0)</f>
        <v>0.85859589968929961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54.7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143299</v>
      </c>
      <c r="D4" s="12">
        <v>147704</v>
      </c>
      <c r="E4" s="12">
        <f>IF(AND(ISNUMBER(C4),ISNUMBER(D4)), C4-D4, "")</f>
        <v>-4405</v>
      </c>
      <c r="F4" s="13">
        <f>IFERROR(E4/D4, "")</f>
        <v>-2.9823159833179874E-2</v>
      </c>
      <c r="G4" s="14">
        <v>0</v>
      </c>
      <c r="H4" s="14">
        <f>IF(AND(ISNUMBER(C4),ISNUMBER(G4)), C4-G4, "")</f>
        <v>143299</v>
      </c>
      <c r="I4" s="15" t="str">
        <f>IFERROR(H4/G4, "")</f>
        <v/>
      </c>
      <c r="J4" s="40" t="s">
        <v>43</v>
      </c>
      <c r="K4" s="40" t="s">
        <v>44</v>
      </c>
    </row>
    <row r="5" spans="1:11" ht="28.9">
      <c r="A5" s="29" t="str">
        <v>Loudon - 7046 Pleasant Street</v>
      </c>
      <c r="B5" s="30" t="str">
        <v>NH</v>
      </c>
      <c r="C5" s="11">
        <v>145788</v>
      </c>
      <c r="D5" s="17">
        <v>150592.73300000001</v>
      </c>
      <c r="E5" s="17">
        <f t="shared" ref="E5:E7" si="0">IF(AND(ISNUMBER(C5),ISNUMBER(D5)), C5-D5, "")</f>
        <v>-4804.7330000000075</v>
      </c>
      <c r="F5" s="18">
        <f>IFERROR(E5/D5, "")</f>
        <v>-3.1905477138793992E-2</v>
      </c>
      <c r="G5" s="19">
        <v>175403.435</v>
      </c>
      <c r="H5" s="19">
        <f t="shared" ref="H5:H7" si="1">IF(AND(ISNUMBER(C5),ISNUMBER(G5)), C5-G5, "")</f>
        <v>-29615.434999999998</v>
      </c>
      <c r="I5" s="18">
        <f t="shared" ref="I5:I7" si="2">IFERROR(H5/G5, "")</f>
        <v>-0.16884181886175717</v>
      </c>
      <c r="J5" s="55" t="s">
        <v>45</v>
      </c>
      <c r="K5" s="57" t="s">
        <v>46</v>
      </c>
    </row>
    <row r="6" spans="1:11" ht="15.6">
      <c r="A6" s="27" t="str">
        <v>Nashua - Pennichuck Water  East</v>
      </c>
      <c r="B6" s="28" t="str">
        <v>NH</v>
      </c>
      <c r="C6" s="23">
        <v>159233</v>
      </c>
      <c r="D6" s="12">
        <v>171915.079</v>
      </c>
      <c r="E6" s="12">
        <f t="shared" si="0"/>
        <v>-12682.078999999998</v>
      </c>
      <c r="F6" s="13">
        <f t="shared" ref="F6:F7" si="3">IFERROR(E6/D6, "")</f>
        <v>-7.3769439386989419E-2</v>
      </c>
      <c r="G6" s="14">
        <v>131376</v>
      </c>
      <c r="H6" s="14">
        <f t="shared" si="1"/>
        <v>27857</v>
      </c>
      <c r="I6" s="15">
        <f t="shared" si="2"/>
        <v>0.21204025088296188</v>
      </c>
      <c r="J6" s="40" t="s">
        <v>47</v>
      </c>
      <c r="K6" s="40" t="s">
        <v>48</v>
      </c>
    </row>
    <row r="7" spans="1:11" ht="15.6">
      <c r="A7" s="29" t="str">
        <v>Nashua - Pennichuck Water West</v>
      </c>
      <c r="B7" s="30" t="str">
        <v>NH</v>
      </c>
      <c r="C7" s="11">
        <v>121859</v>
      </c>
      <c r="D7" s="17">
        <v>95863</v>
      </c>
      <c r="E7" s="17">
        <f t="shared" si="0"/>
        <v>25996</v>
      </c>
      <c r="F7" s="18">
        <f t="shared" si="3"/>
        <v>0.27117866121444145</v>
      </c>
      <c r="G7" s="19">
        <v>0</v>
      </c>
      <c r="H7" s="19">
        <f t="shared" si="1"/>
        <v>121859</v>
      </c>
      <c r="I7" s="18" t="str">
        <f t="shared" si="2"/>
        <v/>
      </c>
      <c r="J7" s="41" t="s">
        <v>49</v>
      </c>
      <c r="K7" s="42" t="s">
        <v>50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K6" sqref="K6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51</v>
      </c>
      <c r="E1" s="62"/>
      <c r="F1" s="62"/>
      <c r="G1" s="60" t="s">
        <v>52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679815.84299999999</v>
      </c>
      <c r="D2" s="5">
        <f>SUM(D4:D79)</f>
        <v>636399.37299999991</v>
      </c>
      <c r="E2" s="5">
        <f>C2-D2</f>
        <v>43416.470000000088</v>
      </c>
      <c r="F2" s="6">
        <f>IFERROR(E2/D2, 0)</f>
        <v>6.8222050243912008E-2</v>
      </c>
      <c r="G2" s="5">
        <f>SUM(G4:G79)</f>
        <v>329375.571</v>
      </c>
      <c r="H2" s="7">
        <f>C2-G2</f>
        <v>350440.272</v>
      </c>
      <c r="I2" s="6">
        <f>IFERROR(H2/G2, 0)</f>
        <v>1.0639534405543392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179379</v>
      </c>
      <c r="D4" s="12">
        <v>171433</v>
      </c>
      <c r="E4" s="12">
        <f>IF(AND(ISNUMBER(C4),ISNUMBER(D4)), C4-D4, "")</f>
        <v>7946</v>
      </c>
      <c r="F4" s="13">
        <f>IFERROR(E4/D4, "")</f>
        <v>4.6350469279543609E-2</v>
      </c>
      <c r="G4" s="14">
        <v>0</v>
      </c>
      <c r="H4" s="14">
        <f>IF(AND(ISNUMBER(C4),ISNUMBER(G4)), C4-G4, "")</f>
        <v>179379</v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>
        <v>183704.56</v>
      </c>
      <c r="D5" s="17">
        <v>171689.742</v>
      </c>
      <c r="E5" s="17">
        <f t="shared" ref="E5:E7" si="0">IF(AND(ISNUMBER(C5),ISNUMBER(D5)), C5-D5, "")</f>
        <v>12014.817999999999</v>
      </c>
      <c r="F5" s="18">
        <f>IFERROR(E5/D5, "")</f>
        <v>6.9979824420727477E-2</v>
      </c>
      <c r="G5" s="19">
        <v>185586.571</v>
      </c>
      <c r="H5" s="19">
        <f t="shared" ref="H5:H7" si="1">IF(AND(ISNUMBER(C5),ISNUMBER(G5)), C5-G5, "")</f>
        <v>-1882.0109999999986</v>
      </c>
      <c r="I5" s="18">
        <f t="shared" ref="I5:I7" si="2">IFERROR(H5/G5, "")</f>
        <v>-1.0140879212645179E-2</v>
      </c>
      <c r="J5" s="57"/>
      <c r="K5" s="57"/>
    </row>
    <row r="6" spans="1:11" ht="28.9">
      <c r="A6" s="27" t="str">
        <v>Nashua - Pennichuck Water  East</v>
      </c>
      <c r="B6" s="28" t="str">
        <v>NH</v>
      </c>
      <c r="C6" s="23">
        <v>178700.62899999999</v>
      </c>
      <c r="D6" s="12">
        <v>194029</v>
      </c>
      <c r="E6" s="12">
        <f t="shared" si="0"/>
        <v>-15328.371000000014</v>
      </c>
      <c r="F6" s="13">
        <f t="shared" ref="F6:F7" si="3">IFERROR(E6/D6, "")</f>
        <v>-7.9000412309500195E-2</v>
      </c>
      <c r="G6" s="14">
        <v>143789</v>
      </c>
      <c r="H6" s="14">
        <f t="shared" si="1"/>
        <v>34911.628999999986</v>
      </c>
      <c r="I6" s="15">
        <f t="shared" si="2"/>
        <v>0.24279763403320134</v>
      </c>
      <c r="J6" s="40" t="s">
        <v>53</v>
      </c>
      <c r="K6" s="40" t="s">
        <v>54</v>
      </c>
    </row>
    <row r="7" spans="1:11" ht="15.6">
      <c r="A7" s="29" t="str">
        <v>Nashua - Pennichuck Water West</v>
      </c>
      <c r="B7" s="30" t="str">
        <v>NH</v>
      </c>
      <c r="C7" s="11">
        <v>138031.65400000001</v>
      </c>
      <c r="D7" s="17">
        <v>99247.630999999994</v>
      </c>
      <c r="E7" s="17">
        <f t="shared" si="0"/>
        <v>38784.023000000016</v>
      </c>
      <c r="F7" s="18">
        <f t="shared" si="3"/>
        <v>0.39078034013728769</v>
      </c>
      <c r="G7" s="19">
        <v>0</v>
      </c>
      <c r="H7" s="19">
        <f t="shared" si="1"/>
        <v>138031.65400000001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55</v>
      </c>
      <c r="E1" s="62"/>
      <c r="F1" s="62"/>
      <c r="G1" s="60" t="s">
        <v>56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714219.53099999996</v>
      </c>
      <c r="D2" s="5">
        <f>SUM(D4:D79)</f>
        <v>677381.321</v>
      </c>
      <c r="E2" s="5">
        <f>C2-D2</f>
        <v>36838.209999999963</v>
      </c>
      <c r="F2" s="6">
        <f>IFERROR(E2/D2, 0)</f>
        <v>5.438326812085207E-2</v>
      </c>
      <c r="G2" s="5">
        <f>SUM(G4:G79)</f>
        <v>324213.95699999999</v>
      </c>
      <c r="H2" s="7">
        <f>C2-G2</f>
        <v>390005.57399999996</v>
      </c>
      <c r="I2" s="6">
        <f>IFERROR(H2/G2, 0)</f>
        <v>1.2029265414998773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185713.75</v>
      </c>
      <c r="D4" s="12">
        <v>180180.50700000001</v>
      </c>
      <c r="E4" s="12">
        <f>IF(AND(ISNUMBER(C4),ISNUMBER(D4)), C4-D4, "")</f>
        <v>5533.2429999999877</v>
      </c>
      <c r="F4" s="13">
        <f>IFERROR(E4/D4, "")</f>
        <v>3.070944294767684E-2</v>
      </c>
      <c r="G4" s="14">
        <v>0</v>
      </c>
      <c r="H4" s="14">
        <f>IF(AND(ISNUMBER(C4),ISNUMBER(G4)), C4-G4, "")</f>
        <v>185713.75</v>
      </c>
      <c r="I4" s="15" t="str">
        <f>IFERROR(H4/G4, "")</f>
        <v/>
      </c>
      <c r="J4" s="40" t="s">
        <v>57</v>
      </c>
      <c r="K4" s="40" t="s">
        <v>58</v>
      </c>
    </row>
    <row r="5" spans="1:11" ht="15.6">
      <c r="A5" s="29" t="str">
        <v>Loudon - 7046 Pleasant Street</v>
      </c>
      <c r="B5" s="30" t="str">
        <v>NH</v>
      </c>
      <c r="C5" s="11">
        <v>188069.07500000001</v>
      </c>
      <c r="D5" s="17">
        <v>178228</v>
      </c>
      <c r="E5" s="17">
        <f t="shared" ref="E5:E7" si="0">IF(AND(ISNUMBER(C5),ISNUMBER(D5)), C5-D5, "")</f>
        <v>9841.0750000000116</v>
      </c>
      <c r="F5" s="18">
        <f>IFERROR(E5/D5, "")</f>
        <v>5.521621181856954E-2</v>
      </c>
      <c r="G5" s="19">
        <v>182466.95699999999</v>
      </c>
      <c r="H5" s="19">
        <f t="shared" ref="H5:H7" si="1">IF(AND(ISNUMBER(C5),ISNUMBER(G5)), C5-G5, "")</f>
        <v>5602.1180000000168</v>
      </c>
      <c r="I5" s="18">
        <f t="shared" ref="I5:I7" si="2">IFERROR(H5/G5, "")</f>
        <v>3.070209583206902E-2</v>
      </c>
      <c r="J5" s="57" t="s">
        <v>59</v>
      </c>
      <c r="K5" s="57" t="s">
        <v>60</v>
      </c>
    </row>
    <row r="6" spans="1:11" ht="15.6">
      <c r="A6" s="27" t="str">
        <v>Nashua - Pennichuck Water  East</v>
      </c>
      <c r="B6" s="28" t="str">
        <v>NH</v>
      </c>
      <c r="C6" s="23">
        <v>191795</v>
      </c>
      <c r="D6" s="12">
        <v>213034</v>
      </c>
      <c r="E6" s="12">
        <f t="shared" si="0"/>
        <v>-21239</v>
      </c>
      <c r="F6" s="13">
        <f t="shared" ref="F6:F7" si="3">IFERROR(E6/D6, "")</f>
        <v>-9.96977008364862E-2</v>
      </c>
      <c r="G6" s="14">
        <v>141747</v>
      </c>
      <c r="H6" s="14">
        <f t="shared" si="1"/>
        <v>50048</v>
      </c>
      <c r="I6" s="15">
        <f t="shared" si="2"/>
        <v>0.35307978299364362</v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>
        <v>148641.70600000001</v>
      </c>
      <c r="D7" s="17">
        <v>105938.814</v>
      </c>
      <c r="E7" s="17">
        <f t="shared" si="0"/>
        <v>42702.892000000007</v>
      </c>
      <c r="F7" s="18">
        <f t="shared" si="3"/>
        <v>0.40309014597803605</v>
      </c>
      <c r="G7" s="19">
        <v>0</v>
      </c>
      <c r="H7" s="19">
        <f t="shared" si="1"/>
        <v>148641.70600000001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K7" sqref="K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61</v>
      </c>
      <c r="E1" s="62"/>
      <c r="F1" s="62"/>
      <c r="G1" s="60" t="s">
        <v>62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718130.51500000001</v>
      </c>
      <c r="D2" s="5">
        <f>SUM(D4:D79)</f>
        <v>722876.7</v>
      </c>
      <c r="E2" s="5">
        <f>C2-D2</f>
        <v>-4746.1849999999395</v>
      </c>
      <c r="F2" s="6">
        <f>IFERROR(E2/D2, 0)</f>
        <v>-6.5656909401007662E-3</v>
      </c>
      <c r="G2" s="5">
        <f>SUM(G4:G79)</f>
        <v>355739.5</v>
      </c>
      <c r="H2" s="7">
        <f>C2-G2</f>
        <v>362391.01500000001</v>
      </c>
      <c r="I2" s="6">
        <f>IFERROR(H2/G2, 0)</f>
        <v>1.0186977127926475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93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165685.375</v>
      </c>
      <c r="D4" s="12">
        <v>197657.4</v>
      </c>
      <c r="E4" s="12">
        <f>IF(AND(ISNUMBER(C4),ISNUMBER(D4)), C4-D4, "")</f>
        <v>-31972.024999999994</v>
      </c>
      <c r="F4" s="13">
        <f>IFERROR(E4/D4, "")</f>
        <v>-0.16175475848614823</v>
      </c>
      <c r="G4" s="14">
        <v>0</v>
      </c>
      <c r="H4" s="14">
        <f>IF(AND(ISNUMBER(C4),ISNUMBER(G4)), C4-G4, "")</f>
        <v>165685.375</v>
      </c>
      <c r="I4" s="15" t="str">
        <f>IFERROR(H4/G4, "")</f>
        <v/>
      </c>
      <c r="J4" s="40" t="s">
        <v>63</v>
      </c>
      <c r="K4" s="40" t="s">
        <v>64</v>
      </c>
    </row>
    <row r="5" spans="1:11" ht="60.75">
      <c r="A5" s="29" t="str">
        <v>Loudon - 7046 Pleasant Street</v>
      </c>
      <c r="B5" s="30" t="str">
        <v>NH</v>
      </c>
      <c r="C5" s="11">
        <v>205781.25</v>
      </c>
      <c r="D5" s="17">
        <v>198577.8</v>
      </c>
      <c r="E5" s="17">
        <f t="shared" ref="E5:E7" si="0">IF(AND(ISNUMBER(C5),ISNUMBER(D5)), C5-D5, "")</f>
        <v>7203.4500000000116</v>
      </c>
      <c r="F5" s="18">
        <f>IFERROR(E5/D5, "")</f>
        <v>3.6275202968307697E-2</v>
      </c>
      <c r="G5" s="19">
        <v>204379.5</v>
      </c>
      <c r="H5" s="19">
        <f t="shared" ref="H5:H7" si="1">IF(AND(ISNUMBER(C5),ISNUMBER(G5)), C5-G5, "")</f>
        <v>1401.75</v>
      </c>
      <c r="I5" s="18">
        <f t="shared" ref="I5:I7" si="2">IFERROR(H5/G5, "")</f>
        <v>6.8585645820642485E-3</v>
      </c>
      <c r="J5" s="57" t="s">
        <v>65</v>
      </c>
      <c r="K5" s="57" t="s">
        <v>66</v>
      </c>
    </row>
    <row r="6" spans="1:11" ht="100.5" customHeight="1">
      <c r="A6" s="27" t="str">
        <v>Nashua - Pennichuck Water  East</v>
      </c>
      <c r="B6" s="28" t="str">
        <v>NH</v>
      </c>
      <c r="C6" s="23">
        <v>193206</v>
      </c>
      <c r="D6" s="12">
        <v>217991.1</v>
      </c>
      <c r="E6" s="12">
        <f t="shared" si="0"/>
        <v>-24785.100000000006</v>
      </c>
      <c r="F6" s="13">
        <f t="shared" ref="F6:F7" si="3">IFERROR(E6/D6, "")</f>
        <v>-0.11369776105538255</v>
      </c>
      <c r="G6" s="14">
        <v>151360</v>
      </c>
      <c r="H6" s="14">
        <f t="shared" si="1"/>
        <v>41846</v>
      </c>
      <c r="I6" s="15">
        <f t="shared" si="2"/>
        <v>0.27646670190274841</v>
      </c>
      <c r="J6" s="40" t="s">
        <v>67</v>
      </c>
      <c r="K6" s="40" t="s">
        <v>68</v>
      </c>
    </row>
    <row r="7" spans="1:11" ht="51.75" customHeight="1">
      <c r="A7" s="29" t="str">
        <v>Nashua - Pennichuck Water West</v>
      </c>
      <c r="B7" s="30" t="str">
        <v>NH</v>
      </c>
      <c r="C7" s="11">
        <v>153457.89000000001</v>
      </c>
      <c r="D7" s="17">
        <v>108650.4</v>
      </c>
      <c r="E7" s="17">
        <f t="shared" si="0"/>
        <v>44807.49000000002</v>
      </c>
      <c r="F7" s="18">
        <f t="shared" si="3"/>
        <v>0.41240059861721651</v>
      </c>
      <c r="G7" s="19">
        <v>0</v>
      </c>
      <c r="H7" s="19">
        <f t="shared" si="1"/>
        <v>153457.89000000001</v>
      </c>
      <c r="I7" s="18" t="str">
        <f t="shared" si="2"/>
        <v/>
      </c>
      <c r="J7" s="55" t="s">
        <v>69</v>
      </c>
      <c r="K7" s="59" t="s">
        <v>70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7" sqref="J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71</v>
      </c>
      <c r="E1" s="62"/>
      <c r="F1" s="62"/>
      <c r="G1" s="60" t="s">
        <v>72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596325.37091708602</v>
      </c>
      <c r="D2" s="5">
        <f>SUM(D4:D79)</f>
        <v>598821.53</v>
      </c>
      <c r="E2" s="5">
        <f>C2-D2</f>
        <v>-2496.1590829140041</v>
      </c>
      <c r="F2" s="6">
        <f>IFERROR(E2/D2, 0)</f>
        <v>-4.1684524651510171E-3</v>
      </c>
      <c r="G2" s="5">
        <f>SUM(G4:G79)</f>
        <v>336850.8</v>
      </c>
      <c r="H2" s="7">
        <f>C2-G2</f>
        <v>259474.57091708604</v>
      </c>
      <c r="I2" s="6">
        <f>IFERROR(H2/G2, 0)</f>
        <v>0.77029524916398018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70.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133581.80841708599</v>
      </c>
      <c r="D4" s="12">
        <v>159952.29999999999</v>
      </c>
      <c r="E4" s="12">
        <f>IF(AND(ISNUMBER(C4),ISNUMBER(D4)), C4-D4, "")</f>
        <v>-26370.491582913994</v>
      </c>
      <c r="F4" s="13">
        <f>IFERROR(E4/D4, "")</f>
        <v>-0.16486472268866403</v>
      </c>
      <c r="G4" s="14">
        <v>0</v>
      </c>
      <c r="H4" s="14">
        <f>IF(AND(ISNUMBER(C4),ISNUMBER(G4)), C4-G4, "")</f>
        <v>133581.80841708599</v>
      </c>
      <c r="I4" s="15" t="str">
        <f>IFERROR(H4/G4, "")</f>
        <v/>
      </c>
      <c r="J4" s="40" t="s">
        <v>73</v>
      </c>
      <c r="K4" s="40" t="s">
        <v>74</v>
      </c>
    </row>
    <row r="5" spans="1:11" ht="57" customHeight="1">
      <c r="A5" s="29" t="str">
        <v>Loudon - 7046 Pleasant Street</v>
      </c>
      <c r="B5" s="30" t="str">
        <v>NH</v>
      </c>
      <c r="C5" s="11">
        <v>160929</v>
      </c>
      <c r="D5" s="17">
        <v>164786.29999999999</v>
      </c>
      <c r="E5" s="17">
        <f t="shared" ref="E5:E7" si="0">IF(AND(ISNUMBER(C5),ISNUMBER(D5)), C5-D5, "")</f>
        <v>-3857.2999999999884</v>
      </c>
      <c r="F5" s="18">
        <f>IFERROR(E5/D5, "")</f>
        <v>-2.3407892525046006E-2</v>
      </c>
      <c r="G5" s="19">
        <v>195394.8</v>
      </c>
      <c r="H5" s="19">
        <f t="shared" ref="H5:H7" si="1">IF(AND(ISNUMBER(C5),ISNUMBER(G5)), C5-G5, "")</f>
        <v>-34465.799999999988</v>
      </c>
      <c r="I5" s="18">
        <f t="shared" ref="I5:I7" si="2">IFERROR(H5/G5, "")</f>
        <v>-0.17639056924749272</v>
      </c>
      <c r="J5" s="55" t="s">
        <v>75</v>
      </c>
      <c r="K5" s="55" t="s">
        <v>76</v>
      </c>
    </row>
    <row r="6" spans="1:11" ht="66" customHeight="1">
      <c r="A6" s="27" t="str">
        <v>Nashua - Pennichuck Water  East</v>
      </c>
      <c r="B6" s="28" t="str">
        <v>NH</v>
      </c>
      <c r="C6" s="23">
        <v>170863.55</v>
      </c>
      <c r="D6" s="12">
        <v>177178.9</v>
      </c>
      <c r="E6" s="12">
        <f t="shared" si="0"/>
        <v>-6315.3500000000058</v>
      </c>
      <c r="F6" s="13">
        <f t="shared" ref="F6:F7" si="3">IFERROR(E6/D6, "")</f>
        <v>-3.5643916967539623E-2</v>
      </c>
      <c r="G6" s="14">
        <v>141456</v>
      </c>
      <c r="H6" s="14">
        <f t="shared" si="1"/>
        <v>29407.549999999988</v>
      </c>
      <c r="I6" s="15">
        <f t="shared" si="2"/>
        <v>0.20789185329713825</v>
      </c>
      <c r="J6" s="40" t="s">
        <v>77</v>
      </c>
      <c r="K6" s="40" t="s">
        <v>78</v>
      </c>
    </row>
    <row r="7" spans="1:11" ht="35.25" customHeight="1">
      <c r="A7" s="29" t="str">
        <v>Nashua - Pennichuck Water West</v>
      </c>
      <c r="B7" s="30" t="str">
        <v>NH</v>
      </c>
      <c r="C7" s="11">
        <v>130951.0125</v>
      </c>
      <c r="D7" s="17">
        <v>96904.03</v>
      </c>
      <c r="E7" s="17">
        <f t="shared" si="0"/>
        <v>34046.982499999998</v>
      </c>
      <c r="F7" s="18">
        <f t="shared" si="3"/>
        <v>0.35134743622117676</v>
      </c>
      <c r="G7" s="19">
        <v>0</v>
      </c>
      <c r="H7" s="19">
        <f t="shared" si="1"/>
        <v>130951.0125</v>
      </c>
      <c r="I7" s="18" t="str">
        <f t="shared" si="2"/>
        <v/>
      </c>
      <c r="J7" s="57" t="s">
        <v>79</v>
      </c>
      <c r="K7" s="58" t="s">
        <v>80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81</v>
      </c>
      <c r="E1" s="62"/>
      <c r="F1" s="62"/>
      <c r="G1" s="60" t="s">
        <v>82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651047.82908291207</v>
      </c>
      <c r="D2" s="5">
        <f>SUM(D4:D79)</f>
        <v>579729.57000000007</v>
      </c>
      <c r="E2" s="5">
        <f>C2-D2</f>
        <v>71318.259082912002</v>
      </c>
      <c r="F2" s="6">
        <f>IFERROR(E2/D2, 0)</f>
        <v>0.12301987473730552</v>
      </c>
      <c r="G2" s="5">
        <f>SUM(G4:G79)</f>
        <v>288487.2</v>
      </c>
      <c r="H2" s="7">
        <f>C2-G2</f>
        <v>362560.62908291206</v>
      </c>
      <c r="I2" s="6">
        <f>IFERROR(H2/G2, 0)</f>
        <v>1.2567650456689656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33.7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176229.31658291401</v>
      </c>
      <c r="D4" s="12">
        <v>154402.4</v>
      </c>
      <c r="E4" s="12">
        <f>IF(AND(ISNUMBER(C4),ISNUMBER(D4)), C4-D4, "")</f>
        <v>21826.916582914011</v>
      </c>
      <c r="F4" s="13">
        <f>IFERROR(E4/D4, "")</f>
        <v>0.14136384267934962</v>
      </c>
      <c r="G4" s="14">
        <v>0</v>
      </c>
      <c r="H4" s="14">
        <f>IF(AND(ISNUMBER(C4),ISNUMBER(G4)), C4-G4, "")</f>
        <v>176229.31658291401</v>
      </c>
      <c r="I4" s="15" t="str">
        <f>IFERROR(H4/G4, "")</f>
        <v/>
      </c>
      <c r="J4" s="40" t="s">
        <v>83</v>
      </c>
      <c r="K4" s="40" t="s">
        <v>84</v>
      </c>
    </row>
    <row r="5" spans="1:11" ht="15.6">
      <c r="A5" s="29" t="str">
        <v>Loudon - 7046 Pleasant Street</v>
      </c>
      <c r="B5" s="30" t="str">
        <v>NH</v>
      </c>
      <c r="C5" s="11">
        <v>180471.82499999899</v>
      </c>
      <c r="D5" s="17">
        <v>172286.1</v>
      </c>
      <c r="E5" s="17">
        <f t="shared" ref="E5:E7" si="0">IF(AND(ISNUMBER(C5),ISNUMBER(D5)), C5-D5, "")</f>
        <v>8185.7249999989872</v>
      </c>
      <c r="F5" s="18">
        <f>IFERROR(E5/D5, "")</f>
        <v>4.751239362896361E-2</v>
      </c>
      <c r="G5" s="19">
        <v>169759.2</v>
      </c>
      <c r="H5" s="19">
        <f t="shared" ref="H5:H7" si="1">IF(AND(ISNUMBER(C5),ISNUMBER(G5)), C5-G5, "")</f>
        <v>10712.624999998981</v>
      </c>
      <c r="I5" s="18">
        <f t="shared" ref="I5:I7" si="2">IFERROR(H5/G5, "")</f>
        <v>6.3104827308322495E-2</v>
      </c>
      <c r="J5" s="41"/>
      <c r="K5" s="41"/>
    </row>
    <row r="6" spans="1:11" ht="15.75">
      <c r="A6" s="27" t="str">
        <v>Nashua - Pennichuck Water  East</v>
      </c>
      <c r="B6" s="28" t="str">
        <v>NH</v>
      </c>
      <c r="C6" s="23">
        <v>165241.94999999899</v>
      </c>
      <c r="D6" s="12">
        <v>153636.9</v>
      </c>
      <c r="E6" s="12">
        <f t="shared" si="0"/>
        <v>11605.049999998999</v>
      </c>
      <c r="F6" s="13">
        <f t="shared" ref="F6:F7" si="3">IFERROR(E6/D6, "")</f>
        <v>7.5535564698317917E-2</v>
      </c>
      <c r="G6" s="14">
        <v>118728</v>
      </c>
      <c r="H6" s="14">
        <f t="shared" si="1"/>
        <v>46513.949999998993</v>
      </c>
      <c r="I6" s="15">
        <f t="shared" si="2"/>
        <v>0.39176900141499049</v>
      </c>
      <c r="J6" s="40" t="s">
        <v>85</v>
      </c>
      <c r="K6" s="40" t="s">
        <v>86</v>
      </c>
    </row>
    <row r="7" spans="1:11" ht="15.75">
      <c r="A7" s="29" t="str">
        <v>Nashua - Pennichuck Water West</v>
      </c>
      <c r="B7" s="30" t="str">
        <v>NH</v>
      </c>
      <c r="C7" s="11">
        <v>129104.7375</v>
      </c>
      <c r="D7" s="17">
        <v>99404.17</v>
      </c>
      <c r="E7" s="17">
        <f t="shared" si="0"/>
        <v>29700.567500000005</v>
      </c>
      <c r="F7" s="18">
        <f t="shared" si="3"/>
        <v>0.29878593121395214</v>
      </c>
      <c r="G7" s="19">
        <v>0</v>
      </c>
      <c r="H7" s="19">
        <f t="shared" si="1"/>
        <v>129104.7375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87</v>
      </c>
      <c r="E1" s="62"/>
      <c r="F1" s="62"/>
      <c r="G1" s="60" t="s">
        <v>88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89</v>
      </c>
      <c r="E1" s="62"/>
      <c r="F1" s="62"/>
      <c r="G1" s="60" t="s">
        <v>90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ALIGNED</v>
      </c>
      <c r="B1" s="61"/>
      <c r="C1" s="61"/>
      <c r="D1" s="62" t="s">
        <v>91</v>
      </c>
      <c r="E1" s="62"/>
      <c r="F1" s="62"/>
      <c r="G1" s="60" t="s">
        <v>92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A14" sqref="A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93</v>
      </c>
      <c r="B1" t="s">
        <v>94</v>
      </c>
    </row>
    <row r="3" spans="1:12" ht="13.15">
      <c r="A3" t="s">
        <v>95</v>
      </c>
      <c r="B3" t="s">
        <v>3</v>
      </c>
      <c r="C3" t="s">
        <v>4</v>
      </c>
      <c r="D3" t="s">
        <v>96</v>
      </c>
      <c r="E3" s="2" t="s">
        <v>97</v>
      </c>
    </row>
    <row r="4" spans="1:12" ht="14.45">
      <c r="A4" s="49" t="s">
        <v>98</v>
      </c>
      <c r="B4" t="s">
        <v>99</v>
      </c>
      <c r="C4" s="46" t="s">
        <v>100</v>
      </c>
      <c r="D4" s="45" t="s">
        <v>101</v>
      </c>
      <c r="E4" s="53" t="s">
        <v>102</v>
      </c>
      <c r="G4" s="3"/>
    </row>
    <row r="5" spans="1:12" ht="14.45">
      <c r="A5" s="49" t="s">
        <v>103</v>
      </c>
      <c r="B5" t="s">
        <v>104</v>
      </c>
      <c r="C5" s="46" t="s">
        <v>100</v>
      </c>
      <c r="D5" s="45" t="s">
        <v>101</v>
      </c>
      <c r="E5" s="53" t="s">
        <v>102</v>
      </c>
      <c r="G5" s="3"/>
    </row>
    <row r="6" spans="1:12" ht="14.45">
      <c r="A6" s="49" t="s">
        <v>105</v>
      </c>
      <c r="B6" t="s">
        <v>106</v>
      </c>
      <c r="C6" s="46" t="s">
        <v>100</v>
      </c>
      <c r="D6" s="45" t="s">
        <v>101</v>
      </c>
      <c r="E6" s="53" t="s">
        <v>102</v>
      </c>
      <c r="G6" s="3"/>
    </row>
    <row r="7" spans="1:12" ht="12.75" customHeight="1">
      <c r="A7" s="49" t="s">
        <v>107</v>
      </c>
      <c r="B7" t="s">
        <v>108</v>
      </c>
      <c r="C7" s="46" t="s">
        <v>100</v>
      </c>
      <c r="D7" s="45" t="s">
        <v>101</v>
      </c>
      <c r="E7" s="53" t="s">
        <v>102</v>
      </c>
    </row>
    <row r="8" spans="1:12" ht="12.75" customHeight="1">
      <c r="K8" s="43"/>
      <c r="L8" s="43"/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2024-10-18T13:48:13Z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