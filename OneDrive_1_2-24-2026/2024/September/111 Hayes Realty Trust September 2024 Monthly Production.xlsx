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E714F8DE-04F1-46F0-AC7C-05988B2F21D0}" xr6:coauthVersionLast="47" xr6:coauthVersionMax="47" xr10:uidLastSave="{E7E0CAC7-FA18-4C82-B8DF-16EEF4780C9E}"/>
  <bookViews>
    <workbookView xWindow="28680" yWindow="-120" windowWidth="29040" windowHeight="15720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<sst xmlns="http://schemas.openxmlformats.org/spreadsheetml/2006/main" count="246" uniqueCount="59">
  <si>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</si>
  <si>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</si>
  <si>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</si>
  <si>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</si>
  <si>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</si>
  <si>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</si>
  <si>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</si>
  <si>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</si>
  <si>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</si>
  <si>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</si>
  <si>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</si>
  <si>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</si>
  <si>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</si>
  <si>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</si>
  <si>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</si>
  <si>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</si>
  <si>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</si>
  <si>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</si>
  <si>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</si>
  <si>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</si>
  <si>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</si>
  <si>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</si>
  <si>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right unit was still offline.</t>
  </si>
  <si>
    <t>1. SR078701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</si>
  <si>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</si>
  <si>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</si>
  <si>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</si>
  <si>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</si>
  <si>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</si>
  <si>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</si>
  <si>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Inverter 1 primary unit is having tripping events from 04/08, later tripping events resolved and primary unit is producing as expected from 04/11.
2. Inverter 1 primary unit again having tripping events from 04/22</t>
  </si>
  <si>
    <t>1. SR083263
2. SR083744</t>
  </si>
  <si>
    <t>May Actual v. Expected</t>
  </si>
  <si>
    <t>May Actual v. Forecasted</t>
  </si>
  <si>
    <t>1.  Inverter 1 primary unit again having tripping events from 04/22, primary unit tripped offline at 16:55 on 05/06 and back online at 10:10AM on 05/09. The tripping events resolved and inverter 1 primary unit was producing as expected from 05/24</t>
  </si>
  <si>
    <t>1. 	SR083744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</si>
  <si>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</si>
  <si>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</si>
  <si>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</si>
  <si>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</si>
  <si>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</si>
  <si>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</si>
  <si>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</si>
  <si>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</si>
  <si>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</si>
  <si>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</si>
  <si>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</si>
  <si>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</si>
  <si>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</si>
  <si>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</si>
  <si>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</si>
  <si>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111 Hayes Memorial Drive</t>
  </si>
  <si>
    <t>Site DAS Name</t>
  </si>
  <si>
    <t>Update</t>
  </si>
  <si>
    <t>DAS</t>
  </si>
  <si>
    <t>MA: Marlborough - 111 Hayes Memorial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</si>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</sst>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275960.7538749997</v>
      </c>
      <c r="D2" s="5">
        <f>SUM(D4:D79)</f>
        <v>0</v>
      </c>
      <c r="E2" s="5">
        <f>C2-D2</f>
        <v>275960.7538749997</v>
      </c>
      <c r="F2" s="6">
        <f>IFERROR(E2/D2, 0)</f>
        <v>0</v>
      </c>
      <c r="G2" s="5">
        <f>SUM(G4:G79)</f>
        <v>242873.20600000001</v>
      </c>
      <c r="H2" s="7">
        <f>C2-G2</f>
        <v>33087.547874999698</v>
      </c>
      <c r="I2" s="6">
        <f>IFERROR(H2/G2, 0)</f>
        <v>0.13623383336488629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SUM('1st Qtr'!C4, '2nd Qtr'!C4, '3rd Qtr'!C4, '4th Qtr'!C4)</f>
        <v>275960.7538749997</v>
      </c>
      <c r="D4" s="12">
        <f>SUM('1st Qtr'!D4, '2nd Qtr'!D4, '3rd Qtr'!D4, '4th Qtr'!D4)</f>
        <v>0</v>
      </c>
      <c r="E4" s="12">
        <f>IF(AND(ISNUMBER(C4),ISNUMBER(D4)), C4-D4, "")</f>
        <v>275960.7538749997</v>
      </c>
      <c r="F4" s="13" t="str">
        <f>IFERROR(E4/D4, "")</f>
        <v/>
      </c>
      <c r="G4" s="14">
        <f>SUM('1st Qtr'!G4, '2nd Qtr'!G4, '3rd Qtr'!G4, '4th Qtr'!G4)</f>
        <v>242873.20600000001</v>
      </c>
      <c r="H4" s="14">
        <f>SUM('1st Qtr'!H4, '2nd Qtr'!H4, '3rd Qtr'!H4, '4th Qtr'!H4)</f>
        <v>35079.547874999691</v>
      </c>
      <c r="I4" s="15">
        <f>IFERROR(H4/G4, "")</f>
        <v>0.14443564381902091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50893.253874999995</v>
      </c>
      <c r="D2" s="5">
        <f>SUM(D4:D79)</f>
        <v>0</v>
      </c>
      <c r="E2" s="5">
        <f>C2-D2</f>
        <v>50893.253874999995</v>
      </c>
      <c r="F2" s="6">
        <f>IFERROR(E2/D2, 0)</f>
        <v>0</v>
      </c>
      <c r="G2" s="5">
        <f>SUM(G4:G79)</f>
        <v>68669.206000000006</v>
      </c>
      <c r="H2" s="7">
        <f>C2-G2</f>
        <v>-17775.952125000011</v>
      </c>
      <c r="I2" s="6">
        <f>IFERROR(H2/G2, 0)</f>
        <v>-0.2588635162754031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SUM(Jan!C4, Feb!C4, Mar!C4)</f>
        <v>50893.253874999995</v>
      </c>
      <c r="D4" s="12">
        <f>SUM(Jan!D4, Feb!D4, Mar!D4)</f>
        <v>0</v>
      </c>
      <c r="E4" s="12">
        <f>IF(AND(ISNUMBER(C4),ISNUMBER(D4)), C4-D4, "")</f>
        <v>50893.253874999995</v>
      </c>
      <c r="F4" s="13" t="str">
        <f>IFERROR(E4/D4, "")</f>
        <v/>
      </c>
      <c r="G4" s="14">
        <f>SUM(Jan!G4, Feb!G4, Mar!G4)</f>
        <v>68669.206000000006</v>
      </c>
      <c r="H4" s="14">
        <f>SUM(Jan!H4, Feb!H4, Mar!H4)</f>
        <v>-17775.952125000003</v>
      </c>
      <c r="I4" s="15">
        <f>IFERROR(H4/G4, "")</f>
        <v>-0.25886351627540299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114560</v>
      </c>
      <c r="D2" s="5">
        <f>SUM(D4:D79)</f>
        <v>0</v>
      </c>
      <c r="E2" s="5">
        <f>C2-D2</f>
        <v>114560</v>
      </c>
      <c r="F2" s="6">
        <f>IFERROR(E2/D2, 0)</f>
        <v>0</v>
      </c>
      <c r="G2" s="5">
        <f>SUM(G4:G79)</f>
        <v>86489</v>
      </c>
      <c r="H2" s="7">
        <f>C2-G2</f>
        <v>28071</v>
      </c>
      <c r="I2" s="6">
        <f>IFERROR(H2/G2, 0)</f>
        <v>0.32456150493126296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SUM(Apr!C4, May!C4, Jun!C4)</f>
        <v>114560</v>
      </c>
      <c r="D4" s="12">
        <f>SUM(Apr!D4, May!D4, Jun!D4)</f>
        <v>0</v>
      </c>
      <c r="E4" s="12">
        <f>IF(AND(ISNUMBER(C4),ISNUMBER(D4)), C4-D4, "")</f>
        <v>114560</v>
      </c>
      <c r="F4" s="13" t="str">
        <f>IFERROR(E4/D4, "")</f>
        <v/>
      </c>
      <c r="G4" s="14">
        <f>SUM(Apr!G4,May!G4,Jun!G4)</f>
        <v>86489</v>
      </c>
      <c r="H4" s="14">
        <f>SUM(Apr!H4, May!H4, Jun!H4)</f>
        <v>28071</v>
      </c>
      <c r="I4" s="15">
        <f>IFERROR(H4/G4, "")</f>
        <v>0.32456150493126296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110507.49999999969</v>
      </c>
      <c r="D2" s="5">
        <f>SUM(D4:D79)</f>
        <v>0</v>
      </c>
      <c r="E2" s="5">
        <f>C2-D2</f>
        <v>110507.49999999969</v>
      </c>
      <c r="F2" s="6">
        <f>IFERROR(E2/D2, 0)</f>
        <v>0</v>
      </c>
      <c r="G2" s="5">
        <f>SUM(G4:G79)</f>
        <v>87715</v>
      </c>
      <c r="H2" s="7">
        <f>C2-G2</f>
        <v>22792.499999999694</v>
      </c>
      <c r="I2" s="6">
        <f>IFERROR(H2/G2, 0)</f>
        <v>0.25984723251438974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SUM(Jul!C4, Aug!C4, Sep!C4)</f>
        <v>110507.49999999969</v>
      </c>
      <c r="D4" s="12">
        <f>SUM(Jul!D4, Aug!D4, Sep!D4)</f>
        <v>0</v>
      </c>
      <c r="E4" s="12">
        <f>IF(AND(ISNUMBER(C4),ISNUMBER(D4)), C4-D4, "")</f>
        <v>110507.49999999969</v>
      </c>
      <c r="F4" s="13" t="str">
        <f>IFERROR(E4/D4, "")</f>
        <v/>
      </c>
      <c r="G4" s="14">
        <f>SUM(Jun!G4,Jul!G4,Aug!G4)</f>
        <v>87715</v>
      </c>
      <c r="H4" s="14">
        <f>SUM(Jul!H4, Aug!H4, Sep!H4)</f>
        <v>24784.499999999694</v>
      </c>
      <c r="I4" s="15">
        <f>IFERROR(H4/G4, "")</f>
        <v>0.28255714530011622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0" sqref="G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5630.296875</v>
      </c>
      <c r="D2" s="5">
        <f>SUM(D4:D78)</f>
        <v>0</v>
      </c>
      <c r="E2" s="5">
        <f>C2-D2</f>
        <v>5630.296875</v>
      </c>
      <c r="F2" s="6">
        <f>IFERROR(E2/D2, 0)</f>
        <v>0</v>
      </c>
      <c r="G2" s="5">
        <f>SUM(G4:G78)</f>
        <v>18868</v>
      </c>
      <c r="H2" s="7">
        <f>C2-G2</f>
        <v>-13237.703125</v>
      </c>
      <c r="I2" s="6">
        <f>IFERROR(H2/G2, 0)</f>
        <v>-0.70159545924316302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Marlborough - 111 Hayes Memorial Dr</v>
      </c>
      <c r="B4" s="27" t="str" cm="1">
        <f t="array" ref="B4">Sites[State]</f>
        <v>MA</v>
      </c>
      <c r="C4" s="50">
        <v>5630.296875</v>
      </c>
      <c r="D4" s="51">
        <v>0</v>
      </c>
      <c r="E4" s="12">
        <f>IF(AND(ISNUMBER(C4),ISNUMBER(D4)), C4-D4, "")</f>
        <v>5630.296875</v>
      </c>
      <c r="F4" s="40" t="str">
        <f>IFERROR(E4/D4, "")</f>
        <v/>
      </c>
      <c r="G4" s="53">
        <v>18868</v>
      </c>
      <c r="H4" s="14">
        <f>IF(AND(ISNUMBER(C4),ISNUMBER(G4)), C4-G4, "")</f>
        <v>-13237.703125</v>
      </c>
      <c r="I4" s="15">
        <f>IFERROR(H4/G4, "")</f>
        <v>-0.70159545924316302</v>
      </c>
      <c r="J4" s="47" t="s">
        <v>22</v>
      </c>
      <c r="K4" s="47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H14" sqref="H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18485.599999999999</v>
      </c>
      <c r="D2" s="5">
        <f>SUM(D4:D79)</f>
        <v>0</v>
      </c>
      <c r="E2" s="5">
        <f>C2-D2</f>
        <v>18485.599999999999</v>
      </c>
      <c r="F2" s="6">
        <f>IFERROR(E2/D2, 0)</f>
        <v>0</v>
      </c>
      <c r="G2" s="5">
        <f>SUM(G4:G79)</f>
        <v>21680.400000000001</v>
      </c>
      <c r="H2" s="7">
        <f>C2-G2</f>
        <v>-3194.8000000000029</v>
      </c>
      <c r="I2" s="6">
        <f>IFERROR(H2/G2, 0)</f>
        <v>-0.14735890481725442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18485.599999999999</v>
      </c>
      <c r="D4" s="12">
        <v>0</v>
      </c>
      <c r="E4" s="12">
        <f>IF(AND(ISNUMBER(C4),ISNUMBER(D4)), C4-D4, "")</f>
        <v>18485.599999999999</v>
      </c>
      <c r="F4" s="13" t="str">
        <f>IFERROR(E4/D4, "")</f>
        <v/>
      </c>
      <c r="G4" s="14">
        <v>21680.400000000001</v>
      </c>
      <c r="H4" s="14">
        <f>IF(AND(ISNUMBER(C4),ISNUMBER(G4)), C4-G4, "")</f>
        <v>-3194.8000000000029</v>
      </c>
      <c r="I4" s="15">
        <f>IFERROR(H4/G4, "")</f>
        <v>-0.14735890481725442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26777.357</v>
      </c>
      <c r="D2" s="5">
        <f>SUM(D4:D79)</f>
        <v>0</v>
      </c>
      <c r="E2" s="5">
        <f>C2-D2</f>
        <v>26777.357</v>
      </c>
      <c r="F2" s="6">
        <f>IFERROR(E2/D2, 0)</f>
        <v>0</v>
      </c>
      <c r="G2" s="5">
        <f>SUM(G4:G79)</f>
        <v>28120.806</v>
      </c>
      <c r="H2" s="7">
        <f>C2-G2</f>
        <v>-1343.4490000000005</v>
      </c>
      <c r="I2" s="6">
        <f>IFERROR(H2/G2, 0)</f>
        <v>-4.7774199644206518E-2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26777.357</v>
      </c>
      <c r="D4" s="12">
        <v>0</v>
      </c>
      <c r="E4" s="12">
        <f>IF(AND(ISNUMBER(C4),ISNUMBER(D4)), C4-D4, "")</f>
        <v>26777.357</v>
      </c>
      <c r="F4" s="13" t="str">
        <f>IFERROR(E4/D4, "")</f>
        <v/>
      </c>
      <c r="G4" s="14">
        <v>28120.806</v>
      </c>
      <c r="H4" s="14">
        <f>IF(AND(ISNUMBER(C4),ISNUMBER(G4)), C4-G4, "")</f>
        <v>-1343.4490000000005</v>
      </c>
      <c r="I4" s="15">
        <f>IFERROR(H4/G4, "")</f>
        <v>-4.7774199644206518E-2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E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32728</v>
      </c>
      <c r="D2" s="5">
        <f>SUM(D4:D79)</f>
        <v>0</v>
      </c>
      <c r="E2" s="5">
        <f>C2-D2</f>
        <v>32728</v>
      </c>
      <c r="F2" s="6">
        <f>IFERROR(E2/D2, 0)</f>
        <v>0</v>
      </c>
      <c r="G2" s="5">
        <f>SUM(G4:G79)</f>
        <v>28354</v>
      </c>
      <c r="H2" s="7">
        <f>C2-G2</f>
        <v>4374</v>
      </c>
      <c r="I2" s="6">
        <f>IFERROR(H2/G2, 0)</f>
        <v>0.15426394864922058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69.75" customHeight="1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32728</v>
      </c>
      <c r="D4" s="12">
        <v>0</v>
      </c>
      <c r="E4" s="12">
        <f>IF(AND(ISNUMBER(C4),ISNUMBER(D4)), C4-D4, "")</f>
        <v>32728</v>
      </c>
      <c r="F4" s="13" t="str">
        <f>IFERROR(E4/D4, "")</f>
        <v/>
      </c>
      <c r="G4" s="14">
        <v>28354</v>
      </c>
      <c r="H4" s="14">
        <f>IF(AND(ISNUMBER(C4),ISNUMBER(G4)), C4-G4, "")</f>
        <v>4374</v>
      </c>
      <c r="I4" s="15">
        <f>IFERROR(H4/G4, "")</f>
        <v>0.15426394864922058</v>
      </c>
      <c r="J4" s="36" t="s">
        <v>30</v>
      </c>
      <c r="K4" s="36" t="s">
        <v>31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D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38010</v>
      </c>
      <c r="D2" s="5">
        <f>SUM(D4:D79)</f>
        <v>0</v>
      </c>
      <c r="E2" s="5">
        <f>C2-D2</f>
        <v>38010</v>
      </c>
      <c r="F2" s="6">
        <f>IFERROR(E2/D2, 0)</f>
        <v>0</v>
      </c>
      <c r="G2" s="5">
        <f>SUM(G4:G79)</f>
        <v>29884</v>
      </c>
      <c r="H2" s="7">
        <f>C2-G2</f>
        <v>8126</v>
      </c>
      <c r="I2" s="6">
        <f>IFERROR(H2/G2, 0)</f>
        <v>0.27191808325525363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38010</v>
      </c>
      <c r="D4" s="12">
        <v>0</v>
      </c>
      <c r="E4" s="12">
        <f>IF(AND(ISNUMBER(C4),ISNUMBER(D4)), C4-D4, "")</f>
        <v>38010</v>
      </c>
      <c r="F4" s="13" t="str">
        <f>IFERROR(E4/D4, "")</f>
        <v/>
      </c>
      <c r="G4" s="14">
        <v>29884</v>
      </c>
      <c r="H4" s="14">
        <f>IF(AND(ISNUMBER(C4),ISNUMBER(G4)), C4-G4, "")</f>
        <v>8126</v>
      </c>
      <c r="I4" s="15">
        <f>IFERROR(H4/G4, "")</f>
        <v>0.27191808325525363</v>
      </c>
      <c r="J4" s="36" t="s">
        <v>34</v>
      </c>
      <c r="K4" s="36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D4" sqref="D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43822</v>
      </c>
      <c r="D2" s="5">
        <f>SUM(D4:D79)</f>
        <v>0</v>
      </c>
      <c r="E2" s="5">
        <f>C2-D2</f>
        <v>43822</v>
      </c>
      <c r="F2" s="6">
        <f>IFERROR(E2/D2, 0)</f>
        <v>0</v>
      </c>
      <c r="G2" s="5">
        <f>SUM(G4:G79)</f>
        <v>28251</v>
      </c>
      <c r="H2" s="7">
        <f>C2-G2</f>
        <v>15571</v>
      </c>
      <c r="I2" s="6">
        <f>IFERROR(H2/G2, 0)</f>
        <v>0.55116633039538421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43822</v>
      </c>
      <c r="D4" s="12">
        <v>0</v>
      </c>
      <c r="E4" s="12">
        <f>IF(AND(ISNUMBER(C4),ISNUMBER(D4)), C4-D4, "")</f>
        <v>43822</v>
      </c>
      <c r="F4" s="13" t="str">
        <f>IFERROR(E4/D4, "")</f>
        <v/>
      </c>
      <c r="G4" s="14">
        <v>28251</v>
      </c>
      <c r="H4" s="14">
        <f>IF(AND(ISNUMBER(C4),ISNUMBER(G4)), C4-G4, "")</f>
        <v>15571</v>
      </c>
      <c r="I4" s="15">
        <f>IFERROR(H4/G4, "")</f>
        <v>0.55116633039538421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F11" sqref="F1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41356.776874999698</v>
      </c>
      <c r="D2" s="5">
        <f>SUM(D4:D79)</f>
        <v>0</v>
      </c>
      <c r="E2" s="5">
        <f>C2-D2</f>
        <v>41356.776874999698</v>
      </c>
      <c r="F2" s="6">
        <f>IFERROR(E2/D2, 0)</f>
        <v>0</v>
      </c>
      <c r="G2" s="5">
        <f>SUM(G4:G79)</f>
        <v>30055</v>
      </c>
      <c r="H2" s="7">
        <f>C2-G2</f>
        <v>11301.776874999698</v>
      </c>
      <c r="I2" s="6">
        <f>IFERROR(H2/G2, 0)</f>
        <v>0.37603649559140567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41356.776874999698</v>
      </c>
      <c r="D4" s="12">
        <v>0</v>
      </c>
      <c r="E4" s="12">
        <f>IF(AND(ISNUMBER(C4),ISNUMBER(D4)), C4-D4, "")</f>
        <v>41356.776874999698</v>
      </c>
      <c r="F4" s="13" t="str">
        <f>IFERROR(E4/D4, "")</f>
        <v/>
      </c>
      <c r="G4" s="14">
        <v>30055</v>
      </c>
      <c r="H4" s="14">
        <f>IF(AND(ISNUMBER(C4),ISNUMBER(G4)), C4-G4, "")</f>
        <v>11301.776874999698</v>
      </c>
      <c r="I4" s="15">
        <f>IFERROR(H4/G4, "")</f>
        <v>0.37603649559140567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G14" sqref="G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37197.223124999997</v>
      </c>
      <c r="D2" s="5">
        <f>SUM(D4:D79)</f>
        <v>0</v>
      </c>
      <c r="E2" s="5">
        <f>C2-D2</f>
        <v>37197.223124999997</v>
      </c>
      <c r="F2" s="6">
        <f>IFERROR(E2/D2, 0)</f>
        <v>0</v>
      </c>
      <c r="G2" s="5">
        <f>SUM(G4:G79)</f>
        <v>29409</v>
      </c>
      <c r="H2" s="7">
        <f>C2-G2</f>
        <v>7788.2231249999968</v>
      </c>
      <c r="I2" s="6">
        <f>IFERROR(H2/G2, 0)</f>
        <v>0.26482447975109652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37197.223124999997</v>
      </c>
      <c r="D4" s="12">
        <v>0</v>
      </c>
      <c r="E4" s="12">
        <f>IF(AND(ISNUMBER(C4),ISNUMBER(D4)), C4-D4, "")</f>
        <v>37197.223124999997</v>
      </c>
      <c r="F4" s="13" t="str">
        <f>IFERROR(E4/D4, "")</f>
        <v/>
      </c>
      <c r="G4" s="14">
        <v>29409</v>
      </c>
      <c r="H4" s="14">
        <f>IF(AND(ISNUMBER(C4),ISNUMBER(G4)), C4-G4, "")</f>
        <v>7788.2231249999968</v>
      </c>
      <c r="I4" s="15">
        <f>IFERROR(H4/G4, "")</f>
        <v>0.26482447975109652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31953.5</v>
      </c>
      <c r="D2" s="5">
        <f>SUM(D4:D79)</f>
        <v>0</v>
      </c>
      <c r="E2" s="5">
        <f>C2-D2</f>
        <v>31953.5</v>
      </c>
      <c r="F2" s="6">
        <f>IFERROR(E2/D2, 0)</f>
        <v>0</v>
      </c>
      <c r="G2" s="5">
        <f>SUM(G4:G79)</f>
        <v>26259</v>
      </c>
      <c r="H2" s="7">
        <f>C2-G2</f>
        <v>5694.5</v>
      </c>
      <c r="I2" s="6">
        <f>IFERROR(H2/G2, 0)</f>
        <v>0.21685898168247078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31953.5</v>
      </c>
      <c r="D4" s="12">
        <v>0</v>
      </c>
      <c r="E4" s="12">
        <f>IF(AND(ISNUMBER(C4),ISNUMBER(D4)), C4-D4, "")</f>
        <v>31953.5</v>
      </c>
      <c r="F4" s="13" t="str">
        <f>IFERROR(E4/D4, "")</f>
        <v/>
      </c>
      <c r="G4" s="14">
        <v>26259</v>
      </c>
      <c r="H4" s="14">
        <f>IF(AND(ISNUMBER(C4),ISNUMBER(G4)), C4-G4, "")</f>
        <v>5694.5</v>
      </c>
      <c r="I4" s="15">
        <f>IFERROR(H4/G4, "")</f>
        <v>0.21685898168247078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45" t="s">
        <v>51</v>
      </c>
      <c r="B4" t="s">
        <v>55</v>
      </c>
      <c r="C4" s="43" t="s">
        <v>56</v>
      </c>
      <c r="D4" s="42" t="s">
        <v>57</v>
      </c>
      <c r="E4" t="s">
        <v>58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2024-10-15T11:49:48Z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