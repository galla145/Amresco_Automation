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B38DF102-D5BB-4E3F-B181-0059B4E6074D}" xr6:coauthVersionLast="47" xr6:coauthVersionMax="47" xr10:uidLastSave="{89002158-4CFA-48B0-873C-7D252B6695AD}"/>
  <bookViews>
    <workbookView xWindow="28680" yWindow="-120" windowWidth="29040" windowHeight="15720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D2" i="3"/>
  <c r="F5" i="1"/>
  <c r="F5" i="4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<sst xmlns="http://schemas.openxmlformats.org/spreadsheetml/2006/main" count="253" uniqueCount="54">
  <si>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</si>
  <si>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</si>
  <si>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</si>
  <si>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</si>
  <si>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</si>
  <si>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</si>
  <si>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</si>
  <si>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</si>
  <si>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</si>
  <si>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</si>
  <si>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</si>
  <si>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</si>
  <si>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 xml:space="preserve"> 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</si>
  <si>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</si>
  <si>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</si>
  <si>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</si>
  <si>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</si>
  <si>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</si>
  <si>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</si>
  <si>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</si>
  <si>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</si>
  <si>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</si>
  <si>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</si>
  <si>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</si>
  <si>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</si>
  <si>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</si>
  <si>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</si>
  <si>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</si>
  <si>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</si>
  <si>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</si>
  <si>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</si>
  <si>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</si>
  <si>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</si>
  <si>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</si>
  <si>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</si>
  <si>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</si>
  <si>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</si>
  <si>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</si>
  <si>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</si>
  <si>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</si>
  <si>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</si>
  <si>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</si>
  <si>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</si>
  <si>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</si>
  <si>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</si>
  <si>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</si>
  <si>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Plymouth - Seacoast Realty</t>
  </si>
  <si>
    <t>Site DAS Name</t>
  </si>
  <si>
    <t>Update</t>
  </si>
  <si>
    <t>DAS</t>
  </si>
  <si>
    <t>CDF (77 Industrial Park, Plymouth)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</si>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</sst>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4" fontId="36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3" fontId="36" fillId="0" borderId="0" xfId="0" applyNumberFormat="1" applyFont="1" applyAlignment="1">
      <alignment horizontal="right" wrapText="1"/>
    </xf>
    <xf numFmtId="3" fontId="36" fillId="0" borderId="0" xfId="0" applyNumberFormat="1" applyFont="1" applyAlignment="1">
      <alignment horizontal="right"/>
    </xf>
    <xf numFmtId="3" fontId="30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430590</v>
      </c>
      <c r="D2" s="5">
        <f>SUM(D4:D79)</f>
        <v>432764.11000000004</v>
      </c>
      <c r="E2" s="5">
        <f>C2-D2</f>
        <v>-2174.1100000000442</v>
      </c>
      <c r="F2" s="6">
        <f>IFERROR(E2/D2, 0)</f>
        <v>-5.0237761167395423E-3</v>
      </c>
      <c r="G2" s="5">
        <f>SUM(G4:G79)</f>
        <v>0</v>
      </c>
      <c r="H2" s="7">
        <f>C2-G2</f>
        <v>430590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Plymouth - Seacoast Realty</v>
      </c>
      <c r="B4" s="9" t="str" cm="1">
        <f t="array" ref="B4">Sites[State]</f>
        <v>MA</v>
      </c>
      <c r="C4" s="23">
        <f>SUM('1st Qtr'!C4, '2nd Qtr'!C4, '3rd Qtr'!C4, '4th Qtr'!C4)</f>
        <v>430590</v>
      </c>
      <c r="D4" s="12">
        <f>SUM('1st Qtr'!D4, '2nd Qtr'!D4, '3rd Qtr'!D4, '4th Qtr'!D4)</f>
        <v>432764.11000000004</v>
      </c>
      <c r="E4" s="12">
        <f>IF(AND(ISNUMBER(C4),ISNUMBER(D4)), C4-D4, "")</f>
        <v>-2174.1100000000442</v>
      </c>
      <c r="F4" s="13">
        <f>IFERROR(E4/D4, "")</f>
        <v>-5.0237761167395423E-3</v>
      </c>
      <c r="G4" s="14">
        <f>SUM('1st Qtr'!G4, '2nd Qtr'!G4, '3rd Qtr'!G4, '4th Qtr'!G4)</f>
        <v>0</v>
      </c>
      <c r="H4" s="14">
        <f>SUM('1st Qtr'!H4, '2nd Qtr'!H4, '3rd Qtr'!H4, '4th Qtr'!H4)</f>
        <v>430590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F5" sqref="E5:F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85550</v>
      </c>
      <c r="D2" s="5">
        <f>SUM(D4:D79)</f>
        <v>93701</v>
      </c>
      <c r="E2" s="5">
        <f>C2-D2</f>
        <v>-8151</v>
      </c>
      <c r="F2" s="6">
        <f>IFERROR(E2/D2, 0)</f>
        <v>-8.6989466494487785E-2</v>
      </c>
      <c r="G2" s="5">
        <f>SUM(G4:G79)</f>
        <v>0</v>
      </c>
      <c r="H2" s="7">
        <f>C2-G2</f>
        <v>85550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SUM(Jan!C4, Feb!C4, Mar!C4)</f>
        <v>85550</v>
      </c>
      <c r="D4" s="12">
        <f>SUM(Jan!D4, Feb!D4, Mar!D4)</f>
        <v>93701</v>
      </c>
      <c r="E4" s="12">
        <f>IF(AND(ISNUMBER(C4),ISNUMBER(D4)), C4-D4, "")</f>
        <v>-8151</v>
      </c>
      <c r="F4" s="13">
        <f>IFERROR(E4/D4, "")</f>
        <v>-8.6989466494487785E-2</v>
      </c>
      <c r="G4" s="14">
        <f>SUM(Jan!G4, Feb!G4, Mar!G4)</f>
        <v>0</v>
      </c>
      <c r="H4" s="14">
        <f>SUM(Jan!H4, Feb!H4, Mar!H4)</f>
        <v>85550</v>
      </c>
      <c r="I4" s="15" t="str">
        <f>IFERROR(H4/G4, "")</f>
        <v/>
      </c>
    </row>
    <row r="5" spans="1:9" ht="14.45">
      <c r="A5" s="20"/>
      <c r="B5" s="10"/>
      <c r="C5" s="58" t="s">
        <v>12</v>
      </c>
      <c r="D5" s="58" t="s">
        <v>12</v>
      </c>
      <c r="E5" s="17" t="s">
        <v>12</v>
      </c>
      <c r="F5" s="18" t="str">
        <f>IFERROR(E5/D5, "")</f>
        <v/>
      </c>
      <c r="G5" s="20"/>
      <c r="H5" s="20"/>
      <c r="I5" s="20"/>
    </row>
    <row r="6" spans="1:9" ht="13.9">
      <c r="A6" s="20"/>
      <c r="B6" s="20"/>
      <c r="C6" s="20"/>
      <c r="D6" s="20"/>
      <c r="E6" s="58" t="s">
        <v>12</v>
      </c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13</v>
      </c>
      <c r="E1" s="62"/>
      <c r="F1" s="62"/>
      <c r="G1" s="60" t="s">
        <v>14</v>
      </c>
      <c r="H1" s="60"/>
      <c r="I1" s="60"/>
    </row>
    <row r="2" spans="1:9" ht="19.5" customHeight="1">
      <c r="A2" s="63" t="s">
        <v>2</v>
      </c>
      <c r="B2" s="63"/>
      <c r="C2" s="5">
        <f>SUM(C4:C79)</f>
        <v>178920</v>
      </c>
      <c r="D2" s="5">
        <f>SUM(D4:D79)</f>
        <v>173932.66</v>
      </c>
      <c r="E2" s="5">
        <f>C2-D2</f>
        <v>4987.3399999999965</v>
      </c>
      <c r="F2" s="6">
        <f>IFERROR(E2/D2, 0)</f>
        <v>2.8673970719472676E-2</v>
      </c>
      <c r="G2" s="5">
        <f>SUM(G4:G79)</f>
        <v>0</v>
      </c>
      <c r="H2" s="7">
        <f>C2-G2</f>
        <v>178920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SUM(Apr!C4, May!C4, Jun!C4)</f>
        <v>178920</v>
      </c>
      <c r="D4" s="12">
        <f>SUM(Apr!D4, May!D4, Jun!D4)</f>
        <v>173932.66</v>
      </c>
      <c r="E4" s="12">
        <f>IF(AND(ISNUMBER(C4),ISNUMBER(D4)), C4-D4, "")</f>
        <v>4987.3399999999965</v>
      </c>
      <c r="F4" s="13">
        <f>IFERROR(E4/D4, "")</f>
        <v>2.8673970719472676E-2</v>
      </c>
      <c r="G4" s="14">
        <f>SUM(Apr!G4,May!G4,Jun!G4,)</f>
        <v>0</v>
      </c>
      <c r="H4" s="14">
        <f>SUM(Apr!H4, May!H4, Jun!H4)</f>
        <v>178920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15</v>
      </c>
      <c r="E1" s="62"/>
      <c r="F1" s="62"/>
      <c r="G1" s="60" t="s">
        <v>16</v>
      </c>
      <c r="H1" s="60"/>
      <c r="I1" s="60"/>
    </row>
    <row r="2" spans="1:9" ht="19.5" customHeight="1">
      <c r="A2" s="63" t="s">
        <v>2</v>
      </c>
      <c r="B2" s="63"/>
      <c r="C2" s="5">
        <f>SUM(C4:C79)</f>
        <v>166120</v>
      </c>
      <c r="D2" s="5">
        <f>SUM(D4:D79)</f>
        <v>165130.45000000001</v>
      </c>
      <c r="E2" s="5">
        <f>C2-D2</f>
        <v>989.54999999998836</v>
      </c>
      <c r="F2" s="6">
        <f>IFERROR(E2/D2, 0)</f>
        <v>5.9925349927889638E-3</v>
      </c>
      <c r="G2" s="5">
        <f>SUM(G4:G79)</f>
        <v>0</v>
      </c>
      <c r="H2" s="7">
        <f>C2-G2</f>
        <v>166120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SUM(Jul!C4, Aug!C4, Sep!C4)</f>
        <v>166120</v>
      </c>
      <c r="D4" s="12">
        <f>SUM(Jul!D4, Aug!D4, Sep!D4)</f>
        <v>165130.45000000001</v>
      </c>
      <c r="E4" s="12">
        <f>IF(AND(ISNUMBER(C4),ISNUMBER(D4)), C4-D4, "")</f>
        <v>989.54999999998836</v>
      </c>
      <c r="F4" s="13">
        <f>IFERROR(E4/D4, "")</f>
        <v>5.9925349927889638E-3</v>
      </c>
      <c r="G4" s="14">
        <f>SUM(Jul!G4,Aug!G4,Sep!G4)</f>
        <v>0</v>
      </c>
      <c r="H4" s="14">
        <f>SUM(Jul!H4, Aug!H4, Sep!H4)</f>
        <v>166120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17</v>
      </c>
      <c r="E1" s="62"/>
      <c r="F1" s="62"/>
      <c r="G1" s="60" t="s">
        <v>18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19</v>
      </c>
      <c r="E1" s="62"/>
      <c r="F1" s="62"/>
      <c r="G1" s="60" t="s">
        <v>20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16990</v>
      </c>
      <c r="D2" s="5">
        <f>SUM(D4:D78)</f>
        <v>20739</v>
      </c>
      <c r="E2" s="5">
        <f>C2-D2</f>
        <v>-3749</v>
      </c>
      <c r="F2" s="6">
        <f>IFERROR(E2/D2, 0)</f>
        <v>-0.18077052895510873</v>
      </c>
      <c r="G2" s="5">
        <f>SUM(G4:G78)</f>
        <v>0</v>
      </c>
      <c r="H2" s="7">
        <f>C2-G2</f>
        <v>16990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6" t="str" cm="1">
        <f t="array" ref="A4">Sites[Site]</f>
        <v>MA: Plymouth - Seacoast Realty</v>
      </c>
      <c r="B4" s="27" t="str" cm="1">
        <f t="array" ref="B4">Sites[State]</f>
        <v>MA</v>
      </c>
      <c r="C4" s="50">
        <v>16990</v>
      </c>
      <c r="D4" s="50">
        <v>20739</v>
      </c>
      <c r="E4" s="12">
        <f>IF(AND(ISNUMBER(C4),ISNUMBER(D4)), C4-D4, "")</f>
        <v>-3749</v>
      </c>
      <c r="F4" s="40">
        <f>IFERROR(E4/D4, "")</f>
        <v>-0.18077052895510873</v>
      </c>
      <c r="G4" s="52">
        <v>0</v>
      </c>
      <c r="H4" s="14">
        <f>IF(AND(ISNUMBER(C4),ISNUMBER(G4)), C4-G4, "")</f>
        <v>16990</v>
      </c>
      <c r="I4" s="15" t="str">
        <f>IFERROR(H4/G4, "")</f>
        <v/>
      </c>
      <c r="J4" s="47"/>
      <c r="K4" s="47"/>
    </row>
    <row r="5" spans="1:11" ht="14.45">
      <c r="A5" s="20"/>
      <c r="B5" s="29"/>
      <c r="C5" s="55" t="s">
        <v>12</v>
      </c>
      <c r="D5" s="56" t="s">
        <v>12</v>
      </c>
      <c r="E5" s="56" t="s">
        <v>12</v>
      </c>
      <c r="F5" s="40" t="s">
        <v>12</v>
      </c>
      <c r="G5" s="53"/>
      <c r="H5" s="53"/>
      <c r="I5" s="54"/>
      <c r="J5" s="39"/>
      <c r="K5" s="20"/>
    </row>
    <row r="6" spans="1:11" ht="14.45">
      <c r="A6" s="20"/>
      <c r="B6" s="29"/>
      <c r="C6" s="20"/>
      <c r="D6" s="20"/>
      <c r="E6" s="58" t="s">
        <v>12</v>
      </c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6:F78">
    <cfRule type="cellIs" dxfId="26" priority="1" stopIfTrue="1" operator="lessThanOrEqual">
      <formula>-0.1</formula>
    </cfRule>
    <cfRule type="expression" dxfId="25" priority="2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I20" sqref="I2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23</v>
      </c>
      <c r="E1" s="62"/>
      <c r="F1" s="62"/>
      <c r="G1" s="60" t="s">
        <v>24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26890</v>
      </c>
      <c r="D2" s="5">
        <f>SUM(D4:D79)</f>
        <v>32296</v>
      </c>
      <c r="E2" s="5">
        <f>C2-D2</f>
        <v>-5406</v>
      </c>
      <c r="F2" s="6">
        <f>IFERROR(E2/D2, 0)</f>
        <v>-0.16738915035917762</v>
      </c>
      <c r="G2" s="5">
        <f>SUM(G4:G79)</f>
        <v>0</v>
      </c>
      <c r="H2" s="7">
        <f>C2-G2</f>
        <v>26890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6" t="str" cm="1">
        <f t="array" ref="A4">Sites[Site]</f>
        <v>MA: Plymouth - Seacoast Realty</v>
      </c>
      <c r="B4" s="27" t="str" cm="1">
        <f t="array" ref="B4">Sites[State]</f>
        <v>MA</v>
      </c>
      <c r="C4" s="23">
        <v>26890</v>
      </c>
      <c r="D4" s="12">
        <v>32296</v>
      </c>
      <c r="E4" s="12">
        <f>IF(AND(ISNUMBER(C4),ISNUMBER(D4)), C4-D4, "")</f>
        <v>-5406</v>
      </c>
      <c r="F4" s="13">
        <f>IFERROR(E4/D4, "")</f>
        <v>-0.16738915035917762</v>
      </c>
      <c r="G4" s="14">
        <v>0</v>
      </c>
      <c r="H4" s="14">
        <f>IF(AND(ISNUMBER(C4),ISNUMBER(G4)), C4-G4, "")</f>
        <v>26890</v>
      </c>
      <c r="I4" s="15" t="str">
        <f>IFERROR(H4/G4, "")</f>
        <v/>
      </c>
      <c r="J4" s="36"/>
      <c r="K4" s="36"/>
    </row>
    <row r="5" spans="1:11" ht="14.45">
      <c r="A5" s="20"/>
      <c r="B5" s="29"/>
      <c r="C5" s="57"/>
      <c r="D5" s="57"/>
      <c r="E5" s="57"/>
      <c r="F5" s="18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59" t="s">
        <v>12</v>
      </c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D4" activePane="bottomRight" state="frozen"/>
      <selection pane="bottomRight" activeCell="D5" sqref="D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25</v>
      </c>
      <c r="E1" s="62"/>
      <c r="F1" s="62"/>
      <c r="G1" s="60" t="s">
        <v>26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41670</v>
      </c>
      <c r="D2" s="5">
        <f>SUM(D4:D79)</f>
        <v>40666</v>
      </c>
      <c r="E2" s="5">
        <f>C2-D2</f>
        <v>1004</v>
      </c>
      <c r="F2" s="6">
        <f>IFERROR(E2/D2, 0)</f>
        <v>2.4688929326710275E-2</v>
      </c>
      <c r="G2" s="5">
        <f>SUM(G4:G79)</f>
        <v>0</v>
      </c>
      <c r="H2" s="7">
        <f>C2-G2</f>
        <v>41670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41670</v>
      </c>
      <c r="D4" s="12">
        <v>40666</v>
      </c>
      <c r="E4" s="12">
        <f>IF(AND(ISNUMBER(C4),ISNUMBER(D4)), C4-D4, "")</f>
        <v>1004</v>
      </c>
      <c r="F4" s="13">
        <f>IFERROR(E4/D4, "")</f>
        <v>2.4688929326710275E-2</v>
      </c>
      <c r="G4" s="14">
        <v>0</v>
      </c>
      <c r="H4" s="14">
        <f>IF(AND(ISNUMBER(C4),ISNUMBER(G4)), C4-G4, "")</f>
        <v>41670</v>
      </c>
      <c r="I4" s="15" t="str">
        <f>IFERROR(H4/G4, "")</f>
        <v/>
      </c>
      <c r="J4" s="36"/>
      <c r="K4" s="36"/>
    </row>
    <row r="5" spans="1:11" ht="14.45">
      <c r="A5" s="20"/>
      <c r="B5" s="29"/>
      <c r="C5" s="58" t="s">
        <v>12</v>
      </c>
      <c r="D5" s="58" t="s">
        <v>12</v>
      </c>
      <c r="E5" s="17" t="s">
        <v>12</v>
      </c>
      <c r="F5" s="18" t="str">
        <f>IFERROR(E5/D5, "")</f>
        <v/>
      </c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D4" activePane="bottomRight" state="frozen"/>
      <selection pane="bottomRight" activeCell="D11" sqref="D1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27</v>
      </c>
      <c r="E1" s="62"/>
      <c r="F1" s="62"/>
      <c r="G1" s="60" t="s">
        <v>28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52870</v>
      </c>
      <c r="D2" s="5">
        <f>SUM(D4:D79)</f>
        <v>51150.16</v>
      </c>
      <c r="E2" s="5">
        <f>C2-D2</f>
        <v>1719.8399999999965</v>
      </c>
      <c r="F2" s="6">
        <f>IFERROR(E2/D2, 0)</f>
        <v>3.3623355234861367E-2</v>
      </c>
      <c r="G2" s="5">
        <f>SUM(G4:G79)</f>
        <v>0</v>
      </c>
      <c r="H2" s="7">
        <f>C2-G2</f>
        <v>52870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52870</v>
      </c>
      <c r="D4" s="12">
        <v>51150.16</v>
      </c>
      <c r="E4" s="12">
        <f>IF(AND(ISNUMBER(C4),ISNUMBER(D4)), C4-D4, "")</f>
        <v>1719.8399999999965</v>
      </c>
      <c r="F4" s="13">
        <f>IFERROR(E4/D4, "")</f>
        <v>3.3623355234861367E-2</v>
      </c>
      <c r="G4" s="14">
        <v>0</v>
      </c>
      <c r="H4" s="14">
        <f>IF(AND(ISNUMBER(C4),ISNUMBER(G4)), C4-G4, "")</f>
        <v>52870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E10" sqref="E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29</v>
      </c>
      <c r="E1" s="62"/>
      <c r="F1" s="62"/>
      <c r="G1" s="60" t="s">
        <v>30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59590</v>
      </c>
      <c r="D2" s="5">
        <f>SUM(D4:D79)</f>
        <v>56920</v>
      </c>
      <c r="E2" s="5">
        <f>C2-D2</f>
        <v>2670</v>
      </c>
      <c r="F2" s="6">
        <f>IFERROR(E2/D2, 0)</f>
        <v>4.6907940969782153E-2</v>
      </c>
      <c r="G2" s="5">
        <f>SUM(G4:G79)</f>
        <v>0</v>
      </c>
      <c r="H2" s="7">
        <f>C2-G2</f>
        <v>59590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59590</v>
      </c>
      <c r="D4" s="12">
        <v>56920</v>
      </c>
      <c r="E4" s="12">
        <f>IF(AND(ISNUMBER(C4),ISNUMBER(D4)), C4-D4, "")</f>
        <v>2670</v>
      </c>
      <c r="F4" s="13">
        <f>IFERROR(E4/D4, "")</f>
        <v>4.6907940969782153E-2</v>
      </c>
      <c r="G4" s="14">
        <v>0</v>
      </c>
      <c r="H4" s="14">
        <f>IF(AND(ISNUMBER(C4),ISNUMBER(G4)), C4-G4, "")</f>
        <v>59590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E10" sqref="E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31</v>
      </c>
      <c r="E1" s="62"/>
      <c r="F1" s="62"/>
      <c r="G1" s="60" t="s">
        <v>32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66460</v>
      </c>
      <c r="D2" s="5">
        <f>SUM(D4:D79)</f>
        <v>65862.5</v>
      </c>
      <c r="E2" s="5">
        <f>C2-D2</f>
        <v>597.5</v>
      </c>
      <c r="F2" s="6">
        <f>IFERROR(E2/D2, 0)</f>
        <v>9.0719301575251463E-3</v>
      </c>
      <c r="G2" s="5">
        <f>SUM(G4:G79)</f>
        <v>0</v>
      </c>
      <c r="H2" s="7">
        <f>C2-G2</f>
        <v>66460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66460</v>
      </c>
      <c r="D4" s="12">
        <v>65862.5</v>
      </c>
      <c r="E4" s="12">
        <f>IF(AND(ISNUMBER(C4),ISNUMBER(D4)), C4-D4, "")</f>
        <v>597.5</v>
      </c>
      <c r="F4" s="13">
        <f>IFERROR(E4/D4, "")</f>
        <v>9.0719301575251463E-3</v>
      </c>
      <c r="G4" s="14">
        <v>0</v>
      </c>
      <c r="H4" s="14">
        <f>IF(AND(ISNUMBER(C4),ISNUMBER(G4)), C4-G4, "")</f>
        <v>66460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33</v>
      </c>
      <c r="E1" s="62"/>
      <c r="F1" s="62"/>
      <c r="G1" s="60" t="s">
        <v>34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61050</v>
      </c>
      <c r="D2" s="5">
        <f>SUM(D4:D79)</f>
        <v>60177.03</v>
      </c>
      <c r="E2" s="5">
        <f>C2-D2</f>
        <v>872.97000000000116</v>
      </c>
      <c r="F2" s="6">
        <f>IFERROR(E2/D2, 0)</f>
        <v>1.4506697987587643E-2</v>
      </c>
      <c r="G2" s="5">
        <f>SUM(G4:G79)</f>
        <v>0</v>
      </c>
      <c r="H2" s="7">
        <f>C2-G2</f>
        <v>61050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61050</v>
      </c>
      <c r="D4" s="12">
        <v>60177.03</v>
      </c>
      <c r="E4" s="12">
        <f>IF(AND(ISNUMBER(C4),ISNUMBER(D4)), C4-D4, "")</f>
        <v>872.97000000000116</v>
      </c>
      <c r="F4" s="13">
        <f>IFERROR(E4/D4, "")</f>
        <v>1.4506697987587643E-2</v>
      </c>
      <c r="G4" s="14">
        <v>0</v>
      </c>
      <c r="H4" s="14">
        <f>IF(AND(ISNUMBER(C4),ISNUMBER(G4)), C4-G4, "")</f>
        <v>61050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1" sqref="G1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35</v>
      </c>
      <c r="E1" s="62"/>
      <c r="F1" s="62"/>
      <c r="G1" s="60" t="s">
        <v>36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57830</v>
      </c>
      <c r="D2" s="5">
        <f>SUM(D4:D79)</f>
        <v>57676.75</v>
      </c>
      <c r="E2" s="5">
        <f>C2-D2</f>
        <v>153.25</v>
      </c>
      <c r="F2" s="6">
        <f>IFERROR(E2/D2, 0)</f>
        <v>2.6570498511098491E-3</v>
      </c>
      <c r="G2" s="5">
        <f>SUM(G4:G79)</f>
        <v>0</v>
      </c>
      <c r="H2" s="7">
        <f>C2-G2</f>
        <v>57830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57830</v>
      </c>
      <c r="D4" s="12">
        <v>57676.75</v>
      </c>
      <c r="E4" s="12">
        <f>IF(AND(ISNUMBER(C4),ISNUMBER(D4)), C4-D4, "")</f>
        <v>153.25</v>
      </c>
      <c r="F4" s="13">
        <f>IFERROR(E4/D4, "")</f>
        <v>2.6570498511098491E-3</v>
      </c>
      <c r="G4" s="14">
        <v>0</v>
      </c>
      <c r="H4" s="14">
        <f>IF(AND(ISNUMBER(C4),ISNUMBER(G4)), C4-G4, "")</f>
        <v>57830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F13" sqref="F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37</v>
      </c>
      <c r="E1" s="62"/>
      <c r="F1" s="62"/>
      <c r="G1" s="60" t="s">
        <v>38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47240</v>
      </c>
      <c r="D2" s="5">
        <f>SUM(D4:D79)</f>
        <v>47276.67</v>
      </c>
      <c r="E2" s="5">
        <f>C2-D2</f>
        <v>-36.669999999998254</v>
      </c>
      <c r="F2" s="6">
        <f>IFERROR(E2/D2, 0)</f>
        <v>-7.7564684653124371E-4</v>
      </c>
      <c r="G2" s="5">
        <f>SUM(G4:G79)</f>
        <v>0</v>
      </c>
      <c r="H2" s="7">
        <f>C2-G2</f>
        <v>47240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47240</v>
      </c>
      <c r="D4" s="12">
        <v>47276.67</v>
      </c>
      <c r="E4" s="12">
        <f>IF(AND(ISNUMBER(C4),ISNUMBER(D4)), C4-D4, "")</f>
        <v>-36.669999999998254</v>
      </c>
      <c r="F4" s="13">
        <f>IFERROR(E4/D4, "")</f>
        <v>-7.7564684653124371E-4</v>
      </c>
      <c r="G4" s="14">
        <v>0</v>
      </c>
      <c r="H4" s="14">
        <f>IF(AND(ISNUMBER(C4),ISNUMBER(G4)), C4-G4, "")</f>
        <v>47240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39</v>
      </c>
      <c r="E1" s="62"/>
      <c r="F1" s="62"/>
      <c r="G1" s="60" t="s">
        <v>40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43</v>
      </c>
      <c r="E1" s="62"/>
      <c r="F1" s="62"/>
      <c r="G1" s="60" t="s">
        <v>44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2" sqref="A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4.45">
      <c r="A4" s="45" t="s">
        <v>50</v>
      </c>
      <c r="B4" t="s">
        <v>46</v>
      </c>
      <c r="C4" s="43" t="s">
        <v>51</v>
      </c>
      <c r="D4" s="42" t="s">
        <v>52</v>
      </c>
      <c r="E4" t="s">
        <v>53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2024-12-26T08:45:12Z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