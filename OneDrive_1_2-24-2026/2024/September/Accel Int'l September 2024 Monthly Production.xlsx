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9" documentId="13_ncr:1_{433DE176-728E-4FC3-AB36-2D9DA7E6FDF0}" xr6:coauthVersionLast="47" xr6:coauthVersionMax="47" xr10:uidLastSave="{6A7C74B1-FDFE-47F4-972B-402D1FFF490B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<sst xmlns="http://schemas.openxmlformats.org/spreadsheetml/2006/main" count="252" uniqueCount="63">
  <si>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</si>
  <si>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</si>
  <si>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</si>
  <si>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</si>
  <si>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</si>
  <si>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</si>
  <si>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</si>
  <si>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</si>
  <si>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</si>
  <si>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</si>
  <si>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</si>
  <si>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</si>
  <si>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</si>
  <si>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</si>
  <si>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</si>
  <si>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</si>
  <si>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</si>
  <si>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</si>
  <si>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</si>
  <si>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</si>
  <si>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</si>
  <si>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</si>
  <si>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from 10/28 to till.
2. Inverter 14 is underperforming 10kW compared to its peers.</t>
  </si>
  <si>
    <t>1. SR077823
2. SR076525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</si>
  <si>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</si>
  <si>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</si>
  <si>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</si>
  <si>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</si>
  <si>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</si>
  <si>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</si>
  <si>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</si>
  <si>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</si>
  <si>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7 underperforming by 3kW since 5/2/24 and increased to 6kW from 05/24/24</t>
  </si>
  <si>
    <t>1. SR084518</t>
  </si>
  <si>
    <t>June Actual v. Expected</t>
  </si>
  <si>
    <t>June Actual v. Forecasted</t>
  </si>
  <si>
    <t>1.Inverter 13 was tripped offline at 12:15 on 06/05 and back online at 10:30 on 06/14.
2.Inverter 14 was offline from 06/08 throughout the month</t>
  </si>
  <si>
    <t>1.	SR085588
2.SR085759</t>
  </si>
  <si>
    <t>July Actual v. Expected</t>
  </si>
  <si>
    <t>July Actual v. Forecasted</t>
  </si>
  <si>
    <t>1. Inverter 14 was offline since 06/08.
2. Inverter 12 was offline from 07/02 throughout the month.</t>
  </si>
  <si>
    <t>1. SR085759.
2. SR087305.</t>
  </si>
  <si>
    <t>August Actual v. Expected</t>
  </si>
  <si>
    <t>August Actual v. Forecasted</t>
  </si>
  <si>
    <t>September Actual v. Expected</t>
  </si>
  <si>
    <t>September Actual v. Forecasted</t>
  </si>
  <si>
    <t>1. Inverter 12 was offline from 07/02 and back online at 11:45EDT on 09/06.
2. Inverter 15 tripped offline from 10:45 to 12 and from 12:45 to 14:45 on 09/06/2024.
3. Inverter 9 was offline from 09/23  throught out the month.
4.Inverter 14 was offline since 06/08.</t>
  </si>
  <si>
    <t>1. SR087305, SR089907.
2. SR090065.
3. SR091076.
4.SR085759.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</si>
  <si>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</si>
  <si>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</si>
  <si>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</si>
  <si>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</si>
  <si>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</si>
  <si>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</si>
  <si>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</si>
  <si>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Accel International</t>
  </si>
  <si>
    <t>Site DAS Name</t>
  </si>
  <si>
    <t>Update</t>
  </si>
  <si>
    <t>DAS</t>
  </si>
  <si>
    <t>CT: Meriden - Accel International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</si>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</sst>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5" fillId="46" borderId="1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I4" sqref="I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SUM(C4:C77)</f>
        <v>576589.83932908857</v>
      </c>
      <c r="D2" s="5">
        <f>SUM(D4:D77)</f>
        <v>0</v>
      </c>
      <c r="E2" s="5">
        <f>C2-D2</f>
        <v>576589.83932908857</v>
      </c>
      <c r="F2" s="6">
        <f>IFERROR(E2/D2, 0)</f>
        <v>0</v>
      </c>
      <c r="G2" s="5">
        <f>SUM(G4:G77)</f>
        <v>647074.09</v>
      </c>
      <c r="H2" s="7">
        <f>C2-G2</f>
        <v>-70484.250670911395</v>
      </c>
      <c r="I2" s="6">
        <f>IFERROR(H2/G2, 0)</f>
        <v>-0.10892763558329371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Meriden - Accel International</v>
      </c>
      <c r="B4" s="9" t="str" cm="1">
        <f t="array" ref="B4">Sites[State]</f>
        <v>CT</v>
      </c>
      <c r="C4" s="23">
        <f>SUM('1st Qtr'!C4, '2nd Qtr'!C4, '3rd Qtr'!C4, '4th Qtr'!C4)</f>
        <v>576589.83932908857</v>
      </c>
      <c r="D4" s="12">
        <f>SUM('1st Qtr'!D4, '2nd Qtr'!D4, '3rd Qtr'!D4, '4th Qtr'!D4)</f>
        <v>0</v>
      </c>
      <c r="E4" s="12">
        <f>IF(AND(ISNUMBER(C4),ISNUMBER(D4)), C4-D4, "")</f>
        <v>576589.83932908857</v>
      </c>
      <c r="F4" s="13" t="str">
        <f>IFERROR(E4/D4, "")</f>
        <v/>
      </c>
      <c r="G4" s="14">
        <f>SUM('1st Qtr'!G4, '2nd Qtr'!G4, '3rd Qtr'!G4, '4th Qtr'!G4)</f>
        <v>647074.09</v>
      </c>
      <c r="H4" s="14">
        <f>SUM('1st Qtr'!H4, '2nd Qtr'!H4, '3rd Qtr'!H4, '4th Qtr'!H4)</f>
        <v>-70484.25067091138</v>
      </c>
      <c r="I4" s="15">
        <f>IFERROR(H4/G4, "")</f>
        <v>-0.10892763558329369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zoomScale="90" zoomScaleNormal="90" workbookViewId="0">
      <pane xSplit="2" ySplit="3" topLeftCell="C4" activePane="bottomRight" state="frozen"/>
      <selection pane="bottomRight" activeCell="H4" sqref="H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SUM(C4:C77)</f>
        <v>141080.59972650901</v>
      </c>
      <c r="D2" s="5">
        <f>SUM(D4:D77)</f>
        <v>0</v>
      </c>
      <c r="E2" s="5">
        <f>C2-D2</f>
        <v>141080.59972650901</v>
      </c>
      <c r="F2" s="6">
        <f>IFERROR(E2/D2, 0)</f>
        <v>0</v>
      </c>
      <c r="G2" s="5">
        <f>SUM(G4:G77)</f>
        <v>142896.26</v>
      </c>
      <c r="H2" s="7">
        <f>C2-G2</f>
        <v>-1815.6602734909975</v>
      </c>
      <c r="I2" s="6">
        <f>IFERROR(H2/G2, 0)</f>
        <v>-1.270614271843782E-2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SUM(Jan!C4, Feb!C4, Mar!C4)</f>
        <v>141080.59972650901</v>
      </c>
      <c r="D4" s="12">
        <f>SUM(Jan!D4, Feb!D4, Mar!D4)</f>
        <v>0</v>
      </c>
      <c r="E4" s="12">
        <f>IF(AND(ISNUMBER(C4),ISNUMBER(D4)), C4-D4, "")</f>
        <v>141080.59972650901</v>
      </c>
      <c r="F4" s="13" t="str">
        <f>IFERROR(E4/D4, "")</f>
        <v/>
      </c>
      <c r="G4" s="14">
        <f>SUM(Jan!G4, Feb!G4, Mar!G4)</f>
        <v>142896.26</v>
      </c>
      <c r="H4" s="14">
        <f>SUM(Jan!H4, Feb!H4, Mar!H4)</f>
        <v>-1815.6602734909975</v>
      </c>
      <c r="I4" s="15">
        <f>IFERROR(H4/G4, "")</f>
        <v>-1.270614271843782E-2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SUM(C4:C77)</f>
        <v>231713.1801158562</v>
      </c>
      <c r="D2" s="5">
        <f>SUM(D4:D77)</f>
        <v>0</v>
      </c>
      <c r="E2" s="5">
        <f>C2-D2</f>
        <v>231713.1801158562</v>
      </c>
      <c r="F2" s="6">
        <f>IFERROR(E2/D2, 0)</f>
        <v>0</v>
      </c>
      <c r="G2" s="5">
        <f>SUM(G4:G77)</f>
        <v>262600.02</v>
      </c>
      <c r="H2" s="7">
        <f>C2-G2</f>
        <v>-30886.839884143817</v>
      </c>
      <c r="I2" s="6">
        <f>IFERROR(H2/G2, 0)</f>
        <v>-0.1176193356121748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SUM(Apr!C4, May!C4, Jun!C4)</f>
        <v>231713.1801158562</v>
      </c>
      <c r="D4" s="12">
        <f>SUM(Apr!D4, May!D4, Jun!D4)</f>
        <v>0</v>
      </c>
      <c r="E4" s="12">
        <f>IF(AND(ISNUMBER(C4),ISNUMBER(D4)), C4-D4, "")</f>
        <v>231713.1801158562</v>
      </c>
      <c r="F4" s="13" t="str">
        <f>IFERROR(E4/D4, "")</f>
        <v/>
      </c>
      <c r="G4" s="14">
        <f>SUM(Apr!G4,May!G4,Jun!G4)</f>
        <v>262600.02</v>
      </c>
      <c r="H4" s="14">
        <f>SUM(Apr!H4, May!H4, Jun!H4)</f>
        <v>-30886.839884143788</v>
      </c>
      <c r="I4" s="15">
        <f>IFERROR(H4/G4, "")</f>
        <v>-0.11761933561217469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G5" sqref="G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SUM(C4:C77)</f>
        <v>203796.05948672342</v>
      </c>
      <c r="D2" s="5">
        <f>SUM(D4:D77)</f>
        <v>0</v>
      </c>
      <c r="E2" s="5">
        <f>C2-D2</f>
        <v>203796.05948672342</v>
      </c>
      <c r="F2" s="6">
        <f>IFERROR(E2/D2, 0)</f>
        <v>0</v>
      </c>
      <c r="G2" s="5">
        <f>SUM(G4:G77)</f>
        <v>241577.80999999997</v>
      </c>
      <c r="H2" s="7">
        <f>C2-G2</f>
        <v>-37781.750513276551</v>
      </c>
      <c r="I2" s="6">
        <f>IFERROR(H2/G2, 0)</f>
        <v>-0.15639578201854118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SUM(Jul!C4, Aug!C4, Sep!C4)</f>
        <v>203796.05948672342</v>
      </c>
      <c r="D4" s="12">
        <f>SUM(Jul!D4, Aug!D4, Sep!D4)</f>
        <v>0</v>
      </c>
      <c r="E4" s="12">
        <f>IF(AND(ISNUMBER(C4),ISNUMBER(D4)), C4-D4, "")</f>
        <v>203796.05948672342</v>
      </c>
      <c r="F4" s="13" t="str">
        <f>IFERROR(E4/D4, "")</f>
        <v/>
      </c>
      <c r="G4" s="14">
        <f>SUM(Jul!G4,Aug!G4,Sep!G4)</f>
        <v>241577.80999999997</v>
      </c>
      <c r="H4" s="14">
        <f>SUM(Jul!H4, Aug!H4, Sep!H4)</f>
        <v>-37781.750513276595</v>
      </c>
      <c r="I4" s="15">
        <f>IFERROR(H4/G4, "")</f>
        <v>-0.15639578201854135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90" zoomScaleNormal="90" workbookViewId="0">
      <pane xSplit="2" ySplit="3" topLeftCell="D4" activePane="bottomRight" state="frozen"/>
      <selection pane="bottomRight" activeCell="J9" sqref="J9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SUM(C4:C76)</f>
        <v>19139.559694245501</v>
      </c>
      <c r="D2" s="5">
        <f>SUM(D4:D76)</f>
        <v>0</v>
      </c>
      <c r="E2" s="5">
        <f>C2-D2</f>
        <v>19139.559694245501</v>
      </c>
      <c r="F2" s="6">
        <f>IFERROR(E2/D2, 0)</f>
        <v>0</v>
      </c>
      <c r="G2" s="5">
        <f>SUM(G4:G76)</f>
        <v>34815</v>
      </c>
      <c r="H2" s="7">
        <f>C2-G2</f>
        <v>-15675.440305754499</v>
      </c>
      <c r="I2" s="6">
        <f>IFERROR(H2/G2, 0)</f>
        <v>-0.45024961383755563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12">
        <v>19139.559694245501</v>
      </c>
      <c r="D4" s="12">
        <v>0</v>
      </c>
      <c r="E4" s="12">
        <f>IF(AND(ISNUMBER(C4),ISNUMBER(D4)), C4-D4, "")</f>
        <v>19139.559694245501</v>
      </c>
      <c r="F4" s="39" t="str">
        <f>IFERROR(E4/D4, "")</f>
        <v/>
      </c>
      <c r="G4" s="14">
        <v>34815</v>
      </c>
      <c r="H4" s="14">
        <f>IF(AND(ISNUMBER(C4),ISNUMBER(G4)), C4-G4, "")</f>
        <v>-15675.440305754499</v>
      </c>
      <c r="I4" s="15">
        <f>IFERROR(H4/G4, "")</f>
        <v>-0.45024961383755563</v>
      </c>
      <c r="J4" s="46" t="s">
        <v>22</v>
      </c>
      <c r="K4" s="46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13" sqref="G13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50980.220082263499</v>
      </c>
      <c r="D2" s="5">
        <f>SUM(D4:D77)</f>
        <v>0</v>
      </c>
      <c r="E2" s="5">
        <f>C2-D2</f>
        <v>50980.220082263499</v>
      </c>
      <c r="F2" s="6">
        <f>IFERROR(E2/D2, 0)</f>
        <v>0</v>
      </c>
      <c r="G2" s="5">
        <f>SUM(G4:G77)</f>
        <v>44165.46</v>
      </c>
      <c r="H2" s="7">
        <f>C2-G2</f>
        <v>6814.7600822634995</v>
      </c>
      <c r="I2" s="6">
        <f>IFERROR(H2/G2, 0)</f>
        <v>0.15430067030352451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23">
        <v>50980.220082263499</v>
      </c>
      <c r="D4" s="12">
        <v>0</v>
      </c>
      <c r="E4" s="12">
        <f>IF(AND(ISNUMBER(C4),ISNUMBER(D4)), C4-D4, "")</f>
        <v>50980.220082263499</v>
      </c>
      <c r="F4" s="13" t="str">
        <f>IFERROR(E4/D4, "")</f>
        <v/>
      </c>
      <c r="G4" s="14">
        <v>44165.46</v>
      </c>
      <c r="H4" s="14">
        <f>IF(AND(ISNUMBER(C4),ISNUMBER(G4)), C4-G4, "")</f>
        <v>6814.7600822634995</v>
      </c>
      <c r="I4" s="15">
        <f>IFERROR(H4/G4, "")</f>
        <v>0.15430067030352451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H4" activePane="bottomRight" state="frozen"/>
      <selection pane="bottomRight" activeCell="I12" sqref="I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70960.819950000005</v>
      </c>
      <c r="D2" s="5">
        <f>SUM(D4:D77)</f>
        <v>0</v>
      </c>
      <c r="E2" s="5">
        <f>C2-D2</f>
        <v>70960.819950000005</v>
      </c>
      <c r="F2" s="6">
        <f>IFERROR(E2/D2, 0)</f>
        <v>0</v>
      </c>
      <c r="G2" s="5">
        <f>SUM(G4:G77)</f>
        <v>63915.8</v>
      </c>
      <c r="H2" s="7">
        <f>C2-G2</f>
        <v>7045.0199500000017</v>
      </c>
      <c r="I2" s="6">
        <f>IFERROR(H2/G2, 0)</f>
        <v>0.11022344944442534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70960.819950000005</v>
      </c>
      <c r="D4" s="12">
        <v>0</v>
      </c>
      <c r="E4" s="12">
        <f>IF(AND(ISNUMBER(C4),ISNUMBER(D4)), C4-D4, "")</f>
        <v>70960.819950000005</v>
      </c>
      <c r="F4" s="13" t="str">
        <f>IFERROR(E4/D4, "")</f>
        <v/>
      </c>
      <c r="G4" s="14">
        <v>63915.8</v>
      </c>
      <c r="H4" s="14">
        <f>IF(AND(ISNUMBER(C4),ISNUMBER(G4)), C4-G4, "")</f>
        <v>7045.0199500000017</v>
      </c>
      <c r="I4" s="15">
        <f>IFERROR(H4/G4, "")</f>
        <v>0.11022344944442534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J4" activePane="bottomRight" state="frozen"/>
      <selection pane="bottomRight" activeCell="J16" sqref="J16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70271.509686017394</v>
      </c>
      <c r="D2" s="5">
        <f>SUM(D4:D77)</f>
        <v>0</v>
      </c>
      <c r="E2" s="5">
        <f>C2-D2</f>
        <v>70271.509686017394</v>
      </c>
      <c r="F2" s="6">
        <f>IFERROR(E2/D2, 0)</f>
        <v>0</v>
      </c>
      <c r="G2" s="5">
        <f>SUM(G4:G77)</f>
        <v>78936.59</v>
      </c>
      <c r="H2" s="7">
        <f>C2-G2</f>
        <v>-8665.0803139826021</v>
      </c>
      <c r="I2" s="6">
        <f>IFERROR(H2/G2, 0)</f>
        <v>-0.10977267087395848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70271.509686017394</v>
      </c>
      <c r="D4" s="12">
        <v>0</v>
      </c>
      <c r="E4" s="12">
        <f>IF(AND(ISNUMBER(C4),ISNUMBER(D4)), C4-D4, "")</f>
        <v>70271.509686017394</v>
      </c>
      <c r="F4" s="13" t="str">
        <f>IFERROR(E4/D4, "")</f>
        <v/>
      </c>
      <c r="G4" s="14">
        <v>78936.59</v>
      </c>
      <c r="H4" s="14">
        <f>IF(AND(ISNUMBER(C4),ISNUMBER(G4)), C4-G4, "")</f>
        <v>-8665.0803139826021</v>
      </c>
      <c r="I4" s="15">
        <f>IFERROR(H4/G4, "")</f>
        <v>-0.10977267087395848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J4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81286.4804277066</v>
      </c>
      <c r="D2" s="5">
        <f>SUM(D4:D77)</f>
        <v>0</v>
      </c>
      <c r="E2" s="5">
        <f>C2-D2</f>
        <v>81286.4804277066</v>
      </c>
      <c r="F2" s="6">
        <f>IFERROR(E2/D2, 0)</f>
        <v>0</v>
      </c>
      <c r="G2" s="5">
        <f>SUM(G4:G77)</f>
        <v>88787.03</v>
      </c>
      <c r="H2" s="7">
        <f>C2-G2</f>
        <v>-7500.5495722933993</v>
      </c>
      <c r="I2" s="6">
        <f>IFERROR(H2/G2, 0)</f>
        <v>-8.44779870696587E-2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81286.4804277066</v>
      </c>
      <c r="D4" s="12">
        <v>0</v>
      </c>
      <c r="E4" s="12">
        <f>IF(AND(ISNUMBER(C4),ISNUMBER(D4)), C4-D4, "")</f>
        <v>81286.4804277066</v>
      </c>
      <c r="F4" s="13" t="str">
        <f>IFERROR(E4/D4, "")</f>
        <v/>
      </c>
      <c r="G4" s="14">
        <v>88787.03</v>
      </c>
      <c r="H4" s="14">
        <f>IF(AND(ISNUMBER(C4),ISNUMBER(G4)), C4-G4, "")</f>
        <v>-7500.5495722933993</v>
      </c>
      <c r="I4" s="15">
        <f>IFERROR(H4/G4, "")</f>
        <v>-8.44779870696587E-2</v>
      </c>
      <c r="J4" s="37" t="s">
        <v>32</v>
      </c>
      <c r="K4" s="37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J6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80155.190002132207</v>
      </c>
      <c r="D2" s="5">
        <f>SUM(D4:D77)</f>
        <v>0</v>
      </c>
      <c r="E2" s="5">
        <f>C2-D2</f>
        <v>80155.190002132207</v>
      </c>
      <c r="F2" s="6">
        <f>IFERROR(E2/D2, 0)</f>
        <v>0</v>
      </c>
      <c r="G2" s="5">
        <f>SUM(G4:G77)</f>
        <v>94876.4</v>
      </c>
      <c r="H2" s="7">
        <f>C2-G2</f>
        <v>-14721.209997867787</v>
      </c>
      <c r="I2" s="6">
        <f>IFERROR(H2/G2, 0)</f>
        <v>-0.15516197914199725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80155.190002132207</v>
      </c>
      <c r="D4" s="12">
        <v>0</v>
      </c>
      <c r="E4" s="12">
        <f>IF(AND(ISNUMBER(C4),ISNUMBER(D4)), C4-D4, "")</f>
        <v>80155.190002132207</v>
      </c>
      <c r="F4" s="13" t="str">
        <f>IFERROR(E4/D4, "")</f>
        <v/>
      </c>
      <c r="G4" s="14">
        <v>94876.4</v>
      </c>
      <c r="H4" s="14">
        <f>IF(AND(ISNUMBER(C4),ISNUMBER(G4)), C4-G4, "")</f>
        <v>-14721.209997867787</v>
      </c>
      <c r="I4" s="15">
        <f>IFERROR(H4/G4, "")</f>
        <v>-0.15516197914199725</v>
      </c>
      <c r="J4" s="37" t="s">
        <v>36</v>
      </c>
      <c r="K4" s="37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K4" sqref="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76379.089710730099</v>
      </c>
      <c r="D2" s="5">
        <f>SUM(D4:D77)</f>
        <v>0</v>
      </c>
      <c r="E2" s="5">
        <f>C2-D2</f>
        <v>76379.089710730099</v>
      </c>
      <c r="F2" s="6">
        <f>IFERROR(E2/D2, 0)</f>
        <v>0</v>
      </c>
      <c r="G2" s="5">
        <f>SUM(G4:G77)</f>
        <v>93041.95</v>
      </c>
      <c r="H2" s="7">
        <f>C2-G2</f>
        <v>-16662.860289269898</v>
      </c>
      <c r="I2" s="6">
        <f>IFERROR(H2/G2, 0)</f>
        <v>-0.17908975778420269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76379.089710730099</v>
      </c>
      <c r="D4" s="12">
        <v>0</v>
      </c>
      <c r="E4" s="12">
        <f>IF(AND(ISNUMBER(C4),ISNUMBER(D4)), C4-D4, "")</f>
        <v>76379.089710730099</v>
      </c>
      <c r="F4" s="13" t="str">
        <f>IFERROR(E4/D4, "")</f>
        <v/>
      </c>
      <c r="G4" s="14">
        <v>93041.95</v>
      </c>
      <c r="H4" s="14">
        <f>IF(AND(ISNUMBER(C4),ISNUMBER(G4)), C4-G4, "")</f>
        <v>-16662.860289269898</v>
      </c>
      <c r="I4" s="15">
        <f>IFERROR(H4/G4, "")</f>
        <v>-0.17908975778420269</v>
      </c>
      <c r="J4" s="37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K4" sqref="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68623.220407788598</v>
      </c>
      <c r="D2" s="5">
        <f>SUM(D4:D77)</f>
        <v>0</v>
      </c>
      <c r="E2" s="5">
        <f>C2-D2</f>
        <v>68623.220407788598</v>
      </c>
      <c r="F2" s="6">
        <f>IFERROR(E2/D2, 0)</f>
        <v>0</v>
      </c>
      <c r="G2" s="5">
        <f>SUM(G4:G77)</f>
        <v>83435.839999999997</v>
      </c>
      <c r="H2" s="7">
        <f>C2-G2</f>
        <v>-14812.619592211398</v>
      </c>
      <c r="I2" s="6">
        <f>IFERROR(H2/G2, 0)</f>
        <v>-0.17753305524593987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68623.220407788598</v>
      </c>
      <c r="D4" s="12">
        <v>0</v>
      </c>
      <c r="E4" s="12">
        <f>IF(AND(ISNUMBER(C4),ISNUMBER(D4)), C4-D4, "")</f>
        <v>68623.220407788598</v>
      </c>
      <c r="F4" s="13" t="str">
        <f>IFERROR(E4/D4, "")</f>
        <v/>
      </c>
      <c r="G4" s="14">
        <v>83435.839999999997</v>
      </c>
      <c r="H4" s="14">
        <f>IF(AND(ISNUMBER(C4),ISNUMBER(G4)), C4-G4, "")</f>
        <v>-14812.619592211398</v>
      </c>
      <c r="I4" s="15">
        <f>IFERROR(H4/G4, "")</f>
        <v>-0.17753305524593987</v>
      </c>
      <c r="J4" s="37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K6" sqref="K6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58793.749368204699</v>
      </c>
      <c r="D2" s="5">
        <f>SUM(D4:D77)</f>
        <v>0</v>
      </c>
      <c r="E2" s="5">
        <f>C2-D2</f>
        <v>58793.749368204699</v>
      </c>
      <c r="F2" s="6">
        <f>IFERROR(E2/D2, 0)</f>
        <v>0</v>
      </c>
      <c r="G2" s="5">
        <f>SUM(G4:G77)</f>
        <v>65100.02</v>
      </c>
      <c r="H2" s="7">
        <f>C2-G2</f>
        <v>-6306.270631795298</v>
      </c>
      <c r="I2" s="6">
        <f>IFERROR(H2/G2, 0)</f>
        <v>-9.6870486856921068E-2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58793.749368204699</v>
      </c>
      <c r="D4" s="12">
        <v>0</v>
      </c>
      <c r="E4" s="12">
        <f>IF(AND(ISNUMBER(C4),ISNUMBER(D4)), C4-D4, "")</f>
        <v>58793.749368204699</v>
      </c>
      <c r="F4" s="13" t="str">
        <f>IFERROR(E4/D4, "")</f>
        <v/>
      </c>
      <c r="G4" s="14">
        <v>65100.02</v>
      </c>
      <c r="H4" s="14">
        <f>IF(AND(ISNUMBER(C4),ISNUMBER(G4)), C4-G4, "")</f>
        <v>-6306.270631795298</v>
      </c>
      <c r="I4" s="15">
        <f>IFERROR(H4/G4, "")</f>
        <v>-9.6870486856921068E-2</v>
      </c>
      <c r="J4" s="37" t="s">
        <v>46</v>
      </c>
      <c r="K4" s="37" t="s">
        <v>47</v>
      </c>
    </row>
    <row r="5" spans="1:11" ht="1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48</v>
      </c>
      <c r="E1" s="49"/>
      <c r="F1" s="49"/>
      <c r="G1" s="47" t="s">
        <v>49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50</v>
      </c>
      <c r="E1" s="49"/>
      <c r="F1" s="49"/>
      <c r="G1" s="47" t="s">
        <v>51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52</v>
      </c>
      <c r="E1" s="49"/>
      <c r="F1" s="49"/>
      <c r="G1" s="47" t="s">
        <v>53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4" sqref="B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4" t="s">
        <v>55</v>
      </c>
      <c r="B4" t="s">
        <v>59</v>
      </c>
      <c r="C4" s="42" t="s">
        <v>60</v>
      </c>
      <c r="D4" s="41" t="s">
        <v>61</v>
      </c>
      <c r="E4" t="s">
        <v>62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