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16132391-383C-4AB4-A745-8BBC2851F8C9}" xr6:coauthVersionLast="47" xr6:coauthVersionMax="47" xr10:uidLastSave="{59248DB9-579F-4AF7-9E63-0264D31A51A7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H5" i="33"/>
  <c r="I5" i="33" s="1"/>
  <c r="E5" i="33"/>
  <c r="F5" i="33" s="1"/>
  <c r="H5" i="32"/>
  <c r="I5" i="32" s="1"/>
  <c r="E5" i="32"/>
  <c r="F5" i="32" s="1"/>
  <c r="H5" i="31"/>
  <c r="I5" i="31" s="1"/>
  <c r="E5" i="31"/>
  <c r="F5" i="31" s="1"/>
  <c r="H5" i="27"/>
  <c r="I5" i="27" s="1"/>
  <c r="E5" i="27"/>
  <c r="F5" i="27" s="1"/>
  <c r="H5" i="26"/>
  <c r="I5" i="26" s="1"/>
  <c r="E5" i="26"/>
  <c r="F5" i="26" s="1"/>
  <c r="H5" i="19"/>
  <c r="I5" i="19" s="1"/>
  <c r="E5" i="19"/>
  <c r="F5" i="19" s="1"/>
  <c r="H5" i="20"/>
  <c r="I5" i="20" s="1"/>
  <c r="E5" i="20"/>
  <c r="F5" i="20" s="1"/>
  <c r="H5" i="21"/>
  <c r="I5" i="21" s="1"/>
  <c r="E5" i="21"/>
  <c r="F5" i="21" s="1"/>
  <c r="H5" i="4"/>
  <c r="I5" i="4" s="1"/>
  <c r="E5" i="4"/>
  <c r="F5" i="4" s="1"/>
  <c r="E5" i="3"/>
  <c r="F5" i="3" s="1"/>
  <c r="H5" i="3"/>
  <c r="I5" i="3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G2" i="34"/>
  <c r="A1" i="34" a="1"/>
  <c r="A1" i="34" s="1"/>
  <c r="D4" i="30"/>
  <c r="D2" i="30" s="1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I4" i="33"/>
  <c r="H4" i="33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30" l="1"/>
  <c r="F4" i="30" s="1"/>
  <c r="D4" i="34"/>
  <c r="D2" i="34" s="1"/>
  <c r="E4" i="18"/>
  <c r="F4" i="18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<sst xmlns="http://schemas.openxmlformats.org/spreadsheetml/2006/main" count="239" uniqueCount="51">
  <si>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</si>
  <si>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</si>
  <si>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</si>
  <si>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</si>
  <si>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</si>
  <si>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</si>
  <si>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</si>
  <si>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</si>
  <si>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</si>
  <si>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</si>
  <si>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</si>
  <si>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</si>
  <si>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</si>
  <si>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</si>
  <si>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</si>
  <si>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</si>
  <si>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</si>
  <si>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</si>
  <si>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</si>
  <si>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</si>
  <si>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</si>
  <si>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</si>
  <si>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</si>
  <si>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</si>
  <si>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</si>
  <si>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</si>
  <si>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</si>
  <si>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</si>
  <si>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</si>
  <si>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</si>
  <si>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</si>
  <si>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</si>
  <si>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</si>
  <si>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</si>
  <si>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</si>
  <si>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</si>
  <si>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</si>
  <si>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</si>
  <si>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</si>
  <si>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</si>
  <si>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</si>
  <si>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</si>
  <si>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</si>
  <si>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</si>
  <si>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</si>
  <si>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Hubbardston Solar</t>
  </si>
  <si>
    <t>Site DAS Name</t>
  </si>
  <si>
    <t>Update</t>
  </si>
  <si>
    <t>DAS</t>
  </si>
  <si>
    <t>MA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</si>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</sst>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9"/>
  <sheetViews>
    <sheetView workbookViewId="0">
      <pane xSplit="2" ySplit="3" topLeftCell="C4" activePane="bottomRight" state="frozen"/>
      <selection pane="bottomRight" activeCell="I8" sqref="I8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0</v>
      </c>
      <c r="E1" s="44"/>
      <c r="F1" s="44"/>
      <c r="G1" s="42" t="s">
        <v>1</v>
      </c>
      <c r="H1" s="42"/>
      <c r="I1" s="42"/>
    </row>
    <row r="2" spans="1:9" ht="19.5" customHeight="1">
      <c r="A2" s="45" t="s">
        <v>2</v>
      </c>
      <c r="B2" s="45"/>
      <c r="C2" s="6">
        <f>SUM(C4:C87)</f>
        <v>2360227</v>
      </c>
      <c r="D2" s="6">
        <f>SUM(D4:D87)</f>
        <v>0</v>
      </c>
      <c r="E2" s="6">
        <f>C2-D2</f>
        <v>2360227</v>
      </c>
      <c r="F2" s="7">
        <f>IFERROR(E2/D2, 0)</f>
        <v>0</v>
      </c>
      <c r="G2" s="6">
        <f>SUM(G4:G87)</f>
        <v>0</v>
      </c>
      <c r="H2" s="8">
        <f>C2-G2</f>
        <v>2360227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SUM('1st Qtr'!C4, '2nd Qtr'!C4, '3rd Qtr'!C4, '4th Qtr'!C4)</f>
        <v>2360227</v>
      </c>
      <c r="D4" s="13">
        <f>SUM('1st Qtr'!D4, '2nd Qtr'!D4, '3rd Qtr'!D4, '4th Qtr'!D4)</f>
        <v>0</v>
      </c>
      <c r="E4" s="13">
        <f>IF(AND(ISNUMBER(C4),ISNUMBER(D4)), C4-D4, "")</f>
        <v>2360227</v>
      </c>
      <c r="F4" s="14" t="str">
        <f>IFERROR(E4/D4, "")</f>
        <v/>
      </c>
      <c r="G4" s="15">
        <v>0</v>
      </c>
      <c r="H4" s="15">
        <f>SUM('1st Qtr'!H4, '2nd Qtr'!H4, '3rd Qtr'!H4, '4th Qtr'!H4)</f>
        <v>2086813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7 I4:I87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9"/>
  <sheetViews>
    <sheetView workbookViewId="0">
      <pane xSplit="2" ySplit="3" topLeftCell="C4" activePane="bottomRight" state="frozen"/>
      <selection pane="bottomRight" activeCell="H37" sqref="H3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10</v>
      </c>
      <c r="E1" s="44"/>
      <c r="F1" s="44"/>
      <c r="G1" s="42" t="s">
        <v>11</v>
      </c>
      <c r="H1" s="42"/>
      <c r="I1" s="42"/>
    </row>
    <row r="2" spans="1:9" ht="19.5" customHeight="1">
      <c r="A2" s="45" t="s">
        <v>2</v>
      </c>
      <c r="B2" s="45"/>
      <c r="C2" s="6">
        <f>SUM(C4:C87)</f>
        <v>551683</v>
      </c>
      <c r="D2" s="6">
        <f>SUM(D4:D87)</f>
        <v>0</v>
      </c>
      <c r="E2" s="6">
        <f>C2-D2</f>
        <v>551683</v>
      </c>
      <c r="F2" s="7">
        <f>IFERROR(E2/D2, 0)</f>
        <v>0</v>
      </c>
      <c r="G2" s="6">
        <f>SUM(G4:G87)</f>
        <v>0</v>
      </c>
      <c r="H2" s="8">
        <f>C2-G2</f>
        <v>551683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SUM(Jan!C4, Feb!C4, Mar!C4)</f>
        <v>551683</v>
      </c>
      <c r="D4" s="13">
        <f>SUM(Jan!D4, Feb!D4, Mar!D4)</f>
        <v>0</v>
      </c>
      <c r="E4" s="13">
        <f>IF(AND(ISNUMBER(C4),ISNUMBER(D4)), C4-D4, "")</f>
        <v>551683</v>
      </c>
      <c r="F4" s="14" t="str">
        <f>IFERROR(E4/D4, "")</f>
        <v/>
      </c>
      <c r="G4" s="15">
        <f>SUM(Jan!G4, Feb!G4, Mar!G4)</f>
        <v>0</v>
      </c>
      <c r="H4" s="15">
        <f>SUM(Jan!H4, Feb!H4, Mar!H4)</f>
        <v>551683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7 I4:I87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9"/>
  <sheetViews>
    <sheetView workbookViewId="0">
      <pane xSplit="2" ySplit="3" topLeftCell="C4" activePane="bottomRight" state="frozen"/>
      <selection pane="bottomRight" activeCell="I4" sqref="I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12</v>
      </c>
      <c r="E1" s="44"/>
      <c r="F1" s="44"/>
      <c r="G1" s="42" t="s">
        <v>13</v>
      </c>
      <c r="H1" s="42"/>
      <c r="I1" s="42"/>
    </row>
    <row r="2" spans="1:9" ht="19.5" customHeight="1">
      <c r="A2" s="45" t="s">
        <v>2</v>
      </c>
      <c r="B2" s="45"/>
      <c r="C2" s="6">
        <f>SUM(C4:C87)</f>
        <v>952659</v>
      </c>
      <c r="D2" s="6">
        <f>SUM(D4:D87)</f>
        <v>0</v>
      </c>
      <c r="E2" s="6">
        <f>C2-D2</f>
        <v>952659</v>
      </c>
      <c r="F2" s="7">
        <f>IFERROR(E2/D2, 0)</f>
        <v>0</v>
      </c>
      <c r="G2" s="6">
        <f>SUM(G4:G87)</f>
        <v>0</v>
      </c>
      <c r="H2" s="8">
        <f>C2-G2</f>
        <v>952659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SUM(Apr!C4, May!C4, Jun!C4)</f>
        <v>952659</v>
      </c>
      <c r="D4" s="13">
        <f>SUM(Apr!D4, May!D4, Jun!D4)</f>
        <v>0</v>
      </c>
      <c r="E4" s="13">
        <f>IF(AND(ISNUMBER(C4),ISNUMBER(D4)), C4-D4, "")</f>
        <v>952659</v>
      </c>
      <c r="F4" s="14" t="str">
        <f>IFERROR(E4/D4, "")</f>
        <v/>
      </c>
      <c r="G4" s="15">
        <f>SUM(Apr!G4,May!G4,Jun!G4)</f>
        <v>0</v>
      </c>
      <c r="H4" s="15">
        <f>SUM(Apr!H4, May!H4, Jun!H4)</f>
        <v>952659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7 I4:I8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9"/>
  <sheetViews>
    <sheetView tabSelected="1"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14</v>
      </c>
      <c r="E1" s="44"/>
      <c r="F1" s="44"/>
      <c r="G1" s="42" t="s">
        <v>15</v>
      </c>
      <c r="H1" s="42"/>
      <c r="I1" s="42"/>
    </row>
    <row r="2" spans="1:9" ht="19.5" customHeight="1">
      <c r="A2" s="45" t="s">
        <v>2</v>
      </c>
      <c r="B2" s="45"/>
      <c r="C2" s="6">
        <f>SUM(C4:C87)</f>
        <v>855885</v>
      </c>
      <c r="D2" s="6">
        <f>SUM(D4:D87)</f>
        <v>0</v>
      </c>
      <c r="E2" s="6">
        <f>C2-D2</f>
        <v>855885</v>
      </c>
      <c r="F2" s="7">
        <f>IFERROR(E2/D2, 0)</f>
        <v>0</v>
      </c>
      <c r="G2" s="6">
        <f>SUM(G4:G87)</f>
        <v>0</v>
      </c>
      <c r="H2" s="8">
        <f>C2-G2</f>
        <v>855885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SUM(Jul!C4, Aug!C4, Sep!C4)</f>
        <v>855885</v>
      </c>
      <c r="D4" s="13">
        <f>SUM(Jul!D4, Aug!D4, Sep!D4)</f>
        <v>0</v>
      </c>
      <c r="E4" s="13">
        <f>IF(AND(ISNUMBER(C4),ISNUMBER(D4)), C4-D4, "")</f>
        <v>855885</v>
      </c>
      <c r="F4" s="14" t="str">
        <f>IFERROR(E4/D4, "")</f>
        <v/>
      </c>
      <c r="G4" s="15">
        <f>SUM(Jul!G4, Aug!G4, Sep!G4)</f>
        <v>0</v>
      </c>
      <c r="H4" s="15">
        <f>SUM(Jul!H4, Aug!H4, Sep!H4)</f>
        <v>582471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9"/>
  <sheetViews>
    <sheetView workbookViewId="0">
      <pane xSplit="2" ySplit="3" topLeftCell="D27" activePane="bottomRight" state="frozen"/>
      <selection pane="bottomRight" activeCell="D27" sqref="D27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3" t="str" cm="1">
        <f t="array" ref="A1">portfolio</f>
        <v>Hubbardston Solar</v>
      </c>
      <c r="B1" s="43"/>
      <c r="C1" s="43"/>
      <c r="D1" s="44" t="s">
        <v>16</v>
      </c>
      <c r="E1" s="44"/>
      <c r="F1" s="44"/>
      <c r="G1" s="42" t="s">
        <v>17</v>
      </c>
      <c r="H1" s="42"/>
      <c r="I1" s="42"/>
    </row>
    <row r="2" spans="1:9" ht="19.5" customHeight="1">
      <c r="A2" s="45" t="s">
        <v>2</v>
      </c>
      <c r="B2" s="45"/>
      <c r="C2" s="6">
        <f>SUM(C4:C87)</f>
        <v>0</v>
      </c>
      <c r="D2" s="6">
        <f>SUM(D4:D87)</f>
        <v>0</v>
      </c>
      <c r="E2" s="6">
        <f>C2-D2</f>
        <v>0</v>
      </c>
      <c r="F2" s="7">
        <f>IFERROR(E2/D2, 0)</f>
        <v>0</v>
      </c>
      <c r="G2" s="6">
        <f>SUM(G4:G87)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12" t="str" cm="1">
        <f t="array" ref="A4">Sites[Site]</f>
        <v>Hubbardston Solar</v>
      </c>
      <c r="B4" s="10" t="str" cm="1">
        <f t="array" ref="B4">Sites[State]</f>
        <v>MA</v>
      </c>
      <c r="C4" s="23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2.75" customHeight="1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0"/>
      <c r="G12" s="20"/>
      <c r="H12" s="20"/>
      <c r="I12" s="20"/>
    </row>
    <row r="13" spans="1:9" ht="13.9">
      <c r="A13" s="20"/>
      <c r="B13" s="20"/>
      <c r="C13" s="20"/>
      <c r="D13" s="20"/>
      <c r="E13" s="20"/>
      <c r="F13" s="20"/>
      <c r="G13" s="20"/>
      <c r="H13" s="20"/>
      <c r="I13" s="20"/>
    </row>
    <row r="14" spans="1:9" ht="13.9">
      <c r="A14" s="20"/>
      <c r="B14" s="20"/>
      <c r="C14" s="20"/>
      <c r="D14" s="20"/>
      <c r="E14" s="20"/>
      <c r="F14" s="20"/>
      <c r="G14" s="20"/>
      <c r="H14" s="20"/>
      <c r="I14" s="20"/>
    </row>
    <row r="15" spans="1:9" ht="13.9">
      <c r="A15" s="20"/>
      <c r="B15" s="20"/>
      <c r="C15" s="20"/>
      <c r="D15" s="20"/>
      <c r="E15" s="20"/>
      <c r="F15" s="20"/>
      <c r="G15" s="20"/>
      <c r="H15" s="20"/>
      <c r="I15" s="20"/>
    </row>
    <row r="16" spans="1:9" ht="13.9">
      <c r="A16" s="20"/>
      <c r="B16" s="20"/>
      <c r="C16" s="20"/>
      <c r="D16" s="20"/>
      <c r="E16" s="20"/>
      <c r="F16" s="20"/>
      <c r="G16" s="20"/>
      <c r="H16" s="20"/>
      <c r="I16" s="20"/>
    </row>
    <row r="17" spans="1:9" ht="13.9">
      <c r="A17" s="20"/>
      <c r="B17" s="20"/>
      <c r="C17" s="20"/>
      <c r="D17" s="20"/>
      <c r="E17" s="20"/>
      <c r="F17" s="20"/>
      <c r="G17" s="20"/>
      <c r="H17" s="20"/>
      <c r="I17" s="20"/>
    </row>
    <row r="18" spans="1:9" ht="13.9">
      <c r="A18" s="20"/>
      <c r="B18" s="20"/>
      <c r="C18" s="20"/>
      <c r="D18" s="20"/>
      <c r="E18" s="20"/>
      <c r="F18" s="20"/>
      <c r="G18" s="20"/>
      <c r="H18" s="20"/>
      <c r="I18" s="20"/>
    </row>
    <row r="19" spans="1:9" ht="13.9">
      <c r="A19" s="20"/>
      <c r="B19" s="20"/>
      <c r="C19" s="20"/>
      <c r="D19" s="20"/>
      <c r="E19" s="20"/>
      <c r="F19" s="20"/>
      <c r="G19" s="20"/>
      <c r="H19" s="20"/>
      <c r="I19" s="20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  <row r="322" spans="1:9" ht="13.9">
      <c r="A322" s="20"/>
      <c r="B322" s="20"/>
      <c r="C322" s="20"/>
      <c r="D322" s="20"/>
      <c r="E322" s="20"/>
      <c r="F322" s="21"/>
      <c r="G322" s="20"/>
      <c r="H322" s="20"/>
      <c r="I322" s="21"/>
    </row>
    <row r="323" spans="1:9" ht="13.9">
      <c r="A323" s="20"/>
      <c r="B323" s="20"/>
      <c r="C323" s="20"/>
      <c r="D323" s="20"/>
      <c r="E323" s="20"/>
      <c r="F323" s="21"/>
      <c r="G323" s="20"/>
      <c r="H323" s="20"/>
      <c r="I323" s="21"/>
    </row>
    <row r="324" spans="1:9" ht="13.9">
      <c r="A324" s="20"/>
      <c r="B324" s="20"/>
      <c r="C324" s="20"/>
      <c r="D324" s="20"/>
      <c r="E324" s="20"/>
      <c r="F324" s="21"/>
      <c r="G324" s="20"/>
      <c r="H324" s="20"/>
      <c r="I324" s="21"/>
    </row>
    <row r="325" spans="1:9" ht="13.9">
      <c r="A325" s="20"/>
      <c r="B325" s="20"/>
      <c r="C325" s="20"/>
      <c r="D325" s="20"/>
      <c r="E325" s="20"/>
      <c r="F325" s="21"/>
      <c r="G325" s="20"/>
      <c r="H325" s="20"/>
      <c r="I325" s="21"/>
    </row>
    <row r="326" spans="1:9" ht="13.9">
      <c r="A326" s="20"/>
      <c r="B326" s="20"/>
      <c r="C326" s="20"/>
      <c r="D326" s="20"/>
      <c r="E326" s="20"/>
      <c r="F326" s="21"/>
      <c r="G326" s="20"/>
      <c r="H326" s="20"/>
      <c r="I326" s="21"/>
    </row>
    <row r="327" spans="1:9" ht="13.9">
      <c r="A327" s="20"/>
      <c r="B327" s="20"/>
      <c r="C327" s="20"/>
      <c r="D327" s="20"/>
      <c r="E327" s="20"/>
      <c r="F327" s="21"/>
      <c r="G327" s="20"/>
      <c r="H327" s="20"/>
      <c r="I327" s="21"/>
    </row>
    <row r="328" spans="1:9" ht="13.9">
      <c r="A328" s="20"/>
      <c r="B328" s="20"/>
      <c r="C328" s="20"/>
      <c r="D328" s="20"/>
      <c r="E328" s="20"/>
      <c r="F328" s="21"/>
      <c r="G328" s="20"/>
      <c r="H328" s="20"/>
      <c r="I328" s="21"/>
    </row>
    <row r="329" spans="1:9" ht="13.9">
      <c r="A329" s="20"/>
      <c r="B329" s="20"/>
      <c r="C329" s="20"/>
      <c r="D329" s="20"/>
      <c r="E329" s="20"/>
      <c r="F329" s="21"/>
      <c r="G329" s="20"/>
      <c r="H329" s="20"/>
      <c r="I329" s="21"/>
    </row>
  </sheetData>
  <mergeCells count="4">
    <mergeCell ref="G1:I1"/>
    <mergeCell ref="A1:C1"/>
    <mergeCell ref="D1:F1"/>
    <mergeCell ref="A2:B2"/>
  </mergeCells>
  <conditionalFormatting sqref="F2 I2 F4:F87 I4:I87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2"/>
  <sheetViews>
    <sheetView workbookViewId="0">
      <pane xSplit="2" ySplit="3" topLeftCell="C4" activePane="bottomRight" state="frozen"/>
      <selection pane="bottomRight" activeCell="F22" sqref="F22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18</v>
      </c>
      <c r="E1" s="44"/>
      <c r="F1" s="44"/>
      <c r="G1" s="42" t="s">
        <v>19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SUM(C4:C60)</f>
        <v>62995</v>
      </c>
      <c r="D2" s="6">
        <f>SUM(D4:D60)</f>
        <v>0</v>
      </c>
      <c r="E2" s="6">
        <f>C2-D2</f>
        <v>62995</v>
      </c>
      <c r="F2" s="7">
        <f>IFERROR(E2/D2, 0)</f>
        <v>0</v>
      </c>
      <c r="G2" s="6">
        <f>SUM(G4:G60)</f>
        <v>0</v>
      </c>
      <c r="H2" s="8">
        <f>C2-G2</f>
        <v>62995</v>
      </c>
      <c r="I2" s="7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6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62995</v>
      </c>
      <c r="D4" s="13">
        <v>0</v>
      </c>
      <c r="E4" s="13">
        <f>IF(AND(ISNUMBER(C4),ISNUMBER(D4)), C4-D4, "")</f>
        <v>62995</v>
      </c>
      <c r="F4" s="14" t="str">
        <f>IFERROR(E4/D4, "")</f>
        <v/>
      </c>
      <c r="G4" s="15">
        <v>0</v>
      </c>
      <c r="H4" s="15">
        <f>IF(AND(ISNUMBER(C4),ISNUMBER(G4)), C4-G4, "")</f>
        <v>62995</v>
      </c>
      <c r="I4" s="16" t="str">
        <f>IFERROR(H4/G4, "")</f>
        <v/>
      </c>
      <c r="J4" s="39"/>
      <c r="K4" s="39"/>
    </row>
    <row r="5" spans="1:11" ht="14.45">
      <c r="A5" s="20"/>
      <c r="B5" s="31"/>
      <c r="C5" s="20"/>
      <c r="D5" s="20"/>
      <c r="E5" s="20"/>
      <c r="F5" s="21"/>
      <c r="G5" s="20"/>
      <c r="H5" s="20"/>
      <c r="I5" s="21"/>
      <c r="J5" s="20"/>
      <c r="K5" s="20"/>
    </row>
    <row r="6" spans="1:11" ht="14.45">
      <c r="A6" s="20"/>
      <c r="B6" s="31"/>
      <c r="C6" s="20"/>
      <c r="D6" s="20"/>
      <c r="E6" s="20"/>
      <c r="F6" s="21"/>
      <c r="G6" s="20"/>
      <c r="H6" s="20"/>
      <c r="I6" s="21"/>
      <c r="J6" s="20"/>
      <c r="K6" s="20"/>
    </row>
    <row r="7" spans="1:11" ht="14.45">
      <c r="A7" s="20"/>
      <c r="B7" s="31"/>
      <c r="C7" s="20"/>
      <c r="D7" s="20"/>
      <c r="E7" s="20"/>
      <c r="F7" s="21"/>
      <c r="G7" s="20"/>
      <c r="H7" s="20"/>
      <c r="I7" s="21"/>
      <c r="J7" s="20"/>
      <c r="K7" s="20"/>
    </row>
    <row r="8" spans="1:11" ht="14.45">
      <c r="A8" s="20"/>
      <c r="B8" s="31"/>
      <c r="C8" s="20"/>
      <c r="D8" s="20"/>
      <c r="E8" s="20"/>
      <c r="F8" s="21"/>
      <c r="G8" s="20"/>
      <c r="H8" s="20"/>
      <c r="I8" s="21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</sheetData>
  <mergeCells count="4">
    <mergeCell ref="D1:F1"/>
    <mergeCell ref="A1:C1"/>
    <mergeCell ref="G1:I1"/>
    <mergeCell ref="A2:B2"/>
  </mergeCells>
  <conditionalFormatting sqref="F2 I2 F4:F60 I4:I60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0"/>
  <sheetViews>
    <sheetView workbookViewId="0">
      <pane xSplit="2" ySplit="3" topLeftCell="C4" activePane="bottomRight" state="frozen"/>
      <selection pane="bottomRight" activeCell="F21" sqref="F2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22</v>
      </c>
      <c r="E1" s="44"/>
      <c r="F1" s="44"/>
      <c r="G1" s="42" t="s">
        <v>23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227414</v>
      </c>
      <c r="D2" s="6">
        <f>SUM(D4:D88)</f>
        <v>0</v>
      </c>
      <c r="E2" s="6">
        <f>C2-D2</f>
        <v>227414</v>
      </c>
      <c r="F2" s="7">
        <f>IFERROR(E2/D2, 0)</f>
        <v>0</v>
      </c>
      <c r="G2" s="6">
        <f>SUM(G4:G88)</f>
        <v>0</v>
      </c>
      <c r="H2" s="8">
        <f>C2-G2</f>
        <v>227414</v>
      </c>
      <c r="I2" s="7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227414</v>
      </c>
      <c r="D4" s="13">
        <v>0</v>
      </c>
      <c r="E4" s="13">
        <f>IF(AND(ISNUMBER(C4),ISNUMBER(D4)), C4-D4, "")</f>
        <v>227414</v>
      </c>
      <c r="F4" s="14" t="str">
        <f>IFERROR(E4/D4, "")</f>
        <v/>
      </c>
      <c r="G4" s="15">
        <v>0</v>
      </c>
      <c r="H4" s="15">
        <f>IF(AND(ISNUMBER(C4),ISNUMBER(G4)), C4-G4, "")</f>
        <v>227414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0"/>
  <sheetViews>
    <sheetView workbookViewId="0">
      <pane xSplit="2" ySplit="3" topLeftCell="C4" activePane="bottomRight" state="frozen"/>
      <selection pane="bottomRight" activeCell="E24" sqref="E2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24</v>
      </c>
      <c r="E1" s="44"/>
      <c r="F1" s="44"/>
      <c r="G1" s="42" t="s">
        <v>25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261274</v>
      </c>
      <c r="D2" s="6">
        <f>SUM(D4:D88)</f>
        <v>0</v>
      </c>
      <c r="E2" s="6">
        <f>C2-D2</f>
        <v>261274</v>
      </c>
      <c r="F2" s="7">
        <f>IFERROR(E2/D2, 0)</f>
        <v>0</v>
      </c>
      <c r="G2" s="6">
        <f>SUM(G4:G88)</f>
        <v>0</v>
      </c>
      <c r="H2" s="8">
        <f>C2-G2</f>
        <v>261274</v>
      </c>
      <c r="I2" s="7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261274</v>
      </c>
      <c r="D4" s="13">
        <v>0</v>
      </c>
      <c r="E4" s="13">
        <f>IF(AND(ISNUMBER(C4),ISNUMBER(D4)), C4-D4, "")</f>
        <v>261274</v>
      </c>
      <c r="F4" s="14" t="str">
        <f>IFERROR(E4/D4, "")</f>
        <v/>
      </c>
      <c r="G4" s="15">
        <v>0</v>
      </c>
      <c r="H4" s="15">
        <f>IF(AND(ISNUMBER(C4),ISNUMBER(G4)), C4-G4, "")</f>
        <v>261274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0"/>
  <sheetViews>
    <sheetView workbookViewId="0">
      <pane xSplit="2" ySplit="3" topLeftCell="C4" activePane="bottomRight" state="frozen"/>
      <selection pane="bottomRight" activeCell="D23" sqref="D23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26</v>
      </c>
      <c r="E1" s="44"/>
      <c r="F1" s="44"/>
      <c r="G1" s="42" t="s">
        <v>27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272331</v>
      </c>
      <c r="D2" s="6">
        <f>SUM(D4:D88)</f>
        <v>0</v>
      </c>
      <c r="E2" s="6">
        <f>C2-D2</f>
        <v>272331</v>
      </c>
      <c r="F2" s="7">
        <f>IFERROR(E2/D2, 0)</f>
        <v>0</v>
      </c>
      <c r="G2" s="6">
        <f>SUM(G4:G88)</f>
        <v>0</v>
      </c>
      <c r="H2" s="8">
        <f>C2-G2</f>
        <v>272331</v>
      </c>
      <c r="I2" s="7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272331</v>
      </c>
      <c r="D4" s="13">
        <v>0</v>
      </c>
      <c r="E4" s="13">
        <f>IF(AND(ISNUMBER(C4),ISNUMBER(D4)), C4-D4, "")</f>
        <v>272331</v>
      </c>
      <c r="F4" s="14" t="str">
        <f>IFERROR(E4/D4, "")</f>
        <v/>
      </c>
      <c r="G4" s="15">
        <v>0</v>
      </c>
      <c r="H4" s="15">
        <f>IF(AND(ISNUMBER(C4),ISNUMBER(G4)), C4-G4, "")</f>
        <v>272331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0"/>
  <sheetViews>
    <sheetView workbookViewId="0">
      <pane xSplit="2" ySplit="3" topLeftCell="C4" activePane="bottomRight" state="frozen"/>
      <selection pane="bottomRight" activeCell="D20" sqref="D2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28</v>
      </c>
      <c r="E1" s="44"/>
      <c r="F1" s="44"/>
      <c r="G1" s="42" t="s">
        <v>29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329768</v>
      </c>
      <c r="D2" s="6">
        <f>SUM(D4:D88)</f>
        <v>0</v>
      </c>
      <c r="E2" s="6">
        <f>C2-D2</f>
        <v>329768</v>
      </c>
      <c r="F2" s="7">
        <f>IFERROR(E2/D2, 0)</f>
        <v>0</v>
      </c>
      <c r="G2" s="6">
        <f>SUM(G4:G88)</f>
        <v>0</v>
      </c>
      <c r="H2" s="8">
        <f>C2-G2</f>
        <v>329768</v>
      </c>
      <c r="I2" s="7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329768</v>
      </c>
      <c r="D4" s="13">
        <v>0</v>
      </c>
      <c r="E4" s="13">
        <f>IF(AND(ISNUMBER(C4),ISNUMBER(D4)), C4-D4, "")</f>
        <v>329768</v>
      </c>
      <c r="F4" s="14" t="str">
        <f>IFERROR(E4/D4, "")</f>
        <v/>
      </c>
      <c r="G4" s="15">
        <v>0</v>
      </c>
      <c r="H4" s="15">
        <f>IF(AND(ISNUMBER(C4),ISNUMBER(G4)), C4-G4, "")</f>
        <v>329768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0"/>
  <sheetViews>
    <sheetView workbookViewId="0">
      <pane xSplit="2" ySplit="3" topLeftCell="C4" activePane="bottomRight" state="frozen"/>
      <selection pane="bottomRight" activeCell="G5" sqref="G5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30</v>
      </c>
      <c r="E1" s="44"/>
      <c r="F1" s="44"/>
      <c r="G1" s="42" t="s">
        <v>31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350560</v>
      </c>
      <c r="D2" s="6">
        <f>SUM(D4:D88)</f>
        <v>0</v>
      </c>
      <c r="E2" s="6">
        <f>C2-D2</f>
        <v>350560</v>
      </c>
      <c r="F2" s="7">
        <f>IFERROR(E2/D2, 0)</f>
        <v>0</v>
      </c>
      <c r="G2" s="6">
        <f>SUM(G4:G88)</f>
        <v>0</v>
      </c>
      <c r="H2" s="8">
        <f>C2-G2</f>
        <v>350560</v>
      </c>
      <c r="I2" s="7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350560</v>
      </c>
      <c r="D4" s="13">
        <v>0</v>
      </c>
      <c r="E4" s="13">
        <f>IF(AND(ISNUMBER(C4),ISNUMBER(D4)), C4-D4, "")</f>
        <v>350560</v>
      </c>
      <c r="F4" s="14" t="str">
        <f>IFERROR(E4/D4, "")</f>
        <v/>
      </c>
      <c r="G4" s="15">
        <v>0</v>
      </c>
      <c r="H4" s="15">
        <f>IF(AND(ISNUMBER(C4),ISNUMBER(G4)), C4-G4, "")</f>
        <v>350560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0"/>
  <sheetViews>
    <sheetView workbookViewId="0">
      <pane xSplit="2" ySplit="3" topLeftCell="C4" activePane="bottomRight" state="frozen"/>
      <selection pane="bottomRight" activeCell="G4" sqref="G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32</v>
      </c>
      <c r="E1" s="44"/>
      <c r="F1" s="44"/>
      <c r="G1" s="42" t="s">
        <v>33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273414</v>
      </c>
      <c r="D2" s="6">
        <f>SUM(D4:D88)</f>
        <v>0</v>
      </c>
      <c r="E2" s="6">
        <f>C2-D2</f>
        <v>273414</v>
      </c>
      <c r="F2" s="7">
        <f>IFERROR(E2/D2, 0)</f>
        <v>0</v>
      </c>
      <c r="G2" s="6">
        <f>SUM(G4:G88)</f>
        <v>0</v>
      </c>
      <c r="H2" s="8">
        <f>C2-G2</f>
        <v>273414</v>
      </c>
      <c r="I2" s="7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273414</v>
      </c>
      <c r="D4" s="13">
        <v>0</v>
      </c>
      <c r="E4" s="13">
        <f>IF(AND(ISNUMBER(C4),ISNUMBER(D4)), C4-D4, "")</f>
        <v>273414</v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88 I4:I88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0"/>
  <sheetViews>
    <sheetView workbookViewId="0">
      <pane xSplit="2" ySplit="3" topLeftCell="C4" activePane="bottomRight" state="frozen"/>
      <selection pane="bottomRight" activeCell="G11" sqref="G11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34</v>
      </c>
      <c r="E1" s="44"/>
      <c r="F1" s="44"/>
      <c r="G1" s="42" t="s">
        <v>35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302194</v>
      </c>
      <c r="D2" s="6">
        <f>SUM(D4:D88)</f>
        <v>0</v>
      </c>
      <c r="E2" s="6">
        <f>C2-D2</f>
        <v>302194</v>
      </c>
      <c r="F2" s="7">
        <f>IFERROR(E2/D2, 0)</f>
        <v>0</v>
      </c>
      <c r="G2" s="6">
        <f>SUM(G4:G88)</f>
        <v>0</v>
      </c>
      <c r="H2" s="8">
        <f>C2-G2</f>
        <v>302194</v>
      </c>
      <c r="I2" s="7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302194</v>
      </c>
      <c r="D4" s="13">
        <v>0</v>
      </c>
      <c r="E4" s="13">
        <f>IF(AND(ISNUMBER(C4),ISNUMBER(D4)), C4-D4, "")</f>
        <v>302194</v>
      </c>
      <c r="F4" s="14" t="str">
        <f>IFERROR(E4/D4, "")</f>
        <v/>
      </c>
      <c r="G4" s="15">
        <v>0</v>
      </c>
      <c r="H4" s="15">
        <f>IF(AND(ISNUMBER(C4),ISNUMBER(G4)), C4-G4, "")</f>
        <v>302194</v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9"/>
  <sheetViews>
    <sheetView workbookViewId="0">
      <pane xSplit="2" ySplit="3" topLeftCell="C4" activePane="bottomRight" state="frozen"/>
      <selection pane="bottomRight" activeCell="G8" sqref="G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36</v>
      </c>
      <c r="E1" s="44"/>
      <c r="F1" s="44"/>
      <c r="G1" s="42" t="s">
        <v>37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SUM(C4:C87)</f>
        <v>280277</v>
      </c>
      <c r="D2" s="6">
        <f>SUM(D4:D87)</f>
        <v>0</v>
      </c>
      <c r="E2" s="6">
        <f>C2-D2</f>
        <v>280277</v>
      </c>
      <c r="F2" s="7">
        <f>IFERROR(E2/D2, 0)</f>
        <v>0</v>
      </c>
      <c r="G2" s="6">
        <f>SUM(G4:G87)</f>
        <v>0</v>
      </c>
      <c r="H2" s="8">
        <f>C2-G2</f>
        <v>280277</v>
      </c>
      <c r="I2" s="7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>
        <v>280277</v>
      </c>
      <c r="D4" s="13">
        <v>0</v>
      </c>
      <c r="E4" s="13">
        <f>IF(AND(ISNUMBER(C4),ISNUMBER(D4)), C4-D4, "")</f>
        <v>280277</v>
      </c>
      <c r="F4" s="14" t="str">
        <f>IFERROR(E4/D4, "")</f>
        <v/>
      </c>
      <c r="G4" s="15">
        <v>0</v>
      </c>
      <c r="H4" s="15">
        <f>IF(AND(ISNUMBER(C4),ISNUMBER(G4)), C4-G4, "")</f>
        <v>280277</v>
      </c>
      <c r="I4" s="16" t="str">
        <f>IFERROR(H4/G4, "")</f>
        <v/>
      </c>
      <c r="J4" s="39"/>
      <c r="K4" s="39"/>
    </row>
    <row r="5" spans="1:11" ht="12.75" customHeight="1">
      <c r="A5" s="20"/>
      <c r="B5" s="31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C329" s="20"/>
      <c r="D329" s="20"/>
      <c r="E329" s="20"/>
      <c r="F329" s="21"/>
      <c r="G329" s="20"/>
      <c r="H329" s="20"/>
      <c r="I329" s="21"/>
      <c r="J329" s="20"/>
      <c r="K329" s="20"/>
    </row>
  </sheetData>
  <mergeCells count="4">
    <mergeCell ref="G1:I1"/>
    <mergeCell ref="A1:C1"/>
    <mergeCell ref="D1:F1"/>
    <mergeCell ref="A2:B2"/>
  </mergeCells>
  <conditionalFormatting sqref="F2 I2 F4:F87 I4:I8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0"/>
  <sheetViews>
    <sheetView workbookViewId="0">
      <pane xSplit="2" ySplit="3" topLeftCell="C4" activePane="bottomRight" state="frozen"/>
      <selection pane="bottomRight" activeCell="A5" sqref="A5:XFD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38</v>
      </c>
      <c r="E1" s="44"/>
      <c r="F1" s="44"/>
      <c r="G1" s="42" t="s">
        <v>39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0"/>
  <sheetViews>
    <sheetView workbookViewId="0">
      <pane xSplit="2" ySplit="3" topLeftCell="C4" activePane="bottomRight" state="frozen"/>
      <selection pane="bottomRight" activeCell="A5" sqref="A5:XFD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40</v>
      </c>
      <c r="E1" s="44"/>
      <c r="F1" s="44"/>
      <c r="G1" s="42" t="s">
        <v>41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0"/>
  <sheetViews>
    <sheetView workbookViewId="0">
      <pane xSplit="2" ySplit="3" topLeftCell="C4" activePane="bottomRight" state="frozen"/>
      <selection pane="bottomRight" activeCell="A5" sqref="A5:XFD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3" t="str" cm="1">
        <f t="array" ref="A1">portfolio</f>
        <v>Hubbardston Solar</v>
      </c>
      <c r="B1" s="43"/>
      <c r="C1" s="43"/>
      <c r="D1" s="44" t="s">
        <v>42</v>
      </c>
      <c r="E1" s="44"/>
      <c r="F1" s="44"/>
      <c r="G1" s="42" t="s">
        <v>43</v>
      </c>
      <c r="H1" s="42"/>
      <c r="I1" s="42"/>
      <c r="J1" s="5"/>
      <c r="K1" s="5"/>
    </row>
    <row r="2" spans="1:11" ht="19.5" customHeight="1">
      <c r="A2" s="45" t="s">
        <v>2</v>
      </c>
      <c r="B2" s="45"/>
      <c r="C2" s="6">
        <f>SUM(C4:C88)</f>
        <v>0</v>
      </c>
      <c r="D2" s="6">
        <f>SUM(D4:D88)</f>
        <v>0</v>
      </c>
      <c r="E2" s="6">
        <f>C2-D2</f>
        <v>0</v>
      </c>
      <c r="F2" s="7">
        <f>IFERROR(E2/D2, 0)</f>
        <v>0</v>
      </c>
      <c r="G2" s="6">
        <f>SUM(G4:G88)</f>
        <v>0</v>
      </c>
      <c r="H2" s="8">
        <f>C2-G2</f>
        <v>0</v>
      </c>
      <c r="I2" s="7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">Sites[Site]</f>
        <v>Hubbardston Solar</v>
      </c>
      <c r="B4" s="27" t="str" cm="1">
        <f t="array" ref="B4">Sites[State]</f>
        <v>MA</v>
      </c>
      <c r="C4" s="23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39"/>
      <c r="K4" s="39"/>
    </row>
    <row r="5" spans="1:11" ht="15.6">
      <c r="A5" s="28"/>
      <c r="B5" s="29"/>
      <c r="C5" s="11"/>
      <c r="D5" s="17"/>
      <c r="E5" s="17" t="str">
        <f t="shared" ref="E5" si="0">IF(AND(ISNUMBER(C5),ISNUMBER(D5)), C5-D5, "")</f>
        <v/>
      </c>
      <c r="F5" s="18" t="str">
        <f t="shared" ref="F5" si="1">IFERROR(E5/D5, "")</f>
        <v/>
      </c>
      <c r="G5" s="19"/>
      <c r="H5" s="19" t="str">
        <f t="shared" ref="H5" si="2">IF(AND(ISNUMBER(C5),ISNUMBER(G5)), C5-G5, "")</f>
        <v/>
      </c>
      <c r="I5" s="18" t="str">
        <f t="shared" ref="I5" si="3">IFERROR(H5/G5, "")</f>
        <v/>
      </c>
      <c r="J5" s="40"/>
      <c r="K5" s="41"/>
    </row>
    <row r="6" spans="1:11" ht="12.75" customHeight="1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1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1"/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4.45">
      <c r="A13" s="20"/>
      <c r="B13" s="31"/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4.45">
      <c r="A14" s="20"/>
      <c r="B14" s="31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45">
      <c r="A15" s="20"/>
      <c r="B15" s="31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45">
      <c r="A16" s="20"/>
      <c r="B16" s="31"/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4.45">
      <c r="A17" s="20"/>
      <c r="B17" s="31"/>
      <c r="C17" s="20"/>
      <c r="D17" s="20"/>
      <c r="E17" s="20"/>
      <c r="F17" s="20"/>
      <c r="G17" s="20"/>
      <c r="H17" s="20"/>
      <c r="I17" s="20"/>
      <c r="J17" s="20"/>
      <c r="K17" s="20"/>
    </row>
    <row r="18" spans="1:11" ht="14.45">
      <c r="A18" s="20"/>
      <c r="B18" s="31"/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4.45">
      <c r="A19" s="20"/>
      <c r="B19" s="31"/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4.45">
      <c r="A20" s="20"/>
      <c r="B20" s="31"/>
      <c r="C20" s="20"/>
      <c r="D20" s="20"/>
      <c r="E20" s="20"/>
      <c r="F20" s="20"/>
      <c r="G20" s="20"/>
      <c r="H20" s="20"/>
      <c r="I20" s="20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1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1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1:11" ht="14.45">
      <c r="A321" s="20"/>
      <c r="B321" s="31"/>
      <c r="C321" s="20"/>
      <c r="D321" s="20"/>
      <c r="E321" s="20"/>
      <c r="F321" s="21"/>
      <c r="G321" s="20"/>
      <c r="H321" s="20"/>
      <c r="I321" s="21"/>
      <c r="J321" s="20"/>
      <c r="K321" s="20"/>
    </row>
    <row r="322" spans="1:11" ht="14.45">
      <c r="A322" s="20"/>
      <c r="B322" s="31"/>
      <c r="C322" s="20"/>
      <c r="D322" s="20"/>
      <c r="E322" s="20"/>
      <c r="F322" s="21"/>
      <c r="G322" s="20"/>
      <c r="H322" s="20"/>
      <c r="I322" s="21"/>
      <c r="J322" s="20"/>
      <c r="K322" s="20"/>
    </row>
    <row r="323" spans="1:11" ht="14.45">
      <c r="A323" s="20"/>
      <c r="B323" s="31"/>
      <c r="C323" s="20"/>
      <c r="D323" s="20"/>
      <c r="E323" s="20"/>
      <c r="F323" s="21"/>
      <c r="G323" s="20"/>
      <c r="H323" s="20"/>
      <c r="I323" s="21"/>
      <c r="J323" s="20"/>
      <c r="K323" s="20"/>
    </row>
    <row r="324" spans="1:11" ht="14.45">
      <c r="A324" s="20"/>
      <c r="B324" s="31"/>
      <c r="C324" s="20"/>
      <c r="D324" s="20"/>
      <c r="E324" s="20"/>
      <c r="F324" s="21"/>
      <c r="G324" s="20"/>
      <c r="H324" s="20"/>
      <c r="I324" s="21"/>
      <c r="J324" s="20"/>
      <c r="K324" s="20"/>
    </row>
    <row r="325" spans="1:11" ht="14.45">
      <c r="A325" s="20"/>
      <c r="B325" s="31"/>
      <c r="C325" s="20"/>
      <c r="D325" s="20"/>
      <c r="E325" s="20"/>
      <c r="F325" s="21"/>
      <c r="G325" s="20"/>
      <c r="H325" s="20"/>
      <c r="I325" s="21"/>
      <c r="J325" s="20"/>
      <c r="K325" s="20"/>
    </row>
    <row r="326" spans="1:11" ht="14.45">
      <c r="A326" s="20"/>
      <c r="B326" s="31"/>
      <c r="C326" s="20"/>
      <c r="D326" s="20"/>
      <c r="E326" s="20"/>
      <c r="F326" s="21"/>
      <c r="G326" s="20"/>
      <c r="H326" s="20"/>
      <c r="I326" s="21"/>
      <c r="J326" s="20"/>
      <c r="K326" s="20"/>
    </row>
    <row r="327" spans="1:11" ht="14.45">
      <c r="A327" s="20"/>
      <c r="B327" s="31"/>
      <c r="C327" s="20"/>
      <c r="D327" s="20"/>
      <c r="E327" s="20"/>
      <c r="F327" s="21"/>
      <c r="G327" s="20"/>
      <c r="H327" s="20"/>
      <c r="I327" s="21"/>
      <c r="J327" s="20"/>
      <c r="K327" s="20"/>
    </row>
    <row r="328" spans="1:11" ht="14.45">
      <c r="A328" s="20"/>
      <c r="B328" s="31"/>
      <c r="C328" s="20"/>
      <c r="D328" s="20"/>
      <c r="E328" s="20"/>
      <c r="F328" s="21"/>
      <c r="G328" s="20"/>
      <c r="H328" s="20"/>
      <c r="I328" s="21"/>
      <c r="J328" s="20"/>
      <c r="K328" s="20"/>
    </row>
    <row r="329" spans="1:11" ht="14.45">
      <c r="A329" s="20"/>
      <c r="B329" s="31"/>
      <c r="C329" s="20"/>
      <c r="D329" s="20"/>
      <c r="E329" s="20"/>
      <c r="F329" s="21"/>
      <c r="G329" s="20"/>
      <c r="H329" s="20"/>
      <c r="I329" s="21"/>
      <c r="J329" s="20"/>
      <c r="K329" s="20"/>
    </row>
    <row r="330" spans="1:11" ht="14.45">
      <c r="C330" s="20"/>
      <c r="D330" s="20"/>
      <c r="E330" s="20"/>
      <c r="F330" s="21"/>
      <c r="G330" s="20"/>
      <c r="H330" s="20"/>
      <c r="I330" s="21"/>
      <c r="J330" s="20"/>
      <c r="K330" s="20"/>
    </row>
  </sheetData>
  <mergeCells count="4">
    <mergeCell ref="G1:I1"/>
    <mergeCell ref="A1:C1"/>
    <mergeCell ref="D1:F1"/>
    <mergeCell ref="A2:B2"/>
  </mergeCells>
  <conditionalFormatting sqref="F2 I2 F4:F88 I4:I88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9" sqref="B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s="3" t="s">
        <v>45</v>
      </c>
      <c r="B4" t="s">
        <v>45</v>
      </c>
      <c r="C4" s="4" t="s">
        <v>49</v>
      </c>
      <c r="E4" t="s">
        <v>50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F5C07-45EB-4100-9AFB-2C6AF77FA787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C0BCDC1E-6052-4E48-9BAF-94A40814E7C2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2BC74AAC-D69B-4AF1-9649-B21EF3C1C463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14966E4F-347B-477B-B74C-9DAC05405806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0389C43E-394D-44C0-87DC-4780FCFCFB40}"/>
</file>

<file path=customXml/itemProps13.xml><?xml version="1.0" encoding="utf-8"?>
<ds:datastoreItem xmlns:ds="http://schemas.openxmlformats.org/officeDocument/2006/customXml" ds:itemID="{D3A7101F-9A85-4235-8B03-415370C100B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BE26B669-A686-459C-A5E9-FEC3409C4C81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1954BBA4-0359-438C-B0EC-A756015F7C02}"/>
</file>

<file path=customXml/itemProps18.xml><?xml version="1.0" encoding="utf-8"?>
<ds:datastoreItem xmlns:ds="http://schemas.openxmlformats.org/officeDocument/2006/customXml" ds:itemID="{E3716282-BFD2-4ED2-BA47-BFA1123827F0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Anusha Vempati</cp:lastModifiedBy>
  <cp:revision/>
  <dcterms:created xsi:type="dcterms:W3CDTF">2021-01-01T16:39:53Z</dcterms:created>
  <dcterms:modified xsi:type="dcterms:W3CDTF">2024-10-17T18:17:31Z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