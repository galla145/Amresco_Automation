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" documentId="13_ncr:1_{F823169D-1F0C-42A0-816A-229424F12D0C}" xr6:coauthVersionLast="47" xr6:coauthVersionMax="47" xr10:uidLastSave="{2FE9EB56-6B7D-475C-991D-B1473B1A48EA}"/>
  <bookViews>
    <workbookView xWindow="-108" yWindow="-108" windowWidth="23256" windowHeight="12456" tabRatio="866" firstSheet="12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2" i="18" s="1"/>
  <c r="G6" i="18"/>
  <c r="G4" i="18"/>
  <c r="I6" i="72"/>
  <c r="I5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72"/>
  <c r="F7" i="72" s="1"/>
  <c r="H7" i="72"/>
  <c r="I7" i="72" s="1"/>
  <c r="G6" i="1"/>
  <c r="G6" i="34" s="1"/>
  <c r="G5" i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H2" i="26" l="1"/>
  <c r="I2" i="26" s="1"/>
  <c r="G5" i="34"/>
  <c r="G4" i="34"/>
  <c r="D2" i="18"/>
  <c r="H2" i="20"/>
  <c r="I2" i="20" s="1"/>
  <c r="G2" i="34"/>
  <c r="D4" i="34"/>
  <c r="D2" i="34" s="1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I6" i="30" s="1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<sst xmlns="http://schemas.openxmlformats.org/spreadsheetml/2006/main" count="262" uniqueCount="61">
  <si>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</si>
  <si>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</si>
  <si>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</si>
  <si>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</si>
  <si>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</si>
  <si>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</si>
  <si>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</si>
  <si>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</si>
  <si>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</si>
  <si>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</si>
  <si>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</si>
  <si>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</si>
  <si>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</si>
  <si>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</si>
  <si>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</si>
  <si>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</si>
  <si>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</si>
  <si>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</si>
  <si>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</si>
  <si>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</si>
  <si>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</si>
  <si>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</si>
  <si>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</si>
  <si>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</si>
  <si>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</si>
  <si>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</si>
  <si>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</si>
  <si>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</si>
  <si>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is reporting negative values 04/10</t>
  </si>
  <si>
    <t>1. SR087003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</si>
  <si>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</si>
  <si>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</si>
  <si>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</si>
  <si>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</si>
  <si>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</si>
  <si>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</si>
  <si>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Weather station is shaded every morning from 07/15.</t>
  </si>
  <si>
    <t>1. SR087715, SR088955</t>
  </si>
  <si>
    <t>1. Meter is reporting negative value from 07/25</t>
  </si>
  <si>
    <t>August Actual v. Expected</t>
  </si>
  <si>
    <t>August Actual v. Forecasted</t>
  </si>
  <si>
    <t>1. Meter A has an intermittent communications issue from 08/12.</t>
  </si>
  <si>
    <t>1. SR088955</t>
  </si>
  <si>
    <t>September Actual v. Expected</t>
  </si>
  <si>
    <t>September Actual v. Forecasted</t>
  </si>
  <si>
    <t>1. Meter A has an intermittent communications issue from 08/12 and resolved on 09/04.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</si>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</sst>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F6" sqref="F6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SUM(C4:C91)</f>
        <v>344765</v>
      </c>
      <c r="D2" s="6">
        <f>SUM(D4:D91)</f>
        <v>333071.93</v>
      </c>
      <c r="E2" s="6">
        <f>C2-D2</f>
        <v>11693.070000000007</v>
      </c>
      <c r="F2" s="7">
        <f>IFERROR(E2/D2, 0)</f>
        <v>3.5106741057404647E-2</v>
      </c>
      <c r="G2" s="6">
        <f>SUM(G4:G91)</f>
        <v>0</v>
      </c>
      <c r="H2" s="8">
        <f>C2-G2</f>
        <v>344765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270854</v>
      </c>
      <c r="D4" s="14">
        <f>SUM('1st Qtr'!D4, '2nd Qtr'!D4, '3rd Qtr'!D4, '4th Qtr'!D4)</f>
        <v>253328.57</v>
      </c>
      <c r="E4" s="14">
        <f>IF(AND(ISNUMBER(C4),ISNUMBER(D4)), C4-D4, "")</f>
        <v>17525.429999999993</v>
      </c>
      <c r="F4" s="15">
        <f>IFERROR(E4/D4, "")</f>
        <v>6.9180629725261511E-2</v>
      </c>
      <c r="G4" s="16">
        <f>SUM('1st Qtr'!G4,'2nd Qtr'!G4,'3rd Qtr'!G4,'4th Qtr'!G4)</f>
        <v>0</v>
      </c>
      <c r="H4" s="16">
        <f>SUM('1st Qtr'!H4, '2nd Qtr'!H4, '3rd Qtr'!H4, '4th Qtr'!H4)</f>
        <v>270854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SUM('1st Qtr'!G5,'2nd Qtr'!G5,'3rd Qtr'!G5,'4th Qtr'!G5)</f>
        <v>0</v>
      </c>
      <c r="H5" s="22">
        <f>SUM(Jan!H5, Feb!H5, Mar!H5)</f>
        <v>31104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SUM('1st Qtr'!G6,'2nd Qtr'!G6,'3rd Qtr'!G6,'4th Qtr'!G6)</f>
        <v>0</v>
      </c>
      <c r="H6" s="16">
        <f>SUM(Jan!H6, Feb!H6, Mar!H6)</f>
        <v>42807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A3" activePane="bottomLeft" state="frozen"/>
      <selection pane="bottomLeft" activeCell="G7" sqref="G7"/>
      <selection activeCell="C11" sqref="C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SUM(C4:C91)</f>
        <v>140423</v>
      </c>
      <c r="D2" s="6">
        <f>SUM(D4:D91)</f>
        <v>132268.19</v>
      </c>
      <c r="E2" s="6">
        <f>C2-D2</f>
        <v>8154.8099999999977</v>
      </c>
      <c r="F2" s="7">
        <f>IFERROR(E2/D2, 0)</f>
        <v>6.1653599402849597E-2</v>
      </c>
      <c r="G2" s="6">
        <f>SUM(G4:G91)</f>
        <v>0</v>
      </c>
      <c r="H2" s="8">
        <f>C2-G2</f>
        <v>140423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66512</v>
      </c>
      <c r="D4" s="14">
        <f>SUM(Jan!D4, Feb!D4, Mar!D4)</f>
        <v>52524.83</v>
      </c>
      <c r="E4" s="14">
        <f>IF(AND(ISNUMBER(C4),ISNUMBER(D4)), C4-D4, "")</f>
        <v>13987.169999999998</v>
      </c>
      <c r="F4" s="15">
        <f>IFERROR(E4/D4, "")</f>
        <v>0.2662963402261368</v>
      </c>
      <c r="G4" s="16">
        <f>SUM(Jan!G4, Feb!G4, Mar!G4)</f>
        <v>0</v>
      </c>
      <c r="H4" s="16">
        <f>SUM(Jan!H4, Feb!H4, Mar!H4)</f>
        <v>66512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SUM(Jan!G5, Feb!G5, Mar!G5)</f>
        <v>0</v>
      </c>
      <c r="H5" s="22">
        <f>SUM(Jan!H5, Feb!H5, Mar!H5)</f>
        <v>31104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SUM(Jan!G6, Feb!G6, Mar!G6)</f>
        <v>0</v>
      </c>
      <c r="H6" s="16">
        <f>SUM(Jan!H6, Feb!H6, Mar!H6)</f>
        <v>42807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G19" sqref="G19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SUM(C4:C91)</f>
        <v>216026</v>
      </c>
      <c r="D2" s="6">
        <f>SUM(D4:D91)</f>
        <v>226225.03999999998</v>
      </c>
      <c r="E2" s="6">
        <f>C2-D2</f>
        <v>-10199.039999999979</v>
      </c>
      <c r="F2" s="7">
        <f>IFERROR(E2/D2, 0)</f>
        <v>-4.5083603477316124E-2</v>
      </c>
      <c r="G2" s="6">
        <f>SUM(G4:G91)</f>
        <v>0</v>
      </c>
      <c r="H2" s="8">
        <f>C2-G2</f>
        <v>216026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106156</v>
      </c>
      <c r="D4" s="14">
        <f>SUM(Apr!D4, May!D4, Jun!D4)</f>
        <v>106173.38</v>
      </c>
      <c r="E4" s="14">
        <f>IF(AND(ISNUMBER(C4),ISNUMBER(D4)), C4-D4, "")</f>
        <v>-17.380000000004657</v>
      </c>
      <c r="F4" s="15">
        <f>IFERROR(E4/D4, "")</f>
        <v>-1.6369451551796369E-4</v>
      </c>
      <c r="G4" s="16">
        <f>SUM(Apr!G4,May!G4,Jun!G4)</f>
        <v>0</v>
      </c>
      <c r="H4" s="16">
        <f>SUM(Apr!H4, May!H4, Jun!H4)</f>
        <v>106156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SUM(Apr!C5, May!C5, Jun!C5)</f>
        <v>48611</v>
      </c>
      <c r="D5" s="20">
        <f>SUM(Apr!D5, May!D5, Jun!D5)</f>
        <v>47676.27</v>
      </c>
      <c r="E5" s="20">
        <f t="shared" ref="E5:E6" si="0">IF(AND(ISNUMBER(C5),ISNUMBER(D5)), C5-D5, "")</f>
        <v>934.7300000000032</v>
      </c>
      <c r="F5" s="21">
        <f>IFERROR(E5/D5, "")</f>
        <v>1.9605770333962855E-2</v>
      </c>
      <c r="G5" s="16">
        <f>SUM(Apr!G5,May!G5,Jun!G5)</f>
        <v>0</v>
      </c>
      <c r="H5" s="22">
        <f>SUM(Apr!H5, May!H5, Jun!H5)</f>
        <v>48611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SUM(Apr!C6, May!C6, Jun!C6)</f>
        <v>61259</v>
      </c>
      <c r="D6" s="14">
        <f>SUM(Apr!D6, May!D6, Jun!D6)</f>
        <v>72375.39</v>
      </c>
      <c r="E6" s="14">
        <f t="shared" si="0"/>
        <v>-11116.39</v>
      </c>
      <c r="F6" s="15">
        <f t="shared" ref="F6" si="1">IFERROR(E6/D6, "")</f>
        <v>-0.15359350740631586</v>
      </c>
      <c r="G6" s="16">
        <f>SUM(Apr!G6,May!G6,Jun!G6)</f>
        <v>0</v>
      </c>
      <c r="H6" s="16">
        <f>SUM(Apr!H6, May!H6, Jun!H6)</f>
        <v>61259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SUM(C4:C91)</f>
        <v>179853</v>
      </c>
      <c r="D2" s="6">
        <f>SUM(D4:D91)</f>
        <v>200677.49</v>
      </c>
      <c r="E2" s="6">
        <f>C2-D2</f>
        <v>-20824.489999999991</v>
      </c>
      <c r="F2" s="7">
        <f>IFERROR(E2/D2, 0)</f>
        <v>-0.10377093115924457</v>
      </c>
      <c r="G2" s="6">
        <f>SUM(G4:G91)</f>
        <v>0</v>
      </c>
      <c r="H2" s="8">
        <f>C2-G2</f>
        <v>179853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98186</v>
      </c>
      <c r="D4" s="14">
        <f>SUM(Jul!D4, Aug!D4, Sep!D4)</f>
        <v>94630.36</v>
      </c>
      <c r="E4" s="14">
        <f>IF(AND(ISNUMBER(C4),ISNUMBER(D4)), C4-D4, "")</f>
        <v>3555.6399999999994</v>
      </c>
      <c r="F4" s="15">
        <f>IFERROR(E4/D4, "")</f>
        <v>3.7573987882958487E-2</v>
      </c>
      <c r="G4" s="16"/>
      <c r="H4" s="16">
        <f>SUM(Jul!H4, Aug!H4, Sep!H4)</f>
        <v>98186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SUM(Jul!C5, Aug!C5, Sep!C5)</f>
        <v>43586</v>
      </c>
      <c r="D5" s="20">
        <f>SUM(Jul!D5, Aug!D5, Sep!D5)</f>
        <v>42115.03</v>
      </c>
      <c r="E5" s="20">
        <f t="shared" ref="E5:E6" si="0">IF(AND(ISNUMBER(C5),ISNUMBER(D5)), C5-D5, "")</f>
        <v>1470.9700000000012</v>
      </c>
      <c r="F5" s="21">
        <f>IFERROR(E5/D5, "")</f>
        <v>3.4927435644709293E-2</v>
      </c>
      <c r="G5" s="22"/>
      <c r="H5" s="22">
        <f>SUM(Jul!H5, Aug!H5, Sep!H5)</f>
        <v>43586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SUM(Jul!C6, Aug!C6, Sep!C6)</f>
        <v>38081</v>
      </c>
      <c r="D6" s="14">
        <f>SUM(Jul!D6, Aug!D6, Sep!D6)</f>
        <v>63932.099999999991</v>
      </c>
      <c r="E6" s="14">
        <f t="shared" si="0"/>
        <v>-25851.099999999991</v>
      </c>
      <c r="F6" s="15">
        <f t="shared" ref="F6" si="1">IFERROR(E6/D6, "")</f>
        <v>-0.40435243015636896</v>
      </c>
      <c r="G6" s="16"/>
      <c r="H6" s="16">
        <f>SUM(Jul!H6, Aug!H6, Sep!H6)</f>
        <v>38081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38644</v>
      </c>
      <c r="D2" s="6">
        <f>SUM(D4:D90)</f>
        <v>38384.19</v>
      </c>
      <c r="E2" s="6">
        <f>C2-D2</f>
        <v>259.80999999999767</v>
      </c>
      <c r="F2" s="7">
        <f>IFERROR(E2/D2, 0)</f>
        <v>6.7686722059263895E-3</v>
      </c>
      <c r="G2" s="6">
        <f>SUM(G4:G90)</f>
        <v>0</v>
      </c>
      <c r="H2" s="8">
        <f>C2-G2</f>
        <v>38644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18583</v>
      </c>
      <c r="D4" s="14"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v>0</v>
      </c>
      <c r="H4" s="16">
        <f>IF(AND(ISNUMBER(C4),ISNUMBER(G4)), C4-G4, "")</f>
        <v>18583</v>
      </c>
      <c r="I4" s="17">
        <f>IFERROR(H4/G4, 0)</f>
        <v>0</v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8688</v>
      </c>
      <c r="D5" s="20"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v>0</v>
      </c>
      <c r="H5" s="22">
        <f t="shared" ref="H5:H6" si="1">IF(AND(ISNUMBER(C5),ISNUMBER(G5)), C5-G5, "")</f>
        <v>8688</v>
      </c>
      <c r="I5" s="21">
        <f>IFERROR(H5/G5, 0)</f>
        <v>0</v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11373</v>
      </c>
      <c r="D6" s="14">
        <v>12052.07</v>
      </c>
      <c r="E6" s="14">
        <f t="shared" si="0"/>
        <v>-679.06999999999971</v>
      </c>
      <c r="F6" s="15">
        <f t="shared" ref="F6" si="2">IFERROR(E6/D6, "")</f>
        <v>-5.6344677719263138E-2</v>
      </c>
      <c r="G6" s="16">
        <v>0</v>
      </c>
      <c r="H6" s="16">
        <f t="shared" si="1"/>
        <v>11373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40625</v>
      </c>
      <c r="D2" s="6">
        <f>SUM(D4:D91)</f>
        <v>42480</v>
      </c>
      <c r="E2" s="6">
        <f>C2-D2</f>
        <v>-1855</v>
      </c>
      <c r="F2" s="7">
        <f>IFERROR(E2/D2, 0)</f>
        <v>-4.3667608286252352E-2</v>
      </c>
      <c r="G2" s="6">
        <f>SUM(G4:G91)</f>
        <v>0</v>
      </c>
      <c r="H2" s="8">
        <f>C2-G2</f>
        <v>40625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17960</v>
      </c>
      <c r="D4" s="14">
        <v>20518</v>
      </c>
      <c r="E4" s="14">
        <f>IF(AND(ISNUMBER(C4),ISNUMBER(D4)), C4-D4, "")</f>
        <v>-2558</v>
      </c>
      <c r="F4" s="15">
        <f>IFERROR(E4/D4, "")</f>
        <v>-0.12467102056730675</v>
      </c>
      <c r="G4" s="16">
        <v>0</v>
      </c>
      <c r="H4" s="16">
        <f>IF(AND(ISNUMBER(C4),ISNUMBER(G4)), C4-G4, "")</f>
        <v>17960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9669</v>
      </c>
      <c r="D5" s="20">
        <v>8722</v>
      </c>
      <c r="E5" s="20">
        <f t="shared" ref="E5:E6" si="0">IF(AND(ISNUMBER(C5),ISNUMBER(D5)), C5-D5, "")</f>
        <v>947</v>
      </c>
      <c r="F5" s="21">
        <f>IFERROR(E5/D5, "")</f>
        <v>0.10857601467553313</v>
      </c>
      <c r="G5" s="22">
        <v>0</v>
      </c>
      <c r="H5" s="22">
        <f t="shared" ref="H5:H6" si="1">IF(AND(ISNUMBER(C5),ISNUMBER(G5)), C5-G5, "")</f>
        <v>9669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12996</v>
      </c>
      <c r="D6" s="14">
        <v>13240</v>
      </c>
      <c r="E6" s="14">
        <f t="shared" si="0"/>
        <v>-244</v>
      </c>
      <c r="F6" s="15">
        <f t="shared" ref="F6" si="3">IFERROR(E6/D6, "")</f>
        <v>-1.8429003021148038E-2</v>
      </c>
      <c r="G6" s="16">
        <v>0</v>
      </c>
      <c r="H6" s="16">
        <f t="shared" si="1"/>
        <v>12996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ySplit="2" topLeftCell="A3" activePane="bottomLeft" state="frozen"/>
      <selection pane="bottomLeft" activeCell="J4" sqref="J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61154</v>
      </c>
      <c r="D2" s="6">
        <f>SUM(D4:D91)</f>
        <v>51404</v>
      </c>
      <c r="E2" s="6">
        <f>C2-D2</f>
        <v>9750</v>
      </c>
      <c r="F2" s="7">
        <f>IFERROR(E2/D2, 0)</f>
        <v>0.18967395533421524</v>
      </c>
      <c r="G2" s="6">
        <f>SUM(G4:G91)</f>
        <v>0</v>
      </c>
      <c r="H2" s="8">
        <f>C2-G2</f>
        <v>61154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29969</v>
      </c>
      <c r="D4" s="14">
        <v>13614</v>
      </c>
      <c r="E4" s="14">
        <f>IF(AND(ISNUMBER(C4),ISNUMBER(D4)), C4-D4, "")</f>
        <v>16355</v>
      </c>
      <c r="F4" s="15">
        <f>IFERROR(E4/D4, "")</f>
        <v>1.2013368591156164</v>
      </c>
      <c r="G4" s="16">
        <v>0</v>
      </c>
      <c r="H4" s="16">
        <f>IF(AND(ISNUMBER(C4),ISNUMBER(G4)), C4-G4, "")</f>
        <v>29969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12747</v>
      </c>
      <c r="D5" s="20">
        <v>18438</v>
      </c>
      <c r="E5" s="20">
        <f t="shared" ref="E5:E6" si="0">IF(AND(ISNUMBER(C5),ISNUMBER(D5)), C5-D5, "")</f>
        <v>-5691</v>
      </c>
      <c r="F5" s="21">
        <f>IFERROR(E5/D5, "")</f>
        <v>-0.30865603644646927</v>
      </c>
      <c r="G5" s="22">
        <v>0</v>
      </c>
      <c r="H5" s="22">
        <f t="shared" ref="H5:H6" si="1">IF(AND(ISNUMBER(C5),ISNUMBER(G5)), C5-G5, "")</f>
        <v>12747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18438</v>
      </c>
      <c r="D6" s="14">
        <v>19352</v>
      </c>
      <c r="E6" s="14">
        <f t="shared" si="0"/>
        <v>-914</v>
      </c>
      <c r="F6" s="15">
        <f t="shared" ref="F6" si="3">IFERROR(E6/D6, "")</f>
        <v>-4.7230260438197599E-2</v>
      </c>
      <c r="G6" s="16">
        <v>0</v>
      </c>
      <c r="H6" s="16">
        <f t="shared" si="1"/>
        <v>18438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K6" sqref="K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68122</v>
      </c>
      <c r="D2" s="6">
        <f>SUM(D4:D91)</f>
        <v>72788.5</v>
      </c>
      <c r="E2" s="6">
        <f>C2-D2</f>
        <v>-4666.5</v>
      </c>
      <c r="F2" s="7">
        <f>IFERROR(E2/D2, 0)</f>
        <v>-6.4110402055269716E-2</v>
      </c>
      <c r="G2" s="6">
        <f>SUM(G4:G91)</f>
        <v>0</v>
      </c>
      <c r="H2" s="8">
        <f>C2-G2</f>
        <v>68122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32166</v>
      </c>
      <c r="D4" s="14">
        <v>34364.78</v>
      </c>
      <c r="E4" s="14">
        <f>IF(AND(ISNUMBER(C4),ISNUMBER(D4)), C4-D4, "")</f>
        <v>-2198.7799999999988</v>
      </c>
      <c r="F4" s="15">
        <f>IFERROR(E4/D4, "")</f>
        <v>-6.3983531976634186E-2</v>
      </c>
      <c r="G4" s="16">
        <v>0</v>
      </c>
      <c r="H4" s="16">
        <f>IF(AND(ISNUMBER(C4),ISNUMBER(G4)), C4-G4, "")</f>
        <v>32166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15724</v>
      </c>
      <c r="D5" s="43">
        <v>15259.27</v>
      </c>
      <c r="E5" s="20">
        <f t="shared" ref="E5:E6" si="0">IF(AND(ISNUMBER(C5),ISNUMBER(D5)), C5-D5, "")</f>
        <v>464.72999999999956</v>
      </c>
      <c r="F5" s="21">
        <f>IFERROR(E5/D5, "")</f>
        <v>3.0455585358932606E-2</v>
      </c>
      <c r="G5" s="22">
        <v>0</v>
      </c>
      <c r="H5" s="22">
        <f t="shared" ref="H5:H6" si="1">IF(AND(ISNUMBER(C5),ISNUMBER(G5)), C5-G5, "")</f>
        <v>15724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20232</v>
      </c>
      <c r="D6" s="14">
        <v>23164.45</v>
      </c>
      <c r="E6" s="14">
        <f t="shared" si="0"/>
        <v>-2932.4500000000007</v>
      </c>
      <c r="F6" s="15">
        <f t="shared" ref="F6" si="3">IFERROR(E6/D6, "")</f>
        <v>-0.12659268836514576</v>
      </c>
      <c r="G6" s="16">
        <v>0</v>
      </c>
      <c r="H6" s="16">
        <f t="shared" si="1"/>
        <v>20232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J6" sqref="J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78445</v>
      </c>
      <c r="D2" s="6">
        <f>SUM(D4:D91)</f>
        <v>78950.12</v>
      </c>
      <c r="E2" s="6">
        <f>C2-D2</f>
        <v>-505.11999999999534</v>
      </c>
      <c r="F2" s="7">
        <f>IFERROR(E2/D2, 0)</f>
        <v>-6.3979636763059431E-3</v>
      </c>
      <c r="G2" s="6">
        <f>SUM(G4:G91)</f>
        <v>0</v>
      </c>
      <c r="H2" s="8">
        <f>C2-G2</f>
        <v>78445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37903</v>
      </c>
      <c r="D4" s="14">
        <v>37016.06</v>
      </c>
      <c r="E4" s="14">
        <f>IF(AND(ISNUMBER(C4),ISNUMBER(D4)), C4-D4, "")</f>
        <v>886.94000000000233</v>
      </c>
      <c r="F4" s="15">
        <f>IFERROR(E4/D4, "")</f>
        <v>2.3960951003429386E-2</v>
      </c>
      <c r="G4" s="16">
        <v>0</v>
      </c>
      <c r="H4" s="16">
        <f>IF(AND(ISNUMBER(C4),ISNUMBER(G4)), C4-G4, "")</f>
        <v>37903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16928</v>
      </c>
      <c r="D5" s="43">
        <v>16653.189999999999</v>
      </c>
      <c r="E5" s="20">
        <f t="shared" ref="E5:E6" si="0">IF(AND(ISNUMBER(C5),ISNUMBER(D5)), C5-D5, "")</f>
        <v>274.81000000000131</v>
      </c>
      <c r="F5" s="21">
        <f>IFERROR(E5/D5, "")</f>
        <v>1.6501943471491129E-2</v>
      </c>
      <c r="G5" s="22">
        <v>0</v>
      </c>
      <c r="H5" s="22">
        <f t="shared" ref="H5:H6" si="1">IF(AND(ISNUMBER(C5),ISNUMBER(G5)), C5-G5, "")</f>
        <v>16928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23614</v>
      </c>
      <c r="D6" s="14">
        <v>25280.87</v>
      </c>
      <c r="E6" s="14">
        <f t="shared" si="0"/>
        <v>-1666.869999999999</v>
      </c>
      <c r="F6" s="15">
        <f t="shared" ref="F6" si="3">IFERROR(E6/D6, "")</f>
        <v>-6.5934044200219338E-2</v>
      </c>
      <c r="G6" s="16">
        <v>0</v>
      </c>
      <c r="H6" s="16">
        <f t="shared" si="1"/>
        <v>23614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ySplit="2" topLeftCell="A3" activePane="bottomLeft" state="frozen"/>
      <selection pane="bottomLeft" activeCell="J6" sqref="J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8.5703125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69459</v>
      </c>
      <c r="D2" s="6">
        <f>SUM(D4:D91)</f>
        <v>74486.42</v>
      </c>
      <c r="E2" s="6">
        <f>C2-D2</f>
        <v>-5027.4199999999983</v>
      </c>
      <c r="F2" s="7">
        <f>IFERROR(E2/D2, 0)</f>
        <v>-6.7494450666309352E-2</v>
      </c>
      <c r="G2" s="6">
        <f>SUM(G4:G91)</f>
        <v>0</v>
      </c>
      <c r="H2" s="8">
        <f>C2-G2</f>
        <v>69459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36087</v>
      </c>
      <c r="D4" s="14">
        <v>34792.54</v>
      </c>
      <c r="E4" s="14">
        <f>IF(AND(ISNUMBER(C4),ISNUMBER(D4)), C4-D4, "")</f>
        <v>1294.4599999999991</v>
      </c>
      <c r="F4" s="15">
        <f>IFERROR(E4/D4, "")</f>
        <v>3.7205102013247643E-2</v>
      </c>
      <c r="G4" s="16">
        <v>0</v>
      </c>
      <c r="H4" s="16">
        <f>IF(AND(ISNUMBER(C4),ISNUMBER(G4)), C4-G4, "")</f>
        <v>36087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15959</v>
      </c>
      <c r="D5" s="43">
        <v>15763.81</v>
      </c>
      <c r="E5" s="20">
        <f t="shared" ref="E5:E6" si="0">IF(AND(ISNUMBER(C5),ISNUMBER(D5)), C5-D5, "")</f>
        <v>195.19000000000051</v>
      </c>
      <c r="F5" s="21">
        <f>IFERROR(E5/D5, "")</f>
        <v>1.2382158881640955E-2</v>
      </c>
      <c r="G5" s="22">
        <v>0</v>
      </c>
      <c r="H5" s="22">
        <f t="shared" ref="H5:H6" si="1">IF(AND(ISNUMBER(C5),ISNUMBER(G5)), C5-G5, "")</f>
        <v>15959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17413</v>
      </c>
      <c r="D6" s="14">
        <v>23930.07</v>
      </c>
      <c r="E6" s="14">
        <f t="shared" si="0"/>
        <v>-6517.07</v>
      </c>
      <c r="F6" s="15">
        <f t="shared" ref="F6" si="3">IFERROR(E6/D6, "")</f>
        <v>-0.27233810849696638</v>
      </c>
      <c r="G6" s="16">
        <v>0</v>
      </c>
      <c r="H6" s="16">
        <f t="shared" si="1"/>
        <v>17413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K4" sqref="K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49228</v>
      </c>
      <c r="D2" s="6">
        <f>SUM(D4:D91)</f>
        <v>72341.81</v>
      </c>
      <c r="E2" s="6">
        <f>C2-D2</f>
        <v>-23113.809999999998</v>
      </c>
      <c r="F2" s="7">
        <f>IFERROR(E2/D2, 0)</f>
        <v>-0.31950831752758191</v>
      </c>
      <c r="G2" s="6">
        <f>SUM(G4:G91)</f>
        <v>0</v>
      </c>
      <c r="H2" s="8">
        <f>C2-G2</f>
        <v>49228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34796</v>
      </c>
      <c r="D4" s="14">
        <v>33888.19</v>
      </c>
      <c r="E4" s="14">
        <f>IF(AND(ISNUMBER(C4),ISNUMBER(D4)), C4-D4, "")</f>
        <v>907.80999999999767</v>
      </c>
      <c r="F4" s="15">
        <f>IFERROR(E4/D4, "")</f>
        <v>2.678838852119271E-2</v>
      </c>
      <c r="G4" s="16">
        <v>0</v>
      </c>
      <c r="H4" s="16">
        <f>IF(AND(ISNUMBER(C4),ISNUMBER(G4)), C4-G4, "")</f>
        <v>34796</v>
      </c>
      <c r="I4" s="17" t="str">
        <f>IFERROR(H4/G4, "")</f>
        <v/>
      </c>
      <c r="J4" s="18" t="s">
        <v>36</v>
      </c>
      <c r="K4" s="18" t="s">
        <v>37</v>
      </c>
    </row>
    <row r="5" spans="1:11" ht="15.6">
      <c r="A5" s="32" t="str">
        <v>AZ: Lake Havasu - HS Library</v>
      </c>
      <c r="B5" s="33" t="str">
        <v>AZ</v>
      </c>
      <c r="C5" s="43">
        <v>15423</v>
      </c>
      <c r="D5" s="43">
        <v>15271.26</v>
      </c>
      <c r="E5" s="20">
        <f t="shared" ref="E5:E6" si="0">IF(AND(ISNUMBER(C5),ISNUMBER(D5)), C5-D5, "")</f>
        <v>151.73999999999978</v>
      </c>
      <c r="F5" s="21">
        <f>IFERROR(E5/D5, "")</f>
        <v>9.9363117385205795E-3</v>
      </c>
      <c r="G5" s="22">
        <v>0</v>
      </c>
      <c r="H5" s="22">
        <f t="shared" ref="H5:H6" si="1">IF(AND(ISNUMBER(C5),ISNUMBER(G5)), C5-G5, "")</f>
        <v>15423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-991</v>
      </c>
      <c r="D6" s="14">
        <v>23182.36</v>
      </c>
      <c r="E6" s="14">
        <f t="shared" si="0"/>
        <v>-24173.360000000001</v>
      </c>
      <c r="F6" s="15">
        <f t="shared" ref="F6" si="3">IFERROR(E6/D6, "")</f>
        <v>-1.0427480204776389</v>
      </c>
      <c r="G6" s="16">
        <v>0</v>
      </c>
      <c r="H6" s="16">
        <f t="shared" si="1"/>
        <v>-991</v>
      </c>
      <c r="I6" s="17" t="str">
        <f t="shared" si="2"/>
        <v/>
      </c>
      <c r="J6" s="18" t="s">
        <v>38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J4" sqref="J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67775</v>
      </c>
      <c r="D2" s="6">
        <f>SUM(D4:D91)</f>
        <v>66969.89</v>
      </c>
      <c r="E2" s="6">
        <f>C2-D2</f>
        <v>805.11000000000058</v>
      </c>
      <c r="F2" s="7">
        <f>IFERROR(E2/D2, 0)</f>
        <v>1.2021969873326663E-2</v>
      </c>
      <c r="G2" s="6">
        <f>SUM(G4:G91)</f>
        <v>0</v>
      </c>
      <c r="H2" s="8">
        <f>C2-G2</f>
        <v>67775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32797</v>
      </c>
      <c r="D4" s="14">
        <v>31599.17</v>
      </c>
      <c r="E4" s="14">
        <f>IF(AND(ISNUMBER(C4),ISNUMBER(D4)), C4-D4, "")</f>
        <v>1197.8300000000017</v>
      </c>
      <c r="F4" s="15">
        <f>IFERROR(E4/D4, "")</f>
        <v>3.7907008316990662E-2</v>
      </c>
      <c r="G4" s="16">
        <v>0</v>
      </c>
      <c r="H4" s="16">
        <f>IF(AND(ISNUMBER(C4),ISNUMBER(G4)), C4-G4, "")</f>
        <v>32797</v>
      </c>
      <c r="I4" s="17" t="str">
        <f>IFERROR(H4/G4, "")</f>
        <v/>
      </c>
      <c r="J4" s="18" t="s">
        <v>41</v>
      </c>
      <c r="K4" s="18" t="s">
        <v>42</v>
      </c>
    </row>
    <row r="5" spans="1:11" ht="15.6">
      <c r="A5" s="32" t="str">
        <v>AZ: Lake Havasu - HS Library</v>
      </c>
      <c r="B5" s="33" t="str">
        <v>AZ</v>
      </c>
      <c r="C5" s="43">
        <v>14631</v>
      </c>
      <c r="D5" s="43">
        <v>14046.96</v>
      </c>
      <c r="E5" s="20">
        <f t="shared" ref="E5:E6" si="0">IF(AND(ISNUMBER(C5),ISNUMBER(D5)), C5-D5, "")</f>
        <v>584.04000000000087</v>
      </c>
      <c r="F5" s="21">
        <f>IFERROR(E5/D5, "")</f>
        <v>4.1577679440960955E-2</v>
      </c>
      <c r="G5" s="22">
        <v>0</v>
      </c>
      <c r="H5" s="22">
        <f t="shared" ref="H5:H6" si="1">IF(AND(ISNUMBER(C5),ISNUMBER(G5)), C5-G5, "")</f>
        <v>14631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20347</v>
      </c>
      <c r="D6" s="14">
        <v>21323.759999999998</v>
      </c>
      <c r="E6" s="14">
        <f t="shared" si="0"/>
        <v>-976.7599999999984</v>
      </c>
      <c r="F6" s="15">
        <f t="shared" ref="F6" si="3">IFERROR(E6/D6, "")</f>
        <v>-4.5806180523509855E-2</v>
      </c>
      <c r="G6" s="16">
        <v>0</v>
      </c>
      <c r="H6" s="16">
        <f t="shared" si="1"/>
        <v>20347</v>
      </c>
      <c r="I6" s="17" t="str">
        <f t="shared" si="2"/>
        <v/>
      </c>
      <c r="J6" s="18" t="s">
        <v>38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tabSelected="1" workbookViewId="0">
      <pane ySplit="2" topLeftCell="A3" activePane="bottomLeft" state="frozen"/>
      <selection pane="bottomLeft" activeCell="G18" sqref="G1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62850</v>
      </c>
      <c r="D2" s="6">
        <f>SUM(D4:D91)</f>
        <v>61365.789999999994</v>
      </c>
      <c r="E2" s="6">
        <f>C2-D2</f>
        <v>1484.2100000000064</v>
      </c>
      <c r="F2" s="7">
        <f>IFERROR(E2/D2, 0)</f>
        <v>2.4186277077179429E-2</v>
      </c>
      <c r="G2" s="6">
        <f>SUM(G4:G91)</f>
        <v>0</v>
      </c>
      <c r="H2" s="8">
        <f>C2-G2</f>
        <v>62850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30593</v>
      </c>
      <c r="D4" s="14">
        <v>29143</v>
      </c>
      <c r="E4" s="14">
        <f>IF(AND(ISNUMBER(C4),ISNUMBER(D4)), C4-D4, "")</f>
        <v>1450</v>
      </c>
      <c r="F4" s="15">
        <f>IFERROR(E4/D4, "")</f>
        <v>4.9754658065401643E-2</v>
      </c>
      <c r="G4" s="16">
        <v>0</v>
      </c>
      <c r="H4" s="16">
        <f>IF(AND(ISNUMBER(C4),ISNUMBER(G4)), C4-G4, "")</f>
        <v>30593</v>
      </c>
      <c r="I4" s="17" t="str">
        <f>IFERROR(H4/G4, "")</f>
        <v/>
      </c>
      <c r="J4" s="18" t="s">
        <v>45</v>
      </c>
      <c r="K4" s="18" t="s">
        <v>42</v>
      </c>
    </row>
    <row r="5" spans="1:11" ht="15.6">
      <c r="A5" s="32" t="str">
        <v>AZ: Lake Havasu - HS Library</v>
      </c>
      <c r="B5" s="33" t="str">
        <v>AZ</v>
      </c>
      <c r="C5" s="43">
        <v>13532</v>
      </c>
      <c r="D5" s="43">
        <v>12796.81</v>
      </c>
      <c r="E5" s="20">
        <f t="shared" ref="E5:E6" si="0">IF(AND(ISNUMBER(C5),ISNUMBER(D5)), C5-D5, "")</f>
        <v>735.19000000000051</v>
      </c>
      <c r="F5" s="21">
        <f>IFERROR(E5/D5, "")</f>
        <v>5.7451036625534059E-2</v>
      </c>
      <c r="G5" s="22">
        <v>0</v>
      </c>
      <c r="H5" s="22">
        <f t="shared" ref="H5:H6" si="1">IF(AND(ISNUMBER(C5),ISNUMBER(G5)), C5-G5, "")</f>
        <v>13532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18725</v>
      </c>
      <c r="D6" s="14">
        <v>19425.98</v>
      </c>
      <c r="E6" s="14">
        <f t="shared" si="0"/>
        <v>-700.97999999999956</v>
      </c>
      <c r="F6" s="15">
        <f t="shared" ref="F6" si="3">IFERROR(E6/D6, "")</f>
        <v>-3.608466599883247E-2</v>
      </c>
      <c r="G6" s="16">
        <v>0</v>
      </c>
      <c r="H6" s="16">
        <f t="shared" si="1"/>
        <v>18725</v>
      </c>
      <c r="I6" s="17" t="str">
        <f t="shared" si="2"/>
        <v/>
      </c>
      <c r="J6" s="18" t="s">
        <v>38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46</v>
      </c>
      <c r="E1" s="46"/>
      <c r="F1" s="46"/>
      <c r="G1" s="44" t="s">
        <v>47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48</v>
      </c>
      <c r="E1" s="46"/>
      <c r="F1" s="46"/>
      <c r="G1" s="44" t="s">
        <v>49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50</v>
      </c>
      <c r="E1" s="46"/>
      <c r="F1" s="46"/>
      <c r="G1" s="44" t="s">
        <v>51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57</v>
      </c>
      <c r="C4" s="4" t="s">
        <v>58</v>
      </c>
      <c r="G4" s="3"/>
    </row>
    <row r="5" spans="1:7" ht="14.45">
      <c r="A5" t="s">
        <v>59</v>
      </c>
      <c r="B5" t="s">
        <v>59</v>
      </c>
      <c r="C5" s="4" t="s">
        <v>58</v>
      </c>
      <c r="G5" s="3"/>
    </row>
    <row r="6" spans="1:7" ht="14.45">
      <c r="A6" t="s">
        <v>60</v>
      </c>
      <c r="B6" t="s">
        <v>60</v>
      </c>
      <c r="C6" s="4" t="s">
        <v>58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2024-10-10T10:57:43Z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