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4" documentId="13_ncr:1_{4629F6F1-87D8-415C-91E4-DFF9F52BDB4F}" xr6:coauthVersionLast="47" xr6:coauthVersionMax="47" xr10:uidLastSave="{5C0F1136-B33B-427B-8C43-7E389EC7F781}"/>
  <bookViews>
    <workbookView xWindow="28680" yWindow="-120" windowWidth="29040" windowHeight="15720" tabRatio="866" firstSheet="11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4" i="29"/>
  <c r="A4" i="26" a="1"/>
  <c r="A4" i="26"/>
  <c r="G5" i="18"/>
  <c r="G4" i="18"/>
  <c r="A4" i="3" a="1"/>
  <c r="A4" i="3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B4" i="27" a="1"/>
  <c r="B4" i="27" s="1"/>
  <c r="A4" i="27" a="1"/>
  <c r="A4" i="27" s="1"/>
  <c r="B4" i="26" a="1"/>
  <c r="B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E4" i="30" s="1"/>
  <c r="F4" i="30" s="1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I5" i="33"/>
  <c r="H5" i="33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G5" i="34" l="1"/>
  <c r="D2" i="18"/>
  <c r="D4" i="34"/>
  <c r="E4" i="18"/>
  <c r="F4" i="18" s="1"/>
  <c r="E5" i="18"/>
  <c r="F5" i="18" s="1"/>
  <c r="E5" i="30"/>
  <c r="F5" i="30" s="1"/>
  <c r="D2" i="29"/>
  <c r="E5" i="29"/>
  <c r="F5" i="29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<sst xmlns="http://schemas.openxmlformats.org/spreadsheetml/2006/main" count="258" uniqueCount="70">
  <si>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</si>
  <si>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</si>
  <si>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</si>
  <si>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</si>
  <si>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</si>
  <si>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</si>
  <si>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</si>
  <si>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</si>
  <si>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</si>
  <si>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</si>
  <si>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</si>
  <si>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</si>
  <si>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</si>
  <si>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</si>
  <si>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</si>
  <si>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</si>
  <si>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</si>
  <si>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</si>
  <si>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</si>
  <si>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</si>
  <si>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</si>
  <si>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</si>
  <si>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</si>
  <si>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</si>
  <si>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</si>
  <si>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</si>
  <si>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</si>
  <si>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</si>
  <si>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</si>
  <si>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</si>
  <si>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</si>
  <si>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</si>
  <si>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2 left unit is offline from 07:30AM to 14:32 on 06/27.</t>
  </si>
  <si>
    <t>1. SR087060</t>
  </si>
  <si>
    <t>1. Inverter 4 left unit is offline from 06/22. Inverter being RMA'd</t>
  </si>
  <si>
    <t>1. SR086954</t>
  </si>
  <si>
    <t>July Actual v. Expected</t>
  </si>
  <si>
    <t>July Actual v. Forecasted</t>
  </si>
  <si>
    <t xml:space="preserve">
1.Inverter 4 left unit is tripped offline on 06/23/2024 
</t>
  </si>
  <si>
    <t xml:space="preserve">
1.SR086954
</t>
  </si>
  <si>
    <t>August Actual v. Expected</t>
  </si>
  <si>
    <t>August Actual v. Forecasted</t>
  </si>
  <si>
    <t xml:space="preserve">1.Inverter 3 tripped offline on 08/27/2024 for PM 
2.Inverter 1 is derating compared to peer, due to inverter left unit having multiple tripping on 08/30/2024 </t>
  </si>
  <si>
    <t>1.SR089628
2.SR090032</t>
  </si>
  <si>
    <t xml:space="preserve">1. Inverter 2 right unit tripped offline at 10:30am on 8/29/24
2.Inverter 4 left unit is tripped offline on 06/23/2024 
</t>
  </si>
  <si>
    <t xml:space="preserve">1.SR089755
2.SR086954
</t>
  </si>
  <si>
    <t>September Actual v. Expected</t>
  </si>
  <si>
    <t>September Actual v. Forecasted</t>
  </si>
  <si>
    <t xml:space="preserve">1.Inverter 1 is derating compared to peer, due to inverter left unit having multiple tripping on 08/30/2024.And it has stable operation from 09/06/2024 </t>
  </si>
  <si>
    <t>1..SR090032</t>
  </si>
  <si>
    <t xml:space="preserve">
1.Inverter 4 left unit is tripped offline on 06/23/2024 
2.Inverter 4 primary unit tripped offline at 16:30 on 09/09/2024 and back online at 13:00 on 09/27/2024 </t>
  </si>
  <si>
    <t xml:space="preserve">
1.SR086954
2.SR090259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</si>
  <si>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</si>
  <si>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</si>
  <si>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</si>
  <si>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</si>
  <si>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</si>
  <si>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</si>
  <si>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</si>
  <si>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HAJJAR SOLAR LLC</t>
  </si>
  <si>
    <t>Site DAS Name</t>
  </si>
  <si>
    <t>Update</t>
  </si>
  <si>
    <t>DAS</t>
  </si>
  <si>
    <t>24 Norfolk Ave</t>
  </si>
  <si>
    <t>South Easton - Hajjar Solar LLC</t>
  </si>
  <si>
    <t>MA</t>
  </si>
  <si>
    <t>PowerTrack</t>
  </si>
  <si>
    <t>389 Columbia Road</t>
  </si>
  <si>
    <t>Hanover - Hajjar Solar LLC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</si>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</sst>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</cellStyleXfs>
  <cellXfs count="5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1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3" fillId="0" borderId="12" xfId="45" applyFont="1" applyBorder="1"/>
    <xf numFmtId="0" fontId="0" fillId="0" borderId="13" xfId="0" applyBorder="1"/>
    <xf numFmtId="0" fontId="23" fillId="0" borderId="1" xfId="45" applyFont="1" applyBorder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2 2" xfId="45" xr:uid="{34506D49-97C2-44AE-BC0B-82057B449233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A6" sqref="A6:XFD36"/>
      <selection pane="bottomLeft"/>
      <selection pane="topRight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5">
        <f>SUM(C4:C69)</f>
        <v>393257.29749372369</v>
      </c>
      <c r="D2" s="5">
        <f>SUM(D4:D69)</f>
        <v>0</v>
      </c>
      <c r="E2" s="5">
        <f>C2-D2</f>
        <v>393257.29749372369</v>
      </c>
      <c r="F2" s="6">
        <f>IFERROR(E2/D2, 0)</f>
        <v>0</v>
      </c>
      <c r="G2" s="5">
        <f>SUM(G4:G69)</f>
        <v>943646.81</v>
      </c>
      <c r="H2" s="7">
        <f>C2-G2</f>
        <v>-550389.51250627637</v>
      </c>
      <c r="I2" s="6">
        <f>IFERROR(H2/G2, 0)</f>
        <v>-0.58325795909411948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SUM('1st Qtr'!C4, '2nd Qtr'!C4, '3rd Qtr'!C4, '4th Qtr'!C4)</f>
        <v>300099.4274986065</v>
      </c>
      <c r="D4" s="13">
        <f>SUM('1st Qtr'!D4, '2nd Qtr'!D4, '3rd Qtr'!D4, '4th Qtr'!D4)</f>
        <v>0</v>
      </c>
      <c r="E4" s="13">
        <f>IF(AND(ISNUMBER(C4),ISNUMBER(D4)), C4-D4, "")</f>
        <v>300099.4274986065</v>
      </c>
      <c r="F4" s="14" t="str">
        <f>IFERROR(E4/D4, "")</f>
        <v/>
      </c>
      <c r="G4" s="15">
        <f>SUM('1st Qtr'!G4, '2nd Qtr'!G4, '3rd Qtr'!G4, '4th Qtr'!G4)</f>
        <v>368869</v>
      </c>
      <c r="H4" s="15">
        <f>SUM('1st Qtr'!H4, '2nd Qtr'!H4, '3rd Qtr'!H4, '4th Qtr'!H4)</f>
        <v>-68769.572501393501</v>
      </c>
      <c r="I4" s="16">
        <f>IFERROR(H4/G4, "")</f>
        <v>-0.18643359160404779</v>
      </c>
    </row>
    <row r="5" spans="1:9" ht="15.6">
      <c r="A5" s="17" t="str">
        <v>Hanover - Hajjar Solar LLC</v>
      </c>
      <c r="B5" s="10" t="str">
        <v>MA</v>
      </c>
      <c r="C5" s="11">
        <f>SUM(Jan!C5, Feb!C5, Mar!C5)</f>
        <v>93157.869995117202</v>
      </c>
      <c r="D5" s="18">
        <f>SUM(Jan!D5, Feb!D5, Mar!D5)</f>
        <v>0</v>
      </c>
      <c r="E5" s="18">
        <f t="shared" ref="E5" si="0">IF(AND(ISNUMBER(C5),ISNUMBER(D5)), C5-D5, "")</f>
        <v>93157.869995117202</v>
      </c>
      <c r="F5" s="19" t="str">
        <f>IFERROR(E5/D5, "")</f>
        <v/>
      </c>
      <c r="G5" s="20">
        <f>SUM('1st Qtr'!G5, '2nd Qtr'!G5, '3rd Qtr'!G5, '4th Qtr'!G5)</f>
        <v>574777.81000000006</v>
      </c>
      <c r="H5" s="20">
        <f>SUM(Jan!H5, Feb!H5, Mar!H5)</f>
        <v>-29944.220004882798</v>
      </c>
      <c r="I5" s="19">
        <f>IFERROR(H5/G5, "")</f>
        <v>-5.209703555689249E-2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C24" sqref="C24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>
      <c r="A2" s="58" t="s">
        <v>2</v>
      </c>
      <c r="B2" s="58"/>
      <c r="C2" s="5">
        <f>SUM(C4:C69)</f>
        <v>156184.18207705702</v>
      </c>
      <c r="D2" s="5">
        <f>SUM(D4:D69)</f>
        <v>0</v>
      </c>
      <c r="E2" s="5">
        <f>C2-D2</f>
        <v>156184.18207705702</v>
      </c>
      <c r="F2" s="6">
        <f>IFERROR(E2/D2, 0)</f>
        <v>0</v>
      </c>
      <c r="G2" s="5">
        <f>SUM(G4:G69)</f>
        <v>213712.09</v>
      </c>
      <c r="H2" s="7">
        <f>C2-G2</f>
        <v>-57527.907922942977</v>
      </c>
      <c r="I2" s="6">
        <f>IFERROR(H2/G2, 0)</f>
        <v>-0.26918415295523512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SUM(Jan!C4, Feb!C4, Mar!C4)</f>
        <v>63026.31208193981</v>
      </c>
      <c r="D4" s="13">
        <f>SUM(Jan!D4, Feb!D4, Mar!D4)</f>
        <v>0</v>
      </c>
      <c r="E4" s="13">
        <f>IF(AND(ISNUMBER(C4),ISNUMBER(D4)), C4-D4, "")</f>
        <v>63026.31208193981</v>
      </c>
      <c r="F4" s="14" t="str">
        <f>IFERROR(E4/D4, "")</f>
        <v/>
      </c>
      <c r="G4" s="15">
        <f>SUM(Jan!G4, Feb!G4, Mar!G4)</f>
        <v>90610</v>
      </c>
      <c r="H4" s="15">
        <f>SUM(Jan!H4, Feb!H4, Mar!H4)</f>
        <v>-27583.68791806019</v>
      </c>
      <c r="I4" s="16">
        <f>IFERROR(H4/G4, "")</f>
        <v>-0.30442211585984097</v>
      </c>
    </row>
    <row r="5" spans="1:9" ht="15.6">
      <c r="A5" s="47" t="str">
        <v>Hanover - Hajjar Solar LLC</v>
      </c>
      <c r="B5" s="10" t="str">
        <v>MA</v>
      </c>
      <c r="C5" s="11">
        <f>SUM(Jan!C5, Feb!C5, Mar!C5)</f>
        <v>93157.869995117202</v>
      </c>
      <c r="D5" s="18">
        <f>SUM(Jan!D5, Feb!D5, Mar!D5)</f>
        <v>0</v>
      </c>
      <c r="E5" s="18">
        <f t="shared" ref="E5" si="0">IF(AND(ISNUMBER(C5),ISNUMBER(D5)), C5-D5, "")</f>
        <v>93157.869995117202</v>
      </c>
      <c r="F5" s="19" t="str">
        <f>IFERROR(E5/D5, "")</f>
        <v/>
      </c>
      <c r="G5" s="20">
        <f>SUM(Jan!G5, Feb!G5, Mar!G5)</f>
        <v>123102.09</v>
      </c>
      <c r="H5" s="20">
        <f>SUM(Jan!H5, Feb!H5, Mar!H5)</f>
        <v>-29944.220004882798</v>
      </c>
      <c r="I5" s="19">
        <f>IFERROR(H5/G5, "")</f>
        <v>-0.24324704807922271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4" activePane="bottomRight" state="frozen"/>
      <selection pane="bottomRight" activeCell="H13" sqref="H13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>
      <c r="A2" s="58" t="s">
        <v>2</v>
      </c>
      <c r="B2" s="58"/>
      <c r="C2" s="5">
        <f>SUM(C4:C69)</f>
        <v>321549.7154166667</v>
      </c>
      <c r="D2" s="5">
        <f>SUM(D4:D69)</f>
        <v>0</v>
      </c>
      <c r="E2" s="5">
        <f>C2-D2</f>
        <v>321549.7154166667</v>
      </c>
      <c r="F2" s="6">
        <f>IFERROR(E2/D2, 0)</f>
        <v>0</v>
      </c>
      <c r="G2" s="5">
        <f>SUM(G4:G69)</f>
        <v>375252.7</v>
      </c>
      <c r="H2" s="7">
        <f>C2-G2</f>
        <v>-53702.984583333309</v>
      </c>
      <c r="I2" s="6">
        <f>IFERROR(H2/G2, 0)</f>
        <v>-0.1431115208054021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SUM(Apr!C4, May!C4, Jun!C4)</f>
        <v>120216.6154166667</v>
      </c>
      <c r="D4" s="13">
        <f>SUM(Apr!D4, May!D4, Jun!D4)</f>
        <v>0</v>
      </c>
      <c r="E4" s="13">
        <f>IF(AND(ISNUMBER(C4),ISNUMBER(D4)), C4-D4, "")</f>
        <v>120216.6154166667</v>
      </c>
      <c r="F4" s="14" t="str">
        <f>IFERROR(E4/D4, "")</f>
        <v/>
      </c>
      <c r="G4" s="15">
        <f>SUM(Apr!G4,May!G4,Jun!G4)</f>
        <v>138530</v>
      </c>
      <c r="H4" s="15">
        <f>SUM(Apr!H4, May!H4, Jun!H4)</f>
        <v>-18313.384583333303</v>
      </c>
      <c r="I4" s="16">
        <f>IFERROR(H4/G4, "")</f>
        <v>-0.13219796855073487</v>
      </c>
    </row>
    <row r="5" spans="1:9" ht="15.6">
      <c r="A5" s="47" t="str">
        <v>Hanover - Hajjar Solar LLC</v>
      </c>
      <c r="B5" s="10" t="str">
        <v>MA</v>
      </c>
      <c r="C5" s="11">
        <f>SUM(Apr!C5, May!C5, Jun!C5)</f>
        <v>201333.1</v>
      </c>
      <c r="D5" s="18">
        <f>SUM(Apr!D5, May!D5, Jun!D5)</f>
        <v>0</v>
      </c>
      <c r="E5" s="18">
        <f t="shared" ref="E5" si="0">IF(AND(ISNUMBER(C5),ISNUMBER(D5)), C5-D5, "")</f>
        <v>201333.1</v>
      </c>
      <c r="F5" s="19" t="str">
        <f>IFERROR(E5/D5, "")</f>
        <v/>
      </c>
      <c r="G5" s="18">
        <f>SUM(Apr!G5,May!G5,Jun!G5)</f>
        <v>236722.7</v>
      </c>
      <c r="H5" s="20">
        <f>SUM(Apr!H5, May!H5, Jun!H5)</f>
        <v>-35389.599999999999</v>
      </c>
      <c r="I5" s="19">
        <f>IFERROR(H5/G5, "")</f>
        <v>-0.14949812586625616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1"/>
  <sheetViews>
    <sheetView workbookViewId="0">
      <pane xSplit="2" ySplit="3" topLeftCell="C4" activePane="bottomRight" state="frozen"/>
      <selection pane="bottomRight" activeCell="A6" sqref="A6:XFD35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>
      <c r="A2" s="58" t="s">
        <v>2</v>
      </c>
      <c r="B2" s="58"/>
      <c r="C2" s="5">
        <f>SUM(C4:C68)</f>
        <v>276750.61999511707</v>
      </c>
      <c r="D2" s="5">
        <f>SUM(D4:D68)</f>
        <v>0</v>
      </c>
      <c r="E2" s="5">
        <f>C2-D2</f>
        <v>276750.61999511707</v>
      </c>
      <c r="F2" s="6">
        <f>IFERROR(E2/D2, 0)</f>
        <v>0</v>
      </c>
      <c r="G2" s="5">
        <f>SUM(G4:G68)</f>
        <v>354682.02</v>
      </c>
      <c r="H2" s="7">
        <f>C2-G2</f>
        <v>-77931.400004882948</v>
      </c>
      <c r="I2" s="6">
        <f>IFERROR(H2/G2, 0)</f>
        <v>-0.21972187934669749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SUM(Jul!C4, Aug!C4, Sep!C4)</f>
        <v>116856.5</v>
      </c>
      <c r="D4" s="13">
        <f>SUM(Jul!D4, Aug!D4, Sep!D4)</f>
        <v>0</v>
      </c>
      <c r="E4" s="13">
        <f>IF(AND(ISNUMBER(C4),ISNUMBER(D4)), C4-D4, "")</f>
        <v>116856.5</v>
      </c>
      <c r="F4" s="14" t="str">
        <f>IFERROR(E4/D4, "")</f>
        <v/>
      </c>
      <c r="G4" s="15">
        <f>SUM(Jul!G4,Aug!G4,Sep!G4)</f>
        <v>139729</v>
      </c>
      <c r="H4" s="15">
        <f>SUM(Jul!H4, Aug!H4, Sep!H4)</f>
        <v>-22872.500000000004</v>
      </c>
      <c r="I4" s="16">
        <f>IFERROR(H4/G4, "")</f>
        <v>-0.16369186067316022</v>
      </c>
    </row>
    <row r="5" spans="1:9" ht="15.6">
      <c r="A5" s="47" t="str">
        <v>Hanover - Hajjar Solar LLC</v>
      </c>
      <c r="B5" s="10" t="str">
        <v>MA</v>
      </c>
      <c r="C5" s="11">
        <f>SUM(Jul!C5, Aug!C5, Sep!C5)</f>
        <v>159894.1199951171</v>
      </c>
      <c r="D5" s="18">
        <f>SUM(Jul!D5, Aug!D5, Sep!D5)</f>
        <v>0</v>
      </c>
      <c r="E5" s="18">
        <f t="shared" ref="E5" si="0">IF(AND(ISNUMBER(C5),ISNUMBER(D5)), C5-D5, "")</f>
        <v>159894.1199951171</v>
      </c>
      <c r="F5" s="19" t="str">
        <f>IFERROR(E5/D5, "")</f>
        <v/>
      </c>
      <c r="G5" s="18">
        <f>SUM(Jul!G5,Aug!G5,Sep!G5)</f>
        <v>214953.02</v>
      </c>
      <c r="H5" s="20">
        <f>SUM(Jul!H5, Aug!H5, Sep!H5)</f>
        <v>-55058.900004882897</v>
      </c>
      <c r="I5" s="19">
        <f>IFERROR(H5/G5, "")</f>
        <v>-0.25614387741508771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2.75"/>
  </sheetData>
  <mergeCells count="4">
    <mergeCell ref="G1:I1"/>
    <mergeCell ref="A1:C1"/>
    <mergeCell ref="D1:F1"/>
    <mergeCell ref="A2:B2"/>
  </mergeCells>
  <conditionalFormatting sqref="F2 I2 F4:F68 I4:I6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4" activePane="bottomRight" state="frozen"/>
      <selection pane="bottomRight" activeCell="A6" sqref="A6:XFD36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HAJJAR SOLAR LLC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7" t="str">
        <v>Hanover - Hajjar Solar LLC</v>
      </c>
      <c r="B5" s="10" t="str">
        <v>MA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0"/>
  <sheetViews>
    <sheetView workbookViewId="0">
      <pane xSplit="2" ySplit="3" topLeftCell="C4" activePane="bottomRight" state="frozen"/>
      <selection pane="bottomRight" activeCell="C14" sqref="C14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SUM(C4:C68)</f>
        <v>22427.427488840913</v>
      </c>
      <c r="D2" s="5">
        <f>SUM(D4:D68)</f>
        <v>0</v>
      </c>
      <c r="E2" s="5">
        <f>C2-D2</f>
        <v>22427.427488840913</v>
      </c>
      <c r="F2" s="6">
        <f>IFERROR(E2/D2, 0)</f>
        <v>0</v>
      </c>
      <c r="G2" s="5">
        <f>SUM(G4:G68)</f>
        <v>52572.45</v>
      </c>
      <c r="H2" s="7">
        <f>C2-G2</f>
        <v>-30145.022511159084</v>
      </c>
      <c r="I2" s="6">
        <f>IFERROR(H2/G2, 0)</f>
        <v>-0.57339961350781798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South Easton - Hajjar Solar LLC</v>
      </c>
      <c r="B4" s="28" t="str" cm="1">
        <f t="array" ref="B4:B5">Sites[State]</f>
        <v>MA</v>
      </c>
      <c r="C4" s="13">
        <v>7854.4374986065104</v>
      </c>
      <c r="D4" s="13">
        <v>0</v>
      </c>
      <c r="E4" s="13">
        <f>IF(AND(ISNUMBER(C4),ISNUMBER(D4)), C4-D4, "")</f>
        <v>7854.4374986065104</v>
      </c>
      <c r="F4" s="43" t="str">
        <f>IFERROR(E4/D4, "")</f>
        <v/>
      </c>
      <c r="G4" s="15">
        <v>23810</v>
      </c>
      <c r="H4" s="15">
        <f>IF(AND(ISNUMBER(C4),ISNUMBER(G4)), C4-G4, "")</f>
        <v>-15955.56250139349</v>
      </c>
      <c r="I4" s="16">
        <f>IFERROR(H4/G4, "")</f>
        <v>-0.67012022265407345</v>
      </c>
      <c r="J4" s="40"/>
      <c r="K4" s="40"/>
    </row>
    <row r="5" spans="1:11" ht="15.6">
      <c r="A5" s="50" t="str">
        <v>Hanover - Hajjar Solar LLC</v>
      </c>
      <c r="B5" s="30" t="str">
        <v>MA</v>
      </c>
      <c r="C5" s="18">
        <v>14572.9899902344</v>
      </c>
      <c r="D5" s="18">
        <v>0</v>
      </c>
      <c r="E5" s="18">
        <f t="shared" ref="E5" si="0">IF(AND(ISNUMBER(C5),ISNUMBER(D5)), C5-D5, "")</f>
        <v>14572.9899902344</v>
      </c>
      <c r="F5" s="43" t="str">
        <f t="shared" ref="F5" si="1">IFERROR(E5/D5, "")</f>
        <v/>
      </c>
      <c r="G5" s="20">
        <v>28762.45</v>
      </c>
      <c r="H5" s="20">
        <f t="shared" ref="H5" si="2">IF(AND(ISNUMBER(C5),ISNUMBER(G5)), C5-G5, "")</f>
        <v>-14189.4600097656</v>
      </c>
      <c r="I5" s="19">
        <f t="shared" ref="I5" si="3">IFERROR(H5/G5, "")</f>
        <v>-0.49333280057038253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I4:I68 F6:F6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1"/>
  <sheetViews>
    <sheetView workbookViewId="0">
      <pane xSplit="2" ySplit="3" topLeftCell="C4" activePane="bottomRight" state="frozen"/>
      <selection pane="bottomRight" activeCell="A6" sqref="A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22</v>
      </c>
      <c r="E1" s="57"/>
      <c r="F1" s="57"/>
      <c r="G1" s="55" t="s">
        <v>23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55384.754588216107</v>
      </c>
      <c r="D2" s="5">
        <f>SUM(D4:D69)</f>
        <v>0</v>
      </c>
      <c r="E2" s="5">
        <f>C2-D2</f>
        <v>55384.754588216107</v>
      </c>
      <c r="F2" s="6">
        <f>IFERROR(E2/D2, 0)</f>
        <v>0</v>
      </c>
      <c r="G2" s="5">
        <f>SUM(G4:G69)</f>
        <v>66869.64</v>
      </c>
      <c r="H2" s="7">
        <f>C2-G2</f>
        <v>-11484.885411783893</v>
      </c>
      <c r="I2" s="6">
        <f>IFERROR(H2/G2, 0)</f>
        <v>-0.17175037000025561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South Easton - Hajjar Solar LLC</v>
      </c>
      <c r="B4" s="28" t="str" cm="1">
        <f t="array" ref="B4:B5">Sites[State]</f>
        <v>MA</v>
      </c>
      <c r="C4" s="24">
        <v>23218.874583333301</v>
      </c>
      <c r="D4" s="13">
        <v>0</v>
      </c>
      <c r="E4" s="13">
        <f>IF(AND(ISNUMBER(C4),ISNUMBER(D4)), C4-D4, "")</f>
        <v>23218.874583333301</v>
      </c>
      <c r="F4" s="14" t="str">
        <f>IFERROR(E4/D4, "")</f>
        <v/>
      </c>
      <c r="G4" s="15">
        <v>28409</v>
      </c>
      <c r="H4" s="15">
        <f>IF(AND(ISNUMBER(C4),ISNUMBER(G4)), C4-G4, "")</f>
        <v>-5190.1254166666986</v>
      </c>
      <c r="I4" s="16">
        <f>IFERROR(H4/G4, "")</f>
        <v>-0.18269299928426549</v>
      </c>
      <c r="J4" s="40"/>
      <c r="K4" s="40"/>
    </row>
    <row r="5" spans="1:11" ht="15.6">
      <c r="A5" s="50" t="str">
        <v>Hanover - Hajjar Solar LLC</v>
      </c>
      <c r="B5" s="30" t="str">
        <v>MA</v>
      </c>
      <c r="C5" s="11">
        <v>32165.880004882802</v>
      </c>
      <c r="D5" s="18">
        <v>0</v>
      </c>
      <c r="E5" s="18">
        <f t="shared" ref="E5" si="0">IF(AND(ISNUMBER(C5),ISNUMBER(D5)), C5-D5, "")</f>
        <v>32165.880004882802</v>
      </c>
      <c r="F5" s="19" t="str">
        <f>IFERROR(E5/D5, "")</f>
        <v/>
      </c>
      <c r="G5" s="20">
        <v>38460.639999999999</v>
      </c>
      <c r="H5" s="20">
        <f t="shared" ref="H5" si="1">IF(AND(ISNUMBER(C5),ISNUMBER(G5)), C5-G5, "")</f>
        <v>-6294.7599951171978</v>
      </c>
      <c r="I5" s="19">
        <f t="shared" ref="I5" si="2">IFERROR(H5/G5, "")</f>
        <v>-0.16366758314778948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1"/>
  <sheetViews>
    <sheetView workbookViewId="0">
      <pane xSplit="2" ySplit="3" topLeftCell="C4" activePane="bottomRight" state="frozen"/>
      <selection pane="bottomRight" activeCell="H23" sqref="H23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24</v>
      </c>
      <c r="E1" s="57"/>
      <c r="F1" s="57"/>
      <c r="G1" s="55" t="s">
        <v>25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78372</v>
      </c>
      <c r="D2" s="5">
        <f>SUM(D4:D69)</f>
        <v>0</v>
      </c>
      <c r="E2" s="5">
        <f>C2-D2</f>
        <v>78372</v>
      </c>
      <c r="F2" s="6">
        <f>IFERROR(E2/D2, 0)</f>
        <v>0</v>
      </c>
      <c r="G2" s="5">
        <f>SUM(G4:G69)</f>
        <v>94270</v>
      </c>
      <c r="H2" s="7">
        <f>C2-G2</f>
        <v>-15898</v>
      </c>
      <c r="I2" s="6">
        <f>IFERROR(H2/G2, 0)</f>
        <v>-0.16864325872493902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31953</v>
      </c>
      <c r="D4" s="13">
        <v>0</v>
      </c>
      <c r="E4" s="13">
        <f>IF(AND(ISNUMBER(C4),ISNUMBER(D4)), C4-D4, "")</f>
        <v>31953</v>
      </c>
      <c r="F4" s="14" t="str">
        <f>IFERROR(E4/D4, "")</f>
        <v/>
      </c>
      <c r="G4" s="15">
        <v>38391</v>
      </c>
      <c r="H4" s="15">
        <f>IF(AND(ISNUMBER(C4),ISNUMBER(G4)), C4-G4, "")</f>
        <v>-6438</v>
      </c>
      <c r="I4" s="16">
        <f>IFERROR(H4/G4, "")</f>
        <v>-0.16769555364538563</v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>
        <v>46419</v>
      </c>
      <c r="D5" s="18">
        <v>0</v>
      </c>
      <c r="E5" s="18">
        <f t="shared" ref="E5" si="0">IF(AND(ISNUMBER(C5),ISNUMBER(D5)), C5-D5, "")</f>
        <v>46419</v>
      </c>
      <c r="F5" s="19" t="str">
        <f>IFERROR(E5/D5, "")</f>
        <v/>
      </c>
      <c r="G5" s="20">
        <v>55879</v>
      </c>
      <c r="H5" s="20">
        <f t="shared" ref="H5" si="1">IF(AND(ISNUMBER(C5),ISNUMBER(G5)), C5-G5, "")</f>
        <v>-9460</v>
      </c>
      <c r="I5" s="19">
        <f t="shared" ref="I5" si="2">IFERROR(H5/G5, "")</f>
        <v>-0.1692943681884071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G6" activePane="bottomRight" state="frozen"/>
      <selection pane="bottomRight" activeCell="G6" sqref="G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26</v>
      </c>
      <c r="E1" s="57"/>
      <c r="F1" s="57"/>
      <c r="G1" s="55" t="s">
        <v>27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93426.225416666697</v>
      </c>
      <c r="D2" s="5">
        <f>SUM(D4:D69)</f>
        <v>0</v>
      </c>
      <c r="E2" s="5">
        <f>C2-D2</f>
        <v>93426.225416666697</v>
      </c>
      <c r="F2" s="6">
        <f>IFERROR(E2/D2, 0)</f>
        <v>0</v>
      </c>
      <c r="G2" s="5">
        <f>SUM(G4:G69)</f>
        <v>114666.8</v>
      </c>
      <c r="H2" s="7">
        <f>C2-G2</f>
        <v>-21240.574583333306</v>
      </c>
      <c r="I2" s="6">
        <f>IFERROR(H2/G2, 0)</f>
        <v>-0.18523735364842575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33375.625416666699</v>
      </c>
      <c r="D4" s="13">
        <v>0</v>
      </c>
      <c r="E4" s="13">
        <f>IF(AND(ISNUMBER(C4),ISNUMBER(D4)), C4-D4, "")</f>
        <v>33375.625416666699</v>
      </c>
      <c r="F4" s="14" t="str">
        <f>IFERROR(E4/D4, "")</f>
        <v/>
      </c>
      <c r="G4" s="15">
        <v>43075</v>
      </c>
      <c r="H4" s="15">
        <f>IF(AND(ISNUMBER(C4),ISNUMBER(G4)), C4-G4, "")</f>
        <v>-9699.3745833333014</v>
      </c>
      <c r="I4" s="16">
        <f>IFERROR(H4/G4, "")</f>
        <v>-0.22517410524279283</v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>
        <v>60050.6</v>
      </c>
      <c r="D5" s="18">
        <v>0</v>
      </c>
      <c r="E5" s="18">
        <f t="shared" ref="E5" si="0">IF(AND(ISNUMBER(C5),ISNUMBER(D5)), C5-D5, "")</f>
        <v>60050.6</v>
      </c>
      <c r="F5" s="19" t="str">
        <f>IFERROR(E5/D5, "")</f>
        <v/>
      </c>
      <c r="G5" s="20">
        <v>71591.8</v>
      </c>
      <c r="H5" s="20">
        <f t="shared" ref="H5" si="1">IF(AND(ISNUMBER(C5),ISNUMBER(G5)), C5-G5, "")</f>
        <v>-11541.200000000004</v>
      </c>
      <c r="I5" s="19">
        <f t="shared" ref="I5" si="2">IFERROR(H5/G5, "")</f>
        <v>-0.16120840654935348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D4" activePane="bottomRight" state="frozen"/>
      <selection pane="bottomRight" activeCell="D7" sqref="D7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28</v>
      </c>
      <c r="E1" s="57"/>
      <c r="F1" s="57"/>
      <c r="G1" s="55" t="s">
        <v>29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106982.35</v>
      </c>
      <c r="D2" s="5">
        <f>SUM(D4:D69)</f>
        <v>0</v>
      </c>
      <c r="E2" s="5">
        <f>C2-D2</f>
        <v>106982.35</v>
      </c>
      <c r="F2" s="6">
        <f>IFERROR(E2/D2, 0)</f>
        <v>0</v>
      </c>
      <c r="G2" s="5">
        <f>SUM(G4:G69)</f>
        <v>129749.2</v>
      </c>
      <c r="H2" s="7">
        <f>C2-G2</f>
        <v>-22766.849999999991</v>
      </c>
      <c r="I2" s="6">
        <f>IFERROR(H2/G2, 0)</f>
        <v>-0.1754681339075693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38263.75</v>
      </c>
      <c r="D4" s="13">
        <v>0</v>
      </c>
      <c r="E4" s="13">
        <f>IF(AND(ISNUMBER(C4),ISNUMBER(D4)), C4-D4, "")</f>
        <v>38263.75</v>
      </c>
      <c r="F4" s="14" t="str">
        <f>IFERROR(E4/D4, "")</f>
        <v/>
      </c>
      <c r="G4" s="15">
        <v>47735</v>
      </c>
      <c r="H4" s="15">
        <f>IF(AND(ISNUMBER(C4),ISNUMBER(G4)), C4-G4, "")</f>
        <v>-9471.25</v>
      </c>
      <c r="I4" s="16">
        <f>IFERROR(H4/G4, "")</f>
        <v>-0.19841311406724627</v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>
        <v>68718.600000000006</v>
      </c>
      <c r="D5" s="18">
        <v>0</v>
      </c>
      <c r="E5" s="18">
        <f t="shared" ref="E5" si="0">IF(AND(ISNUMBER(C5),ISNUMBER(D5)), C5-D5, "")</f>
        <v>68718.600000000006</v>
      </c>
      <c r="F5" s="19" t="str">
        <f>IFERROR(E5/D5, "")</f>
        <v/>
      </c>
      <c r="G5" s="20">
        <v>82014.2</v>
      </c>
      <c r="H5" s="20">
        <f t="shared" ref="H5" si="1">IF(AND(ISNUMBER(C5),ISNUMBER(G5)), C5-G5, "")</f>
        <v>-13295.599999999991</v>
      </c>
      <c r="I5" s="19">
        <f t="shared" ref="I5" si="2">IFERROR(H5/G5, "")</f>
        <v>-0.16211339012024736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workbookViewId="0">
      <pane xSplit="2" ySplit="3" topLeftCell="J12" activePane="bottomRight" state="frozen"/>
      <selection pane="bottomRight" activeCell="J12" sqref="J12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30</v>
      </c>
      <c r="E1" s="57"/>
      <c r="F1" s="57"/>
      <c r="G1" s="55" t="s">
        <v>31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121141.13999999998</v>
      </c>
      <c r="D2" s="5">
        <f>SUM(D4:D69)</f>
        <v>0</v>
      </c>
      <c r="E2" s="5">
        <f>C2-D2</f>
        <v>121141.13999999998</v>
      </c>
      <c r="F2" s="6">
        <f>IFERROR(E2/D2, 0)</f>
        <v>0</v>
      </c>
      <c r="G2" s="5">
        <f>SUM(G4:G69)</f>
        <v>130836.7</v>
      </c>
      <c r="H2" s="7">
        <f>C2-G2</f>
        <v>-9695.5600000000122</v>
      </c>
      <c r="I2" s="6">
        <f>IFERROR(H2/G2, 0)</f>
        <v>-7.4104284195489589E-2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48577.24</v>
      </c>
      <c r="D4" s="13">
        <v>0</v>
      </c>
      <c r="E4" s="13">
        <f>IF(AND(ISNUMBER(C4),ISNUMBER(D4)), C4-D4, "")</f>
        <v>48577.24</v>
      </c>
      <c r="F4" s="14" t="str">
        <f>IFERROR(E4/D4, "")</f>
        <v/>
      </c>
      <c r="G4" s="15">
        <v>47720</v>
      </c>
      <c r="H4" s="15">
        <f>IF(AND(ISNUMBER(C4),ISNUMBER(G4)), C4-G4, "")</f>
        <v>857.23999999999796</v>
      </c>
      <c r="I4" s="16">
        <f>IFERROR(H4/G4, "")</f>
        <v>1.7963956412405658E-2</v>
      </c>
      <c r="J4" s="40" t="s">
        <v>32</v>
      </c>
      <c r="K4" s="40" t="s">
        <v>33</v>
      </c>
    </row>
    <row r="5" spans="1:11" ht="15.6">
      <c r="A5" s="29" t="str">
        <v>Hanover - Hajjar Solar LLC</v>
      </c>
      <c r="B5" s="30" t="str">
        <v>MA</v>
      </c>
      <c r="C5" s="11">
        <v>72563.899999999994</v>
      </c>
      <c r="D5" s="18">
        <v>0</v>
      </c>
      <c r="E5" s="18">
        <f t="shared" ref="E5" si="0">IF(AND(ISNUMBER(C5),ISNUMBER(D5)), C5-D5, "")</f>
        <v>72563.899999999994</v>
      </c>
      <c r="F5" s="19" t="str">
        <f>IFERROR(E5/D5, "")</f>
        <v/>
      </c>
      <c r="G5" s="20">
        <v>83116.7</v>
      </c>
      <c r="H5" s="20">
        <f t="shared" ref="H5" si="1">IF(AND(ISNUMBER(C5),ISNUMBER(G5)), C5-G5, "")</f>
        <v>-10552.800000000003</v>
      </c>
      <c r="I5" s="19">
        <f t="shared" ref="I5" si="2">IFERROR(H5/G5, "")</f>
        <v>-0.12696365471680185</v>
      </c>
      <c r="J5" s="41" t="s">
        <v>34</v>
      </c>
      <c r="K5" s="41" t="s">
        <v>35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C4" activePane="bottomRight" state="frozen"/>
      <selection pane="bottomRight" activeCell="J4" sqref="J4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36</v>
      </c>
      <c r="E1" s="57"/>
      <c r="F1" s="57"/>
      <c r="G1" s="55" t="s">
        <v>37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107332.6350097656</v>
      </c>
      <c r="D2" s="5">
        <f>SUM(D4:D69)</f>
        <v>0</v>
      </c>
      <c r="E2" s="5">
        <f>C2-D2</f>
        <v>107332.6350097656</v>
      </c>
      <c r="F2" s="6">
        <f>IFERROR(E2/D2, 0)</f>
        <v>0</v>
      </c>
      <c r="G2" s="5">
        <f>SUM(G4:G69)</f>
        <v>133777.83000000002</v>
      </c>
      <c r="H2" s="7">
        <f>C2-G2</f>
        <v>-26445.19499023442</v>
      </c>
      <c r="I2" s="6">
        <f>IFERROR(H2/G2, 0)</f>
        <v>-0.19767995182934583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44848.375</v>
      </c>
      <c r="D4" s="13">
        <v>0</v>
      </c>
      <c r="E4" s="13">
        <f>IF(AND(ISNUMBER(C4),ISNUMBER(D4)), C4-D4, "")</f>
        <v>44848.375</v>
      </c>
      <c r="F4" s="14" t="str">
        <f>IFERROR(E4/D4, "")</f>
        <v/>
      </c>
      <c r="G4" s="15">
        <v>51021</v>
      </c>
      <c r="H4" s="15">
        <f>IF(AND(ISNUMBER(C4),ISNUMBER(G4)), C4-G4, "")</f>
        <v>-6172.625</v>
      </c>
      <c r="I4" s="16">
        <f>IFERROR(H4/G4, "")</f>
        <v>-0.12098204660825934</v>
      </c>
      <c r="J4" s="40"/>
      <c r="K4" s="40"/>
    </row>
    <row r="5" spans="1:11" ht="45.75">
      <c r="A5" s="29" t="str">
        <v>Hanover - Hajjar Solar LLC</v>
      </c>
      <c r="B5" s="30" t="str">
        <v>MA</v>
      </c>
      <c r="C5" s="11">
        <v>62484.260009765603</v>
      </c>
      <c r="D5" s="18">
        <v>0</v>
      </c>
      <c r="E5" s="18">
        <f t="shared" ref="E5" si="0">IF(AND(ISNUMBER(C5),ISNUMBER(D5)), C5-D5, "")</f>
        <v>62484.260009765603</v>
      </c>
      <c r="F5" s="19" t="str">
        <f>IFERROR(E5/D5, "")</f>
        <v/>
      </c>
      <c r="G5" s="20">
        <v>82756.83</v>
      </c>
      <c r="H5" s="20">
        <f t="shared" ref="H5" si="1">IF(AND(ISNUMBER(C5),ISNUMBER(G5)), C5-G5, "")</f>
        <v>-20272.569990234399</v>
      </c>
      <c r="I5" s="19">
        <f t="shared" ref="I5" si="2">IFERROR(H5/G5, "")</f>
        <v>-0.24496552115679635</v>
      </c>
      <c r="J5" s="41" t="s">
        <v>38</v>
      </c>
      <c r="K5" s="41" t="s">
        <v>39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J13" activePane="bottomRight" state="frozen"/>
      <selection pane="bottomRight" activeCell="J13" sqref="J13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40</v>
      </c>
      <c r="E1" s="57"/>
      <c r="F1" s="57"/>
      <c r="G1" s="55" t="s">
        <v>41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99145.285391204699</v>
      </c>
      <c r="D2" s="5">
        <f>SUM(D4:D69)</f>
        <v>0</v>
      </c>
      <c r="E2" s="5">
        <f>C2-D2</f>
        <v>99145.285391204699</v>
      </c>
      <c r="F2" s="6">
        <f>IFERROR(E2/D2, 0)</f>
        <v>0</v>
      </c>
      <c r="G2" s="5">
        <f>SUM(G4:G69)</f>
        <v>122624.78</v>
      </c>
      <c r="H2" s="7">
        <f>C2-G2</f>
        <v>-23479.494608795299</v>
      </c>
      <c r="I2" s="6">
        <f>IFERROR(H2/G2, 0)</f>
        <v>-0.19147430567292598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45.7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40993.125418060197</v>
      </c>
      <c r="D4" s="13">
        <v>0</v>
      </c>
      <c r="E4" s="13">
        <f>IF(AND(ISNUMBER(C4),ISNUMBER(D4)), C4-D4, "")</f>
        <v>40993.125418060197</v>
      </c>
      <c r="F4" s="14" t="str">
        <f>IFERROR(E4/D4, "")</f>
        <v/>
      </c>
      <c r="G4" s="15">
        <v>48449</v>
      </c>
      <c r="H4" s="15">
        <f>IF(AND(ISNUMBER(C4),ISNUMBER(G4)), C4-G4, "")</f>
        <v>-7455.8745819398027</v>
      </c>
      <c r="I4" s="16">
        <f>IFERROR(H4/G4, "")</f>
        <v>-0.15389119655596201</v>
      </c>
      <c r="J4" s="40" t="s">
        <v>42</v>
      </c>
      <c r="K4" s="40" t="s">
        <v>43</v>
      </c>
    </row>
    <row r="5" spans="1:11" ht="45.75">
      <c r="A5" s="29" t="str">
        <v>Hanover - Hajjar Solar LLC</v>
      </c>
      <c r="B5" s="30" t="str">
        <v>MA</v>
      </c>
      <c r="C5" s="11">
        <v>58152.159973144502</v>
      </c>
      <c r="D5" s="18">
        <v>0</v>
      </c>
      <c r="E5" s="18">
        <f t="shared" ref="E5" si="0">IF(AND(ISNUMBER(C5),ISNUMBER(D5)), C5-D5, "")</f>
        <v>58152.159973144502</v>
      </c>
      <c r="F5" s="19" t="str">
        <f>IFERROR(E5/D5, "")</f>
        <v/>
      </c>
      <c r="G5" s="20">
        <v>74175.78</v>
      </c>
      <c r="H5" s="20">
        <f t="shared" ref="H5" si="1">IF(AND(ISNUMBER(C5),ISNUMBER(G5)), C5-G5, "")</f>
        <v>-16023.620026855497</v>
      </c>
      <c r="I5" s="19">
        <f t="shared" ref="I5" si="2">IFERROR(H5/G5, "")</f>
        <v>-0.21602226531160842</v>
      </c>
      <c r="J5" s="41" t="s">
        <v>44</v>
      </c>
      <c r="K5" s="41" t="s">
        <v>45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tabSelected="1" workbookViewId="0">
      <pane xSplit="2" ySplit="3" topLeftCell="C4" activePane="bottomRight" state="frozen"/>
      <selection pane="bottomRight" activeCell="F11" sqref="F11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46</v>
      </c>
      <c r="E1" s="57"/>
      <c r="F1" s="57"/>
      <c r="G1" s="55" t="s">
        <v>47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70272.699594146805</v>
      </c>
      <c r="D2" s="5">
        <f>SUM(D4:D69)</f>
        <v>0</v>
      </c>
      <c r="E2" s="5">
        <f>C2-D2</f>
        <v>70272.699594146805</v>
      </c>
      <c r="F2" s="6">
        <f>IFERROR(E2/D2, 0)</f>
        <v>0</v>
      </c>
      <c r="G2" s="5">
        <f>SUM(G4:G69)</f>
        <v>98279.41</v>
      </c>
      <c r="H2" s="7">
        <f>C2-G2</f>
        <v>-28006.710405853199</v>
      </c>
      <c r="I2" s="6">
        <f>IFERROR(H2/G2, 0)</f>
        <v>-0.28497027409762837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0.7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31014.999581939799</v>
      </c>
      <c r="D4" s="13">
        <v>0</v>
      </c>
      <c r="E4" s="13">
        <f>IF(AND(ISNUMBER(C4),ISNUMBER(D4)), C4-D4, "")</f>
        <v>31014.999581939799</v>
      </c>
      <c r="F4" s="14" t="str">
        <f>IFERROR(E4/D4, "")</f>
        <v/>
      </c>
      <c r="G4" s="15">
        <v>40259</v>
      </c>
      <c r="H4" s="15">
        <f>IF(AND(ISNUMBER(C4),ISNUMBER(G4)), C4-G4, "")</f>
        <v>-9244.0004180602009</v>
      </c>
      <c r="I4" s="16">
        <f>IFERROR(H4/G4, "")</f>
        <v>-0.22961326456345665</v>
      </c>
      <c r="J4" s="40" t="s">
        <v>48</v>
      </c>
      <c r="K4" s="40" t="s">
        <v>49</v>
      </c>
    </row>
    <row r="5" spans="1:11" ht="60.75">
      <c r="A5" s="29" t="str">
        <v>Hanover - Hajjar Solar LLC</v>
      </c>
      <c r="B5" s="30" t="str">
        <v>MA</v>
      </c>
      <c r="C5" s="11">
        <v>39257.700012207002</v>
      </c>
      <c r="D5" s="18">
        <v>0</v>
      </c>
      <c r="E5" s="18">
        <f t="shared" ref="E5" si="0">IF(AND(ISNUMBER(C5),ISNUMBER(D5)), C5-D5, "")</f>
        <v>39257.700012207002</v>
      </c>
      <c r="F5" s="19" t="str">
        <f>IFERROR(E5/D5, "")</f>
        <v/>
      </c>
      <c r="G5" s="20">
        <v>58020.41</v>
      </c>
      <c r="H5" s="20">
        <f t="shared" ref="H5" si="1">IF(AND(ISNUMBER(C5),ISNUMBER(G5)), C5-G5, "")</f>
        <v>-18762.709987793001</v>
      </c>
      <c r="I5" s="19">
        <f t="shared" ref="I5" si="2">IFERROR(H5/G5, "")</f>
        <v>-0.32338120305928553</v>
      </c>
      <c r="J5" s="41" t="s">
        <v>50</v>
      </c>
      <c r="K5" s="41" t="s">
        <v>51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6" activePane="bottomRight" state="frozen"/>
      <selection pane="bottomRight" activeCell="A6" sqref="A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52</v>
      </c>
      <c r="E1" s="57"/>
      <c r="F1" s="57"/>
      <c r="G1" s="55" t="s">
        <v>53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A6" sqref="A6:XFD3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54</v>
      </c>
      <c r="E1" s="57"/>
      <c r="F1" s="57"/>
      <c r="G1" s="55" t="s">
        <v>55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C4" activePane="bottomRight" state="frozen"/>
      <selection pane="bottomRight" activeCell="A6" sqref="A6:XFD36"/>
      <selection pane="bottomLeft" activeCell="A6" sqref="A6:XFD36"/>
      <selection pane="topRight" activeCell="A6" sqref="A6:XFD36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HAJJAR SOLAR LLC</v>
      </c>
      <c r="B1" s="56"/>
      <c r="C1" s="56"/>
      <c r="D1" s="57" t="s">
        <v>56</v>
      </c>
      <c r="E1" s="57"/>
      <c r="F1" s="57"/>
      <c r="G1" s="55" t="s">
        <v>57</v>
      </c>
      <c r="H1" s="55"/>
      <c r="I1" s="55"/>
      <c r="J1" s="4"/>
      <c r="K1" s="4"/>
    </row>
    <row r="2" spans="1:11" ht="19.5" customHeight="1">
      <c r="A2" s="58" t="s">
        <v>2</v>
      </c>
      <c r="B2" s="58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7109375" customWidth="1"/>
    <col min="4" max="4" width="9.28515625" customWidth="1"/>
    <col min="5" max="5" width="24.28515625" customWidth="1"/>
    <col min="6" max="10" width="9.28515625" customWidth="1"/>
    <col min="11" max="12" width="22" bestFit="1" customWidth="1"/>
    <col min="13" max="14" width="9.28515625" customWidth="1"/>
  </cols>
  <sheetData>
    <row r="1" spans="1:12" ht="12.75" customHeight="1">
      <c r="A1" t="s">
        <v>58</v>
      </c>
      <c r="B1" s="2" t="s">
        <v>59</v>
      </c>
    </row>
    <row r="3" spans="1:12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12" ht="14.45">
      <c r="A4" s="51" t="s">
        <v>63</v>
      </c>
      <c r="B4" s="51" t="s">
        <v>64</v>
      </c>
      <c r="C4" s="51" t="s">
        <v>65</v>
      </c>
      <c r="D4" s="52"/>
      <c r="E4" s="54" t="s">
        <v>66</v>
      </c>
      <c r="G4" s="3"/>
    </row>
    <row r="5" spans="1:12" ht="14.45">
      <c r="A5" s="53" t="s">
        <v>67</v>
      </c>
      <c r="B5" s="53" t="s">
        <v>68</v>
      </c>
      <c r="C5" s="51" t="s">
        <v>65</v>
      </c>
      <c r="D5" s="52" t="s">
        <v>69</v>
      </c>
      <c r="E5" s="54" t="s">
        <v>66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2024-10-17T18:48:05Z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2024-10-17T18:44:55Z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65dc6046-f844-4f41-a2ad-42995875d621</vt:lpwstr>
  </property>
  <property fmtid="{D5CDD505-2E9C-101B-9397-08002B2CF9AE}" pid="9" name="MSIP_Label_9d817c99-0b37-4a07-8277-96aa1f96b74b_ContentBits">
    <vt:lpwstr>0</vt:lpwstr>
  </property>
</Properties>
</file>