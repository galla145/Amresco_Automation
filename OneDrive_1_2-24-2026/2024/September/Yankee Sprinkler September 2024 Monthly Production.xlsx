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6" documentId="13_ncr:1_{9B71C7A8-3A67-43F5-8360-FC627F9FE4C4}" xr6:coauthVersionLast="47" xr6:coauthVersionMax="47" xr10:uidLastSave="{208927E0-1218-459B-8533-F8D716DD151D}"/>
  <bookViews>
    <workbookView xWindow="28680" yWindow="-120" windowWidth="29040" windowHeight="15720" tabRatio="866" firstSheet="3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G5" i="18"/>
  <c r="G4" i="18"/>
  <c r="F5" i="34"/>
  <c r="G4" i="34"/>
  <c r="E4" i="4"/>
  <c r="E4" i="72"/>
  <c r="F4" i="72" s="1"/>
  <c r="E5" i="72"/>
  <c r="F5" i="72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G5" i="1"/>
  <c r="G5" i="34" s="1"/>
  <c r="G4" i="1"/>
  <c r="D5" i="34"/>
  <c r="C5" i="34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C4" i="34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5" i="72"/>
  <c r="I5" i="72" s="1"/>
  <c r="H4" i="72"/>
  <c r="I4" i="72" s="1"/>
  <c r="G2" i="72"/>
  <c r="D2" i="72"/>
  <c r="C2" i="72"/>
  <c r="J2" i="72" s="1"/>
  <c r="A1" i="72" a="1"/>
  <c r="A1" i="72" s="1"/>
  <c r="D4" i="34" l="1"/>
  <c r="E5" i="18"/>
  <c r="F5" i="18" s="1"/>
  <c r="D2" i="18"/>
  <c r="E5" i="30"/>
  <c r="F5" i="30" s="1"/>
  <c r="E4" i="18"/>
  <c r="F4" i="18" s="1"/>
  <c r="D2" i="34"/>
  <c r="D2" i="29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5" i="34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H5" i="18"/>
  <c r="I5" i="18" s="1"/>
  <c r="H5" i="34"/>
  <c r="I5" i="34" s="1"/>
  <c r="C2" i="29"/>
  <c r="C2" i="30"/>
  <c r="E4" i="29"/>
  <c r="F4" i="29" s="1"/>
  <c r="C2" i="18"/>
  <c r="H4" i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4" i="18" l="1"/>
  <c r="H4" i="34"/>
  <c r="I4" i="34" s="1"/>
  <c r="E4" i="34"/>
  <c r="F4" i="34" s="1"/>
  <c r="E2" i="29"/>
  <c r="F2" i="29" s="1"/>
  <c r="G2" i="34"/>
  <c r="H2" i="1"/>
  <c r="I2" i="1" s="1"/>
  <c r="C2" i="34"/>
  <c r="I4" i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<sst xmlns="http://schemas.openxmlformats.org/spreadsheetml/2006/main" count="251" uniqueCount="62">
  <si>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</si>
  <si>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</si>
  <si>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</si>
  <si>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</si>
  <si>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</si>
  <si>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</si>
  <si>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</si>
  <si>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</si>
  <si>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</si>
  <si>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</si>
  <si>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</si>
  <si>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</si>
  <si>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</si>
  <si>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</si>
  <si>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</si>
  <si>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</si>
  <si>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</si>
  <si>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</si>
  <si>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</si>
  <si>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</si>
  <si>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</si>
  <si>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</si>
  <si>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/>
  </si>
  <si>
    <t>February Actual v. Expected</t>
  </si>
  <si>
    <t>February Actual v. Forecasted</t>
  </si>
  <si>
    <t xml:space="preserve">1. Inverter 2 tripped offline on 02/03 at 16:00 &amp; back online on 02/06 at 14:25. </t>
  </si>
  <si>
    <t>1. SR080701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</si>
  <si>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</si>
  <si>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</si>
  <si>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</si>
  <si>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</si>
  <si>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</si>
  <si>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</si>
  <si>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 Site was offline due to utility outage from 05:15 to 10:15 AM on 05/28 but inverter 5 and 3 were not back online when site came back online. Inverter 5 was back online at 14:45 on 05/28 and inverter 3 was back online on next day</t>
  </si>
  <si>
    <t xml:space="preserve">1. SR085207	</t>
  </si>
  <si>
    <t>1. Site was offline on 05/28 due to utility outage and later came back online on 05/29.
2. Inverter 2 tripped offline at 16:45 on 05/22 and back online at 11:45 on 05/23</t>
  </si>
  <si>
    <t>1. SR085206
2. SR085049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</si>
  <si>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</si>
  <si>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</si>
  <si>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</si>
  <si>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</si>
  <si>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</si>
  <si>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</si>
  <si>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</si>
  <si>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</si>
  <si>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</si>
  <si>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</si>
  <si>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</si>
  <si>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</si>
  <si>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</si>
  <si>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</si>
  <si>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</si>
  <si>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Yankee Sprinkler</t>
  </si>
  <si>
    <t>Site DAS Name</t>
  </si>
  <si>
    <t>Update</t>
  </si>
  <si>
    <t>DAS</t>
  </si>
  <si>
    <t>Yankee Sprinkler Phase 1</t>
  </si>
  <si>
    <t>Yankee Phase 1</t>
  </si>
  <si>
    <t>MA</t>
  </si>
  <si>
    <t>PowerTrack</t>
  </si>
  <si>
    <t>Yankee Sprinkler Phase 2</t>
  </si>
  <si>
    <t>Yankee Phase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</si>
</sst>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4" fillId="36" borderId="1" xfId="0" applyNumberFormat="1" applyFont="1" applyFill="1" applyBorder="1" applyAlignment="1">
      <alignment horizontal="center" vertical="center"/>
    </xf>
    <xf numFmtId="9" fontId="24" fillId="36" borderId="1" xfId="0" applyNumberFormat="1" applyFont="1" applyFill="1" applyBorder="1" applyAlignment="1">
      <alignment horizontal="center" vertical="center"/>
    </xf>
    <xf numFmtId="3" fontId="24" fillId="36" borderId="1" xfId="1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 wrapText="1"/>
    </xf>
    <xf numFmtId="49" fontId="27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64" fontId="27" fillId="0" borderId="0" xfId="1" applyNumberFormat="1" applyFont="1" applyBorder="1" applyAlignment="1">
      <alignment horizontal="center" vertical="center"/>
    </xf>
    <xf numFmtId="3" fontId="29" fillId="3" borderId="0" xfId="0" applyNumberFormat="1" applyFont="1" applyFill="1" applyAlignment="1">
      <alignment horizontal="right" vertical="center"/>
    </xf>
    <xf numFmtId="9" fontId="29" fillId="3" borderId="0" xfId="2" applyFont="1" applyFill="1" applyBorder="1" applyAlignment="1">
      <alignment horizontal="center" vertical="center"/>
    </xf>
    <xf numFmtId="3" fontId="29" fillId="4" borderId="0" xfId="1" applyNumberFormat="1" applyFont="1" applyFill="1" applyBorder="1" applyAlignment="1">
      <alignment vertical="center"/>
    </xf>
    <xf numFmtId="9" fontId="29" fillId="37" borderId="0" xfId="2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right" vertical="center"/>
    </xf>
    <xf numFmtId="9" fontId="29" fillId="0" borderId="0" xfId="2" applyFont="1" applyFill="1" applyBorder="1" applyAlignment="1">
      <alignment horizontal="center" vertical="center"/>
    </xf>
    <xf numFmtId="3" fontId="29" fillId="0" borderId="0" xfId="1" applyNumberFormat="1" applyFont="1" applyFill="1" applyBorder="1" applyAlignment="1">
      <alignment vertical="center"/>
    </xf>
    <xf numFmtId="0" fontId="31" fillId="0" borderId="0" xfId="0" applyFont="1"/>
    <xf numFmtId="9" fontId="30" fillId="0" borderId="0" xfId="2" applyFont="1" applyAlignment="1">
      <alignment horizontal="center"/>
    </xf>
    <xf numFmtId="0" fontId="28" fillId="43" borderId="1" xfId="0" applyFont="1" applyFill="1" applyBorder="1" applyAlignment="1">
      <alignment horizontal="center" vertical="center" wrapText="1"/>
    </xf>
    <xf numFmtId="164" fontId="27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0" fontId="28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40" borderId="0" xfId="0" applyFont="1" applyFill="1" applyAlignment="1">
      <alignment horizontal="center"/>
    </xf>
    <xf numFmtId="0" fontId="29" fillId="0" borderId="0" xfId="0" applyFont="1"/>
    <xf numFmtId="0" fontId="24" fillId="0" borderId="0" xfId="0" applyFont="1"/>
    <xf numFmtId="0" fontId="23" fillId="41" borderId="1" xfId="0" applyFont="1" applyFill="1" applyBorder="1" applyAlignment="1">
      <alignment horizontal="center" vertical="center" wrapText="1"/>
    </xf>
    <xf numFmtId="9" fontId="23" fillId="41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/>
    </xf>
    <xf numFmtId="0" fontId="23" fillId="42" borderId="1" xfId="0" applyFont="1" applyFill="1" applyBorder="1" applyAlignment="1">
      <alignment horizontal="center" vertical="center" wrapText="1"/>
    </xf>
    <xf numFmtId="9" fontId="23" fillId="42" borderId="1" xfId="2" applyFont="1" applyFill="1" applyBorder="1" applyAlignment="1">
      <alignment horizontal="center" vertical="center" wrapText="1"/>
    </xf>
    <xf numFmtId="0" fontId="23" fillId="42" borderId="1" xfId="0" applyFont="1" applyFill="1" applyBorder="1" applyAlignment="1">
      <alignment horizontal="center" vertical="center"/>
    </xf>
    <xf numFmtId="49" fontId="29" fillId="38" borderId="0" xfId="2" applyNumberFormat="1" applyFont="1" applyFill="1" applyBorder="1" applyAlignment="1">
      <alignment vertical="top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7" fillId="0" borderId="0" xfId="1" applyNumberFormat="1" applyFont="1" applyFill="1" applyBorder="1" applyAlignment="1">
      <alignment horizontal="center" vertical="center"/>
    </xf>
    <xf numFmtId="0" fontId="33" fillId="40" borderId="0" xfId="0" applyFont="1" applyFill="1" applyAlignment="1">
      <alignment horizontal="center" vertical="center"/>
    </xf>
    <xf numFmtId="49" fontId="26" fillId="40" borderId="0" xfId="0" applyNumberFormat="1" applyFont="1" applyFill="1" applyAlignment="1">
      <alignment horizontal="center" vertical="center"/>
    </xf>
    <xf numFmtId="49" fontId="27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3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F27" sqref="F27"/>
      <selection pane="topRight" activeCell="F27" sqref="F27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Yankee Sprinkler</v>
      </c>
      <c r="B1" s="47"/>
      <c r="C1" s="47"/>
      <c r="D1" s="48" t="s">
        <v>0</v>
      </c>
      <c r="E1" s="48"/>
      <c r="F1" s="48"/>
      <c r="G1" s="46" t="s">
        <v>1</v>
      </c>
      <c r="H1" s="46"/>
      <c r="I1" s="46"/>
    </row>
    <row r="2" spans="1:9" ht="19.5" customHeight="1">
      <c r="A2" s="49" t="s">
        <v>2</v>
      </c>
      <c r="B2" s="49"/>
      <c r="C2" s="5">
        <f>SUM(C4:C77)</f>
        <v>171684.94915299467</v>
      </c>
      <c r="D2" s="5">
        <f>SUM(D4:D77)</f>
        <v>0</v>
      </c>
      <c r="E2" s="5">
        <f>C2-D2</f>
        <v>171684.94915299467</v>
      </c>
      <c r="F2" s="6">
        <f>IFERROR(E2/D2, 0)</f>
        <v>0</v>
      </c>
      <c r="G2" s="5">
        <f>SUM(G4:G77)</f>
        <v>185833.30000000002</v>
      </c>
      <c r="H2" s="7">
        <f>C2-G2</f>
        <v>-14148.350847005349</v>
      </c>
      <c r="I2" s="6">
        <f>IFERROR(H2/G2, 0)</f>
        <v>-7.6134637048394169E-2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3" t="str" cm="1">
        <f t="array" ref="A4:A5">Sites[Site]</f>
        <v>Yankee Phase 1</v>
      </c>
      <c r="B4" s="30" t="str" cm="1">
        <f t="array" ref="B4:B5">Sites[State]</f>
        <v>MA</v>
      </c>
      <c r="C4" s="23">
        <f>SUM('1st Qtr'!C4, '2nd Qtr'!C4, '3rd Qtr'!C4, '4th Qtr'!C4)</f>
        <v>157786.14915299468</v>
      </c>
      <c r="D4" s="12">
        <f>SUM('1st Qtr'!D4, '2nd Qtr'!D4, '3rd Qtr'!D4, '4th Qtr'!D4)</f>
        <v>0</v>
      </c>
      <c r="E4" s="12">
        <f>IF(AND(ISNUMBER(C4),ISNUMBER(D4)), C4-D4, "")</f>
        <v>157786.14915299468</v>
      </c>
      <c r="F4" s="13" t="str">
        <f>IFERROR(E4/D4, "")</f>
        <v/>
      </c>
      <c r="G4" s="14">
        <f>SUM('1st Qtr'!G4, '2nd Qtr'!G4, '3rd Qtr'!G4, '4th Qtr'!G4)</f>
        <v>185833.30000000002</v>
      </c>
      <c r="H4" s="14">
        <f>SUM('1st Qtr'!H4, '2nd Qtr'!H4, '3rd Qtr'!H4, '4th Qtr'!H4)</f>
        <v>-28047.150847005305</v>
      </c>
      <c r="I4" s="15">
        <f>IFERROR(H4/G4, "")</f>
        <v>-0.15092639934288044</v>
      </c>
    </row>
    <row r="5" spans="1:9" ht="15.6">
      <c r="A5" s="28" t="str">
        <v>Yankee Phase 2</v>
      </c>
      <c r="B5" s="28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SUM('1st Qtr'!G5, '2nd Qtr'!G5, '3rd Qtr'!G5, '4th Qtr'!G5)</f>
        <v>0</v>
      </c>
      <c r="H5" s="19">
        <f>SUM(Jan!H5, Feb!H5, Mar!H5)</f>
        <v>13898.8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7 I4:I77">
    <cfRule type="cellIs" dxfId="40" priority="1" stopIfTrue="1" operator="lessThanOrEqual">
      <formula>-0.1</formula>
    </cfRule>
    <cfRule type="expression" dxfId="39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Yankee Sprinkler</v>
      </c>
      <c r="B1" s="47"/>
      <c r="C1" s="47"/>
      <c r="D1" s="48" t="s">
        <v>10</v>
      </c>
      <c r="E1" s="48"/>
      <c r="F1" s="48"/>
      <c r="G1" s="46" t="s">
        <v>11</v>
      </c>
      <c r="H1" s="46"/>
      <c r="I1" s="46"/>
    </row>
    <row r="2" spans="1:9" ht="19.5" customHeight="1">
      <c r="A2" s="49" t="s">
        <v>2</v>
      </c>
      <c r="B2" s="49"/>
      <c r="C2" s="5">
        <f>SUM(C4:C77)</f>
        <v>41603.64</v>
      </c>
      <c r="D2" s="5">
        <f>SUM(D4:D77)</f>
        <v>0</v>
      </c>
      <c r="E2" s="5">
        <f>C2-D2</f>
        <v>41603.64</v>
      </c>
      <c r="F2" s="6">
        <f>IFERROR(E2/D2, 0)</f>
        <v>0</v>
      </c>
      <c r="G2" s="5">
        <f>SUM(G4:G77)</f>
        <v>40231.33</v>
      </c>
      <c r="H2" s="7">
        <f>C2-G2</f>
        <v>1372.3099999999977</v>
      </c>
      <c r="I2" s="6">
        <f>IFERROR(H2/G2, 0)</f>
        <v>3.4110480563282336E-2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SUM(Jan!C4, Feb!C4, Mar!C4)</f>
        <v>27704.84</v>
      </c>
      <c r="D4" s="12">
        <f>SUM(Jan!D4, Feb!D4, Mar!D4)</f>
        <v>0</v>
      </c>
      <c r="E4" s="12">
        <f>IF(AND(ISNUMBER(C4),ISNUMBER(D4)), C4-D4, "")</f>
        <v>27704.84</v>
      </c>
      <c r="F4" s="13" t="str">
        <f>IFERROR(E4/D4, "")</f>
        <v/>
      </c>
      <c r="G4" s="14">
        <f>SUM(Jan!G4, Feb!G4, Mar!G4)</f>
        <v>40231.33</v>
      </c>
      <c r="H4" s="14">
        <f>SUM(Jan!H4, Feb!H4, Mar!H4)</f>
        <v>-12526.49</v>
      </c>
      <c r="I4" s="15">
        <f>IFERROR(H4/G4, "")</f>
        <v>-0.31136156821064576</v>
      </c>
    </row>
    <row r="5" spans="1:9" ht="15.6">
      <c r="A5" s="16" t="str">
        <v>Yankee Phase 2</v>
      </c>
      <c r="B5" s="10" t="str">
        <v>MA</v>
      </c>
      <c r="C5" s="11">
        <f>SUM(Jan!C5, Feb!C5, Mar!C5)</f>
        <v>13898.8</v>
      </c>
      <c r="D5" s="17">
        <f>SUM(Jan!D5, Feb!D5, Mar!D5)</f>
        <v>0</v>
      </c>
      <c r="E5" s="17">
        <f t="shared" ref="E5" si="0">IF(AND(ISNUMBER(C5),ISNUMBER(D5)), C5-D5, "")</f>
        <v>13898.8</v>
      </c>
      <c r="F5" s="18" t="str">
        <f>IFERROR(E5/D5, "")</f>
        <v/>
      </c>
      <c r="G5" s="19">
        <f>SUM(Jan!G5, Feb!G5, Mar!G5)</f>
        <v>0</v>
      </c>
      <c r="H5" s="19">
        <f>SUM(Jan!H5, Feb!H5, Mar!H5)</f>
        <v>13898.8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7 I4:I77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9"/>
  <sheetViews>
    <sheetView workbookViewId="0">
      <pane xSplit="2" ySplit="3" topLeftCell="G4" activePane="bottomRight" state="frozen"/>
      <selection pane="bottomRight" activeCell="G11" sqref="G11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Yankee Sprinkler</v>
      </c>
      <c r="B1" s="47"/>
      <c r="C1" s="47"/>
      <c r="D1" s="48" t="s">
        <v>12</v>
      </c>
      <c r="E1" s="48"/>
      <c r="F1" s="48"/>
      <c r="G1" s="46" t="s">
        <v>13</v>
      </c>
      <c r="H1" s="46"/>
      <c r="I1" s="46"/>
    </row>
    <row r="2" spans="1:9" ht="19.5" customHeight="1">
      <c r="A2" s="49" t="s">
        <v>2</v>
      </c>
      <c r="B2" s="49"/>
      <c r="C2" s="5">
        <f>SUM(C4:C77)</f>
        <v>102361.96399999999</v>
      </c>
      <c r="D2" s="5">
        <f>SUM(D4:D77)</f>
        <v>0</v>
      </c>
      <c r="E2" s="5">
        <f>C2-D2</f>
        <v>102361.96399999999</v>
      </c>
      <c r="F2" s="6">
        <f>IFERROR(E2/D2, 0)</f>
        <v>0</v>
      </c>
      <c r="G2" s="5">
        <f>SUM(G4:G77)</f>
        <v>74436.05</v>
      </c>
      <c r="H2" s="7">
        <f>C2-G2</f>
        <v>27925.91399999999</v>
      </c>
      <c r="I2" s="6">
        <f>IFERROR(H2/G2, 0)</f>
        <v>0.3751665221354436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SUM(Apr!C4, May!C4, Jun!C4)</f>
        <v>68696.41399999999</v>
      </c>
      <c r="D4" s="12">
        <f>SUM(Apr!D4, May!D4, Jun!D4)</f>
        <v>0</v>
      </c>
      <c r="E4" s="12">
        <f>IF(AND(ISNUMBER(C4),ISNUMBER(D4)), C4-D4, "")</f>
        <v>68696.41399999999</v>
      </c>
      <c r="F4" s="13" t="str">
        <f>IFERROR(E4/D4, "")</f>
        <v/>
      </c>
      <c r="G4" s="14">
        <f>SUM(Apr!G4,May!G4,Jun!G4)</f>
        <v>74436.05</v>
      </c>
      <c r="H4" s="14">
        <f>SUM(Apr!H4, May!H4, Jun!H4)</f>
        <v>-5739.6360000000059</v>
      </c>
      <c r="I4" s="15">
        <f>IFERROR(H4/G4, "")</f>
        <v>-7.710828288174891E-2</v>
      </c>
    </row>
    <row r="5" spans="1:9" ht="15.6">
      <c r="A5" s="16" t="str">
        <v>Yankee Phase 2</v>
      </c>
      <c r="B5" s="10" t="str">
        <v>MA</v>
      </c>
      <c r="C5" s="11">
        <f>SUM(Apr!C5, May!C5, Jun!C5)</f>
        <v>33665.550000000003</v>
      </c>
      <c r="D5" s="17">
        <f>SUM(Apr!D5, May!D5, Jun!D5)</f>
        <v>0</v>
      </c>
      <c r="E5" s="17">
        <f t="shared" ref="E5" si="0">IF(AND(ISNUMBER(C5),ISNUMBER(D5)), C5-D5, "")</f>
        <v>33665.550000000003</v>
      </c>
      <c r="F5" s="18" t="str">
        <f>IFERROR(E5/D5, "")</f>
        <v/>
      </c>
      <c r="G5" s="20">
        <f>SUM(Apr!G5,May!G5,Jun!G5)</f>
        <v>0</v>
      </c>
      <c r="H5" s="19">
        <f>SUM(Apr!H5, May!H5, Jun!H5)</f>
        <v>33665.550000000003</v>
      </c>
      <c r="I5" s="18" t="str">
        <f>IFERROR(H5/G5, "")</f>
        <v/>
      </c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7 I4:I77">
    <cfRule type="cellIs" dxfId="36" priority="3" stopIfTrue="1" operator="lessThanOrEqual">
      <formula>-0.1</formula>
    </cfRule>
    <cfRule type="expression" dxfId="35" priority="4">
      <formula>AND(ISNUMBER(F2), F2&gt;=0.1)</formula>
    </cfRule>
  </conditionalFormatting>
  <conditionalFormatting sqref="G5">
    <cfRule type="cellIs" dxfId="34" priority="1" stopIfTrue="1" operator="lessThanOrEqual">
      <formula>-0.1</formula>
    </cfRule>
    <cfRule type="expression" dxfId="33" priority="2">
      <formula>AND(ISNUMBER(G5), G5&gt;=0.1)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9"/>
  <sheetViews>
    <sheetView workbookViewId="0">
      <pane xSplit="2" ySplit="3" topLeftCell="C4" activePane="bottomRight" state="frozen"/>
      <selection pane="bottomRight" activeCell="C4" sqref="C4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Yankee Sprinkler</v>
      </c>
      <c r="B1" s="47"/>
      <c r="C1" s="47"/>
      <c r="D1" s="48" t="s">
        <v>14</v>
      </c>
      <c r="E1" s="48"/>
      <c r="F1" s="48"/>
      <c r="G1" s="46" t="s">
        <v>15</v>
      </c>
      <c r="H1" s="46"/>
      <c r="I1" s="46"/>
    </row>
    <row r="2" spans="1:9" ht="19.5" customHeight="1">
      <c r="A2" s="49" t="s">
        <v>2</v>
      </c>
      <c r="B2" s="49"/>
      <c r="C2" s="5">
        <f>SUM(C4:C77)</f>
        <v>91821.281383463516</v>
      </c>
      <c r="D2" s="5">
        <f>SUM(D4:D77)</f>
        <v>0</v>
      </c>
      <c r="E2" s="5">
        <f>C2-D2</f>
        <v>91821.281383463516</v>
      </c>
      <c r="F2" s="6">
        <f>IFERROR(E2/D2, 0)</f>
        <v>0</v>
      </c>
      <c r="G2" s="5">
        <f>SUM(G4:G77)</f>
        <v>71165.920000000013</v>
      </c>
      <c r="H2" s="7">
        <f>C2-G2</f>
        <v>20655.361383463503</v>
      </c>
      <c r="I2" s="6">
        <f>IFERROR(H2/G2, 0)</f>
        <v>0.29024231519052235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SUM(Jul!C4, Aug!C4, Sep!C4)</f>
        <v>61384.895152994701</v>
      </c>
      <c r="D4" s="12">
        <f>SUM(Jul!D4, Aug!D4, Sep!D4)</f>
        <v>0</v>
      </c>
      <c r="E4" s="12">
        <f>IF(AND(ISNUMBER(C4),ISNUMBER(D4)), C4-D4, "")</f>
        <v>61384.895152994701</v>
      </c>
      <c r="F4" s="13" t="str">
        <f>IFERROR(E4/D4, "")</f>
        <v/>
      </c>
      <c r="G4" s="14">
        <f>SUM(Jul!G4,Aug!G4,Sep!G4)</f>
        <v>71165.920000000013</v>
      </c>
      <c r="H4" s="14">
        <f>SUM(Jul!H4, Aug!H4, Sep!H4)</f>
        <v>-9781.0248470053011</v>
      </c>
      <c r="I4" s="15">
        <f>IFERROR(H4/G4, "")</f>
        <v>-0.13743973023893036</v>
      </c>
    </row>
    <row r="5" spans="1:9" ht="15.6">
      <c r="A5" s="16" t="str">
        <v>Yankee Phase 2</v>
      </c>
      <c r="B5" s="10" t="str">
        <v>MA</v>
      </c>
      <c r="C5" s="11">
        <f>SUM(Jul!C5, Aug!C5, Sep!C5)</f>
        <v>30436.386230468815</v>
      </c>
      <c r="D5" s="17">
        <f>SUM(Jul!D5, Aug!D5, Sep!D5)</f>
        <v>0</v>
      </c>
      <c r="E5" s="17">
        <f t="shared" ref="E5" si="0">IF(AND(ISNUMBER(C5),ISNUMBER(D5)), C5-D5, "")</f>
        <v>30436.386230468815</v>
      </c>
      <c r="F5" s="18" t="str">
        <f>IFERROR(E5/D5, "")</f>
        <v/>
      </c>
      <c r="G5" s="17">
        <f>SUM(Jul!G5,Aug!G5,Sep!G5)</f>
        <v>0</v>
      </c>
      <c r="H5" s="19">
        <f>SUM(Jul!H5, Aug!H5, Sep!H5)</f>
        <v>30436.386230468815</v>
      </c>
      <c r="I5" s="18" t="str">
        <f>IFERROR(H5/G5, "")</f>
        <v/>
      </c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9"/>
  <sheetViews>
    <sheetView workbookViewId="0">
      <pane xSplit="2" ySplit="3" topLeftCell="C4" activePane="bottomRight" state="frozen"/>
      <selection pane="bottomRight" activeCell="C23" sqref="C23"/>
      <selection pane="bottomLeft" activeCell="C23" sqref="C23"/>
      <selection pane="topRight" activeCell="C23" sqref="C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7" t="str" cm="1">
        <f t="array" ref="A1">portfolio</f>
        <v>Yankee Sprinkler</v>
      </c>
      <c r="B1" s="47"/>
      <c r="C1" s="47"/>
      <c r="D1" s="48" t="s">
        <v>16</v>
      </c>
      <c r="E1" s="48"/>
      <c r="F1" s="48"/>
      <c r="G1" s="46" t="s">
        <v>17</v>
      </c>
      <c r="H1" s="46"/>
      <c r="I1" s="46"/>
    </row>
    <row r="2" spans="1:9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</row>
    <row r="4" spans="1:9" ht="15.6">
      <c r="A4" s="44" t="str" cm="1">
        <f t="array" ref="A4:A5">Sites[Site]</f>
        <v>Yankee Phase 1</v>
      </c>
      <c r="B4" s="9" t="str" cm="1">
        <f t="array" ref="B4:B5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 t="str">
        <v>Yankee Phase 2</v>
      </c>
      <c r="B5" s="10" t="str">
        <v>MA</v>
      </c>
      <c r="C5" s="11">
        <f>SUM(Oct!C5, Nov!C5, Dec!C5)</f>
        <v>0</v>
      </c>
      <c r="D5" s="17">
        <f>SUM(Oct!D5, Nov!D5, Dec!D5)</f>
        <v>0</v>
      </c>
      <c r="E5" s="17">
        <f t="shared" ref="E5" si="0">IF(AND(ISNUMBER(C5),ISNUMBER(D5)), C5-D5, "")</f>
        <v>0</v>
      </c>
      <c r="F5" s="18" t="str">
        <f>IFERROR(E5/D5, "")</f>
        <v/>
      </c>
      <c r="G5" s="19"/>
      <c r="H5" s="19">
        <f>SUM(Oct!H5, Nov!H5, Dec!H5)</f>
        <v>0</v>
      </c>
      <c r="I5" s="18" t="str">
        <f>IFERROR(H5/G5, "")</f>
        <v/>
      </c>
    </row>
    <row r="6" spans="1:9" ht="14.45">
      <c r="A6" s="20"/>
      <c r="B6" s="10"/>
      <c r="C6" s="42"/>
      <c r="D6" s="17"/>
      <c r="E6" s="17"/>
      <c r="F6" s="18"/>
      <c r="G6" s="19"/>
      <c r="H6" s="19"/>
      <c r="I6" s="18"/>
    </row>
    <row r="7" spans="1:9" ht="14.45">
      <c r="A7" s="20"/>
      <c r="B7" s="10"/>
      <c r="C7" s="42"/>
      <c r="D7" s="17"/>
      <c r="E7" s="17"/>
      <c r="F7" s="18"/>
      <c r="G7" s="19"/>
      <c r="H7" s="19"/>
      <c r="I7" s="18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1"/>
      <c r="G10" s="20"/>
      <c r="H10" s="20"/>
      <c r="I10" s="21"/>
    </row>
    <row r="11" spans="1:9" ht="13.9">
      <c r="A11" s="20"/>
      <c r="B11" s="20"/>
      <c r="C11" s="20"/>
      <c r="D11" s="20"/>
      <c r="E11" s="20"/>
      <c r="F11" s="21"/>
      <c r="G11" s="20"/>
      <c r="H11" s="20"/>
      <c r="I11" s="21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</sheetData>
  <mergeCells count="4">
    <mergeCell ref="G1:I1"/>
    <mergeCell ref="A1:C1"/>
    <mergeCell ref="D1:F1"/>
    <mergeCell ref="A2:B2"/>
  </mergeCells>
  <conditionalFormatting sqref="F2 I2 F4:F77 I4:I77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8"/>
  <sheetViews>
    <sheetView workbookViewId="0">
      <pane xSplit="2" ySplit="3" topLeftCell="C4" activePane="bottomRight" state="frozen"/>
      <selection pane="bottomRight" activeCell="I4" sqref="I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18</v>
      </c>
      <c r="E1" s="48"/>
      <c r="F1" s="48"/>
      <c r="G1" s="46" t="s">
        <v>19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SUM(C4:C76)</f>
        <v>5686.9</v>
      </c>
      <c r="D2" s="5">
        <f>SUM(D4:D76)</f>
        <v>0</v>
      </c>
      <c r="E2" s="5">
        <f>C2-D2</f>
        <v>5686.9</v>
      </c>
      <c r="F2" s="6">
        <f>IFERROR(E2/D2, 0)</f>
        <v>0</v>
      </c>
      <c r="G2" s="5">
        <f>SUM(G4:G76)</f>
        <v>9297.5300000000007</v>
      </c>
      <c r="H2" s="7">
        <f>C2-G2</f>
        <v>-3610.630000000001</v>
      </c>
      <c r="I2" s="6">
        <f>IFERROR(H2/G2, 0)</f>
        <v>-0.38834292548666161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8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3764</v>
      </c>
      <c r="D4" s="12">
        <v>0</v>
      </c>
      <c r="E4" s="12">
        <f>IF(AND(ISNUMBER(C4),ISNUMBER(D4)), C4-D4, "")</f>
        <v>3764</v>
      </c>
      <c r="F4" s="12" t="str">
        <f>IFERROR(E4/D4, "")</f>
        <v/>
      </c>
      <c r="G4" s="14">
        <v>9297.5300000000007</v>
      </c>
      <c r="H4" s="14">
        <f>IF(AND(ISNUMBER(C4),ISNUMBER(G4)), C4-G4, "")</f>
        <v>-5533.5300000000007</v>
      </c>
      <c r="I4" s="15">
        <f>IFERROR(H4/G4, "")</f>
        <v>-0.59516129552687658</v>
      </c>
      <c r="J4" s="39" t="s">
        <v>22</v>
      </c>
      <c r="K4" s="39" t="s">
        <v>22</v>
      </c>
    </row>
    <row r="5" spans="1:11" ht="15.6">
      <c r="A5" s="28" t="str">
        <v>Yankee Phase 2</v>
      </c>
      <c r="B5" s="29" t="str">
        <v>MA</v>
      </c>
      <c r="C5" s="11">
        <v>1922.9</v>
      </c>
      <c r="D5" s="17">
        <v>0</v>
      </c>
      <c r="E5" s="17">
        <f t="shared" ref="E5" si="0">IF(AND(ISNUMBER(C5),ISNUMBER(D5)), C5-D5, "")</f>
        <v>1922.9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1922.9</v>
      </c>
      <c r="I5" s="18" t="str">
        <f t="shared" ref="I5" si="3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1"/>
      <c r="G9" s="20"/>
      <c r="H9" s="20"/>
      <c r="I9" s="21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</sheetData>
  <mergeCells count="4">
    <mergeCell ref="D1:F1"/>
    <mergeCell ref="A1:C1"/>
    <mergeCell ref="G1:I1"/>
    <mergeCell ref="A2:B2"/>
  </mergeCells>
  <conditionalFormatting sqref="F2 I2 I4:I76 F6:F76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L9" sqref="L9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23</v>
      </c>
      <c r="E1" s="48"/>
      <c r="F1" s="48"/>
      <c r="G1" s="46" t="s">
        <v>24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12645.24</v>
      </c>
      <c r="D2" s="5">
        <f>SUM(D4:D77)</f>
        <v>0</v>
      </c>
      <c r="E2" s="5">
        <f>C2-D2</f>
        <v>12645.24</v>
      </c>
      <c r="F2" s="6">
        <f>IFERROR(E2/D2, 0)</f>
        <v>0</v>
      </c>
      <c r="G2" s="5">
        <f>SUM(G4:G77)</f>
        <v>12570</v>
      </c>
      <c r="H2" s="7">
        <f>C2-G2</f>
        <v>75.239999999999782</v>
      </c>
      <c r="I2" s="6">
        <f>IFERROR(H2/G2, 0)</f>
        <v>5.9856801909307705E-3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43" t="str" cm="1">
        <f t="array" ref="A4:A5">Sites[Site]</f>
        <v>Yankee Phase 1</v>
      </c>
      <c r="B4" s="27" t="str" cm="1">
        <f t="array" ref="B4:B5">Sites[State]</f>
        <v>MA</v>
      </c>
      <c r="C4" s="23">
        <v>8538.14</v>
      </c>
      <c r="D4" s="12">
        <v>0</v>
      </c>
      <c r="E4" s="12">
        <f>IF(AND(ISNUMBER(C4),ISNUMBER(D4)), C4-D4, "")</f>
        <v>8538.14</v>
      </c>
      <c r="F4" s="12" t="str">
        <f>IFERROR(E4/D4, "")</f>
        <v/>
      </c>
      <c r="G4" s="14">
        <v>12570</v>
      </c>
      <c r="H4" s="14">
        <f>IF(AND(ISNUMBER(C4),ISNUMBER(G4)), C4-G4, "")</f>
        <v>-4031.8600000000006</v>
      </c>
      <c r="I4" s="15">
        <f>IFERROR(H4/G4, "")</f>
        <v>-0.32075258552108199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4107.1000000000004</v>
      </c>
      <c r="D5" s="17">
        <v>0</v>
      </c>
      <c r="E5" s="17">
        <f t="shared" ref="E5" si="0">IF(AND(ISNUMBER(C5),ISNUMBER(D5)), C5-D5, "")</f>
        <v>4107.1000000000004</v>
      </c>
      <c r="F5" s="17" t="str">
        <f t="shared" ref="F5" si="1">IFERROR(E5/D5, "")</f>
        <v/>
      </c>
      <c r="G5" s="19">
        <v>0</v>
      </c>
      <c r="H5" s="19">
        <f t="shared" ref="H5" si="2">IF(AND(ISNUMBER(C5),ISNUMBER(G5)), C5-G5, "")</f>
        <v>4107.1000000000004</v>
      </c>
      <c r="I5" s="18" t="str">
        <f t="shared" ref="I5" si="3">IFERROR(H5/G5, "")</f>
        <v/>
      </c>
      <c r="J5" s="40" t="s">
        <v>25</v>
      </c>
      <c r="K5" s="40" t="s">
        <v>26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I4:I77 F6:F77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9"/>
  <sheetViews>
    <sheetView workbookViewId="0">
      <pane xSplit="2" ySplit="3" topLeftCell="C4" activePane="bottomRight" state="frozen"/>
      <selection pane="bottomRight" activeCell="J5" sqref="J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27</v>
      </c>
      <c r="E1" s="48"/>
      <c r="F1" s="48"/>
      <c r="G1" s="46" t="s">
        <v>28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23271.5</v>
      </c>
      <c r="D2" s="5">
        <f>SUM(D4:D77)</f>
        <v>0</v>
      </c>
      <c r="E2" s="5">
        <f>C2-D2</f>
        <v>23271.5</v>
      </c>
      <c r="F2" s="6">
        <f>IFERROR(E2/D2, 0)</f>
        <v>0</v>
      </c>
      <c r="G2" s="5">
        <f>SUM(G4:G77)</f>
        <v>18363.8</v>
      </c>
      <c r="H2" s="7">
        <f>C2-G2</f>
        <v>4907.7000000000007</v>
      </c>
      <c r="I2" s="6">
        <f>IFERROR(H2/G2, 0)</f>
        <v>0.26724860867576433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15402.7</v>
      </c>
      <c r="D4" s="12">
        <v>0</v>
      </c>
      <c r="E4" s="12">
        <f t="shared" ref="E4:E5" si="0">IF(AND(ISNUMBER(C4),ISNUMBER(D4)), C4-D4, "")</f>
        <v>15402.7</v>
      </c>
      <c r="F4" s="12" t="str">
        <f>IFERROR(E4/D4, "")</f>
        <v/>
      </c>
      <c r="G4" s="14">
        <v>18363.8</v>
      </c>
      <c r="H4" s="14">
        <f>IF(AND(ISNUMBER(C4),ISNUMBER(G4)), C4-G4, "")</f>
        <v>-2961.0999999999985</v>
      </c>
      <c r="I4" s="15">
        <f>IFERROR(H4/G4, "")</f>
        <v>-0.16124658295124095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7868.8</v>
      </c>
      <c r="D5" s="17">
        <v>0</v>
      </c>
      <c r="E5" s="17">
        <f t="shared" si="0"/>
        <v>7868.8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7868.8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5:F77">
    <cfRule type="cellIs" dxfId="24" priority="5" stopIfTrue="1" operator="lessThanOrEqual">
      <formula>-0.1</formula>
    </cfRule>
    <cfRule type="expression" dxfId="23" priority="6">
      <formula>AND(ISNUMBER(F2), F2&gt;=0.1)</formula>
    </cfRule>
  </conditionalFormatting>
  <conditionalFormatting sqref="I4:I77">
    <cfRule type="cellIs" dxfId="22" priority="1" stopIfTrue="1" operator="lessThanOrEqual">
      <formula>-0.1</formula>
    </cfRule>
    <cfRule type="expression" dxfId="21" priority="2">
      <formula>AND(ISNUMBER(I4), I4&gt;=0.1)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9"/>
  <sheetViews>
    <sheetView workbookViewId="0">
      <pane xSplit="2" ySplit="3" topLeftCell="C4" activePane="bottomRight" state="frozen"/>
      <selection pane="bottomRight" activeCell="J17" sqref="J17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29</v>
      </c>
      <c r="E1" s="48"/>
      <c r="F1" s="48"/>
      <c r="G1" s="46" t="s">
        <v>30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30220.784</v>
      </c>
      <c r="D2" s="5">
        <f>SUM(D4:D77)</f>
        <v>0</v>
      </c>
      <c r="E2" s="5">
        <f>C2-D2</f>
        <v>30220.784</v>
      </c>
      <c r="F2" s="6">
        <f>IFERROR(E2/D2, 0)</f>
        <v>0</v>
      </c>
      <c r="G2" s="5">
        <f>SUM(G4:G77)</f>
        <v>21548.33</v>
      </c>
      <c r="H2" s="7">
        <f>C2-G2</f>
        <v>8672.4539999999979</v>
      </c>
      <c r="I2" s="6">
        <f>IFERROR(H2/G2, 0)</f>
        <v>0.40246524904714182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20103.083999999999</v>
      </c>
      <c r="D4" s="12">
        <v>0</v>
      </c>
      <c r="E4" s="12">
        <f>IF(AND(ISNUMBER(C4),ISNUMBER(D4)), C4-D4, "")</f>
        <v>20103.083999999999</v>
      </c>
      <c r="F4" s="13" t="str">
        <f>IFERROR(E4/D4, "")</f>
        <v/>
      </c>
      <c r="G4" s="14">
        <v>21548.33</v>
      </c>
      <c r="H4" s="14">
        <f>IF(AND(ISNUMBER(C4),ISNUMBER(G4)), C4-G4, "")</f>
        <v>-1445.2460000000028</v>
      </c>
      <c r="I4" s="15">
        <f>IFERROR(H4/G4, "")</f>
        <v>-6.7069977116556254E-2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10117.700000000001</v>
      </c>
      <c r="D5" s="17">
        <v>0</v>
      </c>
      <c r="E5" s="17">
        <f t="shared" ref="E5" si="0">IF(AND(ISNUMBER(C5),ISNUMBER(D5)), C5-D5, "")</f>
        <v>10117.700000000001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10117.700000000001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9"/>
  <sheetViews>
    <sheetView workbookViewId="0">
      <pane xSplit="2" ySplit="3" topLeftCell="E4" activePane="bottomRight" state="frozen"/>
      <selection pane="bottomRight" activeCell="K5" sqref="K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31</v>
      </c>
      <c r="E1" s="48"/>
      <c r="F1" s="48"/>
      <c r="G1" s="46" t="s">
        <v>32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33683.699999999997</v>
      </c>
      <c r="D2" s="5">
        <f>SUM(D4:D77)</f>
        <v>0</v>
      </c>
      <c r="E2" s="5">
        <f>C2-D2</f>
        <v>33683.699999999997</v>
      </c>
      <c r="F2" s="6">
        <f>IFERROR(E2/D2, 0)</f>
        <v>0</v>
      </c>
      <c r="G2" s="5">
        <f>SUM(G4:G77)</f>
        <v>26153.75</v>
      </c>
      <c r="H2" s="7">
        <f>C2-G2</f>
        <v>7529.9499999999971</v>
      </c>
      <c r="I2" s="6">
        <f>IFERROR(H2/G2, 0)</f>
        <v>0.28791091143717429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43.15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22663.119999999999</v>
      </c>
      <c r="D4" s="12">
        <v>0</v>
      </c>
      <c r="E4" s="12">
        <f>IF(AND(ISNUMBER(C4),ISNUMBER(D4)), C4-D4, "")</f>
        <v>22663.119999999999</v>
      </c>
      <c r="F4" s="13" t="str">
        <f>IFERROR(E4/D4, "")</f>
        <v/>
      </c>
      <c r="G4" s="14">
        <v>26153.75</v>
      </c>
      <c r="H4" s="14">
        <f>IF(AND(ISNUMBER(C4),ISNUMBER(G4)), C4-G4, "")</f>
        <v>-3490.630000000001</v>
      </c>
      <c r="I4" s="15">
        <f>IFERROR(H4/G4, "")</f>
        <v>-0.13346575538880662</v>
      </c>
      <c r="J4" s="39" t="s">
        <v>33</v>
      </c>
      <c r="K4" s="39" t="s">
        <v>34</v>
      </c>
    </row>
    <row r="5" spans="1:11" ht="43.15">
      <c r="A5" s="28" t="str">
        <v>Yankee Phase 2</v>
      </c>
      <c r="B5" s="29" t="str">
        <v>MA</v>
      </c>
      <c r="C5" s="11">
        <v>11020.58</v>
      </c>
      <c r="D5" s="17">
        <v>0</v>
      </c>
      <c r="E5" s="17">
        <f t="shared" ref="E5" si="0">IF(AND(ISNUMBER(C5),ISNUMBER(D5)), C5-D5, "")</f>
        <v>11020.58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11020.58</v>
      </c>
      <c r="I5" s="18" t="str">
        <f t="shared" ref="I5" si="2">IFERROR(H5/G5, "")</f>
        <v/>
      </c>
      <c r="J5" s="45" t="s">
        <v>35</v>
      </c>
      <c r="K5" s="45" t="s">
        <v>36</v>
      </c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9"/>
  <sheetViews>
    <sheetView workbookViewId="0">
      <pane xSplit="2" ySplit="3" topLeftCell="C4" activePane="bottomRight" state="frozen"/>
      <selection pane="bottomRight" activeCell="J4" sqref="J4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37</v>
      </c>
      <c r="E1" s="48"/>
      <c r="F1" s="48"/>
      <c r="G1" s="46" t="s">
        <v>38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38457.479999999996</v>
      </c>
      <c r="D2" s="5">
        <f>SUM(D4:D77)</f>
        <v>0</v>
      </c>
      <c r="E2" s="5">
        <f>C2-D2</f>
        <v>38457.479999999996</v>
      </c>
      <c r="F2" s="6">
        <f>IFERROR(E2/D2, 0)</f>
        <v>0</v>
      </c>
      <c r="G2" s="5">
        <f>SUM(G4:G77)</f>
        <v>26733.97</v>
      </c>
      <c r="H2" s="7">
        <f>C2-G2</f>
        <v>11723.509999999995</v>
      </c>
      <c r="I2" s="6">
        <f>IFERROR(H2/G2, 0)</f>
        <v>0.43852484311159151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25930.21</v>
      </c>
      <c r="D4" s="12">
        <v>0</v>
      </c>
      <c r="E4" s="12">
        <f>IF(AND(ISNUMBER(C4),ISNUMBER(D4)), C4-D4, "")</f>
        <v>25930.21</v>
      </c>
      <c r="F4" s="13" t="str">
        <f>IFERROR(E4/D4, "")</f>
        <v/>
      </c>
      <c r="G4" s="14">
        <v>26733.97</v>
      </c>
      <c r="H4" s="14">
        <f>IF(AND(ISNUMBER(C4),ISNUMBER(G4)), C4-G4, "")</f>
        <v>-803.76000000000204</v>
      </c>
      <c r="I4" s="15">
        <f>IFERROR(H4/G4, "")</f>
        <v>-3.0065119396782521E-2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12527.27</v>
      </c>
      <c r="D5" s="17">
        <v>0</v>
      </c>
      <c r="E5" s="17">
        <f t="shared" ref="E5" si="0">IF(AND(ISNUMBER(C5),ISNUMBER(D5)), C5-D5, "")</f>
        <v>12527.27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12527.27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9"/>
  <sheetViews>
    <sheetView workbookViewId="0">
      <pane xSplit="2" ySplit="3" topLeftCell="C4" activePane="bottomRight" state="frozen"/>
      <selection pane="bottomRight" activeCell="D13" sqref="D13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39</v>
      </c>
      <c r="E1" s="48"/>
      <c r="F1" s="48"/>
      <c r="G1" s="46" t="s">
        <v>40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34774.716186523496</v>
      </c>
      <c r="D2" s="5">
        <f>SUM(D4:D77)</f>
        <v>0</v>
      </c>
      <c r="E2" s="5">
        <f>C2-D2</f>
        <v>34774.716186523496</v>
      </c>
      <c r="F2" s="6">
        <f>IFERROR(E2/D2, 0)</f>
        <v>0</v>
      </c>
      <c r="G2" s="5">
        <f>SUM(G4:G77)</f>
        <v>27442.12</v>
      </c>
      <c r="H2" s="7">
        <f>C2-G2</f>
        <v>7332.5961865234967</v>
      </c>
      <c r="I2" s="6">
        <f>IFERROR(H2/G2, 0)</f>
        <v>0.26720224918933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23380.829956054698</v>
      </c>
      <c r="D4" s="12">
        <v>0</v>
      </c>
      <c r="E4" s="12">
        <f>IF(AND(ISNUMBER(C4),ISNUMBER(D4)), C4-D4, "")</f>
        <v>23380.829956054698</v>
      </c>
      <c r="F4" s="13" t="str">
        <f>IFERROR(E4/D4, "")</f>
        <v/>
      </c>
      <c r="G4" s="14">
        <v>27442.12</v>
      </c>
      <c r="H4" s="14">
        <f>IF(AND(ISNUMBER(C4),ISNUMBER(G4)), C4-G4, "")</f>
        <v>-4061.2900439453006</v>
      </c>
      <c r="I4" s="15">
        <f>IFERROR(H4/G4, "")</f>
        <v>-0.1479947629390623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11393.886230468799</v>
      </c>
      <c r="D5" s="17">
        <v>0</v>
      </c>
      <c r="E5" s="17">
        <f t="shared" ref="E5" si="0">IF(AND(ISNUMBER(C5),ISNUMBER(D5)), C5-D5, "")</f>
        <v>11393.886230468799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11393.886230468799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77 I4:I77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9"/>
  <sheetViews>
    <sheetView workbookViewId="0">
      <pane xSplit="2" ySplit="3" topLeftCell="C4" activePane="bottomRight" state="frozen"/>
      <selection pane="bottomRight" activeCell="G10" sqref="G10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41</v>
      </c>
      <c r="E1" s="48"/>
      <c r="F1" s="48"/>
      <c r="G1" s="46" t="s">
        <v>42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32180.410260939301</v>
      </c>
      <c r="D2" s="5">
        <f>SUM(D4:D77)</f>
        <v>0</v>
      </c>
      <c r="E2" s="5">
        <f>C2-D2</f>
        <v>32180.410260939301</v>
      </c>
      <c r="F2" s="6">
        <f>IFERROR(E2/D2, 0)</f>
        <v>0</v>
      </c>
      <c r="G2" s="5">
        <f>SUM(G4:G77)</f>
        <v>24783.15</v>
      </c>
      <c r="H2" s="7">
        <f>C2-G2</f>
        <v>7397.2602609392998</v>
      </c>
      <c r="I2" s="6">
        <f>IFERROR(H2/G2, 0)</f>
        <v>0.2984794209347601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21486.065229201002</v>
      </c>
      <c r="D4" s="12">
        <v>0</v>
      </c>
      <c r="E4" s="12">
        <f>IF(AND(ISNUMBER(C4),ISNUMBER(D4)), C4-D4, "")</f>
        <v>21486.065229201002</v>
      </c>
      <c r="F4" s="13" t="str">
        <f>IFERROR(E4/D4, "")</f>
        <v/>
      </c>
      <c r="G4" s="14">
        <v>24783.15</v>
      </c>
      <c r="H4" s="14">
        <f>IF(AND(ISNUMBER(C4),ISNUMBER(G4)), C4-G4, "")</f>
        <v>-3297.0847707989997</v>
      </c>
      <c r="I4" s="15">
        <f>IFERROR(H4/G4, "")</f>
        <v>-0.13303735686541054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10694.345031738299</v>
      </c>
      <c r="D5" s="17">
        <v>0</v>
      </c>
      <c r="E5" s="17">
        <f t="shared" ref="E5" si="0">IF(AND(ISNUMBER(C5),ISNUMBER(D5)), C5-D5, "")</f>
        <v>10694.345031738299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10694.345031738299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9"/>
  <sheetViews>
    <sheetView workbookViewId="0">
      <pane xSplit="2" ySplit="3" topLeftCell="C4" activePane="bottomRight" state="frozen"/>
      <selection pane="bottomRight" activeCell="E15" sqref="E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43</v>
      </c>
      <c r="E1" s="48"/>
      <c r="F1" s="48"/>
      <c r="G1" s="46" t="s">
        <v>44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24866.154936000719</v>
      </c>
      <c r="D2" s="5">
        <f>SUM(D4:D77)</f>
        <v>0</v>
      </c>
      <c r="E2" s="5">
        <f>C2-D2</f>
        <v>24866.154936000719</v>
      </c>
      <c r="F2" s="6">
        <f>IFERROR(E2/D2, 0)</f>
        <v>0</v>
      </c>
      <c r="G2" s="5">
        <f>SUM(G4:G77)</f>
        <v>18940.650000000001</v>
      </c>
      <c r="H2" s="7">
        <f>C2-G2</f>
        <v>5925.5049360007179</v>
      </c>
      <c r="I2" s="6">
        <f>IFERROR(H2/G2, 0)</f>
        <v>0.31284591267990897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>
        <v>16517.999967739001</v>
      </c>
      <c r="D4" s="12">
        <v>0</v>
      </c>
      <c r="E4" s="12">
        <f>IF(AND(ISNUMBER(C4),ISNUMBER(D4)), C4-D4, "")</f>
        <v>16517.999967739001</v>
      </c>
      <c r="F4" s="13" t="str">
        <f>IFERROR(E4/D4, "")</f>
        <v/>
      </c>
      <c r="G4" s="14">
        <v>18940.650000000001</v>
      </c>
      <c r="H4" s="14">
        <f>IF(AND(ISNUMBER(C4),ISNUMBER(G4)), C4-G4, "")</f>
        <v>-2422.6500322610009</v>
      </c>
      <c r="I4" s="15">
        <f>IFERROR(H4/G4, "")</f>
        <v>-0.12790743888203418</v>
      </c>
      <c r="J4" s="39"/>
      <c r="K4" s="39"/>
    </row>
    <row r="5" spans="1:11" ht="15.6">
      <c r="A5" s="28" t="str">
        <v>Yankee Phase 2</v>
      </c>
      <c r="B5" s="29" t="str">
        <v>MA</v>
      </c>
      <c r="C5" s="11">
        <v>8348.1549682617206</v>
      </c>
      <c r="D5" s="17">
        <v>0</v>
      </c>
      <c r="E5" s="17">
        <f t="shared" ref="E5" si="0">IF(AND(ISNUMBER(C5),ISNUMBER(D5)), C5-D5, "")</f>
        <v>8348.1549682617206</v>
      </c>
      <c r="F5" s="18" t="str">
        <f>IFERROR(E5/D5, "")</f>
        <v/>
      </c>
      <c r="G5" s="19">
        <v>0</v>
      </c>
      <c r="H5" s="19">
        <f t="shared" ref="H5" si="1">IF(AND(ISNUMBER(C5),ISNUMBER(G5)), C5-G5, "")</f>
        <v>8348.1549682617206</v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45</v>
      </c>
      <c r="E1" s="48"/>
      <c r="F1" s="48"/>
      <c r="G1" s="46" t="s">
        <v>46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9"/>
  <sheetViews>
    <sheetView workbookViewId="0">
      <pane xSplit="2" ySplit="3" topLeftCell="C4" activePane="bottomRight" state="frozen"/>
      <selection pane="bottomRight" activeCell="C15" sqref="C15"/>
      <selection pane="bottomLeft" activeCell="C15" sqref="C15"/>
      <selection pane="topRight" activeCell="C15" sqref="C15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47</v>
      </c>
      <c r="E1" s="48"/>
      <c r="F1" s="48"/>
      <c r="G1" s="46" t="s">
        <v>48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9"/>
  <sheetViews>
    <sheetView workbookViewId="0">
      <pane xSplit="2" ySplit="3" topLeftCell="C4" activePane="bottomRight" state="frozen"/>
      <selection pane="bottomRight" activeCell="J25" sqref="J25"/>
      <selection pane="bottomLeft" activeCell="H30" sqref="H30"/>
      <selection pane="topRight" activeCell="H30" sqref="H30"/>
    </sheetView>
  </sheetViews>
  <sheetFormatPr defaultRowHeight="13.9"/>
  <cols>
    <col min="1" max="1" width="35.85546875" bestFit="1" customWidth="1"/>
    <col min="2" max="2" width="8.42578125" style="32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7" t="str" cm="1">
        <f t="array" ref="A1">portfolio</f>
        <v>Yankee Sprinkler</v>
      </c>
      <c r="B1" s="47"/>
      <c r="C1" s="47"/>
      <c r="D1" s="48" t="s">
        <v>49</v>
      </c>
      <c r="E1" s="48"/>
      <c r="F1" s="48"/>
      <c r="G1" s="46" t="s">
        <v>50</v>
      </c>
      <c r="H1" s="46"/>
      <c r="I1" s="46"/>
      <c r="J1" s="4"/>
      <c r="K1" s="4"/>
    </row>
    <row r="2" spans="1:11" ht="19.5" customHeight="1">
      <c r="A2" s="49" t="s">
        <v>2</v>
      </c>
      <c r="B2" s="49"/>
      <c r="C2" s="5">
        <f>SUM(C4:C77)</f>
        <v>0</v>
      </c>
      <c r="D2" s="5">
        <f>SUM(D4:D77)</f>
        <v>0</v>
      </c>
      <c r="E2" s="5">
        <f>C2-D2</f>
        <v>0</v>
      </c>
      <c r="F2" s="6">
        <f>IFERROR(E2/D2, 0)</f>
        <v>0</v>
      </c>
      <c r="G2" s="5">
        <f>SUM(G4:G77)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3" t="s">
        <v>6</v>
      </c>
      <c r="E3" s="33" t="s">
        <v>7</v>
      </c>
      <c r="F3" s="34" t="s">
        <v>8</v>
      </c>
      <c r="G3" s="35" t="s">
        <v>9</v>
      </c>
      <c r="H3" s="36" t="s">
        <v>7</v>
      </c>
      <c r="I3" s="37" t="s">
        <v>8</v>
      </c>
      <c r="J3" s="24" t="s">
        <v>20</v>
      </c>
      <c r="K3" s="24" t="s">
        <v>21</v>
      </c>
    </row>
    <row r="4" spans="1:11" ht="15.6">
      <c r="A4" s="30" t="str" cm="1">
        <f t="array" ref="A4:A5">Sites[Site]</f>
        <v>Yankee Phase 1</v>
      </c>
      <c r="B4" s="27" t="str" cm="1">
        <f t="array" ref="B4:B5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9"/>
      <c r="K4" s="39"/>
    </row>
    <row r="5" spans="1:11" ht="15.6">
      <c r="A5" s="28" t="str">
        <v>Yankee Phase 2</v>
      </c>
      <c r="B5" s="29" t="str">
        <v>MA</v>
      </c>
      <c r="C5" s="11"/>
      <c r="D5" s="17"/>
      <c r="E5" s="17" t="str">
        <f t="shared" ref="E5" si="0">IF(AND(ISNUMBER(C5),ISNUMBER(D5)), C5-D5, "")</f>
        <v/>
      </c>
      <c r="F5" s="18" t="str">
        <f>IFERROR(E5/D5, "")</f>
        <v/>
      </c>
      <c r="G5" s="19"/>
      <c r="H5" s="19" t="str">
        <f t="shared" ref="H5" si="1">IF(AND(ISNUMBER(C5),ISNUMBER(G5)), C5-G5, "")</f>
        <v/>
      </c>
      <c r="I5" s="18" t="str">
        <f t="shared" ref="I5" si="2">IFERROR(H5/G5, "")</f>
        <v/>
      </c>
      <c r="J5" s="40"/>
      <c r="K5" s="40"/>
    </row>
    <row r="6" spans="1:11" ht="14.45">
      <c r="A6" s="20"/>
      <c r="B6" s="31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31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31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31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31"/>
      <c r="C10" s="20"/>
      <c r="D10" s="20"/>
      <c r="E10" s="20"/>
      <c r="F10" s="21"/>
      <c r="G10" s="20"/>
      <c r="H10" s="20"/>
      <c r="I10" s="21"/>
      <c r="J10" s="20"/>
      <c r="K10" s="20"/>
    </row>
    <row r="11" spans="1:11" ht="14.45">
      <c r="A11" s="20"/>
      <c r="B11" s="31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1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1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1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1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1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1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1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1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1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1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1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1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1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1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1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1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1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1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1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1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1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1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1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1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1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1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1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1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1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1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1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1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1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1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1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1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1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1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1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1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1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1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1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1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1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1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1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1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1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1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1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1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1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1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1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1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1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1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1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1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1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1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1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1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1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1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1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1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1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1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1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1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1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1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1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1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1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1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1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1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1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1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1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1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1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1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1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1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1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1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1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1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1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1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1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1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1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1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1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1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1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1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1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1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1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1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1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1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1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1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1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1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1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1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1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1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1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1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1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1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1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1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1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1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1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1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1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1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1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1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1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1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1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1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1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1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1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1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1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1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1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1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1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1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1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1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1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1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1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1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1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1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1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1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1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1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1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1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1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1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1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1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1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1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1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1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1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1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1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1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1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1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1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1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1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1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1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1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1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1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1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1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1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1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1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1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1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1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1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1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1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1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1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1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1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1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1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1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1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1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1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1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1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1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1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1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1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1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1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1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1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1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1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1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1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1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1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1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1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1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1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1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1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1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1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1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1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1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1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1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1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1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1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1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1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1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1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1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1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1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1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1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1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1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1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1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1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1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1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1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1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1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1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1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1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1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1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1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1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1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1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1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1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1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1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1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1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1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1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1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1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1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1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1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1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1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1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1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1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1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1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1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1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1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1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1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1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1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1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1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1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1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1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1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1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1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1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1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1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1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1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1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1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1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1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1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1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4:F77 I4:I77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0"/>
  <sheetViews>
    <sheetView tabSelected="1" workbookViewId="0">
      <pane ySplit="3" topLeftCell="A4" activePane="bottomLeft" state="frozen"/>
      <selection pane="bottomLeft" activeCell="B14" sqref="B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51</v>
      </c>
      <c r="B1" t="s">
        <v>52</v>
      </c>
    </row>
    <row r="3" spans="1:12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12" ht="14.45">
      <c r="A4" t="s">
        <v>56</v>
      </c>
      <c r="B4" t="s">
        <v>57</v>
      </c>
      <c r="C4" t="s">
        <v>58</v>
      </c>
      <c r="E4" t="s">
        <v>59</v>
      </c>
      <c r="G4" s="3"/>
    </row>
    <row r="5" spans="1:12" ht="14.45">
      <c r="A5" t="s">
        <v>60</v>
      </c>
      <c r="B5" t="s">
        <v>61</v>
      </c>
      <c r="C5" t="s">
        <v>58</v>
      </c>
      <c r="E5" t="s">
        <v>59</v>
      </c>
      <c r="G5" s="3"/>
    </row>
    <row r="6" spans="1:12" ht="12.75" customHeight="1">
      <c r="K6" s="41"/>
      <c r="L6" s="41"/>
    </row>
    <row r="7" spans="1:12" ht="12.75" customHeight="1">
      <c r="K7" s="41"/>
      <c r="L7" s="41"/>
    </row>
    <row r="8" spans="1:12" ht="12.75" customHeight="1">
      <c r="K8" s="41"/>
      <c r="L8" s="41"/>
    </row>
    <row r="9" spans="1:12" ht="12.75" customHeight="1">
      <c r="K9" s="41"/>
      <c r="L9" s="41"/>
    </row>
    <row r="10" spans="1:12" ht="12.75" customHeight="1">
      <c r="K10" s="41"/>
      <c r="L10" s="41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D3A7101F-9A85-4235-8B03-415370C100B2}"/>
</file>

<file path=customXml/itemProps4.xml><?xml version="1.0" encoding="utf-8"?>
<ds:datastoreItem xmlns:ds="http://schemas.openxmlformats.org/officeDocument/2006/customXml" ds:itemID="{0389C43E-394D-44C0-87DC-4780FCFCFB40}"/>
</file>

<file path=customXml/itemProps5.xml><?xml version="1.0" encoding="utf-8"?>
<ds:datastoreItem xmlns:ds="http://schemas.openxmlformats.org/officeDocument/2006/customXml" ds:itemID="{8D732231-4216-4543-A665-18A2886B0EB7}"/>
</file>

<file path=customXml/itemProps6.xml><?xml version="1.0" encoding="utf-8"?>
<ds:datastoreItem xmlns:ds="http://schemas.openxmlformats.org/officeDocument/2006/customXml" ds:itemID="{F6B2B1A1-1C4B-4AC9-9A7D-7A102DD1C942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14966E4F-347B-477B-B74C-9DAC05405806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2BC74AAC-D69B-4AF1-9649-B21EF3C1C463}"/>
</file>

<file path=customXml/itemProps12.xml><?xml version="1.0" encoding="utf-8"?>
<ds:datastoreItem xmlns:ds="http://schemas.openxmlformats.org/officeDocument/2006/customXml" ds:itemID="{3AEAA9D8-2182-46BA-A58E-96C72DDA1C54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078388C9-06F9-42F4-B857-EF76B5CAF1FD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7946C510-7D04-49D8-9B25-EEC04582A1CA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2024-10-18T20:26:12Z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2024-10-18T20:10:51Z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5f926c70-9755-41c8-9181-8f4fd1711be3</vt:lpwstr>
  </property>
  <property fmtid="{D5CDD505-2E9C-101B-9397-08002B2CF9AE}" pid="9" name="MSIP_Label_9d817c99-0b37-4a07-8277-96aa1f96b74b_ContentBits">
    <vt:lpwstr>0</vt:lpwstr>
  </property>
</Properties>
</file>