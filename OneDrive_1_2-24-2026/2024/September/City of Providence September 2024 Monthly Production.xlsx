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17" documentId="13_ncr:1_{12372BFE-1485-46F6-BEB3-23224B6C82DC}" xr6:coauthVersionLast="47" xr6:coauthVersionMax="47" xr10:uidLastSave="{DD2C49E1-0C3A-4B2D-B938-CB54107DC0CC}"/>
  <bookViews>
    <workbookView xWindow="-98" yWindow="-98" windowWidth="21795" windowHeight="12975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<sst xmlns="http://schemas.openxmlformats.org/spreadsheetml/2006/main" count="242" uniqueCount="55">
  <si>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</si>
  <si>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</si>
  <si>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</si>
  <si>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</si>
  <si>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</si>
  <si>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</si>
  <si>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</si>
  <si>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</si>
  <si>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</si>
  <si>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</si>
  <si>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</si>
  <si>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</si>
  <si>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</si>
  <si>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</si>
  <si>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</si>
  <si>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</si>
  <si>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</si>
  <si>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</si>
  <si>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</si>
  <si>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</si>
  <si>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</si>
  <si>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</si>
  <si>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</si>
  <si>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</si>
  <si>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</si>
  <si>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</si>
  <si>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</si>
  <si>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</si>
  <si>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</si>
  <si>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</si>
  <si>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</si>
  <si>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</si>
  <si>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</si>
  <si>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</si>
  <si>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Inverters 8 and 14 are underperforming approximately 10kW from 07/06 and issue resolved on 07/12.</t>
  </si>
  <si>
    <t>1. SR087427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</si>
  <si>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</si>
  <si>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</si>
  <si>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</si>
  <si>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</si>
  <si>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</si>
  <si>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</si>
  <si>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</si>
  <si>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</si>
  <si>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</si>
  <si>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</si>
  <si>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</si>
  <si>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Providence</t>
  </si>
  <si>
    <t>Site DAS Name</t>
  </si>
  <si>
    <t>Update</t>
  </si>
  <si>
    <t>DAS</t>
  </si>
  <si>
    <t>RI - Providence Water</t>
  </si>
  <si>
    <t>RI</t>
  </si>
  <si>
    <t>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</si>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</sst>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5" t="str" cm="1">
        <f t="array" ref="A1">portfolio</f>
        <v>City of Providence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625187.1</v>
      </c>
      <c r="D2" s="5">
        <f>SUM(D4:D79)</f>
        <v>0</v>
      </c>
      <c r="E2" s="5">
        <f>C2-D2</f>
        <v>625187.1</v>
      </c>
      <c r="F2" s="6">
        <f>IFERROR(E2/D2, 0)</f>
        <v>0</v>
      </c>
      <c r="G2" s="5">
        <f>SUM(G4:G79)</f>
        <v>0</v>
      </c>
      <c r="H2" s="7">
        <f>C2-G2</f>
        <v>625187.1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City of Providence</v>
      </c>
      <c r="B4" s="9" t="str" cm="1">
        <f t="array" ref="B4">Sites[State]</f>
        <v>RI</v>
      </c>
      <c r="C4" s="23">
        <f>SUM('1st Qtr'!C4, '2nd Qtr'!C4, '3rd Qtr'!C4, '4th Qtr'!C4)</f>
        <v>625187.1</v>
      </c>
      <c r="D4" s="12">
        <f>SUM('1st Qtr'!D4, '2nd Qtr'!D4, '3rd Qtr'!D4, '4th Qtr'!D4)</f>
        <v>0</v>
      </c>
      <c r="E4" s="12">
        <f>IF(AND(ISNUMBER(C4),ISNUMBER(D4)), C4-D4, "")</f>
        <v>625187.1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625187.1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5" t="str" cm="1">
        <f t="array" ref="A1">portfolio</f>
        <v>City of Providence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121140</v>
      </c>
      <c r="D2" s="5">
        <f>SUM(D4:D79)</f>
        <v>0</v>
      </c>
      <c r="E2" s="5">
        <f>C2-D2</f>
        <v>121140</v>
      </c>
      <c r="F2" s="6">
        <f>IFERROR(E2/D2, 0)</f>
        <v>0</v>
      </c>
      <c r="G2" s="5">
        <f>SUM(G4:G79)</f>
        <v>0</v>
      </c>
      <c r="H2" s="7">
        <f>C2-G2</f>
        <v>121140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SUM(Jan!C4, Feb!C4, Mar!C4)</f>
        <v>121140</v>
      </c>
      <c r="D4" s="12">
        <f>SUM(Jan!D4, Feb!D4, Mar!D4)</f>
        <v>0</v>
      </c>
      <c r="E4" s="12">
        <f>IF(AND(ISNUMBER(C4),ISNUMBER(D4)), C4-D4, "")</f>
        <v>121140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121140</v>
      </c>
      <c r="I4" s="15" t="str">
        <f>IFERROR(H4/G4, "")</f>
        <v/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5" t="str" cm="1">
        <f t="array" ref="A1">portfolio</f>
        <v>City of Providence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260830</v>
      </c>
      <c r="D2" s="5">
        <f>SUM(D4:D79)</f>
        <v>0</v>
      </c>
      <c r="E2" s="5">
        <f>C2-D2</f>
        <v>260830</v>
      </c>
      <c r="F2" s="6">
        <f>IFERROR(E2/D2, 0)</f>
        <v>0</v>
      </c>
      <c r="G2" s="5">
        <f>SUM(G4:G79)</f>
        <v>0</v>
      </c>
      <c r="H2" s="7">
        <f>C2-G2</f>
        <v>260830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SUM(Apr!C4, May!C4, Jun!C4)</f>
        <v>260830</v>
      </c>
      <c r="D4" s="12">
        <f>SUM(Apr!D4, May!D4, Jun!D4)</f>
        <v>0</v>
      </c>
      <c r="E4" s="12">
        <f>IF(AND(ISNUMBER(C4),ISNUMBER(D4)), C4-D4, "")</f>
        <v>260830</v>
      </c>
      <c r="F4" s="13" t="str">
        <f>IFERROR(E4/D4, "")</f>
        <v/>
      </c>
      <c r="G4" s="14">
        <f>SUM(Apr!G4,May!G4,Jun!G4)</f>
        <v>0</v>
      </c>
      <c r="H4" s="14">
        <f>SUM(Apr!H4, May!H4, Jun!H4)</f>
        <v>260830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5" t="str" cm="1">
        <f t="array" ref="A1">portfolio</f>
        <v>City of Providence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243217.1</v>
      </c>
      <c r="D2" s="5">
        <f>SUM(D4:D79)</f>
        <v>0</v>
      </c>
      <c r="E2" s="5">
        <f>C2-D2</f>
        <v>243217.1</v>
      </c>
      <c r="F2" s="6">
        <f>IFERROR(E2/D2, 0)</f>
        <v>0</v>
      </c>
      <c r="G2" s="5">
        <f>SUM(G4:G79)</f>
        <v>0</v>
      </c>
      <c r="H2" s="7">
        <f>C2-G2</f>
        <v>243217.1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SUM(Jul!C4, Aug!C4, Sep!C4)</f>
        <v>243217.1</v>
      </c>
      <c r="D4" s="12">
        <f>SUM(Jul!D4, Aug!D4, Sep!D4)</f>
        <v>0</v>
      </c>
      <c r="E4" s="12">
        <f>IF(AND(ISNUMBER(C4),ISNUMBER(D4)), C4-D4, "")</f>
        <v>243217.1</v>
      </c>
      <c r="F4" s="13" t="str">
        <f>IFERROR(E4/D4, "")</f>
        <v/>
      </c>
      <c r="G4" s="14">
        <f>SUM(Jul!G4,Aug!G4,Sep!G4)</f>
        <v>0</v>
      </c>
      <c r="H4" s="14">
        <f>SUM(Jul!H4, Aug!H4, Sep!H4)</f>
        <v>243217.1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5" t="str" cm="1">
        <f t="array" ref="A1">portfolio</f>
        <v>City of Providence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27" sqref="F27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17756</v>
      </c>
      <c r="D2" s="5">
        <f>SUM(D4:D78)</f>
        <v>0</v>
      </c>
      <c r="E2" s="5">
        <f>C2-D2</f>
        <v>17756</v>
      </c>
      <c r="F2" s="6">
        <f>IFERROR(E2/D2, 0)</f>
        <v>0</v>
      </c>
      <c r="G2" s="5">
        <f>SUM(G4:G78)</f>
        <v>0</v>
      </c>
      <c r="H2" s="7">
        <f>C2-G2</f>
        <v>17756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City of Providence</v>
      </c>
      <c r="B4" s="27" t="str" cm="1">
        <f t="array" ref="B4">Sites[State]</f>
        <v>RI</v>
      </c>
      <c r="C4" s="50">
        <v>17756</v>
      </c>
      <c r="D4" s="51">
        <v>0</v>
      </c>
      <c r="E4" s="12">
        <f>IF(AND(ISNUMBER(C4),ISNUMBER(D4)), C4-D4, "")</f>
        <v>17756</v>
      </c>
      <c r="F4" s="40" t="str">
        <f>IFERROR(E4/D4, "")</f>
        <v/>
      </c>
      <c r="G4" s="53">
        <v>0</v>
      </c>
      <c r="H4" s="14">
        <f>IF(AND(ISNUMBER(C4),ISNUMBER(G4)), C4-G4, "")</f>
        <v>17756</v>
      </c>
      <c r="I4" s="15" t="str">
        <f>IFERROR(H4/G4, "")</f>
        <v/>
      </c>
      <c r="J4" s="47"/>
      <c r="K4" s="47"/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13" sqref="G13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37359</v>
      </c>
      <c r="D2" s="5">
        <f>SUM(D4:D79)</f>
        <v>0</v>
      </c>
      <c r="E2" s="5">
        <f>C2-D2</f>
        <v>37359</v>
      </c>
      <c r="F2" s="6">
        <f>IFERROR(E2/D2, 0)</f>
        <v>0</v>
      </c>
      <c r="G2" s="5">
        <f>SUM(G4:G79)</f>
        <v>0</v>
      </c>
      <c r="H2" s="7">
        <f>C2-G2</f>
        <v>37359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City of Providence</v>
      </c>
      <c r="B4" s="27" t="str" cm="1">
        <f t="array" ref="B4">Sites[State]</f>
        <v>RI</v>
      </c>
      <c r="C4" s="23">
        <v>37359</v>
      </c>
      <c r="D4" s="12">
        <v>0</v>
      </c>
      <c r="E4" s="12">
        <f>IF(AND(ISNUMBER(C4),ISNUMBER(D4)), C4-D4, "")</f>
        <v>37359</v>
      </c>
      <c r="F4" s="13" t="str">
        <f>IFERROR(E4/D4, "")</f>
        <v/>
      </c>
      <c r="G4" s="14">
        <v>0</v>
      </c>
      <c r="H4" s="14">
        <f>IF(AND(ISNUMBER(C4),ISNUMBER(G4)), C4-G4, "")</f>
        <v>37359</v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G10" sqref="G10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66025</v>
      </c>
      <c r="D2" s="5">
        <f>SUM(D4:D79)</f>
        <v>0</v>
      </c>
      <c r="E2" s="5">
        <f>C2-D2</f>
        <v>66025</v>
      </c>
      <c r="F2" s="6">
        <f>IFERROR(E2/D2, 0)</f>
        <v>0</v>
      </c>
      <c r="G2" s="5">
        <f>SUM(G4:G79)</f>
        <v>0</v>
      </c>
      <c r="H2" s="7">
        <f>C2-G2</f>
        <v>66025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66025</v>
      </c>
      <c r="D4" s="12">
        <v>0</v>
      </c>
      <c r="E4" s="12">
        <f>IF(AND(ISNUMBER(C4),ISNUMBER(D4)), C4-D4, "")</f>
        <v>66025</v>
      </c>
      <c r="F4" s="13" t="str">
        <f>IFERROR(E4/D4, "")</f>
        <v/>
      </c>
      <c r="G4" s="14">
        <v>0</v>
      </c>
      <c r="H4" s="14">
        <f>IF(AND(ISNUMBER(C4),ISNUMBER(G4)), C4-G4, "")</f>
        <v>66025</v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G18" sqref="G18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72848</v>
      </c>
      <c r="D2" s="5">
        <f>SUM(D4:D79)</f>
        <v>0</v>
      </c>
      <c r="E2" s="5">
        <f>C2-D2</f>
        <v>72848</v>
      </c>
      <c r="F2" s="6">
        <f>IFERROR(E2/D2, 0)</f>
        <v>0</v>
      </c>
      <c r="G2" s="5">
        <f>SUM(G4:G79)</f>
        <v>0</v>
      </c>
      <c r="H2" s="7">
        <f>C2-G2</f>
        <v>72848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72848</v>
      </c>
      <c r="D4" s="12">
        <v>0</v>
      </c>
      <c r="E4" s="12">
        <f>IF(AND(ISNUMBER(C4),ISNUMBER(D4)), C4-D4, "")</f>
        <v>72848</v>
      </c>
      <c r="F4" s="13" t="str">
        <f>IFERROR(E4/D4, "")</f>
        <v/>
      </c>
      <c r="G4" s="14">
        <v>0</v>
      </c>
      <c r="H4" s="14">
        <f>IF(AND(ISNUMBER(C4),ISNUMBER(G4)), C4-G4, "")</f>
        <v>72848</v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11" sqref="J11:J12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87173</v>
      </c>
      <c r="D2" s="5">
        <f>SUM(D4:D79)</f>
        <v>0</v>
      </c>
      <c r="E2" s="5">
        <f>C2-D2</f>
        <v>87173</v>
      </c>
      <c r="F2" s="6">
        <f>IFERROR(E2/D2, 0)</f>
        <v>0</v>
      </c>
      <c r="G2" s="5">
        <f>SUM(G4:G79)</f>
        <v>0</v>
      </c>
      <c r="H2" s="7">
        <f>C2-G2</f>
        <v>87173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87173</v>
      </c>
      <c r="D4" s="12">
        <v>0</v>
      </c>
      <c r="E4" s="12">
        <f>IF(AND(ISNUMBER(C4),ISNUMBER(D4)), C4-D4, "")</f>
        <v>87173</v>
      </c>
      <c r="F4" s="13" t="str">
        <f>IFERROR(E4/D4, "")</f>
        <v/>
      </c>
      <c r="G4" s="14">
        <v>0</v>
      </c>
      <c r="H4" s="14">
        <f>IF(AND(ISNUMBER(C4),ISNUMBER(G4)), C4-G4, "")</f>
        <v>87173</v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100809</v>
      </c>
      <c r="D2" s="5">
        <f>SUM(D4:D79)</f>
        <v>0</v>
      </c>
      <c r="E2" s="5">
        <f>C2-D2</f>
        <v>100809</v>
      </c>
      <c r="F2" s="6">
        <f>IFERROR(E2/D2, 0)</f>
        <v>0</v>
      </c>
      <c r="G2" s="5">
        <f>SUM(G4:G79)</f>
        <v>0</v>
      </c>
      <c r="H2" s="7">
        <f>C2-G2</f>
        <v>100809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100809</v>
      </c>
      <c r="D4" s="12">
        <v>0</v>
      </c>
      <c r="E4" s="12">
        <f>IF(AND(ISNUMBER(C4),ISNUMBER(D4)), C4-D4, "")</f>
        <v>100809</v>
      </c>
      <c r="F4" s="13" t="str">
        <f>IFERROR(E4/D4, "")</f>
        <v/>
      </c>
      <c r="G4" s="14">
        <v>0</v>
      </c>
      <c r="H4" s="14">
        <f>IF(AND(ISNUMBER(C4),ISNUMBER(G4)), C4-G4, "")</f>
        <v>100809</v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G8" sqref="G8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87997.6</v>
      </c>
      <c r="D2" s="5">
        <f>SUM(D4:D79)</f>
        <v>0</v>
      </c>
      <c r="E2" s="5">
        <f>C2-D2</f>
        <v>87997.6</v>
      </c>
      <c r="F2" s="6">
        <f>IFERROR(E2/D2, 0)</f>
        <v>0</v>
      </c>
      <c r="G2" s="5">
        <f>SUM(G4:G79)</f>
        <v>0</v>
      </c>
      <c r="H2" s="7">
        <f>C2-G2</f>
        <v>87997.6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87997.6</v>
      </c>
      <c r="D4" s="12">
        <v>0</v>
      </c>
      <c r="E4" s="12">
        <f>IF(AND(ISNUMBER(C4),ISNUMBER(D4)), C4-D4, "")</f>
        <v>87997.6</v>
      </c>
      <c r="F4" s="13" t="str">
        <f>IFERROR(E4/D4, "")</f>
        <v/>
      </c>
      <c r="G4" s="14">
        <v>0</v>
      </c>
      <c r="H4" s="14">
        <f>IF(AND(ISNUMBER(C4),ISNUMBER(G4)), C4-G4, "")</f>
        <v>87997.6</v>
      </c>
      <c r="I4" s="15" t="str">
        <f>IFERROR(H4/G4, "")</f>
        <v/>
      </c>
      <c r="J4" s="36" t="s">
        <v>34</v>
      </c>
      <c r="K4" s="36" t="s">
        <v>35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13" sqref="G13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86761</v>
      </c>
      <c r="D2" s="5">
        <f>SUM(D4:D79)</f>
        <v>0</v>
      </c>
      <c r="E2" s="5">
        <f>C2-D2</f>
        <v>86761</v>
      </c>
      <c r="F2" s="6">
        <f>IFERROR(E2/D2, 0)</f>
        <v>0</v>
      </c>
      <c r="G2" s="5">
        <f>SUM(G4:G79)</f>
        <v>0</v>
      </c>
      <c r="H2" s="7">
        <f>C2-G2</f>
        <v>86761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86761</v>
      </c>
      <c r="D4" s="12">
        <v>0</v>
      </c>
      <c r="E4" s="12">
        <f>IF(AND(ISNUMBER(C4),ISNUMBER(D4)), C4-D4, "")</f>
        <v>86761</v>
      </c>
      <c r="F4" s="13" t="str">
        <f>IFERROR(E4/D4, "")</f>
        <v/>
      </c>
      <c r="G4" s="14">
        <v>0</v>
      </c>
      <c r="H4" s="14">
        <f>IF(AND(ISNUMBER(C4),ISNUMBER(G4)), C4-G4, "")</f>
        <v>86761</v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68458.5</v>
      </c>
      <c r="D2" s="5">
        <f>SUM(D4:D79)</f>
        <v>0</v>
      </c>
      <c r="E2" s="5">
        <f>C2-D2</f>
        <v>68458.5</v>
      </c>
      <c r="F2" s="6">
        <f>IFERROR(E2/D2, 0)</f>
        <v>0</v>
      </c>
      <c r="G2" s="5">
        <f>SUM(G4:G79)</f>
        <v>0</v>
      </c>
      <c r="H2" s="7">
        <f>C2-G2</f>
        <v>68458.5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68458.5</v>
      </c>
      <c r="D4" s="12">
        <v>0</v>
      </c>
      <c r="E4" s="12">
        <f>IF(AND(ISNUMBER(C4),ISNUMBER(D4)), C4-D4, "")</f>
        <v>68458.5</v>
      </c>
      <c r="F4" s="13" t="str">
        <f>IFERROR(E4/D4, "")</f>
        <v/>
      </c>
      <c r="G4" s="14">
        <v>0</v>
      </c>
      <c r="H4" s="14">
        <f>IF(AND(ISNUMBER(C4),ISNUMBER(G4)), C4-G4, "")</f>
        <v>68458.5</v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25">
      <c r="A4" s="45" t="s">
        <v>51</v>
      </c>
      <c r="B4" t="s">
        <v>47</v>
      </c>
      <c r="C4" s="43" t="s">
        <v>52</v>
      </c>
      <c r="D4" s="42" t="s">
        <v>53</v>
      </c>
      <c r="E4" t="s">
        <v>54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