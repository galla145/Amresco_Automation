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CA058F1-B109-4098-8D0E-6F17749F6FE5}" xr6:coauthVersionLast="47" xr6:coauthVersionMax="47" xr10:uidLastSave="{00000000-0000-0000-0000-000000000000}"/>
  <bookViews>
    <workbookView xWindow="-108" yWindow="-108" windowWidth="23256" windowHeight="13896" tabRatio="866" firstSheet="3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<sst xmlns="http://schemas.openxmlformats.org/spreadsheetml/2006/main" count="244" uniqueCount="58">
  <si>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</si>
  <si>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</si>
  <si>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</si>
  <si>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</si>
  <si>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</si>
  <si>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</si>
  <si>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</si>
  <si>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</si>
  <si>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</si>
  <si>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</si>
  <si>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</si>
  <si>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</si>
  <si>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</si>
  <si>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</si>
  <si>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</si>
  <si>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</si>
  <si>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</si>
  <si>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</si>
  <si>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</si>
  <si>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</si>
  <si>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</si>
  <si>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</si>
  <si>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</si>
  <si>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</si>
  <si>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</si>
  <si>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</si>
  <si>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</si>
  <si>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</si>
  <si>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</si>
  <si>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</si>
  <si>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</si>
  <si>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</si>
  <si>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</si>
  <si>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</si>
  <si>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 xml:space="preserve">1. Site data is not available
</t>
  </si>
  <si>
    <t>August Actual v. Expected</t>
  </si>
  <si>
    <t>August Actual v. Forecasted</t>
  </si>
  <si>
    <t>1. Site data is available from 08/08/2024 at 13:00
2. Weather station is not communicating for whole month</t>
  </si>
  <si>
    <t>2. SR089346</t>
  </si>
  <si>
    <t>September Actual v. Expected</t>
  </si>
  <si>
    <t>September Actual v. Forecasted</t>
  </si>
  <si>
    <t>1. Weather station is communicating from 09/06 at 11:00AM</t>
  </si>
  <si>
    <t>1. SR089346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</si>
  <si>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</si>
  <si>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</si>
  <si>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</si>
  <si>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</si>
  <si>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</si>
  <si>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</si>
  <si>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</si>
  <si>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Valmont Industries</t>
  </si>
  <si>
    <t>Site DAS Name</t>
  </si>
  <si>
    <t>Update</t>
  </si>
  <si>
    <t>DAS</t>
  </si>
  <si>
    <t>Valmont Bristol</t>
  </si>
  <si>
    <t>Valmont</t>
  </si>
  <si>
    <t>IN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</si>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</sst>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C4" sqref="C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Valmont Industries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SUM(C4:C72)</f>
        <v>202261.36499999999</v>
      </c>
      <c r="D2" s="5">
        <f>SUM(D4:D72)</f>
        <v>55015.48</v>
      </c>
      <c r="E2" s="5">
        <f>C2-D2</f>
        <v>147245.88499999998</v>
      </c>
      <c r="F2" s="6">
        <f>IFERROR(E2/D2, 0)</f>
        <v>2.6764446115893192</v>
      </c>
      <c r="G2" s="5">
        <f>SUM(G4:G72)</f>
        <v>0</v>
      </c>
      <c r="H2" s="7">
        <f>C2-G2</f>
        <v>202261.36499999999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Valmont</v>
      </c>
      <c r="B4" s="9" t="str" cm="1">
        <f t="array" ref="B4">Sites[State]</f>
        <v>IN</v>
      </c>
      <c r="C4" s="18">
        <f>SUM('1st Qtr'!C4, '2nd Qtr'!C4, '3rd Qtr'!C4, '4th Qtr'!C4)</f>
        <v>202261.36499999999</v>
      </c>
      <c r="D4" s="11">
        <f>SUM('1st Qtr'!D4, '2nd Qtr'!D4, '3rd Qtr'!D4, '4th Qtr'!D4)</f>
        <v>55015.48</v>
      </c>
      <c r="E4" s="11">
        <f>IF(AND(ISNUMBER(C4),ISNUMBER(D4)), C4-D4, "")</f>
        <v>147245.88499999998</v>
      </c>
      <c r="F4" s="12">
        <f>IFERROR(E4/D4, "")</f>
        <v>2.6764446115893192</v>
      </c>
      <c r="G4" s="13">
        <f>SUM('1st Qtr'!G4, '2nd Qtr'!G4, '3rd Qtr'!G4, '4th Qtr'!G4)</f>
        <v>0</v>
      </c>
      <c r="H4" s="13">
        <f>SUM('1st Qtr'!H4, '2nd Qtr'!H4, '3rd Qtr'!H4, '4th Qtr'!H4)</f>
        <v>202261.36499999999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C19" sqref="C19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Valmont Industries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SUM(Jan!C4, Feb!C4, Mar!C4)</f>
        <v>0</v>
      </c>
      <c r="D4" s="11">
        <f>SUM(Jan!D4, Feb!D4, Mar!D4)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G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Valmont Industries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C4" sqref="C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Valmont Industries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SUM(C4:C72)</f>
        <v>202261.36499999999</v>
      </c>
      <c r="D2" s="5">
        <f>SUM(D4:D72)</f>
        <v>55015.48</v>
      </c>
      <c r="E2" s="5">
        <f>C2-D2</f>
        <v>147245.88499999998</v>
      </c>
      <c r="F2" s="6">
        <f>IFERROR(E2/D2, 0)</f>
        <v>2.6764446115893192</v>
      </c>
      <c r="G2" s="5">
        <f>SUM(G4:G72)</f>
        <v>0</v>
      </c>
      <c r="H2" s="7">
        <f>C2-G2</f>
        <v>202261.36499999999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SUM(Jul!C4, Aug!C4, Sep!C4)</f>
        <v>202261.36499999999</v>
      </c>
      <c r="D4" s="11">
        <f>SUM(Jul!D4, Aug!D4, Sep!D4)</f>
        <v>55015.48</v>
      </c>
      <c r="E4" s="11">
        <f>IF(AND(ISNUMBER(C4),ISNUMBER(D4)), C4-D4, "")</f>
        <v>147245.88499999998</v>
      </c>
      <c r="F4" s="12">
        <f>IFERROR(E4/D4, "")</f>
        <v>2.6764446115893192</v>
      </c>
      <c r="G4" s="13"/>
      <c r="H4" s="13">
        <f>SUM(Jul!H4, Aug!H4, Sep!H4)</f>
        <v>202261.36499999999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Valmont Industries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workbookViewId="0">
      <pane xSplit="2" ySplit="3" topLeftCell="C4" activePane="bottomRight" state="frozen"/>
      <selection pane="bottomRight" activeCell="H8" sqref="H8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Valmont</v>
      </c>
      <c r="B4" s="22" t="str" cm="1">
        <f t="array" ref="B4">Sites[State]</f>
        <v>IN</v>
      </c>
      <c r="C4" s="11"/>
      <c r="D4" s="11"/>
      <c r="E4" s="11" t="str">
        <f>IF(AND(ISNUMBER(C4),ISNUMBER(D4)), C4-D4, "")</f>
        <v/>
      </c>
      <c r="F4" s="34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workbookViewId="0">
      <pane xSplit="2" ySplit="3" topLeftCell="C4" activePane="bottomRight" state="frozen"/>
      <selection pane="bottomRight" activeCell="D4" sqref="D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22</v>
      </c>
      <c r="E1" s="47"/>
      <c r="F1" s="47"/>
      <c r="G1" s="45" t="s">
        <v>23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4"/>
  <sheetViews>
    <sheetView workbookViewId="0">
      <pane xSplit="2" ySplit="3" topLeftCell="C4" activePane="bottomRight" state="frozen"/>
      <selection pane="bottomRight" activeCell="G14" sqref="G1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4"/>
  <sheetViews>
    <sheetView workbookViewId="0">
      <pane xSplit="2" ySplit="3" topLeftCell="C4" activePane="bottomRight" state="frozen"/>
      <selection pane="bottomRight" activeCell="I9" sqref="I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Valmont</v>
      </c>
      <c r="B4" s="22" t="str" cm="1">
        <f t="array" ref="B4">Sites[State]</f>
        <v>IN</v>
      </c>
      <c r="C4" s="18">
        <v>0</v>
      </c>
      <c r="D4" s="11">
        <v>0</v>
      </c>
      <c r="E4" s="11">
        <f>IF(AND(ISNUMBER(C4),ISNUMBER(D4)), C4-D4, "")</f>
        <v>0</v>
      </c>
      <c r="F4" s="12" t="str">
        <f>IFERROR(E4/D4, "")</f>
        <v/>
      </c>
      <c r="G4" s="13">
        <v>0</v>
      </c>
      <c r="H4" s="13">
        <f>IF(AND(ISNUMBER(C4),ISNUMBER(G4)), C4-G4, "")</f>
        <v>0</v>
      </c>
      <c r="I4" s="14" t="str">
        <f>IFERROR(H4/G4, "")</f>
        <v/>
      </c>
      <c r="J4" s="32" t="s">
        <v>34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C4" activePane="bottomRight" state="frozen"/>
      <selection pane="bottomRight" activeCell="E9" sqref="E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96734.24</v>
      </c>
      <c r="D2" s="5">
        <f>SUM(D4:D72)</f>
        <v>0</v>
      </c>
      <c r="E2" s="5">
        <f>C2-D2</f>
        <v>96734.24</v>
      </c>
      <c r="F2" s="6">
        <f>IFERROR(E2/D2, 0)</f>
        <v>0</v>
      </c>
      <c r="G2" s="5">
        <f>SUM(G4:G72)</f>
        <v>0</v>
      </c>
      <c r="H2" s="7">
        <f>C2-G2</f>
        <v>96734.24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42" t="str" cm="1">
        <f t="array" ref="A4">Sites[Site]</f>
        <v>Valmont</v>
      </c>
      <c r="B4" s="22" t="str" cm="1">
        <f t="array" ref="B4">Sites[State]</f>
        <v>IN</v>
      </c>
      <c r="C4" s="18">
        <v>96734.24</v>
      </c>
      <c r="D4" s="11">
        <v>0</v>
      </c>
      <c r="E4" s="11">
        <f>IF(AND(ISNUMBER(C4),ISNUMBER(D4)), C4-D4, "")</f>
        <v>96734.24</v>
      </c>
      <c r="F4" s="12" t="str">
        <f>IFERROR(E4/D4, "")</f>
        <v/>
      </c>
      <c r="G4" s="43">
        <v>0</v>
      </c>
      <c r="H4" s="13">
        <f>IF(AND(ISNUMBER(C4),ISNUMBER(G4)), C4-G4, "")</f>
        <v>96734.24</v>
      </c>
      <c r="I4" s="14" t="str">
        <f>IFERROR(H4/G4, "")</f>
        <v/>
      </c>
      <c r="J4" s="32" t="s">
        <v>37</v>
      </c>
      <c r="K4" s="32" t="s">
        <v>38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C4" sqref="C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39</v>
      </c>
      <c r="E1" s="47"/>
      <c r="F1" s="47"/>
      <c r="G1" s="45" t="s">
        <v>40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105527.125</v>
      </c>
      <c r="D2" s="5">
        <f>SUM(D4:D72)</f>
        <v>55015.48</v>
      </c>
      <c r="E2" s="5">
        <f>C2-D2</f>
        <v>50511.644999999997</v>
      </c>
      <c r="F2" s="6">
        <f>IFERROR(E2/D2, 0)</f>
        <v>0.9181351321482607</v>
      </c>
      <c r="G2" s="5">
        <f>SUM(G4:G72)</f>
        <v>0</v>
      </c>
      <c r="H2" s="7">
        <f>C2-G2</f>
        <v>105527.125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>
        <v>105527.125</v>
      </c>
      <c r="D4" s="11">
        <v>55015.48</v>
      </c>
      <c r="E4" s="11">
        <f>IF(AND(ISNUMBER(C4),ISNUMBER(D4)), C4-D4, "")</f>
        <v>50511.644999999997</v>
      </c>
      <c r="F4" s="12">
        <f>IFERROR(E4/D4, "")</f>
        <v>0.9181351321482607</v>
      </c>
      <c r="G4" s="43">
        <v>0</v>
      </c>
      <c r="H4" s="13">
        <f>IF(AND(ISNUMBER(C4),ISNUMBER(G4)), C4-G4, "")</f>
        <v>105527.125</v>
      </c>
      <c r="I4" s="14" t="str">
        <f>IFERROR(H4/G4, "")</f>
        <v/>
      </c>
      <c r="J4" s="32" t="s">
        <v>41</v>
      </c>
      <c r="K4" s="32" t="s">
        <v>42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43</v>
      </c>
      <c r="E1" s="47"/>
      <c r="F1" s="47"/>
      <c r="G1" s="45" t="s">
        <v>44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45</v>
      </c>
      <c r="E1" s="47"/>
      <c r="F1" s="47"/>
      <c r="G1" s="45" t="s">
        <v>46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tabSelected="1"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47</v>
      </c>
      <c r="E1" s="47"/>
      <c r="F1" s="47"/>
      <c r="G1" s="45" t="s">
        <v>48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s="40" t="s">
        <v>50</v>
      </c>
    </row>
    <row r="3" spans="1:12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38" t="s">
        <v>54</v>
      </c>
      <c r="B4" t="s">
        <v>55</v>
      </c>
      <c r="C4" s="36" t="s">
        <v>56</v>
      </c>
      <c r="D4" s="41"/>
      <c r="E4" s="40" t="s">
        <v>57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2025-01-14T20:09:31Z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