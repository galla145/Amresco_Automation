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820E9C35-F60A-46CD-B98D-3DD984006D42}" xr6:coauthVersionLast="47" xr6:coauthVersionMax="47" xr10:uidLastSave="{5DF7B856-0097-4E40-AD09-02EE15DE8669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<sst xmlns="http://schemas.openxmlformats.org/spreadsheetml/2006/main" count="240" uniqueCount="53">
  <si>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</si>
  <si>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</si>
  <si>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</si>
  <si>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</si>
  <si>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</si>
  <si>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</si>
  <si>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</si>
  <si>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</si>
  <si>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</si>
  <si>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</si>
  <si>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</si>
  <si>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</si>
  <si>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</si>
  <si>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</si>
  <si>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</si>
  <si>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</si>
  <si>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</si>
  <si>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</si>
  <si>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</si>
  <si>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</si>
  <si>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</si>
  <si>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</si>
  <si>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</si>
  <si>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</si>
  <si>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</si>
  <si>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</si>
  <si>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</si>
  <si>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</si>
  <si>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 xml:space="preserve">ia 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</si>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</sst>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H4" sqref="H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231785.35</v>
      </c>
      <c r="D2" s="6">
        <f>SUM(D4:D60)</f>
        <v>89295.66</v>
      </c>
      <c r="E2" s="6">
        <f>C2-D2</f>
        <v>142489.69</v>
      </c>
      <c r="F2" s="7">
        <f>IFERROR(E2/D2, 0)</f>
        <v>1.5957067790304702</v>
      </c>
      <c r="G2" s="6">
        <f>SUM(G4:G60)</f>
        <v>0</v>
      </c>
      <c r="H2" s="8">
        <f>C2-G2</f>
        <v>231785.35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231785.35</v>
      </c>
      <c r="D4" s="14">
        <f>SUM('1st Qtr'!D4, '2nd Qtr'!D4, '3rd Qtr'!D4, '4th Qtr'!D4)</f>
        <v>89295.66</v>
      </c>
      <c r="E4" s="14">
        <f>IF(AND(ISNUMBER(C4),ISNUMBER(D4)), C4-D4, "")</f>
        <v>142489.69</v>
      </c>
      <c r="F4" s="15">
        <f>IFERROR(E4/D4, "")</f>
        <v>1.5957067790304702</v>
      </c>
      <c r="G4" s="16">
        <f>SUM('1st Qtr'!G4,'2nd Qtr'!G4,'3rd Qtr'!G4,'4th Qtr'!G4)</f>
        <v>0</v>
      </c>
      <c r="H4" s="16">
        <f>SUM('1st Qtr'!H4, '2nd Qtr'!H4, '3rd Qtr'!H4, '4th Qtr'!H4)</f>
        <v>231785.35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96722.85</v>
      </c>
      <c r="D2" s="6">
        <f>SUM(D4:D90)</f>
        <v>36698.659999999996</v>
      </c>
      <c r="E2" s="6">
        <f>C2-D2</f>
        <v>60024.19000000001</v>
      </c>
      <c r="F2" s="7">
        <f>IFERROR(E2/D2, 0)</f>
        <v>1.635596231579028</v>
      </c>
      <c r="G2" s="6">
        <f>SUM(G4:G90)</f>
        <v>0</v>
      </c>
      <c r="H2" s="8">
        <f>C2-G2</f>
        <v>96722.85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96722.85</v>
      </c>
      <c r="D4" s="14">
        <f>SUM(Apr!D4, May!D4, Jun!D4)</f>
        <v>36698.659999999996</v>
      </c>
      <c r="E4" s="14">
        <f>IF(AND(ISNUMBER(C4),ISNUMBER(D4)), C4-D4, "")</f>
        <v>60024.19000000001</v>
      </c>
      <c r="F4" s="15">
        <f>IFERROR(E4/D4, "")</f>
        <v>1.635596231579028</v>
      </c>
      <c r="G4" s="16">
        <f>SUM(Apr!G4+May!G4+Jun!G4)</f>
        <v>0</v>
      </c>
      <c r="H4" s="16">
        <f>SUM(Apr!H4, May!H4, Jun!H4)</f>
        <v>96722.85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88482.5</v>
      </c>
      <c r="D2" s="6">
        <f>SUM(D4:D89)</f>
        <v>0</v>
      </c>
      <c r="E2" s="6">
        <f>C2-D2</f>
        <v>88482.5</v>
      </c>
      <c r="F2" s="7">
        <f>IFERROR(E2/D2, 0)</f>
        <v>0</v>
      </c>
      <c r="G2" s="6">
        <f>SUM(G4:G89)</f>
        <v>0</v>
      </c>
      <c r="H2" s="8">
        <f>C2-G2</f>
        <v>88482.5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88482.5</v>
      </c>
      <c r="D4" s="14">
        <f>SUM(Jul!D4, Aug!D4, Sep!D4)</f>
        <v>0</v>
      </c>
      <c r="E4" s="14">
        <f>IF(AND(ISNUMBER(C4),ISNUMBER(D4)), C4-D4, "")</f>
        <v>88482.5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88482.5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7" sqref="A16:H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35" sqref="A31:J3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workbookViewId="0">
      <pane ySplit="2" topLeftCell="A3" activePane="bottomLeft" state="frozen"/>
      <selection pane="bottomLeft" activeCell="J24" sqref="J2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 t="s">
        <v>28</v>
      </c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C12" sqref="C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29</v>
      </c>
      <c r="E1" s="44"/>
      <c r="F1" s="44"/>
      <c r="G1" s="42" t="s">
        <v>30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I31" sqref="A27:I3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31</v>
      </c>
      <c r="E1" s="44"/>
      <c r="F1" s="44"/>
      <c r="G1" s="42" t="s">
        <v>32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36112.25</v>
      </c>
      <c r="D2" s="6">
        <f>SUM(D4:D90)</f>
        <v>0</v>
      </c>
      <c r="E2" s="6">
        <f>C2-D2</f>
        <v>36112.25</v>
      </c>
      <c r="F2" s="7">
        <f>IFERROR(E2/D2, 0)</f>
        <v>0</v>
      </c>
      <c r="G2" s="6">
        <f>SUM(G4:G90)</f>
        <v>0</v>
      </c>
      <c r="H2" s="8">
        <f>C2-G2</f>
        <v>36112.25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36112.25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36112.25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2" sqref="A21:J2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33</v>
      </c>
      <c r="E1" s="44"/>
      <c r="F1" s="44"/>
      <c r="G1" s="42" t="s">
        <v>34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33200.6</v>
      </c>
      <c r="D2" s="6">
        <f>SUM(D4:D90)</f>
        <v>0</v>
      </c>
      <c r="E2" s="6">
        <f>C2-D2</f>
        <v>33200.6</v>
      </c>
      <c r="F2" s="7">
        <f>IFERROR(E2/D2, 0)</f>
        <v>0</v>
      </c>
      <c r="G2" s="6">
        <f>SUM(G4:G90)</f>
        <v>0</v>
      </c>
      <c r="H2" s="8">
        <f>C2-G2</f>
        <v>33200.6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33200.6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33200.6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13" sqref="G1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35</v>
      </c>
      <c r="E1" s="44"/>
      <c r="F1" s="44"/>
      <c r="G1" s="42" t="s">
        <v>36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30145.092000000001</v>
      </c>
      <c r="D2" s="6">
        <f>SUM(D4:D30)</f>
        <v>0</v>
      </c>
      <c r="E2" s="6">
        <f>C2-D2</f>
        <v>30145.092000000001</v>
      </c>
      <c r="F2" s="7">
        <f>IFERROR(E2/D2, 0)</f>
        <v>0</v>
      </c>
      <c r="G2" s="6">
        <f>SUM(G4:G30)</f>
        <v>0</v>
      </c>
      <c r="H2" s="8">
        <f>C2-G2</f>
        <v>30145.092000000001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30145.092000000001</v>
      </c>
      <c r="D4" s="14">
        <v>0</v>
      </c>
      <c r="E4" s="14">
        <f>IF(AND(ISNUMBER(C4),ISNUMBER(D4)), C4-D4, "")</f>
        <v>30145.092000000001</v>
      </c>
      <c r="F4" s="15" t="str">
        <f>IFERROR(E4/D4, "")</f>
        <v/>
      </c>
      <c r="G4" s="16">
        <v>0</v>
      </c>
      <c r="H4" s="16">
        <f>IF(AND(ISNUMBER(C4),ISNUMBER(G4)), C4-G4, "")</f>
        <v>30145.092000000001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1" sqref="A18:J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37</v>
      </c>
      <c r="E1" s="44"/>
      <c r="F1" s="44"/>
      <c r="G1" s="42" t="s">
        <v>38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25136.808000000001</v>
      </c>
      <c r="D2" s="6">
        <f>SUM(D4:D90)</f>
        <v>0</v>
      </c>
      <c r="E2" s="6">
        <f>C2-D2</f>
        <v>25136.808000000001</v>
      </c>
      <c r="F2" s="7">
        <f>IFERROR(E2/D2, 0)</f>
        <v>0</v>
      </c>
      <c r="G2" s="6">
        <f>SUM(G4:G90)</f>
        <v>0</v>
      </c>
      <c r="H2" s="8">
        <f>C2-G2</f>
        <v>25136.808000000001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25136.808000000001</v>
      </c>
      <c r="D4" s="14">
        <v>0</v>
      </c>
      <c r="E4" s="14">
        <f>IF(AND(ISNUMBER(C4),ISNUMBER(D4)), C4-D4, "")</f>
        <v>25136.808000000001</v>
      </c>
      <c r="F4" s="15" t="str">
        <f>IFERROR(E4/D4, "")</f>
        <v/>
      </c>
      <c r="G4" s="16">
        <v>0</v>
      </c>
      <c r="H4" s="16">
        <f>IF(AND(ISNUMBER(C4),ISNUMBER(G4)), C4-G4, "")</f>
        <v>25136.808000000001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39</v>
      </c>
      <c r="E1" s="44"/>
      <c r="F1" s="44"/>
      <c r="G1" s="42" t="s">
        <v>40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41</v>
      </c>
      <c r="E1" s="44"/>
      <c r="F1" s="44"/>
      <c r="G1" s="42" t="s">
        <v>42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43</v>
      </c>
      <c r="E1" s="44"/>
      <c r="F1" s="44"/>
      <c r="G1" s="42" t="s">
        <v>44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t="s">
        <v>50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2024-10-18T12:03:28Z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