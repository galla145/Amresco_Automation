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7"/>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98" documentId="13_ncr:1_{032C68E5-2F1E-43D0-9D1A-FADE0097B607}" xr6:coauthVersionLast="47" xr6:coauthVersionMax="47" xr10:uidLastSave="{545577DF-36D5-4142-97D8-DB583D64B54B}"/>
  <bookViews>
    <workbookView xWindow="28680" yWindow="-120" windowWidth="29040" windowHeight="15720"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8" l="1" a="1"/>
  <c r="A4" i="28"/>
  <c r="G5" i="29"/>
  <c r="G6" i="29"/>
  <c r="G7" i="29"/>
  <c r="G8" i="29"/>
  <c r="G9" i="29"/>
  <c r="G10" i="29"/>
  <c r="G11" i="29"/>
  <c r="G12" i="29"/>
  <c r="G13" i="29"/>
  <c r="G4" i="29"/>
  <c r="G2" i="29" s="1"/>
  <c r="I10" i="27"/>
  <c r="I11" i="27"/>
  <c r="E12" i="27"/>
  <c r="E5" i="27"/>
  <c r="H11" i="19"/>
  <c r="E11" i="19"/>
  <c r="H10" i="19"/>
  <c r="E10" i="19"/>
  <c r="H9" i="19"/>
  <c r="E9" i="19"/>
  <c r="H8" i="19"/>
  <c r="E8" i="19"/>
  <c r="H7" i="19"/>
  <c r="E7" i="19"/>
  <c r="H6" i="19"/>
  <c r="E6" i="19"/>
  <c r="E5" i="19"/>
  <c r="J2" i="19"/>
  <c r="H17" i="19"/>
  <c r="E17" i="19"/>
  <c r="H16" i="19"/>
  <c r="E16" i="19"/>
  <c r="H15" i="19"/>
  <c r="E15" i="19"/>
  <c r="H14" i="19"/>
  <c r="E14" i="19"/>
  <c r="H13" i="19"/>
  <c r="E13" i="19"/>
  <c r="H12" i="19"/>
  <c r="E12" i="19"/>
  <c r="H9" i="21"/>
  <c r="I9" i="21" s="1"/>
  <c r="H10" i="21"/>
  <c r="I10" i="21" s="1"/>
  <c r="H11" i="21"/>
  <c r="I11" i="21" s="1"/>
  <c r="H12" i="21"/>
  <c r="I12" i="21"/>
  <c r="F9" i="21"/>
  <c r="F11" i="21"/>
  <c r="E9" i="21"/>
  <c r="E10" i="21"/>
  <c r="F10" i="21" s="1"/>
  <c r="E11" i="21"/>
  <c r="E12" i="21"/>
  <c r="F12" i="21" s="1"/>
  <c r="A4" i="19" a="1"/>
  <c r="A4" i="19" s="1"/>
  <c r="E6" i="72"/>
  <c r="F6" i="72" s="1"/>
  <c r="H6" i="72"/>
  <c r="E7" i="72"/>
  <c r="F7" i="72"/>
  <c r="H7" i="72"/>
  <c r="I7" i="72" s="1"/>
  <c r="E8" i="72"/>
  <c r="F8" i="72" s="1"/>
  <c r="H8" i="72"/>
  <c r="C6" i="30"/>
  <c r="E6" i="30" s="1"/>
  <c r="F6" i="30" s="1"/>
  <c r="D6" i="30"/>
  <c r="C7" i="30"/>
  <c r="D7" i="30"/>
  <c r="E7" i="30" s="1"/>
  <c r="F7" i="30" s="1"/>
  <c r="C8" i="30"/>
  <c r="D8" i="30"/>
  <c r="C9" i="30"/>
  <c r="E9" i="30" s="1"/>
  <c r="F9" i="30" s="1"/>
  <c r="D9" i="30"/>
  <c r="C10" i="30"/>
  <c r="E10" i="30" s="1"/>
  <c r="F10" i="30" s="1"/>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H11" i="1"/>
  <c r="G11" i="1"/>
  <c r="D11" i="1"/>
  <c r="C11" i="1"/>
  <c r="H10" i="1"/>
  <c r="G10" i="1"/>
  <c r="D10" i="1"/>
  <c r="C10" i="1"/>
  <c r="G9" i="1"/>
  <c r="D9" i="1"/>
  <c r="C9" i="1"/>
  <c r="G8" i="1"/>
  <c r="D8" i="1"/>
  <c r="C8" i="1"/>
  <c r="E8" i="1" s="1"/>
  <c r="F8" i="1" s="1"/>
  <c r="G7" i="1"/>
  <c r="D7" i="1"/>
  <c r="C7" i="1"/>
  <c r="G6" i="1"/>
  <c r="D6" i="1"/>
  <c r="C6" i="1"/>
  <c r="H13" i="34"/>
  <c r="I13" i="34" s="1"/>
  <c r="D13" i="34"/>
  <c r="C13" i="34"/>
  <c r="H11" i="34"/>
  <c r="I11" i="34" s="1"/>
  <c r="D11" i="34"/>
  <c r="C11" i="34"/>
  <c r="D9" i="34"/>
  <c r="C9" i="34"/>
  <c r="E9" i="34" s="1"/>
  <c r="F9" i="34" s="1"/>
  <c r="D7" i="34"/>
  <c r="C7" i="34"/>
  <c r="E6" i="32"/>
  <c r="F6" i="32" s="1"/>
  <c r="H6" i="32"/>
  <c r="I6" i="32" s="1"/>
  <c r="E7" i="32"/>
  <c r="F7" i="32"/>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c r="E12" i="33"/>
  <c r="F12" i="33" s="1"/>
  <c r="H12" i="33"/>
  <c r="I12" i="33" s="1"/>
  <c r="E13" i="33"/>
  <c r="F13" i="33"/>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H17" i="31"/>
  <c r="I17" i="31"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9" i="4"/>
  <c r="F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I6" i="3" s="1"/>
  <c r="E7" i="3"/>
  <c r="F7" i="3" s="1"/>
  <c r="H7" i="3"/>
  <c r="I7" i="3" s="1"/>
  <c r="E8" i="3"/>
  <c r="F8" i="3" s="1"/>
  <c r="H8" i="3"/>
  <c r="I8" i="3" s="1"/>
  <c r="G5" i="1"/>
  <c r="G4" i="1"/>
  <c r="D5" i="34"/>
  <c r="C5" i="34"/>
  <c r="B4" i="34" a="1"/>
  <c r="B4" i="34" s="1"/>
  <c r="A4" i="34" a="1"/>
  <c r="A4" i="34" s="1"/>
  <c r="G2" i="34"/>
  <c r="A1" i="34" a="1"/>
  <c r="A1" i="34" s="1"/>
  <c r="D5" i="30"/>
  <c r="C5" i="30"/>
  <c r="D4" i="30"/>
  <c r="C4" i="30"/>
  <c r="D5" i="29"/>
  <c r="C5" i="29"/>
  <c r="E5" i="29" s="1"/>
  <c r="F5" i="29" s="1"/>
  <c r="D4" i="29"/>
  <c r="C4" i="29"/>
  <c r="D5" i="18"/>
  <c r="C5" i="18"/>
  <c r="D4" i="18"/>
  <c r="C4" i="18"/>
  <c r="B4" i="30" a="1"/>
  <c r="B4" i="30" s="1"/>
  <c r="G2" i="30"/>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I4" i="33"/>
  <c r="H4" i="33"/>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F14" i="27"/>
  <c r="E14" i="27"/>
  <c r="H13" i="27"/>
  <c r="I13" i="27" s="1"/>
  <c r="E13" i="27"/>
  <c r="F13" i="27" s="1"/>
  <c r="H12" i="27"/>
  <c r="I12" i="27" s="1"/>
  <c r="F12" i="27"/>
  <c r="H11" i="27"/>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15" i="26"/>
  <c r="E15" i="26"/>
  <c r="F15" i="26" s="1"/>
  <c r="H14" i="26"/>
  <c r="I14" i="26" s="1"/>
  <c r="E14" i="26"/>
  <c r="F14" i="26" s="1"/>
  <c r="H13" i="26"/>
  <c r="I13" i="26" s="1"/>
  <c r="E13" i="26"/>
  <c r="F13" i="26" s="1"/>
  <c r="H12" i="26"/>
  <c r="H12" i="29" s="1"/>
  <c r="I12" i="29" s="1"/>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F13" i="19"/>
  <c r="I12" i="19"/>
  <c r="F12" i="19"/>
  <c r="I11" i="19"/>
  <c r="F11" i="19"/>
  <c r="I10" i="19"/>
  <c r="F10" i="19"/>
  <c r="I9" i="19"/>
  <c r="F9" i="19"/>
  <c r="I8" i="19"/>
  <c r="F8" i="19"/>
  <c r="I7" i="19"/>
  <c r="F7" i="19"/>
  <c r="I6" i="19"/>
  <c r="F6" i="19"/>
  <c r="I5" i="19"/>
  <c r="F5" i="19"/>
  <c r="I4" i="19"/>
  <c r="G2" i="19"/>
  <c r="D2" i="19"/>
  <c r="C2" i="19"/>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E11" i="29" l="1"/>
  <c r="F11" i="29" s="1"/>
  <c r="D6" i="34"/>
  <c r="E9" i="29"/>
  <c r="F9" i="29" s="1"/>
  <c r="E12" i="29"/>
  <c r="F12" i="29" s="1"/>
  <c r="E7" i="29"/>
  <c r="F7" i="29" s="1"/>
  <c r="E8" i="29"/>
  <c r="F8" i="29" s="1"/>
  <c r="E10" i="29"/>
  <c r="F10" i="29" s="1"/>
  <c r="D10" i="34"/>
  <c r="E11" i="18"/>
  <c r="F11" i="18" s="1"/>
  <c r="E13" i="18"/>
  <c r="F13" i="18" s="1"/>
  <c r="E9" i="18"/>
  <c r="F9" i="18" s="1"/>
  <c r="H10" i="18"/>
  <c r="I10" i="18" s="1"/>
  <c r="E13" i="30"/>
  <c r="F13" i="30" s="1"/>
  <c r="E12" i="30"/>
  <c r="F12" i="30" s="1"/>
  <c r="H12" i="30"/>
  <c r="I12" i="30" s="1"/>
  <c r="E8" i="30"/>
  <c r="F8" i="30" s="1"/>
  <c r="H7" i="30"/>
  <c r="I7" i="30" s="1"/>
  <c r="H11" i="30"/>
  <c r="I11" i="30" s="1"/>
  <c r="H9" i="30"/>
  <c r="I9" i="30" s="1"/>
  <c r="E11" i="30"/>
  <c r="F11" i="30" s="1"/>
  <c r="H6" i="30"/>
  <c r="I6" i="30" s="1"/>
  <c r="H13" i="30"/>
  <c r="I13" i="30" s="1"/>
  <c r="H10" i="30"/>
  <c r="I10" i="30" s="1"/>
  <c r="H8" i="30"/>
  <c r="I8" i="30" s="1"/>
  <c r="E6" i="29"/>
  <c r="F6" i="29" s="1"/>
  <c r="H9" i="29"/>
  <c r="I9" i="29" s="1"/>
  <c r="H11" i="29"/>
  <c r="I11" i="29" s="1"/>
  <c r="C10" i="34"/>
  <c r="H6" i="29"/>
  <c r="I6" i="29" s="1"/>
  <c r="H13" i="29"/>
  <c r="I13" i="29" s="1"/>
  <c r="E13" i="29"/>
  <c r="F13" i="29" s="1"/>
  <c r="H8" i="29"/>
  <c r="I8" i="29" s="1"/>
  <c r="H10" i="29"/>
  <c r="I10" i="29" s="1"/>
  <c r="H7" i="18"/>
  <c r="I7" i="18" s="1"/>
  <c r="E10" i="18"/>
  <c r="F10" i="18" s="1"/>
  <c r="H12" i="18"/>
  <c r="H12" i="34" s="1"/>
  <c r="I12" i="34" s="1"/>
  <c r="H13" i="18"/>
  <c r="I13" i="18" s="1"/>
  <c r="H11" i="18"/>
  <c r="I11" i="18" s="1"/>
  <c r="E6" i="18"/>
  <c r="F6" i="18" s="1"/>
  <c r="H9" i="18"/>
  <c r="I9" i="18" s="1"/>
  <c r="C12" i="34"/>
  <c r="E12" i="18"/>
  <c r="F12" i="18" s="1"/>
  <c r="E7" i="18"/>
  <c r="F7" i="18" s="1"/>
  <c r="H8" i="18"/>
  <c r="I8" i="18" s="1"/>
  <c r="H6" i="18"/>
  <c r="I6" i="18" s="1"/>
  <c r="E8" i="18"/>
  <c r="F8" i="18" s="1"/>
  <c r="H9" i="1"/>
  <c r="H9" i="34"/>
  <c r="I9" i="34" s="1"/>
  <c r="E13" i="1"/>
  <c r="F13" i="1" s="1"/>
  <c r="H6" i="1"/>
  <c r="I6" i="1" s="1"/>
  <c r="H7" i="34"/>
  <c r="I7" i="34" s="1"/>
  <c r="H7" i="1"/>
  <c r="H8" i="1"/>
  <c r="I12" i="1"/>
  <c r="E11" i="34"/>
  <c r="F11" i="34" s="1"/>
  <c r="E13" i="34"/>
  <c r="F13" i="34" s="1"/>
  <c r="E7" i="34"/>
  <c r="F7" i="34" s="1"/>
  <c r="I9" i="1"/>
  <c r="I11" i="1"/>
  <c r="E10" i="1"/>
  <c r="F10" i="1" s="1"/>
  <c r="I8" i="72"/>
  <c r="I6" i="72"/>
  <c r="I10" i="1"/>
  <c r="E9" i="1"/>
  <c r="F9" i="1" s="1"/>
  <c r="E6" i="1"/>
  <c r="F6" i="1" s="1"/>
  <c r="I7" i="1"/>
  <c r="E11" i="1"/>
  <c r="F11" i="1" s="1"/>
  <c r="D8" i="34"/>
  <c r="E7" i="1"/>
  <c r="F7" i="1" s="1"/>
  <c r="E12" i="1"/>
  <c r="F12" i="1" s="1"/>
  <c r="I13" i="1"/>
  <c r="D12" i="34"/>
  <c r="C6" i="34"/>
  <c r="E6" i="34" s="1"/>
  <c r="F6" i="34" s="1"/>
  <c r="C8" i="34"/>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E5" i="34"/>
  <c r="F5" i="34" s="1"/>
  <c r="G2" i="1"/>
  <c r="E5" i="1"/>
  <c r="F5" i="1" s="1"/>
  <c r="H4" i="30"/>
  <c r="I4" i="30" s="1"/>
  <c r="H5" i="30"/>
  <c r="I5" i="30" s="1"/>
  <c r="I6" i="26"/>
  <c r="I9" i="26"/>
  <c r="I12" i="26"/>
  <c r="I15" i="26"/>
  <c r="H4" i="29"/>
  <c r="I4" i="29" s="1"/>
  <c r="H5" i="29"/>
  <c r="I5" i="29" s="1"/>
  <c r="I7" i="26"/>
  <c r="H4" i="18"/>
  <c r="I4" i="18" s="1"/>
  <c r="C4" i="34"/>
  <c r="H5" i="18"/>
  <c r="I5" i="18" s="1"/>
  <c r="H5" i="34"/>
  <c r="I5" i="34"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E10" i="34"/>
  <c r="F10" i="34" s="1"/>
  <c r="H10" i="34"/>
  <c r="I10" i="34" s="1"/>
  <c r="I12" i="18"/>
  <c r="E12" i="34"/>
  <c r="F12" i="34" s="1"/>
  <c r="H8" i="34"/>
  <c r="I8" i="34" s="1"/>
  <c r="H6" i="34"/>
  <c r="I6" i="34" s="1"/>
  <c r="I8" i="1"/>
  <c r="E8" i="34"/>
  <c r="F8" i="34" s="1"/>
  <c r="D2" i="34"/>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<sst xmlns="http://schemas.openxmlformats.org/spreadsheetml/2006/main" count="365" uniqueCount="155">
  <si>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</si>
  <si>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</si>
  <si>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</si>
  <si>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</si>
  <si>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</si>
  <si>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</si>
  <si>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</si>
  <si>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</si>
  <si>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</si>
  <si>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</si>
  <si>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</si>
  <si>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</si>
  <si>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</si>
  <si>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</si>
  <si>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</si>
  <si>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</si>
  <si>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</si>
  <si>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</si>
  <si>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</si>
  <si>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</si>
  <si>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</si>
  <si>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</si>
  <si>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is offline on 01/09, 01/10, 01/12, 01/17.</t>
  </si>
  <si>
    <t>1. SR080094</t>
  </si>
  <si>
    <t>1. Site was not communicating from 04/22</t>
  </si>
  <si>
    <t>1. SR077495</t>
  </si>
  <si>
    <t>1. Inverter was barely produced on 1/13, 1/14 and 1/15</t>
  </si>
  <si>
    <t>1. SR080235</t>
  </si>
  <si>
    <t>1. Site was not communicating from 05/23/2022</t>
  </si>
  <si>
    <t>1. SR079089</t>
  </si>
  <si>
    <t>February Actual v. Expected</t>
  </si>
  <si>
    <t>February Actual v. Forecasted</t>
  </si>
  <si>
    <t>1. Site stopped communicating from 04/22</t>
  </si>
  <si>
    <t>1. SR077494</t>
  </si>
  <si>
    <t xml:space="preserve">1.(A) Inverter 2 was taken offline by technician on 02/26/2024 at 13:30 to 15:00 &amp; inverter 1 at 15:00 - 16:15.
1.(B) Inverter 2 tripped offline on 02/27/2024 at 15:48 &amp; back online at 12:00 on 02/28/2024. </t>
  </si>
  <si>
    <t>1. SR081345</t>
  </si>
  <si>
    <t>March Actual v. Expected</t>
  </si>
  <si>
    <t>March Actual v. Forecasted</t>
  </si>
  <si>
    <t>1. Site stopped communicating from 04/22/20223 and communication regained on 04/03</t>
  </si>
  <si>
    <t>1. Inverter 2 is derating, due to overheating 2 modules are offline</t>
  </si>
  <si>
    <t>April Actual v. Expected</t>
  </si>
  <si>
    <t>April Actual v. Forecasted</t>
  </si>
  <si>
    <t>1. Inverter 2 is derating, due to overheating 2 modules are offline
2. Site is offline from 04/17 to 04/19.</t>
  </si>
  <si>
    <t>1. SR081345
2. SR083483</t>
  </si>
  <si>
    <t>1. Inverter 37 is derating due to fan fault during peak hours
2. Inverter 60 is derating during morning hours due to issue with tracker
3. Inverter 30 tripped offline at 12:45 on 04/19 and was back online at 13:00 on 04/22
4. Inverter 47 was offline from 04/01 and was replaced at 13:00 on 04/23 
5. Inverter 53 tripped offline at 14:00 on 04/24 and back online at 07:00 on 05/26</t>
  </si>
  <si>
    <t>1. SR083529
2. SR085269
3. SR083529
4. SR083529
5. SR083529</t>
  </si>
  <si>
    <t>1. Inverters production not as expected due to issue with trackers throughout the month</t>
  </si>
  <si>
    <t>1. 	SR087216</t>
  </si>
  <si>
    <t>May Actual v. Expected</t>
  </si>
  <si>
    <t>May Actual v. Forecasted</t>
  </si>
  <si>
    <t>1. Inverter 2 is offline since 05/03.
2. Inverter 1 didn't start for producton on 05/21 and back online at 01:15 on 05/21 and again offline since 05/22</t>
  </si>
  <si>
    <t>1. SR084239
2. SR084949</t>
  </si>
  <si>
    <t>1. Site was offline from 05/10 at 07:00am to 11:00am on 05/10.</t>
  </si>
  <si>
    <t>1. SR084536</t>
  </si>
  <si>
    <t>1. Inverter 2 is derating, due to overheating 2 modules are offline
2. Inverter 1 is derating since 05/28.</t>
  </si>
  <si>
    <t>1. SR081345
2. SR085401</t>
  </si>
  <si>
    <t>1.  Inverter 1 is offline due to a permanent fault of the power module. Fault0010 at 14:00 from 05/21.
2. Inverter 27 tripped offline due to bus imbalance. Protect0070 at 12:30PM on 05/23.
3. Inverter 35 tripped offline due to AC SPD Fault. Warn0070 at 11:30 on 05/18.
4. Inverter 49 tripped offline due to bus imbalance. Protect0070 at 15:45 on 05/25.
5. Inverter 71 tripped offline due to a permanent fault of the power module. Fault0010 at 15:15 on 05/05.
6. Inverter 40 tripped offline and reporting Grid Phase Voltage Out of Range at 18:15 on 05/29.
7. Meter MV 2 is not communicated for whole month.</t>
  </si>
  <si>
    <t>1. SR085262
2. SR085263
3. SR085264
4. SR085265
5. SR085266
6. SR085294
7. SR085267</t>
  </si>
  <si>
    <t>1. Inverter 27 was derating due to fan fault during peak hours throughout the month till 05/22. Inverter 12 is derating due to external fan fault since 05/28</t>
  </si>
  <si>
    <t>1. SR085335</t>
  </si>
  <si>
    <t>June Actual v. Expected</t>
  </si>
  <si>
    <t>June Actual v. Forecasted</t>
  </si>
  <si>
    <t>1. Site is offline from 05/21/2024</t>
  </si>
  <si>
    <t>1. SR084949, SR084239</t>
  </si>
  <si>
    <t>1. Site started communicating in Also Energy from 6/11.</t>
  </si>
  <si>
    <t>1. Inverter 2 tripped offline at 15:00 on 06/15 and back online 06/24 at 14:45
2. Inverter 1 is derated by 1MW on 06/01 and back to expected production on 06/02 and inverter again derated on 06/02, back to expected production on 06/03
3. Inverter 1 started late on 06/09.
4. Inverter 2 is underperforming 550kW compared to inverter 1 for whole month.</t>
  </si>
  <si>
    <t>1. SR086275
2. SR085401
3. SR085772
4. SR085507</t>
  </si>
  <si>
    <t>1. Inverters 29,30, 51,52,60 are perfroming low compared to peers due to issue with trackers
2. Inverter 64 tripped offline at 09:00 on 06/18 and back online at 16:00 on the same day
3. Inverter 80 tripped offline at 07:15 on 06/25 and back online on 06/26
4.  Inverter 1 is offline from 05/21 and is still offline
5. Inverter 27 is from 05/23 and is still offline
6. Inverter 35 is offline from 05/18 and is still offline
7. Inverter 49  is offline from 05/25 and is still offline
8. Inverter 71 is offline from 05/05 and is still offline
9. Inverter 40 is offline from 05/29 and is still offline
10. Meter MV 2 is not communicated for whole month.</t>
  </si>
  <si>
    <t>1. SR085269
2. SR086382
3. SR086892
4. SR085262
5. SR085263
6. SR085264
7. SR085265
8. SR085266
9. SR085294
10. SR085267</t>
  </si>
  <si>
    <t>1. Inverter 31 is derating during peak hours due to fan fault from 06/01 and fan  replaced on 06/26
2. Site tripped offline at 11:00 on 06/20 and back online at 12:45 on 06/26</t>
  </si>
  <si>
    <t>1. SR085551
2. SR086496</t>
  </si>
  <si>
    <t>1. Inverter 24 tripped offline at 16:30 on 06/06 and back online the next day. Inverter 24 again tripped offline at 17:15 on 06/17 and back online the next day
2. Site  offline from 13:15 to 18:45 on 06/09 due to utility outage. Site  again offline from 09:15 to 13:00 on 06/11 due to utility outage.
3. Inverters 13 and 20 are undeperforming compared to peers and back to expected production on 06/26
4. Inverter 15 tripped offline at 15:30 on 06/18 and back online on 06/19
5. Inverter 9 tripped offline at 10:15 on 06/23 and back online on next day</t>
  </si>
  <si>
    <t xml:space="preserve">1. SR085722
2. SR085785
3. SR086324
4. SR086416
5. SR086758	</t>
  </si>
  <si>
    <t>1. Inverters 6 and 10 tripped offline on 06/07 and back online at 18:30 on 06/11 but were curtailed to 50%. Inverters 6 and 10 started producing at rated capacity since 06/18
2. Site production sligthly dropping due to stuck trackers</t>
  </si>
  <si>
    <t>1. SR085882
2. SR087034,
     SR087035,
     SR087036</t>
  </si>
  <si>
    <t>1.  Inverter 17 is underperforming by 28 kW and Inverter 18 is underperforming by 14kW according to site drawing.</t>
  </si>
  <si>
    <t>1. SR086325</t>
  </si>
  <si>
    <t>July Actual v. Expected</t>
  </si>
  <si>
    <t>July Actual v. Forecasted</t>
  </si>
  <si>
    <t>1. Inverters 1 and 2 are offline for whole month.</t>
  </si>
  <si>
    <t>1. SR084949</t>
  </si>
  <si>
    <t>1. There is a drop in production of 244 kW for most of days due to inverters 2 and 3 coolant systems will need to be recharged.</t>
  </si>
  <si>
    <t>1. SR087552</t>
  </si>
  <si>
    <t>1. Inverter 2 is underperforming 550kW compared to inverter 1 for whole month.
2. Inverter 1 was derated by 1MW on 07/08, 07/09.
3. Inverter 1 was offline from 11:00am on 07/17 to 08:00am on 07/18 and inverter 2 was offline from 11:00 am on 07/18 to 15:00 on 07/20.</t>
  </si>
  <si>
    <t>1. SR085507
2. SR085401
3. PM7787</t>
  </si>
  <si>
    <t>1. Inverter 1, 27, 35, 49 and 71 were offline from 07/01 to 07/09, Inverter 40 was offline from 07/01 to 07/30.
2. 20 to 30 tables were damaged due to strom(Number of modules damaged was unknown).
3. Inverter 43 was tripped offline on 07/15. 
4. Inverter 58 was tripped offline on 07/19.
5. Inverter 70 was tripped offline on 07/17.</t>
  </si>
  <si>
    <t>1. SR085267
2. SR087734
3. SR087813
4. SR087934
5. SR087831</t>
  </si>
  <si>
    <t>1. Weather station was not communicated from 07/04 to 07/17</t>
  </si>
  <si>
    <t>1. SR087384</t>
  </si>
  <si>
    <t>1. Inverter 15 was tripped offline on 07/01 at 15:00and back online on 07/02 at 07:00
2. Site was tripped offline on 07/17 at 15:00 and back online on 07/18 at 11:00am
3. site was offline from 1:45 pm to 3:15 pm on 07/19, Site was offline on 07/23 from 10:15 to 11:30 and 13:15 to 13:45.
4. Inverter 9 was tripped offline on 07/19 at 13:00 and back online on 07/20, Inverter 9 again tripped offline on 07/21 at 16:00 and back online on 07/22 at 07:00
5. Inverter 24 tripped offline on 07/03 at 13:00 and back online on 07/04, Inverter 24 tripped offline on 07/24 at 13:00 and back online on 07/25</t>
  </si>
  <si>
    <t>1. SR086416
2. SR087847
3. SR087932
4. SR086758
5. SR088273</t>
  </si>
  <si>
    <t xml:space="preserve">1.Site production sligthly dropping due to stuck trackers
</t>
  </si>
  <si>
    <t>1.. SR087034,
     SR087035,
     SR087036</t>
  </si>
  <si>
    <t>August Actual v. Expected</t>
  </si>
  <si>
    <t>August Actual v. Forecasted</t>
  </si>
  <si>
    <t>1.Inverter 2 is underperforming 550kW compared to inverter 1 for whole month.
2.Inverter 1 tripped offline at 14:45 on 8/12 back online on 8/14
3.Site offline on 8/13 back online on 8/14</t>
  </si>
  <si>
    <t>1.SR085507
2.SR088962
3.SR088989</t>
  </si>
  <si>
    <t>1. inverters 37, 43, 64 and 80 are being RMA'd.
2. 20 to 30 tables were damaged due to strom(Number of modules damaged was unknown).
3. Inverter 70 is offline for whole month and Inverter 51 was tripped offline on 08/18</t>
  </si>
  <si>
    <t>1. SR089976
2. SR087734
3. SR087934</t>
  </si>
  <si>
    <t>1. Site was offline from 8/05 to 08/09 due to planned outage.</t>
  </si>
  <si>
    <t>1. SR088605</t>
  </si>
  <si>
    <t>1. Inverter 24 was tripped offline on 08/06 and back online on 08/07.
inverter 24 was tripped offline on 08/09 and back online on 08/10
inverter 24 was tripped offline on 08/22 and back online on 08/23
2. Inverter 9 tripped offline on 08/05 and back online on 08/06.
Inverter 9 tripped offline on 08/12 and back online on 08/13
3. Site was offline from 10:00 am to 13:00 on 08/22.</t>
  </si>
  <si>
    <t>1. SR088273
2. SR086758
3. SR089311</t>
  </si>
  <si>
    <t>1. Inverter 2 was tripped offline on 08/03 to 08/07.
2. POA, has been having intermittent communication issue since 08/03.</t>
  </si>
  <si>
    <t>1. SR088584
2. SR088821</t>
  </si>
  <si>
    <t>1. inverter 17 underperforming by 28 kW for whole month.
inverter 18 underperforming by 10 kW for whole month.
2. Weather station lost communication at 23:00 on 08/29.</t>
  </si>
  <si>
    <t>1. SR086325
2. SR089748</t>
  </si>
  <si>
    <t>September Actual v. Expected</t>
  </si>
  <si>
    <t>September Actual v. Forecasted</t>
  </si>
  <si>
    <t>1. Inverter 2 offline from 12:00PM at 04:35PM on 09/28.</t>
  </si>
  <si>
    <t>1. SR091350</t>
  </si>
  <si>
    <t>1. Meter power dropped to zero at 11:30AM on 09/06 and back to normal production on 09/07 and again meter power dropped to zero at 08:30AM on 09/14 and back to normal production on 09/15.</t>
  </si>
  <si>
    <t>1. SR090079</t>
  </si>
  <si>
    <t>1. Inverters 37, 43, 64 and 80 are being RMA'd from 09/04 and back online on 09/12, inverters 39 &amp; 50 being RMA'd from 09/12.
2. Inverter 26 and 22 offline from 09/18 and inverter 38 is offline from 09/20.
3. Inverter 38 and 74 offline from 09/20.
4. Pads 2 and 3 tripped offline on 09/29 and back online on 10/03.</t>
  </si>
  <si>
    <t>1. SR089976, SR090628
2. SR090724
3. SR091004, SR091018
4. SR091359</t>
  </si>
  <si>
    <t>1. Weather station Hukseflux SR15-D1 - POA having intermittent communication issue from 08/03 and resolved on 09/25</t>
  </si>
  <si>
    <t>1. SR088821</t>
  </si>
  <si>
    <t>1. Weather station stopped communicating from 08/29 and communication resolved on 09/12.
2. Inverter 1 is offline from 07:00AM to 13:00 on 09/27.</t>
  </si>
  <si>
    <t>1. SR089748
2. SR091322</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</si>
  <si>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</si>
  <si>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</si>
  <si>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</si>
  <si>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</si>
  <si>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</si>
  <si>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</si>
  <si>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</si>
  <si>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</si>
  <si>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</si>
  <si>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</si>
  <si>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</si>
  <si>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</si>
  <si>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</si>
  <si>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</si>
  <si>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</si>
  <si>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</si>
  <si>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</si>
  <si>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</si>
  <si>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</si>
  <si>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</si>
  <si>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</si>
  <si>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</si>
  <si>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</si>
  <si>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</si>
  <si>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</si>
  <si>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</si>
  <si>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AEF</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</si>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</sst>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cellStyleXfs>
  <cellXfs count="6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4" borderId="0" xfId="1" applyNumberFormat="1" applyFont="1" applyFill="1" applyAlignment="1">
      <alignment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0</v>
      </c>
      <c r="E1" s="59"/>
      <c r="F1" s="59"/>
      <c r="G1" s="57" t="s">
        <v>1</v>
      </c>
      <c r="H1" s="57"/>
      <c r="I1" s="57"/>
    </row>
    <row r="2" spans="1:9" ht="19.5" customHeight="1">
      <c r="A2" s="60" t="s">
        <v>2</v>
      </c>
      <c r="B2" s="60"/>
      <c r="C2" s="6">
        <f>SUM(C4:C91)</f>
        <v>15171361.600000001</v>
      </c>
      <c r="D2" s="6">
        <f>SUM(D4:D91)</f>
        <v>14748063.66211381</v>
      </c>
      <c r="E2" s="6">
        <f>C2-D2</f>
        <v>423297.93788619153</v>
      </c>
      <c r="F2" s="7">
        <f>IFERROR(E2/D2, 0)</f>
        <v>2.8701933188259719E-2</v>
      </c>
      <c r="G2" s="6">
        <f>SUM(G4:G91)</f>
        <v>0</v>
      </c>
      <c r="H2" s="8">
        <f>C2-G2</f>
        <v>15171361.600000001</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460134</v>
      </c>
      <c r="D4" s="14">
        <f>SUM('1st Qtr'!D4, '2nd Qtr'!D4, '3rd Qtr'!D4, '4th Qtr'!D4)</f>
        <v>984991.77657385054</v>
      </c>
      <c r="E4" s="14">
        <f>IF(AND(ISNUMBER(C4),ISNUMBER(D4)), C4-D4, "")</f>
        <v>-524857.77657385054</v>
      </c>
      <c r="F4" s="15">
        <f>IFERROR(E4/D4, "")</f>
        <v>-0.53285498321568869</v>
      </c>
      <c r="G4" s="16"/>
      <c r="H4" s="16">
        <f>SUM('1st Qtr'!H4, '2nd Qtr'!H4, '3rd Qtr'!H4, '4th Qtr'!H4)</f>
        <v>-388001.53000000049</v>
      </c>
      <c r="I4" s="17" t="str">
        <f>IFERROR(H4/G4, "")</f>
        <v/>
      </c>
    </row>
    <row r="5" spans="1:9" ht="15.6">
      <c r="A5" s="18" t="str">
        <v>San Luis Valley</v>
      </c>
      <c r="B5" s="11" t="str">
        <v>CO</v>
      </c>
      <c r="C5" s="12">
        <f>SUM(Jan!C5, Feb!C5, Mar!C5)</f>
        <v>0</v>
      </c>
      <c r="D5" s="19">
        <f>SUM(Jan!D5, Feb!D5, Mar!D5)</f>
        <v>0</v>
      </c>
      <c r="E5" s="19">
        <f t="shared" ref="E5:E6" si="0">IF(AND(ISNUMBER(C5),ISNUMBER(D5)), C5-D5, "")</f>
        <v>0</v>
      </c>
      <c r="F5" s="20" t="str">
        <f>IFERROR(E5/D5, "")</f>
        <v/>
      </c>
      <c r="G5" s="21"/>
      <c r="H5" s="21">
        <f>SUM(Jan!H5, Feb!H5, Mar!H5)</f>
        <v>0</v>
      </c>
      <c r="I5" s="20" t="str">
        <f>IFERROR(H5/G5, "")</f>
        <v/>
      </c>
    </row>
    <row r="6" spans="1:9" ht="15.6">
      <c r="A6" s="13" t="str">
        <v>Golden NREL 2</v>
      </c>
      <c r="B6" s="10" t="str">
        <v>CO</v>
      </c>
      <c r="C6" s="25">
        <f>SUM('1st Qtr'!C6, '2nd Qtr'!C6, '3rd Qtr'!C6, '4th Qtr'!C6)</f>
        <v>89968</v>
      </c>
      <c r="D6" s="14">
        <f>SUM('1st Qtr'!D6, '2nd Qtr'!D6, '3rd Qtr'!D6, '4th Qtr'!D6)</f>
        <v>82794.341539959772</v>
      </c>
      <c r="E6" s="14">
        <f t="shared" si="0"/>
        <v>7173.6584600402275</v>
      </c>
      <c r="F6" s="15">
        <f t="shared" ref="F6:F13" si="1">IFERROR(E6/D6, "")</f>
        <v>8.6644308374358422E-2</v>
      </c>
      <c r="G6" s="16"/>
      <c r="H6" s="16">
        <f>SUM('1st Qtr'!H6, '2nd Qtr'!H6, '3rd Qtr'!H6, '4th Qtr'!H6)</f>
        <v>-5557.169999999991</v>
      </c>
      <c r="I6" s="17" t="str">
        <f t="shared" ref="I6:I13" si="2">IFERROR(H6/G6, "")</f>
        <v/>
      </c>
    </row>
    <row r="7" spans="1:9" ht="15.6">
      <c r="A7" s="18" t="str">
        <v>Golden NREL Wind 3</v>
      </c>
      <c r="B7" s="11" t="str">
        <v>CO</v>
      </c>
      <c r="C7" s="12">
        <f>SUM(Jan!C7, Feb!C7, Mar!C7)</f>
        <v>0</v>
      </c>
      <c r="D7" s="19">
        <f>SUM(Jan!D7, Feb!D7, Mar!D7)</f>
        <v>0</v>
      </c>
      <c r="E7" s="19">
        <f t="shared" ref="E7:E13" si="3">IF(AND(ISNUMBER(C7),ISNUMBER(D7)), C7-D7, "")</f>
        <v>0</v>
      </c>
      <c r="F7" s="20" t="str">
        <f t="shared" si="1"/>
        <v/>
      </c>
      <c r="G7" s="21"/>
      <c r="H7" s="21">
        <f>SUM(Jan!H7, Feb!H7, Mar!H7)</f>
        <v>0</v>
      </c>
      <c r="I7" s="20" t="str">
        <f t="shared" si="2"/>
        <v/>
      </c>
    </row>
    <row r="8" spans="1:9" ht="15.6">
      <c r="A8" s="13" t="str">
        <v>Pratt Solar Farm</v>
      </c>
      <c r="B8" s="10" t="str">
        <v>KS</v>
      </c>
      <c r="C8" s="25">
        <f>SUM('1st Qtr'!C8, '2nd Qtr'!C8, '3rd Qtr'!C8, '4th Qtr'!C8)</f>
        <v>7241160</v>
      </c>
      <c r="D8" s="14">
        <f>SUM('1st Qtr'!D8, '2nd Qtr'!D8, '3rd Qtr'!D8, '4th Qtr'!D8)</f>
        <v>9000474.3909999989</v>
      </c>
      <c r="E8" s="14">
        <f t="shared" si="3"/>
        <v>-1759314.3909999989</v>
      </c>
      <c r="F8" s="15">
        <f t="shared" si="1"/>
        <v>-0.19546907358119042</v>
      </c>
      <c r="G8" s="16"/>
      <c r="H8" s="16">
        <f>SUM('1st Qtr'!H8, '2nd Qtr'!H8, '3rd Qtr'!H8, '4th Qtr'!H8)</f>
        <v>-1521714.21</v>
      </c>
      <c r="I8" s="17" t="str">
        <f t="shared" si="2"/>
        <v/>
      </c>
    </row>
    <row r="9" spans="1:9" ht="12.75" customHeight="1">
      <c r="A9" s="18" t="str">
        <v>Rochester - 5516 Valleyhigh NW</v>
      </c>
      <c r="B9" s="11" t="str">
        <v>MN</v>
      </c>
      <c r="C9" s="12">
        <f>SUM(Jan!C9, Feb!C9, Mar!C9)</f>
        <v>0</v>
      </c>
      <c r="D9" s="19">
        <f>SUM(Jan!D9, Feb!D9, Mar!D9)</f>
        <v>0</v>
      </c>
      <c r="E9" s="19">
        <f t="shared" si="3"/>
        <v>0</v>
      </c>
      <c r="F9" s="20" t="str">
        <f t="shared" si="1"/>
        <v/>
      </c>
      <c r="G9" s="21"/>
      <c r="H9" s="21">
        <f>SUM(Jan!H9, Feb!H9, Mar!H9)</f>
        <v>0</v>
      </c>
      <c r="I9" s="20" t="str">
        <f t="shared" si="2"/>
        <v/>
      </c>
    </row>
    <row r="10" spans="1:9" ht="15.6">
      <c r="A10" s="13" t="str">
        <v>Warsaw - 2201 Richmond</v>
      </c>
      <c r="B10" s="10" t="str">
        <v>VA</v>
      </c>
      <c r="C10" s="25">
        <f>SUM('1st Qtr'!C10, '2nd Qtr'!C10, '3rd Qtr'!C10, '4th Qtr'!C10)</f>
        <v>5443634.6000000006</v>
      </c>
      <c r="D10" s="14">
        <f>SUM('1st Qtr'!D10, '2nd Qtr'!D10, '3rd Qtr'!D10, '4th Qtr'!D10)</f>
        <v>3466614.1510000001</v>
      </c>
      <c r="E10" s="14">
        <f t="shared" si="3"/>
        <v>1977020.4490000005</v>
      </c>
      <c r="F10" s="15">
        <f t="shared" si="1"/>
        <v>0.57030299966602782</v>
      </c>
      <c r="G10" s="16"/>
      <c r="H10" s="16">
        <f>SUM('1st Qtr'!H10, '2nd Qtr'!H10, '3rd Qtr'!H10, '4th Qtr'!H10)</f>
        <v>-203266.82999999973</v>
      </c>
      <c r="I10" s="17" t="str">
        <f t="shared" si="2"/>
        <v/>
      </c>
    </row>
    <row r="11" spans="1:9" ht="15.6">
      <c r="A11" s="18" t="str">
        <v>Mount Jackson - Randolf</v>
      </c>
      <c r="B11" s="11" t="str">
        <v>VA</v>
      </c>
      <c r="C11" s="12">
        <f>SUM(Jan!C11, Feb!C11, Mar!C11)</f>
        <v>0</v>
      </c>
      <c r="D11" s="19">
        <f>SUM(Jan!D11, Feb!D11, Mar!D11)</f>
        <v>0</v>
      </c>
      <c r="E11" s="19">
        <f t="shared" si="3"/>
        <v>0</v>
      </c>
      <c r="F11" s="20" t="str">
        <f t="shared" si="1"/>
        <v/>
      </c>
      <c r="G11" s="21"/>
      <c r="H11" s="21">
        <f>SUM(Jan!H11, Feb!H11, Mar!H11)</f>
        <v>0</v>
      </c>
      <c r="I11" s="20" t="str">
        <f t="shared" si="2"/>
        <v/>
      </c>
    </row>
    <row r="12" spans="1:9" ht="15.6">
      <c r="A12" s="13" t="str">
        <v>Callands Gretna - Monroe</v>
      </c>
      <c r="B12" s="10" t="str">
        <v>VA</v>
      </c>
      <c r="C12" s="25">
        <f>SUM('1st Qtr'!C12, '2nd Qtr'!C12, '3rd Qtr'!C12, '4th Qtr'!C12)</f>
        <v>1936465</v>
      </c>
      <c r="D12" s="14">
        <f>SUM('1st Qtr'!D12, '2nd Qtr'!D12, '3rd Qtr'!D12, '4th Qtr'!D12)</f>
        <v>1213189.0020000001</v>
      </c>
      <c r="E12" s="14">
        <f t="shared" si="3"/>
        <v>723275.99799999991</v>
      </c>
      <c r="F12" s="15">
        <f t="shared" si="1"/>
        <v>0.59617750969358019</v>
      </c>
      <c r="G12" s="16"/>
      <c r="H12" s="16">
        <f>SUM('1st Qtr'!H12, '2nd Qtr'!H12, '3rd Qtr'!H12, '4th Qtr'!H12)</f>
        <v>-161090.57</v>
      </c>
      <c r="I12" s="17" t="str">
        <f t="shared" si="2"/>
        <v/>
      </c>
    </row>
    <row r="13" spans="1:9" ht="15.6">
      <c r="A13" s="18" t="str">
        <v>Rockbridge Baths - Small Mouth Bass</v>
      </c>
      <c r="B13" s="11" t="str">
        <v>VA</v>
      </c>
      <c r="C13" s="12">
        <f>SUM(Jan!C13, Feb!C13, Mar!C13)</f>
        <v>0</v>
      </c>
      <c r="D13" s="19">
        <f>SUM(Jan!D13, Feb!D13, Mar!D13)</f>
        <v>0</v>
      </c>
      <c r="E13" s="19">
        <f t="shared" si="3"/>
        <v>0</v>
      </c>
      <c r="F13" s="20" t="str">
        <f t="shared" si="1"/>
        <v/>
      </c>
      <c r="G13" s="21"/>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C4" sqref="C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10</v>
      </c>
      <c r="E1" s="59"/>
      <c r="F1" s="59"/>
      <c r="G1" s="57" t="s">
        <v>11</v>
      </c>
      <c r="H1" s="57"/>
      <c r="I1" s="57"/>
    </row>
    <row r="2" spans="1:9" ht="19.5" customHeight="1">
      <c r="A2" s="60" t="s">
        <v>2</v>
      </c>
      <c r="B2" s="60"/>
      <c r="C2" s="6">
        <f>SUM(C4:C91)</f>
        <v>2107421</v>
      </c>
      <c r="D2" s="6">
        <f>SUM(D4:D91)</f>
        <v>2460365.2046759999</v>
      </c>
      <c r="E2" s="6">
        <f>C2-D2</f>
        <v>-352944.20467599994</v>
      </c>
      <c r="F2" s="7">
        <f>IFERROR(E2/D2, 0)</f>
        <v>-0.14345195745949366</v>
      </c>
      <c r="G2" s="6">
        <f>SUM(G4:G91)</f>
        <v>2220161.2999999998</v>
      </c>
      <c r="H2" s="8">
        <f>C2-G2</f>
        <v>-112740.29999999981</v>
      </c>
      <c r="I2" s="7">
        <f>IFERROR(H2/G2, 0)</f>
        <v>-5.0780229346399211E-2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288610</v>
      </c>
      <c r="D4" s="14">
        <f>SUM(Jan!D4, Feb!D4, Mar!D4)</f>
        <v>269702.0699</v>
      </c>
      <c r="E4" s="14">
        <f>IF(AND(ISNUMBER(C4),ISNUMBER(D4)), C4-D4, "")</f>
        <v>18907.930099999998</v>
      </c>
      <c r="F4" s="15">
        <f>IFERROR(E4/D4, "")</f>
        <v>7.0106729648054505E-2</v>
      </c>
      <c r="G4" s="16">
        <f>SUM(Jan!G4, Feb!G4, Mar!G4)</f>
        <v>311701.3</v>
      </c>
      <c r="H4" s="16">
        <f>SUM(Jan!H4, Feb!H4, Mar!H4)</f>
        <v>-23091.300000000003</v>
      </c>
      <c r="I4" s="17">
        <f>IFERROR(H4/G4, "")</f>
        <v>-7.4081500462141167E-2</v>
      </c>
    </row>
    <row r="5" spans="1:9" ht="15.6">
      <c r="A5" s="18" t="str">
        <v>San Luis Valley</v>
      </c>
      <c r="B5" s="11" t="str">
        <v>CO</v>
      </c>
      <c r="C5" s="12">
        <f>SUM(Jan!C5, Feb!C5, Mar!C5)</f>
        <v>0</v>
      </c>
      <c r="D5" s="19">
        <f>SUM(Jan!D5, Feb!D5, Mar!D5)</f>
        <v>0</v>
      </c>
      <c r="E5" s="19">
        <f t="shared" ref="E5:E6" si="0">IF(AND(ISNUMBER(C5),ISNUMBER(D5)), C5-D5, "")</f>
        <v>0</v>
      </c>
      <c r="F5" s="20" t="str">
        <f>IFERROR(E5/D5, "")</f>
        <v/>
      </c>
      <c r="G5" s="21">
        <f>SUM(Jan!G5, Feb!G5, Mar!G5)</f>
        <v>0</v>
      </c>
      <c r="H5" s="21">
        <f>SUM(Jan!H5, Feb!H5, Mar!H5)</f>
        <v>0</v>
      </c>
      <c r="I5" s="20" t="str">
        <f>IFERROR(H5/G5, "")</f>
        <v/>
      </c>
    </row>
    <row r="6" spans="1:9" ht="15.6">
      <c r="A6" s="13" t="str">
        <v>Golden NREL 2</v>
      </c>
      <c r="B6" s="10" t="str">
        <v>CO</v>
      </c>
      <c r="C6" s="25">
        <f>SUM(Jan!C6, Feb!C6, Mar!C6)</f>
        <v>22181</v>
      </c>
      <c r="D6" s="14">
        <f>SUM(Jan!D6, Feb!D6, Mar!D6)</f>
        <v>22245.205775999999</v>
      </c>
      <c r="E6" s="14">
        <f t="shared" si="0"/>
        <v>-64.205775999998878</v>
      </c>
      <c r="F6" s="15">
        <f t="shared" ref="F6:F13" si="1">IFERROR(E6/D6, "")</f>
        <v>-2.88627476169582E-3</v>
      </c>
      <c r="G6" s="16">
        <f>SUM(Jan!G6, Feb!G6, Mar!G6)</f>
        <v>28731.96</v>
      </c>
      <c r="H6" s="16">
        <f>SUM(Jan!H6, Feb!H6, Mar!H6)</f>
        <v>-6550.9600000000009</v>
      </c>
      <c r="I6" s="17">
        <f t="shared" ref="I6:I13" si="2">IFERROR(H6/G6, "")</f>
        <v>-0.22800254490121805</v>
      </c>
    </row>
    <row r="7" spans="1:9" ht="15.6">
      <c r="A7" s="18" t="str">
        <v>Golden NREL Wind 3</v>
      </c>
      <c r="B7" s="11" t="str">
        <v>CO</v>
      </c>
      <c r="C7" s="12">
        <f>SUM(Jan!C7, Feb!C7, Mar!C7)</f>
        <v>0</v>
      </c>
      <c r="D7" s="19">
        <f>SUM(Jan!D7, Feb!D7, Mar!D7)</f>
        <v>0</v>
      </c>
      <c r="E7" s="19">
        <f t="shared" ref="E7:E13" si="3">IF(AND(ISNUMBER(C7),ISNUMBER(D7)), C7-D7, "")</f>
        <v>0</v>
      </c>
      <c r="F7" s="20" t="str">
        <f t="shared" si="1"/>
        <v/>
      </c>
      <c r="G7" s="21">
        <f>SUM(Jan!G7, Feb!G7, Mar!G7)</f>
        <v>0</v>
      </c>
      <c r="H7" s="21">
        <f>SUM(Jan!H7, Feb!H7, Mar!H7)</f>
        <v>0</v>
      </c>
      <c r="I7" s="20" t="str">
        <f t="shared" si="2"/>
        <v/>
      </c>
    </row>
    <row r="8" spans="1:9" ht="15.6">
      <c r="A8" s="13" t="str">
        <v>Pratt Solar Farm</v>
      </c>
      <c r="B8" s="10" t="str">
        <v>KS</v>
      </c>
      <c r="C8" s="25">
        <f>SUM(Jan!C8, Feb!C8, Mar!C8)</f>
        <v>1796630</v>
      </c>
      <c r="D8" s="14">
        <f>SUM(Jan!D8, Feb!D8, Mar!D8)</f>
        <v>2168417.929</v>
      </c>
      <c r="E8" s="14">
        <f t="shared" si="3"/>
        <v>-371787.929</v>
      </c>
      <c r="F8" s="15">
        <f t="shared" si="1"/>
        <v>-0.1714558453090525</v>
      </c>
      <c r="G8" s="16">
        <f>SUM(Jan!G8, Feb!G8, Mar!G8)</f>
        <v>1879728.04</v>
      </c>
      <c r="H8" s="16">
        <f>SUM(Jan!H8, Feb!H8, Mar!H8)</f>
        <v>-83098.040000000037</v>
      </c>
      <c r="I8" s="17">
        <f t="shared" si="2"/>
        <v>-4.4207480141648596E-2</v>
      </c>
    </row>
    <row r="9" spans="1:9" ht="12.75" customHeight="1">
      <c r="A9" s="18" t="str">
        <v>Rochester - 5516 Valleyhigh NW</v>
      </c>
      <c r="B9" s="11" t="str">
        <v>MN</v>
      </c>
      <c r="C9" s="12">
        <f>SUM(Jan!C9, Feb!C9, Mar!C9)</f>
        <v>0</v>
      </c>
      <c r="D9" s="19">
        <f>SUM(Jan!D9, Feb!D9, Mar!D9)</f>
        <v>0</v>
      </c>
      <c r="E9" s="19">
        <f t="shared" si="3"/>
        <v>0</v>
      </c>
      <c r="F9" s="20" t="str">
        <f t="shared" si="1"/>
        <v/>
      </c>
      <c r="G9" s="21">
        <f>SUM(Jan!G9, Feb!G9, Mar!G9)</f>
        <v>0</v>
      </c>
      <c r="H9" s="21">
        <f>SUM(Jan!H9, Feb!H9, Mar!H9)</f>
        <v>0</v>
      </c>
      <c r="I9" s="20" t="str">
        <f t="shared" si="2"/>
        <v/>
      </c>
    </row>
    <row r="10" spans="1:9" ht="15.6">
      <c r="A10" s="13" t="str">
        <v>Warsaw - 2201 Richmond</v>
      </c>
      <c r="B10" s="10" t="str">
        <v>VA</v>
      </c>
      <c r="C10" s="25">
        <f>SUM(Jan!C10, Feb!C10, Mar!C10)</f>
        <v>0</v>
      </c>
      <c r="D10" s="14">
        <f>SUM(Jan!D10, Feb!D10, Mar!D10)</f>
        <v>0</v>
      </c>
      <c r="E10" s="14">
        <f t="shared" si="3"/>
        <v>0</v>
      </c>
      <c r="F10" s="15" t="str">
        <f t="shared" si="1"/>
        <v/>
      </c>
      <c r="G10" s="16">
        <f>SUM(Jan!G10, Feb!G10, Mar!G10)</f>
        <v>0</v>
      </c>
      <c r="H10" s="16">
        <f>SUM(Jan!H10, Feb!H10, Mar!H10)</f>
        <v>0</v>
      </c>
      <c r="I10" s="17" t="str">
        <f t="shared" si="2"/>
        <v/>
      </c>
    </row>
    <row r="11" spans="1:9" ht="15.6">
      <c r="A11" s="18" t="str">
        <v>Mount Jackson - Randolf</v>
      </c>
      <c r="B11" s="11" t="str">
        <v>VA</v>
      </c>
      <c r="C11" s="12">
        <f>SUM(Jan!C11, Feb!C11, Mar!C11)</f>
        <v>0</v>
      </c>
      <c r="D11" s="19">
        <f>SUM(Jan!D11, Feb!D11, Mar!D11)</f>
        <v>0</v>
      </c>
      <c r="E11" s="19">
        <f t="shared" si="3"/>
        <v>0</v>
      </c>
      <c r="F11" s="20" t="str">
        <f t="shared" si="1"/>
        <v/>
      </c>
      <c r="G11" s="21">
        <f>SUM(Jan!G11, Feb!G11, Mar!G11)</f>
        <v>0</v>
      </c>
      <c r="H11" s="21">
        <f>SUM(Jan!H11, Feb!H11, Mar!H11)</f>
        <v>0</v>
      </c>
      <c r="I11" s="20" t="str">
        <f t="shared" si="2"/>
        <v/>
      </c>
    </row>
    <row r="12" spans="1:9" ht="15.6">
      <c r="A12" s="13" t="str">
        <v>Callands Gretna - Monroe</v>
      </c>
      <c r="B12" s="10" t="str">
        <v>VA</v>
      </c>
      <c r="C12" s="25">
        <f>SUM(Jan!C12, Feb!C12, Mar!C12)</f>
        <v>0</v>
      </c>
      <c r="D12" s="14">
        <f>SUM(Jan!D12, Feb!D12, Mar!D12)</f>
        <v>0</v>
      </c>
      <c r="E12" s="14">
        <f t="shared" si="3"/>
        <v>0</v>
      </c>
      <c r="F12" s="15" t="str">
        <f t="shared" si="1"/>
        <v/>
      </c>
      <c r="G12" s="16">
        <f>SUM(Jan!G12, Feb!G12, Mar!G12)</f>
        <v>0</v>
      </c>
      <c r="H12" s="16">
        <f>SUM(Jan!H12, Feb!H12, Mar!H12)</f>
        <v>0</v>
      </c>
      <c r="I12" s="17" t="str">
        <f t="shared" si="2"/>
        <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F4" activePane="bottomRight" state="frozen"/>
      <selection pane="bottomRight" activeCell="G4" sqref="G4"/>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12</v>
      </c>
      <c r="E1" s="59"/>
      <c r="F1" s="59"/>
      <c r="G1" s="57" t="s">
        <v>13</v>
      </c>
      <c r="H1" s="57"/>
      <c r="I1" s="57"/>
    </row>
    <row r="2" spans="1:9" ht="19.5" customHeight="1">
      <c r="A2" s="60" t="s">
        <v>2</v>
      </c>
      <c r="B2" s="60"/>
      <c r="C2" s="6">
        <f>SUM(C4:C91)</f>
        <v>12072123.017700002</v>
      </c>
      <c r="D2" s="6">
        <f>SUM(D4:D91)</f>
        <v>15855426.894857809</v>
      </c>
      <c r="E2" s="6">
        <f>C2-D2</f>
        <v>-3783303.8771578074</v>
      </c>
      <c r="F2" s="7">
        <f>IFERROR(E2/D2, 0)</f>
        <v>-0.23861255217195057</v>
      </c>
      <c r="G2" s="6">
        <f>SUM(G4:G91)</f>
        <v>16394922.890000001</v>
      </c>
      <c r="H2" s="8">
        <f>C2-G2</f>
        <v>-4322799.872299999</v>
      </c>
      <c r="I2" s="7">
        <f>IFERROR(H2/G2, 0)</f>
        <v>-0.26366698405984385</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171524</v>
      </c>
      <c r="D4" s="14">
        <f>SUM(Apr!D4, May!D4, Jun!D4)</f>
        <v>471593.76037385064</v>
      </c>
      <c r="E4" s="14">
        <f>IF(AND(ISNUMBER(C4),ISNUMBER(D4)), C4-D4, "")</f>
        <v>-300069.76037385064</v>
      </c>
      <c r="F4" s="15">
        <f>IFERROR(E4/D4, "")</f>
        <v>-0.63628865686427594</v>
      </c>
      <c r="G4" s="16">
        <f>SUM(Apr!G4+May!G4+Jun!G4)</f>
        <v>412241.35000000044</v>
      </c>
      <c r="H4" s="16">
        <f>SUM(Apr!H4, May!H4, Jun!H4)</f>
        <v>-102110.35000000046</v>
      </c>
      <c r="I4" s="17">
        <f>IFERROR(H4/G4, "")</f>
        <v>-0.24769555504318125</v>
      </c>
    </row>
    <row r="5" spans="1:9" ht="15.6">
      <c r="A5" s="18" t="str">
        <v>San Luis Valley</v>
      </c>
      <c r="B5" s="11" t="str">
        <v>CO</v>
      </c>
      <c r="C5" s="12">
        <f>SUM(Apr!C5, May!C5, Jun!C5)</f>
        <v>403386.41769999999</v>
      </c>
      <c r="D5" s="19">
        <f>SUM(Apr!D5, May!D5, Jun!D5)</f>
        <v>168822.39999999999</v>
      </c>
      <c r="E5" s="19">
        <f t="shared" ref="E5:E6" si="0">IF(AND(ISNUMBER(C5),ISNUMBER(D5)), C5-D5, "")</f>
        <v>234564.0177</v>
      </c>
      <c r="F5" s="20">
        <f>IFERROR(E5/D5, "")</f>
        <v>1.3894128841907236</v>
      </c>
      <c r="G5" s="21">
        <f>SUM(Apr!G5+May!G5+Jun!G5)</f>
        <v>0</v>
      </c>
      <c r="H5" s="21">
        <f>SUM(Apr!H5, May!H5, Jun!H5)</f>
        <v>403386.41769999999</v>
      </c>
      <c r="I5" s="20" t="str">
        <f>IFERROR(H5/G5, "")</f>
        <v/>
      </c>
    </row>
    <row r="6" spans="1:9" ht="15.6">
      <c r="A6" s="13" t="str">
        <v>Golden NREL 2</v>
      </c>
      <c r="B6" s="10" t="str">
        <v>CO</v>
      </c>
      <c r="C6" s="25">
        <f>SUM(Apr!C6, May!C6, Jun!C6)</f>
        <v>40847</v>
      </c>
      <c r="D6" s="14">
        <f>SUM(Apr!D6, May!D6, Jun!D6)</f>
        <v>36063.903483959781</v>
      </c>
      <c r="E6" s="14">
        <f t="shared" si="0"/>
        <v>4783.0965160402193</v>
      </c>
      <c r="F6" s="15">
        <f t="shared" ref="F6:F13" si="1">IFERROR(E6/D6, "")</f>
        <v>0.13262836393092078</v>
      </c>
      <c r="G6" s="16">
        <f>SUM(Apr!G6+May!G6+Jun!G6)</f>
        <v>40515.719999999987</v>
      </c>
      <c r="H6" s="16">
        <f>SUM(Apr!H6, May!H6, Jun!H6)</f>
        <v>331.28000000000975</v>
      </c>
      <c r="I6" s="17">
        <f t="shared" ref="I6:I13" si="2">IFERROR(H6/G6, "")</f>
        <v>8.1765793622823411E-3</v>
      </c>
    </row>
    <row r="7" spans="1:9" ht="15.6">
      <c r="A7" s="18" t="str">
        <v>Golden NREL Wind 3</v>
      </c>
      <c r="B7" s="11" t="str">
        <v>CO</v>
      </c>
      <c r="C7" s="12">
        <f>SUM(Apr!C7, May!C7, Jun!C7)</f>
        <v>28261</v>
      </c>
      <c r="D7" s="19">
        <f>SUM(Apr!D7, May!D7, Jun!D7)</f>
        <v>81324</v>
      </c>
      <c r="E7" s="19">
        <f t="shared" ref="E7:E13" si="3">IF(AND(ISNUMBER(C7),ISNUMBER(D7)), C7-D7, "")</f>
        <v>-53063</v>
      </c>
      <c r="F7" s="20">
        <f t="shared" si="1"/>
        <v>-0.65248881019133342</v>
      </c>
      <c r="G7" s="21">
        <f>SUM(Apr!G7+May!G7+Jun!G7)</f>
        <v>0</v>
      </c>
      <c r="H7" s="21">
        <f>SUM(Apr!H7, May!H7, Jun!H7)</f>
        <v>28261</v>
      </c>
      <c r="I7" s="20" t="str">
        <f t="shared" si="2"/>
        <v/>
      </c>
    </row>
    <row r="8" spans="1:9" ht="15.6">
      <c r="A8" s="13" t="str">
        <v>Pratt Solar Farm</v>
      </c>
      <c r="B8" s="10" t="str">
        <v>KS</v>
      </c>
      <c r="C8" s="25">
        <f>SUM(Apr!C8, May!C8, Jun!C8)</f>
        <v>2543370</v>
      </c>
      <c r="D8" s="14">
        <f>SUM(Apr!D8, May!D8, Jun!D8)</f>
        <v>3358562.73</v>
      </c>
      <c r="E8" s="14">
        <f t="shared" si="3"/>
        <v>-815192.73</v>
      </c>
      <c r="F8" s="15">
        <f t="shared" si="1"/>
        <v>-0.24272070987937153</v>
      </c>
      <c r="G8" s="16">
        <f>SUM(Apr!G8+May!G8+Jun!G8)</f>
        <v>3405558.5</v>
      </c>
      <c r="H8" s="16">
        <f>SUM(Apr!H8, May!H8, Jun!H8)</f>
        <v>-862188.5</v>
      </c>
      <c r="I8" s="17">
        <f t="shared" si="2"/>
        <v>-0.25317095565969577</v>
      </c>
    </row>
    <row r="9" spans="1:9" ht="12.75" customHeight="1">
      <c r="A9" s="18" t="str">
        <v>Rochester - 5516 Valleyhigh NW</v>
      </c>
      <c r="B9" s="11" t="str">
        <v>MN</v>
      </c>
      <c r="C9" s="12">
        <f>SUM(Apr!C9, May!C9, Jun!C9)</f>
        <v>3935122</v>
      </c>
      <c r="D9" s="19">
        <f>SUM(Apr!D9, May!D9, Jun!D9)</f>
        <v>6649248.4500000002</v>
      </c>
      <c r="E9" s="19">
        <f t="shared" si="3"/>
        <v>-2714126.45</v>
      </c>
      <c r="F9" s="20">
        <f t="shared" si="1"/>
        <v>-0.40818544688309849</v>
      </c>
      <c r="G9" s="21">
        <f>SUM(Apr!G9+May!G9+Jun!G9)</f>
        <v>7166100.0899999999</v>
      </c>
      <c r="H9" s="21">
        <f>SUM(Apr!H9, May!H9, Jun!H9)</f>
        <v>-3230978.09</v>
      </c>
      <c r="I9" s="20">
        <f t="shared" si="2"/>
        <v>-0.45086979660090121</v>
      </c>
    </row>
    <row r="10" spans="1:9" ht="15.6">
      <c r="A10" s="13" t="str">
        <v>Warsaw - 2201 Richmond</v>
      </c>
      <c r="B10" s="10" t="str">
        <v>VA</v>
      </c>
      <c r="C10" s="25">
        <f>SUM(Apr!C10, May!C10, Jun!C10)</f>
        <v>3142172.4000000004</v>
      </c>
      <c r="D10" s="14">
        <f>SUM(Apr!D10, May!D10, Jun!D10)</f>
        <v>3258789.4509999999</v>
      </c>
      <c r="E10" s="14">
        <f t="shared" si="3"/>
        <v>-116617.05099999951</v>
      </c>
      <c r="F10" s="15">
        <f t="shared" si="1"/>
        <v>-3.5785389867459563E-2</v>
      </c>
      <c r="G10" s="16">
        <f>SUM(Apr!G10+May!G10+Jun!G10)</f>
        <v>3404946.4299999997</v>
      </c>
      <c r="H10" s="16">
        <f>SUM(Apr!H10, May!H10, Jun!H10)</f>
        <v>-262774.02999999991</v>
      </c>
      <c r="I10" s="17">
        <f t="shared" si="2"/>
        <v>-7.7174203883143014E-2</v>
      </c>
    </row>
    <row r="11" spans="1:9" ht="15.6">
      <c r="A11" s="18" t="str">
        <v>Mount Jackson - Randolf</v>
      </c>
      <c r="B11" s="11" t="str">
        <v>VA</v>
      </c>
      <c r="C11" s="12">
        <f>SUM(Apr!C11, May!C11, Jun!C11)</f>
        <v>769106.9</v>
      </c>
      <c r="D11" s="19">
        <f>SUM(Apr!D11, May!D11, Jun!D11)</f>
        <v>866456.3</v>
      </c>
      <c r="E11" s="19">
        <f t="shared" si="3"/>
        <v>-97349.400000000023</v>
      </c>
      <c r="F11" s="20">
        <f t="shared" si="1"/>
        <v>-0.11235350242129928</v>
      </c>
      <c r="G11" s="21">
        <f>SUM(Apr!G11+May!G11+Jun!G11)</f>
        <v>828310.8</v>
      </c>
      <c r="H11" s="21">
        <f>SUM(Apr!H11, May!H11, Jun!H11)</f>
        <v>-59203.900000000023</v>
      </c>
      <c r="I11" s="20">
        <f t="shared" si="2"/>
        <v>-7.1475465489524007E-2</v>
      </c>
    </row>
    <row r="12" spans="1:9" ht="15.6">
      <c r="A12" s="13" t="str">
        <v>Callands Gretna - Monroe</v>
      </c>
      <c r="B12" s="10" t="str">
        <v>VA</v>
      </c>
      <c r="C12" s="25">
        <f>SUM(Apr!C12, May!C12, Jun!C12)</f>
        <v>552581</v>
      </c>
      <c r="D12" s="14">
        <f>SUM(Apr!D12, May!D12, Jun!D12)</f>
        <v>472595.20000000001</v>
      </c>
      <c r="E12" s="14">
        <f t="shared" si="3"/>
        <v>79985.799999999988</v>
      </c>
      <c r="F12" s="15">
        <f t="shared" si="1"/>
        <v>0.16924801606110257</v>
      </c>
      <c r="G12" s="16">
        <f>SUM(Apr!G12+May!G12+Jun!G12)</f>
        <v>582500</v>
      </c>
      <c r="H12" s="16">
        <f>SUM(Apr!H12, May!H12, Jun!H12)</f>
        <v>-29919</v>
      </c>
      <c r="I12" s="17">
        <f t="shared" si="2"/>
        <v>-5.1363090128755368E-2</v>
      </c>
    </row>
    <row r="13" spans="1:9" ht="15.6">
      <c r="A13" s="18" t="str">
        <v>Rockbridge Baths - Small Mouth Bass</v>
      </c>
      <c r="B13" s="11" t="str">
        <v>VA</v>
      </c>
      <c r="C13" s="12">
        <f>SUM(Apr!C13, May!C13, Jun!C13)</f>
        <v>485752.3</v>
      </c>
      <c r="D13" s="19">
        <f>SUM(Apr!D13, May!D13, Jun!D13)</f>
        <v>491970.7</v>
      </c>
      <c r="E13" s="19">
        <f t="shared" si="3"/>
        <v>-6218.4000000000233</v>
      </c>
      <c r="F13" s="20">
        <f t="shared" si="1"/>
        <v>-1.2639777124938585E-2</v>
      </c>
      <c r="G13" s="21">
        <f>SUM(Apr!G13+May!G13+Jun!G13)</f>
        <v>554750</v>
      </c>
      <c r="H13" s="21">
        <f>SUM(Apr!H13, May!H13, Jun!H13)</f>
        <v>-68997.700000000012</v>
      </c>
      <c r="I13" s="20">
        <f t="shared" si="2"/>
        <v>-0.12437620549797208</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D4" activePane="bottomRight" state="frozen"/>
      <selection pane="bottomRight" activeCell="H4" sqref="H4"/>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14</v>
      </c>
      <c r="E1" s="59"/>
      <c r="F1" s="59"/>
      <c r="G1" s="57" t="s">
        <v>15</v>
      </c>
      <c r="H1" s="57"/>
      <c r="I1" s="57"/>
    </row>
    <row r="2" spans="1:9" ht="19.5" customHeight="1">
      <c r="A2" s="60" t="s">
        <v>2</v>
      </c>
      <c r="B2" s="60"/>
      <c r="C2" s="6">
        <f>SUM(C4:C91)</f>
        <v>18263315.79772887</v>
      </c>
      <c r="D2" s="6">
        <f>SUM(D4:D91)</f>
        <v>15807037.123579998</v>
      </c>
      <c r="E2" s="6">
        <f>C2-D2</f>
        <v>2456278.6741488725</v>
      </c>
      <c r="F2" s="7">
        <f>IFERROR(E2/D2, 0)</f>
        <v>0.1553914661517902</v>
      </c>
      <c r="G2" s="6">
        <f>SUM(G4:G91)</f>
        <v>18425119.18</v>
      </c>
      <c r="H2" s="8">
        <f>C2-G2</f>
        <v>-161803.38227112964</v>
      </c>
      <c r="I2" s="7">
        <f>IFERROR(H2/G2, 0)</f>
        <v>-8.7816735778166975E-3</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0</v>
      </c>
      <c r="D4" s="14">
        <f>SUM(Jul!D4, Aug!D4, Sep!D4)</f>
        <v>243695.94630000001</v>
      </c>
      <c r="E4" s="14">
        <f>IF(AND(ISNUMBER(C4),ISNUMBER(D4)), C4-D4, "")</f>
        <v>-243695.94630000001</v>
      </c>
      <c r="F4" s="15">
        <f>IFERROR(E4/D4, "")</f>
        <v>-1</v>
      </c>
      <c r="G4" s="16">
        <f>SUM(Jul!G4,Aug!G4,Sep!G4)</f>
        <v>262799.88</v>
      </c>
      <c r="H4" s="16">
        <f>SUM(Jul!H4, Aug!H4, Sep!H4)</f>
        <v>-262799.88</v>
      </c>
      <c r="I4" s="17">
        <f>IFERROR(H4/G4, "")</f>
        <v>-1</v>
      </c>
    </row>
    <row r="5" spans="1:9" ht="15.6">
      <c r="A5" s="18" t="str">
        <v>San Luis Valley</v>
      </c>
      <c r="B5" s="11" t="str">
        <v>CO</v>
      </c>
      <c r="C5" s="12">
        <f>SUM(Jul!C5, Aug!C5, Sep!C5)</f>
        <v>516756.83161250001</v>
      </c>
      <c r="D5" s="19">
        <f>SUM(Jul!D5, Aug!D5, Sep!D5)</f>
        <v>598577.84199999995</v>
      </c>
      <c r="E5" s="19">
        <f t="shared" ref="E5:E6" si="0">IF(AND(ISNUMBER(C5),ISNUMBER(D5)), C5-D5, "")</f>
        <v>-81821.010387499933</v>
      </c>
      <c r="F5" s="20">
        <f>IFERROR(E5/D5, "")</f>
        <v>-0.13669234750507175</v>
      </c>
      <c r="G5" s="53">
        <f>SUM(Jul!G5,Aug!G5,Sep!G5)</f>
        <v>0</v>
      </c>
      <c r="H5" s="21">
        <f>SUM(Jul!H5, Aug!H5, Sep!H5)</f>
        <v>516756.83161250001</v>
      </c>
      <c r="I5" s="20" t="str">
        <f>IFERROR(H5/G5, "")</f>
        <v/>
      </c>
    </row>
    <row r="6" spans="1:9" ht="15.6">
      <c r="A6" s="13" t="str">
        <v>Golden NREL 2</v>
      </c>
      <c r="B6" s="10" t="str">
        <v>CO</v>
      </c>
      <c r="C6" s="25">
        <f>SUM(Jul!C6, Aug!C6, Sep!C6)</f>
        <v>26940</v>
      </c>
      <c r="D6" s="14">
        <f>SUM(Jul!D6, Aug!D6, Sep!D6)</f>
        <v>24485.23228</v>
      </c>
      <c r="E6" s="14">
        <f t="shared" si="0"/>
        <v>2454.7677199999998</v>
      </c>
      <c r="F6" s="15">
        <f t="shared" ref="F6:F13" si="1">IFERROR(E6/D6, "")</f>
        <v>0.10025503094798494</v>
      </c>
      <c r="G6" s="16">
        <f>SUM(Jul!G6,Aug!G6,Sep!G6)</f>
        <v>26277.489999999998</v>
      </c>
      <c r="H6" s="16">
        <f>SUM(Jul!H6, Aug!H6, Sep!H6)</f>
        <v>662.51000000000022</v>
      </c>
      <c r="I6" s="17">
        <f t="shared" ref="I6:I13" si="2">IFERROR(H6/G6, "")</f>
        <v>2.5212073147016716E-2</v>
      </c>
    </row>
    <row r="7" spans="1:9" ht="15.6">
      <c r="A7" s="18" t="str">
        <v>Golden NREL Wind 3</v>
      </c>
      <c r="B7" s="11" t="str">
        <v>CO</v>
      </c>
      <c r="C7" s="12">
        <f>SUM(Jul!C7, Aug!C7, Sep!C7)</f>
        <v>117586.38715000001</v>
      </c>
      <c r="D7" s="19">
        <f>SUM(Jul!D7, Aug!D7, Sep!D7)</f>
        <v>427229.96</v>
      </c>
      <c r="E7" s="19">
        <f t="shared" ref="E7:E13" si="3">IF(AND(ISNUMBER(C7),ISNUMBER(D7)), C7-D7, "")</f>
        <v>-309643.57285</v>
      </c>
      <c r="F7" s="20">
        <f t="shared" si="1"/>
        <v>-0.72477026856917992</v>
      </c>
      <c r="G7" s="53">
        <f>SUM(Jul!G7,Aug!G7,Sep!G7)</f>
        <v>0</v>
      </c>
      <c r="H7" s="21">
        <f>SUM(Jul!H7, Aug!H7, Sep!H7)</f>
        <v>117586.38715000001</v>
      </c>
      <c r="I7" s="20" t="str">
        <f t="shared" si="2"/>
        <v/>
      </c>
    </row>
    <row r="8" spans="1:9" ht="15.6">
      <c r="A8" s="13" t="str">
        <v>Pratt Solar Farm</v>
      </c>
      <c r="B8" s="10" t="str">
        <v>KS</v>
      </c>
      <c r="C8" s="25">
        <f>SUM(Jul!C8, Aug!C8, Sep!C8)</f>
        <v>2901160</v>
      </c>
      <c r="D8" s="14">
        <f>SUM(Jul!D8, Aug!D8, Sep!D8)</f>
        <v>3473493.7319999998</v>
      </c>
      <c r="E8" s="14">
        <f t="shared" si="3"/>
        <v>-572333.73199999984</v>
      </c>
      <c r="F8" s="15">
        <f t="shared" si="1"/>
        <v>-0.16477177624571568</v>
      </c>
      <c r="G8" s="16">
        <f>SUM(Jul!G8,Aug!G8,Sep!G8)</f>
        <v>3477587.67</v>
      </c>
      <c r="H8" s="16">
        <f>SUM(Jul!H8, Aug!H8, Sep!H8)</f>
        <v>-576427.66999999993</v>
      </c>
      <c r="I8" s="17">
        <f t="shared" si="2"/>
        <v>-0.16575503616275472</v>
      </c>
    </row>
    <row r="9" spans="1:9" ht="12.75" customHeight="1">
      <c r="A9" s="18" t="str">
        <v>Rochester - 5516 Valleyhigh NW</v>
      </c>
      <c r="B9" s="11" t="str">
        <v>MN</v>
      </c>
      <c r="C9" s="12">
        <f>SUM(Jul!C9, Aug!C9, Sep!C9)</f>
        <v>7655387.77896637</v>
      </c>
      <c r="D9" s="19">
        <f>SUM(Jul!D9, Aug!D9, Sep!D9)</f>
        <v>6856021</v>
      </c>
      <c r="E9" s="19">
        <f t="shared" si="3"/>
        <v>799366.77896637004</v>
      </c>
      <c r="F9" s="20">
        <f t="shared" si="1"/>
        <v>0.11659339709816671</v>
      </c>
      <c r="G9" s="54">
        <f>SUM(Jul!G9,Aug!G9,Sep!G9)</f>
        <v>7122057</v>
      </c>
      <c r="H9" s="21">
        <f>SUM(Jul!H9, Aug!H9, Sep!H9)</f>
        <v>533330.77896637004</v>
      </c>
      <c r="I9" s="20">
        <f t="shared" si="2"/>
        <v>7.4884373849629399E-2</v>
      </c>
    </row>
    <row r="10" spans="1:9" ht="15.6">
      <c r="A10" s="13" t="str">
        <v>Warsaw - 2201 Richmond</v>
      </c>
      <c r="B10" s="10" t="str">
        <v>VA</v>
      </c>
      <c r="C10" s="25">
        <f>SUM(Jul!C10, Aug!C10, Sep!C10)</f>
        <v>2301462.2000000002</v>
      </c>
      <c r="D10" s="14">
        <f>SUM(Jul!D10, Aug!D10, Sep!D10)</f>
        <v>207824.7</v>
      </c>
      <c r="E10" s="14">
        <f t="shared" si="3"/>
        <v>2093637.5000000002</v>
      </c>
      <c r="F10" s="15">
        <f t="shared" si="1"/>
        <v>10.074055201330738</v>
      </c>
      <c r="G10" s="16">
        <f>SUM(Jul!G10,Aug!G10,Sep!G10)</f>
        <v>2241955</v>
      </c>
      <c r="H10" s="16">
        <f>SUM(Jul!H10, Aug!H10, Sep!H10)</f>
        <v>59507.200000000186</v>
      </c>
      <c r="I10" s="17">
        <f t="shared" si="2"/>
        <v>2.6542548802273098E-2</v>
      </c>
    </row>
    <row r="11" spans="1:9" ht="15.6">
      <c r="A11" s="18" t="str">
        <v>Mount Jackson - Randolf</v>
      </c>
      <c r="B11" s="11" t="str">
        <v>VA</v>
      </c>
      <c r="C11" s="12">
        <f>SUM(Jul!C11, Aug!C11, Sep!C11)</f>
        <v>2101915.4</v>
      </c>
      <c r="D11" s="19">
        <f>SUM(Jul!D11, Aug!D11, Sep!D11)</f>
        <v>2153510.4</v>
      </c>
      <c r="E11" s="19">
        <f t="shared" si="3"/>
        <v>-51595</v>
      </c>
      <c r="F11" s="20">
        <f t="shared" si="1"/>
        <v>-2.3958556225221854E-2</v>
      </c>
      <c r="G11" s="54">
        <f>SUM(Jul!G11,Aug!G11,Sep!G11)</f>
        <v>2246960.2999999998</v>
      </c>
      <c r="H11" s="21">
        <f>SUM(Jul!H11, Aug!H11, Sep!H11)</f>
        <v>-145044.90000000002</v>
      </c>
      <c r="I11" s="20">
        <f t="shared" si="2"/>
        <v>-6.4551607787640949E-2</v>
      </c>
    </row>
    <row r="12" spans="1:9" ht="15.6">
      <c r="A12" s="13" t="str">
        <v>Callands Gretna - Monroe</v>
      </c>
      <c r="B12" s="10" t="str">
        <v>VA</v>
      </c>
      <c r="C12" s="25">
        <f>SUM(Jul!C12, Aug!C12, Sep!C12)</f>
        <v>1383884</v>
      </c>
      <c r="D12" s="14">
        <f>SUM(Jul!D12, Aug!D12, Sep!D12)</f>
        <v>740593.80200000003</v>
      </c>
      <c r="E12" s="14">
        <f t="shared" si="3"/>
        <v>643290.19799999997</v>
      </c>
      <c r="F12" s="15">
        <f t="shared" si="1"/>
        <v>0.86861407192819029</v>
      </c>
      <c r="G12" s="16">
        <f>SUM(Jul!G12,Aug!G12,Sep!G12)</f>
        <v>1515055.57</v>
      </c>
      <c r="H12" s="16">
        <f>SUM(Jul!H12, Aug!H12, Sep!H12)</f>
        <v>-131171.57</v>
      </c>
      <c r="I12" s="17">
        <f t="shared" si="2"/>
        <v>-8.6578718693466797E-2</v>
      </c>
    </row>
    <row r="13" spans="1:9" ht="15.6">
      <c r="A13" s="18" t="str">
        <v>Rockbridge Baths - Small Mouth Bass</v>
      </c>
      <c r="B13" s="11" t="str">
        <v>VA</v>
      </c>
      <c r="C13" s="12">
        <f>SUM(Jul!C13, Aug!C13, Sep!C13)</f>
        <v>1258223.2000000002</v>
      </c>
      <c r="D13" s="19">
        <f>SUM(Jul!D13, Aug!D13, Sep!D13)</f>
        <v>1081604.5090000001</v>
      </c>
      <c r="E13" s="19">
        <f t="shared" si="3"/>
        <v>176618.69100000011</v>
      </c>
      <c r="F13" s="20">
        <f t="shared" si="1"/>
        <v>0.16329322735839305</v>
      </c>
      <c r="G13" s="54">
        <f>SUM(Jul!G13,Aug!G13,Sep!G13)</f>
        <v>1532426.27</v>
      </c>
      <c r="H13" s="21">
        <f>SUM(Jul!H13, Aug!H13, Sep!H13)</f>
        <v>-274203.07</v>
      </c>
      <c r="I13" s="20">
        <f t="shared" si="2"/>
        <v>-0.17893393983646599</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8" priority="5" stopIfTrue="1" operator="lessThanOrEqual">
      <formula>-0.1</formula>
    </cfRule>
    <cfRule type="expression" dxfId="47" priority="6">
      <formula>AND(ISNUMBER(F2), F2&gt;=0.1)</formula>
    </cfRule>
  </conditionalFormatting>
  <conditionalFormatting sqref="G5">
    <cfRule type="cellIs" dxfId="46" priority="3" stopIfTrue="1" operator="lessThanOrEqual">
      <formula>-0.1</formula>
    </cfRule>
    <cfRule type="expression" dxfId="45" priority="4">
      <formula>AND(ISNUMBER(G5), G5&gt;=0.1)</formula>
    </cfRule>
  </conditionalFormatting>
  <conditionalFormatting sqref="G7">
    <cfRule type="cellIs" dxfId="44" priority="1" stopIfTrue="1" operator="lessThanOrEqual">
      <formula>-0.1</formula>
    </cfRule>
    <cfRule type="expression" dxfId="43" priority="2">
      <formula>AND(ISNUMBER(G7), G7&gt;=0.1)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G5" sqref="G5"/>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Ecofin</v>
      </c>
      <c r="B1" s="58"/>
      <c r="C1" s="58"/>
      <c r="D1" s="59" t="s">
        <v>16</v>
      </c>
      <c r="E1" s="59"/>
      <c r="F1" s="59"/>
      <c r="G1" s="57" t="s">
        <v>17</v>
      </c>
      <c r="H1" s="57"/>
      <c r="I1" s="57"/>
    </row>
    <row r="2" spans="1:9" ht="19.5" customHeight="1">
      <c r="A2" s="60" t="s">
        <v>2</v>
      </c>
      <c r="B2" s="60"/>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c r="H4" s="16">
        <f>SUM(Oct!H4, Nov!H4, Dec!H4)</f>
        <v>0</v>
      </c>
      <c r="I4" s="17" t="str">
        <f>IFERROR(H4/G4, "")</f>
        <v/>
      </c>
    </row>
    <row r="5" spans="1:9" ht="15.6">
      <c r="A5" s="18" t="str">
        <v>San Luis Valley</v>
      </c>
      <c r="B5" s="11" t="str">
        <v>CO</v>
      </c>
      <c r="C5" s="12">
        <f>SUM(Oct!C5, Nov!C5, Dec!C5)</f>
        <v>0</v>
      </c>
      <c r="D5" s="19">
        <f>SUM(Oct!D5, Nov!D5, Dec!D5)</f>
        <v>0</v>
      </c>
      <c r="E5" s="19">
        <f t="shared" ref="E5:E6" si="0">IF(AND(ISNUMBER(C5),ISNUMBER(D5)), C5-D5, "")</f>
        <v>0</v>
      </c>
      <c r="F5" s="20" t="str">
        <f>IFERROR(E5/D5, "")</f>
        <v/>
      </c>
      <c r="G5" s="21"/>
      <c r="H5" s="21">
        <f>SUM(Oct!H5, Nov!H5, Dec!H5)</f>
        <v>0</v>
      </c>
      <c r="I5" s="20" t="str">
        <f>IFERROR(H5/G5, "")</f>
        <v/>
      </c>
    </row>
    <row r="6" spans="1:9" ht="15.6">
      <c r="A6" s="13" t="str">
        <v>Golden NREL 2</v>
      </c>
      <c r="B6" s="10" t="str">
        <v>CO</v>
      </c>
      <c r="C6" s="25">
        <f>SUM(Oct!C6, Nov!C6, Dec!C6)</f>
        <v>0</v>
      </c>
      <c r="D6" s="14">
        <f>SUM(Oct!D6, Nov!D6, Dec!D6)</f>
        <v>0</v>
      </c>
      <c r="E6" s="14">
        <f t="shared" si="0"/>
        <v>0</v>
      </c>
      <c r="F6" s="15" t="str">
        <f t="shared" ref="F6:F13" si="1">IFERROR(E6/D6, "")</f>
        <v/>
      </c>
      <c r="G6" s="16"/>
      <c r="H6" s="16">
        <f>SUM(Oct!H6, Nov!H6, Dec!H6)</f>
        <v>0</v>
      </c>
      <c r="I6" s="17" t="str">
        <f t="shared" ref="I6:I13" si="2">IFERROR(H6/G6, "")</f>
        <v/>
      </c>
    </row>
    <row r="7" spans="1:9" ht="15.6">
      <c r="A7" s="18" t="str">
        <v>Golden NREL Wind 3</v>
      </c>
      <c r="B7" s="11" t="str">
        <v>CO</v>
      </c>
      <c r="C7" s="12">
        <f>SUM(Oct!C7, Nov!C7, Dec!C7)</f>
        <v>0</v>
      </c>
      <c r="D7" s="19">
        <f>SUM(Oct!D7, Nov!D7, Dec!D7)</f>
        <v>0</v>
      </c>
      <c r="E7" s="19">
        <f t="shared" ref="E7:E13" si="3">IF(AND(ISNUMBER(C7),ISNUMBER(D7)), C7-D7, "")</f>
        <v>0</v>
      </c>
      <c r="F7" s="20" t="str">
        <f t="shared" si="1"/>
        <v/>
      </c>
      <c r="G7" s="21"/>
      <c r="H7" s="21">
        <f>SUM(Oct!H7, Nov!H7, Dec!H7)</f>
        <v>0</v>
      </c>
      <c r="I7" s="20" t="str">
        <f t="shared" si="2"/>
        <v/>
      </c>
    </row>
    <row r="8" spans="1:9" ht="15.6">
      <c r="A8" s="13" t="str">
        <v>Pratt Solar Farm</v>
      </c>
      <c r="B8" s="10" t="str">
        <v>KS</v>
      </c>
      <c r="C8" s="25">
        <f>SUM(Oct!C8, Nov!C8, Dec!C8)</f>
        <v>0</v>
      </c>
      <c r="D8" s="14">
        <f>SUM(Oct!D8, Nov!D8, Dec!D8)</f>
        <v>0</v>
      </c>
      <c r="E8" s="14">
        <f t="shared" si="3"/>
        <v>0</v>
      </c>
      <c r="F8" s="15" t="str">
        <f t="shared" si="1"/>
        <v/>
      </c>
      <c r="G8" s="16"/>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c r="H9" s="21">
        <f>SUM(Oct!H9, Nov!H9, Dec!H9)</f>
        <v>0</v>
      </c>
      <c r="I9" s="20" t="str">
        <f t="shared" si="2"/>
        <v/>
      </c>
    </row>
    <row r="10" spans="1:9" ht="15.6">
      <c r="A10" s="13" t="str">
        <v>Warsaw - 2201 Richmond</v>
      </c>
      <c r="B10" s="10" t="str">
        <v>VA</v>
      </c>
      <c r="C10" s="25">
        <f>SUM(Oct!C10, Nov!C10, Dec!C10)</f>
        <v>0</v>
      </c>
      <c r="D10" s="14">
        <f>SUM(Oct!D10, Nov!D10, Dec!D10)</f>
        <v>0</v>
      </c>
      <c r="E10" s="14">
        <f t="shared" si="3"/>
        <v>0</v>
      </c>
      <c r="F10" s="15" t="str">
        <f t="shared" si="1"/>
        <v/>
      </c>
      <c r="G10" s="16"/>
      <c r="H10" s="16">
        <f>SUM(Oct!H10, Nov!H10, Dec!H10)</f>
        <v>0</v>
      </c>
      <c r="I10" s="17" t="str">
        <f t="shared" si="2"/>
        <v/>
      </c>
    </row>
    <row r="11" spans="1:9" ht="15.6">
      <c r="A11" s="18" t="str">
        <v>Mount Jackson - Randolf</v>
      </c>
      <c r="B11" s="11" t="str">
        <v>VA</v>
      </c>
      <c r="C11" s="12">
        <f>SUM(Oct!C11, Nov!C11, Dec!C11)</f>
        <v>0</v>
      </c>
      <c r="D11" s="19">
        <f>SUM(Oct!D11, Nov!D11, Dec!D11)</f>
        <v>0</v>
      </c>
      <c r="E11" s="19">
        <f t="shared" si="3"/>
        <v>0</v>
      </c>
      <c r="F11" s="20" t="str">
        <f t="shared" si="1"/>
        <v/>
      </c>
      <c r="G11" s="21"/>
      <c r="H11" s="21">
        <f>SUM(Oct!H11, Nov!H11, Dec!H11)</f>
        <v>0</v>
      </c>
      <c r="I11" s="20" t="str">
        <f t="shared" si="2"/>
        <v/>
      </c>
    </row>
    <row r="12" spans="1:9" ht="15.6">
      <c r="A12" s="13" t="str">
        <v>Callands Gretna - Monroe</v>
      </c>
      <c r="B12" s="10" t="str">
        <v>VA</v>
      </c>
      <c r="C12" s="25">
        <f>SUM(Oct!C12, Nov!C12, Dec!C12)</f>
        <v>0</v>
      </c>
      <c r="D12" s="14">
        <f>SUM(Oct!D12, Nov!D12, Dec!D12)</f>
        <v>0</v>
      </c>
      <c r="E12" s="14">
        <f t="shared" si="3"/>
        <v>0</v>
      </c>
      <c r="F12" s="15" t="str">
        <f t="shared" si="1"/>
        <v/>
      </c>
      <c r="G12" s="16"/>
      <c r="H12" s="16">
        <f>SUM(Oct!H12, Nov!H12, Dec!H12)</f>
        <v>0</v>
      </c>
      <c r="I12" s="17" t="str">
        <f t="shared" si="2"/>
        <v/>
      </c>
    </row>
    <row r="13" spans="1:9" ht="15.6">
      <c r="A13" s="18" t="str">
        <v>Rockbridge Baths - Small Mouth Bass</v>
      </c>
      <c r="B13" s="11" t="str">
        <v>VA</v>
      </c>
      <c r="C13" s="12">
        <f>SUM(Oct!C13, Nov!C13, Dec!C13)</f>
        <v>0</v>
      </c>
      <c r="D13" s="19">
        <f>SUM(Oct!D13, Nov!D13, Dec!D13)</f>
        <v>0</v>
      </c>
      <c r="E13" s="19">
        <f t="shared" si="3"/>
        <v>0</v>
      </c>
      <c r="F13" s="20" t="str">
        <f t="shared" si="1"/>
        <v/>
      </c>
      <c r="G13" s="21"/>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4"/>
  <sheetViews>
    <sheetView workbookViewId="0">
      <pane xSplit="2" ySplit="3" topLeftCell="C4" activePane="bottomRight" state="frozen"/>
      <selection pane="bottomRight" activeCell="H23" sqref="H23"/>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18</v>
      </c>
      <c r="E1" s="59"/>
      <c r="F1" s="59"/>
      <c r="G1" s="57" t="s">
        <v>19</v>
      </c>
      <c r="H1" s="57"/>
      <c r="I1" s="57"/>
      <c r="J1" s="5"/>
      <c r="K1" s="5"/>
    </row>
    <row r="2" spans="1:11" ht="19.5" customHeight="1">
      <c r="A2" s="60" t="s">
        <v>2</v>
      </c>
      <c r="B2" s="60"/>
      <c r="C2" s="6">
        <f>SUM(C4:C82)</f>
        <v>78991</v>
      </c>
      <c r="D2" s="6">
        <f>SUM(D4:D82)</f>
        <v>79673</v>
      </c>
      <c r="E2" s="6">
        <f>C2-D2</f>
        <v>-682</v>
      </c>
      <c r="F2" s="7">
        <f>IFERROR(E2/D2, 0)</f>
        <v>-8.5599889548529616E-3</v>
      </c>
      <c r="G2" s="6">
        <f>SUM(G4:G82)</f>
        <v>100783</v>
      </c>
      <c r="H2" s="8">
        <f>C2-G2</f>
        <v>-21792</v>
      </c>
      <c r="I2" s="7">
        <f>IFERROR(H2/G2, 0)</f>
        <v>-0.21622694303602791</v>
      </c>
      <c r="J2" s="27"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8" t="s">
        <v>3</v>
      </c>
      <c r="B3" s="9" t="s">
        <v>4</v>
      </c>
      <c r="C3" s="24" t="s">
        <v>5</v>
      </c>
      <c r="D3" s="35" t="s">
        <v>6</v>
      </c>
      <c r="E3" s="35" t="s">
        <v>7</v>
      </c>
      <c r="F3" s="36" t="s">
        <v>8</v>
      </c>
      <c r="G3" s="40" t="s">
        <v>9</v>
      </c>
      <c r="H3" s="38" t="s">
        <v>7</v>
      </c>
      <c r="I3" s="39" t="s">
        <v>8</v>
      </c>
      <c r="J3" s="26" t="s">
        <v>20</v>
      </c>
      <c r="K3" s="26" t="s">
        <v>21</v>
      </c>
    </row>
    <row r="4" spans="1:11" ht="15.6">
      <c r="A4" s="32" t="str" cm="1">
        <f t="array" ref="A4:A13">Sites[Site]</f>
        <v>Alamosa School District</v>
      </c>
      <c r="B4" s="29" t="str" cm="1">
        <f t="array" ref="B4:B13">Sites[State]</f>
        <v>CO</v>
      </c>
      <c r="C4" s="25">
        <v>72896</v>
      </c>
      <c r="D4" s="14">
        <v>73786</v>
      </c>
      <c r="E4" s="14">
        <f>IF(AND(ISNUMBER(C4),ISNUMBER(D4)), C4-D4, "")</f>
        <v>-890</v>
      </c>
      <c r="F4" s="15">
        <f>IFERROR(E4/D4, "")</f>
        <v>-1.2061908763180007E-2</v>
      </c>
      <c r="G4" s="16">
        <v>93005</v>
      </c>
      <c r="H4" s="16">
        <f>IF(AND(ISNUMBER(C4),ISNUMBER(G4)), C4-G4, "")</f>
        <v>-20109</v>
      </c>
      <c r="I4" s="17">
        <f>IFERROR(H4/G4, "")</f>
        <v>-0.21621418203322401</v>
      </c>
      <c r="J4" s="41" t="s">
        <v>22</v>
      </c>
      <c r="K4" s="41" t="s">
        <v>23</v>
      </c>
    </row>
    <row r="5" spans="1:11" ht="15.6">
      <c r="A5" s="30" t="str">
        <v>San Luis Valley</v>
      </c>
      <c r="B5" s="31" t="str">
        <v>CO</v>
      </c>
      <c r="C5" s="12">
        <v>0</v>
      </c>
      <c r="D5" s="19">
        <v>0</v>
      </c>
      <c r="E5" s="19">
        <f t="shared" ref="E5:E8" si="0">IF(AND(ISNUMBER(C5),ISNUMBER(D5)), C5-D5, "")</f>
        <v>0</v>
      </c>
      <c r="F5" s="20" t="str">
        <f>IFERROR(E5/D5, "")</f>
        <v/>
      </c>
      <c r="G5" s="21">
        <v>0</v>
      </c>
      <c r="H5" s="21">
        <f t="shared" ref="H5:H6" si="1">IF(AND(ISNUMBER(C5),ISNUMBER(G5)), C5-G5, "")</f>
        <v>0</v>
      </c>
      <c r="I5" s="20" t="str">
        <f t="shared" ref="I5:I6" si="2">IFERROR(H5/G5, "")</f>
        <v/>
      </c>
      <c r="J5" s="42" t="s">
        <v>24</v>
      </c>
      <c r="K5" s="42" t="s">
        <v>25</v>
      </c>
    </row>
    <row r="6" spans="1:11" ht="15.6">
      <c r="A6" s="32" t="str">
        <v>Golden NREL 2</v>
      </c>
      <c r="B6" s="29" t="str">
        <v>CO</v>
      </c>
      <c r="C6" s="25">
        <v>6095</v>
      </c>
      <c r="D6" s="14">
        <v>5887</v>
      </c>
      <c r="E6" s="14">
        <f t="shared" si="0"/>
        <v>208</v>
      </c>
      <c r="F6" s="15">
        <f t="shared" ref="F6:F8" si="3">IFERROR(E6/D6, "")</f>
        <v>3.5332087650755906E-2</v>
      </c>
      <c r="G6" s="16">
        <v>7778</v>
      </c>
      <c r="H6" s="16">
        <f t="shared" si="1"/>
        <v>-1683</v>
      </c>
      <c r="I6" s="17">
        <f t="shared" si="2"/>
        <v>-0.21637953201337104</v>
      </c>
      <c r="J6" s="41" t="s">
        <v>26</v>
      </c>
      <c r="K6" s="41" t="s">
        <v>27</v>
      </c>
    </row>
    <row r="7" spans="1:11" ht="15.6">
      <c r="A7" s="30" t="str">
        <v>Golden NREL Wind 3</v>
      </c>
      <c r="B7" s="31" t="str">
        <v>CO</v>
      </c>
      <c r="C7" s="12">
        <v>0</v>
      </c>
      <c r="D7" s="19">
        <v>0</v>
      </c>
      <c r="E7" s="19">
        <f t="shared" si="0"/>
        <v>0</v>
      </c>
      <c r="F7" s="20" t="str">
        <f t="shared" si="3"/>
        <v/>
      </c>
      <c r="G7" s="21">
        <v>0</v>
      </c>
      <c r="H7" s="21">
        <f t="shared" ref="H7:H8" si="4">IF(AND(ISNUMBER(C7),ISNUMBER(G7)), C7-G7, "")</f>
        <v>0</v>
      </c>
      <c r="I7" s="20" t="str">
        <f t="shared" ref="I7:I8" si="5">IFERROR(H7/G7, "")</f>
        <v/>
      </c>
      <c r="J7" s="42" t="s">
        <v>28</v>
      </c>
      <c r="K7" s="42" t="s">
        <v>29</v>
      </c>
    </row>
    <row r="8" spans="1:11" ht="15.6">
      <c r="A8" s="32" t="str">
        <v>Pratt Solar Farm</v>
      </c>
      <c r="B8" s="29" t="str">
        <v>KS</v>
      </c>
      <c r="C8" s="25"/>
      <c r="D8" s="14"/>
      <c r="E8" s="14" t="str">
        <f t="shared" si="0"/>
        <v/>
      </c>
      <c r="F8" s="15" t="str">
        <f t="shared" si="3"/>
        <v/>
      </c>
      <c r="G8" s="16"/>
      <c r="H8" s="16" t="str">
        <f t="shared" si="4"/>
        <v/>
      </c>
      <c r="I8" s="17" t="str">
        <f t="shared" si="5"/>
        <v/>
      </c>
      <c r="J8" s="41"/>
      <c r="K8" s="41"/>
    </row>
    <row r="9" spans="1:11" ht="15.6">
      <c r="A9" s="30" t="str">
        <v>Rochester - 5516 Valleyhigh NW</v>
      </c>
      <c r="B9" s="31" t="str">
        <v>MN</v>
      </c>
      <c r="C9" s="12"/>
      <c r="D9" s="19"/>
      <c r="E9" s="19"/>
      <c r="F9" s="20"/>
      <c r="G9" s="21"/>
      <c r="H9" s="21"/>
      <c r="I9" s="20"/>
      <c r="J9" s="42"/>
      <c r="K9" s="42"/>
    </row>
    <row r="10" spans="1:11" ht="15.6">
      <c r="A10" s="32" t="str">
        <v>Warsaw - 2201 Richmond</v>
      </c>
      <c r="B10" s="29" t="str">
        <v>VA</v>
      </c>
      <c r="C10" s="25"/>
      <c r="D10" s="14"/>
      <c r="E10" s="14"/>
      <c r="F10" s="15"/>
      <c r="G10" s="16"/>
      <c r="H10" s="16"/>
      <c r="I10" s="17"/>
      <c r="J10" s="41"/>
      <c r="K10" s="41"/>
    </row>
    <row r="11" spans="1:11" ht="15.6">
      <c r="A11" s="30" t="str">
        <v>Mount Jackson - Randolf</v>
      </c>
      <c r="B11" s="31" t="str">
        <v>VA</v>
      </c>
      <c r="C11" s="12"/>
      <c r="D11" s="19"/>
      <c r="E11" s="19"/>
      <c r="F11" s="20"/>
      <c r="G11" s="21"/>
      <c r="H11" s="21"/>
      <c r="I11" s="20"/>
      <c r="J11" s="42"/>
      <c r="K11" s="42"/>
    </row>
    <row r="12" spans="1:11" ht="15.6">
      <c r="A12" s="32" t="str">
        <v>Callands Gretna - Monroe</v>
      </c>
      <c r="B12" s="29" t="str">
        <v>VA</v>
      </c>
      <c r="C12" s="25"/>
      <c r="D12" s="14"/>
      <c r="E12" s="14"/>
      <c r="F12" s="15"/>
      <c r="G12" s="16"/>
      <c r="H12" s="16"/>
      <c r="I12" s="17"/>
      <c r="J12" s="41"/>
      <c r="K12" s="41"/>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3"/>
      <c r="G15" s="22"/>
      <c r="H15" s="22"/>
      <c r="I15" s="23"/>
      <c r="J15" s="22"/>
      <c r="K15" s="22"/>
    </row>
    <row r="16" spans="1:11"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3"/>
  <sheetViews>
    <sheetView workbookViewId="0">
      <pane xSplit="2" ySplit="3" topLeftCell="D4" activePane="bottomRight" state="frozen"/>
      <selection pane="bottomRight" activeCell="D23" sqref="D23"/>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30</v>
      </c>
      <c r="E1" s="59"/>
      <c r="F1" s="59"/>
      <c r="G1" s="57" t="s">
        <v>31</v>
      </c>
      <c r="H1" s="57"/>
      <c r="I1" s="57"/>
      <c r="J1" s="5"/>
      <c r="K1" s="5"/>
    </row>
    <row r="2" spans="1:11" ht="19.5" customHeight="1">
      <c r="A2" s="60" t="s">
        <v>2</v>
      </c>
      <c r="B2" s="60"/>
      <c r="C2" s="6">
        <f>SUM(C4:C91)</f>
        <v>911881</v>
      </c>
      <c r="D2" s="6">
        <f>SUM(D4:D91)</f>
        <v>1076640.5530000001</v>
      </c>
      <c r="E2" s="6">
        <f>C2-D2</f>
        <v>-164759.55300000007</v>
      </c>
      <c r="F2" s="7">
        <f>IFERROR(E2/D2, 0)</f>
        <v>-0.15303116025205124</v>
      </c>
      <c r="G2" s="6">
        <f>SUM(G4:G91)</f>
        <v>944891.36</v>
      </c>
      <c r="H2" s="8">
        <f>C2-G2</f>
        <v>-33010.359999999986</v>
      </c>
      <c r="I2" s="7">
        <f>IFERROR(H2/G2, 0)</f>
        <v>-3.4935614185317543E-2</v>
      </c>
      <c r="J2" s="27"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v>100394</v>
      </c>
      <c r="D4" s="14">
        <v>90505.5</v>
      </c>
      <c r="E4" s="14">
        <f>IF(AND(ISNUMBER(C4),ISNUMBER(D4)), C4-D4, "")</f>
        <v>9888.5</v>
      </c>
      <c r="F4" s="15">
        <f>IFERROR(E4/D4, "")</f>
        <v>0.10925855334758661</v>
      </c>
      <c r="G4" s="16">
        <v>97813.3</v>
      </c>
      <c r="H4" s="16">
        <f>IF(AND(ISNUMBER(C4),ISNUMBER(G4)), C4-G4, "")</f>
        <v>2580.6999999999971</v>
      </c>
      <c r="I4" s="17">
        <f>IFERROR(H4/G4, "")</f>
        <v>2.6383937562683164E-2</v>
      </c>
      <c r="J4" s="45"/>
      <c r="K4" s="45"/>
    </row>
    <row r="5" spans="1:11" ht="15.6">
      <c r="A5" s="30" t="str">
        <v>San Luis Valley</v>
      </c>
      <c r="B5" s="31" t="str">
        <v>CO</v>
      </c>
      <c r="C5" s="12">
        <v>0</v>
      </c>
      <c r="D5" s="44">
        <v>0</v>
      </c>
      <c r="E5" s="19">
        <v>0</v>
      </c>
      <c r="F5" s="20" t="str">
        <f>IFERROR(E5/D5, "")</f>
        <v/>
      </c>
      <c r="G5" s="44">
        <v>0</v>
      </c>
      <c r="H5" s="21">
        <f t="shared" ref="H5:H8" si="0">IF(AND(ISNUMBER(C5),ISNUMBER(G5)), C5-G5, "")</f>
        <v>0</v>
      </c>
      <c r="I5" s="20" t="str">
        <f t="shared" ref="I5:I8" si="1">IFERROR(H5/G5, "")</f>
        <v/>
      </c>
      <c r="J5" s="49" t="s">
        <v>32</v>
      </c>
      <c r="K5" s="49" t="s">
        <v>33</v>
      </c>
    </row>
    <row r="6" spans="1:11" ht="15.6">
      <c r="A6" s="32" t="str">
        <v>Golden NREL 2</v>
      </c>
      <c r="B6" s="29" t="str">
        <v>CO</v>
      </c>
      <c r="C6" s="25">
        <v>6597</v>
      </c>
      <c r="D6" s="14">
        <v>7237.8</v>
      </c>
      <c r="E6" s="14">
        <f t="shared" ref="E6:E8" si="2">IF(AND(ISNUMBER(C6),ISNUMBER(D6)), C6-D6, "")</f>
        <v>-640.80000000000018</v>
      </c>
      <c r="F6" s="15">
        <f t="shared" ref="F6:F8" si="3">IFERROR(E6/D6, "")</f>
        <v>-8.8535190251181325E-2</v>
      </c>
      <c r="G6" s="16">
        <v>8862.2000000000007</v>
      </c>
      <c r="H6" s="16">
        <f t="shared" si="0"/>
        <v>-2265.2000000000007</v>
      </c>
      <c r="I6" s="17">
        <f t="shared" si="1"/>
        <v>-0.25560244634515139</v>
      </c>
      <c r="J6" s="45"/>
      <c r="K6" s="45"/>
    </row>
    <row r="7" spans="1:11" ht="15.6">
      <c r="A7" s="30" t="str">
        <v>Golden NREL Wind 3</v>
      </c>
      <c r="B7" s="31" t="str">
        <v>CO</v>
      </c>
      <c r="C7" s="12">
        <v>0</v>
      </c>
      <c r="D7" s="44">
        <v>0</v>
      </c>
      <c r="E7" s="19">
        <f t="shared" si="2"/>
        <v>0</v>
      </c>
      <c r="F7" s="20" t="str">
        <f t="shared" si="3"/>
        <v/>
      </c>
      <c r="G7" s="44">
        <v>0</v>
      </c>
      <c r="H7" s="21">
        <f t="shared" si="0"/>
        <v>0</v>
      </c>
      <c r="I7" s="20" t="str">
        <f t="shared" si="1"/>
        <v/>
      </c>
      <c r="J7" s="49" t="s">
        <v>28</v>
      </c>
      <c r="K7" s="49" t="s">
        <v>29</v>
      </c>
    </row>
    <row r="8" spans="1:11" ht="57.6">
      <c r="A8" s="32" t="str">
        <v>Pratt Solar Farm</v>
      </c>
      <c r="B8" s="29" t="str">
        <v>KS</v>
      </c>
      <c r="C8" s="25">
        <v>804890</v>
      </c>
      <c r="D8" s="14">
        <v>978897.25300000003</v>
      </c>
      <c r="E8" s="14">
        <f t="shared" si="2"/>
        <v>-174007.25300000003</v>
      </c>
      <c r="F8" s="15">
        <f t="shared" si="3"/>
        <v>-0.17775844448099604</v>
      </c>
      <c r="G8" s="16">
        <v>838215.86</v>
      </c>
      <c r="H8" s="16">
        <f t="shared" si="0"/>
        <v>-33325.859999999986</v>
      </c>
      <c r="I8" s="17">
        <f t="shared" si="1"/>
        <v>-3.9758088089624055E-2</v>
      </c>
      <c r="J8" s="45" t="s">
        <v>34</v>
      </c>
      <c r="K8" s="45" t="s">
        <v>35</v>
      </c>
    </row>
    <row r="9" spans="1:11" ht="12.75" customHeight="1">
      <c r="A9" s="30" t="str">
        <v>Rochester - 5516 Valleyhigh NW</v>
      </c>
      <c r="B9" s="31" t="str">
        <v>MN</v>
      </c>
      <c r="C9" s="12"/>
      <c r="D9" s="44"/>
      <c r="E9" s="19"/>
      <c r="F9" s="20"/>
      <c r="G9" s="44"/>
      <c r="H9" s="21"/>
      <c r="I9" s="20"/>
      <c r="J9" s="49"/>
      <c r="K9" s="49"/>
    </row>
    <row r="10" spans="1:11" ht="15.6">
      <c r="A10" s="32" t="str">
        <v>Warsaw - 2201 Richmond</v>
      </c>
      <c r="B10" s="29" t="str">
        <v>VA</v>
      </c>
      <c r="C10" s="25"/>
      <c r="D10" s="14"/>
      <c r="E10" s="14"/>
      <c r="F10" s="15"/>
      <c r="G10" s="16"/>
      <c r="H10" s="16"/>
      <c r="I10" s="17"/>
      <c r="J10" s="45"/>
      <c r="K10" s="45"/>
    </row>
    <row r="11" spans="1:11" ht="15.6">
      <c r="A11" s="30" t="str">
        <v>Mount Jackson - Randolf</v>
      </c>
      <c r="B11" s="31" t="str">
        <v>VA</v>
      </c>
      <c r="C11" s="12"/>
      <c r="D11" s="44"/>
      <c r="E11" s="19"/>
      <c r="F11" s="20"/>
      <c r="G11" s="44"/>
      <c r="H11" s="21"/>
      <c r="I11" s="20"/>
      <c r="J11" s="49"/>
      <c r="K11" s="49"/>
    </row>
    <row r="12" spans="1:11" ht="15.6">
      <c r="A12" s="32" t="str">
        <v>Callands Gretna - Monroe</v>
      </c>
      <c r="B12" s="29" t="str">
        <v>VA</v>
      </c>
      <c r="C12" s="25"/>
      <c r="D12" s="14"/>
      <c r="E12" s="14"/>
      <c r="F12" s="15"/>
      <c r="G12" s="16"/>
      <c r="H12" s="16"/>
      <c r="I12" s="17"/>
      <c r="J12" s="45"/>
      <c r="K12" s="45"/>
    </row>
    <row r="13" spans="1:11" ht="15.6">
      <c r="A13" s="30" t="str">
        <v>Rockbridge Baths - Small Mouth Bass</v>
      </c>
      <c r="B13" s="31" t="str">
        <v>VA</v>
      </c>
      <c r="C13" s="12"/>
      <c r="D13" s="44"/>
      <c r="E13" s="19"/>
      <c r="F13" s="20"/>
      <c r="G13" s="44"/>
      <c r="H13" s="21"/>
      <c r="I13" s="20"/>
      <c r="J13" s="49"/>
      <c r="K13" s="49"/>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4"/>
  <sheetViews>
    <sheetView workbookViewId="0">
      <pane xSplit="2" ySplit="3" topLeftCell="D4" activePane="bottomRight" state="frozen"/>
      <selection pane="bottomRight" activeCell="D24" sqref="D24"/>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36</v>
      </c>
      <c r="E1" s="59"/>
      <c r="F1" s="59"/>
      <c r="G1" s="57" t="s">
        <v>37</v>
      </c>
      <c r="H1" s="57"/>
      <c r="I1" s="57"/>
      <c r="J1" s="5"/>
      <c r="K1" s="5"/>
    </row>
    <row r="2" spans="1:11" ht="19.5" customHeight="1">
      <c r="A2" s="60" t="s">
        <v>2</v>
      </c>
      <c r="B2" s="60"/>
      <c r="C2" s="6">
        <f>SUM(C4:C92)</f>
        <v>1116549</v>
      </c>
      <c r="D2" s="6">
        <f>SUM(D4:D92)</f>
        <v>1304051.6516760001</v>
      </c>
      <c r="E2" s="6">
        <f>C2-D2</f>
        <v>-187502.6516760001</v>
      </c>
      <c r="F2" s="7">
        <f>IFERROR(E2/D2, 0)</f>
        <v>-0.14378468171488221</v>
      </c>
      <c r="G2" s="6">
        <f>SUM(G4:G92)</f>
        <v>1174486.94</v>
      </c>
      <c r="H2" s="8">
        <f>C2-G2</f>
        <v>-57937.939999999944</v>
      </c>
      <c r="I2" s="7">
        <f>IFERROR(H2/G2, 0)</f>
        <v>-4.9330425079056175E-2</v>
      </c>
      <c r="J2" s="27"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46">
        <v>115320</v>
      </c>
      <c r="D4" s="14">
        <v>105410.5699</v>
      </c>
      <c r="E4" s="14">
        <f>IF(AND(ISNUMBER(C4),ISNUMBER(D4)), C4-D4, "")</f>
        <v>9909.4300999999978</v>
      </c>
      <c r="F4" s="15">
        <f>IFERROR(E4/D4, "")</f>
        <v>9.4007935915732088E-2</v>
      </c>
      <c r="G4" s="47">
        <v>120883</v>
      </c>
      <c r="H4" s="16">
        <f>IF(AND(ISNUMBER(C4),ISNUMBER(G4)), C4-G4, "")</f>
        <v>-5563</v>
      </c>
      <c r="I4" s="17">
        <f>IFERROR(H4/G4, "")</f>
        <v>-4.6019705004012146E-2</v>
      </c>
      <c r="J4" s="41"/>
      <c r="K4" s="41"/>
    </row>
    <row r="5" spans="1:11" ht="28.9">
      <c r="A5" s="30" t="str">
        <v>San Luis Valley</v>
      </c>
      <c r="B5" s="31" t="str">
        <v>CO</v>
      </c>
      <c r="C5" s="12">
        <v>0</v>
      </c>
      <c r="D5" s="19">
        <v>0</v>
      </c>
      <c r="E5" s="19">
        <f t="shared" ref="E5:E9" si="0">IF(AND(ISNUMBER(C5),ISNUMBER(D5)), C5-D5, "")</f>
        <v>0</v>
      </c>
      <c r="F5" s="20" t="str">
        <f>IFERROR(E5/D5, "")</f>
        <v/>
      </c>
      <c r="G5" s="21">
        <v>0</v>
      </c>
      <c r="H5" s="21">
        <f t="shared" ref="H5:H9" si="1">IF(AND(ISNUMBER(C5),ISNUMBER(G5)), C5-G5, "")</f>
        <v>0</v>
      </c>
      <c r="I5" s="20" t="str">
        <f t="shared" ref="I5:I9" si="2">IFERROR(H5/G5, "")</f>
        <v/>
      </c>
      <c r="J5" s="48" t="s">
        <v>38</v>
      </c>
      <c r="K5" s="48" t="s">
        <v>33</v>
      </c>
    </row>
    <row r="6" spans="1:11" ht="15.6">
      <c r="A6" s="32" t="str">
        <v>Golden NREL 2</v>
      </c>
      <c r="B6" s="29" t="str">
        <v>CO</v>
      </c>
      <c r="C6" s="46">
        <v>9489</v>
      </c>
      <c r="D6" s="14">
        <v>9120.4057759999996</v>
      </c>
      <c r="E6" s="14">
        <f t="shared" si="0"/>
        <v>368.59422400000039</v>
      </c>
      <c r="F6" s="15">
        <f t="shared" ref="F6:F9" si="3">IFERROR(E6/D6, "")</f>
        <v>4.041423518347638E-2</v>
      </c>
      <c r="G6" s="47">
        <v>12091.76</v>
      </c>
      <c r="H6" s="16">
        <f t="shared" si="1"/>
        <v>-2602.7600000000002</v>
      </c>
      <c r="I6" s="17">
        <f t="shared" si="2"/>
        <v>-0.21525071619019895</v>
      </c>
      <c r="J6" s="41"/>
      <c r="K6" s="41"/>
    </row>
    <row r="7" spans="1:11" ht="15.6">
      <c r="A7" s="30" t="str">
        <v>Golden NREL Wind 3</v>
      </c>
      <c r="B7" s="31" t="str">
        <v>CO</v>
      </c>
      <c r="C7" s="12">
        <v>0</v>
      </c>
      <c r="D7" s="19">
        <v>0</v>
      </c>
      <c r="E7" s="19">
        <f t="shared" si="0"/>
        <v>0</v>
      </c>
      <c r="F7" s="20" t="str">
        <f t="shared" si="3"/>
        <v/>
      </c>
      <c r="G7" s="21">
        <v>0</v>
      </c>
      <c r="H7" s="21">
        <f t="shared" si="1"/>
        <v>0</v>
      </c>
      <c r="I7" s="20" t="str">
        <f t="shared" si="2"/>
        <v/>
      </c>
      <c r="J7" s="48" t="s">
        <v>28</v>
      </c>
      <c r="K7" s="48" t="s">
        <v>29</v>
      </c>
    </row>
    <row r="8" spans="1:11" ht="15.6">
      <c r="A8" s="32" t="str">
        <v>Pratt Solar Farm</v>
      </c>
      <c r="B8" s="29" t="str">
        <v>KS</v>
      </c>
      <c r="C8" s="46">
        <v>991740</v>
      </c>
      <c r="D8" s="14">
        <v>1189520.676</v>
      </c>
      <c r="E8" s="14">
        <f t="shared" si="0"/>
        <v>-197780.67599999998</v>
      </c>
      <c r="F8" s="15">
        <f t="shared" si="3"/>
        <v>-0.16626922086388349</v>
      </c>
      <c r="G8" s="47">
        <v>1041512.18</v>
      </c>
      <c r="H8" s="16">
        <f t="shared" si="1"/>
        <v>-49772.180000000051</v>
      </c>
      <c r="I8" s="17">
        <f t="shared" si="2"/>
        <v>-4.7788380160854238E-2</v>
      </c>
      <c r="J8" s="41" t="s">
        <v>39</v>
      </c>
      <c r="K8" s="41" t="s">
        <v>35</v>
      </c>
    </row>
    <row r="9" spans="1:11" ht="15.6">
      <c r="A9" s="30" t="str">
        <v>Rochester - 5516 Valleyhigh NW</v>
      </c>
      <c r="B9" s="31" t="str">
        <v>MN</v>
      </c>
      <c r="C9" s="12"/>
      <c r="D9" s="19"/>
      <c r="E9" s="19" t="str">
        <f t="shared" si="0"/>
        <v/>
      </c>
      <c r="F9" s="20" t="str">
        <f t="shared" si="3"/>
        <v/>
      </c>
      <c r="G9" s="21"/>
      <c r="H9" s="21" t="str">
        <f t="shared" si="1"/>
        <v/>
      </c>
      <c r="I9" s="20" t="str">
        <f t="shared" si="2"/>
        <v/>
      </c>
      <c r="J9" s="48"/>
      <c r="K9" s="48"/>
    </row>
    <row r="10" spans="1:11" ht="12.75" customHeight="1">
      <c r="A10" s="32" t="str">
        <v>Warsaw - 2201 Richmond</v>
      </c>
      <c r="B10" s="29" t="str">
        <v>VA</v>
      </c>
      <c r="C10" s="46"/>
      <c r="D10" s="14"/>
      <c r="E10" s="14"/>
      <c r="F10" s="15"/>
      <c r="G10" s="47"/>
      <c r="H10" s="16"/>
      <c r="I10" s="17"/>
      <c r="J10" s="41"/>
      <c r="K10" s="41"/>
    </row>
    <row r="11" spans="1:11" ht="15.6">
      <c r="A11" s="30" t="str">
        <v>Mount Jackson - Randolf</v>
      </c>
      <c r="B11" s="31" t="str">
        <v>VA</v>
      </c>
      <c r="C11" s="12"/>
      <c r="D11" s="19"/>
      <c r="E11" s="19"/>
      <c r="F11" s="20"/>
      <c r="G11" s="21"/>
      <c r="H11" s="21"/>
      <c r="I11" s="20"/>
      <c r="J11" s="48"/>
      <c r="K11" s="48"/>
    </row>
    <row r="12" spans="1:11" ht="15.6">
      <c r="A12" s="32" t="str">
        <v>Callands Gretna - Monroe</v>
      </c>
      <c r="B12" s="29" t="str">
        <v>VA</v>
      </c>
      <c r="C12" s="46"/>
      <c r="D12" s="14"/>
      <c r="E12" s="14"/>
      <c r="F12" s="15"/>
      <c r="G12" s="47"/>
      <c r="H12" s="16"/>
      <c r="I12" s="17"/>
      <c r="J12" s="41"/>
      <c r="K12" s="41"/>
    </row>
    <row r="13" spans="1:11" ht="15.6">
      <c r="A13" s="30" t="str">
        <v>Rockbridge Baths - Small Mouth Bass</v>
      </c>
      <c r="B13" s="31" t="str">
        <v>VA</v>
      </c>
      <c r="C13" s="12"/>
      <c r="D13" s="19"/>
      <c r="E13" s="19"/>
      <c r="F13" s="20"/>
      <c r="G13" s="21"/>
      <c r="H13" s="21"/>
      <c r="I13" s="20"/>
      <c r="J13" s="48"/>
      <c r="K13" s="48"/>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3"/>
  <sheetViews>
    <sheetView zoomScale="80" zoomScaleNormal="80" workbookViewId="0">
      <pane xSplit="2" ySplit="3" topLeftCell="C4" activePane="bottomRight" state="frozen"/>
      <selection pane="bottomRight" activeCell="C9" sqref="C9"/>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40</v>
      </c>
      <c r="E1" s="59"/>
      <c r="F1" s="59"/>
      <c r="G1" s="57" t="s">
        <v>41</v>
      </c>
      <c r="H1" s="57"/>
      <c r="I1" s="57"/>
      <c r="J1" s="5"/>
      <c r="K1" s="5"/>
    </row>
    <row r="2" spans="1:11" ht="19.5" customHeight="1">
      <c r="A2" s="60" t="s">
        <v>2</v>
      </c>
      <c r="B2" s="60"/>
      <c r="C2" s="6">
        <f>SUM(C4:C91)</f>
        <v>3747463.7370000002</v>
      </c>
      <c r="D2" s="6">
        <f>SUM(D4:D91)</f>
        <v>4085138.2824907233</v>
      </c>
      <c r="E2" s="6">
        <f>C2-D2</f>
        <v>-337674.5454907231</v>
      </c>
      <c r="F2" s="7">
        <f>IFERROR(E2/D2, 0)</f>
        <v>-8.2659269317277975E-2</v>
      </c>
      <c r="G2" s="6">
        <f>SUM(G4:G91)</f>
        <v>4373274.3899999997</v>
      </c>
      <c r="H2" s="8">
        <f>C2-G2</f>
        <v>-625810.65299999947</v>
      </c>
      <c r="I2" s="7">
        <f>IFERROR(H2/G2, 0)</f>
        <v>-0.14309887676633973</v>
      </c>
      <c r="J2" s="27"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v>129640</v>
      </c>
      <c r="D4" s="14">
        <v>120725.5537635037</v>
      </c>
      <c r="E4" s="14">
        <f>IF(AND(ISNUMBER(C4),ISNUMBER(D4)), C4-D4, "")</f>
        <v>8914.4462364962965</v>
      </c>
      <c r="F4" s="15">
        <f>IFERROR(E4/D4, "")</f>
        <v>7.3840590981751247E-2</v>
      </c>
      <c r="G4" s="16">
        <v>129601.73000000011</v>
      </c>
      <c r="H4" s="16">
        <f>IF(AND(ISNUMBER(C4),ISNUMBER(G4)), C4-G4, "")</f>
        <v>38.269999999887659</v>
      </c>
      <c r="I4" s="17">
        <f>IFERROR(H4/G4, "")</f>
        <v>2.9528926812850124E-4</v>
      </c>
      <c r="J4" s="41"/>
      <c r="K4" s="41"/>
    </row>
    <row r="5" spans="1:11" ht="15.6">
      <c r="A5" s="30" t="str">
        <v>San Luis Valley</v>
      </c>
      <c r="B5" s="31" t="str">
        <v>CO</v>
      </c>
      <c r="C5" s="12">
        <v>100708.837</v>
      </c>
      <c r="D5" s="19">
        <v>0</v>
      </c>
      <c r="E5" s="19">
        <f t="shared" ref="E5:E12" si="0">IF(AND(ISNUMBER(C5),ISNUMBER(D5)), C5-D5, "")</f>
        <v>100708.837</v>
      </c>
      <c r="F5" s="20" t="str">
        <f>IFERROR(E5/D5, "")</f>
        <v/>
      </c>
      <c r="G5" s="21">
        <v>0</v>
      </c>
      <c r="H5" s="21">
        <f t="shared" ref="H5:H8" si="1">IF(AND(ISNUMBER(C5),ISNUMBER(G5)), C5-G5, "")</f>
        <v>100708.837</v>
      </c>
      <c r="I5" s="20" t="str">
        <f t="shared" ref="I5:I8" si="2">IFERROR(H5/G5, "")</f>
        <v/>
      </c>
      <c r="J5" s="48"/>
      <c r="K5" s="48"/>
    </row>
    <row r="6" spans="1:11" ht="15.6">
      <c r="A6" s="32" t="str">
        <v>Golden NREL 2</v>
      </c>
      <c r="B6" s="29" t="str">
        <v>CO</v>
      </c>
      <c r="C6" s="25">
        <v>12207.999999999998</v>
      </c>
      <c r="D6" s="14">
        <v>10993.185727219516</v>
      </c>
      <c r="E6" s="14">
        <f t="shared" si="0"/>
        <v>1214.8142727804825</v>
      </c>
      <c r="F6" s="15">
        <f t="shared" ref="F6:F12" si="3">IFERROR(E6/D6, "")</f>
        <v>0.1105061174189534</v>
      </c>
      <c r="G6" s="16">
        <v>12899.280000000006</v>
      </c>
      <c r="H6" s="16">
        <f t="shared" si="1"/>
        <v>-691.28000000000793</v>
      </c>
      <c r="I6" s="17">
        <f t="shared" si="2"/>
        <v>-5.3590588001811545E-2</v>
      </c>
      <c r="J6" s="50"/>
      <c r="K6" s="50"/>
    </row>
    <row r="7" spans="1:11" ht="15.6">
      <c r="A7" s="30" t="str">
        <v>Golden NREL Wind 3</v>
      </c>
      <c r="B7" s="31" t="str">
        <v>CO</v>
      </c>
      <c r="C7" s="12">
        <v>0</v>
      </c>
      <c r="D7" s="19">
        <v>0</v>
      </c>
      <c r="E7" s="19"/>
      <c r="F7" s="20">
        <v>0</v>
      </c>
      <c r="G7" s="21">
        <v>0</v>
      </c>
      <c r="H7" s="21">
        <f t="shared" si="1"/>
        <v>0</v>
      </c>
      <c r="I7" s="20" t="str">
        <f t="shared" si="2"/>
        <v/>
      </c>
      <c r="J7" s="48" t="s">
        <v>28</v>
      </c>
      <c r="K7" s="48" t="s">
        <v>29</v>
      </c>
    </row>
    <row r="8" spans="1:11" ht="28.9">
      <c r="A8" s="32" t="str">
        <v>Pratt Solar Farm</v>
      </c>
      <c r="B8" s="29" t="str">
        <v>KS</v>
      </c>
      <c r="C8" s="25">
        <v>883580</v>
      </c>
      <c r="D8" s="14">
        <v>1136253.17</v>
      </c>
      <c r="E8" s="14">
        <f t="shared" si="0"/>
        <v>-252673.16999999993</v>
      </c>
      <c r="F8" s="15">
        <f t="shared" si="3"/>
        <v>-0.22237400666613757</v>
      </c>
      <c r="G8" s="16">
        <v>1094871.95</v>
      </c>
      <c r="H8" s="16">
        <f t="shared" si="1"/>
        <v>-211291.94999999995</v>
      </c>
      <c r="I8" s="17">
        <f t="shared" si="2"/>
        <v>-0.19298325251642437</v>
      </c>
      <c r="J8" s="50" t="s">
        <v>42</v>
      </c>
      <c r="K8" s="50" t="s">
        <v>43</v>
      </c>
    </row>
    <row r="9" spans="1:11" ht="97.35" customHeight="1">
      <c r="A9" s="30" t="str">
        <v>Rochester - 5516 Valleyhigh NW</v>
      </c>
      <c r="B9" s="31" t="str">
        <v>MN</v>
      </c>
      <c r="C9" s="12">
        <v>1731010</v>
      </c>
      <c r="D9" s="19">
        <v>1818032.74</v>
      </c>
      <c r="E9" s="19">
        <f t="shared" si="0"/>
        <v>-87022.739999999991</v>
      </c>
      <c r="F9" s="20">
        <f t="shared" si="3"/>
        <v>-4.7866431712335386E-2</v>
      </c>
      <c r="G9" s="21">
        <v>2098181.42</v>
      </c>
      <c r="H9" s="21">
        <f t="shared" ref="H9:H12" si="4">IF(AND(ISNUMBER(C9),ISNUMBER(G9)), C9-G9, "")</f>
        <v>-367171.41999999993</v>
      </c>
      <c r="I9" s="20">
        <f t="shared" ref="I9:I12" si="5">IFERROR(H9/G9, "")</f>
        <v>-0.17499507740374518</v>
      </c>
      <c r="J9" s="48" t="s">
        <v>44</v>
      </c>
      <c r="K9" s="48" t="s">
        <v>45</v>
      </c>
    </row>
    <row r="10" spans="1:11" ht="28.9">
      <c r="A10" s="32" t="str">
        <v>Warsaw - 2201 Richmond</v>
      </c>
      <c r="B10" s="29" t="str">
        <v>VA</v>
      </c>
      <c r="C10" s="25">
        <v>890316.9</v>
      </c>
      <c r="D10" s="14">
        <v>999133.63300000003</v>
      </c>
      <c r="E10" s="14">
        <f t="shared" si="0"/>
        <v>-108816.73300000001</v>
      </c>
      <c r="F10" s="15">
        <f t="shared" si="3"/>
        <v>-0.10891108997428776</v>
      </c>
      <c r="G10" s="16">
        <v>1037720.01</v>
      </c>
      <c r="H10" s="16">
        <f t="shared" si="4"/>
        <v>-147403.10999999999</v>
      </c>
      <c r="I10" s="17">
        <f t="shared" si="5"/>
        <v>-0.14204516495735683</v>
      </c>
      <c r="J10" s="50" t="s">
        <v>46</v>
      </c>
      <c r="K10" s="50" t="s">
        <v>47</v>
      </c>
    </row>
    <row r="11" spans="1:11" ht="15.6">
      <c r="A11" s="30" t="str">
        <v>Mount Jackson - Randolf</v>
      </c>
      <c r="B11" s="31" t="str">
        <v>VA</v>
      </c>
      <c r="C11" s="12"/>
      <c r="D11" s="19"/>
      <c r="E11" s="19" t="str">
        <f t="shared" si="0"/>
        <v/>
      </c>
      <c r="F11" s="20" t="str">
        <f t="shared" si="3"/>
        <v/>
      </c>
      <c r="G11" s="21"/>
      <c r="H11" s="21" t="str">
        <f t="shared" si="4"/>
        <v/>
      </c>
      <c r="I11" s="20" t="str">
        <f t="shared" si="5"/>
        <v/>
      </c>
      <c r="J11" s="48"/>
      <c r="K11" s="48"/>
    </row>
    <row r="12" spans="1:11" ht="15.6">
      <c r="A12" s="32" t="str">
        <v>Callands Gretna - Monroe</v>
      </c>
      <c r="B12" s="29" t="str">
        <v>VA</v>
      </c>
      <c r="C12" s="25"/>
      <c r="D12" s="14"/>
      <c r="E12" s="14" t="str">
        <f t="shared" si="0"/>
        <v/>
      </c>
      <c r="F12" s="15" t="str">
        <f t="shared" si="3"/>
        <v/>
      </c>
      <c r="G12" s="16"/>
      <c r="H12" s="16" t="str">
        <f t="shared" si="4"/>
        <v/>
      </c>
      <c r="I12" s="17" t="str">
        <f t="shared" si="5"/>
        <v/>
      </c>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J16" sqref="J16"/>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Ecofin</v>
      </c>
      <c r="B1" s="58"/>
      <c r="C1" s="58"/>
      <c r="D1" s="59" t="s">
        <v>48</v>
      </c>
      <c r="E1" s="59"/>
      <c r="F1" s="59"/>
      <c r="G1" s="57" t="s">
        <v>49</v>
      </c>
      <c r="H1" s="57"/>
      <c r="I1" s="57"/>
      <c r="J1" s="5"/>
      <c r="K1" s="5"/>
    </row>
    <row r="2" spans="1:11" ht="19.5" customHeight="1">
      <c r="A2" s="60" t="s">
        <v>2</v>
      </c>
      <c r="B2" s="60"/>
      <c r="C2" s="6">
        <f>SUM(C4:C90)</f>
        <v>3618468.59</v>
      </c>
      <c r="D2" s="6">
        <f>SUM(D4:D90)</f>
        <v>4947868.0123670874</v>
      </c>
      <c r="E2" s="6">
        <f>C2-D2</f>
        <v>-1329399.4223670876</v>
      </c>
      <c r="F2" s="7">
        <f>IFERROR(E2/D2, 0)</f>
        <v>-0.26868126212022692</v>
      </c>
      <c r="G2" s="6">
        <f>SUM(G4:G90)</f>
        <v>4965072.7</v>
      </c>
      <c r="H2" s="8">
        <f>C2-G2</f>
        <v>-1346604.1100000003</v>
      </c>
      <c r="I2" s="7">
        <f>IFERROR(H2/G2, 0)</f>
        <v>-0.27121538623190761</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43.15">
      <c r="A4" s="32" t="str" cm="1">
        <f t="array" ref="A4:A13">Sites[Site]</f>
        <v>Alamosa School District</v>
      </c>
      <c r="B4" s="29" t="str" cm="1">
        <f t="array" ref="B4:B13">Sites[State]</f>
        <v>CO</v>
      </c>
      <c r="C4" s="25">
        <v>41883.999999999993</v>
      </c>
      <c r="D4" s="14">
        <v>123308.20661034693</v>
      </c>
      <c r="E4" s="14">
        <f>IF(AND(ISNUMBER(C4),ISNUMBER(D4)), C4-D4, "")</f>
        <v>-81424.206610346941</v>
      </c>
      <c r="F4" s="15">
        <f>IFERROR(E4/D4, "")</f>
        <v>-0.66033079913040071</v>
      </c>
      <c r="G4" s="16">
        <v>144032.62000000034</v>
      </c>
      <c r="H4" s="16">
        <f>IF(AND(ISNUMBER(C4),ISNUMBER(G4)), C4-G4, "")</f>
        <v>-102148.62000000034</v>
      </c>
      <c r="I4" s="17">
        <f>IFERROR(H4/G4, "")</f>
        <v>-0.70920476208792216</v>
      </c>
      <c r="J4" s="50" t="s">
        <v>50</v>
      </c>
      <c r="K4" s="50" t="s">
        <v>51</v>
      </c>
    </row>
    <row r="5" spans="1:11" ht="15.6">
      <c r="A5" s="30" t="str">
        <v>San Luis Valley</v>
      </c>
      <c r="B5" s="31" t="str">
        <v>CO</v>
      </c>
      <c r="C5" s="12">
        <v>122065.89</v>
      </c>
      <c r="D5" s="19">
        <v>0</v>
      </c>
      <c r="E5" s="19">
        <f t="shared" ref="E5:E10" si="0">IF(AND(ISNUMBER(C5),ISNUMBER(D5)), C5-D5, "")</f>
        <v>122065.89</v>
      </c>
      <c r="F5" s="20" t="str">
        <f t="shared" ref="F5:F10" si="1">IFERROR(E5/D5, "")</f>
        <v/>
      </c>
      <c r="G5" s="21">
        <v>0</v>
      </c>
      <c r="H5" s="21">
        <f t="shared" ref="H5:H10" si="2">IF(AND(ISNUMBER(C5),ISNUMBER(G5)), C5-G5, "")</f>
        <v>122065.89</v>
      </c>
      <c r="I5" s="20" t="str">
        <f t="shared" ref="I5:I10" si="3">IFERROR(H5/G5, "")</f>
        <v/>
      </c>
      <c r="J5" s="48" t="s">
        <v>52</v>
      </c>
      <c r="K5" s="48" t="s">
        <v>53</v>
      </c>
    </row>
    <row r="6" spans="1:11" ht="15.6">
      <c r="A6" s="32" t="str">
        <v>Golden NREL 2</v>
      </c>
      <c r="B6" s="29" t="str">
        <v>CO</v>
      </c>
      <c r="C6" s="25">
        <v>14328</v>
      </c>
      <c r="D6" s="14">
        <v>12274.717756740267</v>
      </c>
      <c r="E6" s="14">
        <f t="shared" si="0"/>
        <v>2053.2822432597331</v>
      </c>
      <c r="F6" s="15">
        <f t="shared" si="1"/>
        <v>0.16727734877099223</v>
      </c>
      <c r="G6" s="16">
        <v>13666.439999999982</v>
      </c>
      <c r="H6" s="16">
        <f t="shared" si="2"/>
        <v>661.56000000001768</v>
      </c>
      <c r="I6" s="17">
        <f t="shared" si="3"/>
        <v>4.8407632126582965E-2</v>
      </c>
      <c r="J6" s="50"/>
      <c r="K6" s="50"/>
    </row>
    <row r="7" spans="1:11" ht="15.6">
      <c r="A7" s="30" t="str">
        <v>Golden NREL Wind 3</v>
      </c>
      <c r="B7" s="31" t="str">
        <v>CO</v>
      </c>
      <c r="C7" s="12">
        <v>0</v>
      </c>
      <c r="D7" s="19">
        <v>0</v>
      </c>
      <c r="E7" s="19">
        <f t="shared" si="0"/>
        <v>0</v>
      </c>
      <c r="F7" s="20" t="str">
        <f t="shared" si="1"/>
        <v/>
      </c>
      <c r="G7" s="21">
        <v>0</v>
      </c>
      <c r="H7" s="21">
        <f t="shared" si="2"/>
        <v>0</v>
      </c>
      <c r="I7" s="20" t="str">
        <f t="shared" si="3"/>
        <v/>
      </c>
      <c r="J7" s="48" t="s">
        <v>28</v>
      </c>
      <c r="K7" s="48" t="s">
        <v>29</v>
      </c>
    </row>
    <row r="8" spans="1:11" ht="28.9">
      <c r="A8" s="32" t="str">
        <v>Pratt Solar Farm</v>
      </c>
      <c r="B8" s="29" t="str">
        <v>KS</v>
      </c>
      <c r="C8" s="25">
        <v>895550</v>
      </c>
      <c r="D8" s="14">
        <v>1150841.56</v>
      </c>
      <c r="E8" s="14">
        <f t="shared" si="0"/>
        <v>-255291.56000000006</v>
      </c>
      <c r="F8" s="15">
        <f t="shared" si="1"/>
        <v>-0.22183032736495895</v>
      </c>
      <c r="G8" s="16">
        <v>1173647.55</v>
      </c>
      <c r="H8" s="16">
        <f t="shared" si="2"/>
        <v>-278097.55000000005</v>
      </c>
      <c r="I8" s="17">
        <f t="shared" si="3"/>
        <v>-0.236951502177975</v>
      </c>
      <c r="J8" s="50" t="s">
        <v>54</v>
      </c>
      <c r="K8" s="50" t="s">
        <v>55</v>
      </c>
    </row>
    <row r="9" spans="1:11" ht="178.5" customHeight="1">
      <c r="A9" s="30" t="str">
        <v>Rochester - 5516 Valleyhigh NW</v>
      </c>
      <c r="B9" s="31" t="str">
        <v>MN</v>
      </c>
      <c r="C9" s="12">
        <v>1472046</v>
      </c>
      <c r="D9" s="19">
        <v>2533439.71</v>
      </c>
      <c r="E9" s="19">
        <f t="shared" si="0"/>
        <v>-1061393.71</v>
      </c>
      <c r="F9" s="20">
        <f t="shared" si="1"/>
        <v>-0.41895360912298957</v>
      </c>
      <c r="G9" s="21">
        <v>2459554.67</v>
      </c>
      <c r="H9" s="21">
        <f t="shared" si="2"/>
        <v>-987508.66999999993</v>
      </c>
      <c r="I9" s="20">
        <f t="shared" si="3"/>
        <v>-0.40149897135646917</v>
      </c>
      <c r="J9" s="48" t="s">
        <v>56</v>
      </c>
      <c r="K9" s="48" t="s">
        <v>57</v>
      </c>
    </row>
    <row r="10" spans="1:11" ht="28.9">
      <c r="A10" s="32" t="str">
        <v>Warsaw - 2201 Richmond</v>
      </c>
      <c r="B10" s="29" t="str">
        <v>VA</v>
      </c>
      <c r="C10" s="25">
        <v>1072594.7</v>
      </c>
      <c r="D10" s="14">
        <v>1128003.818</v>
      </c>
      <c r="E10" s="14">
        <f t="shared" si="0"/>
        <v>-55409.118000000017</v>
      </c>
      <c r="F10" s="15">
        <f t="shared" si="1"/>
        <v>-4.9121392246918812E-2</v>
      </c>
      <c r="G10" s="16">
        <v>1174171.42</v>
      </c>
      <c r="H10" s="16">
        <f t="shared" si="2"/>
        <v>-101576.71999999997</v>
      </c>
      <c r="I10" s="17">
        <f t="shared" si="3"/>
        <v>-8.6509276473447111E-2</v>
      </c>
      <c r="J10" s="50" t="s">
        <v>58</v>
      </c>
      <c r="K10" s="50" t="s">
        <v>59</v>
      </c>
    </row>
    <row r="11" spans="1:11" ht="15.6">
      <c r="A11" s="30" t="str">
        <v>Mount Jackson - Randolf</v>
      </c>
      <c r="B11" s="31" t="str">
        <v>VA</v>
      </c>
      <c r="C11" s="12"/>
      <c r="D11" s="19"/>
      <c r="E11" s="19"/>
      <c r="F11" s="20"/>
      <c r="G11" s="21"/>
      <c r="H11" s="21"/>
      <c r="I11" s="20"/>
      <c r="J11" s="48"/>
      <c r="K11" s="48"/>
    </row>
    <row r="12" spans="1:11" ht="15.6">
      <c r="A12" s="32" t="str">
        <v>Callands Gretna - Monroe</v>
      </c>
      <c r="B12" s="29" t="str">
        <v>VA</v>
      </c>
      <c r="C12" s="25"/>
      <c r="D12" s="14"/>
      <c r="E12" s="14"/>
      <c r="F12" s="15"/>
      <c r="G12" s="16"/>
      <c r="H12" s="16"/>
      <c r="I12" s="17"/>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F4" activePane="bottomRight" state="frozen"/>
      <selection pane="bottomRight" activeCell="J20" sqref="J20"/>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58" t="str" cm="1">
        <f t="array" ref="A1">portfolio</f>
        <v>Ecofin</v>
      </c>
      <c r="B1" s="58"/>
      <c r="C1" s="58"/>
      <c r="D1" s="59" t="s">
        <v>60</v>
      </c>
      <c r="E1" s="59"/>
      <c r="F1" s="59"/>
      <c r="G1" s="57" t="s">
        <v>61</v>
      </c>
      <c r="H1" s="57"/>
      <c r="I1" s="57"/>
      <c r="J1" s="5"/>
      <c r="K1" s="5"/>
    </row>
    <row r="2" spans="1:14" ht="19.5" customHeight="1">
      <c r="A2" s="60" t="s">
        <v>2</v>
      </c>
      <c r="B2" s="60"/>
      <c r="C2" s="6">
        <f>SUM(C4:C100)</f>
        <v>4706190.6906999992</v>
      </c>
      <c r="D2" s="6">
        <f>SUM(D4:D100)</f>
        <v>6822420.6000000006</v>
      </c>
      <c r="E2" s="6">
        <f>C2-D2</f>
        <v>-2116229.9093000013</v>
      </c>
      <c r="F2" s="7">
        <f>IFERROR(E2/D2, 0)</f>
        <v>-0.310187546821725</v>
      </c>
      <c r="G2" s="6">
        <f>SUM(G4:G100)</f>
        <v>7056575.7999999998</v>
      </c>
      <c r="H2" s="8">
        <f>C2-G2</f>
        <v>-2350385.1093000006</v>
      </c>
      <c r="I2" s="7">
        <f>IFERROR(H2/G2, 0)</f>
        <v>-0.33307728506225365</v>
      </c>
      <c r="J2" s="27" t="str">
        <f ca="1">IF(AND(TODAY()&gt;DATE(2024, 6,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6">
      <c r="A4" s="51" t="str" cm="1">
        <f t="array" ref="A4:A13">Sites[Site]</f>
        <v>Alamosa School District</v>
      </c>
      <c r="B4" s="29" t="str" cm="1">
        <f t="array" ref="B4:B13">Sites[State]</f>
        <v>CO</v>
      </c>
      <c r="C4" s="25">
        <v>0</v>
      </c>
      <c r="D4" s="14">
        <v>227560</v>
      </c>
      <c r="E4" s="14"/>
      <c r="F4" s="15"/>
      <c r="G4" s="16">
        <v>138607</v>
      </c>
      <c r="H4" s="16"/>
      <c r="I4" s="17">
        <f>IFERROR(H4/G4, "")</f>
        <v>0</v>
      </c>
      <c r="J4" s="50" t="s">
        <v>62</v>
      </c>
      <c r="K4" s="50" t="s">
        <v>63</v>
      </c>
    </row>
    <row r="5" spans="1:14" ht="15.6">
      <c r="A5" s="30" t="str">
        <v>San Luis Valley</v>
      </c>
      <c r="B5" s="31" t="str">
        <v>CO</v>
      </c>
      <c r="C5" s="12">
        <v>180611.69070000001</v>
      </c>
      <c r="D5" s="19">
        <v>168822.39999999999</v>
      </c>
      <c r="E5" s="19">
        <f t="shared" ref="E5:E17" si="0">IF(AND(ISNUMBER(C5),ISNUMBER(D5)), C5-D5, "")</f>
        <v>11789.290700000012</v>
      </c>
      <c r="F5" s="20">
        <f>IFERROR(E5/D5, "")</f>
        <v>6.9832502677369901E-2</v>
      </c>
      <c r="G5" s="21"/>
      <c r="H5" s="21">
        <v>180611.69070000001</v>
      </c>
      <c r="I5" s="20" t="str">
        <f t="shared" ref="I5:I17" si="1">IFERROR(H5/G5, "")</f>
        <v/>
      </c>
      <c r="J5" s="48"/>
      <c r="K5" s="48"/>
    </row>
    <row r="6" spans="1:14" ht="15.6">
      <c r="A6" s="51" t="str">
        <v>Golden NREL 2</v>
      </c>
      <c r="B6" s="29" t="str">
        <v>CO</v>
      </c>
      <c r="C6" s="25">
        <v>14311</v>
      </c>
      <c r="D6" s="14">
        <v>12796</v>
      </c>
      <c r="E6" s="14">
        <f t="shared" si="0"/>
        <v>1515</v>
      </c>
      <c r="F6" s="15">
        <f t="shared" ref="F6:F17" si="2">IFERROR(E6/D6, "")</f>
        <v>0.11839637386683338</v>
      </c>
      <c r="G6" s="16">
        <v>13950</v>
      </c>
      <c r="H6" s="16">
        <f t="shared" ref="H6:H17" si="3">IF(AND(ISNUMBER(C6),ISNUMBER(G6)), C6-G6, "")</f>
        <v>361</v>
      </c>
      <c r="I6" s="17">
        <f t="shared" si="1"/>
        <v>2.5878136200716845E-2</v>
      </c>
      <c r="J6" s="50"/>
      <c r="K6" s="50"/>
    </row>
    <row r="7" spans="1:14" ht="15.6">
      <c r="A7" s="30" t="str">
        <v>Golden NREL Wind 3</v>
      </c>
      <c r="B7" s="31" t="str">
        <v>CO</v>
      </c>
      <c r="C7" s="12">
        <v>28261</v>
      </c>
      <c r="D7" s="19">
        <v>81324</v>
      </c>
      <c r="E7" s="19">
        <f t="shared" si="0"/>
        <v>-53063</v>
      </c>
      <c r="F7" s="20">
        <f t="shared" si="2"/>
        <v>-0.65248881019133342</v>
      </c>
      <c r="G7" s="21">
        <v>0</v>
      </c>
      <c r="H7" s="21">
        <f t="shared" si="3"/>
        <v>28261</v>
      </c>
      <c r="I7" s="20" t="str">
        <f t="shared" si="1"/>
        <v/>
      </c>
      <c r="J7" s="48" t="s">
        <v>64</v>
      </c>
      <c r="K7" s="48"/>
    </row>
    <row r="8" spans="1:14" ht="110.25" customHeight="1">
      <c r="A8" s="51" t="str">
        <v>Pratt Solar Farm</v>
      </c>
      <c r="B8" s="29" t="str">
        <v>KS</v>
      </c>
      <c r="C8" s="25">
        <v>764240</v>
      </c>
      <c r="D8" s="14">
        <v>1071468</v>
      </c>
      <c r="E8" s="14">
        <f t="shared" si="0"/>
        <v>-307228</v>
      </c>
      <c r="F8" s="15">
        <f t="shared" si="2"/>
        <v>-0.28673558146393546</v>
      </c>
      <c r="G8" s="16">
        <v>1137039</v>
      </c>
      <c r="H8" s="16">
        <f t="shared" si="3"/>
        <v>-372799</v>
      </c>
      <c r="I8" s="17">
        <f t="shared" si="1"/>
        <v>-0.32786826133492342</v>
      </c>
      <c r="J8" s="50" t="s">
        <v>65</v>
      </c>
      <c r="K8" s="50" t="s">
        <v>66</v>
      </c>
    </row>
    <row r="9" spans="1:14" ht="191.25" customHeight="1">
      <c r="A9" s="30" t="str">
        <v>Rochester - 5516 Valleyhigh NW</v>
      </c>
      <c r="B9" s="31" t="str">
        <v>MN</v>
      </c>
      <c r="C9" s="12">
        <v>732066</v>
      </c>
      <c r="D9" s="19">
        <v>2297776</v>
      </c>
      <c r="E9" s="19">
        <f t="shared" si="0"/>
        <v>-1565710</v>
      </c>
      <c r="F9" s="20">
        <f t="shared" si="2"/>
        <v>-0.68140236472136539</v>
      </c>
      <c r="G9" s="21">
        <v>2608364</v>
      </c>
      <c r="H9" s="21">
        <f t="shared" si="3"/>
        <v>-1876298</v>
      </c>
      <c r="I9" s="20">
        <f t="shared" si="1"/>
        <v>-0.71933901863390237</v>
      </c>
      <c r="J9" s="48" t="s">
        <v>67</v>
      </c>
      <c r="K9" s="48" t="s">
        <v>68</v>
      </c>
      <c r="L9" s="22"/>
      <c r="M9" s="22"/>
      <c r="N9" s="22"/>
    </row>
    <row r="10" spans="1:14" ht="67.5" customHeight="1">
      <c r="A10" s="51" t="str">
        <v>Warsaw - 2201 Richmond</v>
      </c>
      <c r="B10" s="29" t="str">
        <v>VA</v>
      </c>
      <c r="C10" s="25">
        <v>1179260.8</v>
      </c>
      <c r="D10" s="14">
        <v>1131652</v>
      </c>
      <c r="E10" s="14">
        <f t="shared" si="0"/>
        <v>47608.800000000047</v>
      </c>
      <c r="F10" s="15">
        <f t="shared" si="2"/>
        <v>4.2070177050895545E-2</v>
      </c>
      <c r="G10" s="16">
        <v>1193055</v>
      </c>
      <c r="H10" s="16">
        <f t="shared" si="3"/>
        <v>-13794.199999999953</v>
      </c>
      <c r="I10" s="17">
        <f t="shared" si="1"/>
        <v>-1.1562082217500411E-2</v>
      </c>
      <c r="J10" s="50" t="s">
        <v>69</v>
      </c>
      <c r="K10" s="50" t="s">
        <v>70</v>
      </c>
      <c r="L10" s="22"/>
      <c r="M10" s="22"/>
      <c r="N10" s="22"/>
    </row>
    <row r="11" spans="1:14" ht="165.75" customHeight="1">
      <c r="A11" s="30" t="str">
        <v>Mount Jackson - Randolf</v>
      </c>
      <c r="B11" s="31" t="str">
        <v>VA</v>
      </c>
      <c r="C11" s="12">
        <v>769106.9</v>
      </c>
      <c r="D11" s="19">
        <v>866456.3</v>
      </c>
      <c r="E11" s="19">
        <f t="shared" si="0"/>
        <v>-97349.400000000023</v>
      </c>
      <c r="F11" s="20">
        <f t="shared" si="2"/>
        <v>-0.11235350242129928</v>
      </c>
      <c r="G11" s="21">
        <v>828310.8</v>
      </c>
      <c r="H11" s="21">
        <f t="shared" si="3"/>
        <v>-59203.900000000023</v>
      </c>
      <c r="I11" s="20">
        <f t="shared" si="1"/>
        <v>-7.1475465489524007E-2</v>
      </c>
      <c r="J11" s="48" t="s">
        <v>71</v>
      </c>
      <c r="K11" s="48" t="s">
        <v>72</v>
      </c>
      <c r="L11" s="22"/>
      <c r="M11" s="22"/>
      <c r="N11" s="22"/>
    </row>
    <row r="12" spans="1:14" ht="81" customHeight="1">
      <c r="A12" s="51" t="str">
        <v>Callands Gretna - Monroe</v>
      </c>
      <c r="B12" s="29" t="str">
        <v>VA</v>
      </c>
      <c r="C12" s="25">
        <v>552581</v>
      </c>
      <c r="D12" s="14">
        <v>472595.20000000001</v>
      </c>
      <c r="E12" s="14">
        <f t="shared" si="0"/>
        <v>79985.799999999988</v>
      </c>
      <c r="F12" s="15">
        <f t="shared" si="2"/>
        <v>0.16924801606110257</v>
      </c>
      <c r="G12" s="16">
        <v>582500</v>
      </c>
      <c r="H12" s="16">
        <f t="shared" si="3"/>
        <v>-29919</v>
      </c>
      <c r="I12" s="17">
        <f t="shared" si="1"/>
        <v>-5.1363090128755368E-2</v>
      </c>
      <c r="J12" s="50" t="s">
        <v>73</v>
      </c>
      <c r="K12" s="50" t="s">
        <v>74</v>
      </c>
      <c r="L12" s="22"/>
      <c r="M12" s="22"/>
      <c r="N12" s="22"/>
    </row>
    <row r="13" spans="1:14" ht="51" customHeight="1">
      <c r="A13" s="30" t="str">
        <v>Rockbridge Baths - Small Mouth Bass</v>
      </c>
      <c r="B13" s="31" t="str">
        <v>VA</v>
      </c>
      <c r="C13" s="12">
        <v>485752.3</v>
      </c>
      <c r="D13" s="19">
        <v>491970.7</v>
      </c>
      <c r="E13" s="19">
        <f t="shared" si="0"/>
        <v>-6218.4000000000233</v>
      </c>
      <c r="F13" s="20">
        <f t="shared" si="2"/>
        <v>-1.2639777124938585E-2</v>
      </c>
      <c r="G13" s="21">
        <v>554750</v>
      </c>
      <c r="H13" s="21">
        <f t="shared" si="3"/>
        <v>-68997.700000000012</v>
      </c>
      <c r="I13" s="20">
        <f t="shared" si="1"/>
        <v>-0.12437620549797208</v>
      </c>
      <c r="J13" s="48" t="s">
        <v>75</v>
      </c>
      <c r="K13" s="48" t="s">
        <v>76</v>
      </c>
      <c r="L13" s="22"/>
      <c r="M13" s="22"/>
      <c r="N13" s="22"/>
    </row>
    <row r="14" spans="1:14">
      <c r="A14" s="22"/>
      <c r="B14" s="22"/>
      <c r="C14" s="22"/>
      <c r="D14" s="22"/>
      <c r="E14" s="22" t="str">
        <f t="shared" si="0"/>
        <v/>
      </c>
      <c r="F14" s="22" t="str">
        <f t="shared" si="2"/>
        <v/>
      </c>
      <c r="G14" s="22"/>
      <c r="H14" s="22" t="str">
        <f t="shared" si="3"/>
        <v/>
      </c>
      <c r="I14" s="22" t="str">
        <f t="shared" si="1"/>
        <v/>
      </c>
      <c r="J14" s="22"/>
      <c r="K14" s="22"/>
      <c r="L14" s="22"/>
      <c r="M14" s="22"/>
      <c r="N14" s="22"/>
    </row>
    <row r="15" spans="1:14">
      <c r="A15" s="22"/>
      <c r="B15" s="22"/>
      <c r="C15" s="22"/>
      <c r="D15" s="22"/>
      <c r="E15" s="22" t="str">
        <f t="shared" si="0"/>
        <v/>
      </c>
      <c r="F15" s="22" t="str">
        <f t="shared" si="2"/>
        <v/>
      </c>
      <c r="G15" s="22"/>
      <c r="H15" s="22" t="str">
        <f t="shared" si="3"/>
        <v/>
      </c>
      <c r="I15" s="22" t="str">
        <f t="shared" si="1"/>
        <v/>
      </c>
      <c r="J15" s="22"/>
      <c r="K15" s="22"/>
      <c r="L15" s="22"/>
      <c r="M15" s="22"/>
      <c r="N15" s="22"/>
    </row>
    <row r="16" spans="1:14">
      <c r="A16" s="22"/>
      <c r="B16" s="22"/>
      <c r="C16" s="22"/>
      <c r="D16" s="22"/>
      <c r="E16" s="22" t="str">
        <f t="shared" si="0"/>
        <v/>
      </c>
      <c r="F16" s="22" t="str">
        <f t="shared" si="2"/>
        <v/>
      </c>
      <c r="G16" s="22"/>
      <c r="H16" s="22" t="str">
        <f t="shared" si="3"/>
        <v/>
      </c>
      <c r="I16" s="22" t="str">
        <f t="shared" si="1"/>
        <v/>
      </c>
      <c r="J16" s="22"/>
      <c r="K16" s="22"/>
      <c r="L16" s="22"/>
      <c r="M16" s="22"/>
      <c r="N16" s="22"/>
    </row>
    <row r="17" spans="1:14">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C7" activePane="bottomRight" state="frozen"/>
      <selection pane="bottomRight" activeCell="J7" sqref="J7:K7"/>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58" t="str" cm="1">
        <f t="array" ref="A1">portfolio</f>
        <v>Ecofin</v>
      </c>
      <c r="B1" s="58"/>
      <c r="C1" s="58"/>
      <c r="D1" s="59" t="s">
        <v>77</v>
      </c>
      <c r="E1" s="59"/>
      <c r="F1" s="59"/>
      <c r="G1" s="57" t="s">
        <v>78</v>
      </c>
      <c r="H1" s="57"/>
      <c r="I1" s="57"/>
      <c r="J1" s="5"/>
      <c r="K1" s="5"/>
    </row>
    <row r="2" spans="1:15" ht="19.5" customHeight="1">
      <c r="A2" s="60" t="s">
        <v>2</v>
      </c>
      <c r="B2" s="60"/>
      <c r="C2" s="6">
        <f>SUM(C4:C100)</f>
        <v>7769255.4866763698</v>
      </c>
      <c r="D2" s="6">
        <f>SUM(D4:D100)</f>
        <v>5843224.9168000007</v>
      </c>
      <c r="E2" s="6">
        <f>C2-D2</f>
        <v>1926030.5698763691</v>
      </c>
      <c r="F2" s="7">
        <f>IFERROR(E2/D2, 0)</f>
        <v>0.3296177363186536</v>
      </c>
      <c r="G2" s="6">
        <f>SUM(G4:G100)</f>
        <v>7281625.1600000001</v>
      </c>
      <c r="H2" s="8">
        <f>C2-G2</f>
        <v>487630.32667636964</v>
      </c>
      <c r="I2" s="7">
        <f>IFERROR(H2/G2, 0)</f>
        <v>6.6967238214218877E-2</v>
      </c>
      <c r="J2" s="27" t="str">
        <f ca="1">IF(AND(TODAY()&gt;DATE(2024, 7, 1), COUNTA(Sites[Site])&lt;&gt;(COUNT(C:C)-1)), "Some sites are missing actual data; if new sites were added, make sure they are aligned correctly (including prior months!)", "")</f>
        <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v>0</v>
      </c>
      <c r="D4" s="14">
        <v>125175.026</v>
      </c>
      <c r="E4" s="14">
        <f>IF(AND(ISNUMBER(C4),ISNUMBER(D4)), C4-D4, "")</f>
        <v>-125175.026</v>
      </c>
      <c r="F4" s="15">
        <f>IFERROR(E4/D4, "")</f>
        <v>-1</v>
      </c>
      <c r="G4" s="16">
        <v>135055.79</v>
      </c>
      <c r="H4" s="16">
        <f>IF(AND(ISNUMBER(C4),ISNUMBER(G4)), C4-G4, "")</f>
        <v>-135055.79</v>
      </c>
      <c r="I4" s="17">
        <f>IFERROR(H4/G4, "")</f>
        <v>-1</v>
      </c>
      <c r="J4" s="41" t="s">
        <v>79</v>
      </c>
      <c r="K4" s="41" t="s">
        <v>80</v>
      </c>
    </row>
    <row r="5" spans="1:15" ht="15.6">
      <c r="A5" s="30" t="str">
        <v>San Luis Valley</v>
      </c>
      <c r="B5" s="31" t="str">
        <v>CO</v>
      </c>
      <c r="C5" s="12">
        <v>199168.4523</v>
      </c>
      <c r="D5" s="19">
        <v>179692.7</v>
      </c>
      <c r="E5" s="19">
        <f t="shared" ref="E5:E17" si="0">IF(AND(ISNUMBER(C5),ISNUMBER(D5)), C5-D5, "")</f>
        <v>19475.752299999993</v>
      </c>
      <c r="F5" s="20">
        <f>IFERROR(E5/D5, "")</f>
        <v>0.10838365887985428</v>
      </c>
      <c r="G5" s="21">
        <v>0</v>
      </c>
      <c r="H5" s="21">
        <f t="shared" ref="H5:H17" si="1">IF(AND(ISNUMBER(C5),ISNUMBER(G5)), C5-G5, "")</f>
        <v>199168.4523</v>
      </c>
      <c r="I5" s="20" t="str">
        <f t="shared" ref="I5:I17" si="2">IFERROR(H5/G5, "")</f>
        <v/>
      </c>
      <c r="J5" s="42"/>
      <c r="K5" s="42"/>
    </row>
    <row r="6" spans="1:15" ht="15.6">
      <c r="A6" s="32" t="str">
        <v>Golden NREL 2</v>
      </c>
      <c r="B6" s="29" t="str">
        <v>CO</v>
      </c>
      <c r="C6" s="25">
        <v>14687</v>
      </c>
      <c r="D6" s="14">
        <v>13362.5908</v>
      </c>
      <c r="E6" s="14">
        <f t="shared" si="0"/>
        <v>1324.4092000000001</v>
      </c>
      <c r="F6" s="15">
        <f t="shared" ref="F6:F17" si="3">IFERROR(E6/D6, "")</f>
        <v>9.9113204903348531E-2</v>
      </c>
      <c r="G6" s="16">
        <v>13730.47</v>
      </c>
      <c r="H6" s="16">
        <f t="shared" si="1"/>
        <v>956.53000000000065</v>
      </c>
      <c r="I6" s="17">
        <f t="shared" si="2"/>
        <v>6.9664767484288639E-2</v>
      </c>
      <c r="J6" s="41"/>
      <c r="K6" s="41"/>
    </row>
    <row r="7" spans="1:15" ht="28.9">
      <c r="A7" s="30" t="str">
        <v>Golden NREL Wind 3</v>
      </c>
      <c r="B7" s="31" t="str">
        <v>CO</v>
      </c>
      <c r="C7" s="12">
        <v>49800.055410000001</v>
      </c>
      <c r="D7" s="19">
        <v>168468.2</v>
      </c>
      <c r="E7" s="19">
        <f t="shared" si="0"/>
        <v>-118668.14459000001</v>
      </c>
      <c r="F7" s="20">
        <f t="shared" si="3"/>
        <v>-0.70439492194966169</v>
      </c>
      <c r="G7" s="21">
        <v>0</v>
      </c>
      <c r="H7" s="21">
        <f t="shared" si="1"/>
        <v>49800.055410000001</v>
      </c>
      <c r="I7" s="20" t="str">
        <f t="shared" si="2"/>
        <v/>
      </c>
      <c r="J7" s="48" t="s">
        <v>81</v>
      </c>
      <c r="K7" s="48" t="s">
        <v>82</v>
      </c>
    </row>
    <row r="8" spans="1:15" ht="57.6">
      <c r="A8" s="32" t="str">
        <v>Pratt Solar Farm</v>
      </c>
      <c r="B8" s="29" t="str">
        <v>KS</v>
      </c>
      <c r="C8" s="25">
        <v>952350</v>
      </c>
      <c r="D8" s="14">
        <v>1179167</v>
      </c>
      <c r="E8" s="14">
        <f t="shared" si="0"/>
        <v>-226817</v>
      </c>
      <c r="F8" s="15">
        <f t="shared" si="3"/>
        <v>-0.19235358520039994</v>
      </c>
      <c r="G8" s="16">
        <v>1208224</v>
      </c>
      <c r="H8" s="16">
        <f t="shared" si="1"/>
        <v>-255874</v>
      </c>
      <c r="I8" s="17">
        <f t="shared" si="2"/>
        <v>-0.21177695526657309</v>
      </c>
      <c r="J8" s="41" t="s">
        <v>83</v>
      </c>
      <c r="K8" s="41" t="s">
        <v>84</v>
      </c>
    </row>
    <row r="9" spans="1:15" ht="111.75" customHeight="1">
      <c r="A9" s="30" t="str">
        <v>Rochester - 5516 Valleyhigh NW</v>
      </c>
      <c r="B9" s="31" t="str">
        <v>MN</v>
      </c>
      <c r="C9" s="12">
        <v>3575657.77896637</v>
      </c>
      <c r="D9" s="19">
        <v>2400687</v>
      </c>
      <c r="E9" s="19">
        <f t="shared" si="0"/>
        <v>1174970.77896637</v>
      </c>
      <c r="F9" s="20">
        <f t="shared" si="3"/>
        <v>0.4894310582622266</v>
      </c>
      <c r="G9" s="21">
        <v>2807476</v>
      </c>
      <c r="H9" s="21">
        <f t="shared" si="1"/>
        <v>768181.77896637004</v>
      </c>
      <c r="I9" s="20">
        <f t="shared" si="2"/>
        <v>0.27362006975887598</v>
      </c>
      <c r="J9" s="48" t="s">
        <v>85</v>
      </c>
      <c r="K9" s="48" t="s">
        <v>86</v>
      </c>
      <c r="L9" s="22"/>
      <c r="M9" s="22"/>
      <c r="N9" s="22"/>
      <c r="O9" s="22"/>
    </row>
    <row r="10" spans="1:15" ht="15.6">
      <c r="A10" s="32" t="str">
        <v>Warsaw - 2201 Richmond</v>
      </c>
      <c r="B10" s="29" t="str">
        <v>VA</v>
      </c>
      <c r="C10" s="25">
        <v>1235587.6000000001</v>
      </c>
      <c r="D10" s="14">
        <v>207824.7</v>
      </c>
      <c r="E10" s="14">
        <f t="shared" si="0"/>
        <v>1027762.9000000001</v>
      </c>
      <c r="F10" s="15">
        <f t="shared" si="3"/>
        <v>4.9453356602944698</v>
      </c>
      <c r="G10" s="16">
        <v>1146445</v>
      </c>
      <c r="H10" s="16">
        <f t="shared" si="1"/>
        <v>89142.600000000093</v>
      </c>
      <c r="I10" s="17">
        <f t="shared" si="2"/>
        <v>7.7755670791010548E-2</v>
      </c>
      <c r="J10" s="41" t="s">
        <v>87</v>
      </c>
      <c r="K10" s="41" t="s">
        <v>88</v>
      </c>
      <c r="L10" s="22"/>
      <c r="M10" s="22"/>
      <c r="N10" s="22"/>
      <c r="O10" s="22"/>
    </row>
    <row r="11" spans="1:15" ht="129.6">
      <c r="A11" s="30" t="str">
        <v>Mount Jackson - Randolf</v>
      </c>
      <c r="B11" s="31" t="str">
        <v>VA</v>
      </c>
      <c r="C11" s="12">
        <v>773484.9</v>
      </c>
      <c r="D11" s="19">
        <v>809053.4</v>
      </c>
      <c r="E11" s="19">
        <f t="shared" si="0"/>
        <v>-35568.5</v>
      </c>
      <c r="F11" s="20">
        <f t="shared" si="3"/>
        <v>-4.3963105525543798E-2</v>
      </c>
      <c r="G11" s="21">
        <v>842118.9</v>
      </c>
      <c r="H11" s="21">
        <f t="shared" si="1"/>
        <v>-68634</v>
      </c>
      <c r="I11" s="20">
        <f t="shared" si="2"/>
        <v>-8.1501555184190735E-2</v>
      </c>
      <c r="J11" s="42" t="s">
        <v>89</v>
      </c>
      <c r="K11" s="48" t="s">
        <v>90</v>
      </c>
      <c r="L11" s="22"/>
      <c r="M11" s="22"/>
      <c r="N11" s="22"/>
      <c r="O11" s="22"/>
    </row>
    <row r="12" spans="1:15" ht="43.15">
      <c r="A12" s="32" t="str">
        <v>Callands Gretna - Monroe</v>
      </c>
      <c r="B12" s="29" t="str">
        <v>VA</v>
      </c>
      <c r="C12" s="25">
        <v>498995</v>
      </c>
      <c r="D12" s="14">
        <v>369802.1</v>
      </c>
      <c r="E12" s="14">
        <f t="shared" si="0"/>
        <v>129192.90000000002</v>
      </c>
      <c r="F12" s="15">
        <f t="shared" si="3"/>
        <v>0.34935685870902311</v>
      </c>
      <c r="G12" s="16">
        <v>565500</v>
      </c>
      <c r="H12" s="16">
        <f t="shared" si="1"/>
        <v>-66505</v>
      </c>
      <c r="I12" s="17">
        <f t="shared" si="2"/>
        <v>-0.11760389036251105</v>
      </c>
      <c r="J12" s="41" t="s">
        <v>91</v>
      </c>
      <c r="K12" s="41" t="s">
        <v>92</v>
      </c>
      <c r="L12" s="22"/>
      <c r="M12" s="22"/>
      <c r="N12" s="22"/>
      <c r="O12" s="22"/>
    </row>
    <row r="13" spans="1:15" ht="15.6">
      <c r="A13" s="30" t="str">
        <v>Rockbridge Baths - Small Mouth Bass</v>
      </c>
      <c r="B13" s="31" t="str">
        <v>VA</v>
      </c>
      <c r="C13" s="12">
        <v>469524.7</v>
      </c>
      <c r="D13" s="19">
        <v>389992.2</v>
      </c>
      <c r="E13" s="19">
        <f t="shared" si="0"/>
        <v>79532.5</v>
      </c>
      <c r="F13" s="20">
        <f t="shared" si="3"/>
        <v>0.20393356585080419</v>
      </c>
      <c r="G13" s="21">
        <v>563075</v>
      </c>
      <c r="H13" s="21">
        <f t="shared" si="1"/>
        <v>-93550.299999999988</v>
      </c>
      <c r="I13" s="20">
        <f t="shared" si="2"/>
        <v>-0.16614181059361541</v>
      </c>
      <c r="J13" s="42"/>
      <c r="K13" s="4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C4" activePane="bottomRight" state="frozen"/>
      <selection pane="bottomRight" activeCell="J7" sqref="J7"/>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8" t="str" cm="1">
        <f t="array" ref="A1">portfolio</f>
        <v>Ecofin</v>
      </c>
      <c r="B1" s="58"/>
      <c r="C1" s="58"/>
      <c r="D1" s="59" t="s">
        <v>93</v>
      </c>
      <c r="E1" s="59"/>
      <c r="F1" s="59"/>
      <c r="G1" s="57" t="s">
        <v>94</v>
      </c>
      <c r="H1" s="57"/>
      <c r="I1" s="57"/>
      <c r="J1" s="5"/>
      <c r="K1" s="5"/>
    </row>
    <row r="2" spans="1:12" ht="19.5" customHeight="1">
      <c r="A2" s="60" t="s">
        <v>2</v>
      </c>
      <c r="B2" s="60"/>
      <c r="C2" s="6">
        <f>SUM(C4:C100)</f>
        <v>5965001.8460000008</v>
      </c>
      <c r="D2" s="6">
        <f>SUM(D4:D100)</f>
        <v>5260076.5967800012</v>
      </c>
      <c r="E2" s="6">
        <f>C2-D2</f>
        <v>704925.24921999965</v>
      </c>
      <c r="F2" s="7">
        <f>IFERROR(E2/D2, 0)</f>
        <v>0.13401425554364083</v>
      </c>
      <c r="G2" s="6">
        <f>SUM(G4:G100)</f>
        <v>6634886.6199999992</v>
      </c>
      <c r="H2" s="8">
        <f>C2-G2</f>
        <v>-669884.77399999835</v>
      </c>
      <c r="I2" s="7">
        <f>IFERROR(H2/G2, 0)</f>
        <v>-0.10096401225315865</v>
      </c>
      <c r="J2" s="27" t="str">
        <f ca="1">IF(AND(TODAY()&gt;DATE(2024, 8,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v>0</v>
      </c>
      <c r="D4" s="14">
        <v>118520.9203</v>
      </c>
      <c r="E4" s="14">
        <f>IF(AND(ISNUMBER(C4),ISNUMBER(D4)), C4-D4, "")</f>
        <v>-118520.9203</v>
      </c>
      <c r="F4" s="15">
        <f>IFERROR(E4/D4, "")</f>
        <v>-1</v>
      </c>
      <c r="G4" s="16">
        <v>127744.09</v>
      </c>
      <c r="H4" s="16">
        <f>IF(AND(ISNUMBER(C4),ISNUMBER(G4)), C4-G4, "")</f>
        <v>-127744.09</v>
      </c>
      <c r="I4" s="17">
        <f t="shared" ref="I4:I13" si="0">IFERROR(H4/G4, "")</f>
        <v>-1</v>
      </c>
      <c r="J4" s="41" t="s">
        <v>79</v>
      </c>
      <c r="K4" s="41" t="s">
        <v>80</v>
      </c>
    </row>
    <row r="5" spans="1:12" ht="15.6">
      <c r="A5" s="30" t="str">
        <v>San Luis Valley</v>
      </c>
      <c r="B5" s="31" t="str">
        <v>CO</v>
      </c>
      <c r="C5" s="12">
        <v>180799.889</v>
      </c>
      <c r="D5" s="19">
        <v>217456.44200000001</v>
      </c>
      <c r="E5" s="19">
        <f>IF(AND(ISNUMBER(C5),ISNUMBER(D5)), C5-D5, "")</f>
        <v>-36656.553000000014</v>
      </c>
      <c r="F5" s="20">
        <f>IFERROR(E5/D5, "")</f>
        <v>-0.16856963474091979</v>
      </c>
      <c r="G5" s="21">
        <v>0</v>
      </c>
      <c r="H5" s="21">
        <f t="shared" ref="H5:H17" si="1">IF(AND(ISNUMBER(C5),ISNUMBER(G5)), C5-G5, "")</f>
        <v>180799.889</v>
      </c>
      <c r="I5" s="53" t="str">
        <f t="shared" si="0"/>
        <v/>
      </c>
      <c r="J5" s="42"/>
      <c r="K5" s="42"/>
    </row>
    <row r="6" spans="1:12" ht="15.6">
      <c r="A6" s="32" t="str">
        <v>Golden NREL 2</v>
      </c>
      <c r="B6" s="29" t="str">
        <v>CO</v>
      </c>
      <c r="C6" s="25">
        <v>12253</v>
      </c>
      <c r="D6" s="14">
        <v>11122.64148</v>
      </c>
      <c r="E6" s="14">
        <f t="shared" ref="E6:E17" si="2">IF(AND(ISNUMBER(C6),ISNUMBER(D6)), C6-D6, "")</f>
        <v>1130.3585199999998</v>
      </c>
      <c r="F6" s="15">
        <f t="shared" ref="F6:F17" si="3">IFERROR(E6/D6, "")</f>
        <v>0.10162680529014047</v>
      </c>
      <c r="G6" s="16">
        <v>12547.02</v>
      </c>
      <c r="H6" s="16">
        <f t="shared" si="1"/>
        <v>-294.02000000000044</v>
      </c>
      <c r="I6" s="17">
        <f t="shared" si="0"/>
        <v>-2.343345272423256E-2</v>
      </c>
      <c r="J6" s="41"/>
      <c r="K6" s="41"/>
    </row>
    <row r="7" spans="1:12" ht="30.75">
      <c r="A7" s="30" t="str">
        <v>Golden NREL Wind 3</v>
      </c>
      <c r="B7" s="31" t="str">
        <v>CO</v>
      </c>
      <c r="C7" s="12">
        <v>35148.357000000004</v>
      </c>
      <c r="D7" s="19">
        <v>133752.56</v>
      </c>
      <c r="E7" s="19">
        <f t="shared" si="2"/>
        <v>-98604.202999999994</v>
      </c>
      <c r="F7" s="20">
        <f t="shared" si="3"/>
        <v>-0.73721357557567491</v>
      </c>
      <c r="G7" s="21">
        <v>0</v>
      </c>
      <c r="H7" s="21">
        <f t="shared" si="1"/>
        <v>35148.357000000004</v>
      </c>
      <c r="I7" s="53" t="str">
        <f t="shared" si="0"/>
        <v/>
      </c>
      <c r="J7" s="48" t="s">
        <v>81</v>
      </c>
      <c r="K7" s="48" t="s">
        <v>82</v>
      </c>
    </row>
    <row r="8" spans="1:12" ht="43.15">
      <c r="A8" s="32" t="str">
        <v>Pratt Solar Farm</v>
      </c>
      <c r="B8" s="29" t="str">
        <v>KS</v>
      </c>
      <c r="C8" s="46">
        <v>920370</v>
      </c>
      <c r="D8" s="14">
        <v>1086254.7320000001</v>
      </c>
      <c r="E8" s="14">
        <f t="shared" si="2"/>
        <v>-165884.73200000008</v>
      </c>
      <c r="F8" s="15">
        <f t="shared" si="3"/>
        <v>-0.15271255177372159</v>
      </c>
      <c r="G8" s="16">
        <v>1157938.67</v>
      </c>
      <c r="H8" s="16">
        <f t="shared" si="1"/>
        <v>-237568.66999999993</v>
      </c>
      <c r="I8" s="17">
        <f t="shared" si="0"/>
        <v>-0.2051651578403543</v>
      </c>
      <c r="J8" s="41" t="s">
        <v>95</v>
      </c>
      <c r="K8" s="41" t="s">
        <v>96</v>
      </c>
    </row>
    <row r="9" spans="1:12" ht="72">
      <c r="A9" s="30" t="str">
        <v>Rochester - 5516 Valleyhigh NW</v>
      </c>
      <c r="B9" s="31" t="str">
        <v>MN</v>
      </c>
      <c r="C9" s="52">
        <v>1982363</v>
      </c>
      <c r="D9" s="19">
        <v>2092828</v>
      </c>
      <c r="E9" s="19">
        <f t="shared" si="2"/>
        <v>-110465</v>
      </c>
      <c r="F9" s="20">
        <f t="shared" si="3"/>
        <v>-5.2782646256644118E-2</v>
      </c>
      <c r="G9" s="21">
        <v>2424610</v>
      </c>
      <c r="H9" s="21">
        <f t="shared" si="1"/>
        <v>-442247</v>
      </c>
      <c r="I9" s="53">
        <f t="shared" si="0"/>
        <v>-0.18239923121656679</v>
      </c>
      <c r="J9" s="48" t="s">
        <v>97</v>
      </c>
      <c r="K9" s="48" t="s">
        <v>98</v>
      </c>
      <c r="L9" s="22"/>
    </row>
    <row r="10" spans="1:12" ht="15.6">
      <c r="A10" s="32" t="str">
        <v>Warsaw - 2201 Richmond</v>
      </c>
      <c r="B10" s="29" t="str">
        <v>VA</v>
      </c>
      <c r="C10" s="25">
        <v>1065874.6000000001</v>
      </c>
      <c r="D10" s="14">
        <v>0</v>
      </c>
      <c r="E10" s="14">
        <f t="shared" si="2"/>
        <v>1065874.6000000001</v>
      </c>
      <c r="F10" s="15" t="str">
        <f t="shared" si="3"/>
        <v/>
      </c>
      <c r="G10" s="16">
        <v>1095510</v>
      </c>
      <c r="H10" s="16">
        <f t="shared" si="1"/>
        <v>-29635.399999999907</v>
      </c>
      <c r="I10" s="17">
        <f t="shared" si="0"/>
        <v>-2.7051692818869665E-2</v>
      </c>
      <c r="J10" s="41" t="s">
        <v>99</v>
      </c>
      <c r="K10" s="41" t="s">
        <v>100</v>
      </c>
      <c r="L10" s="22"/>
    </row>
    <row r="11" spans="1:12" ht="86.45">
      <c r="A11" s="30" t="str">
        <v>Mount Jackson - Randolf</v>
      </c>
      <c r="B11" s="31" t="str">
        <v>VA</v>
      </c>
      <c r="C11" s="12">
        <v>754902.9</v>
      </c>
      <c r="D11" s="19">
        <v>774056.9</v>
      </c>
      <c r="E11" s="19">
        <f t="shared" si="2"/>
        <v>-19154</v>
      </c>
      <c r="F11" s="20">
        <f t="shared" si="3"/>
        <v>-2.4744950920274723E-2</v>
      </c>
      <c r="G11" s="21">
        <v>772430</v>
      </c>
      <c r="H11" s="21">
        <f t="shared" si="1"/>
        <v>-17527.099999999977</v>
      </c>
      <c r="I11" s="53">
        <f t="shared" si="0"/>
        <v>-2.2690858718589356E-2</v>
      </c>
      <c r="J11" s="42" t="s">
        <v>101</v>
      </c>
      <c r="K11" s="42" t="s">
        <v>102</v>
      </c>
      <c r="L11" s="22"/>
    </row>
    <row r="12" spans="1:12" ht="28.9">
      <c r="A12" s="32" t="str">
        <v>Callands Gretna - Monroe</v>
      </c>
      <c r="B12" s="29" t="str">
        <v>VA</v>
      </c>
      <c r="C12" s="25">
        <v>518537</v>
      </c>
      <c r="D12" s="14">
        <v>312679.29200000002</v>
      </c>
      <c r="E12" s="14">
        <f>IF(AND(ISNUMBER(C12),ISNUMBER(D12)), C12-D12, "")</f>
        <v>205857.70799999998</v>
      </c>
      <c r="F12" s="15">
        <f t="shared" si="3"/>
        <v>0.65836693783993849</v>
      </c>
      <c r="G12" s="16">
        <v>515555.57</v>
      </c>
      <c r="H12" s="16">
        <f t="shared" si="1"/>
        <v>2981.429999999993</v>
      </c>
      <c r="I12" s="17">
        <f t="shared" si="0"/>
        <v>5.7829459586674486E-3</v>
      </c>
      <c r="J12" s="41" t="s">
        <v>103</v>
      </c>
      <c r="K12" s="41" t="s">
        <v>104</v>
      </c>
      <c r="L12" s="22"/>
    </row>
    <row r="13" spans="1:12" ht="43.15">
      <c r="A13" s="30" t="str">
        <v>Rockbridge Baths - Small Mouth Bass</v>
      </c>
      <c r="B13" s="31" t="str">
        <v>VA</v>
      </c>
      <c r="C13" s="12">
        <v>494753.1</v>
      </c>
      <c r="D13" s="19">
        <v>513405.109</v>
      </c>
      <c r="E13" s="19">
        <f t="shared" si="2"/>
        <v>-18652.00900000002</v>
      </c>
      <c r="F13" s="20">
        <f t="shared" si="3"/>
        <v>-3.6330002707472123E-2</v>
      </c>
      <c r="G13" s="21">
        <v>528551.27</v>
      </c>
      <c r="H13" s="21">
        <f t="shared" si="1"/>
        <v>-33798.170000000042</v>
      </c>
      <c r="I13" s="53">
        <f t="shared" si="0"/>
        <v>-6.3944922504868898E-2</v>
      </c>
      <c r="J13" s="42" t="s">
        <v>105</v>
      </c>
      <c r="K13" s="42" t="s">
        <v>106</v>
      </c>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tabSelected="1" workbookViewId="0">
      <pane xSplit="2" ySplit="3" topLeftCell="C4" activePane="bottomRight" state="frozen"/>
      <selection pane="bottomRight" activeCell="K13" sqref="K13"/>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58" t="str" cm="1">
        <f t="array" ref="A1">portfolio</f>
        <v>Ecofin</v>
      </c>
      <c r="B1" s="58"/>
      <c r="C1" s="58"/>
      <c r="D1" s="59" t="s">
        <v>107</v>
      </c>
      <c r="E1" s="59"/>
      <c r="F1" s="59"/>
      <c r="G1" s="57" t="s">
        <v>108</v>
      </c>
      <c r="H1" s="57"/>
      <c r="I1" s="57"/>
      <c r="J1" s="5"/>
      <c r="K1" s="5"/>
    </row>
    <row r="2" spans="1:13" ht="19.5" customHeight="1">
      <c r="A2" s="60" t="s">
        <v>2</v>
      </c>
      <c r="B2" s="60"/>
      <c r="C2" s="6">
        <f>SUM(C4:C100)</f>
        <v>4529058.4650525004</v>
      </c>
      <c r="D2" s="6">
        <f>SUM(D4:D100)</f>
        <v>4703735.6100000003</v>
      </c>
      <c r="E2" s="6">
        <f>C2-D2</f>
        <v>-174677.14494749997</v>
      </c>
      <c r="F2" s="7">
        <f>IFERROR(E2/D2, 0)</f>
        <v>-3.713583403287838E-2</v>
      </c>
      <c r="G2" s="6">
        <f>SUM(G4:G100)</f>
        <v>4508607.4000000004</v>
      </c>
      <c r="H2" s="8">
        <f>C2-G2</f>
        <v>20451.065052499995</v>
      </c>
      <c r="I2" s="7">
        <f>IFERROR(H2/G2, 0)</f>
        <v>4.5360048542927005E-3</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t="s">
        <v>109</v>
      </c>
      <c r="K4" s="41" t="s">
        <v>110</v>
      </c>
    </row>
    <row r="5" spans="1:13" ht="47.25" customHeight="1">
      <c r="A5" s="30" t="str">
        <v>San Luis Valley</v>
      </c>
      <c r="B5" s="31" t="str">
        <v>CO</v>
      </c>
      <c r="C5" s="12">
        <v>136788.49031250001</v>
      </c>
      <c r="D5" s="19">
        <v>201428.7</v>
      </c>
      <c r="E5" s="19">
        <f t="shared" ref="E5:E17" si="0">IF(AND(ISNUMBER(C5),ISNUMBER(D5)), C5-D5, "")</f>
        <v>-64640.209687499999</v>
      </c>
      <c r="F5" s="20">
        <f>IFERROR(E5/D5, "")</f>
        <v>-0.32090863758491217</v>
      </c>
      <c r="G5" s="21">
        <v>0</v>
      </c>
      <c r="H5" s="21">
        <f t="shared" ref="H5:H17" si="1">IF(AND(ISNUMBER(C5),ISNUMBER(G5)), C5-G5, "")</f>
        <v>136788.49031250001</v>
      </c>
      <c r="I5" s="20" t="str">
        <f t="shared" ref="I5:I17" si="2">IFERROR(H5/G5, "")</f>
        <v/>
      </c>
      <c r="J5" s="56" t="s">
        <v>111</v>
      </c>
      <c r="K5" s="56" t="s">
        <v>112</v>
      </c>
    </row>
    <row r="6" spans="1:13"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c r="A7" s="30" t="str">
        <v>Golden NREL Wind 3</v>
      </c>
      <c r="B7" s="31" t="str">
        <v>CO</v>
      </c>
      <c r="C7" s="12">
        <v>32637.974740000001</v>
      </c>
      <c r="D7" s="19">
        <v>125009.2</v>
      </c>
      <c r="E7" s="19">
        <f t="shared" si="0"/>
        <v>-92371.225259999992</v>
      </c>
      <c r="F7" s="20">
        <f t="shared" si="3"/>
        <v>-0.73891541790524218</v>
      </c>
      <c r="G7" s="21">
        <v>0</v>
      </c>
      <c r="H7" s="21">
        <f t="shared" si="1"/>
        <v>32637.974740000001</v>
      </c>
      <c r="I7" s="20" t="str">
        <f t="shared" si="2"/>
        <v/>
      </c>
      <c r="J7" s="42"/>
      <c r="K7" s="42"/>
    </row>
    <row r="8" spans="1:13" ht="30.75">
      <c r="A8" s="32" t="str">
        <v>Pratt Solar Farm</v>
      </c>
      <c r="B8" s="29" t="str">
        <v>KS</v>
      </c>
      <c r="C8" s="25">
        <v>1028440</v>
      </c>
      <c r="D8" s="14">
        <v>1208072</v>
      </c>
      <c r="E8" s="14">
        <f t="shared" si="0"/>
        <v>-179632</v>
      </c>
      <c r="F8" s="15">
        <f t="shared" si="3"/>
        <v>-0.14869312425087247</v>
      </c>
      <c r="G8" s="16">
        <v>1111425</v>
      </c>
      <c r="H8" s="16">
        <f t="shared" si="1"/>
        <v>-82985</v>
      </c>
      <c r="I8" s="17">
        <f t="shared" si="2"/>
        <v>-7.4665407022516145E-2</v>
      </c>
      <c r="J8" s="41" t="s">
        <v>81</v>
      </c>
      <c r="K8" s="41" t="s">
        <v>82</v>
      </c>
    </row>
    <row r="9" spans="1:13" ht="96.75" customHeight="1">
      <c r="A9" s="30" t="str">
        <v>Rochester - 5516 Valleyhigh NW</v>
      </c>
      <c r="B9" s="31" t="str">
        <v>MN</v>
      </c>
      <c r="C9" s="12">
        <v>2097367</v>
      </c>
      <c r="D9" s="19">
        <v>2362506</v>
      </c>
      <c r="E9" s="19">
        <f t="shared" si="0"/>
        <v>-265139</v>
      </c>
      <c r="F9" s="20">
        <f t="shared" si="3"/>
        <v>-0.1122278631250037</v>
      </c>
      <c r="G9" s="55">
        <v>1889971</v>
      </c>
      <c r="H9" s="21">
        <f t="shared" si="1"/>
        <v>207396</v>
      </c>
      <c r="I9" s="20">
        <f t="shared" si="2"/>
        <v>0.10973501709814595</v>
      </c>
      <c r="J9" s="56" t="s">
        <v>113</v>
      </c>
      <c r="K9" s="56" t="s">
        <v>114</v>
      </c>
      <c r="L9" s="22"/>
      <c r="M9" s="22"/>
    </row>
    <row r="10" spans="1:13"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c r="A11" s="30" t="str">
        <v>Mount Jackson - Randolf</v>
      </c>
      <c r="B11" s="31" t="str">
        <v>VA</v>
      </c>
      <c r="C11" s="12">
        <v>573527.6</v>
      </c>
      <c r="D11" s="19">
        <v>570400.1</v>
      </c>
      <c r="E11" s="19">
        <f t="shared" si="0"/>
        <v>3127.5</v>
      </c>
      <c r="F11" s="20">
        <f t="shared" si="3"/>
        <v>5.4829934286477165E-3</v>
      </c>
      <c r="G11" s="21">
        <v>632411.4</v>
      </c>
      <c r="H11" s="21">
        <f t="shared" si="1"/>
        <v>-58883.800000000047</v>
      </c>
      <c r="I11" s="20">
        <f t="shared" si="2"/>
        <v>-9.310995975088375E-2</v>
      </c>
      <c r="J11" s="42"/>
      <c r="K11" s="42"/>
      <c r="L11" s="22"/>
      <c r="M11" s="22"/>
    </row>
    <row r="12" spans="1:13" ht="30.75">
      <c r="A12" s="32" t="str">
        <v>Callands Gretna - Monroe</v>
      </c>
      <c r="B12" s="29" t="str">
        <v>VA</v>
      </c>
      <c r="C12" s="25">
        <v>366352</v>
      </c>
      <c r="D12" s="14">
        <v>58112.41</v>
      </c>
      <c r="E12" s="14">
        <f t="shared" si="0"/>
        <v>308239.58999999997</v>
      </c>
      <c r="F12" s="15">
        <f t="shared" si="3"/>
        <v>5.3041956098533847</v>
      </c>
      <c r="G12" s="16">
        <v>434000</v>
      </c>
      <c r="H12" s="16">
        <f t="shared" si="1"/>
        <v>-67648</v>
      </c>
      <c r="I12" s="17">
        <f t="shared" si="2"/>
        <v>-0.15587096774193548</v>
      </c>
      <c r="J12" s="41" t="s">
        <v>115</v>
      </c>
      <c r="K12" s="41" t="s">
        <v>116</v>
      </c>
      <c r="L12" s="22"/>
      <c r="M12" s="22"/>
    </row>
    <row r="13" spans="1:13" ht="45.75">
      <c r="A13" s="30" t="str">
        <v>Rockbridge Baths - Small Mouth Bass</v>
      </c>
      <c r="B13" s="31" t="str">
        <v>VA</v>
      </c>
      <c r="C13" s="12">
        <v>293945.40000000002</v>
      </c>
      <c r="D13" s="19">
        <v>178207.2</v>
      </c>
      <c r="E13" s="19">
        <f t="shared" si="0"/>
        <v>115738.20000000001</v>
      </c>
      <c r="F13" s="20">
        <f t="shared" si="3"/>
        <v>0.64945860773302089</v>
      </c>
      <c r="G13" s="21">
        <v>440800</v>
      </c>
      <c r="H13" s="21">
        <f t="shared" si="1"/>
        <v>-146854.59999999998</v>
      </c>
      <c r="I13" s="20">
        <f t="shared" si="2"/>
        <v>-0.33315471869328489</v>
      </c>
      <c r="J13" s="42" t="s">
        <v>117</v>
      </c>
      <c r="K13" s="56" t="s">
        <v>118</v>
      </c>
      <c r="L13" s="22"/>
      <c r="M13" s="22"/>
    </row>
    <row r="14" spans="1:13">
      <c r="A14" s="22"/>
      <c r="B14" s="22"/>
      <c r="C14" s="22"/>
      <c r="D14" s="22"/>
      <c r="E14" s="22" t="str">
        <f t="shared" si="0"/>
        <v/>
      </c>
      <c r="F14" s="22" t="str">
        <f t="shared" si="3"/>
        <v/>
      </c>
      <c r="G14" s="22"/>
      <c r="H14" s="22" t="str">
        <f t="shared" si="1"/>
        <v/>
      </c>
      <c r="I14" s="22" t="str">
        <f t="shared" si="2"/>
        <v/>
      </c>
      <c r="J14" s="22"/>
      <c r="K14" s="22"/>
      <c r="L14" s="22"/>
      <c r="M14" s="22"/>
    </row>
    <row r="15" spans="1:13">
      <c r="A15" s="22"/>
      <c r="B15" s="22"/>
      <c r="C15" s="22"/>
      <c r="D15" s="22"/>
      <c r="E15" s="22" t="str">
        <f t="shared" si="0"/>
        <v/>
      </c>
      <c r="F15" s="22" t="str">
        <f t="shared" si="3"/>
        <v/>
      </c>
      <c r="G15" s="22"/>
      <c r="H15" s="22" t="str">
        <f t="shared" si="1"/>
        <v/>
      </c>
      <c r="I15" s="22" t="str">
        <f t="shared" si="2"/>
        <v/>
      </c>
      <c r="J15" s="22"/>
      <c r="K15" s="22"/>
      <c r="L15" s="22"/>
      <c r="M15" s="22"/>
    </row>
    <row r="16" spans="1:13">
      <c r="A16" s="22"/>
      <c r="B16" s="22"/>
      <c r="C16" s="22"/>
      <c r="D16" s="22"/>
      <c r="E16" s="22" t="str">
        <f t="shared" si="0"/>
        <v/>
      </c>
      <c r="F16" s="22" t="str">
        <f t="shared" si="3"/>
        <v/>
      </c>
      <c r="G16" s="22"/>
      <c r="H16" s="22" t="str">
        <f t="shared" si="1"/>
        <v/>
      </c>
      <c r="I16" s="22" t="str">
        <f t="shared" si="2"/>
        <v/>
      </c>
      <c r="J16" s="22"/>
      <c r="K16" s="22"/>
      <c r="L16" s="22"/>
      <c r="M16" s="22"/>
    </row>
    <row r="17" spans="1:13">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18:F100 I18:I100 F4:F13 I4:I13">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workbookViewId="0">
      <pane xSplit="2" ySplit="3" topLeftCell="D4" activePane="bottomRight" state="frozen"/>
      <selection pane="bottomRight" activeCell="J20" sqref="J20"/>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8" t="str" cm="1">
        <f t="array" ref="A1">portfolio</f>
        <v>Ecofin</v>
      </c>
      <c r="B1" s="58"/>
      <c r="C1" s="58"/>
      <c r="D1" s="59" t="s">
        <v>119</v>
      </c>
      <c r="E1" s="59"/>
      <c r="F1" s="59"/>
      <c r="G1" s="57" t="s">
        <v>120</v>
      </c>
      <c r="H1" s="57"/>
      <c r="I1" s="57"/>
      <c r="J1" s="5"/>
      <c r="K1" s="5"/>
    </row>
    <row r="2" spans="1:12" ht="19.5" customHeight="1">
      <c r="A2" s="60" t="s">
        <v>2</v>
      </c>
      <c r="B2" s="60"/>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2" ht="15.6">
      <c r="A7" s="30" t="str">
        <v>Golden NREL Wind 3</v>
      </c>
      <c r="B7" s="31" t="str">
        <v>CO</v>
      </c>
      <c r="C7" s="12"/>
      <c r="D7" s="19"/>
      <c r="E7" s="19" t="str">
        <f t="shared" si="0"/>
        <v/>
      </c>
      <c r="F7" s="20" t="str">
        <f t="shared" si="3"/>
        <v/>
      </c>
      <c r="G7" s="21"/>
      <c r="H7" s="21" t="str">
        <f t="shared" si="1"/>
        <v/>
      </c>
      <c r="I7" s="20" t="str">
        <f t="shared" si="2"/>
        <v/>
      </c>
      <c r="J7" s="42"/>
      <c r="K7" s="42"/>
    </row>
    <row r="8" spans="1:12" ht="15.6">
      <c r="A8" s="32" t="str">
        <v>Pratt Solar Farm</v>
      </c>
      <c r="B8" s="29" t="str">
        <v>KS</v>
      </c>
      <c r="C8" s="25"/>
      <c r="D8" s="14"/>
      <c r="E8" s="14" t="str">
        <f t="shared" si="0"/>
        <v/>
      </c>
      <c r="F8" s="15" t="str">
        <f t="shared" si="3"/>
        <v/>
      </c>
      <c r="G8" s="16"/>
      <c r="H8" s="16" t="str">
        <f t="shared" si="1"/>
        <v/>
      </c>
      <c r="I8" s="17" t="str">
        <f t="shared" si="2"/>
        <v/>
      </c>
      <c r="J8" s="41"/>
      <c r="K8" s="41"/>
    </row>
    <row r="9" spans="1:12" ht="15.6">
      <c r="A9" s="30" t="str">
        <v>Rochester - 5516 Valleyhigh NW</v>
      </c>
      <c r="B9" s="31" t="str">
        <v>MN</v>
      </c>
      <c r="C9" s="12"/>
      <c r="D9" s="19"/>
      <c r="E9" s="19" t="str">
        <f t="shared" si="0"/>
        <v/>
      </c>
      <c r="F9" s="20" t="str">
        <f t="shared" si="3"/>
        <v/>
      </c>
      <c r="G9" s="21"/>
      <c r="H9" s="21" t="str">
        <f t="shared" si="1"/>
        <v/>
      </c>
      <c r="I9" s="20" t="str">
        <f t="shared" si="2"/>
        <v/>
      </c>
      <c r="J9" s="42"/>
      <c r="K9" s="42"/>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41"/>
      <c r="K10" s="41"/>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2"/>
      <c r="K11" s="42"/>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41"/>
      <c r="K12" s="41"/>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 t="shared" si="1"/>
        <v/>
      </c>
      <c r="I17" s="22" t="str">
        <f t="shared" si="2"/>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90" zoomScaleNormal="90" workbookViewId="0">
      <pane xSplit="2" ySplit="3" topLeftCell="C4" activePane="bottomRight" state="frozen"/>
      <selection pane="bottomRight" activeCell="D25" sqref="D25"/>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8" t="str" cm="1">
        <f t="array" ref="A1">portfolio</f>
        <v>Ecofin</v>
      </c>
      <c r="B1" s="58"/>
      <c r="C1" s="58"/>
      <c r="D1" s="59" t="s">
        <v>121</v>
      </c>
      <c r="E1" s="59"/>
      <c r="F1" s="59"/>
      <c r="G1" s="57" t="s">
        <v>122</v>
      </c>
      <c r="H1" s="57"/>
      <c r="I1" s="57"/>
      <c r="J1" s="5"/>
      <c r="K1" s="5"/>
    </row>
    <row r="2" spans="1:12" ht="19.5" customHeight="1">
      <c r="A2" s="60" t="s">
        <v>2</v>
      </c>
      <c r="B2" s="60"/>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2" ht="15.6">
      <c r="A6" s="32" t="str">
        <v>Golden NREL 2</v>
      </c>
      <c r="B6" s="29" t="str">
        <v>CO</v>
      </c>
      <c r="C6" s="25"/>
      <c r="D6" s="14"/>
      <c r="E6" s="14" t="str">
        <f t="shared" si="0"/>
        <v/>
      </c>
      <c r="F6" s="15" t="str">
        <f t="shared" ref="F6:F13" si="3">IFERROR(E6/D6, "")</f>
        <v/>
      </c>
      <c r="G6" s="16"/>
      <c r="H6" s="16" t="str">
        <f t="shared" si="1"/>
        <v/>
      </c>
      <c r="I6" s="17" t="str">
        <f t="shared" si="2"/>
        <v/>
      </c>
      <c r="J6" s="41"/>
      <c r="K6" s="41"/>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2" ht="15.6">
      <c r="A8" s="32" t="str">
        <v>Pratt Solar Farm</v>
      </c>
      <c r="B8" s="29" t="str">
        <v>KS</v>
      </c>
      <c r="C8" s="25"/>
      <c r="D8" s="14"/>
      <c r="E8" s="14" t="str">
        <f t="shared" si="4"/>
        <v/>
      </c>
      <c r="F8" s="15" t="str">
        <f t="shared" si="3"/>
        <v/>
      </c>
      <c r="G8" s="16"/>
      <c r="H8" s="16" t="str">
        <f t="shared" si="5"/>
        <v/>
      </c>
      <c r="I8" s="17" t="str">
        <f t="shared" si="6"/>
        <v/>
      </c>
      <c r="J8" s="41"/>
      <c r="K8" s="41"/>
    </row>
    <row r="9" spans="1:12" ht="15.6">
      <c r="A9" s="30" t="str">
        <v>Rochester - 5516 Valleyhigh NW</v>
      </c>
      <c r="B9" s="31" t="str">
        <v>MN</v>
      </c>
      <c r="C9" s="12"/>
      <c r="D9" s="19"/>
      <c r="E9" s="19" t="str">
        <f t="shared" si="4"/>
        <v/>
      </c>
      <c r="F9" s="20" t="str">
        <f t="shared" si="3"/>
        <v/>
      </c>
      <c r="G9" s="21"/>
      <c r="H9" s="21" t="str">
        <f t="shared" si="5"/>
        <v/>
      </c>
      <c r="I9" s="20" t="str">
        <f t="shared" si="6"/>
        <v/>
      </c>
      <c r="J9" s="42"/>
      <c r="K9" s="42"/>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41"/>
      <c r="K10" s="41"/>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2"/>
      <c r="K11" s="42"/>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41"/>
      <c r="K12" s="41"/>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C4" activePane="bottomRight" state="frozen"/>
      <selection pane="bottomRight" activeCell="J23" sqref="J23"/>
      <selection pane="bottomLeft" activeCell="H19" sqref="H19"/>
      <selection pane="topRight" activeCell="H19" sqref="H19"/>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58" t="str" cm="1">
        <f t="array" ref="A1">portfolio</f>
        <v>Ecofin</v>
      </c>
      <c r="B1" s="58"/>
      <c r="C1" s="58"/>
      <c r="D1" s="59" t="s">
        <v>123</v>
      </c>
      <c r="E1" s="59"/>
      <c r="F1" s="59"/>
      <c r="G1" s="57" t="s">
        <v>124</v>
      </c>
      <c r="H1" s="57"/>
      <c r="I1" s="57"/>
      <c r="J1" s="5"/>
      <c r="K1" s="5"/>
    </row>
    <row r="2" spans="1:14" ht="19.5" customHeight="1">
      <c r="A2" s="60" t="s">
        <v>2</v>
      </c>
      <c r="B2" s="60"/>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4" ht="15.6">
      <c r="A6" s="32" t="str">
        <v>Golden NREL 2</v>
      </c>
      <c r="B6" s="29" t="str">
        <v>CO</v>
      </c>
      <c r="C6" s="25"/>
      <c r="D6" s="14"/>
      <c r="E6" s="14" t="str">
        <f t="shared" si="0"/>
        <v/>
      </c>
      <c r="F6" s="15" t="str">
        <f t="shared" ref="F6:F13" si="3">IFERROR(E6/D6, "")</f>
        <v/>
      </c>
      <c r="G6" s="16"/>
      <c r="H6" s="16" t="str">
        <f t="shared" si="1"/>
        <v/>
      </c>
      <c r="I6" s="17" t="str">
        <f t="shared" si="2"/>
        <v/>
      </c>
      <c r="J6" s="41"/>
      <c r="K6" s="41"/>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4" ht="15.6">
      <c r="A8" s="32" t="str">
        <v>Pratt Solar Farm</v>
      </c>
      <c r="B8" s="29" t="str">
        <v>KS</v>
      </c>
      <c r="C8" s="25"/>
      <c r="D8" s="14"/>
      <c r="E8" s="14" t="str">
        <f t="shared" si="4"/>
        <v/>
      </c>
      <c r="F8" s="15" t="str">
        <f t="shared" si="3"/>
        <v/>
      </c>
      <c r="G8" s="16"/>
      <c r="H8" s="16" t="str">
        <f t="shared" si="5"/>
        <v/>
      </c>
      <c r="I8" s="17" t="str">
        <f t="shared" si="6"/>
        <v/>
      </c>
      <c r="J8" s="41"/>
      <c r="K8" s="41"/>
    </row>
    <row r="9" spans="1:14" ht="15.6">
      <c r="A9" s="30" t="str">
        <v>Rochester - 5516 Valleyhigh NW</v>
      </c>
      <c r="B9" s="31" t="str">
        <v>MN</v>
      </c>
      <c r="C9" s="12"/>
      <c r="D9" s="19"/>
      <c r="E9" s="19" t="str">
        <f t="shared" si="4"/>
        <v/>
      </c>
      <c r="F9" s="20" t="str">
        <f t="shared" si="3"/>
        <v/>
      </c>
      <c r="G9" s="21"/>
      <c r="H9" s="21" t="str">
        <f t="shared" si="5"/>
        <v/>
      </c>
      <c r="I9" s="20" t="str">
        <f t="shared" si="6"/>
        <v/>
      </c>
      <c r="J9" s="42"/>
      <c r="K9" s="42"/>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41"/>
      <c r="K10" s="41"/>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2"/>
      <c r="K11" s="42"/>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41"/>
      <c r="K12" s="41"/>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13" sqref="A1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125</v>
      </c>
      <c r="B1" s="43" t="s">
        <v>126</v>
      </c>
    </row>
    <row r="3" spans="1:7" ht="13.15">
      <c r="A3" t="s">
        <v>127</v>
      </c>
      <c r="B3" t="s">
        <v>3</v>
      </c>
      <c r="C3" t="s">
        <v>4</v>
      </c>
      <c r="D3" t="s">
        <v>128</v>
      </c>
      <c r="E3" s="2" t="s">
        <v>129</v>
      </c>
    </row>
    <row r="4" spans="1:7" ht="14.45">
      <c r="A4" s="3" t="s">
        <v>130</v>
      </c>
      <c r="B4" t="s">
        <v>131</v>
      </c>
      <c r="C4" s="4" t="s">
        <v>132</v>
      </c>
      <c r="G4" s="3"/>
    </row>
    <row r="5" spans="1:7" ht="14.45">
      <c r="A5" s="3" t="s">
        <v>133</v>
      </c>
      <c r="B5" t="s">
        <v>134</v>
      </c>
      <c r="C5" s="4" t="s">
        <v>132</v>
      </c>
      <c r="G5" s="3"/>
    </row>
    <row r="6" spans="1:7" ht="14.45">
      <c r="A6" s="43" t="s">
        <v>135</v>
      </c>
      <c r="B6" t="s">
        <v>136</v>
      </c>
      <c r="C6" t="s">
        <v>132</v>
      </c>
      <c r="G6" s="3"/>
    </row>
    <row r="7" spans="1:7" ht="12.75" customHeight="1">
      <c r="A7" s="43" t="s">
        <v>137</v>
      </c>
      <c r="B7" t="s">
        <v>138</v>
      </c>
      <c r="C7" t="s">
        <v>132</v>
      </c>
    </row>
    <row r="8" spans="1:7" ht="12.75" customHeight="1">
      <c r="A8" s="4" t="s">
        <v>139</v>
      </c>
      <c r="B8" s="4" t="s">
        <v>140</v>
      </c>
      <c r="C8" s="4" t="s">
        <v>141</v>
      </c>
    </row>
    <row r="9" spans="1:7" ht="12.75" customHeight="1">
      <c r="A9" s="43" t="s">
        <v>142</v>
      </c>
      <c r="B9" t="s">
        <v>143</v>
      </c>
      <c r="C9" t="s">
        <v>144</v>
      </c>
      <c r="D9" t="s">
        <v>145</v>
      </c>
    </row>
    <row r="10" spans="1:7" ht="12.75" customHeight="1">
      <c r="A10" s="4" t="s">
        <v>146</v>
      </c>
      <c r="B10" s="4" t="s">
        <v>147</v>
      </c>
      <c r="C10" s="4" t="s">
        <v>148</v>
      </c>
      <c r="D10" t="s">
        <v>145</v>
      </c>
    </row>
    <row r="11" spans="1:7" ht="12.75" customHeight="1">
      <c r="A11" s="4" t="s">
        <v>149</v>
      </c>
      <c r="B11" s="4" t="s">
        <v>150</v>
      </c>
      <c r="C11" s="4" t="s">
        <v>148</v>
      </c>
      <c r="D11" t="s">
        <v>145</v>
      </c>
    </row>
    <row r="12" spans="1:7" ht="12.75" customHeight="1">
      <c r="A12" s="4" t="s">
        <v>151</v>
      </c>
      <c r="B12" s="4" t="s">
        <v>152</v>
      </c>
      <c r="C12" s="4" t="s">
        <v>148</v>
      </c>
    </row>
    <row r="13" spans="1:7" ht="12.75" customHeight="1">
      <c r="A13" s="4" t="s">
        <v>153</v>
      </c>
      <c r="B13" s="4" t="s">
        <v>154</v>
      </c>
      <c r="C13" s="4" t="s">
        <v>148</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66B09F59-6532-46F8-924A-9A02417E070D}"/>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C0BCDC1E-6052-4E48-9BAF-94A40814E7C2}"/>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8D732231-4216-4543-A665-18A2886B0E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Charishma Pillala [AGS]</cp:lastModifiedBy>
  <cp:revision/>
  <dcterms:created xsi:type="dcterms:W3CDTF">2021-01-01T16:39:53Z</dcterms:created>
  <dcterms:modified xsi:type="dcterms:W3CDTF">2024-10-09T12:00:42Z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