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A1198E04-E405-49D6-9808-B961535DA8F7}" xr6:coauthVersionLast="47" xr6:coauthVersionMax="47" xr10:uidLastSave="{D895B1F5-D1AC-4AC5-8FA4-17AD86C3E487}"/>
  <bookViews>
    <workbookView xWindow="28680" yWindow="-120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<sst xmlns="http://schemas.openxmlformats.org/spreadsheetml/2006/main" count="250" uniqueCount="64">
  <si>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</si>
  <si>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</si>
  <si>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</si>
  <si>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</si>
  <si>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</si>
  <si>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</si>
  <si>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</si>
  <si>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</si>
  <si>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</si>
  <si>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</si>
  <si>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</si>
  <si>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</si>
  <si>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</si>
  <si>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</si>
  <si>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</si>
  <si>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</si>
  <si>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</si>
  <si>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</si>
  <si>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</si>
  <si>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</si>
  <si>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</si>
  <si>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</si>
  <si>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Inverters 9 and 10 are offline on 01/21 at 9:15 AM and self resolved next day.</t>
  </si>
  <si>
    <t>1. SR080379</t>
  </si>
  <si>
    <t>February Actual v. Expected</t>
  </si>
  <si>
    <t>February Actual v. Forecasted</t>
  </si>
  <si>
    <t>March Actual v. Expected</t>
  </si>
  <si>
    <t>March Actual v. Forecasted</t>
  </si>
  <si>
    <t xml:space="preserve">1. Inverters 7 -10 tripped offline on 0/07 at 11:30 &amp; back online at 03/04. </t>
  </si>
  <si>
    <t>1.SR081642</t>
  </si>
  <si>
    <t>April Actual v. Expected</t>
  </si>
  <si>
    <t>April Actual v. Forecasted</t>
  </si>
  <si>
    <t>1. Inverter 7 offline at 07:00 and back online at 16:30 on 04/01</t>
  </si>
  <si>
    <t>1. SR082978</t>
  </si>
  <si>
    <t>May Actual v. Expected</t>
  </si>
  <si>
    <t>May Actual v. Forecasted</t>
  </si>
  <si>
    <t>1. Inverter 8,9,10 are tripped offline at 08:45 on 05/16 and are back online a 16:30 on 05/23
2. Inverters 7 is underperforming 10kW compared to peer inverter from 05/28.</t>
  </si>
  <si>
    <t>1. SR084777
2. SR085327</t>
  </si>
  <si>
    <t>June Actual v. Expected</t>
  </si>
  <si>
    <t>June Actual v. Forecasted</t>
  </si>
  <si>
    <t>1.  Weather station reporting erroneous values at 14:30 on 06/03 
2. Inverters 7 is underperforming 10kW compared to peer inverter from 05/28.</t>
  </si>
  <si>
    <t>1. SR085514
2. SR085327</t>
  </si>
  <si>
    <t>July Actual v. Expected</t>
  </si>
  <si>
    <t>July Actual v. Forecasted</t>
  </si>
  <si>
    <t>1. Inverters 9 and 10 tripped offline at 08:00AM on 07/18 and back online at 07:00AM on 07/19.</t>
  </si>
  <si>
    <t>1. SR087891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</si>
  <si>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</si>
  <si>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</si>
  <si>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</si>
  <si>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</si>
  <si>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</si>
  <si>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</si>
  <si>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</si>
  <si>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</si>
  <si>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</si>
  <si>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</si>
  <si>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</si>
  <si>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Phoenix</t>
  </si>
  <si>
    <t>Site DAS Name</t>
  </si>
  <si>
    <t>Update</t>
  </si>
  <si>
    <t>DAS</t>
  </si>
  <si>
    <t>SKY HARBOR AIRPORT PV PROJECT 1 COB ADMIN BUILDING</t>
  </si>
  <si>
    <t>AZ: Sky Harbor COB Admin Building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</si>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</sst>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4" sqref="E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728814.25</v>
      </c>
      <c r="D2" s="6">
        <f>SUM(D4:D60)</f>
        <v>427633.88099999999</v>
      </c>
      <c r="E2" s="6">
        <f>C2-D2</f>
        <v>301180.36900000001</v>
      </c>
      <c r="F2" s="7">
        <f>IFERROR(E2/D2, 0)</f>
        <v>0.70429491764241203</v>
      </c>
      <c r="G2" s="6">
        <f>SUM(G4:G60)</f>
        <v>455579.75</v>
      </c>
      <c r="H2" s="8">
        <f>C2-G2</f>
        <v>273234.5</v>
      </c>
      <c r="I2" s="7">
        <f>IFERROR(H2/G2, 0)</f>
        <v>0.59975119614074157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SUM('1st Qtr'!C4, '2nd Qtr'!C4, '3rd Qtr'!C4, '4th Qtr'!C4)</f>
        <v>728814.25</v>
      </c>
      <c r="D4" s="14">
        <f>SUM('1st Qtr'!D4, '2nd Qtr'!D4, '3rd Qtr'!D4, '4th Qtr'!D4)</f>
        <v>427633.88099999999</v>
      </c>
      <c r="E4" s="14">
        <f>IF(AND(ISNUMBER(C4),ISNUMBER(D4)), C4-D4, "")</f>
        <v>301180.36900000001</v>
      </c>
      <c r="F4" s="15">
        <f>IFERROR(E4/D4, "")</f>
        <v>0.70429491764241203</v>
      </c>
      <c r="G4" s="16">
        <f>SUM('1st Qtr'!G4,'2nd Qtr'!G4,'3rd Qtr'!G4,'4th Qtr'!G4)</f>
        <v>455579.75</v>
      </c>
      <c r="H4" s="16">
        <f>SUM('1st Qtr'!H4, '2nd Qtr'!H4, '3rd Qtr'!H4, '4th Qtr'!H4)</f>
        <v>35626.400000000023</v>
      </c>
      <c r="I4" s="17">
        <f>IFERROR(H4/G4, "")</f>
        <v>7.8200139492591636E-2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16" sqref="G16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168125.75</v>
      </c>
      <c r="D2" s="6">
        <f>SUM(D4:D68)</f>
        <v>188107.85</v>
      </c>
      <c r="E2" s="6">
        <f>C2-D2</f>
        <v>-19982.100000000006</v>
      </c>
      <c r="F2" s="7">
        <f>IFERROR(E2/D2, 0)</f>
        <v>-0.10622682679112012</v>
      </c>
      <c r="G2" s="6">
        <f>SUM(G4:G68)</f>
        <v>191038.45</v>
      </c>
      <c r="H2" s="8">
        <f>C2-G2</f>
        <v>-22912.700000000012</v>
      </c>
      <c r="I2" s="7">
        <f>IFERROR(H2/G2, 0)</f>
        <v>-0.11993763559115984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SUM(Jan!C4, Feb!C4, Mar!C4)</f>
        <v>168125.75</v>
      </c>
      <c r="D4" s="14">
        <f>SUM(Jan!D4, Feb!D4, Mar!D4)</f>
        <v>188107.85</v>
      </c>
      <c r="E4" s="14">
        <f>IF(AND(ISNUMBER(C4),ISNUMBER(D4)), C4-D4, "")</f>
        <v>-19982.100000000006</v>
      </c>
      <c r="F4" s="15">
        <f>IFERROR(E4/D4, "")</f>
        <v>-0.10622682679112012</v>
      </c>
      <c r="G4" s="16">
        <f>SUM(Jan!G4, Feb!G4, Mar!G4)</f>
        <v>191038.45</v>
      </c>
      <c r="H4" s="16">
        <f>SUM(Jan!H4, Feb!H4, Mar!H4)</f>
        <v>-22912.699999999997</v>
      </c>
      <c r="I4" s="17">
        <f>IFERROR(H4/G4, "")</f>
        <v>-0.11993763559115976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zoomScale="90" zoomScaleNormal="90" workbookViewId="0">
      <pane ySplit="2" topLeftCell="A3" activePane="bottomLeft" state="frozen"/>
      <selection pane="bottomLeft" activeCell="I4" sqref="I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293359.75</v>
      </c>
      <c r="D2" s="6">
        <f>SUM(D4:D90)</f>
        <v>227760.88</v>
      </c>
      <c r="E2" s="6">
        <f>C2-D2</f>
        <v>65598.87</v>
      </c>
      <c r="F2" s="7">
        <f>IFERROR(E2/D2, 0)</f>
        <v>0.28801640562681352</v>
      </c>
      <c r="G2" s="6">
        <f>SUM(G4:G90)</f>
        <v>264541.3</v>
      </c>
      <c r="H2" s="8">
        <f>C2-G2</f>
        <v>28818.450000000012</v>
      </c>
      <c r="I2" s="7">
        <f>IFERROR(H2/G2, 0)</f>
        <v>0.10893743245383618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SUM(Apr!C4, May!C4, Jun!C4)</f>
        <v>293359.75</v>
      </c>
      <c r="D4" s="14">
        <f>SUM(Apr!D4, May!D4, Jun!D4)</f>
        <v>227760.88</v>
      </c>
      <c r="E4" s="14">
        <f>IF(AND(ISNUMBER(C4),ISNUMBER(D4)), C4-D4, "")</f>
        <v>65598.87</v>
      </c>
      <c r="F4" s="15">
        <f>IFERROR(E4/D4, "")</f>
        <v>0.28801640562681352</v>
      </c>
      <c r="G4" s="16">
        <f>SUM(Apr!G4,May!G4,Jun!G4)</f>
        <v>264541.3</v>
      </c>
      <c r="H4" s="16">
        <f>SUM(Apr!H4, May!H4, Jun!H4)</f>
        <v>28818.450000000012</v>
      </c>
      <c r="I4" s="17">
        <f>IFERROR(H4/G4, "")</f>
        <v>0.10893743245383618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267328.75</v>
      </c>
      <c r="D2" s="6">
        <f>SUM(D4:D89)</f>
        <v>11765.151</v>
      </c>
      <c r="E2" s="6">
        <f>C2-D2</f>
        <v>255563.59899999999</v>
      </c>
      <c r="F2" s="7">
        <f>IFERROR(E2/D2, 0)</f>
        <v>21.722084059949591</v>
      </c>
      <c r="G2" s="6">
        <f>SUM(G4:G89)</f>
        <v>0</v>
      </c>
      <c r="H2" s="8">
        <f>C2-G2</f>
        <v>267328.75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SUM(Jul!C4, Aug!C4, Sep!C4)</f>
        <v>267328.75</v>
      </c>
      <c r="D4" s="14">
        <f>SUM(Jul!D4, Aug!D4, Sep!D4)</f>
        <v>11765.151</v>
      </c>
      <c r="E4" s="14">
        <f>IF(AND(ISNUMBER(C4),ISNUMBER(D4)), C4-D4, "")</f>
        <v>255563.59899999999</v>
      </c>
      <c r="F4" s="15">
        <f>IFERROR(E4/D4, "")</f>
        <v>21.722084059949591</v>
      </c>
      <c r="G4" s="16"/>
      <c r="H4" s="16">
        <f>SUM(Jul!H4, Aug!H4, Sep!H4)</f>
        <v>29720.650000000009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Phoenix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AZ: Sky Harbor COB Admin Building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40996.75</v>
      </c>
      <c r="D2" s="6">
        <f>SUM(D4:D89)</f>
        <v>47627.85</v>
      </c>
      <c r="E2" s="6">
        <f>C2-D2</f>
        <v>-6631.0999999999985</v>
      </c>
      <c r="F2" s="7">
        <f>IFERROR(E2/D2, 0)</f>
        <v>-0.13922736382179751</v>
      </c>
      <c r="G2" s="6">
        <f>SUM(G4:G89)</f>
        <v>54968.45</v>
      </c>
      <c r="H2" s="8">
        <f>C2-G2</f>
        <v>-13971.699999999997</v>
      </c>
      <c r="I2" s="7">
        <f>IFERROR(H2/G2, 0)</f>
        <v>-0.25417671409690462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40996.75</v>
      </c>
      <c r="D4" s="14">
        <v>47627.85</v>
      </c>
      <c r="E4" s="14">
        <f>IF(AND(ISNUMBER(C4),ISNUMBER(D4)), C4-D4, "")</f>
        <v>-6631.0999999999985</v>
      </c>
      <c r="F4" s="15">
        <f>IFERROR(E4/D4, "")</f>
        <v>-0.13922736382179751</v>
      </c>
      <c r="G4" s="16">
        <v>54968.45</v>
      </c>
      <c r="H4" s="16">
        <f>IF(AND(ISNUMBER(C4),ISNUMBER(G4)), C4-G4, "")</f>
        <v>-13971.699999999997</v>
      </c>
      <c r="I4" s="17">
        <f>IFERROR(H4/G4, "")</f>
        <v>-0.25417671409690462</v>
      </c>
      <c r="J4" s="18" t="s">
        <v>22</v>
      </c>
      <c r="K4" s="18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52699</v>
      </c>
      <c r="D2" s="6">
        <f>SUM(D4:D85)</f>
        <v>58562</v>
      </c>
      <c r="E2" s="6">
        <f>C2-D2</f>
        <v>-5863</v>
      </c>
      <c r="F2" s="7">
        <f>IFERROR(E2/D2, 0)</f>
        <v>-0.10011611625286021</v>
      </c>
      <c r="G2" s="6">
        <f>SUM(G4:G85)</f>
        <v>59097</v>
      </c>
      <c r="H2" s="8">
        <f>C2-G2</f>
        <v>-6398</v>
      </c>
      <c r="I2" s="7">
        <f>IFERROR(H2/G2, 0)</f>
        <v>-0.10826268676920994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52699</v>
      </c>
      <c r="D4" s="14">
        <v>58562</v>
      </c>
      <c r="E4" s="14">
        <f>IF(AND(ISNUMBER(C4),ISNUMBER(D4)), C4-D4, "")</f>
        <v>-5863</v>
      </c>
      <c r="F4" s="15">
        <f>IFERROR(E4/D4, "")</f>
        <v>-0.10011611625286021</v>
      </c>
      <c r="G4" s="16">
        <v>59097</v>
      </c>
      <c r="H4" s="16">
        <f>IF(AND(ISNUMBER(C4),ISNUMBER(G4)), C4-G4, "")</f>
        <v>-6398</v>
      </c>
      <c r="I4" s="17">
        <f>IFERROR(H4/G4, "")</f>
        <v>-0.10826268676920994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20" sqref="G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74430</v>
      </c>
      <c r="D2" s="6">
        <f>SUM(D4:D90)</f>
        <v>81918</v>
      </c>
      <c r="E2" s="6">
        <f>C2-D2</f>
        <v>-7488</v>
      </c>
      <c r="F2" s="7">
        <f>IFERROR(E2/D2, 0)</f>
        <v>-9.1408481652384091E-2</v>
      </c>
      <c r="G2" s="6">
        <f>SUM(G4:G90)</f>
        <v>76973</v>
      </c>
      <c r="H2" s="8">
        <f>C2-G2</f>
        <v>-2543</v>
      </c>
      <c r="I2" s="7">
        <f>IFERROR(H2/G2, 0)</f>
        <v>-3.3037558624452727E-2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74430</v>
      </c>
      <c r="D4" s="14">
        <v>81918</v>
      </c>
      <c r="E4" s="14">
        <f>IF(AND(ISNUMBER(C4),ISNUMBER(D4)), C4-D4, "")</f>
        <v>-7488</v>
      </c>
      <c r="F4" s="15">
        <f>IFERROR(E4/D4, "")</f>
        <v>-9.1408481652384091E-2</v>
      </c>
      <c r="G4" s="16">
        <v>76973</v>
      </c>
      <c r="H4" s="16">
        <f>IF(AND(ISNUMBER(C4),ISNUMBER(G4)), C4-G4, "")</f>
        <v>-2543</v>
      </c>
      <c r="I4" s="17">
        <f>IFERROR(H4/G4, "")</f>
        <v>-3.3037558624452727E-2</v>
      </c>
      <c r="J4" s="18" t="s">
        <v>28</v>
      </c>
      <c r="K4" s="18" t="s">
        <v>29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9" sqref="J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93414.5</v>
      </c>
      <c r="D2" s="6">
        <f>SUM(D4:D90)</f>
        <v>99616.09</v>
      </c>
      <c r="E2" s="6">
        <f>C2-D2</f>
        <v>-6201.5899999999965</v>
      </c>
      <c r="F2" s="7">
        <f>IFERROR(E2/D2, 0)</f>
        <v>-6.2254902797329197E-2</v>
      </c>
      <c r="G2" s="6">
        <f>SUM(G4:G90)</f>
        <v>85214.11</v>
      </c>
      <c r="H2" s="8">
        <f>C2-G2</f>
        <v>8200.39</v>
      </c>
      <c r="I2" s="7">
        <f>IFERROR(H2/G2, 0)</f>
        <v>9.6232771779227635E-2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93414.5</v>
      </c>
      <c r="D4" s="14">
        <v>99616.09</v>
      </c>
      <c r="E4" s="14">
        <f>IF(AND(ISNUMBER(C4),ISNUMBER(D4)), C4-D4, "")</f>
        <v>-6201.5899999999965</v>
      </c>
      <c r="F4" s="15">
        <f>IFERROR(E4/D4, "")</f>
        <v>-6.2254902797329197E-2</v>
      </c>
      <c r="G4" s="16">
        <v>85214.11</v>
      </c>
      <c r="H4" s="16">
        <f>IF(AND(ISNUMBER(C4),ISNUMBER(G4)), C4-G4, "")</f>
        <v>8200.39</v>
      </c>
      <c r="I4" s="17">
        <f>IFERROR(H4/G4, "")</f>
        <v>9.6232771779227635E-2</v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103245.75</v>
      </c>
      <c r="D2" s="6">
        <f>SUM(D4:D90)</f>
        <v>110829.9</v>
      </c>
      <c r="E2" s="6">
        <f>C2-D2</f>
        <v>-7584.1499999999942</v>
      </c>
      <c r="F2" s="7">
        <f>IFERROR(E2/D2, 0)</f>
        <v>-6.8430540855852026E-2</v>
      </c>
      <c r="G2" s="6">
        <f>SUM(G4:G90)</f>
        <v>90808.4</v>
      </c>
      <c r="H2" s="8">
        <f>C2-G2</f>
        <v>12437.350000000006</v>
      </c>
      <c r="I2" s="7">
        <f>IFERROR(H2/G2, 0)</f>
        <v>0.13696254972007002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3.1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103245.75</v>
      </c>
      <c r="D4" s="14">
        <v>110829.9</v>
      </c>
      <c r="E4" s="14">
        <f>IF(AND(ISNUMBER(C4),ISNUMBER(D4)), C4-D4, "")</f>
        <v>-7584.1499999999942</v>
      </c>
      <c r="F4" s="15">
        <f>IFERROR(E4/D4, "")</f>
        <v>-6.8430540855852026E-2</v>
      </c>
      <c r="G4" s="16">
        <v>90808.4</v>
      </c>
      <c r="H4" s="16">
        <f>IF(AND(ISNUMBER(C4),ISNUMBER(G4)), C4-G4, "")</f>
        <v>12437.350000000006</v>
      </c>
      <c r="I4" s="17">
        <f>IFERROR(H4/G4, "")</f>
        <v>0.13696254972007002</v>
      </c>
      <c r="J4" s="18" t="s">
        <v>36</v>
      </c>
      <c r="K4" s="18" t="s">
        <v>37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3" activePane="bottomLeft" state="frozen"/>
      <selection pane="bottomLeft" activeCell="J7" sqref="J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96699.5</v>
      </c>
      <c r="D2" s="6">
        <f>SUM(D4:D90)</f>
        <v>17314.89</v>
      </c>
      <c r="E2" s="6">
        <f>C2-D2</f>
        <v>79384.61</v>
      </c>
      <c r="F2" s="7">
        <f>IFERROR(E2/D2, 0)</f>
        <v>4.5847597068188133</v>
      </c>
      <c r="G2" s="6">
        <f>SUM(G4:G90)</f>
        <v>88518.79</v>
      </c>
      <c r="H2" s="8">
        <f>C2-G2</f>
        <v>8180.7100000000064</v>
      </c>
      <c r="I2" s="7">
        <f>IFERROR(H2/G2, 0)</f>
        <v>9.2417779321204083E-2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96699.5</v>
      </c>
      <c r="D4" s="14">
        <v>17314.89</v>
      </c>
      <c r="E4" s="14">
        <f>IF(AND(ISNUMBER(C4),ISNUMBER(D4)), C4-D4, "")</f>
        <v>79384.61</v>
      </c>
      <c r="F4" s="15">
        <f>IFERROR(E4/D4, "")</f>
        <v>4.5847597068188133</v>
      </c>
      <c r="G4" s="16">
        <v>88518.79</v>
      </c>
      <c r="H4" s="16">
        <f>IF(AND(ISNUMBER(C4),ISNUMBER(G4)), C4-G4, "")</f>
        <v>8180.7100000000064</v>
      </c>
      <c r="I4" s="17">
        <f>IFERROR(H4/G4, "")</f>
        <v>9.2417779321204083E-2</v>
      </c>
      <c r="J4" s="18" t="s">
        <v>40</v>
      </c>
      <c r="K4" s="18" t="s">
        <v>41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99428.75</v>
      </c>
      <c r="D2" s="6">
        <f>SUM(D4:D90)</f>
        <v>5103.6120000000001</v>
      </c>
      <c r="E2" s="6">
        <f>C2-D2</f>
        <v>94325.138000000006</v>
      </c>
      <c r="F2" s="7">
        <f>IFERROR(E2/D2, 0)</f>
        <v>18.482035468213493</v>
      </c>
      <c r="G2" s="6">
        <f>SUM(G4:G90)</f>
        <v>84572.4</v>
      </c>
      <c r="H2" s="8">
        <f>C2-G2</f>
        <v>14856.350000000006</v>
      </c>
      <c r="I2" s="7">
        <f>IFERROR(H2/G2, 0)</f>
        <v>0.17566428291026395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99428.75</v>
      </c>
      <c r="D4" s="14">
        <v>5103.6120000000001</v>
      </c>
      <c r="E4" s="14">
        <f>IF(AND(ISNUMBER(C4),ISNUMBER(D4)), C4-D4, "")</f>
        <v>94325.138000000006</v>
      </c>
      <c r="F4" s="15">
        <f>IFERROR(E4/D4, "")</f>
        <v>18.482035468213493</v>
      </c>
      <c r="G4" s="16">
        <v>84572.4</v>
      </c>
      <c r="H4" s="16">
        <f>IF(AND(ISNUMBER(C4),ISNUMBER(G4)), C4-G4, "")</f>
        <v>14856.350000000006</v>
      </c>
      <c r="I4" s="17">
        <f>IFERROR(H4/G4, "")</f>
        <v>0.17566428291026395</v>
      </c>
      <c r="J4" s="18" t="s">
        <v>44</v>
      </c>
      <c r="K4" s="18" t="s">
        <v>45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27" sqref="D2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89747.75</v>
      </c>
      <c r="D2" s="6">
        <f>SUM(D4:D30)</f>
        <v>2697.058</v>
      </c>
      <c r="E2" s="6">
        <f>C2-D2</f>
        <v>87050.691999999995</v>
      </c>
      <c r="F2" s="7">
        <f>IFERROR(E2/D2, 0)</f>
        <v>32.27616610395475</v>
      </c>
      <c r="G2" s="6">
        <f>SUM(G4:G30)</f>
        <v>79544.19</v>
      </c>
      <c r="H2" s="8">
        <f>C2-G2</f>
        <v>10203.559999999998</v>
      </c>
      <c r="I2" s="7">
        <f>IFERROR(H2/G2, 0)</f>
        <v>0.12827536492608696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89747.75</v>
      </c>
      <c r="D4" s="14">
        <v>2697.058</v>
      </c>
      <c r="E4" s="14">
        <f>IF(AND(ISNUMBER(C4),ISNUMBER(D4)), C4-D4, "")</f>
        <v>87050.691999999995</v>
      </c>
      <c r="F4" s="15">
        <f>IFERROR(E4/D4, "")</f>
        <v>32.27616610395475</v>
      </c>
      <c r="G4" s="16">
        <v>79544.19</v>
      </c>
      <c r="H4" s="16">
        <f>IF(AND(ISNUMBER(C4),ISNUMBER(G4)), C4-G4, "")</f>
        <v>10203.559999999998</v>
      </c>
      <c r="I4" s="17">
        <f>IFERROR(H4/G4, "")</f>
        <v>0.12827536492608696</v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3" sqref="F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48</v>
      </c>
      <c r="E1" s="44"/>
      <c r="F1" s="44"/>
      <c r="G1" s="42" t="s">
        <v>49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78152.25</v>
      </c>
      <c r="D2" s="6">
        <f>SUM(D4:D90)</f>
        <v>3964.4810000000002</v>
      </c>
      <c r="E2" s="6">
        <f>C2-D2</f>
        <v>74187.769</v>
      </c>
      <c r="F2" s="7">
        <f>IFERROR(E2/D2, 0)</f>
        <v>18.713109988419667</v>
      </c>
      <c r="G2" s="6">
        <f>SUM(G4:G90)</f>
        <v>73491.509999999995</v>
      </c>
      <c r="H2" s="8">
        <f>C2-G2</f>
        <v>4660.7400000000052</v>
      </c>
      <c r="I2" s="7">
        <f>IFERROR(H2/G2, 0)</f>
        <v>6.3418754084655568E-2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>
        <v>78152.25</v>
      </c>
      <c r="D4" s="14">
        <v>3964.4810000000002</v>
      </c>
      <c r="E4" s="14">
        <f>IF(AND(ISNUMBER(C4),ISNUMBER(D4)), C4-D4, "")</f>
        <v>74187.769</v>
      </c>
      <c r="F4" s="15">
        <f>IFERROR(E4/D4, "")</f>
        <v>18.713109988419667</v>
      </c>
      <c r="G4" s="16">
        <v>73491.509999999995</v>
      </c>
      <c r="H4" s="16">
        <f>IF(AND(ISNUMBER(C4),ISNUMBER(G4)), C4-G4, "")</f>
        <v>4660.7400000000052</v>
      </c>
      <c r="I4" s="17">
        <f>IFERROR(H4/G4, "")</f>
        <v>6.3418754084655568E-2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50</v>
      </c>
      <c r="E1" s="44"/>
      <c r="F1" s="44"/>
      <c r="G1" s="42" t="s">
        <v>51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52</v>
      </c>
      <c r="E1" s="44"/>
      <c r="F1" s="44"/>
      <c r="G1" s="42" t="s">
        <v>53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Phoenix</v>
      </c>
      <c r="B1" s="43"/>
      <c r="C1" s="43"/>
      <c r="D1" s="44" t="s">
        <v>54</v>
      </c>
      <c r="E1" s="44"/>
      <c r="F1" s="44"/>
      <c r="G1" s="42" t="s">
        <v>55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AZ: Sky Harbor COB Admin Building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C31" sqref="C3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t="s">
        <v>61</v>
      </c>
      <c r="B4" t="s">
        <v>62</v>
      </c>
      <c r="C4" s="4" t="s">
        <v>63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2024-10-10T11:31:26Z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