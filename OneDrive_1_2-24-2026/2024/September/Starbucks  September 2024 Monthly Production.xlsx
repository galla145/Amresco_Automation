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6" documentId="13_ncr:1_{D24C83D5-71EA-4F60-B424-1016C4E08D0B}" xr6:coauthVersionLast="47" xr6:coauthVersionMax="47" xr10:uidLastSave="{1D27E5B5-35BC-44D5-A78F-59E99E7EDEDA}"/>
  <bookViews>
    <workbookView xWindow="-98" yWindow="-98" windowWidth="21795" windowHeight="12975" tabRatio="866" firstSheet="13" activeTab="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9" l="1"/>
  <c r="I4" i="72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J2" i="33"/>
  <c r="E4" i="3"/>
  <c r="F4" i="3" s="1"/>
  <c r="H4" i="3"/>
  <c r="I4" i="3" s="1"/>
  <c r="E6" i="72"/>
  <c r="F6" i="72" s="1"/>
  <c r="H6" i="72"/>
  <c r="I6" i="72" s="1"/>
  <c r="G4" i="1"/>
  <c r="G4" i="34" s="1"/>
  <c r="G2" i="34" s="1"/>
  <c r="B4" i="34" a="1"/>
  <c r="B4" i="34" s="1"/>
  <c r="A4" i="34" a="1"/>
  <c r="A4" i="34" s="1"/>
  <c r="A1" i="34" a="1"/>
  <c r="A1" i="34" s="1"/>
  <c r="D4" i="30"/>
  <c r="D2" i="30" s="1"/>
  <c r="C4" i="30"/>
  <c r="E4" i="30" s="1"/>
  <c r="F4" i="30" s="1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I4" i="33"/>
  <c r="H4" i="33"/>
  <c r="E4" i="33"/>
  <c r="F4" i="33" s="1"/>
  <c r="G2" i="33"/>
  <c r="D2" i="33"/>
  <c r="C2" i="33"/>
  <c r="H2" i="33" s="1"/>
  <c r="I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E2" i="28" s="1"/>
  <c r="F2" i="28" s="1"/>
  <c r="C2" i="28"/>
  <c r="A1" i="28" a="1"/>
  <c r="A1" i="28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H2" i="20" s="1"/>
  <c r="I2" i="20" s="1"/>
  <c r="D2" i="20"/>
  <c r="C2" i="20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G2" i="72"/>
  <c r="D2" i="72"/>
  <c r="C2" i="72"/>
  <c r="J2" i="72" s="1"/>
  <c r="E4" i="72"/>
  <c r="F4" i="72" s="1"/>
  <c r="A1" i="72" a="1"/>
  <c r="A1" i="72" s="1"/>
  <c r="H2" i="27" l="1"/>
  <c r="I2" i="27" s="1"/>
  <c r="H2" i="19"/>
  <c r="I2" i="19" s="1"/>
  <c r="E2" i="20"/>
  <c r="F2" i="20" s="1"/>
  <c r="H2" i="21"/>
  <c r="I2" i="21" s="1"/>
  <c r="H2" i="4"/>
  <c r="I2" i="4" s="1"/>
  <c r="J2" i="4"/>
  <c r="J2" i="21"/>
  <c r="E4" i="18"/>
  <c r="F4" i="18" s="1"/>
  <c r="J2" i="20"/>
  <c r="J2" i="19"/>
  <c r="H2" i="26"/>
  <c r="I2" i="26" s="1"/>
  <c r="J2" i="26"/>
  <c r="J2" i="27"/>
  <c r="H2" i="28"/>
  <c r="I2" i="28" s="1"/>
  <c r="J2" i="28"/>
  <c r="J2" i="31"/>
  <c r="J2" i="32"/>
  <c r="D4" i="34"/>
  <c r="D2" i="34" s="1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I4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<sst xmlns="http://schemas.openxmlformats.org/spreadsheetml/2006/main" count="252" uniqueCount="65">
  <si>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</si>
  <si>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</si>
  <si>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</si>
  <si>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</si>
  <si>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</si>
  <si>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</si>
  <si>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</si>
  <si>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</si>
  <si>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</si>
  <si>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</si>
  <si>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</si>
  <si>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</si>
  <si>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</si>
  <si>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</si>
  <si>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</si>
  <si>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</si>
  <si>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</si>
  <si>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</si>
  <si>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</si>
  <si>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</si>
  <si>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</si>
  <si>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</si>
  <si>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</si>
  <si>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</si>
  <si>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</si>
  <si>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</si>
  <si>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 xml:space="preserve">1.Inverter 4 is offline since 03/20/2024 &amp; continued. </t>
  </si>
  <si>
    <t>1.SR082349</t>
  </si>
  <si>
    <t>April Actual v. Expected</t>
  </si>
  <si>
    <t>April Actual v. Forecasted</t>
  </si>
  <si>
    <t>1. Inverter 3 tripped offline at 12:45 PM on 04/24 and was offline for the whole month</t>
  </si>
  <si>
    <t>1. SR083785</t>
  </si>
  <si>
    <t>May Actual v. Expected</t>
  </si>
  <si>
    <t>May Actual v. Forecasted</t>
  </si>
  <si>
    <t xml:space="preserve">1. Inverter 3 was offline from 04/24 and was replaced on 05/17
2. Weather station reporting 0 w/m2 from 05/28 </t>
  </si>
  <si>
    <t>1. 	SR083785
2. SR086768</t>
  </si>
  <si>
    <t>June Actual v. Expected</t>
  </si>
  <si>
    <t>June Actual v. Forecasted</t>
  </si>
  <si>
    <t>1. Weather station reporting 0 w/m2 from 05/28 due to that expected value is low</t>
  </si>
  <si>
    <t>1. SR086768</t>
  </si>
  <si>
    <t>July Actual v. Expected</t>
  </si>
  <si>
    <t>July Actual v. Forecasted</t>
  </si>
  <si>
    <t>1. The meter is not fully capturing the production of the inverters from 07/06.</t>
  </si>
  <si>
    <t>1. SR087462</t>
  </si>
  <si>
    <t>August Actual v. Expected</t>
  </si>
  <si>
    <t>August Actual v. Forecasted</t>
  </si>
  <si>
    <t>1.  Inverter 5 offline from 08/11.
2. Inverter 7 is derating from 08/14.</t>
  </si>
  <si>
    <t>1. SR088914
2. SR089045</t>
  </si>
  <si>
    <t>September Actual v. Expected</t>
  </si>
  <si>
    <t>September Actual v. Forecasted</t>
  </si>
  <si>
    <t>1. Inverter 7 being RMA'd from 09/04.</t>
  </si>
  <si>
    <t>1. SR089045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</si>
  <si>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</si>
  <si>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</si>
  <si>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</si>
  <si>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</si>
  <si>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</si>
  <si>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</si>
  <si>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</si>
  <si>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Starbucks</t>
  </si>
  <si>
    <t>Site DAS Name</t>
  </si>
  <si>
    <t>Update</t>
  </si>
  <si>
    <t>DAS</t>
  </si>
  <si>
    <t>NV: Starbucks - Minden</t>
  </si>
  <si>
    <t>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</si>
</sst>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0"/>
  <sheetViews>
    <sheetView workbookViewId="0">
      <pane ySplit="2" topLeftCell="A3" activePane="bottomLeft" state="frozen"/>
      <selection pane="bottomLeft" activeCell="I7" sqref="I7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Starbucks</v>
      </c>
      <c r="B1" s="44"/>
      <c r="C1" s="44"/>
      <c r="D1" s="45" t="s">
        <v>0</v>
      </c>
      <c r="E1" s="45"/>
      <c r="F1" s="45"/>
      <c r="G1" s="43" t="s">
        <v>1</v>
      </c>
      <c r="H1" s="43"/>
      <c r="I1" s="43"/>
    </row>
    <row r="2" spans="1:9" ht="19.5" customHeight="1">
      <c r="A2" s="46" t="s">
        <v>2</v>
      </c>
      <c r="B2" s="46"/>
      <c r="C2" s="6">
        <f>SUM(C4:C88)</f>
        <v>1656344.13</v>
      </c>
      <c r="D2" s="6">
        <f>SUM(D4:D88)</f>
        <v>885962.88</v>
      </c>
      <c r="E2" s="6">
        <f>C2-D2</f>
        <v>770381.24999999988</v>
      </c>
      <c r="F2" s="7">
        <f>IFERROR(E2/D2, 0)</f>
        <v>0.86954122728031213</v>
      </c>
      <c r="G2" s="6">
        <f>SUM(G4:G88)</f>
        <v>1146325.2</v>
      </c>
      <c r="H2" s="8">
        <f>C2-G2</f>
        <v>510018.92999999993</v>
      </c>
      <c r="I2" s="7">
        <f>IFERROR(H2/G2, 0)</f>
        <v>0.44491644255923185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">Sites[Site]</f>
        <v>NV: Starbucks - Minden</v>
      </c>
      <c r="B4" s="10" t="str" cm="1">
        <f t="array" ref="B4">Sites[State]</f>
        <v>NV</v>
      </c>
      <c r="C4" s="26">
        <f>SUM('1st Qtr'!C4, '2nd Qtr'!C4, '3rd Qtr'!C4, '4th Qtr'!C4)</f>
        <v>1656344.13</v>
      </c>
      <c r="D4" s="14">
        <f>SUM('1st Qtr'!D4, '2nd Qtr'!D4, '3rd Qtr'!D4, '4th Qtr'!D4)</f>
        <v>885962.88</v>
      </c>
      <c r="E4" s="14">
        <f>IF(AND(ISNUMBER(C4),ISNUMBER(D4)), C4-D4, "")</f>
        <v>770381.24999999988</v>
      </c>
      <c r="F4" s="15">
        <f>IFERROR(E4/D4, 0)</f>
        <v>0.86954122728031213</v>
      </c>
      <c r="G4" s="16">
        <f>SUM('1st Qtr'!G4,'2nd Qtr'!G4,'3rd Qtr'!G4,'4th Qtr'!G4)</f>
        <v>1146325.2</v>
      </c>
      <c r="H4" s="16">
        <f>SUM('1st Qtr'!H4, '2nd Qtr'!H4, '3rd Qtr'!H4, '4th Qtr'!H4)</f>
        <v>-287015.78999999992</v>
      </c>
      <c r="I4" s="17">
        <f>IFERROR(H4/G4, 0)</f>
        <v>-0.2503790285688563</v>
      </c>
    </row>
    <row r="5" spans="1:9" ht="13.15">
      <c r="A5" s="23"/>
      <c r="B5" s="23"/>
      <c r="C5" s="23"/>
      <c r="D5" s="23"/>
      <c r="E5" s="23"/>
      <c r="F5" s="23"/>
      <c r="G5" s="23"/>
      <c r="H5" s="23"/>
      <c r="I5" s="23"/>
    </row>
    <row r="6" spans="1:9" ht="12.75" customHeight="1">
      <c r="A6" s="23"/>
      <c r="B6" s="23"/>
      <c r="C6" s="23"/>
      <c r="D6" s="23"/>
      <c r="E6" s="23"/>
      <c r="F6" s="23"/>
      <c r="G6" s="23"/>
      <c r="H6" s="23"/>
      <c r="I6" s="23"/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8 I4:I88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0"/>
  <sheetViews>
    <sheetView workbookViewId="0">
      <pane ySplit="2" topLeftCell="A3" activePane="bottomLeft" state="frozen"/>
      <selection pane="bottomLeft" activeCell="I5" sqref="I5"/>
      <selection activeCell="E22" sqref="E2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Starbucks</v>
      </c>
      <c r="B1" s="44"/>
      <c r="C1" s="44"/>
      <c r="D1" s="45" t="s">
        <v>10</v>
      </c>
      <c r="E1" s="45"/>
      <c r="F1" s="45"/>
      <c r="G1" s="43" t="s">
        <v>11</v>
      </c>
      <c r="H1" s="43"/>
      <c r="I1" s="43"/>
    </row>
    <row r="2" spans="1:9" ht="19.5" customHeight="1">
      <c r="A2" s="46" t="s">
        <v>2</v>
      </c>
      <c r="B2" s="46"/>
      <c r="C2" s="6">
        <f>SUM(C4:C88)</f>
        <v>377896.88</v>
      </c>
      <c r="D2" s="6">
        <f>SUM(D4:D88)</f>
        <v>397843.58</v>
      </c>
      <c r="E2" s="6">
        <f>C2-D2</f>
        <v>-19946.700000000012</v>
      </c>
      <c r="F2" s="7">
        <f>IFERROR(E2/D2, 0)</f>
        <v>-5.0137041296481423E-2</v>
      </c>
      <c r="G2" s="6">
        <f>SUM(G4:G88)</f>
        <v>339538</v>
      </c>
      <c r="H2" s="8">
        <f>C2-G2</f>
        <v>38358.880000000005</v>
      </c>
      <c r="I2" s="7">
        <f>IFERROR(H2/G2, 0)</f>
        <v>0.11297374667931132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">Sites[Site]</f>
        <v>NV: Starbucks - Minden</v>
      </c>
      <c r="B4" s="10" t="str" cm="1">
        <f t="array" ref="B4">Sites[State]</f>
        <v>NV</v>
      </c>
      <c r="C4" s="26">
        <f>SUM(Jan!C4, Feb!C4, Mar!C4)</f>
        <v>377896.88</v>
      </c>
      <c r="D4" s="14">
        <f>SUM(Jan!D4, Feb!D4, Mar!D4)</f>
        <v>397843.58</v>
      </c>
      <c r="E4" s="14">
        <f>IF(AND(ISNUMBER(C4),ISNUMBER(D4)), C4-D4, "")</f>
        <v>-19946.700000000012</v>
      </c>
      <c r="F4" s="15">
        <f>IFERROR(E4/D4, "")</f>
        <v>-5.0137041296481423E-2</v>
      </c>
      <c r="G4" s="16">
        <f>SUM(Jan!G4, Feb!G4, Mar!G4)</f>
        <v>339538</v>
      </c>
      <c r="H4" s="16">
        <f>SUM(Jan!H4, Feb!H4, Mar!H4)</f>
        <v>38358.880000000005</v>
      </c>
      <c r="I4" s="17">
        <f>IFERROR(H4/G4, 0)</f>
        <v>0.11297374667931132</v>
      </c>
    </row>
    <row r="5" spans="1:9" ht="13.15">
      <c r="A5" s="23"/>
      <c r="B5" s="23"/>
      <c r="C5" s="23"/>
      <c r="D5" s="23"/>
      <c r="E5" s="23"/>
      <c r="F5" s="23"/>
      <c r="G5" s="23"/>
      <c r="H5" s="23"/>
      <c r="I5" s="23"/>
    </row>
    <row r="6" spans="1:9" ht="12.75" customHeight="1">
      <c r="A6" s="23"/>
      <c r="B6" s="23"/>
      <c r="C6" s="23"/>
      <c r="D6" s="23"/>
      <c r="E6" s="23"/>
      <c r="F6" s="23"/>
      <c r="G6" s="23"/>
      <c r="H6" s="23"/>
      <c r="I6" s="23"/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8 I4:I8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1"/>
  <sheetViews>
    <sheetView workbookViewId="0">
      <pane ySplit="2" topLeftCell="A3" activePane="bottomLeft" state="frozen"/>
      <selection pane="bottomLeft" activeCell="D33" sqref="D33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Starbucks</v>
      </c>
      <c r="B1" s="44"/>
      <c r="C1" s="44"/>
      <c r="D1" s="45" t="s">
        <v>12</v>
      </c>
      <c r="E1" s="45"/>
      <c r="F1" s="45"/>
      <c r="G1" s="43" t="s">
        <v>13</v>
      </c>
      <c r="H1" s="43"/>
      <c r="I1" s="43"/>
    </row>
    <row r="2" spans="1:9" ht="19.5" customHeight="1">
      <c r="A2" s="46" t="s">
        <v>2</v>
      </c>
      <c r="B2" s="46"/>
      <c r="C2" s="6">
        <f>SUM(C4:C89)</f>
        <v>776333</v>
      </c>
      <c r="D2" s="6">
        <f>SUM(D4:D89)</f>
        <v>488119.3</v>
      </c>
      <c r="E2" s="6">
        <f>C2-D2</f>
        <v>288213.7</v>
      </c>
      <c r="F2" s="7">
        <f>IFERROR(E2/D2, 0)</f>
        <v>0.5904574967635986</v>
      </c>
      <c r="G2" s="6">
        <f>SUM(G4:G89)</f>
        <v>0</v>
      </c>
      <c r="H2" s="8">
        <f>C2-G2</f>
        <v>776333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">Sites[Site]</f>
        <v>NV: Starbucks - Minden</v>
      </c>
      <c r="B4" s="10" t="str" cm="1">
        <f t="array" ref="B4">Sites[State]</f>
        <v>NV</v>
      </c>
      <c r="C4" s="26">
        <f>SUM(Apr!C4, May!C4, Jun!C4)</f>
        <v>776333</v>
      </c>
      <c r="D4" s="14">
        <f>SUM(Apr!D4, May!D4, Jun!D4)</f>
        <v>488119.3</v>
      </c>
      <c r="E4" s="14">
        <f>IF(AND(ISNUMBER(C4),ISNUMBER(D4)), C4-D4, "")</f>
        <v>288213.7</v>
      </c>
      <c r="F4" s="15">
        <f>IFERROR(E4/D4, "")</f>
        <v>0.5904574967635986</v>
      </c>
      <c r="G4" s="16"/>
      <c r="H4" s="16">
        <f>SUM(Apr!H4, May!H4, Jun!H4)</f>
        <v>-20701.72</v>
      </c>
      <c r="I4" s="17" t="str">
        <f>IFERROR(H4/G4, "")</f>
        <v/>
      </c>
    </row>
    <row r="5" spans="1:9" ht="13.15">
      <c r="A5" s="23"/>
      <c r="B5" s="23"/>
      <c r="C5" s="23"/>
      <c r="D5" s="23"/>
      <c r="E5" s="23"/>
      <c r="F5" s="23"/>
      <c r="G5" s="23"/>
      <c r="H5" s="23"/>
      <c r="I5" s="23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9 I4:I8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2"/>
  <sheetViews>
    <sheetView tabSelected="1" workbookViewId="0">
      <pane ySplit="2" topLeftCell="A3" activePane="bottomLeft" state="frozen"/>
      <selection pane="bottomLeft" activeCell="H14" sqref="H1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Starbucks</v>
      </c>
      <c r="B1" s="44"/>
      <c r="C1" s="44"/>
      <c r="D1" s="45" t="s">
        <v>14</v>
      </c>
      <c r="E1" s="45"/>
      <c r="F1" s="45"/>
      <c r="G1" s="43" t="s">
        <v>15</v>
      </c>
      <c r="H1" s="43"/>
      <c r="I1" s="43"/>
    </row>
    <row r="2" spans="1:9" ht="19.5" customHeight="1">
      <c r="A2" s="46" t="s">
        <v>2</v>
      </c>
      <c r="B2" s="46"/>
      <c r="C2" s="6">
        <f>SUM(C4:C80)</f>
        <v>502114.25</v>
      </c>
      <c r="D2" s="6">
        <f>SUM(D4:D80)</f>
        <v>0</v>
      </c>
      <c r="E2" s="6">
        <f>C2-D2</f>
        <v>502114.25</v>
      </c>
      <c r="F2" s="7">
        <f>IFERROR(E2/D2, 0)</f>
        <v>0</v>
      </c>
      <c r="G2" s="6">
        <f>SUM(G4:G80)</f>
        <v>806787.2</v>
      </c>
      <c r="H2" s="8">
        <f>C2-G2</f>
        <v>-304672.94999999995</v>
      </c>
      <c r="I2" s="7">
        <f>IFERROR(H2/G2, 0)</f>
        <v>-0.37763731254040717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">Sites[Site]</f>
        <v>NV: Starbucks - Minden</v>
      </c>
      <c r="B4" s="10" t="str" cm="1">
        <f t="array" ref="B4">Sites[State]</f>
        <v>NV</v>
      </c>
      <c r="C4" s="26">
        <f>SUM(Jul!C4, Aug!C4, Sep!C4)</f>
        <v>502114.25</v>
      </c>
      <c r="D4" s="14">
        <f>SUM(Jul!D4, Aug!D4, Sep!D4)</f>
        <v>0</v>
      </c>
      <c r="E4" s="14">
        <f>IF(AND(ISNUMBER(C4),ISNUMBER(D4)), C4-D4, "")</f>
        <v>502114.25</v>
      </c>
      <c r="F4" s="15" t="str">
        <f>IFERROR(E4/D4, "")</f>
        <v/>
      </c>
      <c r="G4" s="16">
        <f>SUM(Jul!G4,Aug!G4,Sep!G4)</f>
        <v>806787.2</v>
      </c>
      <c r="H4" s="16">
        <f>SUM(Jul!H4, Aug!H4, Sep!H4)</f>
        <v>-304672.94999999995</v>
      </c>
      <c r="I4" s="17">
        <f>IFERROR(H4/G4, "")</f>
        <v>-0.37763731254040717</v>
      </c>
    </row>
    <row r="5" spans="1:9" ht="13.15">
      <c r="A5" s="23"/>
      <c r="B5" s="23"/>
      <c r="C5" s="23"/>
      <c r="D5" s="23"/>
      <c r="E5" s="23"/>
      <c r="F5" s="23"/>
      <c r="G5" s="23"/>
      <c r="H5" s="23"/>
      <c r="I5" s="23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15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15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15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15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15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15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15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1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</sheetData>
  <mergeCells count="4">
    <mergeCell ref="G1:I1"/>
    <mergeCell ref="A1:C1"/>
    <mergeCell ref="D1:F1"/>
    <mergeCell ref="A2:B2"/>
  </mergeCells>
  <conditionalFormatting sqref="F2 I2 F4:F80 I4:I80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A5" sqref="A5:XFD15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Starbucks</v>
      </c>
      <c r="B1" s="44"/>
      <c r="C1" s="44"/>
      <c r="D1" s="45" t="s">
        <v>16</v>
      </c>
      <c r="E1" s="45"/>
      <c r="F1" s="45"/>
      <c r="G1" s="43" t="s">
        <v>17</v>
      </c>
      <c r="H1" s="43"/>
      <c r="I1" s="43"/>
    </row>
    <row r="2" spans="1:9" ht="19.5" customHeight="1">
      <c r="A2" s="46" t="s">
        <v>2</v>
      </c>
      <c r="B2" s="46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">Sites[Site]</f>
        <v>NV: Starbucks - Minden</v>
      </c>
      <c r="B4" s="10" t="str" cm="1">
        <f t="array" ref="B4">Sites[State]</f>
        <v>NV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3.15">
      <c r="A5" s="23"/>
      <c r="B5" s="23"/>
      <c r="C5" s="23"/>
      <c r="D5" s="23"/>
      <c r="E5" s="23"/>
      <c r="F5" s="23"/>
      <c r="G5" s="23"/>
      <c r="H5" s="23"/>
      <c r="I5" s="23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E13" sqref="E13"/>
      <selection activeCell="A6" sqref="A6:A1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Starbucks</v>
      </c>
      <c r="B1" s="44"/>
      <c r="C1" s="44"/>
      <c r="D1" s="45" t="s">
        <v>18</v>
      </c>
      <c r="E1" s="45"/>
      <c r="F1" s="45"/>
      <c r="G1" s="43" t="s">
        <v>19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SUM(C4:C89)</f>
        <v>89237.88</v>
      </c>
      <c r="D2" s="6">
        <f>SUM(D4:D89)</f>
        <v>92249.58</v>
      </c>
      <c r="E2" s="6">
        <f>C2-D2</f>
        <v>-3011.6999999999971</v>
      </c>
      <c r="F2" s="7">
        <f>IFERROR(E2/D2, 0)</f>
        <v>-3.2647303109672662E-2</v>
      </c>
      <c r="G2" s="6">
        <f>SUM(G4:G89)</f>
        <v>0</v>
      </c>
      <c r="H2" s="8">
        <f>C2-G2</f>
        <v>89237.88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42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NV: Starbucks - Minden</v>
      </c>
      <c r="B4" s="30" t="str" cm="1">
        <f t="array" ref="B4">Sites[State]</f>
        <v>NV</v>
      </c>
      <c r="C4" s="26">
        <v>89237.88</v>
      </c>
      <c r="D4" s="14">
        <v>92249.58</v>
      </c>
      <c r="E4" s="14">
        <f>IF(AND(ISNUMBER(C4),ISNUMBER(D4)), C4-D4, "")</f>
        <v>-3011.6999999999971</v>
      </c>
      <c r="F4" s="15">
        <f>IFERROR(E4/D4, "")</f>
        <v>-3.2647303109672662E-2</v>
      </c>
      <c r="G4" s="16">
        <v>0</v>
      </c>
      <c r="H4" s="16">
        <f>IF(AND(ISNUMBER(C4),ISNUMBER(G4)), C4-G4, "")</f>
        <v>89237.88</v>
      </c>
      <c r="I4" s="17">
        <f>IFERROR(H4/G4, 0)</f>
        <v>0</v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1"/>
  <sheetViews>
    <sheetView workbookViewId="0">
      <pane ySplit="2" topLeftCell="A3" activePane="bottomLeft" state="frozen"/>
      <selection pane="bottomLeft" activeCell="F20" sqref="F20"/>
      <selection activeCell="A6" sqref="A6:A1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Starbucks</v>
      </c>
      <c r="B1" s="44"/>
      <c r="C1" s="44"/>
      <c r="D1" s="45" t="s">
        <v>22</v>
      </c>
      <c r="E1" s="45"/>
      <c r="F1" s="45"/>
      <c r="G1" s="43" t="s">
        <v>23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SUM(C4:C89)</f>
        <v>122811</v>
      </c>
      <c r="D2" s="6">
        <f>SUM(D4:D89)</f>
        <v>123904</v>
      </c>
      <c r="E2" s="6">
        <f>C2-D2</f>
        <v>-1093</v>
      </c>
      <c r="F2" s="7">
        <f>IFERROR(E2/D2, 0)</f>
        <v>-8.8213455578512404E-3</v>
      </c>
      <c r="G2" s="6">
        <f>SUM(G4:G89)</f>
        <v>139658</v>
      </c>
      <c r="H2" s="8">
        <f>C2-G2</f>
        <v>-16847</v>
      </c>
      <c r="I2" s="7">
        <f>IFERROR(H2/G2, 0)</f>
        <v>-0.12063039711294735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NV: Starbucks - Minden</v>
      </c>
      <c r="B4" s="30" t="str" cm="1">
        <f t="array" ref="B4">Sites[State]</f>
        <v>NV</v>
      </c>
      <c r="C4" s="26">
        <v>122811</v>
      </c>
      <c r="D4" s="14">
        <v>123904</v>
      </c>
      <c r="E4" s="14">
        <f>IF(AND(ISNUMBER(C4),ISNUMBER(D4)), C4-D4, "")</f>
        <v>-1093</v>
      </c>
      <c r="F4" s="15">
        <f>IFERROR(E4/D4, "")</f>
        <v>-8.8213455578512404E-3</v>
      </c>
      <c r="G4" s="16">
        <v>139658</v>
      </c>
      <c r="H4" s="16">
        <f>IF(AND(ISNUMBER(C4),ISNUMBER(G4)), C4-G4, "")</f>
        <v>-16847</v>
      </c>
      <c r="I4" s="17">
        <f>IFERROR(H4/G4, "")</f>
        <v>-0.12063039711294735</v>
      </c>
      <c r="J4" s="18"/>
      <c r="K4" s="18"/>
    </row>
    <row r="5" spans="1:11" ht="14.2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3.9"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G1:I1"/>
    <mergeCell ref="A1:C1"/>
    <mergeCell ref="D1:F1"/>
    <mergeCell ref="A2:B2"/>
  </mergeCells>
  <conditionalFormatting sqref="F2 I2 F4:F89 I4:I8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3" activePane="bottomLeft" state="frozen"/>
      <selection pane="bottomLeft" activeCell="J4" sqref="J4:K4"/>
      <selection activeCell="A6" sqref="A6:A1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Starbucks</v>
      </c>
      <c r="B1" s="44"/>
      <c r="C1" s="44"/>
      <c r="D1" s="45" t="s">
        <v>24</v>
      </c>
      <c r="E1" s="45"/>
      <c r="F1" s="45"/>
      <c r="G1" s="43" t="s">
        <v>25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165848</v>
      </c>
      <c r="D2" s="6">
        <f>SUM(D4:D90)</f>
        <v>181690</v>
      </c>
      <c r="E2" s="6">
        <f>C2-D2</f>
        <v>-15842</v>
      </c>
      <c r="F2" s="7">
        <f>IFERROR(E2/D2, 0)</f>
        <v>-8.7192470691837748E-2</v>
      </c>
      <c r="G2" s="6">
        <f>SUM(G4:G90)</f>
        <v>199880</v>
      </c>
      <c r="H2" s="8">
        <f>C2-G2</f>
        <v>-34032</v>
      </c>
      <c r="I2" s="7">
        <f>IFERROR(H2/G2, 0)</f>
        <v>-0.17026215729437663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NV: Starbucks - Minden</v>
      </c>
      <c r="B4" s="30" t="str" cm="1">
        <f t="array" ref="B4">Sites[State]</f>
        <v>NV</v>
      </c>
      <c r="C4" s="26">
        <v>165848</v>
      </c>
      <c r="D4" s="14">
        <v>181690</v>
      </c>
      <c r="E4" s="14">
        <f>IF(AND(ISNUMBER(C4),ISNUMBER(D4)), C4-D4, "")</f>
        <v>-15842</v>
      </c>
      <c r="F4" s="15">
        <f>IFERROR(E4/D4, "")</f>
        <v>-8.7192470691837748E-2</v>
      </c>
      <c r="G4" s="16">
        <v>199880</v>
      </c>
      <c r="H4" s="16">
        <f>IF(AND(ISNUMBER(C4),ISNUMBER(G4)), C4-G4, "")</f>
        <v>-34032</v>
      </c>
      <c r="I4" s="17">
        <f>IFERROR(H4/G4, "")</f>
        <v>-0.17026215729437663</v>
      </c>
      <c r="J4" s="18" t="s">
        <v>26</v>
      </c>
      <c r="K4" s="18" t="s">
        <v>27</v>
      </c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workbookViewId="0">
      <pane ySplit="2" topLeftCell="A3" activePane="bottomLeft" state="frozen"/>
      <selection pane="bottomLeft" activeCell="H16" sqref="H16"/>
      <selection activeCell="A6" sqref="A6:A1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Starbucks</v>
      </c>
      <c r="B1" s="44"/>
      <c r="C1" s="44"/>
      <c r="D1" s="45" t="s">
        <v>28</v>
      </c>
      <c r="E1" s="45"/>
      <c r="F1" s="45"/>
      <c r="G1" s="43" t="s">
        <v>29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218040.74</v>
      </c>
      <c r="D2" s="6">
        <f>SUM(D4:D90)</f>
        <v>245902.51</v>
      </c>
      <c r="E2" s="6">
        <f>C2-D2</f>
        <v>-27861.770000000019</v>
      </c>
      <c r="F2" s="7">
        <f>IFERROR(E2/D2, 0)</f>
        <v>-0.11330413016117655</v>
      </c>
      <c r="G2" s="6">
        <f>SUM(G4:G90)</f>
        <v>235942.91</v>
      </c>
      <c r="H2" s="8">
        <f>C2-G2</f>
        <v>-17902.170000000013</v>
      </c>
      <c r="I2" s="7">
        <f>IFERROR(H2/G2, 0)</f>
        <v>-7.5875007221026525E-2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NV: Starbucks - Minden</v>
      </c>
      <c r="B4" s="30" t="str" cm="1">
        <f t="array" ref="B4">Sites[State]</f>
        <v>NV</v>
      </c>
      <c r="C4" s="26">
        <v>218040.74</v>
      </c>
      <c r="D4" s="14">
        <v>245902.51</v>
      </c>
      <c r="E4" s="14">
        <f>IF(AND(ISNUMBER(C4),ISNUMBER(D4)), C4-D4, "")</f>
        <v>-27861.770000000019</v>
      </c>
      <c r="F4" s="15">
        <f>IFERROR(E4/D4, "")</f>
        <v>-0.11330413016117655</v>
      </c>
      <c r="G4" s="16">
        <v>235942.91</v>
      </c>
      <c r="H4" s="16">
        <f>IF(AND(ISNUMBER(C4),ISNUMBER(G4)), C4-G4, "")</f>
        <v>-17902.170000000013</v>
      </c>
      <c r="I4" s="17">
        <f>IFERROR(H4/G4, "")</f>
        <v>-7.5875007221026525E-2</v>
      </c>
      <c r="J4" s="18" t="s">
        <v>30</v>
      </c>
      <c r="K4" s="18" t="s">
        <v>31</v>
      </c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topLeftCell="B1" workbookViewId="0">
      <pane ySplit="2" topLeftCell="A3" activePane="bottomLeft" state="frozen"/>
      <selection pane="bottomLeft" activeCell="J4" sqref="J4"/>
      <selection activeCell="A6" sqref="A6:A1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Starbucks</v>
      </c>
      <c r="B1" s="44"/>
      <c r="C1" s="44"/>
      <c r="D1" s="45" t="s">
        <v>32</v>
      </c>
      <c r="E1" s="45"/>
      <c r="F1" s="45"/>
      <c r="G1" s="43" t="s">
        <v>33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268728.5</v>
      </c>
      <c r="D2" s="6">
        <f>SUM(D4:D90)</f>
        <v>242173.18</v>
      </c>
      <c r="E2" s="6">
        <f>C2-D2</f>
        <v>26555.320000000007</v>
      </c>
      <c r="F2" s="7">
        <f>IFERROR(E2/D2, 0)</f>
        <v>0.10965425651180699</v>
      </c>
      <c r="G2" s="6">
        <f>SUM(G4:G90)</f>
        <v>271501.45</v>
      </c>
      <c r="H2" s="8">
        <f>C2-G2</f>
        <v>-2772.9500000000116</v>
      </c>
      <c r="I2" s="7">
        <f>IFERROR(H2/G2, 0)</f>
        <v>-1.0213389283924677E-2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28.5">
      <c r="A4" s="33" t="str" cm="1">
        <f t="array" ref="A4">Sites[Site]</f>
        <v>NV: Starbucks - Minden</v>
      </c>
      <c r="B4" s="30" t="str" cm="1">
        <f t="array" ref="B4">Sites[State]</f>
        <v>NV</v>
      </c>
      <c r="C4" s="26">
        <v>268728.5</v>
      </c>
      <c r="D4" s="14">
        <v>242173.18</v>
      </c>
      <c r="E4" s="14">
        <f>IF(AND(ISNUMBER(C4),ISNUMBER(D4)), C4-D4, "")</f>
        <v>26555.320000000007</v>
      </c>
      <c r="F4" s="15">
        <f>IFERROR(E4/D4, "")</f>
        <v>0.10965425651180699</v>
      </c>
      <c r="G4" s="16">
        <v>271501.45</v>
      </c>
      <c r="H4" s="16">
        <f>IF(AND(ISNUMBER(C4),ISNUMBER(G4)), C4-G4, "")</f>
        <v>-2772.9500000000116</v>
      </c>
      <c r="I4" s="17">
        <f>IFERROR(H4/G4, "")</f>
        <v>-1.0213389283924677E-2</v>
      </c>
      <c r="J4" s="18" t="s">
        <v>34</v>
      </c>
      <c r="K4" s="18" t="s">
        <v>35</v>
      </c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zoomScale="80" zoomScaleNormal="80" workbookViewId="0">
      <pane ySplit="2" topLeftCell="A3" activePane="bottomLeft" state="frozen"/>
      <selection pane="bottomLeft" activeCell="D14" sqref="D14"/>
      <selection activeCell="A6" sqref="A6:A1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Starbucks</v>
      </c>
      <c r="B1" s="44"/>
      <c r="C1" s="44"/>
      <c r="D1" s="45" t="s">
        <v>36</v>
      </c>
      <c r="E1" s="45"/>
      <c r="F1" s="45"/>
      <c r="G1" s="43" t="s">
        <v>37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289563.76</v>
      </c>
      <c r="D2" s="6">
        <f>SUM(D4:D90)</f>
        <v>43.61</v>
      </c>
      <c r="E2" s="6">
        <f>C2-D2</f>
        <v>289520.15000000002</v>
      </c>
      <c r="F2" s="7">
        <f>IFERROR(E2/D2, 0)</f>
        <v>6638.8477413437295</v>
      </c>
      <c r="G2" s="6">
        <f>SUM(G4:G90)</f>
        <v>289590.36</v>
      </c>
      <c r="H2" s="8">
        <f>C2-G2</f>
        <v>-26.599999999976717</v>
      </c>
      <c r="I2" s="7">
        <f>IFERROR(H2/G2, 0)</f>
        <v>-9.1853886296410967E-5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NV: Starbucks - Minden</v>
      </c>
      <c r="B4" s="30" t="str" cm="1">
        <f t="array" ref="B4">Sites[State]</f>
        <v>NV</v>
      </c>
      <c r="C4" s="26">
        <v>289563.76</v>
      </c>
      <c r="D4" s="14">
        <v>43.61</v>
      </c>
      <c r="E4" s="14">
        <f>IF(AND(ISNUMBER(C4),ISNUMBER(D4)), C4-D4, "")</f>
        <v>289520.15000000002</v>
      </c>
      <c r="F4" s="15">
        <f>IFERROR(E4/D4, "")</f>
        <v>6638.8477413437295</v>
      </c>
      <c r="G4" s="16">
        <v>289590.36</v>
      </c>
      <c r="H4" s="16">
        <f>IF(AND(ISNUMBER(C4),ISNUMBER(G4)), C4-G4, "")</f>
        <v>-26.599999999976717</v>
      </c>
      <c r="I4" s="17">
        <f>IFERROR(H4/G4, "")</f>
        <v>-9.1853886296410967E-5</v>
      </c>
      <c r="J4" s="18" t="s">
        <v>38</v>
      </c>
      <c r="K4" s="18" t="s">
        <v>39</v>
      </c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K4" sqref="K4"/>
      <selection activeCell="A6" sqref="A6:A1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Starbucks</v>
      </c>
      <c r="B1" s="44"/>
      <c r="C1" s="44"/>
      <c r="D1" s="45" t="s">
        <v>40</v>
      </c>
      <c r="E1" s="45"/>
      <c r="F1" s="45"/>
      <c r="G1" s="43" t="s">
        <v>41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219598.62</v>
      </c>
      <c r="D2" s="6">
        <f>SUM(D4:D90)</f>
        <v>0</v>
      </c>
      <c r="E2" s="6">
        <f>C2-D2</f>
        <v>219598.62</v>
      </c>
      <c r="F2" s="7">
        <f>IFERROR(E2/D2, 0)</f>
        <v>0</v>
      </c>
      <c r="G2" s="6">
        <f>SUM(G4:G90)</f>
        <v>294644.09999999998</v>
      </c>
      <c r="H2" s="8">
        <f>C2-G2</f>
        <v>-75045.479999999981</v>
      </c>
      <c r="I2" s="7">
        <f>IFERROR(H2/G2, 0)</f>
        <v>-0.25469873654351127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NV: Starbucks - Minden</v>
      </c>
      <c r="B4" s="30" t="str" cm="1">
        <f t="array" ref="B4">Sites[State]</f>
        <v>NV</v>
      </c>
      <c r="C4" s="26">
        <v>219598.62</v>
      </c>
      <c r="D4" s="14">
        <v>0</v>
      </c>
      <c r="E4" s="14">
        <f>IF(AND(ISNUMBER(C4),ISNUMBER(D4)), C4-D4, "")</f>
        <v>219598.62</v>
      </c>
      <c r="F4" s="15" t="str">
        <f>IFERROR(E4/D4, "")</f>
        <v/>
      </c>
      <c r="G4" s="16">
        <v>294644.09999999998</v>
      </c>
      <c r="H4" s="16">
        <f>IF(AND(ISNUMBER(C4),ISNUMBER(G4)), C4-G4, "")</f>
        <v>-75045.479999999981</v>
      </c>
      <c r="I4" s="17">
        <f>IFERROR(H4/G4, "")</f>
        <v>-0.25469873654351127</v>
      </c>
      <c r="J4" s="18" t="s">
        <v>42</v>
      </c>
      <c r="K4" s="18" t="s">
        <v>43</v>
      </c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2"/>
  <sheetViews>
    <sheetView workbookViewId="0">
      <pane ySplit="2" topLeftCell="F3" activePane="bottomLeft" state="frozen"/>
      <selection pane="bottomLeft" activeCell="K4" sqref="K4"/>
      <selection activeCell="A6" sqref="A6:A1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Starbucks</v>
      </c>
      <c r="B1" s="44"/>
      <c r="C1" s="44"/>
      <c r="D1" s="45" t="s">
        <v>44</v>
      </c>
      <c r="E1" s="45"/>
      <c r="F1" s="45"/>
      <c r="G1" s="43" t="s">
        <v>45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162441.88</v>
      </c>
      <c r="D2" s="6">
        <f>SUM(D4:D90)</f>
        <v>0</v>
      </c>
      <c r="E2" s="6">
        <f>C2-D2</f>
        <v>162441.88</v>
      </c>
      <c r="F2" s="7">
        <f>IFERROR(E2/D2, 0)</f>
        <v>0</v>
      </c>
      <c r="G2" s="6">
        <f>SUM(G4:G90)</f>
        <v>282240.89</v>
      </c>
      <c r="H2" s="8">
        <f>C2-G2</f>
        <v>-119799.01000000001</v>
      </c>
      <c r="I2" s="7">
        <f>IFERROR(H2/G2, 0)</f>
        <v>-0.42445660513613037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30" customHeight="1">
      <c r="A4" s="33" t="str" cm="1">
        <f t="array" ref="A4">Sites[Site]</f>
        <v>NV: Starbucks - Minden</v>
      </c>
      <c r="B4" s="30" t="str" cm="1">
        <f t="array" ref="B4">Sites[State]</f>
        <v>NV</v>
      </c>
      <c r="C4" s="26">
        <v>162441.88</v>
      </c>
      <c r="D4" s="14">
        <v>0</v>
      </c>
      <c r="E4" s="14">
        <f>IF(AND(ISNUMBER(C4),ISNUMBER(D4)), C4-D4, "")</f>
        <v>162441.88</v>
      </c>
      <c r="F4" s="15" t="str">
        <f>IFERROR(E4/D4, "")</f>
        <v/>
      </c>
      <c r="G4" s="16">
        <v>282240.89</v>
      </c>
      <c r="H4" s="16">
        <f>IF(AND(ISNUMBER(C4),ISNUMBER(G4)), C4-G4, "")</f>
        <v>-119799.01000000001</v>
      </c>
      <c r="I4" s="17">
        <f>IFERROR(H4/G4, "")</f>
        <v>-0.42445660513613037</v>
      </c>
      <c r="J4" s="18" t="s">
        <v>46</v>
      </c>
      <c r="K4" s="18" t="s">
        <v>47</v>
      </c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K4" sqref="K4"/>
      <selection activeCell="A6" sqref="A6:A1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Starbucks</v>
      </c>
      <c r="B1" s="44"/>
      <c r="C1" s="44"/>
      <c r="D1" s="45" t="s">
        <v>48</v>
      </c>
      <c r="E1" s="45"/>
      <c r="F1" s="45"/>
      <c r="G1" s="43" t="s">
        <v>49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120073.75</v>
      </c>
      <c r="D2" s="6">
        <f>SUM(D4:D90)</f>
        <v>0</v>
      </c>
      <c r="E2" s="6">
        <f>C2-D2</f>
        <v>120073.75</v>
      </c>
      <c r="F2" s="7">
        <f>IFERROR(E2/D2, 0)</f>
        <v>0</v>
      </c>
      <c r="G2" s="6">
        <f>SUM(G4:G90)</f>
        <v>229902.21</v>
      </c>
      <c r="H2" s="8">
        <f>C2-G2</f>
        <v>-109828.45999999999</v>
      </c>
      <c r="I2" s="7">
        <f>IFERROR(H2/G2, 0)</f>
        <v>-0.47771815677630936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NV: Starbucks - Minden</v>
      </c>
      <c r="B4" s="30" t="str" cm="1">
        <f t="array" ref="B4">Sites[State]</f>
        <v>NV</v>
      </c>
      <c r="C4" s="26">
        <v>120073.75</v>
      </c>
      <c r="D4" s="14">
        <v>0</v>
      </c>
      <c r="E4" s="14">
        <f>IF(AND(ISNUMBER(C4),ISNUMBER(D4)), C4-D4, "")</f>
        <v>120073.75</v>
      </c>
      <c r="F4" s="15" t="str">
        <f>IFERROR(E4/D4, "")</f>
        <v/>
      </c>
      <c r="G4" s="16">
        <v>229902.21</v>
      </c>
      <c r="H4" s="16">
        <f>IF(AND(ISNUMBER(C4),ISNUMBER(G4)), C4-G4, "")</f>
        <v>-109828.45999999999</v>
      </c>
      <c r="I4" s="17">
        <f>IFERROR(H4/G4, "")</f>
        <v>-0.47771815677630936</v>
      </c>
      <c r="J4" s="18" t="s">
        <v>50</v>
      </c>
      <c r="K4" s="18" t="s">
        <v>51</v>
      </c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A5" sqref="A5:XFD14"/>
      <selection activeCell="A6" sqref="A6:A1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Starbucks</v>
      </c>
      <c r="B1" s="44"/>
      <c r="C1" s="44"/>
      <c r="D1" s="45" t="s">
        <v>52</v>
      </c>
      <c r="E1" s="45"/>
      <c r="F1" s="45"/>
      <c r="G1" s="43" t="s">
        <v>53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NV: Starbucks - Minden</v>
      </c>
      <c r="B4" s="30" t="str" cm="1">
        <f t="array" ref="B4">Sites[State]</f>
        <v>NV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A10" sqref="A10"/>
      <selection activeCell="A6" sqref="A6:A1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Starbucks</v>
      </c>
      <c r="B1" s="44"/>
      <c r="C1" s="44"/>
      <c r="D1" s="45" t="s">
        <v>54</v>
      </c>
      <c r="E1" s="45"/>
      <c r="F1" s="45"/>
      <c r="G1" s="43" t="s">
        <v>55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NV: Starbucks - Minden</v>
      </c>
      <c r="B4" s="30" t="str" cm="1">
        <f t="array" ref="B4">Sites[State]</f>
        <v>NV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pane="bottomLeft" activeCell="A5" sqref="A5:XFD14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Starbucks</v>
      </c>
      <c r="B1" s="44"/>
      <c r="C1" s="44"/>
      <c r="D1" s="45" t="s">
        <v>56</v>
      </c>
      <c r="E1" s="45"/>
      <c r="F1" s="45"/>
      <c r="G1" s="43" t="s">
        <v>57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NV: Starbucks - Minden</v>
      </c>
      <c r="B4" s="30" t="str" cm="1">
        <f t="array" ref="B4">Sites[State]</f>
        <v>NV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A10" sqref="A10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58</v>
      </c>
      <c r="B1" s="36" t="s">
        <v>59</v>
      </c>
    </row>
    <row r="3" spans="1:7">
      <c r="A3" t="s">
        <v>60</v>
      </c>
      <c r="B3" t="s">
        <v>3</v>
      </c>
      <c r="C3" t="s">
        <v>4</v>
      </c>
      <c r="D3" t="s">
        <v>61</v>
      </c>
      <c r="E3" s="2" t="s">
        <v>62</v>
      </c>
    </row>
    <row r="4" spans="1:7" ht="14.25">
      <c r="A4" t="s">
        <v>63</v>
      </c>
      <c r="B4" t="s">
        <v>63</v>
      </c>
      <c r="C4" s="4" t="s">
        <v>64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3.xml>��
</file>

<file path=customXml/item14.xml>��
</file>

<file path=customXml/item15.xml>��
</file>

<file path=customXml/item16.xml>��
</file>

<file path=customXml/item1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0389C43E-394D-44C0-87DC-4780FCFCFB40}"/>
</file>

<file path=customXml/itemProps2.xml><?xml version="1.0" encoding="utf-8"?>
<ds:datastoreItem xmlns:ds="http://schemas.openxmlformats.org/officeDocument/2006/customXml" ds:itemID="{7946C510-7D04-49D8-9B25-EEC04582A1CA}"/>
</file>

<file path=customXml/itemProps3.xml><?xml version="1.0" encoding="utf-8"?>
<ds:datastoreItem xmlns:ds="http://schemas.openxmlformats.org/officeDocument/2006/customXml" ds:itemID="{D3A7101F-9A85-4235-8B03-415370C100B2}"/>
</file>

<file path=customXml/itemProps4.xml><?xml version="1.0" encoding="utf-8"?>
<ds:datastoreItem xmlns:ds="http://schemas.openxmlformats.org/officeDocument/2006/customXml" ds:itemID="{BE26B669-A686-459C-A5E9-FEC3409C4C81}"/>
</file>

<file path=customXml/itemProps5.xml><?xml version="1.0" encoding="utf-8"?>
<ds:datastoreItem xmlns:ds="http://schemas.openxmlformats.org/officeDocument/2006/customXml" ds:itemID="{66B09F59-6532-46F8-924A-9A02417E070D}"/>
</file>

<file path=customXml/itemProps6.xml><?xml version="1.0" encoding="utf-8"?>
<ds:datastoreItem xmlns:ds="http://schemas.openxmlformats.org/officeDocument/2006/customXml" ds:itemID="{F12EFA50-0068-4A8C-85A0-F1B26389EBC3}"/>
</file>

<file path=customXml/itemProps7.xml><?xml version="1.0" encoding="utf-8"?>
<ds:datastoreItem xmlns:ds="http://schemas.openxmlformats.org/officeDocument/2006/customXml" ds:itemID="{2BC74AAC-D69B-4AF1-9649-B21EF3C1C463}"/>
</file>

<file path=customXml/itemProps8.xml><?xml version="1.0" encoding="utf-8"?>
<ds:datastoreItem xmlns:ds="http://schemas.openxmlformats.org/officeDocument/2006/customXml" ds:itemID="{078388C9-06F9-42F4-B857-EF76B5CAF1FD}"/>
</file>

<file path=customXml/itemProps9.xml><?xml version="1.0" encoding="utf-8"?>
<ds:datastoreItem xmlns:ds="http://schemas.openxmlformats.org/officeDocument/2006/customXml" ds:itemID="{BF5C6359-7763-4C37-8EAF-2BC4698CB285}"/>
</file>

<file path=customXml/itemProps10.xml><?xml version="1.0" encoding="utf-8"?>
<ds:datastoreItem xmlns:ds="http://schemas.openxmlformats.org/officeDocument/2006/customXml" ds:itemID="{F6B2B1A1-1C4B-4AC9-9A7D-7A102DD1C942}"/>
</file>

<file path=customXml/itemProps11.xml><?xml version="1.0" encoding="utf-8"?>
<ds:datastoreItem xmlns:ds="http://schemas.openxmlformats.org/officeDocument/2006/customXml" ds:itemID="{89CF5C07-45EB-4100-9AFB-2C6AF77FA787}"/>
</file>

<file path=customXml/itemProps12.xml><?xml version="1.0" encoding="utf-8"?>
<ds:datastoreItem xmlns:ds="http://schemas.openxmlformats.org/officeDocument/2006/customXml" ds:itemID="{C0BCDC1E-6052-4E48-9BAF-94A40814E7C2}"/>
</file>

<file path=customXml/itemProps13.xml><?xml version="1.0" encoding="utf-8"?>
<ds:datastoreItem xmlns:ds="http://schemas.openxmlformats.org/officeDocument/2006/customXml" ds:itemID="{CB52044A-5C0B-44A2-99D0-C1C315EC302D}"/>
</file>

<file path=customXml/itemProps14.xml><?xml version="1.0" encoding="utf-8"?>
<ds:datastoreItem xmlns:ds="http://schemas.openxmlformats.org/officeDocument/2006/customXml" ds:itemID="{98A113BB-8B7A-453C-8BD4-8EFC67FC2D3F}"/>
</file>

<file path=customXml/itemProps15.xml><?xml version="1.0" encoding="utf-8"?>
<ds:datastoreItem xmlns:ds="http://schemas.openxmlformats.org/officeDocument/2006/customXml" ds:itemID="{1954BBA4-0359-438C-B0EC-A756015F7C02}"/>
</file>

<file path=customXml/itemProps16.xml><?xml version="1.0" encoding="utf-8"?>
<ds:datastoreItem xmlns:ds="http://schemas.openxmlformats.org/officeDocument/2006/customXml" ds:itemID="{3AEAA9D8-2182-46BA-A58E-96C72DDA1C54}"/>
</file>

<file path=customXml/itemProps17.xml><?xml version="1.0" encoding="utf-8"?>
<ds:datastoreItem xmlns:ds="http://schemas.openxmlformats.org/officeDocument/2006/customXml" ds:itemID="{8D732231-4216-4543-A665-18A2886B0EB7}"/>
</file>

<file path=customXml/itemProps18.xml><?xml version="1.0" encoding="utf-8"?>
<ds:datastoreItem xmlns:ds="http://schemas.openxmlformats.org/officeDocument/2006/customXml" ds:itemID="{E3716282-BFD2-4ED2-BA47-BFA1123827F0}"/>
</file>

<file path=customXml/itemProps19.xml><?xml version="1.0" encoding="utf-8"?>
<ds:datastoreItem xmlns:ds="http://schemas.openxmlformats.org/officeDocument/2006/customXml" ds:itemID="{E20E8303-6A67-485C-B6F4-303542CC295C}"/>
</file>

<file path=customXml/itemProps20.xml><?xml version="1.0" encoding="utf-8"?>
<ds:datastoreItem xmlns:ds="http://schemas.openxmlformats.org/officeDocument/2006/customXml" ds:itemID="{14966E4F-347B-477B-B74C-9DAC054058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Guest User</cp:lastModifiedBy>
  <cp:revision/>
  <dcterms:created xsi:type="dcterms:W3CDTF">2021-01-01T16:39:53Z</dcterms:created>
  <dcterms:modified xsi:type="dcterms:W3CDTF">2024-10-10T11:42:32Z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