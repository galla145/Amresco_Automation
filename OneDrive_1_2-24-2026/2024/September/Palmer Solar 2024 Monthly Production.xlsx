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anushav_amgsol_com/Documents/Documents/"/>
    </mc:Choice>
  </mc:AlternateContent>
  <xr:revisionPtr revIDLastSave="24" documentId="8_{E8B45DED-0DE2-47C3-BF8C-1A92A9DD44D2}" xr6:coauthVersionLast="47" xr6:coauthVersionMax="47" xr10:uidLastSave="{AF12AD55-B0FC-4EAD-991F-F081966EC9F8}"/>
  <bookViews>
    <workbookView xWindow="-108" yWindow="-108" windowWidth="23256" windowHeight="13896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<sst xmlns="http://schemas.openxmlformats.org/spreadsheetml/2006/main" count="252" uniqueCount="63">
  <si>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</si>
  <si>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</si>
  <si>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</si>
  <si>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</si>
  <si>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</si>
  <si>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</si>
  <si>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</si>
  <si>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</si>
  <si>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</si>
  <si>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</si>
  <si>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</si>
  <si>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</si>
  <si>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</si>
  <si>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</si>
  <si>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</si>
  <si>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</si>
  <si>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</si>
  <si>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</si>
  <si>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</si>
  <si>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</si>
  <si>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</si>
  <si>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</si>
  <si>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on 01/10 and reenerzied on 01/11 at 8:00 AM</t>
  </si>
  <si>
    <t>1. SR080119</t>
  </si>
  <si>
    <t>February Actual v. Expected</t>
  </si>
  <si>
    <t>February Actual v. Forecasted</t>
  </si>
  <si>
    <t>March Actual v. Expected</t>
  </si>
  <si>
    <t>March Actual v. Forecasted</t>
  </si>
  <si>
    <t>1. Inverter 1 derating 175 kW compared to its peers from 3/29 and still it is offline</t>
  </si>
  <si>
    <t>1. SR082921</t>
  </si>
  <si>
    <t>April Actual v. Expected</t>
  </si>
  <si>
    <t>April Actual v. Forecasted</t>
  </si>
  <si>
    <t>1. Inverter 1 derating 175 kW compared to its peers from 3/29. Offline for the month of April</t>
  </si>
  <si>
    <t>May Actual v. Expected</t>
  </si>
  <si>
    <t>May Actual v. Forecasted</t>
  </si>
  <si>
    <t>1. Inverter 1 derating 175 kW compared to its peers from 3/29. Offline for the month of May</t>
  </si>
  <si>
    <t>June Actual v. Expected</t>
  </si>
  <si>
    <t>June Actual v. Forecasted</t>
  </si>
  <si>
    <t>1. Inverter 3 derating approximately 120kW during peak hours on 06/16.
2. Again inverter 3 derated approximately 120kW during peak hours from 06/18.
3. Inverter 1 derating 175 kW compared to its peers from 3/29. Offline for the month of June</t>
  </si>
  <si>
    <t>1. SR086294
2. SR086363
3. SR082921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</si>
  <si>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</si>
  <si>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</si>
  <si>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</si>
  <si>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</si>
  <si>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</si>
  <si>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</si>
  <si>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1. Inverter 2 derated approximatly 200kW from 07/14 to 08/08, and on 08/08 technician replaced the Faulted cooling fan.
2. Site was offline due to utility outage on 07/19 and later technician reenergized
the recloser and site was back online at 10:45AM on 07/19.
3. Inverter 1 derated approximatly 100kW from 08/10 to 08/14. Technician replaced the DMGI 2 faulted capacitor on 08/14.</t>
  </si>
  <si>
    <t>1.SR087661
2.SR087917
3.SR088992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</si>
  <si>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</si>
  <si>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</si>
  <si>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</si>
  <si>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</si>
  <si>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</si>
  <si>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</si>
  <si>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</si>
  <si>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Palmer - 105 North Street</t>
  </si>
  <si>
    <t>Site DAS Name</t>
  </si>
  <si>
    <t>Update</t>
  </si>
  <si>
    <t>DAS</t>
  </si>
  <si>
    <t>MA - Palmer Solar</t>
  </si>
  <si>
    <t>MA</t>
  </si>
  <si>
    <t>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</si>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</sst>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0" fillId="48" borderId="1" xfId="0" applyFont="1" applyFill="1" applyBorder="1" applyAlignment="1">
      <alignment wrapText="1"/>
    </xf>
    <xf numFmtId="0" fontId="30" fillId="48" borderId="13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MA: Palmer - 105 North Street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5">
        <f>SUM(C4:C79)</f>
        <v>2124745</v>
      </c>
      <c r="D2" s="5">
        <f>SUM(D4:D79)</f>
        <v>0</v>
      </c>
      <c r="E2" s="5">
        <f>C2-D2</f>
        <v>2124745</v>
      </c>
      <c r="F2" s="6">
        <f>IFERROR(E2/D2, 0)</f>
        <v>0</v>
      </c>
      <c r="G2" s="5">
        <f>SUM(G4:G79)</f>
        <v>0</v>
      </c>
      <c r="H2" s="7">
        <f>C2-G2</f>
        <v>2124745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Palmer - 105 North Street</v>
      </c>
      <c r="B4" s="9" t="str" cm="1">
        <f t="array" ref="B4">Sites[State]</f>
        <v>MA</v>
      </c>
      <c r="C4" s="23">
        <f>SUM('1st Qtr'!C4, '2nd Qtr'!C4, '3rd Qtr'!C4, '4th Qtr'!C4)</f>
        <v>2124745</v>
      </c>
      <c r="D4" s="12">
        <f>SUM('1st Qtr'!D4, '2nd Qtr'!D4, '3rd Qtr'!D4, '4th Qtr'!D4)</f>
        <v>0</v>
      </c>
      <c r="E4" s="12">
        <f>IF(AND(ISNUMBER(C4),ISNUMBER(D4)), C4-D4, "")</f>
        <v>2124745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2124745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MA: Palmer - 105 North Street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5">
        <f>SUM(C4:C79)</f>
        <v>561870</v>
      </c>
      <c r="D2" s="5">
        <f>SUM(D4:D79)</f>
        <v>0</v>
      </c>
      <c r="E2" s="5">
        <f>C2-D2</f>
        <v>561870</v>
      </c>
      <c r="F2" s="6">
        <f>IFERROR(E2/D2, 0)</f>
        <v>0</v>
      </c>
      <c r="G2" s="5">
        <f>SUM(G4:G79)</f>
        <v>0</v>
      </c>
      <c r="H2" s="7">
        <f>C2-G2</f>
        <v>561870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Palmer - 105 North Street</v>
      </c>
      <c r="B4" s="9" t="str" cm="1">
        <f t="array" ref="B4">Sites[State]</f>
        <v>MA</v>
      </c>
      <c r="C4" s="23">
        <f>SUM(Jan!C4, Feb!C4, Mar!C4)</f>
        <v>561870</v>
      </c>
      <c r="D4" s="12">
        <f>SUM(Jan!D4, Feb!D4, Mar!D4)</f>
        <v>0</v>
      </c>
      <c r="E4" s="12">
        <f>IF(AND(ISNUMBER(C4),ISNUMBER(D4)), C4-D4, "")</f>
        <v>561870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561870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9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MA: Palmer - 105 North Street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5">
        <f>SUM(C4:C79)</f>
        <v>697495</v>
      </c>
      <c r="D2" s="5">
        <f>SUM(D4:D79)</f>
        <v>0</v>
      </c>
      <c r="E2" s="5">
        <f>C2-D2</f>
        <v>697495</v>
      </c>
      <c r="F2" s="6">
        <f>IFERROR(E2/D2, 0)</f>
        <v>0</v>
      </c>
      <c r="G2" s="5">
        <f>SUM(G4:G79)</f>
        <v>0</v>
      </c>
      <c r="H2" s="7">
        <f>C2-G2</f>
        <v>697495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Palmer - 105 North Street</v>
      </c>
      <c r="B4" s="9" t="str" cm="1">
        <f t="array" ref="B4">Sites[State]</f>
        <v>MA</v>
      </c>
      <c r="C4" s="23">
        <f>SUM(Apr!C4, May!C4, Jun!C4)</f>
        <v>697495</v>
      </c>
      <c r="D4" s="12">
        <f>SUM(Apr!D4, May!D4, Jun!D4)</f>
        <v>0</v>
      </c>
      <c r="E4" s="12">
        <f>IF(AND(ISNUMBER(C4),ISNUMBER(D4)), C4-D4, "")</f>
        <v>697495</v>
      </c>
      <c r="F4" s="13" t="str">
        <f>IFERROR(E4/D4, "")</f>
        <v/>
      </c>
      <c r="G4" s="14">
        <f>SUM(Apr!G4,May!G4,Jun!G4)</f>
        <v>0</v>
      </c>
      <c r="H4" s="14">
        <f>SUM(Apr!H4, May!H4, Jun!H4)</f>
        <v>697495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MA: Palmer - 105 North Street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5">
        <f>SUM(C4:C79)</f>
        <v>865380</v>
      </c>
      <c r="D2" s="5">
        <f>SUM(D4:D79)</f>
        <v>0</v>
      </c>
      <c r="E2" s="5">
        <f>C2-D2</f>
        <v>865380</v>
      </c>
      <c r="F2" s="6">
        <f>IFERROR(E2/D2, 0)</f>
        <v>0</v>
      </c>
      <c r="G2" s="5">
        <f>SUM(G4:G79)</f>
        <v>0</v>
      </c>
      <c r="H2" s="7">
        <f>C2-G2</f>
        <v>865380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Palmer - 105 North Street</v>
      </c>
      <c r="B4" s="9" t="str" cm="1">
        <f t="array" ref="B4">Sites[State]</f>
        <v>MA</v>
      </c>
      <c r="C4" s="23">
        <f>SUM(Jul!C4, Aug!C4, Sep!C4)</f>
        <v>865380</v>
      </c>
      <c r="D4" s="12">
        <f>SUM(Jul!D4, Aug!D4, Sep!D4)</f>
        <v>0</v>
      </c>
      <c r="E4" s="12">
        <f>IF(AND(ISNUMBER(C4),ISNUMBER(D4)), C4-D4, "")</f>
        <v>865380</v>
      </c>
      <c r="F4" s="13" t="str">
        <f>IFERROR(E4/D4, "")</f>
        <v/>
      </c>
      <c r="G4" s="14"/>
      <c r="H4" s="14">
        <f>SUM(Jul!H4, Aug!H4, Sep!H4)</f>
        <v>865380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MA: Palmer - 105 North Street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Palmer - 105 North Street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J4" sqref="J4:K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MA: Palmer - 105 North Street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SUM(C4:C78)</f>
        <v>65254</v>
      </c>
      <c r="D2" s="5">
        <f>SUM(D4:D78)</f>
        <v>0</v>
      </c>
      <c r="E2" s="5">
        <f>C2-D2</f>
        <v>65254</v>
      </c>
      <c r="F2" s="6">
        <f>IFERROR(E2/D2, 0)</f>
        <v>0</v>
      </c>
      <c r="G2" s="5">
        <f>SUM(G4:G78)</f>
        <v>0</v>
      </c>
      <c r="H2" s="7">
        <f>C2-G2</f>
        <v>65254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Palmer - 105 North Street</v>
      </c>
      <c r="B4" s="27" t="str" cm="1">
        <f t="array" ref="B4">Sites[State]</f>
        <v>MA</v>
      </c>
      <c r="C4" s="50">
        <v>65254</v>
      </c>
      <c r="D4" s="51">
        <v>0</v>
      </c>
      <c r="E4" s="12">
        <f>IF(AND(ISNUMBER(C4),ISNUMBER(D4)), C4-D4, "")</f>
        <v>65254</v>
      </c>
      <c r="F4" s="40" t="str">
        <f>IFERROR(E4/D4, "")</f>
        <v/>
      </c>
      <c r="G4" s="53">
        <v>0</v>
      </c>
      <c r="H4" s="14">
        <f>IF(AND(ISNUMBER(C4),ISNUMBER(G4)), C4-G4, "")</f>
        <v>65254</v>
      </c>
      <c r="I4" s="15" t="str">
        <f>IFERROR(H4/G4, "")</f>
        <v/>
      </c>
      <c r="J4" s="47" t="s">
        <v>22</v>
      </c>
      <c r="K4" s="47" t="s">
        <v>23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MA: Palmer - 105 North Street</v>
      </c>
      <c r="B1" s="57"/>
      <c r="C1" s="57"/>
      <c r="D1" s="58" t="s">
        <v>24</v>
      </c>
      <c r="E1" s="58"/>
      <c r="F1" s="58"/>
      <c r="G1" s="56" t="s">
        <v>25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238221</v>
      </c>
      <c r="D2" s="5">
        <f>SUM(D4:D79)</f>
        <v>0</v>
      </c>
      <c r="E2" s="5">
        <f>C2-D2</f>
        <v>238221</v>
      </c>
      <c r="F2" s="6">
        <f>IFERROR(E2/D2, 0)</f>
        <v>0</v>
      </c>
      <c r="G2" s="5">
        <f>SUM(G4:G79)</f>
        <v>0</v>
      </c>
      <c r="H2" s="7">
        <f>C2-G2</f>
        <v>238221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Palmer - 105 North Street</v>
      </c>
      <c r="B4" s="27" t="str" cm="1">
        <f t="array" ref="B4">Sites[State]</f>
        <v>MA</v>
      </c>
      <c r="C4" s="23">
        <v>238221</v>
      </c>
      <c r="D4" s="12">
        <v>0</v>
      </c>
      <c r="E4" s="12">
        <f>IF(AND(ISNUMBER(C4),ISNUMBER(D4)), C4-D4, "")</f>
        <v>238221</v>
      </c>
      <c r="F4" s="13" t="str">
        <f>IFERROR(E4/D4, "")</f>
        <v/>
      </c>
      <c r="G4" s="14">
        <v>0</v>
      </c>
      <c r="H4" s="14">
        <f>IF(AND(ISNUMBER(C4),ISNUMBER(G4)), C4-G4, "")</f>
        <v>238221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:K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MA: Palmer - 105 North Street</v>
      </c>
      <c r="B1" s="57"/>
      <c r="C1" s="57"/>
      <c r="D1" s="58" t="s">
        <v>26</v>
      </c>
      <c r="E1" s="58"/>
      <c r="F1" s="58"/>
      <c r="G1" s="56" t="s">
        <v>27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258395</v>
      </c>
      <c r="D2" s="5">
        <f>SUM(D4:D79)</f>
        <v>0</v>
      </c>
      <c r="E2" s="5">
        <f>C2-D2</f>
        <v>258395</v>
      </c>
      <c r="F2" s="6">
        <f>IFERROR(E2/D2, 0)</f>
        <v>0</v>
      </c>
      <c r="G2" s="5">
        <f>SUM(G4:G79)</f>
        <v>0</v>
      </c>
      <c r="H2" s="7">
        <f>C2-G2</f>
        <v>258395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258395</v>
      </c>
      <c r="D4" s="12">
        <v>0</v>
      </c>
      <c r="E4" s="12">
        <f>IF(AND(ISNUMBER(C4),ISNUMBER(D4)), C4-D4, "")</f>
        <v>258395</v>
      </c>
      <c r="F4" s="13" t="str">
        <f>IFERROR(E4/D4, "")</f>
        <v/>
      </c>
      <c r="G4" s="14">
        <v>0</v>
      </c>
      <c r="H4" s="14">
        <f>IF(AND(ISNUMBER(C4),ISNUMBER(G4)), C4-G4, "")</f>
        <v>258395</v>
      </c>
      <c r="I4" s="15" t="str">
        <f>IFERROR(H4/G4, "")</f>
        <v/>
      </c>
      <c r="J4" s="36" t="s">
        <v>28</v>
      </c>
      <c r="K4" s="36" t="s">
        <v>29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:K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MA: Palmer - 105 North Street</v>
      </c>
      <c r="B1" s="57"/>
      <c r="C1" s="57"/>
      <c r="D1" s="58" t="s">
        <v>30</v>
      </c>
      <c r="E1" s="58"/>
      <c r="F1" s="58"/>
      <c r="G1" s="56" t="s">
        <v>31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201186</v>
      </c>
      <c r="D2" s="5">
        <f>SUM(D4:D79)</f>
        <v>0</v>
      </c>
      <c r="E2" s="5">
        <f>C2-D2</f>
        <v>201186</v>
      </c>
      <c r="F2" s="6">
        <f>IFERROR(E2/D2, 0)</f>
        <v>0</v>
      </c>
      <c r="G2" s="5">
        <f>SUM(G4:G79)</f>
        <v>0</v>
      </c>
      <c r="H2" s="7">
        <f>C2-G2</f>
        <v>201186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201186</v>
      </c>
      <c r="D4" s="12">
        <v>0</v>
      </c>
      <c r="E4" s="12">
        <f>IF(AND(ISNUMBER(C4),ISNUMBER(D4)), C4-D4, "")</f>
        <v>201186</v>
      </c>
      <c r="F4" s="13" t="str">
        <f>IFERROR(E4/D4, "")</f>
        <v/>
      </c>
      <c r="G4" s="14">
        <v>0</v>
      </c>
      <c r="H4" s="14">
        <f>IF(AND(ISNUMBER(C4),ISNUMBER(G4)), C4-G4, "")</f>
        <v>201186</v>
      </c>
      <c r="I4" s="15" t="str">
        <f>IFERROR(H4/G4, "")</f>
        <v/>
      </c>
      <c r="J4" s="54" t="s">
        <v>32</v>
      </c>
      <c r="K4" s="55" t="s">
        <v>29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J31" sqref="J31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MA: Palmer - 105 North Street</v>
      </c>
      <c r="B1" s="57"/>
      <c r="C1" s="57"/>
      <c r="D1" s="58" t="s">
        <v>33</v>
      </c>
      <c r="E1" s="58"/>
      <c r="F1" s="58"/>
      <c r="G1" s="56" t="s">
        <v>34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243155</v>
      </c>
      <c r="D2" s="5">
        <f>SUM(D4:D79)</f>
        <v>0</v>
      </c>
      <c r="E2" s="5">
        <f>C2-D2</f>
        <v>243155</v>
      </c>
      <c r="F2" s="6">
        <f>IFERROR(E2/D2, 0)</f>
        <v>0</v>
      </c>
      <c r="G2" s="5">
        <f>SUM(G4:G79)</f>
        <v>0</v>
      </c>
      <c r="H2" s="7">
        <f>C2-G2</f>
        <v>243155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243155</v>
      </c>
      <c r="D4" s="12">
        <v>0</v>
      </c>
      <c r="E4" s="12">
        <f>IF(AND(ISNUMBER(C4),ISNUMBER(D4)), C4-D4, "")</f>
        <v>243155</v>
      </c>
      <c r="F4" s="13" t="str">
        <f>IFERROR(E4/D4, "")</f>
        <v/>
      </c>
      <c r="G4" s="14">
        <v>0</v>
      </c>
      <c r="H4" s="14">
        <f>IF(AND(ISNUMBER(C4),ISNUMBER(G4)), C4-G4, "")</f>
        <v>243155</v>
      </c>
      <c r="I4" s="15" t="str">
        <f>IFERROR(H4/G4, "")</f>
        <v/>
      </c>
      <c r="J4" s="54" t="s">
        <v>35</v>
      </c>
      <c r="K4" s="55" t="s">
        <v>29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E4" activePane="bottomRight" state="frozen"/>
      <selection pane="bottomRight" activeCell="J10" sqref="J10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MA: Palmer - 105 North Street</v>
      </c>
      <c r="B1" s="57"/>
      <c r="C1" s="57"/>
      <c r="D1" s="58" t="s">
        <v>36</v>
      </c>
      <c r="E1" s="58"/>
      <c r="F1" s="58"/>
      <c r="G1" s="56" t="s">
        <v>37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253154</v>
      </c>
      <c r="D2" s="5">
        <f>SUM(D4:D79)</f>
        <v>0</v>
      </c>
      <c r="E2" s="5">
        <f>C2-D2</f>
        <v>253154</v>
      </c>
      <c r="F2" s="6">
        <f>IFERROR(E2/D2, 0)</f>
        <v>0</v>
      </c>
      <c r="G2" s="5">
        <f>SUM(G4:G79)</f>
        <v>0</v>
      </c>
      <c r="H2" s="7">
        <f>C2-G2</f>
        <v>253154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57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253154</v>
      </c>
      <c r="D4" s="12">
        <v>0</v>
      </c>
      <c r="E4" s="12">
        <f>IF(AND(ISNUMBER(C4),ISNUMBER(D4)), C4-D4, "")</f>
        <v>253154</v>
      </c>
      <c r="F4" s="13" t="str">
        <f>IFERROR(E4/D4, "")</f>
        <v/>
      </c>
      <c r="G4" s="14">
        <v>0</v>
      </c>
      <c r="H4" s="14">
        <f>IF(AND(ISNUMBER(C4),ISNUMBER(G4)), C4-G4, "")</f>
        <v>253154</v>
      </c>
      <c r="I4" s="15" t="str">
        <f>IFERROR(H4/G4, "")</f>
        <v/>
      </c>
      <c r="J4" s="36" t="s">
        <v>38</v>
      </c>
      <c r="K4" s="36" t="s">
        <v>39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H18" sqref="H18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MA: Palmer - 105 North Street</v>
      </c>
      <c r="B1" s="57"/>
      <c r="C1" s="57"/>
      <c r="D1" s="58" t="s">
        <v>40</v>
      </c>
      <c r="E1" s="58"/>
      <c r="F1" s="58"/>
      <c r="G1" s="56" t="s">
        <v>41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297970</v>
      </c>
      <c r="D2" s="5">
        <f>SUM(D4:D79)</f>
        <v>0</v>
      </c>
      <c r="E2" s="5">
        <f>C2-D2</f>
        <v>297970</v>
      </c>
      <c r="F2" s="6">
        <f>IFERROR(E2/D2, 0)</f>
        <v>0</v>
      </c>
      <c r="G2" s="5">
        <f>SUM(G4:G79)</f>
        <v>0</v>
      </c>
      <c r="H2" s="7">
        <f>C2-G2</f>
        <v>297970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297970</v>
      </c>
      <c r="D4" s="12">
        <v>0</v>
      </c>
      <c r="E4" s="12">
        <f>IF(AND(ISNUMBER(C4),ISNUMBER(D4)), C4-D4, "")</f>
        <v>297970</v>
      </c>
      <c r="F4" s="13" t="str">
        <f>IFERROR(E4/D4, "")</f>
        <v/>
      </c>
      <c r="G4" s="14">
        <v>0</v>
      </c>
      <c r="H4" s="14">
        <f>IF(AND(ISNUMBER(C4),ISNUMBER(G4)), C4-G4, "")</f>
        <v>297970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G9" sqref="G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MA: Palmer - 105 North Street</v>
      </c>
      <c r="B1" s="57"/>
      <c r="C1" s="57"/>
      <c r="D1" s="58" t="s">
        <v>42</v>
      </c>
      <c r="E1" s="58"/>
      <c r="F1" s="58"/>
      <c r="G1" s="56" t="s">
        <v>43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290349</v>
      </c>
      <c r="D2" s="5">
        <f>SUM(D4:D79)</f>
        <v>0</v>
      </c>
      <c r="E2" s="5">
        <f>C2-D2</f>
        <v>290349</v>
      </c>
      <c r="F2" s="6">
        <f>IFERROR(E2/D2, 0)</f>
        <v>0</v>
      </c>
      <c r="G2" s="5">
        <f>SUM(G4:G79)</f>
        <v>0</v>
      </c>
      <c r="H2" s="7">
        <f>C2-G2</f>
        <v>290349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290349</v>
      </c>
      <c r="D4" s="12">
        <v>0</v>
      </c>
      <c r="E4" s="12">
        <f>IF(AND(ISNUMBER(C4),ISNUMBER(D4)), C4-D4, "")</f>
        <v>290349</v>
      </c>
      <c r="F4" s="13" t="str">
        <f>IFERROR(E4/D4, "")</f>
        <v/>
      </c>
      <c r="G4" s="14">
        <v>0</v>
      </c>
      <c r="H4" s="14">
        <f>IF(AND(ISNUMBER(C4),ISNUMBER(G4)), C4-G4, "")</f>
        <v>290349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J16" sqref="J16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MA: Palmer - 105 North Street</v>
      </c>
      <c r="B1" s="57"/>
      <c r="C1" s="57"/>
      <c r="D1" s="58" t="s">
        <v>44</v>
      </c>
      <c r="E1" s="58"/>
      <c r="F1" s="58"/>
      <c r="G1" s="56" t="s">
        <v>45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277061</v>
      </c>
      <c r="D2" s="5">
        <f>SUM(D4:D79)</f>
        <v>0</v>
      </c>
      <c r="E2" s="5">
        <f>C2-D2</f>
        <v>277061</v>
      </c>
      <c r="F2" s="6">
        <f>IFERROR(E2/D2, 0)</f>
        <v>0</v>
      </c>
      <c r="G2" s="5">
        <f>SUM(G4:G79)</f>
        <v>0</v>
      </c>
      <c r="H2" s="7">
        <f>C2-G2</f>
        <v>277061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9.75" customHeight="1">
      <c r="A4" s="60" t="str" cm="1">
        <f t="array" ref="A4">Sites[Site]</f>
        <v>MA: Palmer - 105 North Street</v>
      </c>
      <c r="B4" s="27" t="str" cm="1">
        <f t="array" ref="B4">Sites[State]</f>
        <v>MA</v>
      </c>
      <c r="C4" s="23">
        <v>277061</v>
      </c>
      <c r="D4" s="12">
        <v>0</v>
      </c>
      <c r="E4" s="12">
        <f>IF(AND(ISNUMBER(C4),ISNUMBER(D4)), C4-D4, "")</f>
        <v>277061</v>
      </c>
      <c r="F4" s="13" t="str">
        <f>IFERROR(E4/D4, "")</f>
        <v/>
      </c>
      <c r="G4" s="14">
        <v>0</v>
      </c>
      <c r="H4" s="14">
        <f>IF(AND(ISNUMBER(C4),ISNUMBER(G4)), C4-G4, "")</f>
        <v>277061</v>
      </c>
      <c r="I4" s="15" t="str">
        <f>IFERROR(H4/G4, "")</f>
        <v/>
      </c>
      <c r="J4" s="36" t="s">
        <v>46</v>
      </c>
      <c r="K4" s="36" t="s">
        <v>47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MA: Palmer - 105 North Street</v>
      </c>
      <c r="B1" s="57"/>
      <c r="C1" s="57"/>
      <c r="D1" s="58" t="s">
        <v>48</v>
      </c>
      <c r="E1" s="58"/>
      <c r="F1" s="58"/>
      <c r="G1" s="56" t="s">
        <v>49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MA: Palmer - 105 North Street</v>
      </c>
      <c r="B1" s="57"/>
      <c r="C1" s="57"/>
      <c r="D1" s="58" t="s">
        <v>50</v>
      </c>
      <c r="E1" s="58"/>
      <c r="F1" s="58"/>
      <c r="G1" s="56" t="s">
        <v>51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MA: Palmer - 105 North Street</v>
      </c>
      <c r="B1" s="57"/>
      <c r="C1" s="57"/>
      <c r="D1" s="58" t="s">
        <v>52</v>
      </c>
      <c r="E1" s="58"/>
      <c r="F1" s="58"/>
      <c r="G1" s="56" t="s">
        <v>53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54</v>
      </c>
      <c r="B1" t="s">
        <v>55</v>
      </c>
    </row>
    <row r="3" spans="1:12" ht="13.15">
      <c r="A3" t="s">
        <v>56</v>
      </c>
      <c r="B3" t="s">
        <v>3</v>
      </c>
      <c r="C3" t="s">
        <v>4</v>
      </c>
      <c r="D3" t="s">
        <v>57</v>
      </c>
      <c r="E3" s="2" t="s">
        <v>58</v>
      </c>
    </row>
    <row r="4" spans="1:12" ht="14.45">
      <c r="A4" s="45" t="s">
        <v>59</v>
      </c>
      <c r="B4" t="s">
        <v>55</v>
      </c>
      <c r="C4" s="43" t="s">
        <v>60</v>
      </c>
      <c r="D4" s="42" t="s">
        <v>61</v>
      </c>
      <c r="E4" t="s">
        <v>62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2024-10-17T18:00:11Z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