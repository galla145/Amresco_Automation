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09"/>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75" documentId="13_ncr:1_{0011973A-F547-403B-AD67-7389D5B23D07}" xr6:coauthVersionLast="47" xr6:coauthVersionMax="47" xr10:uidLastSave="{DB200C8B-1A05-4FA2-9294-CD8EF137EDE2}"/>
  <bookViews>
    <workbookView xWindow="-108" yWindow="-108" windowWidth="23256" windowHeight="12456" tabRatio="866" firstSheet="13" activeTab="3"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29" l="1"/>
  <c r="G4" i="18"/>
  <c r="G2" i="18" s="1"/>
  <c r="I4" i="72"/>
  <c r="F4" i="72"/>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J2" i="33"/>
  <c r="J2" i="32"/>
  <c r="E4" i="3"/>
  <c r="F4" i="3" s="1"/>
  <c r="H4" i="3"/>
  <c r="I4" i="3" s="1"/>
  <c r="E5" i="72"/>
  <c r="F5" i="72" s="1"/>
  <c r="H5" i="72"/>
  <c r="I5" i="72" s="1"/>
  <c r="G4" i="1"/>
  <c r="B4" i="34" a="1"/>
  <c r="B4" i="34" s="1"/>
  <c r="A4" i="34" a="1"/>
  <c r="A4" i="34" s="1"/>
  <c r="A1" i="34" a="1"/>
  <c r="A1" i="34" s="1"/>
  <c r="D4" i="30"/>
  <c r="D2" i="30" s="1"/>
  <c r="C4" i="30"/>
  <c r="E4" i="30" s="1"/>
  <c r="F4" i="30" s="1"/>
  <c r="D4" i="29"/>
  <c r="D2" i="29" s="1"/>
  <c r="C4" i="29"/>
  <c r="D4" i="18"/>
  <c r="C4" i="18"/>
  <c r="D2" i="18"/>
  <c r="B4" i="30" a="1"/>
  <c r="B4" i="30" s="1"/>
  <c r="G2" i="30"/>
  <c r="A1" i="30" a="1"/>
  <c r="A1" i="30" s="1"/>
  <c r="B4" i="29" a="1"/>
  <c r="B4" i="29" s="1"/>
  <c r="A4" i="29" a="1"/>
  <c r="A4" i="29" s="1"/>
  <c r="G2" i="29"/>
  <c r="A1" i="29" a="1"/>
  <c r="A1" i="29" s="1"/>
  <c r="B4" i="18" a="1"/>
  <c r="B4" i="18" s="1"/>
  <c r="A4" i="18" a="1"/>
  <c r="A4" i="18" s="1"/>
  <c r="A1" i="18" a="1"/>
  <c r="A1" i="18" s="1"/>
  <c r="C4" i="1"/>
  <c r="D4" i="1"/>
  <c r="B4" i="1" a="1"/>
  <c r="B4" i="1" s="1"/>
  <c r="A4" i="1" a="1"/>
  <c r="A4" i="1" s="1"/>
  <c r="A1" i="1" a="1"/>
  <c r="A1" i="1" s="1"/>
  <c r="H4" i="33"/>
  <c r="I4" i="33" s="1"/>
  <c r="E4" i="33"/>
  <c r="F4" i="33" s="1"/>
  <c r="G2" i="33"/>
  <c r="D2" i="33"/>
  <c r="C2" i="33"/>
  <c r="A1" i="33" a="1"/>
  <c r="A1" i="33" s="1"/>
  <c r="H4" i="32"/>
  <c r="I4" i="32" s="1"/>
  <c r="E4" i="32"/>
  <c r="F4" i="32" s="1"/>
  <c r="G2" i="32"/>
  <c r="D2" i="32"/>
  <c r="C2" i="32"/>
  <c r="A1" i="32" a="1"/>
  <c r="A1" i="32" s="1"/>
  <c r="H4" i="31"/>
  <c r="I4" i="31" s="1"/>
  <c r="E4" i="31"/>
  <c r="F4" i="31" s="1"/>
  <c r="G2" i="31"/>
  <c r="D2" i="31"/>
  <c r="C2" i="31"/>
  <c r="H2" i="31" s="1"/>
  <c r="I2" i="31" s="1"/>
  <c r="A1" i="31" a="1"/>
  <c r="A1" i="31" s="1"/>
  <c r="H4" i="28"/>
  <c r="I4" i="28" s="1"/>
  <c r="E4" i="28"/>
  <c r="F4" i="28" s="1"/>
  <c r="B4" i="28" a="1"/>
  <c r="B4" i="28" s="1"/>
  <c r="A4" i="28" a="1"/>
  <c r="A4" i="28" s="1"/>
  <c r="G2" i="28"/>
  <c r="D2" i="28"/>
  <c r="C2" i="28"/>
  <c r="A1" i="28" a="1"/>
  <c r="A1" i="28" s="1"/>
  <c r="H4" i="27"/>
  <c r="I4" i="27" s="1"/>
  <c r="E4" i="27"/>
  <c r="F4" i="27" s="1"/>
  <c r="G2" i="27"/>
  <c r="D2" i="27"/>
  <c r="C2" i="27"/>
  <c r="J2" i="27" s="1"/>
  <c r="A1" i="27" a="1"/>
  <c r="A1" i="27" s="1"/>
  <c r="H4" i="26"/>
  <c r="I4" i="26" s="1"/>
  <c r="E4" i="26"/>
  <c r="F4" i="26" s="1"/>
  <c r="G2" i="26"/>
  <c r="D2" i="26"/>
  <c r="C2" i="26"/>
  <c r="A1" i="26" a="1"/>
  <c r="A1" i="26" s="1"/>
  <c r="H4" i="19"/>
  <c r="I4" i="19" s="1"/>
  <c r="E4" i="19"/>
  <c r="F4" i="19" s="1"/>
  <c r="G2" i="19"/>
  <c r="D2" i="19"/>
  <c r="C2" i="19"/>
  <c r="A1" i="19" a="1"/>
  <c r="A1" i="19" s="1"/>
  <c r="H5" i="20"/>
  <c r="I5" i="20" s="1"/>
  <c r="E5" i="20"/>
  <c r="F5" i="20" s="1"/>
  <c r="H4" i="20"/>
  <c r="I4" i="20" s="1"/>
  <c r="E4" i="20"/>
  <c r="F4" i="20" s="1"/>
  <c r="G2" i="20"/>
  <c r="D2" i="20"/>
  <c r="C2" i="20"/>
  <c r="E2" i="20" s="1"/>
  <c r="F2" i="20" s="1"/>
  <c r="A1" i="20" a="1"/>
  <c r="A1" i="20" s="1"/>
  <c r="H5" i="21"/>
  <c r="I5" i="21" s="1"/>
  <c r="E5" i="21"/>
  <c r="F5" i="21" s="1"/>
  <c r="H4" i="21"/>
  <c r="I4" i="21" s="1"/>
  <c r="E4" i="21"/>
  <c r="F4" i="21" s="1"/>
  <c r="G2" i="21"/>
  <c r="D2" i="21"/>
  <c r="C2" i="21"/>
  <c r="A1" i="21" a="1"/>
  <c r="A1" i="21" s="1"/>
  <c r="H5" i="4"/>
  <c r="I5" i="4" s="1"/>
  <c r="E5" i="4"/>
  <c r="F5" i="4" s="1"/>
  <c r="H4" i="4"/>
  <c r="I4" i="4" s="1"/>
  <c r="E4" i="4"/>
  <c r="F4" i="4" s="1"/>
  <c r="G2" i="4"/>
  <c r="D2" i="4"/>
  <c r="C2" i="4"/>
  <c r="H2" i="4" s="1"/>
  <c r="I2" i="4" s="1"/>
  <c r="A1" i="4" a="1"/>
  <c r="A1" i="4" s="1"/>
  <c r="G2" i="3"/>
  <c r="D2" i="3"/>
  <c r="C2" i="3"/>
  <c r="J2" i="3" s="1"/>
  <c r="A1" i="3" a="1"/>
  <c r="A1" i="3" s="1"/>
  <c r="H4" i="72"/>
  <c r="G2" i="72"/>
  <c r="D2" i="72"/>
  <c r="C2" i="72"/>
  <c r="J2" i="72" s="1"/>
  <c r="E4" i="72"/>
  <c r="A1" i="72" a="1"/>
  <c r="A1" i="72" s="1"/>
  <c r="H2" i="28" l="1"/>
  <c r="I2" i="28" s="1"/>
  <c r="J2" i="28"/>
  <c r="D4" i="34"/>
  <c r="D2" i="34" s="1"/>
  <c r="G4" i="34"/>
  <c r="G2" i="34" s="1"/>
  <c r="H2" i="21"/>
  <c r="I2" i="21" s="1"/>
  <c r="H2" i="19"/>
  <c r="I2" i="19" s="1"/>
  <c r="C4" i="34"/>
  <c r="E4" i="18"/>
  <c r="F4" i="18" s="1"/>
  <c r="J2" i="4"/>
  <c r="J2" i="21"/>
  <c r="J2" i="20"/>
  <c r="H2" i="20"/>
  <c r="I2" i="20" s="1"/>
  <c r="J2" i="19"/>
  <c r="H2" i="26"/>
  <c r="I2" i="26" s="1"/>
  <c r="J2" i="26"/>
  <c r="H2" i="27"/>
  <c r="I2" i="27" s="1"/>
  <c r="E2" i="28"/>
  <c r="F2" i="28" s="1"/>
  <c r="J2" i="31"/>
  <c r="H2" i="32"/>
  <c r="I2" i="32" s="1"/>
  <c r="H2" i="33"/>
  <c r="I2" i="33" s="1"/>
  <c r="H2" i="3"/>
  <c r="I2" i="3" s="1"/>
  <c r="G2" i="1"/>
  <c r="H4" i="30"/>
  <c r="I4" i="30" s="1"/>
  <c r="H4" i="29"/>
  <c r="I4" i="29" s="1"/>
  <c r="H4" i="18"/>
  <c r="I4" i="18" s="1"/>
  <c r="C2" i="29"/>
  <c r="E2" i="29" s="1"/>
  <c r="F2" i="29" s="1"/>
  <c r="C2" i="30"/>
  <c r="E4" i="29"/>
  <c r="F4" i="29" s="1"/>
  <c r="C2" i="18"/>
  <c r="H4" i="1"/>
  <c r="I4" i="1" s="1"/>
  <c r="C2" i="1"/>
  <c r="E2" i="3"/>
  <c r="F2" i="3" s="1"/>
  <c r="E4" i="1"/>
  <c r="F4" i="1" s="1"/>
  <c r="D2" i="1"/>
  <c r="E2" i="33"/>
  <c r="F2" i="33" s="1"/>
  <c r="E2" i="32"/>
  <c r="F2" i="32" s="1"/>
  <c r="E2" i="31"/>
  <c r="F2" i="31" s="1"/>
  <c r="E2" i="27"/>
  <c r="F2" i="27" s="1"/>
  <c r="E2" i="26"/>
  <c r="F2" i="26" s="1"/>
  <c r="E2" i="19"/>
  <c r="F2" i="19" s="1"/>
  <c r="E2" i="21"/>
  <c r="F2" i="21" s="1"/>
  <c r="E2" i="4"/>
  <c r="F2" i="4" s="1"/>
  <c r="H2" i="72"/>
  <c r="E4" i="34" l="1"/>
  <c r="F4" i="34" s="1"/>
  <c r="H2" i="1"/>
  <c r="I2" i="1" s="1"/>
  <c r="C2" i="34"/>
  <c r="H2" i="34" s="1"/>
  <c r="I2" i="34" s="1"/>
  <c r="H4" i="34"/>
  <c r="I4" i="34" s="1"/>
  <c r="H2" i="29"/>
  <c r="I2" i="29" s="1"/>
  <c r="H2" i="30"/>
  <c r="I2" i="30" s="1"/>
  <c r="E2" i="30"/>
  <c r="F2" i="30" s="1"/>
  <c r="H2" i="18"/>
  <c r="I2" i="18" s="1"/>
  <c r="E2" i="18"/>
  <c r="F2" i="18" s="1"/>
  <c r="E2" i="1"/>
  <c r="F2" i="1" s="1"/>
  <c r="I2" i="72"/>
  <c r="E2" i="72"/>
  <c r="F2" i="72" s="1"/>
  <c r="E2" i="34" l="1"/>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<sst xmlns="http://schemas.openxmlformats.org/spreadsheetml/2006/main" count="256" uniqueCount="64">
  <si>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</si>
  <si>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</si>
  <si>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</si>
  <si>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</si>
  <si>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</si>
  <si>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</si>
  <si>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</si>
  <si>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</si>
  <si>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</si>
  <si>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</si>
  <si>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</si>
  <si>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</si>
  <si>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</si>
  <si>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</si>
  <si>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</si>
  <si>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</si>
  <si>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</si>
  <si>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</si>
  <si>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</si>
  <si>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</si>
  <si>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</si>
  <si>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</si>
  <si>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The sites were not communicated from 11/05/2022</t>
  </si>
  <si>
    <t>1. SR067220</t>
  </si>
  <si>
    <t>February Actual v. Expected</t>
  </si>
  <si>
    <t>February Actual v. Forecasted</t>
  </si>
  <si>
    <t>March Actual v. Expected</t>
  </si>
  <si>
    <t>March Actual v. Forecasted</t>
  </si>
  <si>
    <t>April Actual v. Expected</t>
  </si>
  <si>
    <t>April Actual v. Forecasted</t>
  </si>
  <si>
    <t>1. Site is not communicating from 11/05/2022.</t>
  </si>
  <si>
    <t>May Actual v. Expected</t>
  </si>
  <si>
    <t>May Actual v. Forecasted</t>
  </si>
  <si>
    <t>1. Site is not communicating from 11/05/2022. Modem being replaced</t>
  </si>
  <si>
    <t>June Actual v. Expected</t>
  </si>
  <si>
    <t>June Actual v. Forecasted</t>
  </si>
  <si>
    <t xml:space="preserve">1. Modem was replaced and site regained communication at 06:00am on 06/23 but seems like the actual energy is the combination all previous months.
2. Inverter C1 offline after site regained communication and is still offline
3. Inverter A9 tripped offline at 11:00 on 06/24 and back online the next day.  Inverter 9 again tripped offline at 07:00 on 06/26 and back online the next day.
</t>
  </si>
  <si>
    <t xml:space="preserve">1. 	SR067220
2. SR087334
3. SR087354
</t>
  </si>
  <si>
    <t>July Actual v. Expected</t>
  </si>
  <si>
    <t>July Actual v. Forecasted</t>
  </si>
  <si>
    <t>1. Inverter C 01 is offline from 06/22/2024 and back online at 12:15 on 07/31/2024.
2. Inverter C 09 is offline on 07/02 and back online on 07/03.
3. Inverter A 09 is having tripping issue from 08:00AM from 07/01 and inverter tripping issue resolved from 07/10.
4. Inverter A 08  is offline from 5AM to 8AM on 07/09.
5. Pyranometers  B1 and C1 are not communicting from 07/01.</t>
  </si>
  <si>
    <t>1. SR087334.
2. SR087333.
3. SR087354.
4. SR087508.
5. SR087336.</t>
  </si>
  <si>
    <t>August Actual v. Expected</t>
  </si>
  <si>
    <t>August Actual v. Forecasted</t>
  </si>
  <si>
    <t>1. Inverter C 09 is offline on 08/02 and back online at 9AM on 08/03 and again started late at 8AM and back online at 10:00AM on 08/04.
2. Weather Station on B1 and  C1 is not communicating from 07/01.</t>
  </si>
  <si>
    <t>1. SR088558.
2. SR088994. SR087336.</t>
  </si>
  <si>
    <t>September Actual v. Expected</t>
  </si>
  <si>
    <t>September Actual v. Forecasted</t>
  </si>
  <si>
    <t>1. Pyranometers  B1 and C1 are not communicting from 07/01.</t>
  </si>
  <si>
    <t>1. SR088994. SR087336.</t>
  </si>
  <si>
    <t>October Actual v. Expected</t>
  </si>
  <si>
    <t>October Actual v. Forecasted</t>
  </si>
  <si>
    <t>November Actual v. Expected</t>
  </si>
  <si>
    <t>November Actual v. Forecasted</t>
  </si>
  <si>
    <t>December Actual v. Expected</t>
  </si>
  <si>
    <t>December Actual v. Forecasted</t>
  </si>
  <si>
    <t>Portfolio:</t>
  </si>
  <si>
    <t>Joseph City USD</t>
  </si>
  <si>
    <t>Site DAS Name</t>
  </si>
  <si>
    <t>Update</t>
  </si>
  <si>
    <t>DAS</t>
  </si>
  <si>
    <t>JCUSD</t>
  </si>
  <si>
    <t>AZ: Joseph City USD</t>
  </si>
  <si>
    <t>AZ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</si>
</sst>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5">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5">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cellStyleXfs>
  <cellXfs count="49">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xf numFmtId="0" fontId="34" fillId="40" borderId="0" xfId="0" applyFont="1" applyFill="1" applyAlignment="1">
      <alignment horizontal="center" vertical="center" indent="1"/>
    </xf>
    <xf numFmtId="0" fontId="34" fillId="40" borderId="0" xfId="0" applyFont="1" applyFill="1" applyAlignment="1">
      <alignment horizontal="center" vertical="center"/>
    </xf>
    <xf numFmtId="49" fontId="30" fillId="38" borderId="0" xfId="2" applyNumberFormat="1" applyFont="1" applyFill="1" applyBorder="1" applyAlignment="1">
      <alignment horizontal="center" vertical="center" wrapText="1"/>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 totalsRowShown="0">
  <autoFilter ref="A3:E4" xr:uid="{C9C95D9E-67ED-41E0-9F41-9C3DA4ACF4CD}"/>
  <sortState xmlns:xlrd2="http://schemas.microsoft.com/office/spreadsheetml/2017/richdata2" ref="A4:D4">
    <sortCondition ref="C3:C4"/>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1"/>
  <sheetViews>
    <sheetView workbookViewId="0">
      <pane ySplit="2" topLeftCell="A3" activePane="bottomLeft" state="frozen"/>
      <selection pane="bottomLeft" activeCell="I4" sqref="I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43" t="str" cm="1">
        <f t="array" ref="A1">portfolio</f>
        <v>Joseph City USD</v>
      </c>
      <c r="B1" s="43"/>
      <c r="C1" s="43"/>
      <c r="D1" s="44" t="s">
        <v>0</v>
      </c>
      <c r="E1" s="44"/>
      <c r="F1" s="44"/>
      <c r="G1" s="42" t="s">
        <v>1</v>
      </c>
      <c r="H1" s="42"/>
      <c r="I1" s="42"/>
    </row>
    <row r="2" spans="1:9" ht="19.5" customHeight="1">
      <c r="A2" s="45" t="s">
        <v>2</v>
      </c>
      <c r="B2" s="45"/>
      <c r="C2" s="6">
        <f>SUM(C4:C89)</f>
        <v>1143445.6768409899</v>
      </c>
      <c r="D2" s="6">
        <f>SUM(D4:D89)</f>
        <v>184768.15</v>
      </c>
      <c r="E2" s="6">
        <f>C2-D2</f>
        <v>958677.52684098983</v>
      </c>
      <c r="F2" s="7">
        <f>IFERROR(E2/D2, 0)</f>
        <v>5.1885431923250289</v>
      </c>
      <c r="G2" s="6">
        <f>SUM(G4:G89)</f>
        <v>231270.86199999999</v>
      </c>
      <c r="H2" s="8">
        <f>C2-G2</f>
        <v>912174.81484098989</v>
      </c>
      <c r="I2" s="7">
        <f>IFERROR(H2/G2, 0)</f>
        <v>3.9441839190316585</v>
      </c>
    </row>
    <row r="3" spans="1:9" ht="14.25" customHeight="1">
      <c r="A3" s="9" t="s">
        <v>3</v>
      </c>
      <c r="B3" s="9" t="s">
        <v>4</v>
      </c>
      <c r="C3" s="25" t="s">
        <v>5</v>
      </c>
      <c r="D3" s="36" t="s">
        <v>6</v>
      </c>
      <c r="E3" s="36" t="s">
        <v>7</v>
      </c>
      <c r="F3" s="37" t="s">
        <v>8</v>
      </c>
      <c r="G3" s="38" t="s">
        <v>9</v>
      </c>
      <c r="H3" s="39" t="s">
        <v>7</v>
      </c>
      <c r="I3" s="40" t="s">
        <v>8</v>
      </c>
    </row>
    <row r="4" spans="1:9" ht="15.6">
      <c r="A4" s="13" t="str" cm="1">
        <f t="array" ref="A4">Sites[Site]</f>
        <v>AZ: Joseph City USD</v>
      </c>
      <c r="B4" s="10" t="str" cm="1">
        <f t="array" ref="B4">Sites[State]</f>
        <v>AZ</v>
      </c>
      <c r="C4" s="26">
        <f>SUM('1st Qtr'!C4, '2nd Qtr'!C4, '3rd Qtr'!C4, '4th Qtr'!C4)</f>
        <v>1143445.6768409899</v>
      </c>
      <c r="D4" s="14">
        <f>SUM('1st Qtr'!D4, '2nd Qtr'!D4, '3rd Qtr'!D4, '4th Qtr'!D4)</f>
        <v>184768.15</v>
      </c>
      <c r="E4" s="14">
        <f>IF(AND(ISNUMBER(C4),ISNUMBER(D4)), C4-D4, "")</f>
        <v>958677.52684098983</v>
      </c>
      <c r="F4" s="15">
        <f>IFERROR(E4/D4, 0)</f>
        <v>5.1885431923250289</v>
      </c>
      <c r="G4" s="16">
        <f>SUM('1st Qtr'!G4,'2nd Qtr'!G4,'3rd Qtr'!G4,'4th Qtr'!G4)</f>
        <v>231270.86199999999</v>
      </c>
      <c r="H4" s="16">
        <f>SUM('1st Qtr'!H4, '2nd Qtr'!H4, '3rd Qtr'!H4, '4th Qtr'!H4)</f>
        <v>912174.81484099</v>
      </c>
      <c r="I4" s="17">
        <f>IFERROR(H4/G4, 0)</f>
        <v>3.944183919031659</v>
      </c>
    </row>
    <row r="5" spans="1:9" ht="13.9">
      <c r="A5" s="23"/>
      <c r="B5" s="23"/>
      <c r="C5" s="23"/>
      <c r="D5" s="23"/>
      <c r="E5" s="23"/>
      <c r="F5" s="23"/>
      <c r="G5" s="23"/>
      <c r="H5" s="23"/>
      <c r="I5" s="23"/>
    </row>
    <row r="6" spans="1:9" ht="13.9">
      <c r="A6" s="23"/>
      <c r="B6" s="23"/>
      <c r="C6" s="23"/>
      <c r="D6" s="23"/>
      <c r="E6" s="23"/>
      <c r="F6" s="23"/>
      <c r="G6" s="23"/>
      <c r="H6" s="23"/>
      <c r="I6" s="23"/>
    </row>
    <row r="7" spans="1:9" ht="12.75" customHeight="1">
      <c r="A7" s="23"/>
      <c r="B7" s="23"/>
      <c r="C7" s="23"/>
      <c r="D7" s="23"/>
      <c r="E7" s="23"/>
      <c r="F7" s="23"/>
      <c r="G7" s="23"/>
      <c r="H7" s="23"/>
      <c r="I7" s="23"/>
    </row>
    <row r="8" spans="1:9" ht="13.9">
      <c r="A8" s="23"/>
      <c r="B8" s="23"/>
      <c r="C8" s="23"/>
      <c r="D8" s="23"/>
      <c r="E8" s="23"/>
      <c r="F8" s="23"/>
      <c r="G8" s="23"/>
      <c r="H8" s="23"/>
      <c r="I8" s="23"/>
    </row>
    <row r="9" spans="1:9" ht="13.9">
      <c r="A9" s="23"/>
      <c r="B9" s="23"/>
      <c r="C9" s="23"/>
      <c r="D9" s="23"/>
      <c r="E9" s="23"/>
      <c r="F9" s="23"/>
      <c r="G9" s="23"/>
      <c r="H9" s="23"/>
      <c r="I9" s="23"/>
    </row>
    <row r="10" spans="1:9" ht="13.9">
      <c r="A10" s="23"/>
      <c r="B10" s="23"/>
      <c r="C10" s="23"/>
      <c r="D10" s="23"/>
      <c r="E10" s="23"/>
      <c r="F10" s="23"/>
      <c r="G10" s="23"/>
      <c r="H10" s="23"/>
      <c r="I10" s="23"/>
    </row>
    <row r="11" spans="1:9" ht="13.9">
      <c r="A11" s="23"/>
      <c r="B11" s="23"/>
      <c r="C11" s="23"/>
      <c r="D11" s="23"/>
      <c r="E11" s="23"/>
      <c r="F11" s="23"/>
      <c r="G11" s="23"/>
      <c r="H11" s="23"/>
      <c r="I11" s="23"/>
    </row>
    <row r="12" spans="1:9" ht="13.9">
      <c r="A12" s="23"/>
      <c r="B12" s="23"/>
      <c r="C12" s="23"/>
      <c r="D12" s="23"/>
      <c r="E12" s="23"/>
      <c r="F12" s="23"/>
      <c r="G12" s="23"/>
      <c r="H12" s="23"/>
      <c r="I12" s="23"/>
    </row>
    <row r="13" spans="1:9" ht="13.9">
      <c r="A13" s="23"/>
      <c r="B13" s="23"/>
      <c r="C13" s="23"/>
      <c r="D13" s="23"/>
      <c r="E13" s="23"/>
      <c r="F13" s="23"/>
      <c r="G13" s="23"/>
      <c r="H13" s="23"/>
      <c r="I13" s="23"/>
    </row>
    <row r="14" spans="1:9" ht="13.9">
      <c r="A14" s="23"/>
      <c r="B14" s="23"/>
      <c r="C14" s="23"/>
      <c r="D14" s="23"/>
      <c r="E14" s="23"/>
      <c r="F14" s="23"/>
      <c r="G14" s="23"/>
      <c r="H14" s="23"/>
      <c r="I14" s="23"/>
    </row>
    <row r="15" spans="1:9" ht="13.9">
      <c r="A15" s="23"/>
      <c r="B15" s="23"/>
      <c r="C15" s="23"/>
      <c r="D15" s="23"/>
      <c r="E15" s="23"/>
      <c r="F15" s="23"/>
      <c r="G15" s="23"/>
      <c r="H15" s="23"/>
      <c r="I15" s="23"/>
    </row>
    <row r="16" spans="1:9"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autoFilter ref="A2:I2" xr:uid="{D5C25034-9971-4A61-864F-C938F31EB1B8}"/>
  <mergeCells count="4">
    <mergeCell ref="G1:I1"/>
    <mergeCell ref="A1:C1"/>
    <mergeCell ref="D1:F1"/>
    <mergeCell ref="A2:B2"/>
  </mergeCells>
  <conditionalFormatting sqref="F2 I2 F4:F89 I4:I89">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1"/>
  <sheetViews>
    <sheetView workbookViewId="0">
      <pane ySplit="2" topLeftCell="A3" activePane="bottomLeft" state="frozen"/>
      <selection pane="bottomLeft" activeCell="H4" sqref="H4"/>
      <selection activeCell="E22" sqref="E2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43" t="str" cm="1">
        <f t="array" ref="A1">portfolio</f>
        <v>Joseph City USD</v>
      </c>
      <c r="B1" s="43"/>
      <c r="C1" s="43"/>
      <c r="D1" s="44" t="s">
        <v>10</v>
      </c>
      <c r="E1" s="44"/>
      <c r="F1" s="44"/>
      <c r="G1" s="42" t="s">
        <v>11</v>
      </c>
      <c r="H1" s="42"/>
      <c r="I1" s="42"/>
    </row>
    <row r="2" spans="1:9" ht="19.5" customHeight="1">
      <c r="A2" s="45" t="s">
        <v>2</v>
      </c>
      <c r="B2" s="45"/>
      <c r="C2" s="6">
        <f>SUM(C4:C89)</f>
        <v>0</v>
      </c>
      <c r="D2" s="6">
        <f>SUM(D4:D89)</f>
        <v>0</v>
      </c>
      <c r="E2" s="6">
        <f>C2-D2</f>
        <v>0</v>
      </c>
      <c r="F2" s="7">
        <f>IFERROR(E2/D2, 0)</f>
        <v>0</v>
      </c>
      <c r="G2" s="6">
        <f>SUM(G4:G89)</f>
        <v>0</v>
      </c>
      <c r="H2" s="8">
        <f>C2-G2</f>
        <v>0</v>
      </c>
      <c r="I2" s="7">
        <f>IFERROR(H2/G2, 0)</f>
        <v>0</v>
      </c>
    </row>
    <row r="3" spans="1:9" ht="14.25" customHeight="1">
      <c r="A3" s="9" t="s">
        <v>3</v>
      </c>
      <c r="B3" s="9" t="s">
        <v>4</v>
      </c>
      <c r="C3" s="25" t="s">
        <v>5</v>
      </c>
      <c r="D3" s="36" t="s">
        <v>6</v>
      </c>
      <c r="E3" s="36" t="s">
        <v>7</v>
      </c>
      <c r="F3" s="37" t="s">
        <v>8</v>
      </c>
      <c r="G3" s="38" t="s">
        <v>9</v>
      </c>
      <c r="H3" s="39" t="s">
        <v>7</v>
      </c>
      <c r="I3" s="40" t="s">
        <v>8</v>
      </c>
    </row>
    <row r="4" spans="1:9" ht="15.6">
      <c r="A4" s="13" t="str" cm="1">
        <f t="array" ref="A4">Sites[Site]</f>
        <v>AZ: Joseph City USD</v>
      </c>
      <c r="B4" s="10" t="str" cm="1">
        <f t="array" ref="B4">Sites[State]</f>
        <v>AZ</v>
      </c>
      <c r="C4" s="26">
        <f>SUM(Jan!C4, Feb!C4, Mar!C4)</f>
        <v>0</v>
      </c>
      <c r="D4" s="14">
        <f>SUM(Jan!D4, Feb!D4, Mar!D4)</f>
        <v>0</v>
      </c>
      <c r="E4" s="14">
        <f>IF(AND(ISNUMBER(C4),ISNUMBER(D4)), C4-D4, "")</f>
        <v>0</v>
      </c>
      <c r="F4" s="15">
        <f>IFERROR(E4/D4, 0)</f>
        <v>0</v>
      </c>
      <c r="G4" s="16">
        <f>SUM(Jan!G4, Feb!G4, Mar!G4)</f>
        <v>0</v>
      </c>
      <c r="H4" s="16">
        <f>SUM(Jan!H4, Feb!H4, Mar!H4)</f>
        <v>0</v>
      </c>
      <c r="I4" s="17">
        <f>IFERROR(H4/G4, 0)</f>
        <v>0</v>
      </c>
    </row>
    <row r="5" spans="1:9" ht="13.9">
      <c r="A5" s="23"/>
      <c r="B5" s="23"/>
      <c r="C5" s="23"/>
      <c r="D5" s="23"/>
      <c r="E5" s="23"/>
      <c r="F5" s="23"/>
      <c r="G5" s="23"/>
      <c r="H5" s="23"/>
      <c r="I5" s="23"/>
    </row>
    <row r="6" spans="1:9" ht="13.9">
      <c r="A6" s="23"/>
      <c r="B6" s="23"/>
      <c r="C6" s="23"/>
      <c r="D6" s="23"/>
      <c r="E6" s="23"/>
      <c r="F6" s="23"/>
      <c r="G6" s="23"/>
      <c r="H6" s="23"/>
      <c r="I6" s="23"/>
    </row>
    <row r="7" spans="1:9" ht="12.75" customHeight="1">
      <c r="A7" s="23"/>
      <c r="B7" s="23"/>
      <c r="C7" s="23"/>
      <c r="D7" s="23"/>
      <c r="E7" s="23"/>
      <c r="F7" s="23"/>
      <c r="G7" s="23"/>
      <c r="H7" s="23"/>
      <c r="I7" s="23"/>
    </row>
    <row r="8" spans="1:9" ht="13.9">
      <c r="A8" s="23"/>
      <c r="B8" s="23"/>
      <c r="C8" s="23"/>
      <c r="D8" s="23"/>
      <c r="E8" s="23"/>
      <c r="F8" s="23"/>
      <c r="G8" s="23"/>
      <c r="H8" s="23"/>
      <c r="I8" s="23"/>
    </row>
    <row r="9" spans="1:9" ht="13.9">
      <c r="A9" s="23"/>
      <c r="B9" s="23"/>
      <c r="C9" s="23"/>
      <c r="D9" s="23"/>
      <c r="E9" s="23"/>
      <c r="F9" s="23"/>
      <c r="G9" s="23"/>
      <c r="H9" s="23"/>
      <c r="I9" s="23"/>
    </row>
    <row r="10" spans="1:9" ht="13.9">
      <c r="A10" s="23"/>
      <c r="B10" s="23"/>
      <c r="C10" s="23"/>
      <c r="D10" s="23"/>
      <c r="E10" s="23"/>
      <c r="F10" s="23"/>
      <c r="G10" s="23"/>
      <c r="H10" s="23"/>
      <c r="I10" s="23"/>
    </row>
    <row r="11" spans="1:9" ht="13.9">
      <c r="A11" s="23"/>
      <c r="B11" s="23"/>
      <c r="C11" s="23"/>
      <c r="D11" s="23"/>
      <c r="E11" s="23"/>
      <c r="F11" s="23"/>
      <c r="G11" s="23"/>
      <c r="H11" s="23"/>
      <c r="I11" s="23"/>
    </row>
    <row r="12" spans="1:9" ht="13.9">
      <c r="A12" s="23"/>
      <c r="B12" s="23"/>
      <c r="C12" s="23"/>
      <c r="D12" s="23"/>
      <c r="E12" s="23"/>
      <c r="F12" s="23"/>
      <c r="G12" s="23"/>
      <c r="H12" s="23"/>
      <c r="I12" s="23"/>
    </row>
    <row r="13" spans="1:9" ht="13.9">
      <c r="A13" s="23"/>
      <c r="B13" s="23"/>
      <c r="C13" s="23"/>
      <c r="D13" s="23"/>
      <c r="E13" s="23"/>
      <c r="F13" s="23"/>
      <c r="G13" s="23"/>
      <c r="H13" s="23"/>
      <c r="I13" s="23"/>
    </row>
    <row r="14" spans="1:9" ht="13.9">
      <c r="A14" s="23"/>
      <c r="B14" s="23"/>
      <c r="C14" s="23"/>
      <c r="D14" s="23"/>
      <c r="E14" s="23"/>
      <c r="F14" s="23"/>
      <c r="G14" s="23"/>
      <c r="H14" s="23"/>
      <c r="I14" s="23"/>
    </row>
    <row r="15" spans="1:9" ht="13.9">
      <c r="A15" s="23"/>
      <c r="B15" s="23"/>
      <c r="C15" s="23"/>
      <c r="D15" s="23"/>
      <c r="E15" s="23"/>
      <c r="F15" s="23"/>
      <c r="G15" s="23"/>
      <c r="H15" s="23"/>
      <c r="I15" s="23"/>
    </row>
    <row r="16" spans="1:9"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sortState xmlns:xlrd2="http://schemas.microsoft.com/office/spreadsheetml/2017/richdata2" ref="A3:I3">
    <sortCondition ref="A3"/>
  </sortState>
  <mergeCells count="4">
    <mergeCell ref="G1:I1"/>
    <mergeCell ref="A1:C1"/>
    <mergeCell ref="D1:F1"/>
    <mergeCell ref="A2:B2"/>
  </mergeCells>
  <conditionalFormatting sqref="F2 I2 F4:F89 I4:I89">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1"/>
  <sheetViews>
    <sheetView workbookViewId="0">
      <pane ySplit="2" topLeftCell="A3" activePane="bottomLeft" state="frozen"/>
      <selection pane="bottomLeft" activeCell="G19" sqref="G19"/>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43" t="str" cm="1">
        <f t="array" ref="A1">portfolio</f>
        <v>Joseph City USD</v>
      </c>
      <c r="B1" s="43"/>
      <c r="C1" s="43"/>
      <c r="D1" s="44" t="s">
        <v>12</v>
      </c>
      <c r="E1" s="44"/>
      <c r="F1" s="44"/>
      <c r="G1" s="42" t="s">
        <v>13</v>
      </c>
      <c r="H1" s="42"/>
      <c r="I1" s="42"/>
    </row>
    <row r="2" spans="1:9" ht="19.5" customHeight="1">
      <c r="A2" s="45" t="s">
        <v>2</v>
      </c>
      <c r="B2" s="45"/>
      <c r="C2" s="6">
        <f>SUM(C4:C89)</f>
        <v>1002703.36784099</v>
      </c>
      <c r="D2" s="6">
        <f>SUM(D4:D89)</f>
        <v>3795.1</v>
      </c>
      <c r="E2" s="6">
        <f>C2-D2</f>
        <v>998908.26784098998</v>
      </c>
      <c r="F2" s="7">
        <f>IFERROR(E2/D2, 0)</f>
        <v>263.20999916760826</v>
      </c>
      <c r="G2" s="6">
        <f>SUM(G4:G89)</f>
        <v>69735</v>
      </c>
      <c r="H2" s="8">
        <f>C2-G2</f>
        <v>932968.36784098996</v>
      </c>
      <c r="I2" s="7">
        <f>IFERROR(H2/G2, 0)</f>
        <v>13.37876773271657</v>
      </c>
    </row>
    <row r="3" spans="1:9" ht="14.25" customHeight="1">
      <c r="A3" s="9" t="s">
        <v>3</v>
      </c>
      <c r="B3" s="9" t="s">
        <v>4</v>
      </c>
      <c r="C3" s="25" t="s">
        <v>5</v>
      </c>
      <c r="D3" s="36" t="s">
        <v>6</v>
      </c>
      <c r="E3" s="36" t="s">
        <v>7</v>
      </c>
      <c r="F3" s="37" t="s">
        <v>8</v>
      </c>
      <c r="G3" s="38" t="s">
        <v>9</v>
      </c>
      <c r="H3" s="39" t="s">
        <v>7</v>
      </c>
      <c r="I3" s="40" t="s">
        <v>8</v>
      </c>
    </row>
    <row r="4" spans="1:9" ht="15.6">
      <c r="A4" s="13" t="str" cm="1">
        <f t="array" ref="A4">Sites[Site]</f>
        <v>AZ: Joseph City USD</v>
      </c>
      <c r="B4" s="10" t="str" cm="1">
        <f t="array" ref="B4">Sites[State]</f>
        <v>AZ</v>
      </c>
      <c r="C4" s="26">
        <f>SUM(Apr!C4, May!C4, Jun!C4)</f>
        <v>1002703.36784099</v>
      </c>
      <c r="D4" s="14">
        <f>SUM(Apr!D4, May!D4, Jun!D4)</f>
        <v>3795.1</v>
      </c>
      <c r="E4" s="14">
        <f>IF(AND(ISNUMBER(C4),ISNUMBER(D4)), C4-D4, "")</f>
        <v>998908.26784098998</v>
      </c>
      <c r="F4" s="15">
        <f>IFERROR(E4/D4, "")</f>
        <v>263.20999916760826</v>
      </c>
      <c r="G4" s="16">
        <f>SUM(Apr!G4,May!G4,Jun!G4)</f>
        <v>69735</v>
      </c>
      <c r="H4" s="16">
        <f>SUM(Apr!H4, May!H4, Jun!H4)</f>
        <v>932968.36784098996</v>
      </c>
      <c r="I4" s="17">
        <f>IFERROR(H4/G4, "")</f>
        <v>13.37876773271657</v>
      </c>
    </row>
    <row r="5" spans="1:9" ht="13.9">
      <c r="A5" s="23"/>
      <c r="B5" s="23"/>
      <c r="C5" s="23"/>
      <c r="D5" s="23"/>
      <c r="E5" s="23"/>
      <c r="F5" s="23"/>
      <c r="G5" s="23"/>
      <c r="H5" s="23"/>
      <c r="I5" s="23"/>
    </row>
    <row r="6" spans="1:9" ht="13.9">
      <c r="A6" s="23"/>
      <c r="B6" s="23"/>
      <c r="C6" s="23"/>
      <c r="D6" s="23"/>
      <c r="E6" s="23"/>
      <c r="F6" s="23"/>
      <c r="G6" s="23"/>
      <c r="H6" s="23"/>
      <c r="I6" s="23"/>
    </row>
    <row r="7" spans="1:9" ht="12.75" customHeight="1">
      <c r="A7" s="23"/>
      <c r="B7" s="23"/>
      <c r="C7" s="23"/>
      <c r="D7" s="23"/>
      <c r="E7" s="23"/>
      <c r="F7" s="23"/>
      <c r="G7" s="23"/>
      <c r="H7" s="23"/>
      <c r="I7" s="23"/>
    </row>
    <row r="8" spans="1:9" ht="13.9">
      <c r="A8" s="23"/>
      <c r="B8" s="23"/>
      <c r="C8" s="23"/>
      <c r="D8" s="23"/>
      <c r="E8" s="23"/>
      <c r="F8" s="23"/>
      <c r="G8" s="23"/>
      <c r="H8" s="23"/>
      <c r="I8" s="23"/>
    </row>
    <row r="9" spans="1:9" ht="13.9">
      <c r="A9" s="23"/>
      <c r="B9" s="23"/>
      <c r="C9" s="23"/>
      <c r="D9" s="23"/>
      <c r="E9" s="23"/>
      <c r="F9" s="23"/>
      <c r="G9" s="23"/>
      <c r="H9" s="23"/>
      <c r="I9" s="23"/>
    </row>
    <row r="10" spans="1:9" ht="13.9">
      <c r="A10" s="23"/>
      <c r="B10" s="23"/>
      <c r="C10" s="23"/>
      <c r="D10" s="23"/>
      <c r="E10" s="23"/>
      <c r="F10" s="23"/>
      <c r="G10" s="23"/>
      <c r="H10" s="23"/>
      <c r="I10" s="23"/>
    </row>
    <row r="11" spans="1:9" ht="13.9">
      <c r="A11" s="23"/>
      <c r="B11" s="23"/>
      <c r="C11" s="23"/>
      <c r="D11" s="23"/>
      <c r="E11" s="23"/>
      <c r="F11" s="23"/>
      <c r="G11" s="23"/>
      <c r="H11" s="23"/>
      <c r="I11" s="23"/>
    </row>
    <row r="12" spans="1:9" ht="13.9">
      <c r="A12" s="23"/>
      <c r="B12" s="23"/>
      <c r="C12" s="23"/>
      <c r="D12" s="23"/>
      <c r="E12" s="23"/>
      <c r="F12" s="23"/>
      <c r="G12" s="23"/>
      <c r="H12" s="23"/>
      <c r="I12" s="23"/>
    </row>
    <row r="13" spans="1:9" ht="13.9">
      <c r="A13" s="23"/>
      <c r="B13" s="23"/>
      <c r="C13" s="23"/>
      <c r="D13" s="23"/>
      <c r="E13" s="23"/>
      <c r="F13" s="23"/>
      <c r="G13" s="23"/>
      <c r="H13" s="23"/>
      <c r="I13" s="23"/>
    </row>
    <row r="14" spans="1:9" ht="13.9">
      <c r="A14" s="23"/>
      <c r="B14" s="23"/>
      <c r="C14" s="23"/>
      <c r="D14" s="23"/>
      <c r="E14" s="23"/>
      <c r="F14" s="23"/>
      <c r="G14" s="23"/>
      <c r="H14" s="23"/>
      <c r="I14" s="23"/>
    </row>
    <row r="15" spans="1:9" ht="13.9">
      <c r="A15" s="23"/>
      <c r="B15" s="23"/>
      <c r="C15" s="23"/>
      <c r="D15" s="23"/>
      <c r="E15" s="23"/>
      <c r="F15" s="23"/>
      <c r="G15" s="23"/>
      <c r="H15" s="23"/>
      <c r="I15" s="23"/>
    </row>
    <row r="16" spans="1:9"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sortState xmlns:xlrd2="http://schemas.microsoft.com/office/spreadsheetml/2017/richdata2" ref="A3:I4">
    <sortCondition ref="A3:A4"/>
  </sortState>
  <mergeCells count="4">
    <mergeCell ref="G1:I1"/>
    <mergeCell ref="A1:C1"/>
    <mergeCell ref="D1:F1"/>
    <mergeCell ref="A2:B2"/>
  </mergeCells>
  <conditionalFormatting sqref="F2 I2 F4:F89 I4:I89">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0"/>
  <sheetViews>
    <sheetView tabSelected="1" workbookViewId="0">
      <pane ySplit="2" topLeftCell="A3" activePane="bottomLeft" state="frozen"/>
      <selection pane="bottomLeft" activeCell="F11" sqref="F11"/>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43" t="str" cm="1">
        <f t="array" ref="A1">portfolio</f>
        <v>Joseph City USD</v>
      </c>
      <c r="B1" s="43"/>
      <c r="C1" s="43"/>
      <c r="D1" s="44" t="s">
        <v>14</v>
      </c>
      <c r="E1" s="44"/>
      <c r="F1" s="44"/>
      <c r="G1" s="42" t="s">
        <v>15</v>
      </c>
      <c r="H1" s="42"/>
      <c r="I1" s="42"/>
    </row>
    <row r="2" spans="1:9" ht="19.5" customHeight="1">
      <c r="A2" s="45" t="s">
        <v>2</v>
      </c>
      <c r="B2" s="45"/>
      <c r="C2" s="6">
        <f>SUM(C4:C88)</f>
        <v>140742.30900000001</v>
      </c>
      <c r="D2" s="6">
        <f>SUM(D4:D88)</f>
        <v>180973.05</v>
      </c>
      <c r="E2" s="6">
        <f>C2-D2</f>
        <v>-40230.74099999998</v>
      </c>
      <c r="F2" s="7">
        <f>IFERROR(E2/D2, 0)</f>
        <v>-0.2223023870128728</v>
      </c>
      <c r="G2" s="6">
        <f>SUM(G4:G88)</f>
        <v>161535.86199999999</v>
      </c>
      <c r="H2" s="8">
        <f>C2-G2</f>
        <v>-20793.552999999985</v>
      </c>
      <c r="I2" s="7">
        <f>IFERROR(H2/G2, 0)</f>
        <v>-0.12872406623861632</v>
      </c>
    </row>
    <row r="3" spans="1:9" ht="14.25" customHeight="1">
      <c r="A3" s="9" t="s">
        <v>3</v>
      </c>
      <c r="B3" s="9" t="s">
        <v>4</v>
      </c>
      <c r="C3" s="25" t="s">
        <v>5</v>
      </c>
      <c r="D3" s="36" t="s">
        <v>6</v>
      </c>
      <c r="E3" s="36" t="s">
        <v>7</v>
      </c>
      <c r="F3" s="37" t="s">
        <v>8</v>
      </c>
      <c r="G3" s="38" t="s">
        <v>9</v>
      </c>
      <c r="H3" s="39" t="s">
        <v>7</v>
      </c>
      <c r="I3" s="40" t="s">
        <v>8</v>
      </c>
    </row>
    <row r="4" spans="1:9" ht="15.6">
      <c r="A4" s="13" t="str" cm="1">
        <f t="array" ref="A4">Sites[Site]</f>
        <v>AZ: Joseph City USD</v>
      </c>
      <c r="B4" s="10" t="str" cm="1">
        <f t="array" ref="B4">Sites[State]</f>
        <v>AZ</v>
      </c>
      <c r="C4" s="26">
        <f>SUM(Jul!C4, Aug!C4, Sep!C4)</f>
        <v>140742.30900000001</v>
      </c>
      <c r="D4" s="14">
        <f>SUM(Jul!D4, Aug!D4, Sep!D4)</f>
        <v>180973.05</v>
      </c>
      <c r="E4" s="14">
        <f>IF(AND(ISNUMBER(C4),ISNUMBER(D4)), C4-D4, "")</f>
        <v>-40230.74099999998</v>
      </c>
      <c r="F4" s="15">
        <f>IFERROR(E4/D4, "")</f>
        <v>-0.2223023870128728</v>
      </c>
      <c r="G4" s="16">
        <f>SUM(Jul!G4,Aug!G4,Sep!G4)</f>
        <v>161535.86199999999</v>
      </c>
      <c r="H4" s="16">
        <f>SUM(Jul!H4, Aug!H4, Sep!H4)</f>
        <v>-20793.553</v>
      </c>
      <c r="I4" s="17">
        <f>IFERROR(H4/G4, "")</f>
        <v>-0.12872406623861643</v>
      </c>
    </row>
    <row r="5" spans="1:9" ht="13.9">
      <c r="A5" s="23"/>
      <c r="B5" s="23"/>
      <c r="C5" s="23"/>
      <c r="D5" s="23"/>
      <c r="E5" s="23"/>
      <c r="F5" s="23"/>
      <c r="G5" s="23"/>
      <c r="H5" s="23"/>
      <c r="I5" s="23"/>
    </row>
    <row r="6" spans="1:9" ht="12.75" customHeight="1">
      <c r="A6" s="23"/>
      <c r="B6" s="23"/>
      <c r="C6" s="23"/>
      <c r="D6" s="23"/>
      <c r="E6" s="23"/>
      <c r="F6" s="23"/>
      <c r="G6" s="23"/>
      <c r="H6" s="23"/>
      <c r="I6" s="23"/>
    </row>
    <row r="7" spans="1:9" ht="13.9">
      <c r="A7" s="23"/>
      <c r="B7" s="23"/>
      <c r="C7" s="23"/>
      <c r="D7" s="23"/>
      <c r="E7" s="23"/>
      <c r="F7" s="23"/>
      <c r="G7" s="23"/>
      <c r="H7" s="23"/>
      <c r="I7" s="23"/>
    </row>
    <row r="8" spans="1:9" ht="13.9">
      <c r="A8" s="23"/>
      <c r="B8" s="23"/>
      <c r="C8" s="23"/>
      <c r="D8" s="23"/>
      <c r="E8" s="23"/>
      <c r="F8" s="23"/>
      <c r="G8" s="23"/>
      <c r="H8" s="23"/>
      <c r="I8" s="23"/>
    </row>
    <row r="9" spans="1:9" ht="13.9">
      <c r="A9" s="23"/>
      <c r="B9" s="23"/>
      <c r="C9" s="23"/>
      <c r="D9" s="23"/>
      <c r="E9" s="23"/>
      <c r="F9" s="23"/>
      <c r="G9" s="23"/>
      <c r="H9" s="23"/>
      <c r="I9" s="23"/>
    </row>
    <row r="10" spans="1:9" ht="13.9">
      <c r="A10" s="23"/>
      <c r="B10" s="23"/>
      <c r="C10" s="23"/>
      <c r="D10" s="23"/>
      <c r="E10" s="23"/>
      <c r="F10" s="23"/>
      <c r="G10" s="23"/>
      <c r="H10" s="23"/>
      <c r="I10" s="23"/>
    </row>
    <row r="11" spans="1:9" ht="13.9">
      <c r="A11" s="23"/>
      <c r="B11" s="23"/>
      <c r="C11" s="23"/>
      <c r="D11" s="23"/>
      <c r="E11" s="23"/>
      <c r="F11" s="23"/>
      <c r="G11" s="23"/>
      <c r="H11" s="23"/>
      <c r="I11" s="23"/>
    </row>
    <row r="12" spans="1:9" ht="13.9">
      <c r="A12" s="23"/>
      <c r="B12" s="23"/>
      <c r="C12" s="23"/>
      <c r="D12" s="23"/>
      <c r="E12" s="23"/>
      <c r="F12" s="23"/>
      <c r="G12" s="23"/>
      <c r="H12" s="23"/>
      <c r="I12" s="23"/>
    </row>
    <row r="13" spans="1:9" ht="13.9">
      <c r="A13" s="23"/>
      <c r="B13" s="23"/>
      <c r="C13" s="23"/>
      <c r="D13" s="23"/>
      <c r="E13" s="23"/>
      <c r="F13" s="23"/>
      <c r="G13" s="23"/>
      <c r="H13" s="23"/>
      <c r="I13" s="23"/>
    </row>
    <row r="14" spans="1:9" ht="13.9">
      <c r="A14" s="23"/>
      <c r="B14" s="23"/>
      <c r="C14" s="23"/>
      <c r="D14" s="23"/>
      <c r="E14" s="23"/>
      <c r="F14" s="23"/>
      <c r="G14" s="23"/>
      <c r="H14" s="23"/>
      <c r="I14" s="23"/>
    </row>
    <row r="15" spans="1:9" ht="13.9">
      <c r="A15" s="23"/>
      <c r="B15" s="23"/>
      <c r="C15" s="23"/>
      <c r="D15" s="23"/>
      <c r="E15" s="23"/>
      <c r="F15" s="23"/>
      <c r="G15" s="23"/>
      <c r="H15" s="23"/>
      <c r="I15" s="23"/>
    </row>
    <row r="16" spans="1:9"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4"/>
      <c r="G21" s="23"/>
      <c r="H21" s="23"/>
      <c r="I21" s="24"/>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sheetData>
  <mergeCells count="4">
    <mergeCell ref="G1:I1"/>
    <mergeCell ref="A1:C1"/>
    <mergeCell ref="D1:F1"/>
    <mergeCell ref="A2:B2"/>
  </mergeCells>
  <conditionalFormatting sqref="F2 I2 F4:F88 I4:I88">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0"/>
  <sheetViews>
    <sheetView workbookViewId="0">
      <pane ySplit="2" topLeftCell="A3" activePane="bottomLeft" state="frozen"/>
      <selection pane="bottomLeft" activeCell="A5" sqref="A5:XFD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43" t="str" cm="1">
        <f t="array" ref="A1">portfolio</f>
        <v>Joseph City USD</v>
      </c>
      <c r="B1" s="43"/>
      <c r="C1" s="43"/>
      <c r="D1" s="44" t="s">
        <v>16</v>
      </c>
      <c r="E1" s="44"/>
      <c r="F1" s="44"/>
      <c r="G1" s="42" t="s">
        <v>17</v>
      </c>
      <c r="H1" s="42"/>
      <c r="I1" s="42"/>
    </row>
    <row r="2" spans="1:9" ht="19.5" customHeight="1">
      <c r="A2" s="45" t="s">
        <v>2</v>
      </c>
      <c r="B2" s="45"/>
      <c r="C2" s="6">
        <f>SUM(C4:C88)</f>
        <v>0</v>
      </c>
      <c r="D2" s="6">
        <f>SUM(D4:D88)</f>
        <v>0</v>
      </c>
      <c r="E2" s="6">
        <f>C2-D2</f>
        <v>0</v>
      </c>
      <c r="F2" s="7">
        <f>IFERROR(E2/D2, 0)</f>
        <v>0</v>
      </c>
      <c r="G2" s="6">
        <f>SUM(G4:G88)</f>
        <v>0</v>
      </c>
      <c r="H2" s="8">
        <f>C2-G2</f>
        <v>0</v>
      </c>
      <c r="I2" s="7">
        <f>IFERROR(H2/G2, 0)</f>
        <v>0</v>
      </c>
    </row>
    <row r="3" spans="1:9" ht="14.25" customHeight="1">
      <c r="A3" s="9" t="s">
        <v>3</v>
      </c>
      <c r="B3" s="9" t="s">
        <v>4</v>
      </c>
      <c r="C3" s="25" t="s">
        <v>5</v>
      </c>
      <c r="D3" s="36" t="s">
        <v>6</v>
      </c>
      <c r="E3" s="36" t="s">
        <v>7</v>
      </c>
      <c r="F3" s="37" t="s">
        <v>8</v>
      </c>
      <c r="G3" s="38" t="s">
        <v>9</v>
      </c>
      <c r="H3" s="39" t="s">
        <v>7</v>
      </c>
      <c r="I3" s="40" t="s">
        <v>8</v>
      </c>
    </row>
    <row r="4" spans="1:9" ht="15.6">
      <c r="A4" s="13" t="str" cm="1">
        <f t="array" ref="A4">Sites[Site]</f>
        <v>AZ: Joseph City USD</v>
      </c>
      <c r="B4" s="10" t="str" cm="1">
        <f t="array" ref="B4">Sites[State]</f>
        <v>AZ</v>
      </c>
      <c r="C4" s="26">
        <f>SUM(Oct!C4, Nov!C4, Dec!C4)</f>
        <v>0</v>
      </c>
      <c r="D4" s="14">
        <f>SUM(Oct!D4, Nov!D4, Dec!D4)</f>
        <v>0</v>
      </c>
      <c r="E4" s="14">
        <f>IF(AND(ISNUMBER(C4),ISNUMBER(D4)), C4-D4, "")</f>
        <v>0</v>
      </c>
      <c r="F4" s="15" t="str">
        <f>IFERROR(E4/D4, "")</f>
        <v/>
      </c>
      <c r="G4" s="16"/>
      <c r="H4" s="16">
        <f>SUM(Oct!H4, Nov!H4, Dec!H4)</f>
        <v>0</v>
      </c>
      <c r="I4" s="17" t="str">
        <f>IFERROR(H4/G4, "")</f>
        <v/>
      </c>
    </row>
    <row r="5" spans="1:9" ht="13.9">
      <c r="A5" s="23"/>
      <c r="B5" s="23"/>
      <c r="C5" s="23"/>
      <c r="D5" s="23"/>
      <c r="E5" s="23"/>
      <c r="F5" s="23"/>
      <c r="G5" s="23"/>
      <c r="H5" s="23"/>
      <c r="I5" s="23"/>
    </row>
    <row r="6" spans="1:9" ht="12.75" customHeight="1">
      <c r="A6" s="23"/>
      <c r="B6" s="23"/>
      <c r="C6" s="23"/>
      <c r="D6" s="23"/>
      <c r="E6" s="23"/>
      <c r="F6" s="23"/>
      <c r="G6" s="23"/>
      <c r="H6" s="23"/>
      <c r="I6" s="23"/>
    </row>
    <row r="7" spans="1:9" ht="13.9">
      <c r="A7" s="23"/>
      <c r="B7" s="23"/>
      <c r="C7" s="23"/>
      <c r="D7" s="23"/>
      <c r="E7" s="23"/>
      <c r="F7" s="23"/>
      <c r="G7" s="23"/>
      <c r="H7" s="23"/>
      <c r="I7" s="23"/>
    </row>
    <row r="8" spans="1:9" ht="13.9">
      <c r="A8" s="23"/>
      <c r="B8" s="23"/>
      <c r="C8" s="23"/>
      <c r="D8" s="23"/>
      <c r="E8" s="23"/>
      <c r="F8" s="23"/>
      <c r="G8" s="23"/>
      <c r="H8" s="23"/>
      <c r="I8" s="23"/>
    </row>
    <row r="9" spans="1:9" ht="13.9">
      <c r="A9" s="23"/>
      <c r="B9" s="23"/>
      <c r="C9" s="23"/>
      <c r="D9" s="23"/>
      <c r="E9" s="23"/>
      <c r="F9" s="23"/>
      <c r="G9" s="23"/>
      <c r="H9" s="23"/>
      <c r="I9" s="23"/>
    </row>
    <row r="10" spans="1:9" ht="13.9">
      <c r="A10" s="23"/>
      <c r="B10" s="23"/>
      <c r="C10" s="23"/>
      <c r="D10" s="23"/>
      <c r="E10" s="23"/>
      <c r="F10" s="23"/>
      <c r="G10" s="23"/>
      <c r="H10" s="23"/>
      <c r="I10" s="23"/>
    </row>
    <row r="11" spans="1:9" ht="13.9">
      <c r="A11" s="23"/>
      <c r="B11" s="23"/>
      <c r="C11" s="23"/>
      <c r="D11" s="23"/>
      <c r="E11" s="23"/>
      <c r="F11" s="23"/>
      <c r="G11" s="23"/>
      <c r="H11" s="23"/>
      <c r="I11" s="23"/>
    </row>
    <row r="12" spans="1:9" ht="13.9">
      <c r="A12" s="23"/>
      <c r="B12" s="23"/>
      <c r="C12" s="23"/>
      <c r="D12" s="23"/>
      <c r="E12" s="23"/>
      <c r="F12" s="23"/>
      <c r="G12" s="23"/>
      <c r="H12" s="23"/>
      <c r="I12" s="23"/>
    </row>
    <row r="13" spans="1:9" ht="13.9">
      <c r="A13" s="23"/>
      <c r="B13" s="23"/>
      <c r="C13" s="23"/>
      <c r="D13" s="23"/>
      <c r="E13" s="23"/>
      <c r="F13" s="23"/>
      <c r="G13" s="23"/>
      <c r="H13" s="23"/>
      <c r="I13" s="23"/>
    </row>
    <row r="14" spans="1:9" ht="13.9">
      <c r="A14" s="23"/>
      <c r="B14" s="23"/>
      <c r="C14" s="23"/>
      <c r="D14" s="23"/>
      <c r="E14" s="23"/>
      <c r="F14" s="23"/>
      <c r="G14" s="23"/>
      <c r="H14" s="23"/>
      <c r="I14" s="23"/>
    </row>
    <row r="15" spans="1:9" ht="13.9">
      <c r="A15" s="23"/>
      <c r="B15" s="23"/>
      <c r="C15" s="23"/>
      <c r="D15" s="23"/>
      <c r="E15" s="23"/>
      <c r="F15" s="23"/>
      <c r="G15" s="23"/>
      <c r="H15" s="23"/>
      <c r="I15" s="23"/>
    </row>
    <row r="16" spans="1:9"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4"/>
      <c r="G21" s="23"/>
      <c r="H21" s="23"/>
      <c r="I21" s="24"/>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sheetData>
  <mergeCells count="4">
    <mergeCell ref="G1:I1"/>
    <mergeCell ref="A1:C1"/>
    <mergeCell ref="D1:F1"/>
    <mergeCell ref="A2:B2"/>
  </mergeCells>
  <conditionalFormatting sqref="F2 I2 F4:F88 I4:I88">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30"/>
  <sheetViews>
    <sheetView topLeftCell="G1" workbookViewId="0">
      <pane ySplit="3" topLeftCell="A4" activePane="bottomLeft" state="frozen"/>
      <selection pane="bottomLeft" activeCell="K28" sqref="K28"/>
      <selection activeCell="A6" sqref="A6:A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3" t="str" cm="1">
        <f t="array" ref="A1">portfolio</f>
        <v>Joseph City USD</v>
      </c>
      <c r="B1" s="43"/>
      <c r="C1" s="43"/>
      <c r="D1" s="44" t="s">
        <v>18</v>
      </c>
      <c r="E1" s="44"/>
      <c r="F1" s="44"/>
      <c r="G1" s="42" t="s">
        <v>19</v>
      </c>
      <c r="H1" s="42"/>
      <c r="I1" s="42"/>
      <c r="J1" s="5"/>
      <c r="K1" s="5"/>
    </row>
    <row r="2" spans="1:11" ht="19.5" customHeight="1">
      <c r="A2" s="45" t="s">
        <v>2</v>
      </c>
      <c r="B2" s="45"/>
      <c r="C2" s="6">
        <f>SUM(C4:C88)</f>
        <v>0</v>
      </c>
      <c r="D2" s="6">
        <f>SUM(D4:D88)</f>
        <v>0</v>
      </c>
      <c r="E2" s="6">
        <f>C2-D2</f>
        <v>0</v>
      </c>
      <c r="F2" s="7">
        <f>IFERROR(E2/D2, 0)</f>
        <v>0</v>
      </c>
      <c r="G2" s="6">
        <f>SUM(G4:G88)</f>
        <v>0</v>
      </c>
      <c r="H2" s="8">
        <f>C2-G2</f>
        <v>0</v>
      </c>
      <c r="I2" s="7">
        <f>IFERROR(H2/G2, 0)</f>
        <v>0</v>
      </c>
      <c r="J2" s="28" t="str">
        <f ca="1">IF(AND(TODAY()&gt;DATE(2024, 1, 1), COUNTA(Sites[Site])&lt;&gt;(COUNT(C:C)-1)), "Some sites are missing actual data; if new sites were added, make sure they are aligned correctly (including prior months!)", "")</f>
        <v/>
      </c>
      <c r="K2" s="5"/>
    </row>
    <row r="3" spans="1:11" ht="14.25" customHeight="1">
      <c r="A3" s="29" t="s">
        <v>3</v>
      </c>
      <c r="B3" s="9" t="s">
        <v>4</v>
      </c>
      <c r="C3" s="25" t="s">
        <v>5</v>
      </c>
      <c r="D3" s="36" t="s">
        <v>6</v>
      </c>
      <c r="E3" s="36" t="s">
        <v>7</v>
      </c>
      <c r="F3" s="37" t="s">
        <v>8</v>
      </c>
      <c r="G3" s="41" t="s">
        <v>9</v>
      </c>
      <c r="H3" s="39" t="s">
        <v>7</v>
      </c>
      <c r="I3" s="40" t="s">
        <v>8</v>
      </c>
      <c r="J3" s="27" t="s">
        <v>20</v>
      </c>
      <c r="K3" s="27" t="s">
        <v>21</v>
      </c>
    </row>
    <row r="4" spans="1:11" ht="15.6">
      <c r="A4" s="33" t="str" cm="1">
        <f t="array" ref="A4">Sites[Site]</f>
        <v>AZ: Joseph City USD</v>
      </c>
      <c r="B4" s="30" t="str" cm="1">
        <f t="array" ref="B4">Sites[State]</f>
        <v>AZ</v>
      </c>
      <c r="C4" s="26">
        <v>0</v>
      </c>
      <c r="D4" s="14">
        <v>0</v>
      </c>
      <c r="E4" s="14">
        <f>IF(AND(ISNUMBER(C4),ISNUMBER(D4)), C4-D4, "")</f>
        <v>0</v>
      </c>
      <c r="F4" s="15">
        <f>IFERROR(E4/D4, 0)</f>
        <v>0</v>
      </c>
      <c r="G4" s="16">
        <v>0</v>
      </c>
      <c r="H4" s="16">
        <f>IF(AND(ISNUMBER(C4),ISNUMBER(G4)), C4-G4, "")</f>
        <v>0</v>
      </c>
      <c r="I4" s="17">
        <f>IFERROR(H4/G4, 0)</f>
        <v>0</v>
      </c>
      <c r="J4" s="18" t="s">
        <v>22</v>
      </c>
      <c r="K4" s="18" t="s">
        <v>23</v>
      </c>
    </row>
    <row r="5" spans="1:11" ht="14.45">
      <c r="A5" s="23"/>
      <c r="B5" s="34"/>
      <c r="C5" s="23"/>
      <c r="D5" s="23"/>
      <c r="E5" s="23" t="str">
        <f t="shared" ref="E5" si="0">IF(AND(ISNUMBER(C5),ISNUMBER(D5)), C5-D5, "")</f>
        <v/>
      </c>
      <c r="F5" s="23" t="str">
        <f t="shared" ref="F5" si="1">IFERROR(E5/D5, "")</f>
        <v/>
      </c>
      <c r="G5" s="23"/>
      <c r="H5" s="23" t="str">
        <f t="shared" ref="H5" si="2">IF(AND(ISNUMBER(C5),ISNUMBER(G5)), C5-G5, "")</f>
        <v/>
      </c>
      <c r="I5" s="23" t="str">
        <f t="shared" ref="I5" si="3">IFERROR(H5/G5, "")</f>
        <v/>
      </c>
      <c r="J5" s="23"/>
      <c r="K5" s="23"/>
    </row>
    <row r="6" spans="1:11" ht="12.75" customHeight="1">
      <c r="A6" s="23"/>
      <c r="B6" s="34"/>
      <c r="C6" s="23"/>
      <c r="D6" s="23"/>
      <c r="E6" s="23"/>
      <c r="F6" s="23"/>
      <c r="G6" s="23"/>
      <c r="H6" s="23"/>
      <c r="I6" s="23"/>
      <c r="J6" s="23"/>
      <c r="K6" s="23"/>
    </row>
    <row r="7" spans="1:11" ht="14.45">
      <c r="A7" s="23"/>
      <c r="B7" s="34"/>
      <c r="C7" s="23"/>
      <c r="D7" s="23"/>
      <c r="E7" s="23"/>
      <c r="F7" s="23"/>
      <c r="G7" s="23"/>
      <c r="H7" s="23"/>
      <c r="I7" s="23"/>
      <c r="J7" s="23"/>
      <c r="K7" s="23"/>
    </row>
    <row r="8" spans="1:11" ht="14.45">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4"/>
      <c r="G21" s="23"/>
      <c r="H21" s="23"/>
      <c r="I21" s="24"/>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sheetData>
  <mergeCells count="4">
    <mergeCell ref="D1:F1"/>
    <mergeCell ref="A1:C1"/>
    <mergeCell ref="G1:I1"/>
    <mergeCell ref="A2:B2"/>
  </mergeCells>
  <conditionalFormatting sqref="F2 I2 F4:F88 I4:I88">
    <cfRule type="cellIs" dxfId="26" priority="2" stopIfTrue="1" operator="lessThanOrEqual">
      <formula>-0.1</formula>
    </cfRule>
    <cfRule type="expression" dxfId="25" priority="3">
      <formula>AND(ISNUMBER(F2), F2&gt;=0.1)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K331"/>
  <sheetViews>
    <sheetView topLeftCell="C1" workbookViewId="0">
      <pane ySplit="2" topLeftCell="A3" activePane="bottomLeft" state="frozen"/>
      <selection pane="bottomLeft" activeCell="J4" sqref="J4:K4"/>
      <selection activeCell="A6" sqref="A6:A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3" t="str" cm="1">
        <f t="array" ref="A1">portfolio</f>
        <v>Joseph City USD</v>
      </c>
      <c r="B1" s="43"/>
      <c r="C1" s="43"/>
      <c r="D1" s="44" t="s">
        <v>24</v>
      </c>
      <c r="E1" s="44"/>
      <c r="F1" s="44"/>
      <c r="G1" s="42" t="s">
        <v>25</v>
      </c>
      <c r="H1" s="42"/>
      <c r="I1" s="42"/>
      <c r="J1" s="5"/>
      <c r="K1" s="5"/>
    </row>
    <row r="2" spans="1:11" ht="19.5" customHeight="1">
      <c r="A2" s="45" t="s">
        <v>2</v>
      </c>
      <c r="B2" s="45"/>
      <c r="C2" s="6">
        <f>SUM(C4:C89)</f>
        <v>0</v>
      </c>
      <c r="D2" s="6">
        <f>SUM(D4:D89)</f>
        <v>0</v>
      </c>
      <c r="E2" s="6">
        <f>C2-D2</f>
        <v>0</v>
      </c>
      <c r="F2" s="7">
        <f>IFERROR(E2/D2, 0)</f>
        <v>0</v>
      </c>
      <c r="G2" s="6">
        <f>SUM(G4:G89)</f>
        <v>0</v>
      </c>
      <c r="H2" s="8">
        <f>C2-G2</f>
        <v>0</v>
      </c>
      <c r="I2" s="7">
        <f>IFERROR(H2/G2, 0)</f>
        <v>0</v>
      </c>
      <c r="J2" s="28" t="str">
        <f ca="1">IF(AND(TODAY()&gt;DATE(2024, 2,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Sites[Site]</f>
        <v>AZ: Joseph City USD</v>
      </c>
      <c r="B4" s="30" t="str" cm="1">
        <f t="array" ref="B4">Sites[State]</f>
        <v>AZ</v>
      </c>
      <c r="C4" s="26">
        <v>0</v>
      </c>
      <c r="D4" s="14">
        <v>0</v>
      </c>
      <c r="E4" s="14">
        <f>IF(AND(ISNUMBER(C4),ISNUMBER(D4)), C4-D4, "")</f>
        <v>0</v>
      </c>
      <c r="F4" s="15" t="str">
        <f>IFERROR(E4/D4, "")</f>
        <v/>
      </c>
      <c r="G4" s="16">
        <v>0</v>
      </c>
      <c r="H4" s="16">
        <f>IF(AND(ISNUMBER(C4),ISNUMBER(G4)), C4-G4, "")</f>
        <v>0</v>
      </c>
      <c r="I4" s="17" t="str">
        <f>IFERROR(H4/G4, "")</f>
        <v/>
      </c>
      <c r="J4" s="18" t="s">
        <v>22</v>
      </c>
      <c r="K4" s="18" t="s">
        <v>23</v>
      </c>
    </row>
    <row r="5" spans="1:11" ht="14.45">
      <c r="A5" s="23"/>
      <c r="B5" s="34"/>
      <c r="C5" s="23"/>
      <c r="D5" s="23"/>
      <c r="E5" s="23"/>
      <c r="F5" s="23"/>
      <c r="G5" s="23"/>
      <c r="H5" s="23"/>
      <c r="I5" s="23"/>
      <c r="J5" s="23"/>
      <c r="K5" s="23"/>
    </row>
    <row r="6" spans="1:11" ht="14.45">
      <c r="A6" s="23"/>
      <c r="B6" s="34"/>
      <c r="C6" s="23"/>
      <c r="D6" s="23"/>
      <c r="E6" s="23"/>
      <c r="F6" s="23"/>
      <c r="G6" s="23"/>
      <c r="H6" s="23"/>
      <c r="I6" s="23"/>
      <c r="J6" s="23"/>
      <c r="K6" s="23"/>
    </row>
    <row r="7" spans="1:11" ht="12.75" customHeight="1">
      <c r="A7" s="23"/>
      <c r="B7" s="34"/>
      <c r="C7" s="23"/>
      <c r="D7" s="23"/>
      <c r="E7" s="23"/>
      <c r="F7" s="23"/>
      <c r="G7" s="23"/>
      <c r="H7" s="23"/>
      <c r="I7" s="23"/>
      <c r="J7" s="23"/>
      <c r="K7" s="23"/>
    </row>
    <row r="8" spans="1:11" ht="14.45">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C331" s="23"/>
      <c r="D331" s="23"/>
      <c r="E331" s="23"/>
      <c r="F331" s="24"/>
      <c r="G331" s="23"/>
      <c r="H331" s="23"/>
      <c r="I331" s="24"/>
      <c r="J331" s="23"/>
      <c r="K331" s="23"/>
    </row>
  </sheetData>
  <mergeCells count="4">
    <mergeCell ref="G1:I1"/>
    <mergeCell ref="A1:C1"/>
    <mergeCell ref="D1:F1"/>
    <mergeCell ref="A2:B2"/>
  </mergeCells>
  <conditionalFormatting sqref="F2 I2 F4:F89 I4:I89">
    <cfRule type="cellIs" dxfId="24" priority="1" stopIfTrue="1" operator="lessThanOrEqual">
      <formula>-0.1</formula>
    </cfRule>
    <cfRule type="expression" dxfId="23" priority="2">
      <formula>AND(ISNUMBER(F2), F2&gt;=0.1)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K332"/>
  <sheetViews>
    <sheetView workbookViewId="0">
      <pane ySplit="2" topLeftCell="A3" activePane="bottomLeft" state="frozen"/>
      <selection pane="bottomLeft" activeCell="K4" sqref="K4"/>
      <selection activeCell="A6" sqref="A6:A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3" t="str" cm="1">
        <f t="array" ref="A1">portfolio</f>
        <v>Joseph City USD</v>
      </c>
      <c r="B1" s="43"/>
      <c r="C1" s="43"/>
      <c r="D1" s="44" t="s">
        <v>26</v>
      </c>
      <c r="E1" s="44"/>
      <c r="F1" s="44"/>
      <c r="G1" s="42" t="s">
        <v>27</v>
      </c>
      <c r="H1" s="42"/>
      <c r="I1" s="42"/>
      <c r="J1" s="5"/>
      <c r="K1" s="5"/>
    </row>
    <row r="2" spans="1:11" ht="19.5" customHeight="1">
      <c r="A2" s="45" t="s">
        <v>2</v>
      </c>
      <c r="B2" s="45"/>
      <c r="C2" s="6">
        <f>SUM(C4:C90)</f>
        <v>0</v>
      </c>
      <c r="D2" s="6">
        <f>SUM(D4:D90)</f>
        <v>0</v>
      </c>
      <c r="E2" s="6">
        <f>C2-D2</f>
        <v>0</v>
      </c>
      <c r="F2" s="7">
        <f>IFERROR(E2/D2, 0)</f>
        <v>0</v>
      </c>
      <c r="G2" s="6">
        <f>SUM(G4:G90)</f>
        <v>0</v>
      </c>
      <c r="H2" s="8">
        <f>C2-G2</f>
        <v>0</v>
      </c>
      <c r="I2" s="7">
        <f>IFERROR(H2/G2, 0)</f>
        <v>0</v>
      </c>
      <c r="J2" s="28" t="str">
        <f ca="1">IF(AND(TODAY()&gt;DATE(2024, 3,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Sites[Site]</f>
        <v>AZ: Joseph City USD</v>
      </c>
      <c r="B4" s="30" t="str" cm="1">
        <f t="array" ref="B4">Sites[State]</f>
        <v>AZ</v>
      </c>
      <c r="C4" s="26">
        <v>0</v>
      </c>
      <c r="D4" s="14">
        <v>0</v>
      </c>
      <c r="E4" s="14">
        <f>IF(AND(ISNUMBER(C4),ISNUMBER(D4)), C4-D4, "")</f>
        <v>0</v>
      </c>
      <c r="F4" s="15" t="str">
        <f>IFERROR(E4/D4, "")</f>
        <v/>
      </c>
      <c r="G4" s="16">
        <v>0</v>
      </c>
      <c r="H4" s="16">
        <f>IF(AND(ISNUMBER(C4),ISNUMBER(G4)), C4-G4, "")</f>
        <v>0</v>
      </c>
      <c r="I4" s="17" t="str">
        <f>IFERROR(H4/G4, "")</f>
        <v/>
      </c>
      <c r="J4" s="18" t="s">
        <v>22</v>
      </c>
      <c r="K4" s="18" t="s">
        <v>23</v>
      </c>
    </row>
    <row r="5" spans="1:11"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5">
      <c r="A6" s="23"/>
      <c r="B6" s="34"/>
      <c r="C6" s="23"/>
      <c r="D6" s="23"/>
      <c r="E6" s="23"/>
      <c r="F6" s="23"/>
      <c r="G6" s="23"/>
      <c r="H6" s="23"/>
      <c r="I6" s="23"/>
      <c r="J6" s="23"/>
      <c r="K6" s="23"/>
    </row>
    <row r="7" spans="1:11" ht="14.45">
      <c r="A7" s="23"/>
      <c r="B7" s="34"/>
      <c r="C7" s="23"/>
      <c r="D7" s="23"/>
      <c r="E7" s="23"/>
      <c r="F7" s="23"/>
      <c r="G7" s="23"/>
      <c r="H7" s="23"/>
      <c r="I7" s="23"/>
      <c r="J7" s="23"/>
      <c r="K7" s="23"/>
    </row>
    <row r="8" spans="1:11" ht="12.75" customHeight="1">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2" priority="1" stopIfTrue="1" operator="lessThanOrEqual">
      <formula>-0.1</formula>
    </cfRule>
    <cfRule type="expression" dxfId="21" priority="2">
      <formula>AND(ISNUMBER(F2), F2&gt;=0.1)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32"/>
  <sheetViews>
    <sheetView workbookViewId="0">
      <pane ySplit="2" topLeftCell="A3" activePane="bottomLeft" state="frozen"/>
      <selection pane="bottomLeft" activeCell="J4" sqref="J4"/>
      <selection activeCell="A6" sqref="A6:A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3" t="str" cm="1">
        <f t="array" ref="A1">portfolio</f>
        <v>Joseph City USD</v>
      </c>
      <c r="B1" s="43"/>
      <c r="C1" s="43"/>
      <c r="D1" s="44" t="s">
        <v>28</v>
      </c>
      <c r="E1" s="44"/>
      <c r="F1" s="44"/>
      <c r="G1" s="42" t="s">
        <v>29</v>
      </c>
      <c r="H1" s="42"/>
      <c r="I1" s="42"/>
      <c r="J1" s="5"/>
      <c r="K1" s="5"/>
    </row>
    <row r="2" spans="1:11" ht="19.5" customHeight="1">
      <c r="A2" s="45" t="s">
        <v>2</v>
      </c>
      <c r="B2" s="45"/>
      <c r="C2" s="6">
        <f>SUM(C4:C90)</f>
        <v>0</v>
      </c>
      <c r="D2" s="6">
        <f>SUM(D4:D90)</f>
        <v>0</v>
      </c>
      <c r="E2" s="6">
        <f>C2-D2</f>
        <v>0</v>
      </c>
      <c r="F2" s="7">
        <f>IFERROR(E2/D2, 0)</f>
        <v>0</v>
      </c>
      <c r="G2" s="6">
        <f>SUM(G4:G90)</f>
        <v>0</v>
      </c>
      <c r="H2" s="8">
        <f>C2-G2</f>
        <v>0</v>
      </c>
      <c r="I2" s="7">
        <f>IFERROR(H2/G2, 0)</f>
        <v>0</v>
      </c>
      <c r="J2" s="28" t="str">
        <f ca="1">IF(AND(TODAY()&gt;DATE(2024, 4,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Sites[Site]</f>
        <v>AZ: Joseph City USD</v>
      </c>
      <c r="B4" s="30" t="str" cm="1">
        <f t="array" ref="B4">Sites[State]</f>
        <v>AZ</v>
      </c>
      <c r="C4" s="26">
        <v>0</v>
      </c>
      <c r="D4" s="14">
        <v>0</v>
      </c>
      <c r="E4" s="14">
        <f>IF(AND(ISNUMBER(C4),ISNUMBER(D4)), C4-D4, "")</f>
        <v>0</v>
      </c>
      <c r="F4" s="15" t="str">
        <f>IFERROR(E4/D4, "")</f>
        <v/>
      </c>
      <c r="G4">
        <v>0</v>
      </c>
      <c r="H4" s="16">
        <f>IF(AND(ISNUMBER(C4),ISNUMBER(G4)), C4-G4, "")</f>
        <v>0</v>
      </c>
      <c r="I4" s="17" t="str">
        <f>IFERROR(H4/G4, "")</f>
        <v/>
      </c>
      <c r="J4" s="18" t="s">
        <v>30</v>
      </c>
      <c r="K4" s="18" t="s">
        <v>23</v>
      </c>
    </row>
    <row r="5" spans="1:11"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5">
      <c r="A6" s="23"/>
      <c r="B6" s="34"/>
      <c r="C6" s="23"/>
      <c r="D6" s="23"/>
      <c r="E6" s="23"/>
      <c r="F6" s="23"/>
      <c r="G6" s="23"/>
      <c r="H6" s="23"/>
      <c r="I6" s="23"/>
      <c r="J6" s="23"/>
      <c r="K6" s="23"/>
    </row>
    <row r="7" spans="1:11" ht="14.45">
      <c r="A7" s="23"/>
      <c r="B7" s="34"/>
      <c r="C7" s="23"/>
      <c r="D7" s="23"/>
      <c r="E7" s="23"/>
      <c r="F7" s="23"/>
      <c r="G7" s="23"/>
      <c r="H7" s="23"/>
      <c r="I7" s="23"/>
      <c r="J7" s="23"/>
      <c r="K7" s="23"/>
    </row>
    <row r="8" spans="1:11" ht="12.75" customHeight="1">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0" priority="1" stopIfTrue="1" operator="lessThanOrEqual">
      <formula>-0.1</formula>
    </cfRule>
    <cfRule type="expression" dxfId="19" priority="2">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32"/>
  <sheetViews>
    <sheetView workbookViewId="0">
      <pane ySplit="2" topLeftCell="A3" activePane="bottomLeft" state="frozen"/>
      <selection pane="bottomLeft" activeCell="J4" sqref="J4"/>
      <selection activeCell="A6" sqref="A6:A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3" t="str" cm="1">
        <f t="array" ref="A1">portfolio</f>
        <v>Joseph City USD</v>
      </c>
      <c r="B1" s="43"/>
      <c r="C1" s="43"/>
      <c r="D1" s="44" t="s">
        <v>31</v>
      </c>
      <c r="E1" s="44"/>
      <c r="F1" s="44"/>
      <c r="G1" s="42" t="s">
        <v>32</v>
      </c>
      <c r="H1" s="42"/>
      <c r="I1" s="42"/>
      <c r="J1" s="5"/>
      <c r="K1" s="5"/>
    </row>
    <row r="2" spans="1:11" ht="19.5" customHeight="1">
      <c r="A2" s="45" t="s">
        <v>2</v>
      </c>
      <c r="B2" s="45"/>
      <c r="C2" s="6">
        <f>SUM(C4:C90)</f>
        <v>0</v>
      </c>
      <c r="D2" s="6">
        <f>SUM(D4:D90)</f>
        <v>0</v>
      </c>
      <c r="E2" s="6">
        <f>C2-D2</f>
        <v>0</v>
      </c>
      <c r="F2" s="7">
        <f>IFERROR(E2/D2, 0)</f>
        <v>0</v>
      </c>
      <c r="G2" s="6">
        <f>SUM(G4:G90)</f>
        <v>0</v>
      </c>
      <c r="H2" s="8">
        <f>C2-G2</f>
        <v>0</v>
      </c>
      <c r="I2" s="7">
        <f>IFERROR(H2/G2, 0)</f>
        <v>0</v>
      </c>
      <c r="J2" s="28" t="str">
        <f ca="1">IF(AND(TODAY()&gt;DATE(2024, 5,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Sites[Site]</f>
        <v>AZ: Joseph City USD</v>
      </c>
      <c r="B4" s="30" t="str" cm="1">
        <f t="array" ref="B4">Sites[State]</f>
        <v>AZ</v>
      </c>
      <c r="C4" s="26">
        <v>0</v>
      </c>
      <c r="D4" s="14">
        <v>0</v>
      </c>
      <c r="E4" s="14">
        <f>IF(AND(ISNUMBER(C4),ISNUMBER(D4)), C4-D4, "")</f>
        <v>0</v>
      </c>
      <c r="F4" s="15" t="str">
        <f>IFERROR(E4/D4, "")</f>
        <v/>
      </c>
      <c r="G4" s="16">
        <v>0</v>
      </c>
      <c r="H4" s="16">
        <f>IF(AND(ISNUMBER(C4),ISNUMBER(G4)), C4-G4, "")</f>
        <v>0</v>
      </c>
      <c r="I4" s="17" t="str">
        <f>IFERROR(H4/G4, "")</f>
        <v/>
      </c>
      <c r="J4" s="18" t="s">
        <v>33</v>
      </c>
      <c r="K4" s="18" t="s">
        <v>23</v>
      </c>
    </row>
    <row r="5" spans="1:11"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5">
      <c r="A6" s="23"/>
      <c r="B6" s="34"/>
      <c r="C6" s="23"/>
      <c r="D6" s="23"/>
      <c r="E6" s="23"/>
      <c r="F6" s="23"/>
      <c r="G6" s="23"/>
      <c r="H6" s="23"/>
      <c r="I6" s="23"/>
      <c r="J6" s="23"/>
      <c r="K6" s="23"/>
    </row>
    <row r="7" spans="1:11" ht="14.45">
      <c r="A7" s="23"/>
      <c r="B7" s="34"/>
      <c r="C7" s="23"/>
      <c r="D7" s="23"/>
      <c r="E7" s="23"/>
      <c r="F7" s="23"/>
      <c r="G7" s="23"/>
      <c r="H7" s="23"/>
      <c r="I7" s="23"/>
      <c r="J7" s="23"/>
      <c r="K7" s="23"/>
    </row>
    <row r="8" spans="1:11" ht="12.75" customHeight="1">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8" priority="1" stopIfTrue="1" operator="lessThanOrEqual">
      <formula>-0.1</formula>
    </cfRule>
    <cfRule type="expression" dxfId="17" priority="2">
      <formula>AND(ISNUMBER(F2), F2&gt;=0.1)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31"/>
  <sheetViews>
    <sheetView workbookViewId="0">
      <pane ySplit="2" topLeftCell="A3" activePane="bottomLeft" state="frozen"/>
      <selection pane="bottomLeft" activeCell="J12" sqref="J12"/>
      <selection activeCell="A6" sqref="A6:A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3" t="str" cm="1">
        <f t="array" ref="A1">portfolio</f>
        <v>Joseph City USD</v>
      </c>
      <c r="B1" s="43"/>
      <c r="C1" s="43"/>
      <c r="D1" s="44" t="s">
        <v>34</v>
      </c>
      <c r="E1" s="44"/>
      <c r="F1" s="44"/>
      <c r="G1" s="42" t="s">
        <v>35</v>
      </c>
      <c r="H1" s="42"/>
      <c r="I1" s="42"/>
      <c r="J1" s="5"/>
      <c r="K1" s="5"/>
    </row>
    <row r="2" spans="1:11" ht="19.5" customHeight="1">
      <c r="A2" s="45" t="s">
        <v>2</v>
      </c>
      <c r="B2" s="45"/>
      <c r="C2" s="6">
        <f>SUM(C4:C89)</f>
        <v>1002703.36784099</v>
      </c>
      <c r="D2" s="6">
        <f>SUM(D4:D89)</f>
        <v>3795.1</v>
      </c>
      <c r="E2" s="6">
        <f>C2-D2</f>
        <v>998908.26784098998</v>
      </c>
      <c r="F2" s="7">
        <f>IFERROR(E2/D2, 0)</f>
        <v>263.20999916760826</v>
      </c>
      <c r="G2" s="6">
        <f>SUM(G4:G89)</f>
        <v>69735</v>
      </c>
      <c r="H2" s="8">
        <f>C2-G2</f>
        <v>932968.36784098996</v>
      </c>
      <c r="I2" s="7">
        <f>IFERROR(H2/G2, 0)</f>
        <v>13.37876773271657</v>
      </c>
      <c r="J2" s="28" t="str">
        <f ca="1">IF(AND(TODAY()&gt;DATE(2024, 6,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75.75" customHeight="1">
      <c r="A4" s="33" t="str" cm="1">
        <f t="array" ref="A4">Sites[Site]</f>
        <v>AZ: Joseph City USD</v>
      </c>
      <c r="B4" s="30" t="str" cm="1">
        <f t="array" ref="B4">Sites[State]</f>
        <v>AZ</v>
      </c>
      <c r="C4" s="26">
        <v>1002703.36784099</v>
      </c>
      <c r="D4" s="14">
        <v>3795.1</v>
      </c>
      <c r="E4" s="14">
        <f>IF(AND(ISNUMBER(C4),ISNUMBER(D4)), C4-D4, "")</f>
        <v>998908.26784098998</v>
      </c>
      <c r="F4" s="15">
        <f>IFERROR(E4/D4, "")</f>
        <v>263.20999916760826</v>
      </c>
      <c r="G4" s="16">
        <v>69735</v>
      </c>
      <c r="H4" s="16">
        <f>IF(AND(ISNUMBER(C4),ISNUMBER(G4)), C4-G4, "")</f>
        <v>932968.36784098996</v>
      </c>
      <c r="I4" s="17">
        <f>IFERROR(H4/G4, "")</f>
        <v>13.37876773271657</v>
      </c>
      <c r="J4" s="18" t="s">
        <v>36</v>
      </c>
      <c r="K4" s="18" t="s">
        <v>37</v>
      </c>
    </row>
    <row r="5" spans="1:11" ht="14.45">
      <c r="A5" s="23"/>
      <c r="B5" s="34"/>
      <c r="C5" s="23"/>
      <c r="D5" s="23"/>
      <c r="E5" s="23"/>
      <c r="F5" s="23"/>
      <c r="G5" s="23"/>
      <c r="H5" s="23"/>
      <c r="I5" s="23"/>
      <c r="J5" s="23"/>
      <c r="K5" s="23"/>
    </row>
    <row r="6" spans="1:11" ht="14.45">
      <c r="A6" s="23"/>
      <c r="B6" s="34"/>
      <c r="C6" s="23"/>
      <c r="D6" s="23"/>
      <c r="E6" s="23"/>
      <c r="F6" s="23"/>
      <c r="G6" s="23"/>
      <c r="H6" s="23"/>
      <c r="I6" s="23"/>
      <c r="J6" s="23"/>
      <c r="K6" s="23"/>
    </row>
    <row r="7" spans="1:11" ht="12.75" customHeight="1">
      <c r="A7" s="23"/>
      <c r="B7" s="34"/>
      <c r="C7" s="23"/>
      <c r="D7" s="23"/>
      <c r="E7" s="23"/>
      <c r="F7" s="23"/>
      <c r="G7" s="23"/>
      <c r="H7" s="23"/>
      <c r="I7" s="23"/>
      <c r="J7" s="23"/>
      <c r="K7" s="23"/>
    </row>
    <row r="8" spans="1:11" ht="14.45">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C331" s="23"/>
      <c r="D331" s="23"/>
      <c r="E331" s="23"/>
      <c r="F331" s="24"/>
      <c r="G331" s="23"/>
      <c r="H331" s="23"/>
      <c r="I331" s="24"/>
      <c r="J331" s="23"/>
      <c r="K331" s="23"/>
    </row>
  </sheetData>
  <mergeCells count="4">
    <mergeCell ref="G1:I1"/>
    <mergeCell ref="A1:C1"/>
    <mergeCell ref="D1:F1"/>
    <mergeCell ref="A2:B2"/>
  </mergeCells>
  <conditionalFormatting sqref="F2 I2 F4:F89 I4:I89">
    <cfRule type="cellIs" dxfId="16" priority="1" stopIfTrue="1" operator="lessThanOrEqual">
      <formula>-0.1</formula>
    </cfRule>
    <cfRule type="expression" dxfId="15" priority="2">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31"/>
  <sheetViews>
    <sheetView workbookViewId="0">
      <pane ySplit="2" topLeftCell="A3" activePane="bottomLeft" state="frozen"/>
      <selection pane="bottomLeft" activeCell="A4" sqref="A4"/>
      <selection activeCell="A6" sqref="A6:A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3" t="str" cm="1">
        <f t="array" ref="A1">portfolio</f>
        <v>Joseph City USD</v>
      </c>
      <c r="B1" s="43"/>
      <c r="C1" s="43"/>
      <c r="D1" s="44" t="s">
        <v>38</v>
      </c>
      <c r="E1" s="44"/>
      <c r="F1" s="44"/>
      <c r="G1" s="42" t="s">
        <v>39</v>
      </c>
      <c r="H1" s="42"/>
      <c r="I1" s="42"/>
      <c r="J1" s="5"/>
      <c r="K1" s="5"/>
    </row>
    <row r="2" spans="1:11" ht="19.5" customHeight="1">
      <c r="A2" s="45" t="s">
        <v>2</v>
      </c>
      <c r="B2" s="45"/>
      <c r="C2" s="6">
        <f>SUM(C4:C89)</f>
        <v>60800.309000000001</v>
      </c>
      <c r="D2" s="6">
        <f>SUM(D4:D89)</f>
        <v>63114.788999999997</v>
      </c>
      <c r="E2" s="6">
        <f>C2-D2</f>
        <v>-2314.4799999999959</v>
      </c>
      <c r="F2" s="7">
        <f>IFERROR(E2/D2, 0)</f>
        <v>-3.667096153961627E-2</v>
      </c>
      <c r="G2" s="6">
        <f>SUM(G4:G89)</f>
        <v>62153.822</v>
      </c>
      <c r="H2" s="8">
        <f>C2-G2</f>
        <v>-1353.512999999999</v>
      </c>
      <c r="I2" s="7">
        <f>IFERROR(H2/G2, 0)</f>
        <v>-2.177682653208356E-2</v>
      </c>
      <c r="J2" s="28" t="str">
        <f ca="1">IF(AND(TODAY()&gt;DATE(2024, 7,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06.5">
      <c r="A4" s="46" t="str" cm="1">
        <f t="array" ref="A4">Sites[Site]</f>
        <v>AZ: Joseph City USD</v>
      </c>
      <c r="B4" s="30" t="str" cm="1">
        <f t="array" ref="B4">Sites[State]</f>
        <v>AZ</v>
      </c>
      <c r="C4" s="26">
        <v>60800.309000000001</v>
      </c>
      <c r="D4" s="14">
        <v>63114.788999999997</v>
      </c>
      <c r="E4" s="14">
        <f>IF(AND(ISNUMBER(C4),ISNUMBER(D4)), C4-D4, "")</f>
        <v>-2314.4799999999959</v>
      </c>
      <c r="F4" s="15">
        <f>IFERROR(E4/D4, "")</f>
        <v>-3.667096153961627E-2</v>
      </c>
      <c r="G4" s="16">
        <v>62153.822</v>
      </c>
      <c r="H4" s="16">
        <f>IF(AND(ISNUMBER(C4),ISNUMBER(G4)), C4-G4, "")</f>
        <v>-1353.512999999999</v>
      </c>
      <c r="I4" s="17">
        <f>IFERROR(H4/G4, "")</f>
        <v>-2.177682653208356E-2</v>
      </c>
      <c r="J4" s="18" t="s">
        <v>40</v>
      </c>
      <c r="K4" s="18" t="s">
        <v>41</v>
      </c>
    </row>
    <row r="5" spans="1:11" ht="14.45">
      <c r="A5" s="23"/>
      <c r="B5" s="34"/>
      <c r="C5" s="23"/>
      <c r="D5" s="23"/>
      <c r="E5" s="23"/>
      <c r="F5" s="23"/>
      <c r="G5" s="23"/>
      <c r="H5" s="23"/>
      <c r="I5" s="23"/>
      <c r="J5" s="23"/>
      <c r="K5" s="23"/>
    </row>
    <row r="6" spans="1:11" ht="14.45">
      <c r="A6" s="23"/>
      <c r="B6" s="34"/>
      <c r="C6" s="23"/>
      <c r="D6" s="23"/>
      <c r="E6" s="23"/>
      <c r="F6" s="23"/>
      <c r="G6" s="23"/>
      <c r="H6" s="23"/>
      <c r="I6" s="23"/>
      <c r="J6" s="23"/>
      <c r="K6" s="23"/>
    </row>
    <row r="7" spans="1:11" ht="12.75" customHeight="1">
      <c r="A7" s="23"/>
      <c r="B7" s="34"/>
      <c r="C7" s="23"/>
      <c r="D7" s="23"/>
      <c r="E7" s="23"/>
      <c r="F7" s="23"/>
      <c r="G7" s="23"/>
      <c r="H7" s="23"/>
      <c r="I7" s="23"/>
      <c r="J7" s="23"/>
      <c r="K7" s="23"/>
    </row>
    <row r="8" spans="1:11" ht="14.45">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C331" s="23"/>
      <c r="D331" s="23"/>
      <c r="E331" s="23"/>
      <c r="F331" s="24"/>
      <c r="G331" s="23"/>
      <c r="H331" s="23"/>
      <c r="I331" s="24"/>
      <c r="J331" s="23"/>
      <c r="K331" s="23"/>
    </row>
  </sheetData>
  <sortState xmlns:xlrd2="http://schemas.microsoft.com/office/spreadsheetml/2017/richdata2" ref="A3:K4">
    <sortCondition ref="A3:A4"/>
  </sortState>
  <mergeCells count="4">
    <mergeCell ref="G1:I1"/>
    <mergeCell ref="A1:C1"/>
    <mergeCell ref="D1:F1"/>
    <mergeCell ref="A2:B2"/>
  </mergeCells>
  <conditionalFormatting sqref="F2 I2 F4:F89 I4:I89">
    <cfRule type="cellIs" dxfId="14" priority="1" stopIfTrue="1" operator="lessThanOrEqual">
      <formula>-0.1</formula>
    </cfRule>
    <cfRule type="expression" dxfId="13" priority="2">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31"/>
  <sheetViews>
    <sheetView workbookViewId="0">
      <pane ySplit="2" topLeftCell="A3" activePane="bottomLeft" state="frozen"/>
      <selection pane="bottomLeft" activeCell="A4" sqref="A4"/>
      <selection activeCell="A6" sqref="A6:A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3" t="str" cm="1">
        <f t="array" ref="A1">portfolio</f>
        <v>Joseph City USD</v>
      </c>
      <c r="B1" s="43"/>
      <c r="C1" s="43"/>
      <c r="D1" s="44" t="s">
        <v>42</v>
      </c>
      <c r="E1" s="44"/>
      <c r="F1" s="44"/>
      <c r="G1" s="42" t="s">
        <v>43</v>
      </c>
      <c r="H1" s="42"/>
      <c r="I1" s="42"/>
      <c r="J1" s="5"/>
      <c r="K1" s="5"/>
    </row>
    <row r="2" spans="1:11" ht="19.5" customHeight="1">
      <c r="A2" s="45" t="s">
        <v>2</v>
      </c>
      <c r="B2" s="45"/>
      <c r="C2" s="6">
        <f>SUM(C4:C89)</f>
        <v>49498</v>
      </c>
      <c r="D2" s="6">
        <f>SUM(D4:D89)</f>
        <v>57679.169000000002</v>
      </c>
      <c r="E2" s="6">
        <f>C2-D2</f>
        <v>-8181.1690000000017</v>
      </c>
      <c r="F2" s="7">
        <f>IFERROR(E2/D2, 0)</f>
        <v>-0.14183923142165938</v>
      </c>
      <c r="G2" s="6">
        <f>SUM(G4:G89)</f>
        <v>50936</v>
      </c>
      <c r="H2" s="8">
        <f>C2-G2</f>
        <v>-1438</v>
      </c>
      <c r="I2" s="7">
        <f>IFERROR(H2/G2, 0)</f>
        <v>-2.8231506203863672E-2</v>
      </c>
      <c r="J2" s="28" t="str">
        <f ca="1">IF(AND(TODAY()&gt;DATE(2024, 8,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45.75">
      <c r="A4" s="47" t="str" cm="1">
        <f t="array" ref="A4">Sites[Site]</f>
        <v>AZ: Joseph City USD</v>
      </c>
      <c r="B4" s="30" t="str" cm="1">
        <f t="array" ref="B4">Sites[State]</f>
        <v>AZ</v>
      </c>
      <c r="C4" s="26">
        <v>49498</v>
      </c>
      <c r="D4" s="14">
        <v>57679.169000000002</v>
      </c>
      <c r="E4" s="14">
        <f>IF(AND(ISNUMBER(C4),ISNUMBER(D4)), C4-D4, "")</f>
        <v>-8181.1690000000017</v>
      </c>
      <c r="F4" s="15">
        <f>IFERROR(E4/D4, "")</f>
        <v>-0.14183923142165938</v>
      </c>
      <c r="G4" s="16">
        <v>50936</v>
      </c>
      <c r="H4" s="16">
        <f>IF(AND(ISNUMBER(C4),ISNUMBER(G4)), C4-G4, "")</f>
        <v>-1438</v>
      </c>
      <c r="I4" s="17">
        <f>IFERROR(H4/G4, "")</f>
        <v>-2.8231506203863672E-2</v>
      </c>
      <c r="J4" s="18" t="s">
        <v>44</v>
      </c>
      <c r="K4" s="18" t="s">
        <v>45</v>
      </c>
    </row>
    <row r="5" spans="1:11" ht="14.45">
      <c r="A5" s="23"/>
      <c r="B5" s="34"/>
      <c r="C5" s="23"/>
      <c r="D5" s="23"/>
      <c r="E5" s="23"/>
      <c r="F5" s="23"/>
      <c r="G5" s="23"/>
      <c r="H5" s="23"/>
      <c r="I5" s="23"/>
      <c r="J5" s="23"/>
      <c r="K5" s="23"/>
    </row>
    <row r="6" spans="1:11" ht="14.45">
      <c r="A6" s="23"/>
      <c r="B6" s="34"/>
      <c r="C6" s="23"/>
      <c r="D6" s="23"/>
      <c r="E6" s="23"/>
      <c r="F6" s="23"/>
      <c r="G6" s="23"/>
      <c r="H6" s="23"/>
      <c r="I6" s="23"/>
      <c r="J6" s="23"/>
      <c r="K6" s="23"/>
    </row>
    <row r="7" spans="1:11" ht="12.75" customHeight="1">
      <c r="A7" s="23"/>
      <c r="B7" s="34"/>
      <c r="C7" s="23"/>
      <c r="D7" s="23"/>
      <c r="E7" s="23"/>
      <c r="F7" s="23"/>
      <c r="G7" s="23"/>
      <c r="H7" s="23"/>
      <c r="I7" s="23"/>
      <c r="J7" s="23"/>
      <c r="K7" s="23"/>
    </row>
    <row r="8" spans="1:11" ht="14.45">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C331" s="23"/>
      <c r="D331" s="23"/>
      <c r="E331" s="23"/>
      <c r="F331" s="24"/>
      <c r="G331" s="23"/>
      <c r="H331" s="23"/>
      <c r="I331" s="24"/>
      <c r="J331" s="23"/>
      <c r="K331" s="23"/>
    </row>
  </sheetData>
  <mergeCells count="4">
    <mergeCell ref="G1:I1"/>
    <mergeCell ref="A1:C1"/>
    <mergeCell ref="D1:F1"/>
    <mergeCell ref="A2:B2"/>
  </mergeCells>
  <conditionalFormatting sqref="F2 I2 F4:F89 I4:I89">
    <cfRule type="cellIs" dxfId="12" priority="1" stopIfTrue="1" operator="lessThanOrEqual">
      <formula>-0.1</formula>
    </cfRule>
    <cfRule type="expression" dxfId="11" priority="2">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31"/>
  <sheetViews>
    <sheetView workbookViewId="0">
      <pane ySplit="2" topLeftCell="A3" activePane="bottomLeft" state="frozen"/>
      <selection pane="bottomLeft" activeCell="K4" sqref="K4"/>
      <selection activeCell="A6" sqref="A6:A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3" t="str" cm="1">
        <f t="array" ref="A1">portfolio</f>
        <v>Joseph City USD</v>
      </c>
      <c r="B1" s="43"/>
      <c r="C1" s="43"/>
      <c r="D1" s="44" t="s">
        <v>46</v>
      </c>
      <c r="E1" s="44"/>
      <c r="F1" s="44"/>
      <c r="G1" s="42" t="s">
        <v>47</v>
      </c>
      <c r="H1" s="42"/>
      <c r="I1" s="42"/>
      <c r="J1" s="5"/>
      <c r="K1" s="5"/>
    </row>
    <row r="2" spans="1:11" ht="19.5" customHeight="1">
      <c r="A2" s="45" t="s">
        <v>2</v>
      </c>
      <c r="B2" s="45"/>
      <c r="C2" s="6">
        <f>SUM(C4:C89)</f>
        <v>30444</v>
      </c>
      <c r="D2" s="6">
        <f>SUM(D4:D89)</f>
        <v>60179.091999999997</v>
      </c>
      <c r="E2" s="6">
        <f>C2-D2</f>
        <v>-29735.091999999997</v>
      </c>
      <c r="F2" s="7">
        <f>IFERROR(E2/D2, 0)</f>
        <v>-0.49411001415574696</v>
      </c>
      <c r="G2" s="6">
        <f>SUM(G4:G89)</f>
        <v>48446.04</v>
      </c>
      <c r="H2" s="8">
        <f>C2-G2</f>
        <v>-18002.04</v>
      </c>
      <c r="I2" s="7">
        <f>IFERROR(H2/G2, 0)</f>
        <v>-0.37158950452916278</v>
      </c>
      <c r="J2" s="28" t="str">
        <f ca="1">IF(AND(TODAY()&gt;DATE(2024, 9,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30.75">
      <c r="A4" s="33" t="str" cm="1">
        <f t="array" ref="A4">Sites[Site]</f>
        <v>AZ: Joseph City USD</v>
      </c>
      <c r="B4" s="30" t="str" cm="1">
        <f t="array" ref="B4">Sites[State]</f>
        <v>AZ</v>
      </c>
      <c r="C4" s="26">
        <v>30444</v>
      </c>
      <c r="D4" s="14">
        <v>60179.091999999997</v>
      </c>
      <c r="E4" s="14">
        <f>IF(AND(ISNUMBER(C4),ISNUMBER(D4)), C4-D4, "")</f>
        <v>-29735.091999999997</v>
      </c>
      <c r="F4" s="15">
        <f>IFERROR(E4/D4, "")</f>
        <v>-0.49411001415574696</v>
      </c>
      <c r="G4" s="16">
        <v>48446.04</v>
      </c>
      <c r="H4" s="16">
        <f>IF(AND(ISNUMBER(C4),ISNUMBER(G4)), C4-G4, "")</f>
        <v>-18002.04</v>
      </c>
      <c r="I4" s="17">
        <f>IFERROR(H4/G4, "")</f>
        <v>-0.37158950452916278</v>
      </c>
      <c r="J4" s="18" t="s">
        <v>48</v>
      </c>
      <c r="K4" s="48" t="s">
        <v>49</v>
      </c>
    </row>
    <row r="5" spans="1:11" ht="14.45">
      <c r="A5" s="23"/>
      <c r="B5" s="34"/>
      <c r="C5" s="23"/>
      <c r="D5" s="23"/>
      <c r="E5" s="23"/>
      <c r="F5" s="23"/>
      <c r="G5" s="23"/>
      <c r="H5" s="23"/>
      <c r="I5" s="23"/>
      <c r="J5" s="23"/>
      <c r="K5" s="23"/>
    </row>
    <row r="6" spans="1:11" ht="14.45">
      <c r="A6" s="23"/>
      <c r="B6" s="34"/>
      <c r="C6" s="23"/>
      <c r="D6" s="23"/>
      <c r="E6" s="23"/>
      <c r="F6" s="23"/>
      <c r="G6" s="23"/>
      <c r="H6" s="23"/>
      <c r="I6" s="23"/>
      <c r="J6" s="23"/>
      <c r="K6" s="23"/>
    </row>
    <row r="7" spans="1:11" ht="12.75" customHeight="1">
      <c r="A7" s="23"/>
      <c r="B7" s="34"/>
      <c r="C7" s="23"/>
      <c r="D7" s="23"/>
      <c r="E7" s="23"/>
      <c r="F7" s="23"/>
      <c r="G7" s="23"/>
      <c r="H7" s="23"/>
      <c r="I7" s="23"/>
      <c r="J7" s="23"/>
      <c r="K7" s="23"/>
    </row>
    <row r="8" spans="1:11" ht="14.45">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C331" s="23"/>
      <c r="D331" s="23"/>
      <c r="E331" s="23"/>
      <c r="F331" s="24"/>
      <c r="G331" s="23"/>
      <c r="H331" s="23"/>
      <c r="I331" s="24"/>
      <c r="J331" s="23"/>
      <c r="K331" s="23"/>
    </row>
  </sheetData>
  <mergeCells count="4">
    <mergeCell ref="G1:I1"/>
    <mergeCell ref="A1:C1"/>
    <mergeCell ref="D1:F1"/>
    <mergeCell ref="A2:B2"/>
  </mergeCells>
  <conditionalFormatting sqref="F2 I2 F4:F89 I4:I89">
    <cfRule type="cellIs" dxfId="10" priority="1" stopIfTrue="1" operator="lessThanOrEqual">
      <formula>-0.1</formula>
    </cfRule>
    <cfRule type="expression" dxfId="9" priority="2">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31"/>
  <sheetViews>
    <sheetView workbookViewId="0">
      <pane ySplit="2" topLeftCell="A3" activePane="bottomLeft" state="frozen"/>
      <selection pane="bottomLeft" activeCell="A5" sqref="A5:XFD15"/>
      <selection activeCell="A6" sqref="A6:A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3" t="str" cm="1">
        <f t="array" ref="A1">portfolio</f>
        <v>Joseph City USD</v>
      </c>
      <c r="B1" s="43"/>
      <c r="C1" s="43"/>
      <c r="D1" s="44" t="s">
        <v>50</v>
      </c>
      <c r="E1" s="44"/>
      <c r="F1" s="44"/>
      <c r="G1" s="42" t="s">
        <v>51</v>
      </c>
      <c r="H1" s="42"/>
      <c r="I1" s="42"/>
      <c r="J1" s="5"/>
      <c r="K1" s="5"/>
    </row>
    <row r="2" spans="1:11" ht="19.5" customHeight="1">
      <c r="A2" s="45" t="s">
        <v>2</v>
      </c>
      <c r="B2" s="45"/>
      <c r="C2" s="6">
        <f>SUM(C4:C89)</f>
        <v>0</v>
      </c>
      <c r="D2" s="6">
        <f>SUM(D4:D89)</f>
        <v>0</v>
      </c>
      <c r="E2" s="6">
        <f>C2-D2</f>
        <v>0</v>
      </c>
      <c r="F2" s="7">
        <f>IFERROR(E2/D2, 0)</f>
        <v>0</v>
      </c>
      <c r="G2" s="6">
        <f>SUM(G4:G89)</f>
        <v>0</v>
      </c>
      <c r="H2" s="8">
        <f>C2-G2</f>
        <v>0</v>
      </c>
      <c r="I2" s="7">
        <f>IFERROR(H2/G2, 0)</f>
        <v>0</v>
      </c>
      <c r="J2" s="28"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Sites[Site]</f>
        <v>AZ: Joseph City USD</v>
      </c>
      <c r="B4" s="30" t="str" cm="1">
        <f t="array" ref="B4">Sites[State]</f>
        <v>AZ</v>
      </c>
      <c r="C4" s="26"/>
      <c r="D4" s="14"/>
      <c r="E4" s="14" t="str">
        <f>IF(AND(ISNUMBER(C4),ISNUMBER(D4)), C4-D4, "")</f>
        <v/>
      </c>
      <c r="F4" s="15" t="str">
        <f>IFERROR(E4/D4, "")</f>
        <v/>
      </c>
      <c r="G4" s="16"/>
      <c r="H4" s="16" t="str">
        <f>IF(AND(ISNUMBER(C4),ISNUMBER(G4)), C4-G4, "")</f>
        <v/>
      </c>
      <c r="I4" s="17" t="str">
        <f>IFERROR(H4/G4, "")</f>
        <v/>
      </c>
      <c r="J4" s="18"/>
      <c r="K4" s="18"/>
    </row>
    <row r="5" spans="1:11" ht="14.45">
      <c r="A5" s="23"/>
      <c r="B5" s="34"/>
      <c r="C5" s="23"/>
      <c r="D5" s="23"/>
      <c r="E5" s="23"/>
      <c r="F5" s="23"/>
      <c r="G5" s="23"/>
      <c r="H5" s="23"/>
      <c r="I5" s="23"/>
      <c r="J5" s="23"/>
      <c r="K5" s="23"/>
    </row>
    <row r="6" spans="1:11" ht="14.45">
      <c r="A6" s="23"/>
      <c r="B6" s="34"/>
      <c r="C6" s="23"/>
      <c r="D6" s="23"/>
      <c r="E6" s="23"/>
      <c r="F6" s="23"/>
      <c r="G6" s="23"/>
      <c r="H6" s="23"/>
      <c r="I6" s="23"/>
      <c r="J6" s="23"/>
      <c r="K6" s="23"/>
    </row>
    <row r="7" spans="1:11" ht="12.75" customHeight="1">
      <c r="A7" s="23"/>
      <c r="B7" s="34"/>
      <c r="C7" s="23"/>
      <c r="D7" s="23"/>
      <c r="E7" s="23"/>
      <c r="F7" s="23"/>
      <c r="G7" s="23"/>
      <c r="H7" s="23"/>
      <c r="I7" s="23"/>
      <c r="J7" s="23"/>
      <c r="K7" s="23"/>
    </row>
    <row r="8" spans="1:11" ht="14.45">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C331" s="23"/>
      <c r="D331" s="23"/>
      <c r="E331" s="23"/>
      <c r="F331" s="24"/>
      <c r="G331" s="23"/>
      <c r="H331" s="23"/>
      <c r="I331" s="24"/>
      <c r="J331" s="23"/>
      <c r="K331" s="23"/>
    </row>
  </sheetData>
  <mergeCells count="4">
    <mergeCell ref="G1:I1"/>
    <mergeCell ref="A1:C1"/>
    <mergeCell ref="D1:F1"/>
    <mergeCell ref="A2:B2"/>
  </mergeCells>
  <conditionalFormatting sqref="F2 I2 F4:F89 I4:I89">
    <cfRule type="cellIs" dxfId="8" priority="1" stopIfTrue="1" operator="lessThanOrEqual">
      <formula>-0.1</formula>
    </cfRule>
    <cfRule type="expression" dxfId="7" priority="2">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31"/>
  <sheetViews>
    <sheetView workbookViewId="0">
      <pane ySplit="2" topLeftCell="A3" activePane="bottomLeft" state="frozen"/>
      <selection pane="bottomLeft" activeCell="A5" sqref="A5:XFD15"/>
      <selection activeCell="A6" sqref="A6:A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3" t="str" cm="1">
        <f t="array" ref="A1">portfolio</f>
        <v>Joseph City USD</v>
      </c>
      <c r="B1" s="43"/>
      <c r="C1" s="43"/>
      <c r="D1" s="44" t="s">
        <v>52</v>
      </c>
      <c r="E1" s="44"/>
      <c r="F1" s="44"/>
      <c r="G1" s="42" t="s">
        <v>53</v>
      </c>
      <c r="H1" s="42"/>
      <c r="I1" s="42"/>
      <c r="J1" s="5"/>
      <c r="K1" s="5"/>
    </row>
    <row r="2" spans="1:11" ht="19.5" customHeight="1">
      <c r="A2" s="45" t="s">
        <v>2</v>
      </c>
      <c r="B2" s="45"/>
      <c r="C2" s="6">
        <f>SUM(C4:C89)</f>
        <v>0</v>
      </c>
      <c r="D2" s="6">
        <f>SUM(D4:D89)</f>
        <v>0</v>
      </c>
      <c r="E2" s="6">
        <f>C2-D2</f>
        <v>0</v>
      </c>
      <c r="F2" s="7">
        <f>IFERROR(E2/D2, 0)</f>
        <v>0</v>
      </c>
      <c r="G2" s="6">
        <f>SUM(G4:G89)</f>
        <v>0</v>
      </c>
      <c r="H2" s="8">
        <f>C2-G2</f>
        <v>0</v>
      </c>
      <c r="I2" s="7">
        <f>IFERROR(H2/G2, 0)</f>
        <v>0</v>
      </c>
      <c r="J2" s="28" t="str">
        <f ca="1">IF(AND(TODAY()&gt;DATE(2024, 11,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Sites[Site]</f>
        <v>AZ: Joseph City USD</v>
      </c>
      <c r="B4" s="30" t="str" cm="1">
        <f t="array" ref="B4">Sites[State]</f>
        <v>AZ</v>
      </c>
      <c r="C4" s="26"/>
      <c r="D4" s="14"/>
      <c r="E4" s="14" t="str">
        <f>IF(AND(ISNUMBER(C4),ISNUMBER(D4)), C4-D4, "")</f>
        <v/>
      </c>
      <c r="F4" s="15" t="str">
        <f>IFERROR(E4/D4, "")</f>
        <v/>
      </c>
      <c r="G4" s="16"/>
      <c r="H4" s="16" t="str">
        <f>IF(AND(ISNUMBER(C4),ISNUMBER(G4)), C4-G4, "")</f>
        <v/>
      </c>
      <c r="I4" s="17" t="str">
        <f>IFERROR(H4/G4, "")</f>
        <v/>
      </c>
      <c r="J4" s="18"/>
      <c r="K4" s="18"/>
    </row>
    <row r="5" spans="1:11" ht="14.45">
      <c r="A5" s="23"/>
      <c r="B5" s="34"/>
      <c r="C5" s="23"/>
      <c r="D5" s="23"/>
      <c r="E5" s="23"/>
      <c r="F5" s="23"/>
      <c r="G5" s="23"/>
      <c r="H5" s="23"/>
      <c r="I5" s="23"/>
      <c r="J5" s="23"/>
      <c r="K5" s="23"/>
    </row>
    <row r="6" spans="1:11" ht="14.45">
      <c r="A6" s="23"/>
      <c r="B6" s="34"/>
      <c r="C6" s="23"/>
      <c r="D6" s="23"/>
      <c r="E6" s="23"/>
      <c r="F6" s="23"/>
      <c r="G6" s="23"/>
      <c r="H6" s="23"/>
      <c r="I6" s="23"/>
      <c r="J6" s="23"/>
      <c r="K6" s="23"/>
    </row>
    <row r="7" spans="1:11" ht="12.75" customHeight="1">
      <c r="A7" s="23"/>
      <c r="B7" s="34"/>
      <c r="C7" s="23"/>
      <c r="D7" s="23"/>
      <c r="E7" s="23"/>
      <c r="F7" s="23"/>
      <c r="G7" s="23"/>
      <c r="H7" s="23"/>
      <c r="I7" s="23"/>
      <c r="J7" s="23"/>
      <c r="K7" s="23"/>
    </row>
    <row r="8" spans="1:11" ht="14.45">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C331" s="23"/>
      <c r="D331" s="23"/>
      <c r="E331" s="23"/>
      <c r="F331" s="24"/>
      <c r="G331" s="23"/>
      <c r="H331" s="23"/>
      <c r="I331" s="24"/>
      <c r="J331" s="23"/>
      <c r="K331" s="23"/>
    </row>
  </sheetData>
  <mergeCells count="4">
    <mergeCell ref="G1:I1"/>
    <mergeCell ref="A1:C1"/>
    <mergeCell ref="D1:F1"/>
    <mergeCell ref="A2:B2"/>
  </mergeCells>
  <conditionalFormatting sqref="F2 I2 F4:F89 I4:I89">
    <cfRule type="cellIs" dxfId="6" priority="1" stopIfTrue="1" operator="lessThanOrEqual">
      <formula>-0.1</formula>
    </cfRule>
    <cfRule type="expression" dxfId="5" priority="2">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1"/>
  <sheetViews>
    <sheetView workbookViewId="0">
      <pane ySplit="2" topLeftCell="A3" activePane="bottomLeft" state="frozen"/>
      <selection pane="bottomLeft" activeCell="A8" sqref="A8"/>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3" t="str" cm="1">
        <f t="array" ref="A1">portfolio</f>
        <v>Joseph City USD</v>
      </c>
      <c r="B1" s="43"/>
      <c r="C1" s="43"/>
      <c r="D1" s="44" t="s">
        <v>54</v>
      </c>
      <c r="E1" s="44"/>
      <c r="F1" s="44"/>
      <c r="G1" s="42" t="s">
        <v>55</v>
      </c>
      <c r="H1" s="42"/>
      <c r="I1" s="42"/>
      <c r="J1" s="5"/>
      <c r="K1" s="5"/>
    </row>
    <row r="2" spans="1:11" ht="19.5" customHeight="1">
      <c r="A2" s="45" t="s">
        <v>2</v>
      </c>
      <c r="B2" s="45"/>
      <c r="C2" s="6">
        <f>SUM(C4:C89)</f>
        <v>0</v>
      </c>
      <c r="D2" s="6">
        <f>SUM(D4:D89)</f>
        <v>0</v>
      </c>
      <c r="E2" s="6">
        <f>C2-D2</f>
        <v>0</v>
      </c>
      <c r="F2" s="7">
        <f>IFERROR(E2/D2, 0)</f>
        <v>0</v>
      </c>
      <c r="G2" s="6">
        <f>SUM(G4:G89)</f>
        <v>0</v>
      </c>
      <c r="H2" s="8">
        <f>C2-G2</f>
        <v>0</v>
      </c>
      <c r="I2" s="7">
        <f>IFERROR(H2/G2, 0)</f>
        <v>0</v>
      </c>
      <c r="J2" s="28" t="str">
        <f ca="1">IF(AND(TODAY()&gt;DATE(2024, 12,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Sites[Site]</f>
        <v>AZ: Joseph City USD</v>
      </c>
      <c r="B4" s="30" t="str" cm="1">
        <f t="array" ref="B4">Sites[State]</f>
        <v>AZ</v>
      </c>
      <c r="C4" s="26"/>
      <c r="D4" s="14"/>
      <c r="E4" s="14" t="str">
        <f>IF(AND(ISNUMBER(C4),ISNUMBER(D4)), C4-D4, "")</f>
        <v/>
      </c>
      <c r="F4" s="15" t="str">
        <f>IFERROR(E4/D4, "")</f>
        <v/>
      </c>
      <c r="G4" s="16"/>
      <c r="H4" s="16" t="str">
        <f>IF(AND(ISNUMBER(C4),ISNUMBER(G4)), C4-G4, "")</f>
        <v/>
      </c>
      <c r="I4" s="17" t="str">
        <f>IFERROR(H4/G4, "")</f>
        <v/>
      </c>
      <c r="J4" s="18"/>
      <c r="K4" s="18"/>
    </row>
    <row r="5" spans="1:11" ht="14.45">
      <c r="A5" s="23"/>
      <c r="B5" s="34"/>
      <c r="C5" s="23"/>
      <c r="D5" s="23"/>
      <c r="E5" s="23"/>
      <c r="F5" s="23"/>
      <c r="G5" s="23"/>
      <c r="H5" s="23"/>
      <c r="I5" s="23"/>
      <c r="J5" s="23"/>
      <c r="K5" s="23"/>
    </row>
    <row r="6" spans="1:11" ht="14.45">
      <c r="A6" s="23"/>
      <c r="B6" s="34"/>
      <c r="C6" s="23"/>
      <c r="D6" s="23"/>
      <c r="E6" s="23"/>
      <c r="F6" s="23"/>
      <c r="G6" s="23"/>
      <c r="H6" s="23"/>
      <c r="I6" s="23"/>
      <c r="J6" s="23"/>
      <c r="K6" s="23"/>
    </row>
    <row r="7" spans="1:11" ht="12.75" customHeight="1">
      <c r="A7" s="23"/>
      <c r="B7" s="34"/>
      <c r="C7" s="23"/>
      <c r="D7" s="23"/>
      <c r="E7" s="23"/>
      <c r="F7" s="23"/>
      <c r="G7" s="23"/>
      <c r="H7" s="23"/>
      <c r="I7" s="23"/>
      <c r="J7" s="23"/>
      <c r="K7" s="23"/>
    </row>
    <row r="8" spans="1:11" ht="14.45">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C331" s="23"/>
      <c r="D331" s="23"/>
      <c r="E331" s="23"/>
      <c r="F331" s="24"/>
      <c r="G331" s="23"/>
      <c r="H331" s="23"/>
      <c r="I331" s="24"/>
      <c r="J331" s="23"/>
      <c r="K331" s="23"/>
    </row>
  </sheetData>
  <mergeCells count="4">
    <mergeCell ref="G1:I1"/>
    <mergeCell ref="A1:C1"/>
    <mergeCell ref="D1:F1"/>
    <mergeCell ref="A2:B2"/>
  </mergeCells>
  <conditionalFormatting sqref="F2 I2 F4:F89 I4:I89">
    <cfRule type="cellIs" dxfId="4" priority="1" stopIfTrue="1" operator="lessThanOrEqual">
      <formula>-0.1</formula>
    </cfRule>
    <cfRule type="expression" dxfId="3" priority="2">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4"/>
  <sheetViews>
    <sheetView workbookViewId="0">
      <pane ySplit="3" topLeftCell="A4" activePane="bottomLeft" state="frozen"/>
      <selection pane="bottomLeft" activeCell="A5" sqref="A5:XFD6"/>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56</v>
      </c>
      <c r="B1" t="s">
        <v>57</v>
      </c>
    </row>
    <row r="3" spans="1:7" ht="13.15">
      <c r="A3" t="s">
        <v>58</v>
      </c>
      <c r="B3" t="s">
        <v>3</v>
      </c>
      <c r="C3" t="s">
        <v>4</v>
      </c>
      <c r="D3" t="s">
        <v>59</v>
      </c>
      <c r="E3" s="2" t="s">
        <v>60</v>
      </c>
    </row>
    <row r="4" spans="1:7" ht="14.45">
      <c r="A4" t="s">
        <v>61</v>
      </c>
      <c r="B4" t="s">
        <v>62</v>
      </c>
      <c r="C4" s="4" t="s">
        <v>63</v>
      </c>
      <c r="G4" s="3"/>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d19483960f138667885115d5c4edb395">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78806dbb98be2979f00cf22499856de4"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C0BCDC1E-6052-4E48-9BAF-94A40814E7C2}"/>
</file>

<file path=customXml/itemProps2.xml><?xml version="1.0" encoding="utf-8"?>
<ds:datastoreItem xmlns:ds="http://schemas.openxmlformats.org/officeDocument/2006/customXml" ds:itemID="{7946C510-7D04-49D8-9B25-EEC04582A1CA}"/>
</file>

<file path=customXml/itemProps3.xml><?xml version="1.0" encoding="utf-8"?>
<ds:datastoreItem xmlns:ds="http://schemas.openxmlformats.org/officeDocument/2006/customXml" ds:itemID="{BF5C6359-7763-4C37-8EAF-2BC4698CB285}"/>
</file>

<file path=customXml/itemProps4.xml><?xml version="1.0" encoding="utf-8"?>
<ds:datastoreItem xmlns:ds="http://schemas.openxmlformats.org/officeDocument/2006/customXml" ds:itemID="{E3716282-BFD2-4ED2-BA47-BFA1123827F0}"/>
</file>

<file path=customXml/itemProps5.xml><?xml version="1.0" encoding="utf-8"?>
<ds:datastoreItem xmlns:ds="http://schemas.openxmlformats.org/officeDocument/2006/customXml" ds:itemID="{66B09F59-6532-46F8-924A-9A02417E070D}"/>
</file>

<file path=customXml/itemProps6.xml><?xml version="1.0" encoding="utf-8"?>
<ds:datastoreItem xmlns:ds="http://schemas.openxmlformats.org/officeDocument/2006/customXml" ds:itemID="{078388C9-06F9-42F4-B857-EF76B5CAF1FD}"/>
</file>

<file path=customXml/itemProps7.xml><?xml version="1.0" encoding="utf-8"?>
<ds:datastoreItem xmlns:ds="http://schemas.openxmlformats.org/officeDocument/2006/customXml" ds:itemID="{2BC74AAC-D69B-4AF1-9649-B21EF3C1C463}"/>
</file>

<file path=customXml/itemProps8.xml><?xml version="1.0" encoding="utf-8"?>
<ds:datastoreItem xmlns:ds="http://schemas.openxmlformats.org/officeDocument/2006/customXml" ds:itemID="{CB52044A-5C0B-44A2-99D0-C1C315EC302D}"/>
</file>

<file path=customXml/itemProps9.xml><?xml version="1.0" encoding="utf-8"?>
<ds:datastoreItem xmlns:ds="http://schemas.openxmlformats.org/officeDocument/2006/customXml" ds:itemID="{89CF5C07-45EB-4100-9AFB-2C6AF77FA787}"/>
</file>

<file path=customXml/itemProps10.xml><?xml version="1.0" encoding="utf-8"?>
<ds:datastoreItem xmlns:ds="http://schemas.openxmlformats.org/officeDocument/2006/customXml" ds:itemID="{F12EFA50-0068-4A8C-85A0-F1B26389EBC3}"/>
</file>

<file path=customXml/itemProps11.xml><?xml version="1.0" encoding="utf-8"?>
<ds:datastoreItem xmlns:ds="http://schemas.openxmlformats.org/officeDocument/2006/customXml" ds:itemID="{3AEAA9D8-2182-46BA-A58E-96C72DDA1C54}"/>
</file>

<file path=customXml/itemProps12.xml><?xml version="1.0" encoding="utf-8"?>
<ds:datastoreItem xmlns:ds="http://schemas.openxmlformats.org/officeDocument/2006/customXml" ds:itemID="{8D732231-4216-4543-A665-18A2886B0EB7}"/>
</file>

<file path=customXml/itemProps13.xml><?xml version="1.0" encoding="utf-8"?>
<ds:datastoreItem xmlns:ds="http://schemas.openxmlformats.org/officeDocument/2006/customXml" ds:itemID="{E20E8303-6A67-485C-B6F4-303542CC295C}"/>
</file>

<file path=customXml/itemProps14.xml><?xml version="1.0" encoding="utf-8"?>
<ds:datastoreItem xmlns:ds="http://schemas.openxmlformats.org/officeDocument/2006/customXml" ds:itemID="{F6B2B1A1-1C4B-4AC9-9A7D-7A102DD1C942}"/>
</file>

<file path=customXml/itemProps15.xml><?xml version="1.0" encoding="utf-8"?>
<ds:datastoreItem xmlns:ds="http://schemas.openxmlformats.org/officeDocument/2006/customXml" ds:itemID="{98A113BB-8B7A-453C-8BD4-8EFC67FC2D3F}"/>
</file>

<file path=customXml/itemProps16.xml><?xml version="1.0" encoding="utf-8"?>
<ds:datastoreItem xmlns:ds="http://schemas.openxmlformats.org/officeDocument/2006/customXml" ds:itemID="{1954BBA4-0359-438C-B0EC-A756015F7C02}"/>
</file>

<file path=customXml/itemProps17.xml><?xml version="1.0" encoding="utf-8"?>
<ds:datastoreItem xmlns:ds="http://schemas.openxmlformats.org/officeDocument/2006/customXml" ds:itemID="{0389C43E-394D-44C0-87DC-4780FCFCFB40}"/>
</file>

<file path=customXml/itemProps18.xml><?xml version="1.0" encoding="utf-8"?>
<ds:datastoreItem xmlns:ds="http://schemas.openxmlformats.org/officeDocument/2006/customXml" ds:itemID="{14966E4F-347B-477B-B74C-9DAC05405806}"/>
</file>

<file path=customXml/itemProps19.xml><?xml version="1.0" encoding="utf-8"?>
<ds:datastoreItem xmlns:ds="http://schemas.openxmlformats.org/officeDocument/2006/customXml" ds:itemID="{BE26B669-A686-459C-A5E9-FEC3409C4C81}"/>
</file>

<file path=customXml/itemProps20.xml><?xml version="1.0" encoding="utf-8"?>
<ds:datastoreItem xmlns:ds="http://schemas.openxmlformats.org/officeDocument/2006/customXml" ds:itemID="{D3A7101F-9A85-4235-8B03-415370C100B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Guest User</cp:lastModifiedBy>
  <cp:revision/>
  <dcterms:created xsi:type="dcterms:W3CDTF">2021-01-01T16:39:53Z</dcterms:created>
  <dcterms:modified xsi:type="dcterms:W3CDTF">2024-10-12T11:09:11Z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ies>
</file>