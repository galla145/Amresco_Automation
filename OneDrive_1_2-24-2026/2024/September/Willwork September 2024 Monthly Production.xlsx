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F996D59-2094-4A6E-A526-CB6BC7348D15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<sst xmlns="http://schemas.openxmlformats.org/spreadsheetml/2006/main" count="240" uniqueCount="54">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</sst>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79886.784495117172</v>
      </c>
      <c r="D2" s="6">
        <f>SUM(D4:D60)</f>
        <v>0</v>
      </c>
      <c r="E2" s="6">
        <f>C2-D2</f>
        <v>79886.784495117172</v>
      </c>
      <c r="F2" s="7">
        <f>IFERROR(E2/D2, 0)</f>
        <v>0</v>
      </c>
      <c r="G2" s="6">
        <f>SUM(G4:G60)</f>
        <v>47592.538</v>
      </c>
      <c r="H2" s="8">
        <f>C2-G2</f>
        <v>32294.246495117171</v>
      </c>
      <c r="I2" s="7">
        <f>IFERROR(H2/G2, 0)</f>
        <v>0.67855693039772691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79886.784495117172</v>
      </c>
      <c r="D4" s="14">
        <f>SUM('1st Qtr'!D4, '2nd Qtr'!D4, '3rd Qtr'!D4, '4th Qtr'!D4)</f>
        <v>0</v>
      </c>
      <c r="E4" s="14">
        <f>IF(AND(ISNUMBER(C4),ISNUMBER(D4)), C4-D4, "")</f>
        <v>79886.784495117172</v>
      </c>
      <c r="F4" s="15" t="str">
        <f>IFERROR(E4/D4, "")</f>
        <v/>
      </c>
      <c r="G4" s="16">
        <f>SUM('1st Qtr'!G4,'2nd Qtr'!G4,'3rd Qtr'!G4,'4th Qtr'!G4)</f>
        <v>47592.538</v>
      </c>
      <c r="H4" s="16">
        <f>SUM('1st Qtr'!H4, '2nd Qtr'!H4, '3rd Qtr'!H4, '4th Qtr'!H4)</f>
        <v>32294.246495117179</v>
      </c>
      <c r="I4" s="17">
        <f>IFERROR(H4/G4, "")</f>
        <v>0.67855693039772702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30331.004999999997</v>
      </c>
      <c r="D2" s="6">
        <f>SUM(D4:D89)</f>
        <v>0</v>
      </c>
      <c r="E2" s="6">
        <f>C2-D2</f>
        <v>30331.004999999997</v>
      </c>
      <c r="F2" s="7">
        <f>IFERROR(E2/D2, 0)</f>
        <v>0</v>
      </c>
      <c r="G2" s="6">
        <f>SUM(G4:G89)</f>
        <v>17788.252</v>
      </c>
      <c r="H2" s="8">
        <f>C2-G2</f>
        <v>12542.752999999997</v>
      </c>
      <c r="I2" s="7">
        <f>IFERROR(H2/G2, 0)</f>
        <v>0.70511442046132455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30331.004999999997</v>
      </c>
      <c r="D4" s="14">
        <f>SUM(Jul!D4, Aug!D4, Sep!D4)</f>
        <v>0</v>
      </c>
      <c r="E4" s="14">
        <f>IF(AND(ISNUMBER(C4),ISNUMBER(D4)), C4-D4, "")</f>
        <v>30331.004999999997</v>
      </c>
      <c r="F4" s="15" t="str">
        <f>IFERROR(E4/D4, "")</f>
        <v/>
      </c>
      <c r="G4" s="16">
        <f>SUM(Jul!G4, Aug!G4, Sep!G4)</f>
        <v>17788.252</v>
      </c>
      <c r="H4" s="16">
        <f>SUM(Jul!H4, Aug!H4, Sep!H4)</f>
        <v>12542.752999999997</v>
      </c>
      <c r="I4" s="17">
        <f>IFERROR(H4/G4, "")</f>
        <v>0.70511442046132455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F11" sqref="F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10393.924999999999</v>
      </c>
      <c r="D2" s="6">
        <f>SUM(D4:D30)</f>
        <v>0</v>
      </c>
      <c r="E2" s="6">
        <f>C2-D2</f>
        <v>10393.924999999999</v>
      </c>
      <c r="F2" s="7">
        <f>IFERROR(E2/D2, 0)</f>
        <v>0</v>
      </c>
      <c r="G2" s="6">
        <f>SUM(G4:G30)</f>
        <v>6131.9740000000002</v>
      </c>
      <c r="H2" s="8">
        <f>C2-G2</f>
        <v>4261.9509999999991</v>
      </c>
      <c r="I2" s="7">
        <f>IFERROR(H2/G2, 0)</f>
        <v>0.6950373566489354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10393.924999999999</v>
      </c>
      <c r="D4" s="14">
        <v>0</v>
      </c>
      <c r="E4" s="14">
        <f>IF(AND(ISNUMBER(C4),ISNUMBER(D4)), C4-D4, "")</f>
        <v>10393.924999999999</v>
      </c>
      <c r="F4" s="15" t="str">
        <f>IFERROR(E4/D4, "")</f>
        <v/>
      </c>
      <c r="G4" s="16">
        <v>6131.9740000000002</v>
      </c>
      <c r="H4" s="16">
        <f>IF(AND(ISNUMBER(C4),ISNUMBER(G4)), C4-G4, "")</f>
        <v>4261.9509999999991</v>
      </c>
      <c r="I4" s="17">
        <f>IFERROR(H4/G4, "")</f>
        <v>0.6950373566489354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14" sqref="G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8464.8799999999992</v>
      </c>
      <c r="D2" s="6">
        <f>SUM(D4:D90)</f>
        <v>0</v>
      </c>
      <c r="E2" s="6">
        <f>C2-D2</f>
        <v>8464.8799999999992</v>
      </c>
      <c r="F2" s="7">
        <f>IFERROR(E2/D2, 0)</f>
        <v>0</v>
      </c>
      <c r="G2" s="6">
        <f>SUM(G4:G90)</f>
        <v>4889.9949999999999</v>
      </c>
      <c r="H2" s="8">
        <f>C2-G2</f>
        <v>3574.8849999999993</v>
      </c>
      <c r="I2" s="7">
        <f>IFERROR(H2/G2, 0)</f>
        <v>0.73106107470457526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8464.8799999999992</v>
      </c>
      <c r="D4" s="14">
        <v>0</v>
      </c>
      <c r="E4" s="14">
        <f>IF(AND(ISNUMBER(C4),ISNUMBER(D4)), C4-D4, "")</f>
        <v>8464.8799999999992</v>
      </c>
      <c r="F4" s="15" t="str">
        <f>IFERROR(E4/D4, "")</f>
        <v/>
      </c>
      <c r="G4" s="16">
        <v>4889.9949999999999</v>
      </c>
      <c r="H4" s="16">
        <f>IF(AND(ISNUMBER(C4),ISNUMBER(G4)), C4-G4, "")</f>
        <v>3574.8849999999993</v>
      </c>
      <c r="I4" s="17">
        <f>IFERROR(H4/G4, "")</f>
        <v>0.73106107470457526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workbookViewId="0">
      <pane ySplit="2" topLeftCell="A3" activePane="bottomLeft" state="frozen"/>
      <selection pane="bottomLeft" activeCell="C14" sqref="C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2024-10-15T10:19:10Z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